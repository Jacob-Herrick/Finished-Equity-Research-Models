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648B94E8-5CA3-4863-A3AA-0E5836669584}"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84" i="2" l="1"/>
  <c r="BM83" i="2"/>
  <c r="C7" i="1"/>
  <c r="C6" i="1"/>
  <c r="CU59" i="2"/>
  <c r="CK63" i="2"/>
  <c r="CJ63" i="2"/>
  <c r="CI63" i="2"/>
  <c r="CH63" i="2"/>
  <c r="CG63" i="2"/>
  <c r="BL78" i="2"/>
  <c r="BK78" i="2"/>
  <c r="BI78" i="2"/>
  <c r="BH78" i="2"/>
  <c r="BG78" i="2"/>
  <c r="BE78" i="2"/>
  <c r="BD78" i="2"/>
  <c r="BC78" i="2"/>
  <c r="BA78" i="2"/>
  <c r="AZ78" i="2"/>
  <c r="AY78" i="2"/>
  <c r="AW78" i="2"/>
  <c r="AV78" i="2"/>
  <c r="AU78" i="2"/>
  <c r="BL76" i="2"/>
  <c r="BK76" i="2"/>
  <c r="BJ76" i="2"/>
  <c r="AV76" i="2"/>
  <c r="AU76" i="2"/>
  <c r="BL75" i="2"/>
  <c r="BK75" i="2"/>
  <c r="BJ75" i="2"/>
  <c r="AV75" i="2"/>
  <c r="AU75" i="2"/>
  <c r="BL74" i="2"/>
  <c r="BK74" i="2"/>
  <c r="BJ74" i="2"/>
  <c r="AV74" i="2"/>
  <c r="AU74" i="2"/>
  <c r="BM76" i="2"/>
  <c r="BM75" i="2"/>
  <c r="BM74" i="2"/>
  <c r="BM78" i="2"/>
  <c r="BM86" i="2"/>
  <c r="BM70" i="2"/>
  <c r="BM72" i="2" s="1"/>
  <c r="BM59" i="2"/>
  <c r="BM28" i="2"/>
  <c r="BM14" i="2"/>
  <c r="BM13" i="2"/>
  <c r="BM12" i="2"/>
  <c r="BM11" i="2"/>
  <c r="BM9" i="2"/>
  <c r="BM22" i="2" s="1"/>
  <c r="BM77" i="2" s="1"/>
  <c r="BM7" i="2"/>
  <c r="CU52" i="2"/>
  <c r="BM85" i="2" l="1"/>
  <c r="BM87" i="2"/>
  <c r="BM17" i="2"/>
  <c r="BM18" i="2"/>
  <c r="BM24" i="2"/>
  <c r="BM42" i="2"/>
  <c r="BM41" i="2"/>
  <c r="BM19" i="2"/>
  <c r="BM20" i="2"/>
  <c r="CU57" i="2"/>
  <c r="CM27" i="2"/>
  <c r="CN27" i="2" s="1"/>
  <c r="BM40" i="2" l="1"/>
  <c r="BM29" i="2"/>
  <c r="CO27" i="2"/>
  <c r="CU54" i="2"/>
  <c r="BM32" i="2" l="1"/>
  <c r="BM43" i="2"/>
  <c r="CP27" i="2"/>
  <c r="BM36" i="2" l="1"/>
  <c r="BM44" i="2"/>
  <c r="CQ27" i="2"/>
  <c r="BM80" i="2" l="1"/>
  <c r="BM79" i="2"/>
  <c r="BM82" i="2"/>
  <c r="BM38" i="2"/>
  <c r="BM45" i="2"/>
  <c r="CR27" i="2"/>
  <c r="CS27" i="2" l="1"/>
  <c r="CT27" i="2" l="1"/>
  <c r="CU27" i="2" l="1"/>
  <c r="G1436" i="3" l="1"/>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K201" i="3"/>
  <c r="G201" i="3"/>
  <c r="G200" i="3"/>
  <c r="G199" i="3"/>
  <c r="G198" i="3"/>
  <c r="K197" i="3"/>
  <c r="G197" i="3"/>
  <c r="G196" i="3"/>
  <c r="G195" i="3"/>
  <c r="G194" i="3"/>
  <c r="G193" i="3"/>
  <c r="G192" i="3"/>
  <c r="G191" i="3"/>
  <c r="G190" i="3"/>
  <c r="G189" i="3"/>
  <c r="G188" i="3"/>
  <c r="G187" i="3"/>
  <c r="G186" i="3"/>
  <c r="G185" i="3"/>
  <c r="G184" i="3"/>
  <c r="G183" i="3"/>
  <c r="G182" i="3"/>
  <c r="K200" i="3" s="1"/>
  <c r="G181" i="3"/>
  <c r="BL86" i="2"/>
  <c r="BK86" i="2"/>
  <c r="BJ86" i="2"/>
  <c r="BI86" i="2"/>
  <c r="BH86" i="2"/>
  <c r="BG86" i="2"/>
  <c r="BF86" i="2"/>
  <c r="BE86" i="2"/>
  <c r="BD86" i="2"/>
  <c r="BC86" i="2"/>
  <c r="BB86" i="2"/>
  <c r="BA86" i="2"/>
  <c r="AZ86"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L85" i="2"/>
  <c r="BL87" i="2" s="1"/>
  <c r="BK85" i="2"/>
  <c r="BJ85" i="2"/>
  <c r="BJ87" i="2" s="1"/>
  <c r="BI85" i="2"/>
  <c r="BH85" i="2"/>
  <c r="BG85" i="2"/>
  <c r="BF85" i="2"/>
  <c r="BE85" i="2"/>
  <c r="BE87" i="2" s="1"/>
  <c r="BD85" i="2"/>
  <c r="BD87" i="2" s="1"/>
  <c r="BC85" i="2"/>
  <c r="BB85" i="2"/>
  <c r="BB87" i="2" s="1"/>
  <c r="BA85" i="2"/>
  <c r="AZ85" i="2"/>
  <c r="AY85" i="2"/>
  <c r="AX85" i="2"/>
  <c r="AW85" i="2"/>
  <c r="AW87" i="2" s="1"/>
  <c r="AV85" i="2"/>
  <c r="AV87" i="2" s="1"/>
  <c r="AU85" i="2"/>
  <c r="AT85" i="2"/>
  <c r="AT87" i="2" s="1"/>
  <c r="AS85" i="2"/>
  <c r="AR85" i="2"/>
  <c r="AQ85" i="2"/>
  <c r="AP85" i="2"/>
  <c r="AO85" i="2"/>
  <c r="AO87" i="2" s="1"/>
  <c r="AN85" i="2"/>
  <c r="AN87" i="2" s="1"/>
  <c r="AM85" i="2"/>
  <c r="AL85" i="2"/>
  <c r="AL87" i="2" s="1"/>
  <c r="AK85" i="2"/>
  <c r="AJ85" i="2"/>
  <c r="AI85" i="2"/>
  <c r="AH85" i="2"/>
  <c r="AG85" i="2"/>
  <c r="AG87" i="2" s="1"/>
  <c r="AF85" i="2"/>
  <c r="AF87" i="2" s="1"/>
  <c r="AE85" i="2"/>
  <c r="AD85" i="2"/>
  <c r="AD87" i="2" s="1"/>
  <c r="AC85" i="2"/>
  <c r="AB85" i="2"/>
  <c r="AA85" i="2"/>
  <c r="Z85" i="2"/>
  <c r="Y85" i="2"/>
  <c r="Y87" i="2" s="1"/>
  <c r="X85" i="2"/>
  <c r="X87" i="2" s="1"/>
  <c r="W85" i="2"/>
  <c r="V85" i="2"/>
  <c r="V87" i="2" s="1"/>
  <c r="U85" i="2"/>
  <c r="T85" i="2"/>
  <c r="S85" i="2"/>
  <c r="R85" i="2"/>
  <c r="Q85" i="2"/>
  <c r="Q87" i="2" s="1"/>
  <c r="P85" i="2"/>
  <c r="P87" i="2" s="1"/>
  <c r="O85" i="2"/>
  <c r="N85" i="2"/>
  <c r="N87" i="2" s="1"/>
  <c r="M85" i="2"/>
  <c r="L85" i="2"/>
  <c r="K85" i="2"/>
  <c r="J85" i="2"/>
  <c r="I85" i="2"/>
  <c r="I87" i="2" s="1"/>
  <c r="H85" i="2"/>
  <c r="H87" i="2" s="1"/>
  <c r="G85" i="2"/>
  <c r="F85" i="2"/>
  <c r="F87" i="2" s="1"/>
  <c r="E85" i="2"/>
  <c r="D85" i="2"/>
  <c r="C85" i="2"/>
  <c r="CK84" i="2"/>
  <c r="CJ84" i="2"/>
  <c r="CI84" i="2"/>
  <c r="CH84" i="2"/>
  <c r="CG84" i="2"/>
  <c r="CF84" i="2"/>
  <c r="CE84" i="2"/>
  <c r="CD84" i="2"/>
  <c r="CC84" i="2"/>
  <c r="CB84" i="2"/>
  <c r="CA84" i="2"/>
  <c r="BZ84" i="2"/>
  <c r="BY84" i="2"/>
  <c r="BX84" i="2"/>
  <c r="BW84" i="2"/>
  <c r="CK83" i="2"/>
  <c r="CJ83" i="2"/>
  <c r="CI83" i="2"/>
  <c r="CH83" i="2"/>
  <c r="CG83" i="2"/>
  <c r="CF83" i="2"/>
  <c r="CE83" i="2"/>
  <c r="CE85" i="2" s="1"/>
  <c r="CD83" i="2"/>
  <c r="CC83" i="2"/>
  <c r="CB83" i="2"/>
  <c r="CA83" i="2"/>
  <c r="BZ83" i="2"/>
  <c r="BY83" i="2"/>
  <c r="BX83" i="2"/>
  <c r="BW83" i="2"/>
  <c r="BW85" i="2" s="1"/>
  <c r="CK71" i="2"/>
  <c r="CJ71" i="2"/>
  <c r="CI71" i="2"/>
  <c r="CH71" i="2"/>
  <c r="CG71" i="2"/>
  <c r="BL70" i="2"/>
  <c r="BL72" i="2" s="1"/>
  <c r="BK70" i="2"/>
  <c r="BK72" i="2" s="1"/>
  <c r="BJ70" i="2"/>
  <c r="AV70" i="2"/>
  <c r="AV72" i="2" s="1"/>
  <c r="AU70" i="2"/>
  <c r="AU72" i="2" s="1"/>
  <c r="CK69" i="2"/>
  <c r="CJ69" i="2"/>
  <c r="CI69" i="2"/>
  <c r="CH69" i="2"/>
  <c r="CG69" i="2"/>
  <c r="CK68" i="2"/>
  <c r="CJ68" i="2"/>
  <c r="CI68" i="2"/>
  <c r="CH68" i="2"/>
  <c r="CG68" i="2"/>
  <c r="CK67" i="2"/>
  <c r="CJ67" i="2"/>
  <c r="CI67" i="2"/>
  <c r="CH67" i="2"/>
  <c r="CG67" i="2"/>
  <c r="CK66" i="2"/>
  <c r="CJ66" i="2"/>
  <c r="CI66" i="2"/>
  <c r="CH66" i="2"/>
  <c r="CG66" i="2"/>
  <c r="CK65" i="2"/>
  <c r="CI65" i="2"/>
  <c r="CH65" i="2"/>
  <c r="CG65" i="2"/>
  <c r="BG65" i="2"/>
  <c r="BF65" i="2"/>
  <c r="CJ65" i="2" s="1"/>
  <c r="BE65" i="2"/>
  <c r="BD65" i="2"/>
  <c r="AZ65" i="2"/>
  <c r="AY65" i="2"/>
  <c r="CK64" i="2"/>
  <c r="CJ64" i="2"/>
  <c r="CI64" i="2"/>
  <c r="CH64" i="2"/>
  <c r="CG64" i="2"/>
  <c r="CK62" i="2"/>
  <c r="CJ62" i="2"/>
  <c r="CI62" i="2"/>
  <c r="CH62" i="2"/>
  <c r="CG62" i="2"/>
  <c r="CK61" i="2"/>
  <c r="BI61" i="2"/>
  <c r="BH61" i="2"/>
  <c r="BG61" i="2"/>
  <c r="BF61" i="2"/>
  <c r="BE61" i="2"/>
  <c r="BD61" i="2"/>
  <c r="BC61" i="2"/>
  <c r="BB61" i="2"/>
  <c r="BA61" i="2"/>
  <c r="AZ61" i="2"/>
  <c r="AY61" i="2"/>
  <c r="AX61" i="2"/>
  <c r="AW61" i="2"/>
  <c r="AT61" i="2"/>
  <c r="BL59" i="2"/>
  <c r="BK59" i="2"/>
  <c r="BJ59" i="2"/>
  <c r="CK59" i="2" s="1"/>
  <c r="AV59" i="2"/>
  <c r="AU59" i="2"/>
  <c r="AT59" i="2"/>
  <c r="CG59" i="2" s="1"/>
  <c r="CK58" i="2"/>
  <c r="CG58" i="2"/>
  <c r="BI58" i="2"/>
  <c r="BH58" i="2"/>
  <c r="BG58" i="2"/>
  <c r="BF58" i="2"/>
  <c r="CJ58" i="2" s="1"/>
  <c r="BE58" i="2"/>
  <c r="BD58" i="2"/>
  <c r="BC58" i="2"/>
  <c r="BB58" i="2"/>
  <c r="CI58" i="2" s="1"/>
  <c r="BA58" i="2"/>
  <c r="AZ58" i="2"/>
  <c r="AY58" i="2"/>
  <c r="AX58" i="2"/>
  <c r="CH58" i="2" s="1"/>
  <c r="AW58" i="2"/>
  <c r="CK57" i="2"/>
  <c r="CJ57" i="2"/>
  <c r="CI57" i="2"/>
  <c r="CH57" i="2"/>
  <c r="CG57" i="2"/>
  <c r="CK56" i="2"/>
  <c r="CJ56" i="2"/>
  <c r="CI56" i="2"/>
  <c r="CH56" i="2"/>
  <c r="CG56" i="2"/>
  <c r="CK55" i="2"/>
  <c r="CJ55" i="2"/>
  <c r="CI55" i="2"/>
  <c r="CH55" i="2"/>
  <c r="CG55" i="2"/>
  <c r="CK54" i="2"/>
  <c r="CJ54" i="2"/>
  <c r="CI54" i="2"/>
  <c r="CH54" i="2"/>
  <c r="CG54" i="2"/>
  <c r="CK53" i="2"/>
  <c r="CJ53" i="2"/>
  <c r="CI53" i="2"/>
  <c r="CH53" i="2"/>
  <c r="CG53" i="2"/>
  <c r="CK52" i="2"/>
  <c r="CG52" i="2"/>
  <c r="BI52" i="2"/>
  <c r="BH52" i="2"/>
  <c r="BH74" i="2" s="1"/>
  <c r="BG52" i="2"/>
  <c r="BF52" i="2"/>
  <c r="BE52" i="2"/>
  <c r="BD52" i="2"/>
  <c r="BC52" i="2"/>
  <c r="BC74" i="2" s="1"/>
  <c r="BB52" i="2"/>
  <c r="BA52" i="2"/>
  <c r="BA74" i="2" s="1"/>
  <c r="AZ52" i="2"/>
  <c r="AZ74" i="2" s="1"/>
  <c r="AY52" i="2"/>
  <c r="AX52" i="2"/>
  <c r="AW52" i="2"/>
  <c r="CK51" i="2"/>
  <c r="CJ51" i="2"/>
  <c r="CI51" i="2"/>
  <c r="CH51" i="2"/>
  <c r="CG51" i="2"/>
  <c r="CK50" i="2"/>
  <c r="CJ50" i="2"/>
  <c r="CI50" i="2"/>
  <c r="CH50" i="2"/>
  <c r="CG50" i="2"/>
  <c r="CK49" i="2"/>
  <c r="CJ49" i="2"/>
  <c r="CI49" i="2"/>
  <c r="CH49" i="2"/>
  <c r="CG49" i="2"/>
  <c r="CK48" i="2"/>
  <c r="CJ48" i="2"/>
  <c r="CI48" i="2"/>
  <c r="CH48" i="2"/>
  <c r="CG48" i="2"/>
  <c r="CK47" i="2"/>
  <c r="CL30" i="2" s="1"/>
  <c r="CJ47" i="2"/>
  <c r="CI47" i="2"/>
  <c r="CH47" i="2"/>
  <c r="CG47" i="2"/>
  <c r="AS42" i="2"/>
  <c r="AR42" i="2"/>
  <c r="AQ42" i="2"/>
  <c r="AS41" i="2"/>
  <c r="AR41" i="2"/>
  <c r="AQ41" i="2"/>
  <c r="CK37" i="2"/>
  <c r="CK86" i="2" s="1"/>
  <c r="CJ37" i="2"/>
  <c r="CJ86" i="2" s="1"/>
  <c r="CI37" i="2"/>
  <c r="CI86" i="2" s="1"/>
  <c r="CH37" i="2"/>
  <c r="CH86" i="2" s="1"/>
  <c r="CG37" i="2"/>
  <c r="CG86" i="2" s="1"/>
  <c r="CF37" i="2"/>
  <c r="CF86" i="2" s="1"/>
  <c r="CE37" i="2"/>
  <c r="CE86" i="2" s="1"/>
  <c r="CD37" i="2"/>
  <c r="CD86" i="2" s="1"/>
  <c r="CC37" i="2"/>
  <c r="CC86" i="2" s="1"/>
  <c r="CB37" i="2"/>
  <c r="CB86" i="2" s="1"/>
  <c r="CA37" i="2"/>
  <c r="CA86" i="2" s="1"/>
  <c r="BZ37" i="2"/>
  <c r="BZ86" i="2" s="1"/>
  <c r="BY37" i="2"/>
  <c r="BY86" i="2" s="1"/>
  <c r="BX37" i="2"/>
  <c r="BX86" i="2" s="1"/>
  <c r="BW37" i="2"/>
  <c r="BW86" i="2" s="1"/>
  <c r="CF35" i="2"/>
  <c r="CE35" i="2"/>
  <c r="CD35" i="2"/>
  <c r="CC35" i="2"/>
  <c r="CB35" i="2"/>
  <c r="CA35" i="2"/>
  <c r="BZ35" i="2"/>
  <c r="BY35" i="2"/>
  <c r="BX35" i="2"/>
  <c r="BW35" i="2"/>
  <c r="BJ35" i="2"/>
  <c r="CK35" i="2" s="1"/>
  <c r="BF35" i="2"/>
  <c r="CJ35" i="2" s="1"/>
  <c r="BB35" i="2"/>
  <c r="CI35" i="2" s="1"/>
  <c r="AX35" i="2"/>
  <c r="CH35" i="2" s="1"/>
  <c r="AT35" i="2"/>
  <c r="CG35" i="2" s="1"/>
  <c r="CF34" i="2"/>
  <c r="CE34" i="2"/>
  <c r="CD34" i="2"/>
  <c r="CC34" i="2"/>
  <c r="CB34" i="2"/>
  <c r="CA34" i="2"/>
  <c r="BZ34" i="2"/>
  <c r="BY34" i="2"/>
  <c r="BX34" i="2"/>
  <c r="BW34" i="2"/>
  <c r="BJ34" i="2"/>
  <c r="CK34" i="2" s="1"/>
  <c r="BF34" i="2"/>
  <c r="CJ34" i="2" s="1"/>
  <c r="BB34" i="2"/>
  <c r="CI34" i="2" s="1"/>
  <c r="AX34" i="2"/>
  <c r="CH34" i="2" s="1"/>
  <c r="AT34" i="2"/>
  <c r="CG34" i="2" s="1"/>
  <c r="CF33" i="2"/>
  <c r="CE33" i="2"/>
  <c r="CD33" i="2"/>
  <c r="CC33" i="2"/>
  <c r="CB33" i="2"/>
  <c r="CA33" i="2"/>
  <c r="BZ33" i="2"/>
  <c r="BY33" i="2"/>
  <c r="BX33" i="2"/>
  <c r="BW33" i="2"/>
  <c r="BJ33" i="2"/>
  <c r="CK33" i="2" s="1"/>
  <c r="BF33" i="2"/>
  <c r="CJ33" i="2" s="1"/>
  <c r="BB33" i="2"/>
  <c r="CI33" i="2" s="1"/>
  <c r="AX33" i="2"/>
  <c r="CH33" i="2" s="1"/>
  <c r="AT33" i="2"/>
  <c r="CG33" i="2" s="1"/>
  <c r="BJ31" i="2"/>
  <c r="CK31" i="2" s="1"/>
  <c r="BF31" i="2"/>
  <c r="CJ31" i="2" s="1"/>
  <c r="BB31" i="2"/>
  <c r="CI31" i="2" s="1"/>
  <c r="AX31" i="2"/>
  <c r="CH31" i="2" s="1"/>
  <c r="AT31" i="2"/>
  <c r="CG31" i="2" s="1"/>
  <c r="CF30" i="2"/>
  <c r="CE30" i="2"/>
  <c r="CD30" i="2"/>
  <c r="CC30" i="2"/>
  <c r="CB30" i="2"/>
  <c r="CA30" i="2"/>
  <c r="BZ30" i="2"/>
  <c r="BY30" i="2"/>
  <c r="BX30" i="2"/>
  <c r="BW30" i="2"/>
  <c r="BJ30" i="2"/>
  <c r="CK30" i="2" s="1"/>
  <c r="BF30" i="2"/>
  <c r="CJ30" i="2" s="1"/>
  <c r="BB30" i="2"/>
  <c r="CI30" i="2" s="1"/>
  <c r="AX30" i="2"/>
  <c r="CH30" i="2" s="1"/>
  <c r="AT30" i="2"/>
  <c r="CG30" i="2" s="1"/>
  <c r="CF28" i="2"/>
  <c r="CE28" i="2"/>
  <c r="CD28" i="2"/>
  <c r="CC28" i="2"/>
  <c r="CB28" i="2"/>
  <c r="CA28" i="2"/>
  <c r="BZ28" i="2"/>
  <c r="BY28" i="2"/>
  <c r="BX28" i="2"/>
  <c r="BW28" i="2"/>
  <c r="BL28" i="2"/>
  <c r="BK28" i="2"/>
  <c r="BK29" i="2" s="1"/>
  <c r="BK32" i="2" s="1"/>
  <c r="BH28" i="2"/>
  <c r="BG28" i="2"/>
  <c r="AW28" i="2"/>
  <c r="AV28" i="2"/>
  <c r="AU28" i="2"/>
  <c r="AS28" i="2"/>
  <c r="AR28" i="2"/>
  <c r="AQ28" i="2"/>
  <c r="CF27" i="2"/>
  <c r="CE27" i="2"/>
  <c r="CD27" i="2"/>
  <c r="CC27" i="2"/>
  <c r="CB27" i="2"/>
  <c r="CA27" i="2"/>
  <c r="BZ27" i="2"/>
  <c r="BY27" i="2"/>
  <c r="BX27" i="2"/>
  <c r="BW27" i="2"/>
  <c r="BI27" i="2"/>
  <c r="BJ27" i="2" s="1"/>
  <c r="BE27" i="2"/>
  <c r="BE28" i="2" s="1"/>
  <c r="BD27" i="2"/>
  <c r="BD28" i="2" s="1"/>
  <c r="BC27" i="2"/>
  <c r="BC28" i="2" s="1"/>
  <c r="BA27" i="2"/>
  <c r="BA28" i="2" s="1"/>
  <c r="AZ27" i="2"/>
  <c r="AY27" i="2"/>
  <c r="AY28" i="2" s="1"/>
  <c r="AX27" i="2"/>
  <c r="CH27" i="2" s="1"/>
  <c r="AT27" i="2"/>
  <c r="CG27" i="2" s="1"/>
  <c r="CF26" i="2"/>
  <c r="CE26" i="2"/>
  <c r="CD26" i="2"/>
  <c r="CC26" i="2"/>
  <c r="CB26" i="2"/>
  <c r="CA26" i="2"/>
  <c r="BZ26" i="2"/>
  <c r="BY26" i="2"/>
  <c r="BX26" i="2"/>
  <c r="BW26" i="2"/>
  <c r="BJ26" i="2"/>
  <c r="BF26" i="2"/>
  <c r="CJ26" i="2" s="1"/>
  <c r="BB26" i="2"/>
  <c r="AX26" i="2"/>
  <c r="CH26" i="2" s="1"/>
  <c r="AT26" i="2"/>
  <c r="CG26" i="2" s="1"/>
  <c r="CF25" i="2"/>
  <c r="CE25" i="2"/>
  <c r="CD25" i="2"/>
  <c r="CC25" i="2"/>
  <c r="CB25" i="2"/>
  <c r="CA25" i="2"/>
  <c r="BZ25" i="2"/>
  <c r="BY25" i="2"/>
  <c r="BX25" i="2"/>
  <c r="BW25" i="2"/>
  <c r="BJ25" i="2"/>
  <c r="CK25" i="2" s="1"/>
  <c r="BF25" i="2"/>
  <c r="BB25" i="2"/>
  <c r="CI25" i="2" s="1"/>
  <c r="AX25" i="2"/>
  <c r="AT25" i="2"/>
  <c r="CG25" i="2" s="1"/>
  <c r="AS24" i="2"/>
  <c r="AR24" i="2"/>
  <c r="AR40" i="2" s="1"/>
  <c r="AQ24" i="2"/>
  <c r="AP24" i="2"/>
  <c r="AO24" i="2"/>
  <c r="AO40" i="2" s="1"/>
  <c r="AN24" i="2"/>
  <c r="AM24" i="2"/>
  <c r="AM40" i="2" s="1"/>
  <c r="AL24" i="2"/>
  <c r="AL40" i="2" s="1"/>
  <c r="AK24" i="2"/>
  <c r="AK29" i="2" s="1"/>
  <c r="AJ24" i="2"/>
  <c r="AJ40" i="2" s="1"/>
  <c r="AI24" i="2"/>
  <c r="AH24" i="2"/>
  <c r="AG24" i="2"/>
  <c r="AG40" i="2" s="1"/>
  <c r="AF24" i="2"/>
  <c r="AE24" i="2"/>
  <c r="AE40" i="2" s="1"/>
  <c r="AD24" i="2"/>
  <c r="AD40" i="2" s="1"/>
  <c r="AC24" i="2"/>
  <c r="AC29" i="2" s="1"/>
  <c r="AB24" i="2"/>
  <c r="AB40" i="2" s="1"/>
  <c r="AA24" i="2"/>
  <c r="Z24" i="2"/>
  <c r="Y24" i="2"/>
  <c r="Y40" i="2" s="1"/>
  <c r="X24" i="2"/>
  <c r="W24" i="2"/>
  <c r="W40" i="2" s="1"/>
  <c r="V24" i="2"/>
  <c r="V40" i="2" s="1"/>
  <c r="U24" i="2"/>
  <c r="U29" i="2" s="1"/>
  <c r="T24" i="2"/>
  <c r="T40" i="2" s="1"/>
  <c r="S24" i="2"/>
  <c r="R24" i="2"/>
  <c r="Q24" i="2"/>
  <c r="Q40" i="2" s="1"/>
  <c r="P24" i="2"/>
  <c r="O24" i="2"/>
  <c r="O40" i="2" s="1"/>
  <c r="N24" i="2"/>
  <c r="N40" i="2" s="1"/>
  <c r="M24" i="2"/>
  <c r="M29" i="2" s="1"/>
  <c r="L24" i="2"/>
  <c r="L40" i="2" s="1"/>
  <c r="K24" i="2"/>
  <c r="J24" i="2"/>
  <c r="I24" i="2"/>
  <c r="I40" i="2" s="1"/>
  <c r="H24" i="2"/>
  <c r="G24" i="2"/>
  <c r="G40" i="2" s="1"/>
  <c r="F24" i="2"/>
  <c r="F40" i="2" s="1"/>
  <c r="E24" i="2"/>
  <c r="E29" i="2" s="1"/>
  <c r="D24" i="2"/>
  <c r="D40" i="2" s="1"/>
  <c r="C24" i="2"/>
  <c r="CF23" i="2"/>
  <c r="CE23" i="2"/>
  <c r="CD23" i="2"/>
  <c r="CC23" i="2"/>
  <c r="CB23" i="2"/>
  <c r="CA23" i="2"/>
  <c r="BZ23" i="2"/>
  <c r="BY23" i="2"/>
  <c r="BX23" i="2"/>
  <c r="BW23" i="2"/>
  <c r="BJ23" i="2"/>
  <c r="BJ78" i="2" s="1"/>
  <c r="BF23" i="2"/>
  <c r="BF78" i="2" s="1"/>
  <c r="BB23" i="2"/>
  <c r="BB78" i="2" s="1"/>
  <c r="AX23" i="2"/>
  <c r="AX78" i="2" s="1"/>
  <c r="AT23" i="2"/>
  <c r="AT78" i="2" s="1"/>
  <c r="CF22" i="2"/>
  <c r="CE22" i="2"/>
  <c r="CD22" i="2"/>
  <c r="CC22" i="2"/>
  <c r="CB22" i="2"/>
  <c r="CA22" i="2"/>
  <c r="BZ22" i="2"/>
  <c r="BY22" i="2"/>
  <c r="BX22" i="2"/>
  <c r="BW22" i="2"/>
  <c r="AT22" i="2"/>
  <c r="BL14" i="2"/>
  <c r="BK14" i="2"/>
  <c r="BI14" i="2"/>
  <c r="BH14" i="2"/>
  <c r="BG14" i="2"/>
  <c r="BE14" i="2"/>
  <c r="BD14" i="2"/>
  <c r="BC14" i="2"/>
  <c r="BA14" i="2"/>
  <c r="AZ14" i="2"/>
  <c r="AY14" i="2"/>
  <c r="BL13" i="2"/>
  <c r="BK13" i="2"/>
  <c r="BI13" i="2"/>
  <c r="BH13" i="2"/>
  <c r="BG13" i="2"/>
  <c r="BE13" i="2"/>
  <c r="BD13" i="2"/>
  <c r="BC13" i="2"/>
  <c r="BA13" i="2"/>
  <c r="AZ13" i="2"/>
  <c r="AY13" i="2"/>
  <c r="BL12" i="2"/>
  <c r="BK12" i="2"/>
  <c r="BI12" i="2"/>
  <c r="BH12" i="2"/>
  <c r="BG12" i="2"/>
  <c r="BE12" i="2"/>
  <c r="BD12" i="2"/>
  <c r="BC12" i="2"/>
  <c r="BA12" i="2"/>
  <c r="AZ12" i="2"/>
  <c r="AY12" i="2"/>
  <c r="BL11" i="2"/>
  <c r="BK11" i="2"/>
  <c r="BI11" i="2"/>
  <c r="BH11" i="2"/>
  <c r="BG11" i="2"/>
  <c r="BE11" i="2"/>
  <c r="BD11" i="2"/>
  <c r="BC11" i="2"/>
  <c r="BA11" i="2"/>
  <c r="AZ11" i="2"/>
  <c r="AY11" i="2"/>
  <c r="BL9" i="2"/>
  <c r="BL20" i="2" s="1"/>
  <c r="BK9" i="2"/>
  <c r="BK22" i="2" s="1"/>
  <c r="BI9" i="2"/>
  <c r="BH9" i="2"/>
  <c r="BH18" i="2" s="1"/>
  <c r="BG9" i="2"/>
  <c r="BG17" i="2" s="1"/>
  <c r="BE9" i="2"/>
  <c r="BE19" i="2" s="1"/>
  <c r="BD9" i="2"/>
  <c r="BD20" i="2" s="1"/>
  <c r="BC9" i="2"/>
  <c r="BC22" i="2" s="1"/>
  <c r="BA9" i="2"/>
  <c r="BA18" i="2" s="1"/>
  <c r="AZ9" i="2"/>
  <c r="AZ20" i="2" s="1"/>
  <c r="AY9" i="2"/>
  <c r="AY17" i="2" s="1"/>
  <c r="AW9" i="2"/>
  <c r="AW22" i="2" s="1"/>
  <c r="AV9" i="2"/>
  <c r="AV20" i="2" s="1"/>
  <c r="AU9" i="2"/>
  <c r="AU22" i="2" s="1"/>
  <c r="AU77" i="2" s="1"/>
  <c r="BJ8" i="2"/>
  <c r="BF8" i="2"/>
  <c r="CJ8" i="2" s="1"/>
  <c r="BB8" i="2"/>
  <c r="AX8" i="2"/>
  <c r="BL7" i="2"/>
  <c r="BK7" i="2"/>
  <c r="BI7" i="2"/>
  <c r="BH7" i="2"/>
  <c r="BG7" i="2"/>
  <c r="BE7" i="2"/>
  <c r="BD7" i="2"/>
  <c r="BC7" i="2"/>
  <c r="BA7" i="2"/>
  <c r="AZ7" i="2"/>
  <c r="AY7" i="2"/>
  <c r="AW7" i="2"/>
  <c r="AV7" i="2"/>
  <c r="AU7" i="2"/>
  <c r="BJ6" i="2"/>
  <c r="BF6" i="2"/>
  <c r="CJ6" i="2" s="1"/>
  <c r="BB6" i="2"/>
  <c r="CI6" i="2" s="1"/>
  <c r="AX6" i="2"/>
  <c r="CH6" i="2" s="1"/>
  <c r="BJ5" i="2"/>
  <c r="BJ12" i="2" s="1"/>
  <c r="BF5" i="2"/>
  <c r="BB5" i="2"/>
  <c r="CI5" i="2" s="1"/>
  <c r="AX5" i="2"/>
  <c r="CH5" i="2" s="1"/>
  <c r="BJ4" i="2"/>
  <c r="BF4" i="2"/>
  <c r="BB4" i="2"/>
  <c r="CI4" i="2" s="1"/>
  <c r="AX4" i="2"/>
  <c r="BX3" i="2"/>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AY74" i="2" l="1"/>
  <c r="BG74" i="2"/>
  <c r="BA76" i="2"/>
  <c r="BA75" i="2"/>
  <c r="BI76" i="2"/>
  <c r="BI75" i="2"/>
  <c r="CA85" i="2"/>
  <c r="CI85" i="2"/>
  <c r="CI87" i="2" s="1"/>
  <c r="BI74" i="2"/>
  <c r="BC76" i="2"/>
  <c r="BC75" i="2"/>
  <c r="BB75" i="2"/>
  <c r="BB76" i="2"/>
  <c r="CI52" i="2"/>
  <c r="BB74" i="2"/>
  <c r="AT74" i="2"/>
  <c r="AT76" i="2"/>
  <c r="AT75" i="2"/>
  <c r="BD75" i="2"/>
  <c r="BD76" i="2"/>
  <c r="AW70" i="2"/>
  <c r="AW72" i="2" s="1"/>
  <c r="AW76" i="2"/>
  <c r="AW75" i="2"/>
  <c r="BE70" i="2"/>
  <c r="BE72" i="2" s="1"/>
  <c r="BE76" i="2"/>
  <c r="BE75" i="2"/>
  <c r="CG22" i="2"/>
  <c r="CG77" i="2" s="1"/>
  <c r="AT77" i="2"/>
  <c r="BD59" i="2"/>
  <c r="BD74" i="2"/>
  <c r="AX70" i="2"/>
  <c r="CH70" i="2" s="1"/>
  <c r="AX75" i="2"/>
  <c r="AX76" i="2"/>
  <c r="CJ61" i="2"/>
  <c r="BF75" i="2"/>
  <c r="BF76" i="2"/>
  <c r="BX85" i="2"/>
  <c r="BX87" i="2" s="1"/>
  <c r="CF85" i="2"/>
  <c r="AW59" i="2"/>
  <c r="AW77" i="2" s="1"/>
  <c r="AW74" i="2"/>
  <c r="BE59" i="2"/>
  <c r="BE74" i="2"/>
  <c r="AY76" i="2"/>
  <c r="AY75" i="2"/>
  <c r="BG70" i="2"/>
  <c r="BG72" i="2" s="1"/>
  <c r="BG75" i="2"/>
  <c r="BG76" i="2"/>
  <c r="G87" i="2"/>
  <c r="O87" i="2"/>
  <c r="W87" i="2"/>
  <c r="AE87" i="2"/>
  <c r="AM87" i="2"/>
  <c r="AU87" i="2"/>
  <c r="BC87" i="2"/>
  <c r="BK87" i="2"/>
  <c r="BK77" i="2"/>
  <c r="AX59" i="2"/>
  <c r="CH59" i="2" s="1"/>
  <c r="AX74" i="2"/>
  <c r="BF59" i="2"/>
  <c r="CJ59" i="2" s="1"/>
  <c r="BF74" i="2"/>
  <c r="AZ75" i="2"/>
  <c r="AZ76" i="2"/>
  <c r="BH75" i="2"/>
  <c r="BH76" i="2"/>
  <c r="J87" i="2"/>
  <c r="R87" i="2"/>
  <c r="Z87" i="2"/>
  <c r="AH87" i="2"/>
  <c r="AP87" i="2"/>
  <c r="AX87" i="2"/>
  <c r="BF87" i="2"/>
  <c r="BY85" i="2"/>
  <c r="BY87" i="2" s="1"/>
  <c r="CG85" i="2"/>
  <c r="BD70" i="2"/>
  <c r="BD72" i="2" s="1"/>
  <c r="AY70" i="2"/>
  <c r="AY72" i="2" s="1"/>
  <c r="CC85" i="2"/>
  <c r="BJ13" i="2"/>
  <c r="AS29" i="2"/>
  <c r="CD85" i="2"/>
  <c r="D87" i="2"/>
  <c r="L87" i="2"/>
  <c r="T87" i="2"/>
  <c r="AB87" i="2"/>
  <c r="AJ87" i="2"/>
  <c r="AR87" i="2"/>
  <c r="AZ87" i="2"/>
  <c r="BH87" i="2"/>
  <c r="CP51" i="2"/>
  <c r="E87" i="2"/>
  <c r="M87" i="2"/>
  <c r="U87" i="2"/>
  <c r="AC87" i="2"/>
  <c r="AK87" i="2"/>
  <c r="AS87" i="2"/>
  <c r="BA87" i="2"/>
  <c r="BI87" i="2"/>
  <c r="BI18" i="2"/>
  <c r="BM15" i="2"/>
  <c r="BF11" i="2"/>
  <c r="BZ85" i="2"/>
  <c r="CH85" i="2"/>
  <c r="CB85" i="2"/>
  <c r="CB87" i="2" s="1"/>
  <c r="CJ85" i="2"/>
  <c r="C87" i="2"/>
  <c r="K87" i="2"/>
  <c r="S87" i="2"/>
  <c r="AA87" i="2"/>
  <c r="AI87" i="2"/>
  <c r="AQ87" i="2"/>
  <c r="AY87" i="2"/>
  <c r="BG87" i="2"/>
  <c r="CK76" i="2"/>
  <c r="BJ11" i="2"/>
  <c r="CJ4" i="2"/>
  <c r="CK4" i="2"/>
  <c r="BF14" i="2"/>
  <c r="BA17" i="2"/>
  <c r="BI19" i="2"/>
  <c r="CC41" i="2"/>
  <c r="CB42" i="2"/>
  <c r="BF27" i="2"/>
  <c r="CJ27" i="2" s="1"/>
  <c r="F29" i="2"/>
  <c r="F43" i="2" s="1"/>
  <c r="AB29" i="2"/>
  <c r="CK85" i="2"/>
  <c r="CK87" i="2" s="1"/>
  <c r="BF12" i="2"/>
  <c r="BB7" i="2"/>
  <c r="CI7" i="2" s="1"/>
  <c r="BJ7" i="2"/>
  <c r="CK7" i="2" s="1"/>
  <c r="BB11" i="2"/>
  <c r="BH17" i="2"/>
  <c r="BA20" i="2"/>
  <c r="CI23" i="2"/>
  <c r="CI78" i="2" s="1"/>
  <c r="CK27" i="2"/>
  <c r="I29" i="2"/>
  <c r="AD29" i="2"/>
  <c r="AD43" i="2" s="1"/>
  <c r="AT70" i="2"/>
  <c r="AT72" i="2" s="1"/>
  <c r="CG72" i="2" s="1"/>
  <c r="CK6" i="2"/>
  <c r="BI17" i="2"/>
  <c r="AT28" i="2"/>
  <c r="CG28" i="2" s="1"/>
  <c r="BJ28" i="2"/>
  <c r="L29" i="2"/>
  <c r="AG29" i="2"/>
  <c r="CJ75" i="2"/>
  <c r="CJ5" i="2"/>
  <c r="AV19" i="2"/>
  <c r="BD22" i="2"/>
  <c r="BX41" i="2"/>
  <c r="CF41" i="2"/>
  <c r="BW42" i="2"/>
  <c r="CE42" i="2"/>
  <c r="N29" i="2"/>
  <c r="N43" i="2" s="1"/>
  <c r="AJ29" i="2"/>
  <c r="AJ43" i="2" s="1"/>
  <c r="CF87" i="2"/>
  <c r="CK5" i="2"/>
  <c r="CL5" i="2" s="1"/>
  <c r="AW19" i="2"/>
  <c r="BG22" i="2"/>
  <c r="Q29" i="2"/>
  <c r="Q43" i="2" s="1"/>
  <c r="AL29" i="2"/>
  <c r="AL43" i="2" s="1"/>
  <c r="BB70" i="2"/>
  <c r="BF7" i="2"/>
  <c r="CJ7" i="2" s="1"/>
  <c r="BA19" i="2"/>
  <c r="T29" i="2"/>
  <c r="T43" i="2" s="1"/>
  <c r="AO29" i="2"/>
  <c r="AO43" i="2" s="1"/>
  <c r="BE15" i="2"/>
  <c r="BD19" i="2"/>
  <c r="CA41" i="2"/>
  <c r="AT42" i="2"/>
  <c r="V29" i="2"/>
  <c r="V43" i="2" s="1"/>
  <c r="AR29" i="2"/>
  <c r="AR43" i="2" s="1"/>
  <c r="CG61" i="2"/>
  <c r="CG76" i="2" s="1"/>
  <c r="BF13" i="2"/>
  <c r="AZ17" i="2"/>
  <c r="CB24" i="2"/>
  <c r="CB40" i="2" s="1"/>
  <c r="CB41" i="2"/>
  <c r="CA42" i="2"/>
  <c r="D29" i="2"/>
  <c r="D43" i="2" s="1"/>
  <c r="Y29" i="2"/>
  <c r="Y43" i="2" s="1"/>
  <c r="K198" i="3"/>
  <c r="K202" i="3"/>
  <c r="K199" i="3"/>
  <c r="P216" i="3"/>
  <c r="P215" i="3"/>
  <c r="CI13" i="2"/>
  <c r="CJ13" i="2"/>
  <c r="CI12" i="2"/>
  <c r="CJ12" i="2"/>
  <c r="AU42" i="2"/>
  <c r="AU24" i="2"/>
  <c r="AU41" i="2"/>
  <c r="BK18" i="2"/>
  <c r="E43" i="2"/>
  <c r="E32" i="2"/>
  <c r="AK43" i="2"/>
  <c r="AK32" i="2"/>
  <c r="AW41" i="2"/>
  <c r="AW42" i="2"/>
  <c r="AW24" i="2"/>
  <c r="BE20" i="2"/>
  <c r="BE22" i="2"/>
  <c r="BE77" i="2" s="1"/>
  <c r="BB12" i="2"/>
  <c r="AY15" i="2"/>
  <c r="BG15" i="2"/>
  <c r="AV18" i="2"/>
  <c r="BD18" i="2"/>
  <c r="BL18" i="2"/>
  <c r="AT24" i="2"/>
  <c r="CG24" i="2" s="1"/>
  <c r="BH22" i="2"/>
  <c r="BY24" i="2"/>
  <c r="BY40" i="2" s="1"/>
  <c r="CJ25" i="2"/>
  <c r="CI26" i="2"/>
  <c r="E40" i="2"/>
  <c r="BC42" i="2"/>
  <c r="BC41" i="2"/>
  <c r="BC24" i="2"/>
  <c r="AX28" i="2"/>
  <c r="CH28" i="2" s="1"/>
  <c r="CH25" i="2"/>
  <c r="BG24" i="2"/>
  <c r="CJ23" i="2"/>
  <c r="CJ78" i="2" s="1"/>
  <c r="M43" i="2"/>
  <c r="M32" i="2"/>
  <c r="BW24" i="2"/>
  <c r="BW40" i="2" s="1"/>
  <c r="AX9" i="2"/>
  <c r="AX22" i="2" s="1"/>
  <c r="AX77" i="2" s="1"/>
  <c r="BF9" i="2"/>
  <c r="BF19" i="2" s="1"/>
  <c r="BB13" i="2"/>
  <c r="AZ15" i="2"/>
  <c r="BH15" i="2"/>
  <c r="AU17" i="2"/>
  <c r="BC17" i="2"/>
  <c r="BK17" i="2"/>
  <c r="AW18" i="2"/>
  <c r="BE18" i="2"/>
  <c r="AY19" i="2"/>
  <c r="BG19" i="2"/>
  <c r="AU20" i="2"/>
  <c r="BG20" i="2"/>
  <c r="AV22" i="2"/>
  <c r="AV77" i="2" s="1"/>
  <c r="BI22" i="2"/>
  <c r="V32" i="2"/>
  <c r="M40" i="2"/>
  <c r="AU18" i="2"/>
  <c r="AS43" i="2"/>
  <c r="AS32" i="2"/>
  <c r="CH8" i="2"/>
  <c r="BB14" i="2"/>
  <c r="BJ14" i="2"/>
  <c r="BA15" i="2"/>
  <c r="BI15" i="2"/>
  <c r="AV17" i="2"/>
  <c r="BD17" i="2"/>
  <c r="BL17" i="2"/>
  <c r="AZ19" i="2"/>
  <c r="BH19" i="2"/>
  <c r="AW20" i="2"/>
  <c r="BH20" i="2"/>
  <c r="AY22" i="2"/>
  <c r="AY77" i="2" s="1"/>
  <c r="H29" i="2"/>
  <c r="H40" i="2"/>
  <c r="P29" i="2"/>
  <c r="P40" i="2"/>
  <c r="BZ24" i="2"/>
  <c r="BZ40" i="2" s="1"/>
  <c r="X29" i="2"/>
  <c r="X40" i="2"/>
  <c r="AF29" i="2"/>
  <c r="AF40" i="2"/>
  <c r="AN29" i="2"/>
  <c r="AN40" i="2"/>
  <c r="CE24" i="2"/>
  <c r="CE40" i="2" s="1"/>
  <c r="U40" i="2"/>
  <c r="BK42" i="2"/>
  <c r="BK40" i="2"/>
  <c r="BC18" i="2"/>
  <c r="BC20" i="2"/>
  <c r="U43" i="2"/>
  <c r="U32" i="2"/>
  <c r="AX7" i="2"/>
  <c r="CH7" i="2" s="1"/>
  <c r="CI8" i="2"/>
  <c r="CJ15" i="2" s="1"/>
  <c r="CJ11" i="2"/>
  <c r="AW17" i="2"/>
  <c r="BE17" i="2"/>
  <c r="AY18" i="2"/>
  <c r="BG18" i="2"/>
  <c r="BI20" i="2"/>
  <c r="AZ22" i="2"/>
  <c r="BL22" i="2"/>
  <c r="BL77" i="2" s="1"/>
  <c r="BB27" i="2"/>
  <c r="BB28" i="2" s="1"/>
  <c r="AZ28" i="2"/>
  <c r="F32" i="2"/>
  <c r="AO32" i="2"/>
  <c r="BK44" i="2"/>
  <c r="BK36" i="2"/>
  <c r="AC40" i="2"/>
  <c r="AC43" i="2"/>
  <c r="AC32" i="2"/>
  <c r="CH4" i="2"/>
  <c r="CI11" i="2" s="1"/>
  <c r="BC15" i="2"/>
  <c r="BK15" i="2"/>
  <c r="AZ18" i="2"/>
  <c r="BK19" i="2"/>
  <c r="AY20" i="2"/>
  <c r="BK20" i="2"/>
  <c r="BA22" i="2"/>
  <c r="CK23" i="2"/>
  <c r="CK78" i="2" s="1"/>
  <c r="J29" i="2"/>
  <c r="J40" i="2"/>
  <c r="R29" i="2"/>
  <c r="R40" i="2"/>
  <c r="Z29" i="2"/>
  <c r="Z40" i="2"/>
  <c r="AH29" i="2"/>
  <c r="AH40" i="2"/>
  <c r="AP29" i="2"/>
  <c r="AP40" i="2"/>
  <c r="BY41" i="2"/>
  <c r="AR32" i="2"/>
  <c r="AK40" i="2"/>
  <c r="BJ72" i="2"/>
  <c r="CK72" i="2" s="1"/>
  <c r="CK70" i="2"/>
  <c r="CK8" i="2"/>
  <c r="CL8" i="2" s="1"/>
  <c r="CM8" i="2" s="1"/>
  <c r="BB9" i="2"/>
  <c r="BB19" i="2" s="1"/>
  <c r="BJ9" i="2"/>
  <c r="BJ19" i="2" s="1"/>
  <c r="BD15" i="2"/>
  <c r="BL15" i="2"/>
  <c r="AU19" i="2"/>
  <c r="BC19" i="2"/>
  <c r="BL19" i="2"/>
  <c r="CH23" i="2"/>
  <c r="CH78" i="2" s="1"/>
  <c r="C29" i="2"/>
  <c r="C40" i="2"/>
  <c r="K29" i="2"/>
  <c r="K40" i="2"/>
  <c r="S29" i="2"/>
  <c r="S40" i="2"/>
  <c r="CA24" i="2"/>
  <c r="CA40" i="2" s="1"/>
  <c r="AA29" i="2"/>
  <c r="AA40" i="2"/>
  <c r="CC24" i="2"/>
  <c r="CC40" i="2" s="1"/>
  <c r="AI29" i="2"/>
  <c r="AI40" i="2"/>
  <c r="AQ29" i="2"/>
  <c r="AQ40" i="2"/>
  <c r="BZ41" i="2"/>
  <c r="BY42" i="2"/>
  <c r="D32" i="2"/>
  <c r="AS40" i="2"/>
  <c r="BK41" i="2"/>
  <c r="CD41" i="2"/>
  <c r="BZ42" i="2"/>
  <c r="G29" i="2"/>
  <c r="O29" i="2"/>
  <c r="W29" i="2"/>
  <c r="AE29" i="2"/>
  <c r="AM29" i="2"/>
  <c r="BK43" i="2"/>
  <c r="AT41" i="2"/>
  <c r="CJ76" i="2"/>
  <c r="CK75" i="2"/>
  <c r="CA87" i="2"/>
  <c r="BW41" i="2"/>
  <c r="CE41" i="2"/>
  <c r="BI28" i="2"/>
  <c r="CK28" i="2" s="1"/>
  <c r="CJ87" i="2"/>
  <c r="AX72" i="2"/>
  <c r="CH72" i="2" s="1"/>
  <c r="CC87" i="2"/>
  <c r="CG23" i="2"/>
  <c r="CG78" i="2" s="1"/>
  <c r="CC42" i="2"/>
  <c r="CK26" i="2"/>
  <c r="CD87" i="2"/>
  <c r="CD24" i="2"/>
  <c r="CD40" i="2" s="1"/>
  <c r="CD42" i="2"/>
  <c r="AZ70" i="2"/>
  <c r="AZ72" i="2" s="1"/>
  <c r="BH70" i="2"/>
  <c r="BH72" i="2" s="1"/>
  <c r="BB72" i="2"/>
  <c r="CI72" i="2" s="1"/>
  <c r="CI70" i="2"/>
  <c r="BW87" i="2"/>
  <c r="CE87" i="2"/>
  <c r="BX24" i="2"/>
  <c r="BX40" i="2" s="1"/>
  <c r="CF24" i="2"/>
  <c r="CF40" i="2" s="1"/>
  <c r="BX42" i="2"/>
  <c r="CF42" i="2"/>
  <c r="CG87" i="2"/>
  <c r="CH52" i="2"/>
  <c r="CJ52" i="2"/>
  <c r="CJ74" i="2" s="1"/>
  <c r="CG74" i="2"/>
  <c r="BZ87" i="2"/>
  <c r="CH87" i="2"/>
  <c r="BA70" i="2"/>
  <c r="BA72" i="2" s="1"/>
  <c r="BI70" i="2"/>
  <c r="BI72" i="2" s="1"/>
  <c r="AY59" i="2"/>
  <c r="BG59" i="2"/>
  <c r="BC70" i="2"/>
  <c r="BC72" i="2" s="1"/>
  <c r="AZ59" i="2"/>
  <c r="BH59" i="2"/>
  <c r="BA59" i="2"/>
  <c r="BI59" i="2"/>
  <c r="CH61" i="2"/>
  <c r="CH75" i="2" s="1"/>
  <c r="BB59" i="2"/>
  <c r="CI59" i="2" s="1"/>
  <c r="CI61" i="2"/>
  <c r="CI74" i="2" s="1"/>
  <c r="BF70" i="2"/>
  <c r="CK74" i="2"/>
  <c r="BC59" i="2"/>
  <c r="BC77" i="2" s="1"/>
  <c r="C5" i="1"/>
  <c r="T32" i="2" l="1"/>
  <c r="T44" i="2" s="1"/>
  <c r="BG77" i="2"/>
  <c r="BA77" i="2"/>
  <c r="CG41" i="2"/>
  <c r="BG41" i="2"/>
  <c r="BD41" i="2"/>
  <c r="BD77" i="2"/>
  <c r="Y32" i="2"/>
  <c r="AD32" i="2"/>
  <c r="AD36" i="2" s="1"/>
  <c r="BK80" i="2"/>
  <c r="BK79" i="2"/>
  <c r="AZ77" i="2"/>
  <c r="BI77" i="2"/>
  <c r="BH77" i="2"/>
  <c r="BG42" i="2"/>
  <c r="CG42" i="2"/>
  <c r="Q32" i="2"/>
  <c r="Q36" i="2" s="1"/>
  <c r="CG40" i="2"/>
  <c r="CG70" i="2"/>
  <c r="AL32" i="2"/>
  <c r="AL36" i="2" s="1"/>
  <c r="N32" i="2"/>
  <c r="BF28" i="2"/>
  <c r="CJ28" i="2" s="1"/>
  <c r="CJ14" i="2"/>
  <c r="CH22" i="2"/>
  <c r="CH42" i="2" s="1"/>
  <c r="CK13" i="2"/>
  <c r="CL6" i="2"/>
  <c r="CL7" i="2" s="1"/>
  <c r="CK11" i="2"/>
  <c r="CL4" i="2"/>
  <c r="BD42" i="2"/>
  <c r="BF18" i="2"/>
  <c r="CJ9" i="2"/>
  <c r="CJ20" i="2" s="1"/>
  <c r="CN8" i="2"/>
  <c r="BD24" i="2"/>
  <c r="BD29" i="2" s="1"/>
  <c r="BF20" i="2"/>
  <c r="CO51" i="2"/>
  <c r="CR51" i="2" s="1"/>
  <c r="CM5" i="2"/>
  <c r="C8" i="1"/>
  <c r="AJ32" i="2"/>
  <c r="AJ36" i="2" s="1"/>
  <c r="CK12" i="2"/>
  <c r="CI28" i="2"/>
  <c r="CH77" i="2"/>
  <c r="CK14" i="2"/>
  <c r="AG43" i="2"/>
  <c r="AG32" i="2"/>
  <c r="BJ17" i="2"/>
  <c r="L43" i="2"/>
  <c r="L32" i="2"/>
  <c r="I43" i="2"/>
  <c r="I32" i="2"/>
  <c r="CH74" i="2"/>
  <c r="CI9" i="2"/>
  <c r="CI19" i="2" s="1"/>
  <c r="CI14" i="2"/>
  <c r="CI75" i="2"/>
  <c r="AB43" i="2"/>
  <c r="AB32" i="2"/>
  <c r="CH76" i="2"/>
  <c r="CG75" i="2"/>
  <c r="M216" i="3"/>
  <c r="M277" i="3"/>
  <c r="M253" i="3"/>
  <c r="M225" i="3"/>
  <c r="M276" i="3"/>
  <c r="M272" i="3"/>
  <c r="M268" i="3"/>
  <c r="M264" i="3"/>
  <c r="M260" i="3"/>
  <c r="M256" i="3"/>
  <c r="M252" i="3"/>
  <c r="M248" i="3"/>
  <c r="M244" i="3"/>
  <c r="M240" i="3"/>
  <c r="M236" i="3"/>
  <c r="M232" i="3"/>
  <c r="M228" i="3"/>
  <c r="M224" i="3"/>
  <c r="M221" i="3"/>
  <c r="M213" i="3"/>
  <c r="P210" i="3"/>
  <c r="M265" i="3"/>
  <c r="M245" i="3"/>
  <c r="M233" i="3"/>
  <c r="M218" i="3"/>
  <c r="M210" i="3"/>
  <c r="M222" i="3"/>
  <c r="M261" i="3"/>
  <c r="M237" i="3"/>
  <c r="M275" i="3"/>
  <c r="M271" i="3"/>
  <c r="M267" i="3"/>
  <c r="M263" i="3"/>
  <c r="M259" i="3"/>
  <c r="M255" i="3"/>
  <c r="M251" i="3"/>
  <c r="M247" i="3"/>
  <c r="M243" i="3"/>
  <c r="M239" i="3"/>
  <c r="M235" i="3"/>
  <c r="M231" i="3"/>
  <c r="M227" i="3"/>
  <c r="M223" i="3"/>
  <c r="M215" i="3"/>
  <c r="M214" i="3"/>
  <c r="M269" i="3"/>
  <c r="M249" i="3"/>
  <c r="M229" i="3"/>
  <c r="M211" i="3"/>
  <c r="M220" i="3"/>
  <c r="M212" i="3"/>
  <c r="P209" i="3"/>
  <c r="M273" i="3"/>
  <c r="M241" i="3"/>
  <c r="M219" i="3"/>
  <c r="M274" i="3"/>
  <c r="M270" i="3"/>
  <c r="M266" i="3"/>
  <c r="M262" i="3"/>
  <c r="M258" i="3"/>
  <c r="M254" i="3"/>
  <c r="M250" i="3"/>
  <c r="M246" i="3"/>
  <c r="M242" i="3"/>
  <c r="M238" i="3"/>
  <c r="M234" i="3"/>
  <c r="M230" i="3"/>
  <c r="M226" i="3"/>
  <c r="M217" i="3"/>
  <c r="M209" i="3"/>
  <c r="M257" i="3"/>
  <c r="P213" i="3"/>
  <c r="P217" i="3"/>
  <c r="P220" i="3"/>
  <c r="P219" i="3"/>
  <c r="P212" i="3"/>
  <c r="P221" i="3"/>
  <c r="P211" i="3"/>
  <c r="P222" i="3"/>
  <c r="P218" i="3"/>
  <c r="P214" i="3"/>
  <c r="CI76" i="2"/>
  <c r="AP43" i="2"/>
  <c r="AP32" i="2"/>
  <c r="J43" i="2"/>
  <c r="J32" i="2"/>
  <c r="H43" i="2"/>
  <c r="H32" i="2"/>
  <c r="BC40" i="2"/>
  <c r="BC29" i="2"/>
  <c r="CH9" i="2"/>
  <c r="CH17" i="2" s="1"/>
  <c r="AK44" i="2"/>
  <c r="AK36" i="2"/>
  <c r="AU40" i="2"/>
  <c r="AU29" i="2"/>
  <c r="C43" i="2"/>
  <c r="C32" i="2"/>
  <c r="BW29" i="2"/>
  <c r="BW43" i="2" s="1"/>
  <c r="AR44" i="2"/>
  <c r="AR36" i="2"/>
  <c r="AF32" i="2"/>
  <c r="AF43" i="2"/>
  <c r="BF22" i="2"/>
  <c r="BF77" i="2" s="1"/>
  <c r="BF15" i="2"/>
  <c r="M44" i="2"/>
  <c r="M36" i="2"/>
  <c r="AX19" i="2"/>
  <c r="BE42" i="2"/>
  <c r="BE41" i="2"/>
  <c r="BE24" i="2"/>
  <c r="AM43" i="2"/>
  <c r="CF29" i="2"/>
  <c r="CF43" i="2" s="1"/>
  <c r="AM32" i="2"/>
  <c r="AD44" i="2"/>
  <c r="AX24" i="2"/>
  <c r="AX17" i="2"/>
  <c r="AE43" i="2"/>
  <c r="CD29" i="2"/>
  <c r="CD43" i="2" s="1"/>
  <c r="AE32" i="2"/>
  <c r="BJ15" i="2"/>
  <c r="BJ18" i="2"/>
  <c r="BJ22" i="2"/>
  <c r="BK45" i="2"/>
  <c r="BK82" i="2"/>
  <c r="BK38" i="2"/>
  <c r="CI27" i="2"/>
  <c r="X32" i="2"/>
  <c r="X43" i="2"/>
  <c r="AX18" i="2"/>
  <c r="AV41" i="2"/>
  <c r="AV42" i="2"/>
  <c r="AV24" i="2"/>
  <c r="BJ20" i="2"/>
  <c r="N44" i="2"/>
  <c r="N36" i="2"/>
  <c r="BH42" i="2"/>
  <c r="BH41" i="2"/>
  <c r="BH24" i="2"/>
  <c r="U44" i="2"/>
  <c r="U36" i="2"/>
  <c r="BI41" i="2"/>
  <c r="BI42" i="2"/>
  <c r="BI24" i="2"/>
  <c r="E44" i="2"/>
  <c r="E36" i="2"/>
  <c r="W43" i="2"/>
  <c r="W32" i="2"/>
  <c r="CB29" i="2"/>
  <c r="CB43" i="2" s="1"/>
  <c r="BB22" i="2"/>
  <c r="BB18" i="2"/>
  <c r="BB15" i="2"/>
  <c r="BB17" i="2"/>
  <c r="Z43" i="2"/>
  <c r="Z32" i="2"/>
  <c r="BL41" i="2"/>
  <c r="BL42" i="2"/>
  <c r="BL24" i="2"/>
  <c r="AJ44" i="2"/>
  <c r="AT40" i="2"/>
  <c r="AT29" i="2"/>
  <c r="CG29" i="2" s="1"/>
  <c r="CG43" i="2" s="1"/>
  <c r="AW40" i="2"/>
  <c r="AW29" i="2"/>
  <c r="AA43" i="2"/>
  <c r="AA32" i="2"/>
  <c r="CC29" i="2"/>
  <c r="CC43" i="2" s="1"/>
  <c r="AH43" i="2"/>
  <c r="AH32" i="2"/>
  <c r="BA42" i="2"/>
  <c r="BA41" i="2"/>
  <c r="BA24" i="2"/>
  <c r="Q44" i="2"/>
  <c r="O43" i="2"/>
  <c r="BZ29" i="2"/>
  <c r="BZ43" i="2" s="1"/>
  <c r="O32" i="2"/>
  <c r="Y44" i="2"/>
  <c r="Y36" i="2"/>
  <c r="AQ43" i="2"/>
  <c r="AQ32" i="2"/>
  <c r="S43" i="2"/>
  <c r="CA29" i="2"/>
  <c r="CA43" i="2" s="1"/>
  <c r="S32" i="2"/>
  <c r="CK15" i="2"/>
  <c r="AC44" i="2"/>
  <c r="AC36" i="2"/>
  <c r="AO36" i="2"/>
  <c r="AO44" i="2"/>
  <c r="AZ42" i="2"/>
  <c r="AZ41" i="2"/>
  <c r="AZ24" i="2"/>
  <c r="CK9" i="2"/>
  <c r="AY42" i="2"/>
  <c r="AY41" i="2"/>
  <c r="AY24" i="2"/>
  <c r="AX42" i="2"/>
  <c r="V44" i="2"/>
  <c r="V36" i="2"/>
  <c r="BG29" i="2"/>
  <c r="BG40" i="2"/>
  <c r="AX41" i="2"/>
  <c r="BB20" i="2"/>
  <c r="BF17" i="2"/>
  <c r="CJ70" i="2"/>
  <c r="BF72" i="2"/>
  <c r="CJ72" i="2" s="1"/>
  <c r="G43" i="2"/>
  <c r="BX29" i="2"/>
  <c r="BX43" i="2" s="1"/>
  <c r="G32" i="2"/>
  <c r="D44" i="2"/>
  <c r="D36" i="2"/>
  <c r="R43" i="2"/>
  <c r="R32" i="2"/>
  <c r="T36" i="2"/>
  <c r="CI15" i="2"/>
  <c r="P43" i="2"/>
  <c r="P32" i="2"/>
  <c r="AS44" i="2"/>
  <c r="AS36" i="2"/>
  <c r="AL44" i="2"/>
  <c r="AI43" i="2"/>
  <c r="AI32" i="2"/>
  <c r="CE29" i="2"/>
  <c r="CE43" i="2" s="1"/>
  <c r="K43" i="2"/>
  <c r="BY29" i="2"/>
  <c r="BY43" i="2" s="1"/>
  <c r="K32" i="2"/>
  <c r="F44" i="2"/>
  <c r="F36" i="2"/>
  <c r="AN32" i="2"/>
  <c r="AN43" i="2"/>
  <c r="AX20" i="2"/>
  <c r="CI22" i="2" l="1"/>
  <c r="CI42" i="2" s="1"/>
  <c r="BB77" i="2"/>
  <c r="CJ18" i="2"/>
  <c r="CK22" i="2"/>
  <c r="CK41" i="2" s="1"/>
  <c r="BJ77" i="2"/>
  <c r="CJ19" i="2"/>
  <c r="BD40" i="2"/>
  <c r="CH41" i="2"/>
  <c r="CH20" i="2"/>
  <c r="CJ17" i="2"/>
  <c r="CL9" i="2"/>
  <c r="CL19" i="2" s="1"/>
  <c r="CM4" i="2"/>
  <c r="CN5" i="2"/>
  <c r="CM6" i="2"/>
  <c r="CM7" i="2" s="1"/>
  <c r="CO8" i="2"/>
  <c r="CI18" i="2"/>
  <c r="CI20" i="2"/>
  <c r="AG44" i="2"/>
  <c r="AG36" i="2"/>
  <c r="CI17" i="2"/>
  <c r="I44" i="2"/>
  <c r="I36" i="2"/>
  <c r="AB44" i="2"/>
  <c r="AB36" i="2"/>
  <c r="L44" i="2"/>
  <c r="L36" i="2"/>
  <c r="AQ44" i="2"/>
  <c r="AQ36" i="2"/>
  <c r="AE44" i="2"/>
  <c r="AE36" i="2"/>
  <c r="CD32" i="2"/>
  <c r="CD44" i="2" s="1"/>
  <c r="CD31" i="2"/>
  <c r="AM44" i="2"/>
  <c r="AM36" i="2"/>
  <c r="CF31" i="2"/>
  <c r="CF32" i="2"/>
  <c r="CF44" i="2" s="1"/>
  <c r="AF44" i="2"/>
  <c r="AF36" i="2"/>
  <c r="AU43" i="2"/>
  <c r="AU32" i="2"/>
  <c r="H44" i="2"/>
  <c r="H36" i="2"/>
  <c r="AS45" i="2"/>
  <c r="AS82" i="2"/>
  <c r="AS38" i="2"/>
  <c r="R44" i="2"/>
  <c r="R36" i="2"/>
  <c r="BG43" i="2"/>
  <c r="BG32" i="2"/>
  <c r="AC45" i="2"/>
  <c r="AC82" i="2"/>
  <c r="AC38" i="2"/>
  <c r="AA44" i="2"/>
  <c r="AA36" i="2"/>
  <c r="CC31" i="2"/>
  <c r="CC32" i="2"/>
  <c r="CC44" i="2" s="1"/>
  <c r="W44" i="2"/>
  <c r="W36" i="2"/>
  <c r="CB32" i="2"/>
  <c r="CB44" i="2" s="1"/>
  <c r="CB31" i="2"/>
  <c r="N45" i="2"/>
  <c r="N82" i="2"/>
  <c r="N38" i="2"/>
  <c r="AR82" i="2"/>
  <c r="AR45" i="2"/>
  <c r="AR38" i="2"/>
  <c r="AO45" i="2"/>
  <c r="AO82" i="2"/>
  <c r="AO38" i="2"/>
  <c r="CK17" i="2"/>
  <c r="CK18" i="2"/>
  <c r="CK19" i="2"/>
  <c r="BA29" i="2"/>
  <c r="BA40" i="2"/>
  <c r="Z44" i="2"/>
  <c r="Z36" i="2"/>
  <c r="U45" i="2"/>
  <c r="U82" i="2"/>
  <c r="U38" i="2"/>
  <c r="X44" i="2"/>
  <c r="X36" i="2"/>
  <c r="AK45" i="2"/>
  <c r="AK82" i="2"/>
  <c r="AK38" i="2"/>
  <c r="J44" i="2"/>
  <c r="J36" i="2"/>
  <c r="AN44" i="2"/>
  <c r="AN36" i="2"/>
  <c r="P44" i="2"/>
  <c r="P36" i="2"/>
  <c r="AZ40" i="2"/>
  <c r="AZ29" i="2"/>
  <c r="CK20" i="2"/>
  <c r="Y45" i="2"/>
  <c r="Y82" i="2"/>
  <c r="Y38" i="2"/>
  <c r="AJ82" i="2"/>
  <c r="AJ38" i="2"/>
  <c r="AJ45" i="2"/>
  <c r="M45" i="2"/>
  <c r="M82" i="2"/>
  <c r="M38" i="2"/>
  <c r="AI44" i="2"/>
  <c r="AI36" i="2"/>
  <c r="CE31" i="2"/>
  <c r="CE32" i="2"/>
  <c r="CE44" i="2" s="1"/>
  <c r="V45" i="2"/>
  <c r="V82" i="2"/>
  <c r="V38" i="2"/>
  <c r="F45" i="2"/>
  <c r="F38" i="2"/>
  <c r="F82" i="2"/>
  <c r="BD32" i="2"/>
  <c r="BD43" i="2"/>
  <c r="AW43" i="2"/>
  <c r="AW32" i="2"/>
  <c r="E45" i="2"/>
  <c r="E82" i="2"/>
  <c r="E38" i="2"/>
  <c r="BH40" i="2"/>
  <c r="BH29" i="2"/>
  <c r="AV29" i="2"/>
  <c r="AV40" i="2"/>
  <c r="AX29" i="2"/>
  <c r="AX40" i="2"/>
  <c r="BE40" i="2"/>
  <c r="BE29" i="2"/>
  <c r="C44" i="2"/>
  <c r="C36" i="2"/>
  <c r="BW32" i="2"/>
  <c r="BW44" i="2" s="1"/>
  <c r="BW31" i="2"/>
  <c r="CH18" i="2"/>
  <c r="CH19" i="2"/>
  <c r="AP44" i="2"/>
  <c r="AP36" i="2"/>
  <c r="Q45" i="2"/>
  <c r="Q82" i="2"/>
  <c r="Q38" i="2"/>
  <c r="D82" i="2"/>
  <c r="D38" i="2"/>
  <c r="D45" i="2"/>
  <c r="CI77" i="2"/>
  <c r="CI41" i="2"/>
  <c r="S44" i="2"/>
  <c r="CA31" i="2"/>
  <c r="CA32" i="2"/>
  <c r="CA44" i="2" s="1"/>
  <c r="S36" i="2"/>
  <c r="O44" i="2"/>
  <c r="O36" i="2"/>
  <c r="BZ32" i="2"/>
  <c r="BZ44" i="2" s="1"/>
  <c r="BZ31" i="2"/>
  <c r="BJ24" i="2"/>
  <c r="CK24" i="2" s="1"/>
  <c r="BJ42" i="2"/>
  <c r="BJ41" i="2"/>
  <c r="K44" i="2"/>
  <c r="BY31" i="2"/>
  <c r="K36" i="2"/>
  <c r="BY32" i="2"/>
  <c r="BY44" i="2" s="1"/>
  <c r="AY29" i="2"/>
  <c r="AY40" i="2"/>
  <c r="AH44" i="2"/>
  <c r="AH36" i="2"/>
  <c r="AT43" i="2"/>
  <c r="AT32" i="2"/>
  <c r="CG32" i="2" s="1"/>
  <c r="CG44" i="2" s="1"/>
  <c r="BL29" i="2"/>
  <c r="BL40" i="2"/>
  <c r="BI29" i="2"/>
  <c r="BI40" i="2"/>
  <c r="AD45" i="2"/>
  <c r="AD82" i="2"/>
  <c r="AD38" i="2"/>
  <c r="BF24" i="2"/>
  <c r="CJ24" i="2" s="1"/>
  <c r="BF41" i="2"/>
  <c r="BF42" i="2"/>
  <c r="CJ22" i="2"/>
  <c r="BC43" i="2"/>
  <c r="BC32" i="2"/>
  <c r="AL45" i="2"/>
  <c r="AL82" i="2"/>
  <c r="AL38" i="2"/>
  <c r="T82" i="2"/>
  <c r="T38" i="2"/>
  <c r="T45" i="2"/>
  <c r="G44" i="2"/>
  <c r="G36" i="2"/>
  <c r="BX31" i="2"/>
  <c r="BX32" i="2"/>
  <c r="BX44" i="2" s="1"/>
  <c r="BB24" i="2"/>
  <c r="CI24" i="2" s="1"/>
  <c r="CI40" i="2" s="1"/>
  <c r="BB42" i="2"/>
  <c r="BB41" i="2"/>
  <c r="CH24" i="2"/>
  <c r="CH40" i="2" s="1"/>
  <c r="CL17" i="2" l="1"/>
  <c r="CK77" i="2"/>
  <c r="CK42" i="2"/>
  <c r="CK40" i="2"/>
  <c r="CO5" i="2"/>
  <c r="CN6" i="2"/>
  <c r="CM9" i="2"/>
  <c r="CM17" i="2" s="1"/>
  <c r="CN4" i="2"/>
  <c r="CP8" i="2"/>
  <c r="CL20" i="2"/>
  <c r="CL15" i="2"/>
  <c r="CL22" i="2"/>
  <c r="CL18" i="2"/>
  <c r="CH29" i="2"/>
  <c r="CH43" i="2" s="1"/>
  <c r="CJ40" i="2"/>
  <c r="AB82" i="2"/>
  <c r="AB38" i="2"/>
  <c r="AB45" i="2"/>
  <c r="I82" i="2"/>
  <c r="I38" i="2"/>
  <c r="I45" i="2"/>
  <c r="AG45" i="2"/>
  <c r="AG82" i="2"/>
  <c r="AG38" i="2"/>
  <c r="L38" i="2"/>
  <c r="L45" i="2"/>
  <c r="L82" i="2"/>
  <c r="AP45" i="2"/>
  <c r="AP82" i="2"/>
  <c r="AP38" i="2"/>
  <c r="R45" i="2"/>
  <c r="R82" i="2"/>
  <c r="R38" i="2"/>
  <c r="CJ77" i="2"/>
  <c r="CJ42" i="2"/>
  <c r="CJ41" i="2"/>
  <c r="O45" i="2"/>
  <c r="O82" i="2"/>
  <c r="BZ36" i="2"/>
  <c r="BZ45" i="2" s="1"/>
  <c r="O38" i="2"/>
  <c r="BE43" i="2"/>
  <c r="BE32" i="2"/>
  <c r="J45" i="2"/>
  <c r="J82" i="2"/>
  <c r="J38" i="2"/>
  <c r="AA82" i="2"/>
  <c r="AA45" i="2"/>
  <c r="AA38" i="2"/>
  <c r="CC36" i="2"/>
  <c r="CC45" i="2" s="1"/>
  <c r="AU44" i="2"/>
  <c r="AU36" i="2"/>
  <c r="AX43" i="2"/>
  <c r="AX32" i="2"/>
  <c r="AW44" i="2"/>
  <c r="AW36" i="2"/>
  <c r="AZ43" i="2"/>
  <c r="AZ32" i="2"/>
  <c r="Z45" i="2"/>
  <c r="Z82" i="2"/>
  <c r="Z38" i="2"/>
  <c r="AF45" i="2"/>
  <c r="AF82" i="2"/>
  <c r="AF38" i="2"/>
  <c r="AE45" i="2"/>
  <c r="AE82" i="2"/>
  <c r="CD36" i="2"/>
  <c r="CD45" i="2" s="1"/>
  <c r="AE38" i="2"/>
  <c r="K82" i="2"/>
  <c r="K45" i="2"/>
  <c r="K38" i="2"/>
  <c r="BY36" i="2"/>
  <c r="BY45" i="2" s="1"/>
  <c r="BI43" i="2"/>
  <c r="BI32" i="2"/>
  <c r="AY43" i="2"/>
  <c r="AY32" i="2"/>
  <c r="S82" i="2"/>
  <c r="CA82" i="2" s="1"/>
  <c r="S45" i="2"/>
  <c r="S38" i="2"/>
  <c r="CA38" i="2" s="1"/>
  <c r="CA36" i="2"/>
  <c r="CA45" i="2" s="1"/>
  <c r="BF29" i="2"/>
  <c r="BF40" i="2"/>
  <c r="BL32" i="2"/>
  <c r="BL43" i="2"/>
  <c r="AV32" i="2"/>
  <c r="AV43" i="2"/>
  <c r="P45" i="2"/>
  <c r="P82" i="2"/>
  <c r="P38" i="2"/>
  <c r="W45" i="2"/>
  <c r="W82" i="2"/>
  <c r="W38" i="2"/>
  <c r="CB36" i="2"/>
  <c r="CB45" i="2" s="1"/>
  <c r="BB40" i="2"/>
  <c r="BB29" i="2"/>
  <c r="G45" i="2"/>
  <c r="G82" i="2"/>
  <c r="G38" i="2"/>
  <c r="BX36" i="2"/>
  <c r="BX45" i="2" s="1"/>
  <c r="AT36" i="2"/>
  <c r="AT44" i="2"/>
  <c r="BJ40" i="2"/>
  <c r="BJ29" i="2"/>
  <c r="C82" i="2"/>
  <c r="BW82" i="2" s="1"/>
  <c r="C45" i="2"/>
  <c r="C38" i="2"/>
  <c r="BW38" i="2" s="1"/>
  <c r="BW36" i="2"/>
  <c r="BW45" i="2" s="1"/>
  <c r="BH43" i="2"/>
  <c r="BH32" i="2"/>
  <c r="BD44" i="2"/>
  <c r="BD36" i="2"/>
  <c r="X45" i="2"/>
  <c r="X82" i="2"/>
  <c r="X38" i="2"/>
  <c r="BA43" i="2"/>
  <c r="BA32" i="2"/>
  <c r="H45" i="2"/>
  <c r="H82" i="2"/>
  <c r="H38" i="2"/>
  <c r="AQ82" i="2"/>
  <c r="AQ45" i="2"/>
  <c r="AQ38" i="2"/>
  <c r="AH45" i="2"/>
  <c r="AH82" i="2"/>
  <c r="AH38" i="2"/>
  <c r="BC44" i="2"/>
  <c r="BC36" i="2"/>
  <c r="AI82" i="2"/>
  <c r="CE82" i="2" s="1"/>
  <c r="AI45" i="2"/>
  <c r="AI38" i="2"/>
  <c r="CE38" i="2" s="1"/>
  <c r="CE36" i="2"/>
  <c r="CE45" i="2" s="1"/>
  <c r="AN45" i="2"/>
  <c r="AN82" i="2"/>
  <c r="AN38" i="2"/>
  <c r="BG44" i="2"/>
  <c r="BG36" i="2"/>
  <c r="AM45" i="2"/>
  <c r="AM82" i="2"/>
  <c r="AM38" i="2"/>
  <c r="CF36" i="2"/>
  <c r="CF45" i="2" s="1"/>
  <c r="AW80" i="2" l="1"/>
  <c r="AW79" i="2"/>
  <c r="BG80" i="2"/>
  <c r="BG79" i="2"/>
  <c r="BC79" i="2"/>
  <c r="BC80" i="2"/>
  <c r="BD79" i="2"/>
  <c r="BD80" i="2"/>
  <c r="CG36" i="2"/>
  <c r="AT79" i="2"/>
  <c r="AT80" i="2"/>
  <c r="AU80" i="2"/>
  <c r="AU79" i="2"/>
  <c r="CM15" i="2"/>
  <c r="CM22" i="2"/>
  <c r="CM20" i="2"/>
  <c r="CM18" i="2"/>
  <c r="CL25" i="2"/>
  <c r="CL23" i="2"/>
  <c r="CL24" i="2" s="1"/>
  <c r="CL26" i="2"/>
  <c r="CM19" i="2"/>
  <c r="CO6" i="2"/>
  <c r="CO7" i="2" s="1"/>
  <c r="CO4" i="2"/>
  <c r="CP5" i="2"/>
  <c r="BY82" i="2"/>
  <c r="CQ8" i="2"/>
  <c r="CN7" i="2"/>
  <c r="CN9" i="2" s="1"/>
  <c r="CC38" i="2"/>
  <c r="BY38" i="2"/>
  <c r="CC82" i="2"/>
  <c r="BX38" i="2"/>
  <c r="CD82" i="2"/>
  <c r="BX82" i="2"/>
  <c r="BI44" i="2"/>
  <c r="BI36" i="2"/>
  <c r="BB43" i="2"/>
  <c r="BB32" i="2"/>
  <c r="AW45" i="2"/>
  <c r="AW82" i="2"/>
  <c r="AW38" i="2"/>
  <c r="BZ38" i="2"/>
  <c r="BE44" i="2"/>
  <c r="BE36" i="2"/>
  <c r="CF82" i="2"/>
  <c r="AU45" i="2"/>
  <c r="AU82" i="2"/>
  <c r="AU38" i="2"/>
  <c r="AZ44" i="2"/>
  <c r="AZ36" i="2"/>
  <c r="CF38" i="2"/>
  <c r="AX36" i="2"/>
  <c r="AX44" i="2"/>
  <c r="BZ82" i="2"/>
  <c r="BD45" i="2"/>
  <c r="BD82" i="2"/>
  <c r="BD38" i="2"/>
  <c r="BH44" i="2"/>
  <c r="BH36" i="2"/>
  <c r="CG45" i="2"/>
  <c r="CG80" i="2"/>
  <c r="CG79" i="2"/>
  <c r="BA44" i="2"/>
  <c r="BA36" i="2"/>
  <c r="AT45" i="2"/>
  <c r="AT82" i="2"/>
  <c r="CG82" i="2" s="1"/>
  <c r="AT38" i="2"/>
  <c r="CG38" i="2" s="1"/>
  <c r="CB38" i="2"/>
  <c r="AY44" i="2"/>
  <c r="CI32" i="2"/>
  <c r="CI44" i="2" s="1"/>
  <c r="AY36" i="2"/>
  <c r="BC45" i="2"/>
  <c r="BC82" i="2"/>
  <c r="BC38" i="2"/>
  <c r="BF43" i="2"/>
  <c r="BF32" i="2"/>
  <c r="CJ29" i="2"/>
  <c r="CJ43" i="2" s="1"/>
  <c r="BJ43" i="2"/>
  <c r="BJ32" i="2"/>
  <c r="CK29" i="2"/>
  <c r="CK43" i="2" s="1"/>
  <c r="AV44" i="2"/>
  <c r="AV36" i="2"/>
  <c r="BG82" i="2"/>
  <c r="BG45" i="2"/>
  <c r="BG38" i="2"/>
  <c r="CB82" i="2"/>
  <c r="BL44" i="2"/>
  <c r="BL36" i="2"/>
  <c r="CI29" i="2"/>
  <c r="CI43" i="2" s="1"/>
  <c r="CD38" i="2"/>
  <c r="CH32" i="2"/>
  <c r="CH44" i="2" s="1"/>
  <c r="BA80" i="2" l="1"/>
  <c r="BA79" i="2"/>
  <c r="AY80" i="2"/>
  <c r="AY79" i="2"/>
  <c r="AX80" i="2"/>
  <c r="AX79" i="2"/>
  <c r="BE80" i="2"/>
  <c r="BE79" i="2"/>
  <c r="BI80" i="2"/>
  <c r="BI79" i="2"/>
  <c r="BL79" i="2"/>
  <c r="BL80" i="2"/>
  <c r="BH80" i="2"/>
  <c r="BH79" i="2"/>
  <c r="AV79" i="2"/>
  <c r="AV80" i="2"/>
  <c r="AZ80" i="2"/>
  <c r="AZ79" i="2"/>
  <c r="CN15" i="2"/>
  <c r="CN22" i="2"/>
  <c r="CN20" i="2"/>
  <c r="CN18" i="2"/>
  <c r="CN19" i="2"/>
  <c r="CN17" i="2"/>
  <c r="CQ5" i="2"/>
  <c r="CL28" i="2"/>
  <c r="CL29" i="2" s="1"/>
  <c r="CP4" i="2"/>
  <c r="CO9" i="2"/>
  <c r="CR8" i="2"/>
  <c r="CM25" i="2"/>
  <c r="CM23" i="2"/>
  <c r="CM24" i="2" s="1"/>
  <c r="CM26" i="2"/>
  <c r="CP6" i="2"/>
  <c r="CP7" i="2" s="1"/>
  <c r="BL45" i="2"/>
  <c r="BL82" i="2"/>
  <c r="BL38" i="2"/>
  <c r="BA45" i="2"/>
  <c r="BA82" i="2"/>
  <c r="BA38" i="2"/>
  <c r="AX45" i="2"/>
  <c r="AX82" i="2"/>
  <c r="AX38" i="2"/>
  <c r="AV45" i="2"/>
  <c r="AV82" i="2"/>
  <c r="AV38" i="2"/>
  <c r="AZ82" i="2"/>
  <c r="AZ38" i="2"/>
  <c r="AZ45" i="2"/>
  <c r="BE45" i="2"/>
  <c r="BE82" i="2"/>
  <c r="BE38" i="2"/>
  <c r="BB36" i="2"/>
  <c r="BB44" i="2"/>
  <c r="BF36" i="2"/>
  <c r="BF44" i="2"/>
  <c r="CJ32" i="2"/>
  <c r="CJ44" i="2" s="1"/>
  <c r="BJ36" i="2"/>
  <c r="BJ44" i="2"/>
  <c r="AY82" i="2"/>
  <c r="AY45" i="2"/>
  <c r="AY38" i="2"/>
  <c r="CK32" i="2"/>
  <c r="CK44" i="2" s="1"/>
  <c r="CH36" i="2"/>
  <c r="BI45" i="2"/>
  <c r="BI82" i="2"/>
  <c r="BI38" i="2"/>
  <c r="BH82" i="2"/>
  <c r="BH38" i="2"/>
  <c r="BH45" i="2"/>
  <c r="BF80" i="2" l="1"/>
  <c r="BF79" i="2"/>
  <c r="CI36" i="2"/>
  <c r="BB79" i="2"/>
  <c r="BB80" i="2"/>
  <c r="BJ79" i="2"/>
  <c r="BJ80" i="2"/>
  <c r="CH82" i="2"/>
  <c r="CM28" i="2"/>
  <c r="CM29" i="2" s="1"/>
  <c r="CM43" i="2" s="1"/>
  <c r="CR5" i="2"/>
  <c r="CS8" i="2"/>
  <c r="CO17" i="2"/>
  <c r="CO15" i="2"/>
  <c r="CO22" i="2"/>
  <c r="CO20" i="2"/>
  <c r="CO18" i="2"/>
  <c r="CO19" i="2"/>
  <c r="CP9" i="2"/>
  <c r="CP19" i="2" s="1"/>
  <c r="CQ4" i="2"/>
  <c r="CQ6" i="2"/>
  <c r="CM51" i="2"/>
  <c r="CL43" i="2"/>
  <c r="CN25" i="2"/>
  <c r="CN26" i="2"/>
  <c r="CN23" i="2"/>
  <c r="CN24" i="2" s="1"/>
  <c r="CH38" i="2"/>
  <c r="CI80" i="2"/>
  <c r="CI79" i="2"/>
  <c r="CI45" i="2"/>
  <c r="BJ45" i="2"/>
  <c r="BJ82" i="2"/>
  <c r="CK82" i="2" s="1"/>
  <c r="BJ38" i="2"/>
  <c r="CK38" i="2" s="1"/>
  <c r="CK36" i="2"/>
  <c r="BF45" i="2"/>
  <c r="BF82" i="2"/>
  <c r="CJ82" i="2" s="1"/>
  <c r="BF38" i="2"/>
  <c r="CJ38" i="2" s="1"/>
  <c r="CJ36" i="2"/>
  <c r="CH80" i="2"/>
  <c r="CH79" i="2"/>
  <c r="CH45" i="2"/>
  <c r="BB45" i="2"/>
  <c r="BB82" i="2"/>
  <c r="CI82" i="2" s="1"/>
  <c r="BB38" i="2"/>
  <c r="CI38" i="2" s="1"/>
  <c r="CR6" i="2" l="1"/>
  <c r="CP17" i="2"/>
  <c r="CP15" i="2"/>
  <c r="CP22" i="2"/>
  <c r="CP20" i="2"/>
  <c r="CP18" i="2"/>
  <c r="CT8" i="2"/>
  <c r="CN28" i="2"/>
  <c r="CN29" i="2" s="1"/>
  <c r="CN43" i="2" s="1"/>
  <c r="CO26" i="2"/>
  <c r="CO25" i="2"/>
  <c r="CO28" i="2" s="1"/>
  <c r="CO23" i="2"/>
  <c r="CO24" i="2" s="1"/>
  <c r="CR4" i="2"/>
  <c r="CQ7" i="2"/>
  <c r="CQ9" i="2" s="1"/>
  <c r="CS5" i="2"/>
  <c r="CR7" i="2"/>
  <c r="CK80" i="2"/>
  <c r="CK79" i="2"/>
  <c r="CK45" i="2"/>
  <c r="CJ80" i="2"/>
  <c r="CJ79" i="2"/>
  <c r="CJ45" i="2"/>
  <c r="CO29" i="2" l="1"/>
  <c r="CO43" i="2" s="1"/>
  <c r="CQ19" i="2"/>
  <c r="CQ17" i="2"/>
  <c r="CS4" i="2"/>
  <c r="CR9" i="2"/>
  <c r="CT5" i="2"/>
  <c r="CU8" i="2"/>
  <c r="CQ15" i="2"/>
  <c r="CQ22" i="2"/>
  <c r="CQ20" i="2"/>
  <c r="CQ18" i="2"/>
  <c r="CP26" i="2"/>
  <c r="CP25" i="2"/>
  <c r="CP28" i="2" s="1"/>
  <c r="CP23" i="2"/>
  <c r="CP24" i="2" s="1"/>
  <c r="CS6" i="2"/>
  <c r="CR19" i="2"/>
  <c r="CM52" i="2"/>
  <c r="CL32" i="2"/>
  <c r="CL33" i="2" s="1"/>
  <c r="CL36" i="2" s="1"/>
  <c r="CT6" i="2" l="1"/>
  <c r="CT7" i="2" s="1"/>
  <c r="CS7" i="2"/>
  <c r="CU5" i="2"/>
  <c r="CR17" i="2"/>
  <c r="CR22" i="2"/>
  <c r="CR15" i="2"/>
  <c r="CR20" i="2"/>
  <c r="CR18" i="2"/>
  <c r="CP29" i="2"/>
  <c r="CP43" i="2" s="1"/>
  <c r="CQ25" i="2"/>
  <c r="CQ23" i="2"/>
  <c r="CQ24" i="2" s="1"/>
  <c r="CQ26" i="2"/>
  <c r="CS9" i="2"/>
  <c r="CS19" i="2" s="1"/>
  <c r="CT4" i="2"/>
  <c r="CL47" i="2"/>
  <c r="CM30" i="2" s="1"/>
  <c r="CM32" i="2" s="1"/>
  <c r="CL45" i="2"/>
  <c r="CQ28" i="2" l="1"/>
  <c r="CQ29" i="2" s="1"/>
  <c r="CQ43" i="2" s="1"/>
  <c r="CT9" i="2"/>
  <c r="CU4" i="2"/>
  <c r="CS17" i="2"/>
  <c r="CS22" i="2"/>
  <c r="CS15" i="2"/>
  <c r="CS20" i="2"/>
  <c r="CS18" i="2"/>
  <c r="CR26" i="2"/>
  <c r="CR25" i="2"/>
  <c r="CR23" i="2"/>
  <c r="CR24" i="2" s="1"/>
  <c r="CU6" i="2"/>
  <c r="CT19" i="2"/>
  <c r="CM33" i="2"/>
  <c r="CM36" i="2" s="1"/>
  <c r="CR28" i="2" l="1"/>
  <c r="CR29" i="2" s="1"/>
  <c r="CR43" i="2" s="1"/>
  <c r="CS26" i="2"/>
  <c r="CS25" i="2"/>
  <c r="CS23" i="2"/>
  <c r="CS24" i="2" s="1"/>
  <c r="CU9" i="2"/>
  <c r="CU19" i="2" s="1"/>
  <c r="CT17" i="2"/>
  <c r="CT15" i="2"/>
  <c r="CT22" i="2"/>
  <c r="CT20" i="2"/>
  <c r="CT18" i="2"/>
  <c r="CU7" i="2"/>
  <c r="CM47" i="2"/>
  <c r="CM45" i="2"/>
  <c r="CS28" i="2" l="1"/>
  <c r="CS29" i="2" s="1"/>
  <c r="CS43" i="2" s="1"/>
  <c r="CU17" i="2"/>
  <c r="CU22" i="2"/>
  <c r="CU15" i="2"/>
  <c r="CU20" i="2"/>
  <c r="CU18" i="2"/>
  <c r="CT23" i="2"/>
  <c r="CT24" i="2" s="1"/>
  <c r="CT25" i="2"/>
  <c r="CT26" i="2"/>
  <c r="CN30" i="2"/>
  <c r="CN32" i="2" s="1"/>
  <c r="CT28" i="2" l="1"/>
  <c r="CT29" i="2" s="1"/>
  <c r="CT43" i="2" s="1"/>
  <c r="CU23" i="2"/>
  <c r="CU24" i="2" s="1"/>
  <c r="CU26" i="2"/>
  <c r="CU25" i="2"/>
  <c r="CU28" i="2" s="1"/>
  <c r="CN33" i="2"/>
  <c r="CN36" i="2" s="1"/>
  <c r="CU29" i="2" l="1"/>
  <c r="CU43" i="2" s="1"/>
  <c r="CN45" i="2"/>
  <c r="CN47" i="2"/>
  <c r="CO30" i="2" l="1"/>
  <c r="CO32" i="2" s="1"/>
  <c r="CO33" i="2" l="1"/>
  <c r="CO36" i="2" s="1"/>
  <c r="CO45" i="2" l="1"/>
  <c r="CO47" i="2"/>
  <c r="CP30" i="2" l="1"/>
  <c r="CP32" i="2" s="1"/>
  <c r="CP33" i="2" l="1"/>
  <c r="CP36" i="2" s="1"/>
  <c r="CP45" i="2" l="1"/>
  <c r="CP47" i="2"/>
  <c r="CQ30" i="2" l="1"/>
  <c r="CQ32" i="2" s="1"/>
  <c r="CQ33" i="2" l="1"/>
  <c r="CQ36" i="2" s="1"/>
  <c r="CQ45" i="2" l="1"/>
  <c r="CQ47" i="2"/>
  <c r="CR30" i="2" l="1"/>
  <c r="CR32" i="2" s="1"/>
  <c r="CR33" i="2" l="1"/>
  <c r="CR36" i="2" s="1"/>
  <c r="CR45" i="2" l="1"/>
  <c r="CR47" i="2"/>
  <c r="CS30" i="2" l="1"/>
  <c r="CS32" i="2" s="1"/>
  <c r="CS33" i="2" l="1"/>
  <c r="CS36" i="2" s="1"/>
  <c r="CS45" i="2" l="1"/>
  <c r="CS47" i="2"/>
  <c r="CT30" i="2" l="1"/>
  <c r="CT32" i="2" s="1"/>
  <c r="CT33" i="2" l="1"/>
  <c r="CT36" i="2" s="1"/>
  <c r="CT45" i="2" l="1"/>
  <c r="CT47" i="2"/>
  <c r="CU30" i="2" l="1"/>
  <c r="CU32" i="2" s="1"/>
  <c r="CU33" i="2" l="1"/>
  <c r="CU36" i="2" s="1"/>
  <c r="CV36" i="2" s="1"/>
  <c r="CW36" i="2" s="1"/>
  <c r="CX36" i="2" s="1"/>
  <c r="CY36" i="2" s="1"/>
  <c r="CZ36" i="2" s="1"/>
  <c r="DA36" i="2" s="1"/>
  <c r="DB36" i="2" s="1"/>
  <c r="DC36" i="2" s="1"/>
  <c r="DD36" i="2" s="1"/>
  <c r="DE36" i="2" s="1"/>
  <c r="DF36" i="2" s="1"/>
  <c r="DG36" i="2" s="1"/>
  <c r="DH36" i="2" s="1"/>
  <c r="DI36" i="2" s="1"/>
  <c r="DJ36" i="2" s="1"/>
  <c r="DK36" i="2" s="1"/>
  <c r="DL36" i="2" s="1"/>
  <c r="DM36" i="2" s="1"/>
  <c r="DN36" i="2" s="1"/>
  <c r="DO36" i="2" s="1"/>
  <c r="DP36" i="2" s="1"/>
  <c r="DQ36" i="2" s="1"/>
  <c r="DR36" i="2" s="1"/>
  <c r="DS36" i="2" s="1"/>
  <c r="DT36" i="2" s="1"/>
  <c r="DU36" i="2" s="1"/>
  <c r="DV36" i="2" s="1"/>
  <c r="DW36" i="2" s="1"/>
  <c r="DX36" i="2" s="1"/>
  <c r="DY36" i="2" s="1"/>
  <c r="DZ36" i="2" s="1"/>
  <c r="EA36" i="2" s="1"/>
  <c r="EB36" i="2" s="1"/>
  <c r="EC36" i="2" s="1"/>
  <c r="ED36" i="2" s="1"/>
  <c r="EE36" i="2" s="1"/>
  <c r="EF36" i="2" s="1"/>
  <c r="EG36" i="2" s="1"/>
  <c r="EH36" i="2" s="1"/>
  <c r="EI36" i="2" s="1"/>
  <c r="EJ36" i="2" s="1"/>
  <c r="EK36" i="2" s="1"/>
  <c r="EL36" i="2" s="1"/>
  <c r="EM36" i="2" s="1"/>
  <c r="EN36" i="2" s="1"/>
  <c r="EO36" i="2" s="1"/>
  <c r="EP36" i="2" s="1"/>
  <c r="EQ36" i="2" s="1"/>
  <c r="ER36" i="2" s="1"/>
  <c r="ES36" i="2" s="1"/>
  <c r="CU56" i="2" s="1"/>
  <c r="CU45" i="2" l="1"/>
  <c r="CU58" i="2"/>
  <c r="CU60" i="2" s="1"/>
  <c r="CU47" i="2"/>
  <c r="CV60" i="2" l="1"/>
  <c r="CT61" i="2" a="1"/>
  <c r="CT6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<sst xmlns="http://schemas.openxmlformats.org/spreadsheetml/2006/main" count="1832" uniqueCount="1782">
  <si>
    <t xml:space="preserve">Price </t>
  </si>
  <si>
    <t>SO</t>
  </si>
  <si>
    <t>MC</t>
  </si>
  <si>
    <t>Cash</t>
  </si>
  <si>
    <t>Debt</t>
  </si>
  <si>
    <t>EV</t>
  </si>
  <si>
    <t>Investor Relations Contact:</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</si>
  <si>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</si>
  <si>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</si>
  <si>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</si>
  <si>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</si>
  <si>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</si>
  <si>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</si>
  <si>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</si>
  <si>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</si>
  <si>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</si>
  <si>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</si>
  <si>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</si>
  <si>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</si>
  <si>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</si>
  <si>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</si>
  <si>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</si>
  <si>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</si>
  <si>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</si>
  <si>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</si>
  <si>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</si>
  <si>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</si>
  <si>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</si>
  <si>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</si>
  <si>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</si>
  <si>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</si>
  <si>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</si>
  <si>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</si>
  <si>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t>[look up]</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</si>
  <si>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</si>
  <si>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</si>
  <si>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</si>
  <si>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</si>
  <si>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</si>
  <si>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</si>
  <si>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</si>
  <si>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</si>
  <si>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</si>
  <si>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</si>
  <si>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</si>
  <si>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</si>
  <si>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</si>
  <si>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</si>
  <si>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</si>
  <si>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</si>
  <si>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</si>
  <si>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</si>
  <si>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</si>
  <si>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</si>
  <si>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</si>
  <si>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</si>
  <si>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</si>
  <si>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</si>
  <si>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</si>
  <si>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</si>
  <si>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</si>
  <si>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</si>
  <si>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</si>
  <si>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</si>
  <si>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</si>
  <si>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</si>
  <si>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</si>
  <si>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</si>
  <si>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</si>
  <si>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</si>
  <si>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</si>
  <si>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</si>
  <si>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</si>
  <si>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</si>
  <si>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</si>
  <si>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</si>
  <si>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</si>
  <si>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</si>
  <si>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</si>
  <si>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</si>
  <si>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</si>
  <si>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</si>
  <si>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</si>
  <si>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</si>
  <si>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</si>
  <si>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</si>
  <si>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</si>
  <si>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</si>
  <si>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</si>
  <si>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</si>
  <si>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</si>
  <si>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</si>
  <si>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</si>
  <si>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</si>
  <si>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</si>
  <si>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</si>
  <si>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</si>
  <si>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</si>
  <si>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</si>
  <si>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</si>
  <si>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</si>
  <si>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</si>
  <si>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</si>
  <si>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</si>
  <si>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</si>
  <si>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</si>
  <si>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</si>
  <si>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</si>
  <si>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</si>
  <si>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</si>
  <si>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</si>
  <si>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</si>
  <si>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</si>
  <si>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</si>
  <si>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</si>
  <si>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</si>
  <si>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</si>
  <si>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</si>
  <si>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</si>
  <si>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</si>
  <si>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</si>
  <si>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</si>
  <si>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</si>
  <si>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</si>
  <si>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</si>
  <si>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</si>
  <si>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</si>
  <si>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</si>
  <si>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</si>
  <si>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</si>
  <si>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</si>
  <si>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</si>
  <si>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</si>
  <si>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</si>
  <si>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</si>
  <si>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</si>
  <si>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</si>
  <si>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</si>
  <si>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</si>
  <si>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</si>
  <si>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</si>
  <si>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</si>
  <si>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</si>
  <si>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</si>
  <si>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</si>
  <si>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</si>
  <si>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</si>
  <si>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</si>
  <si>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</si>
  <si>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</si>
  <si>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</si>
  <si>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</si>
  <si>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</si>
  <si>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</si>
  <si>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https://seekingalpha.com/symbol/GOOGL/earnings/transcripts</t>
  </si>
  <si>
    <t>Equity Analysis</t>
  </si>
  <si>
    <t>https://app.godelterminal.com/</t>
  </si>
  <si>
    <t>Investors Relation Department</t>
  </si>
  <si>
    <t>Business Segments and Geographical Info:</t>
  </si>
  <si>
    <t>Employee Scope:</t>
  </si>
  <si>
    <t>Resources:</t>
  </si>
  <si>
    <t>Y/y Total Revenues, Net Income, FCF</t>
  </si>
  <si>
    <t>Q/q Total Revenues, Net Income, FCF</t>
  </si>
  <si>
    <r>
      <t xml:space="preserve">It operates through three segments: </t>
    </r>
    <r>
      <rPr>
        <b/>
        <sz val="11"/>
        <color theme="1"/>
        <rFont val="Calibre"/>
      </rPr>
      <t>Data Center</t>
    </r>
    <r>
      <rPr>
        <sz val="11"/>
        <color theme="1"/>
        <rFont val="Calibre"/>
      </rPr>
      <t xml:space="preserve">, </t>
    </r>
    <r>
      <rPr>
        <b/>
        <sz val="11"/>
        <color theme="1"/>
        <rFont val="Calibre"/>
      </rPr>
      <t>Client and Gaming</t>
    </r>
    <r>
      <rPr>
        <sz val="11"/>
        <color theme="1"/>
        <rFont val="Calibre"/>
      </rPr>
      <t xml:space="preserve">, and </t>
    </r>
    <r>
      <rPr>
        <b/>
        <sz val="11"/>
        <color theme="1"/>
        <rFont val="Calibre"/>
      </rPr>
      <t>Embedded</t>
    </r>
  </si>
  <si>
    <t xml:space="preserve">Current CEO: Lisa Su Ph.D.	</t>
  </si>
  <si>
    <t>Registered Exchange: NASDAQ</t>
  </si>
  <si>
    <t>Address: 2485 Augustine Drive Santa Clara, CA 95054 US</t>
  </si>
  <si>
    <t>https://www.amd.com/en.html</t>
  </si>
  <si>
    <t>AMD Homepage</t>
  </si>
  <si>
    <t>SEC Filings</t>
  </si>
  <si>
    <t>MacroTrends</t>
  </si>
  <si>
    <t>ROIC/WACC</t>
  </si>
  <si>
    <t>AMD IR Page</t>
  </si>
  <si>
    <t>https://ir.amd.com/</t>
  </si>
  <si>
    <t>https://www.sec.gov/edgar/browse/?CIK=2488&amp;owner=exclude</t>
  </si>
  <si>
    <t>https://www.macrotrends.net/stocks/charts/AMD/amd/cash-flow-statement?freq=Q</t>
  </si>
  <si>
    <t>https://www.gurufocus.com/term/wacc/AMD</t>
  </si>
  <si>
    <t>(408) 749 - 4000</t>
  </si>
  <si>
    <t>Founder(s): Jerry Sanders (and 8 team members who collectively left Fairchild Semi to start AMD)</t>
  </si>
  <si>
    <t>Founded: May 1969</t>
  </si>
  <si>
    <t>Industry: Semiconductors</t>
  </si>
  <si>
    <t>Sector: Technology</t>
  </si>
  <si>
    <t>Employees: 28,000</t>
  </si>
  <si>
    <t>Headquarters: Santa Clara, CA</t>
  </si>
  <si>
    <t>IPO: September 27, 1972</t>
  </si>
  <si>
    <t>https://stockanalysis.com/stocks/amd/company/</t>
  </si>
  <si>
    <t>AMD</t>
  </si>
  <si>
    <t>Advanced Micro Devices, Inc. (AMD)</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</si>
  <si>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</si>
  <si>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</si>
  <si>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</si>
  <si>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</si>
  <si>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</si>
  <si>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</si>
  <si>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</si>
  <si>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</si>
  <si>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</si>
  <si>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</si>
  <si>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</si>
  <si>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</si>
  <si>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</si>
  <si>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</si>
  <si>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</si>
  <si>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</si>
  <si>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</si>
  <si>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</si>
  <si>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</si>
  <si>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</si>
  <si>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</si>
  <si>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</si>
  <si>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</si>
  <si>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</si>
  <si>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</si>
  <si>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</si>
  <si>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</si>
  <si>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</si>
  <si>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</si>
  <si>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</si>
  <si>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</si>
  <si>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</si>
  <si>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</si>
  <si>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</si>
  <si>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</si>
  <si>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</si>
  <si>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</si>
  <si>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</si>
  <si>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</si>
  <si>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</si>
  <si>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</si>
  <si>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</si>
  <si>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</si>
  <si>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</si>
  <si>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</si>
  <si>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</si>
  <si>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</si>
  <si>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</si>
  <si>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</si>
  <si>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</si>
  <si>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</si>
  <si>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</si>
  <si>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</si>
  <si>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</si>
  <si>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</si>
  <si>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</si>
  <si>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</si>
  <si>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</si>
  <si>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</si>
  <si>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</si>
  <si>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</si>
  <si>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</si>
  <si>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</si>
  <si>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</si>
  <si>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</si>
  <si>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</si>
  <si>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</si>
  <si>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</si>
  <si>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</si>
  <si>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</si>
  <si>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</si>
  <si>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</si>
  <si>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</si>
  <si>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</si>
  <si>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</si>
  <si>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</si>
  <si>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</si>
  <si>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</si>
  <si>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</si>
  <si>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</si>
  <si>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</si>
  <si>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</si>
  <si>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</si>
  <si>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</si>
  <si>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</si>
  <si>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</si>
  <si>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</si>
  <si>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</si>
  <si>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</si>
  <si>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</si>
  <si>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</si>
  <si>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</si>
  <si>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</si>
  <si>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</si>
  <si>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</si>
  <si>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</si>
  <si>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</si>
  <si>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</si>
  <si>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</si>
  <si>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</si>
  <si>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</si>
  <si>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</si>
  <si>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</si>
  <si>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</si>
  <si>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</si>
  <si>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</si>
  <si>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</si>
  <si>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</si>
  <si>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</si>
  <si>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</si>
  <si>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</si>
  <si>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</si>
  <si>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</si>
  <si>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</si>
  <si>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</si>
  <si>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</si>
  <si>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</si>
  <si>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</si>
  <si>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</si>
  <si>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</si>
  <si>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</si>
  <si>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</si>
  <si>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</si>
  <si>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</si>
  <si>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</si>
  <si>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</si>
  <si>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</si>
  <si>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</si>
  <si>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</si>
  <si>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</si>
  <si>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</si>
  <si>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</si>
  <si>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</si>
  <si>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</si>
  <si>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</si>
  <si>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</si>
  <si>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</si>
  <si>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</si>
  <si>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</si>
  <si>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</si>
  <si>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</si>
  <si>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</si>
  <si>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</si>
  <si>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</si>
  <si>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</si>
  <si>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</si>
  <si>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</si>
  <si>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</si>
  <si>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</si>
  <si>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</si>
  <si>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</si>
  <si>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</si>
  <si>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</si>
  <si>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</si>
  <si>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</si>
  <si>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</si>
  <si>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</si>
  <si>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</si>
  <si>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</si>
  <si>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</si>
  <si>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</si>
  <si>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</si>
  <si>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</si>
  <si>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</si>
  <si>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</si>
  <si>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</si>
  <si>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</si>
  <si>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</si>
  <si>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</si>
  <si>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</si>
  <si>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</si>
  <si>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</si>
  <si>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</si>
  <si>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</si>
  <si>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</si>
  <si>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</si>
  <si>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</si>
  <si>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</si>
  <si>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</si>
  <si>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</si>
  <si>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</si>
  <si>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</si>
  <si>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</si>
  <si>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</si>
  <si>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</si>
  <si>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</si>
  <si>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</si>
  <si>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</si>
  <si>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</si>
  <si>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</si>
  <si>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</si>
  <si>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</si>
  <si>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</si>
  <si>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</si>
  <si>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</si>
  <si>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</si>
  <si>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</si>
  <si>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</si>
  <si>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</si>
  <si>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</si>
  <si>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</si>
  <si>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</si>
  <si>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</si>
  <si>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</si>
  <si>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</si>
  <si>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</si>
  <si>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</si>
  <si>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</si>
  <si>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</si>
  <si>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</si>
  <si>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</si>
  <si>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</si>
  <si>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</si>
  <si>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</si>
  <si>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</si>
  <si>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</si>
  <si>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</si>
  <si>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</si>
  <si>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</si>
  <si>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</si>
  <si>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</si>
  <si>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</si>
  <si>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</si>
  <si>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</si>
  <si>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</si>
  <si>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</si>
  <si>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</si>
  <si>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</si>
  <si>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</si>
  <si>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</si>
  <si>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</si>
  <si>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</si>
  <si>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</si>
  <si>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</si>
  <si>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</si>
  <si>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</si>
  <si>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</si>
  <si>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</si>
  <si>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</si>
  <si>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</si>
  <si>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</si>
  <si>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</si>
  <si>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</si>
  <si>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</si>
  <si>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</si>
  <si>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</si>
  <si>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</si>
  <si>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</si>
  <si>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</si>
  <si>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</si>
  <si>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</si>
  <si>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</si>
  <si>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</si>
  <si>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</si>
  <si>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</si>
  <si>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</si>
  <si>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</si>
  <si>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</si>
  <si>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</si>
  <si>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</si>
  <si>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</si>
  <si>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</si>
  <si>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</si>
  <si>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</si>
  <si>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</si>
  <si>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</si>
  <si>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</si>
  <si>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</si>
  <si>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</si>
  <si>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</si>
  <si>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</si>
  <si>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</si>
  <si>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</si>
  <si>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</si>
  <si>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</si>
  <si>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</si>
  <si>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</si>
  <si>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</si>
  <si>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</si>
  <si>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</si>
  <si>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</si>
  <si>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</si>
  <si>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</si>
  <si>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</si>
  <si>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</si>
  <si>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</si>
  <si>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</si>
  <si>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</si>
  <si>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</si>
  <si>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</si>
  <si>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</si>
  <si>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</si>
  <si>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</si>
  <si>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</si>
  <si>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</si>
  <si>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</si>
  <si>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</si>
  <si>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</si>
  <si>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</si>
  <si>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</si>
  <si>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</si>
  <si>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</si>
  <si>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</si>
  <si>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</si>
  <si>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</si>
  <si>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</si>
  <si>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</si>
  <si>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</si>
  <si>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</si>
  <si>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</si>
  <si>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</si>
  <si>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</si>
  <si>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</si>
  <si>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</si>
  <si>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</si>
  <si>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</si>
  <si>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</si>
  <si>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</si>
  <si>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</si>
  <si>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</si>
  <si>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</si>
  <si>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</si>
  <si>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</si>
  <si>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</si>
  <si>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</si>
  <si>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</si>
  <si>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</si>
  <si>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</si>
  <si>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</si>
  <si>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</si>
  <si>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</si>
  <si>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</si>
  <si>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</si>
  <si>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</si>
  <si>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</si>
  <si>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</si>
  <si>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</si>
  <si>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</si>
  <si>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</si>
  <si>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</si>
  <si>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</si>
  <si>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</si>
  <si>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</si>
  <si>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</si>
  <si>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</si>
  <si>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</si>
  <si>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</si>
  <si>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</si>
  <si>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</si>
  <si>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</si>
  <si>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</si>
  <si>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</si>
  <si>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</si>
  <si>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</si>
  <si>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</si>
  <si>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</si>
  <si>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</si>
  <si>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</si>
  <si>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</si>
  <si>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</si>
  <si>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</si>
  <si>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</si>
  <si>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</si>
  <si>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</si>
  <si>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</si>
  <si>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</si>
  <si>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</si>
  <si>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</si>
  <si>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</si>
  <si>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</si>
  <si>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</si>
  <si>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</si>
  <si>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</si>
  <si>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</si>
  <si>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</si>
  <si>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</si>
  <si>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</si>
  <si>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</si>
  <si>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</si>
  <si>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</si>
  <si>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</si>
  <si>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</si>
  <si>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</si>
  <si>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</si>
  <si>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</si>
  <si>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</si>
  <si>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</si>
  <si>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</si>
  <si>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</si>
  <si>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</si>
  <si>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</si>
  <si>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</si>
  <si>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</si>
  <si>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</si>
  <si>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</si>
  <si>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</si>
  <si>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</si>
  <si>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</si>
  <si>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</si>
  <si>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</si>
  <si>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</si>
  <si>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</si>
  <si>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</si>
  <si>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</si>
  <si>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</si>
  <si>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</si>
  <si>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</si>
  <si>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</si>
  <si>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</si>
  <si>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</si>
  <si>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</si>
  <si>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</si>
  <si>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</si>
  <si>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</si>
  <si>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</si>
  <si>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</si>
  <si>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</si>
  <si>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</si>
  <si>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</si>
  <si>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</si>
  <si>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</si>
  <si>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</si>
  <si>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</si>
  <si>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</si>
  <si>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</si>
  <si>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</si>
  <si>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</si>
  <si>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</si>
  <si>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</si>
  <si>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</si>
  <si>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</si>
  <si>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</si>
  <si>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</si>
  <si>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</si>
  <si>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</si>
  <si>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</si>
  <si>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</si>
  <si>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</si>
  <si>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</si>
  <si>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</si>
  <si>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</si>
  <si>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</si>
  <si>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</si>
  <si>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</si>
  <si>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</si>
  <si>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</si>
  <si>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</si>
  <si>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</si>
  <si>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</si>
  <si>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</si>
  <si>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</si>
  <si>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</si>
  <si>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</si>
  <si>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</si>
  <si>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</si>
  <si>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</si>
  <si>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</si>
  <si>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</si>
  <si>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</si>
  <si>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</si>
  <si>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</si>
  <si>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</si>
  <si>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</si>
  <si>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</si>
  <si>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</si>
  <si>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</si>
  <si>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</si>
  <si>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</si>
  <si>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</si>
  <si>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</si>
  <si>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</si>
  <si>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</si>
  <si>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</si>
  <si>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</si>
  <si>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</si>
  <si>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</si>
  <si>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</si>
  <si>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</si>
  <si>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</si>
  <si>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</si>
  <si>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</si>
  <si>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</si>
  <si>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</si>
  <si>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</si>
  <si>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</si>
  <si>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</si>
  <si>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</si>
  <si>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</si>
  <si>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</si>
  <si>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</si>
  <si>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</si>
  <si>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</si>
  <si>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</si>
  <si>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</si>
  <si>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</si>
  <si>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</si>
  <si>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</si>
  <si>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</si>
  <si>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</si>
  <si>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</si>
  <si>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</si>
  <si>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</si>
  <si>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</si>
  <si>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</si>
  <si>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</si>
  <si>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</si>
  <si>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</si>
  <si>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</si>
  <si>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</si>
  <si>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</si>
  <si>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</si>
  <si>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</si>
  <si>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</si>
  <si>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</si>
  <si>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</si>
  <si>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</si>
  <si>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</si>
  <si>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</si>
  <si>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</si>
  <si>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</si>
  <si>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</si>
  <si>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</si>
  <si>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</si>
  <si>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</si>
  <si>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</si>
  <si>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</si>
  <si>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</si>
  <si>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</si>
  <si>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</si>
  <si>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</si>
  <si>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</si>
  <si>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</si>
  <si>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</si>
  <si>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</si>
  <si>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</si>
  <si>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</si>
  <si>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</si>
  <si>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</si>
  <si>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</si>
  <si>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</si>
  <si>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</si>
  <si>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</si>
  <si>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</si>
  <si>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</si>
  <si>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</si>
  <si>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</si>
  <si>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</si>
  <si>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</si>
  <si>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</si>
  <si>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</si>
  <si>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</si>
  <si>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</si>
  <si>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</si>
  <si>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</si>
  <si>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</si>
  <si>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</si>
  <si>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</si>
  <si>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</si>
  <si>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</si>
  <si>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</si>
  <si>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</si>
  <si>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</si>
  <si>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</si>
  <si>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</si>
  <si>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</si>
  <si>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</si>
  <si>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</si>
  <si>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</si>
  <si>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</si>
  <si>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</si>
  <si>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</si>
  <si>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</si>
  <si>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</si>
  <si>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</si>
  <si>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</si>
  <si>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</si>
  <si>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</si>
  <si>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</si>
  <si>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</si>
  <si>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</si>
  <si>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</si>
  <si>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</si>
  <si>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</si>
  <si>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</si>
  <si>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</si>
  <si>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</si>
  <si>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</si>
  <si>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</si>
  <si>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</si>
  <si>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</si>
  <si>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</si>
  <si>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</si>
  <si>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</si>
  <si>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</si>
  <si>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</si>
  <si>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</si>
  <si>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</si>
  <si>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</si>
  <si>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</si>
  <si>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</si>
  <si>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</si>
  <si>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</si>
  <si>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</si>
  <si>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</si>
  <si>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</si>
  <si>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</si>
  <si>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</si>
  <si>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</si>
  <si>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</si>
  <si>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</si>
  <si>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</si>
  <si>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</si>
  <si>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</si>
  <si>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</si>
  <si>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</si>
  <si>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</si>
  <si>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</si>
  <si>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</si>
  <si>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</si>
  <si>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</si>
  <si>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</si>
  <si>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</si>
  <si>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</si>
  <si>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</si>
  <si>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</si>
  <si>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</si>
  <si>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</si>
  <si>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</si>
  <si>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</si>
  <si>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</si>
  <si>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</si>
  <si>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</si>
  <si>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</si>
  <si>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</si>
  <si>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</si>
  <si>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</si>
  <si>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</si>
  <si>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</si>
  <si>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</si>
  <si>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</si>
  <si>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</si>
  <si>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</si>
  <si>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</si>
  <si>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</si>
  <si>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</si>
  <si>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</si>
  <si>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</si>
  <si>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</si>
  <si>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</si>
  <si>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</si>
  <si>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</si>
  <si>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</si>
  <si>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</si>
  <si>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</si>
  <si>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</si>
  <si>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</si>
  <si>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</si>
  <si>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</si>
  <si>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</si>
  <si>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</si>
  <si>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</si>
  <si>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</si>
  <si>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</si>
  <si>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</si>
  <si>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</si>
  <si>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</si>
  <si>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</si>
  <si>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</si>
  <si>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</si>
  <si>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</si>
  <si>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</si>
  <si>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</si>
  <si>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</si>
  <si>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</si>
  <si>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</si>
  <si>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</si>
  <si>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</si>
  <si>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</si>
  <si>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</si>
  <si>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</si>
  <si>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</si>
  <si>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</si>
  <si>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</si>
  <si>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</si>
  <si>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</si>
  <si>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</si>
  <si>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</si>
  <si>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</si>
  <si>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</si>
  <si>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</si>
  <si>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</si>
  <si>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</si>
  <si>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</si>
  <si>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</si>
  <si>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</si>
  <si>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</si>
  <si>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</si>
  <si>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</si>
  <si>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</si>
  <si>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</si>
  <si>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</si>
  <si>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</si>
  <si>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</si>
  <si>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</si>
  <si>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</si>
  <si>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</si>
  <si>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</si>
  <si>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</si>
  <si>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</si>
  <si>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</si>
  <si>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</si>
  <si>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</si>
  <si>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</si>
  <si>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</si>
  <si>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</si>
  <si>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</si>
  <si>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</si>
  <si>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</si>
  <si>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</si>
  <si>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</si>
  <si>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</si>
  <si>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</si>
  <si>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</si>
  <si>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</si>
  <si>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</si>
  <si>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</si>
  <si>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</si>
  <si>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</si>
  <si>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</si>
  <si>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</si>
  <si>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</si>
  <si>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</si>
  <si>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</si>
  <si>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</si>
  <si>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</si>
  <si>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</si>
  <si>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</si>
  <si>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</si>
  <si>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</si>
  <si>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</si>
  <si>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</si>
  <si>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</si>
  <si>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</si>
  <si>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</si>
  <si>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</si>
  <si>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</si>
  <si>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</si>
  <si>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</si>
  <si>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</si>
  <si>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</si>
  <si>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</si>
  <si>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</si>
  <si>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</si>
  <si>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</si>
  <si>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</si>
  <si>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</si>
  <si>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</si>
  <si>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</si>
  <si>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</si>
  <si>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</si>
  <si>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</si>
  <si>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</si>
  <si>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</si>
  <si>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</si>
  <si>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</si>
  <si>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</si>
  <si>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</si>
  <si>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</si>
  <si>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</si>
  <si>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</si>
  <si>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</si>
  <si>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</si>
  <si>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</si>
  <si>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</si>
  <si>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</si>
  <si>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</si>
  <si>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</si>
  <si>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</si>
  <si>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</si>
  <si>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</si>
  <si>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</si>
  <si>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</si>
  <si>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</si>
  <si>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</si>
  <si>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</si>
  <si>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</si>
  <si>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</si>
  <si>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</si>
  <si>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</si>
  <si>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</si>
  <si>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</si>
  <si>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</si>
  <si>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</si>
  <si>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</si>
  <si>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</si>
  <si>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</si>
  <si>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</si>
  <si>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</si>
  <si>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</si>
  <si>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</si>
  <si>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</si>
  <si>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</si>
  <si>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</si>
  <si>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</si>
  <si>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</si>
  <si>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</si>
  <si>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</si>
  <si>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</si>
  <si>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</si>
  <si>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</si>
  <si>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</si>
  <si>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</si>
  <si>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</si>
  <si>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</si>
  <si>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</si>
  <si>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</si>
  <si>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</si>
  <si>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</si>
  <si>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</si>
  <si>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</si>
  <si>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</si>
  <si>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</si>
  <si>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</si>
  <si>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</si>
  <si>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</si>
  <si>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</si>
  <si>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</si>
  <si>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</si>
  <si>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</si>
  <si>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</si>
  <si>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</si>
  <si>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</si>
  <si>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</si>
  <si>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</si>
  <si>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</si>
  <si>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</si>
  <si>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</si>
  <si>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</si>
  <si>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</si>
  <si>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</si>
  <si>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</si>
  <si>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</si>
  <si>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</si>
  <si>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</si>
  <si>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</si>
  <si>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</si>
  <si>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</si>
  <si>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</si>
  <si>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</si>
  <si>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</si>
  <si>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</si>
  <si>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</si>
  <si>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</si>
  <si>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</si>
  <si>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</si>
  <si>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</si>
  <si>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</si>
  <si>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</si>
  <si>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</si>
  <si>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</si>
  <si>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</si>
  <si>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</si>
  <si>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</si>
  <si>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</si>
  <si>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</si>
  <si>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</si>
  <si>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</si>
  <si>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</si>
  <si>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</si>
  <si>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</si>
  <si>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</si>
  <si>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</si>
  <si>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</si>
  <si>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</si>
  <si>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</si>
  <si>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</si>
  <si>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</si>
  <si>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</si>
  <si>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</si>
  <si>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</si>
  <si>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</si>
  <si>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</si>
  <si>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</si>
  <si>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</si>
  <si>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</si>
  <si>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</si>
  <si>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</si>
  <si>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</si>
  <si>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</si>
  <si>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</si>
  <si>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</si>
  <si>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</si>
  <si>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</si>
  <si>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</si>
  <si>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</si>
  <si>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</si>
  <si>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</si>
  <si>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</si>
  <si>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</si>
  <si>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</si>
  <si>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</si>
  <si>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</si>
  <si>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</si>
  <si>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</si>
  <si>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</si>
  <si>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</si>
  <si>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</si>
  <si>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</si>
  <si>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</si>
  <si>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</si>
  <si>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</si>
  <si>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</si>
  <si>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</si>
  <si>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</si>
  <si>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</si>
  <si>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</si>
  <si>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</si>
  <si>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</si>
  <si>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</si>
  <si>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</si>
  <si>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</si>
  <si>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</si>
  <si>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</si>
  <si>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</si>
  <si>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</si>
  <si>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</si>
  <si>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</si>
  <si>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</si>
  <si>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</si>
  <si>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</si>
  <si>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</si>
  <si>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</si>
  <si>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</si>
  <si>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</si>
  <si>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</si>
  <si>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</si>
  <si>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</si>
  <si>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</si>
  <si>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</si>
  <si>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</si>
  <si>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</si>
  <si>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</si>
  <si>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</si>
  <si>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</si>
  <si>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</si>
  <si>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</si>
  <si>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</si>
  <si>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</si>
  <si>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</si>
  <si>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</si>
  <si>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</si>
  <si>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</si>
  <si>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</si>
  <si>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</si>
  <si>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</si>
  <si>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</si>
  <si>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</si>
  <si>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</si>
  <si>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</si>
  <si>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</si>
  <si>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</si>
  <si>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</si>
  <si>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</si>
  <si>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</si>
  <si>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</si>
  <si>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</si>
  <si>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</si>
  <si>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</si>
  <si>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</si>
  <si>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</si>
  <si>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</si>
  <si>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</si>
  <si>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</si>
  <si>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</si>
  <si>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</si>
  <si>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</si>
  <si>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</si>
  <si>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</si>
  <si>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</si>
  <si>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</si>
  <si>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</si>
  <si>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</si>
  <si>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</si>
  <si>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</si>
  <si>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</si>
  <si>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</si>
  <si>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</si>
  <si>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</si>
  <si>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</si>
  <si>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</si>
  <si>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</si>
  <si>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</si>
  <si>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</si>
  <si>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</si>
  <si>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</si>
  <si>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</si>
  <si>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</si>
  <si>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</si>
  <si>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</si>
  <si>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</si>
  <si>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</si>
  <si>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</si>
  <si>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</si>
  <si>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</si>
  <si>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</si>
  <si>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</si>
  <si>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</si>
  <si>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</si>
  <si>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</si>
  <si>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</si>
  <si>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</si>
  <si>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</si>
  <si>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</si>
  <si>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</si>
  <si>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</si>
  <si>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</si>
  <si>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</si>
  <si>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</si>
  <si>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</si>
  <si>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</si>
  <si>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</si>
  <si>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</si>
  <si>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</si>
  <si>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</si>
  <si>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</si>
  <si>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</si>
  <si>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</si>
  <si>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</si>
  <si>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</si>
  <si>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</si>
  <si>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</si>
  <si>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</si>
  <si>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</si>
  <si>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</si>
  <si>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</si>
  <si>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</si>
  <si>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</si>
  <si>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</si>
  <si>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</si>
  <si>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</si>
  <si>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</si>
  <si>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</si>
  <si>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</si>
  <si>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</si>
  <si>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</si>
  <si>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</si>
  <si>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</si>
  <si>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</si>
  <si>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</si>
  <si>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</si>
  <si>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</si>
  <si>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</si>
  <si>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</si>
  <si>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</si>
  <si>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</si>
  <si>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</si>
  <si>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</si>
  <si>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</si>
  <si>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</si>
  <si>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</si>
  <si>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</si>
  <si>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</si>
  <si>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</si>
  <si>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</si>
  <si>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</si>
  <si>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</si>
  <si>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</si>
  <si>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</si>
  <si>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</si>
  <si>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</si>
  <si>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</si>
  <si>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</si>
  <si>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</si>
  <si>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</si>
  <si>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</si>
  <si>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</si>
  <si>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</si>
  <si>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</si>
  <si>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</si>
  <si>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</si>
  <si>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</si>
  <si>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</si>
  <si>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</si>
  <si>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</si>
  <si>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</si>
  <si>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</si>
  <si>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</si>
  <si>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</si>
  <si>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</si>
  <si>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</si>
  <si>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</si>
  <si>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</si>
  <si>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</si>
  <si>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</si>
  <si>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</si>
  <si>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</si>
  <si>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</si>
  <si>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</si>
  <si>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</si>
  <si>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</si>
  <si>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</si>
  <si>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</si>
  <si>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</si>
  <si>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</si>
  <si>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</si>
  <si>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</si>
  <si>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</si>
  <si>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</si>
  <si>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</si>
  <si>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</si>
  <si>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</si>
  <si>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</si>
  <si>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</si>
  <si>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</si>
  <si>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</si>
  <si>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</si>
  <si>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</si>
  <si>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</si>
  <si>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</si>
  <si>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</si>
  <si>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</si>
  <si>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</si>
  <si>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</si>
  <si>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</si>
  <si>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</si>
  <si>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</si>
  <si>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</si>
  <si>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</si>
  <si>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</si>
  <si>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</si>
  <si>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</si>
  <si>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</si>
  <si>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</si>
  <si>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</si>
  <si>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</si>
  <si>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</si>
  <si>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</si>
  <si>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</si>
  <si>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</si>
  <si>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</si>
  <si>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</si>
  <si>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</si>
  <si>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</si>
  <si>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</si>
  <si>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</si>
  <si>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</si>
  <si>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</si>
  <si>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</si>
  <si>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</si>
  <si>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</si>
  <si>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</si>
  <si>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</si>
  <si>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</si>
  <si>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</si>
  <si>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</si>
  <si>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</si>
  <si>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</si>
  <si>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</si>
  <si>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</si>
  <si>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</si>
  <si>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</si>
  <si>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</si>
  <si>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</si>
  <si>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</si>
  <si>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</si>
  <si>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</si>
  <si>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</si>
  <si>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</si>
  <si>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</si>
  <si>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</si>
  <si>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</si>
  <si>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</si>
  <si>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</si>
  <si>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</si>
  <si>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</si>
  <si>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</si>
  <si>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</si>
  <si>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</si>
  <si>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</si>
  <si>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</si>
  <si>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</si>
  <si>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</si>
  <si>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</si>
  <si>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</si>
  <si>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</si>
  <si>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</si>
  <si>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</si>
  <si>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</si>
  <si>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</si>
  <si>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</si>
  <si>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</si>
  <si>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</si>
  <si>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</si>
  <si>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</si>
  <si>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</si>
  <si>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</si>
  <si>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</si>
  <si>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</si>
  <si>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</si>
  <si>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</si>
  <si>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</si>
  <si>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</si>
  <si>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</si>
  <si>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</si>
  <si>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</si>
  <si>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</si>
  <si>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</si>
  <si>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</si>
  <si>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</si>
  <si>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</si>
  <si>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</si>
  <si>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</si>
  <si>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</si>
  <si>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</si>
  <si>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</si>
  <si>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</si>
  <si>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</si>
  <si>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</si>
  <si>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</si>
  <si>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</si>
  <si>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</si>
  <si>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</si>
  <si>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</si>
  <si>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</si>
  <si>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</si>
  <si>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</si>
  <si>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</si>
  <si>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</si>
  <si>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</si>
  <si>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</si>
  <si>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</si>
  <si>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</si>
  <si>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</si>
  <si>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</si>
  <si>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</si>
  <si>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</si>
  <si>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</si>
  <si>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</si>
  <si>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</si>
  <si>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</si>
  <si>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</si>
  <si>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</si>
  <si>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</si>
  <si>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</si>
  <si>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</si>
  <si>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</si>
  <si>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</si>
  <si>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</si>
  <si>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</si>
  <si>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</si>
  <si>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</si>
  <si>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</si>
  <si>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</si>
  <si>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</si>
  <si>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</si>
  <si>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</si>
  <si>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r>
      <rPr>
        <i/>
        <sz val="11"/>
        <color theme="1"/>
        <rFont val="Calibre"/>
      </rPr>
      <t xml:space="preserve">1256 </t>
    </r>
    <r>
      <rPr>
        <sz val="11"/>
        <color theme="1"/>
        <rFont val="Calibre"/>
      </rPr>
      <t>Trading Days? (From: 8/12/2020 - 8/12/2025)</t>
    </r>
  </si>
  <si>
    <t>Institutional Ownership Snapshot (8/12/2025)</t>
  </si>
  <si>
    <t>Investor.Relations@amd.com</t>
  </si>
  <si>
    <t>Data Center</t>
  </si>
  <si>
    <t>Client</t>
  </si>
  <si>
    <t>Gaming</t>
  </si>
  <si>
    <t>Client &amp; Gaming Ttl Revenues</t>
  </si>
  <si>
    <t>Embedded</t>
  </si>
  <si>
    <t>Data Center % of Ttl Revenues</t>
  </si>
  <si>
    <t>Client % of Ttl Revenues</t>
  </si>
  <si>
    <t>Gaming % of Ttl Revenues</t>
  </si>
  <si>
    <t>Embedded % of Ttl Revenues</t>
  </si>
  <si>
    <t>R&amp;D</t>
  </si>
  <si>
    <t>SG&amp;A</t>
  </si>
  <si>
    <t>Other (Amor. Of Intangibles)</t>
  </si>
  <si>
    <t>Ttl Operating Expenses</t>
  </si>
  <si>
    <t>Operating Income</t>
  </si>
  <si>
    <t>Interest Income</t>
  </si>
  <si>
    <t>Pretax Income</t>
  </si>
  <si>
    <t>Taxes</t>
  </si>
  <si>
    <t>Equity Income from Investee</t>
  </si>
  <si>
    <t>Other Income</t>
  </si>
  <si>
    <t>A/R</t>
  </si>
  <si>
    <t>Inventories</t>
  </si>
  <si>
    <t>Assets Held for Sale</t>
  </si>
  <si>
    <t>PP&amp;E</t>
  </si>
  <si>
    <t>Goodwill</t>
  </si>
  <si>
    <t>Acquisition-related Intangibles</t>
  </si>
  <si>
    <t>Deffered Tax Assets</t>
  </si>
  <si>
    <t>Other LT Assets</t>
  </si>
  <si>
    <t>Other ST Assets</t>
  </si>
  <si>
    <t>Ttl Assets</t>
  </si>
  <si>
    <t>A/P</t>
  </si>
  <si>
    <t>Accrued Liabilities</t>
  </si>
  <si>
    <t>Liabilities Held for Sale</t>
  </si>
  <si>
    <t>Other ST Liabilities</t>
  </si>
  <si>
    <t>LT Debt</t>
  </si>
  <si>
    <t>LT Operating Lease Liabilities</t>
  </si>
  <si>
    <t>Deffered Tax Liabilities</t>
  </si>
  <si>
    <t>Other LT Liabilities</t>
  </si>
  <si>
    <t>Ttl Liabilities</t>
  </si>
  <si>
    <t>SE</t>
  </si>
  <si>
    <t>Ttl L + SE</t>
  </si>
  <si>
    <t>EPS</t>
  </si>
  <si>
    <t>Data Center Growth Y/y</t>
  </si>
  <si>
    <t>Client Growth Y/y</t>
  </si>
  <si>
    <t>Gaming Growth Y/y</t>
  </si>
  <si>
    <t>Embedded Growth Y/y</t>
  </si>
  <si>
    <t>LT Operating Lease</t>
  </si>
  <si>
    <t>More</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</si>
  <si>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</si>
  <si>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</si>
  <si>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</si>
  <si>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</si>
  <si>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</si>
  <si>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</si>
  <si>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</si>
  <si>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</si>
  <si>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</si>
  <si>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</si>
  <si>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</si>
  <si>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</si>
  <si>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</si>
  <si>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</si>
  <si>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</si>
  <si>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Client and Gaming</t>
  </si>
  <si>
    <t>Embedded processors, FPGAs, Adaptive SoCs, system-on-modules (SOMs), and semi-custom SoCs serving automotive, industrial, healthcare, storage, and network markets</t>
  </si>
  <si>
    <t>Graphics: AMD Radeon™ graphics and Radeon Pro™ lines for exceptional gaming, professional visualization, and embedded applications</t>
  </si>
  <si>
    <t>Processors: AMD Ryzen™, Ryzen AI™, Ryzen Threadripper™, Athlon™, PRO Series—delivering high-speed computing for consumer and enterprise clients</t>
  </si>
  <si>
    <t>AI and Accelerated Computing: Industry-first integration of dedicated neural processing units (NPUs) on x86 CPUs for AI PCs; advanced AI accelerators and compute infrastructure tailored for hyperscale providers</t>
  </si>
  <si>
    <t>Adaptive Solutions: Comprehensive portfolio of FPGAs, Adaptive SoCs, SmartNICs, DPUs, and platform-level solutions for specialized, scalable, and high-performance compute</t>
  </si>
  <si>
    <t>The Company views artificial intelligence as the key force shaping the next era of computing and is positioning itself as an end-to-end AI leader</t>
  </si>
  <si>
    <t xml:space="preserve">Comprehensive AI Portfolio: </t>
  </si>
  <si>
    <t>Delivering a wide range of high-performance, adaptive hardware and software solutions, including annual leadership launches in its AMD Instinct™ GPU family and new 5th Gen EPYC™ server processors</t>
  </si>
  <si>
    <t xml:space="preserve">Ecosystem Expansion: </t>
  </si>
  <si>
    <t>Deepening partnerships across the AI ecosystem to accelerate large-scale AMD-based AI solution deployments, including with hyperscalers, OEMs, and ODMs</t>
  </si>
  <si>
    <t xml:space="preserve">Open Software Innovation: </t>
  </si>
  <si>
    <t>Advancing the open AMD ROCm™ software platform to enhance AI training and inference performance, expand framework support, and improve the developer experience</t>
  </si>
  <si>
    <t>AMD will seek a strategic partner for ZT Systems’ manufacturing business post-close. These moves, combined with ongoing enhancements to its ROCm software stack, are aimed at accelerating AMD’s AI leadership and ensuring rapid deployment of AMD-powered AI solutions across global markets</t>
  </si>
  <si>
    <t>AI accelerators, CPUs, GPUs, DPUs, FPGAs, Adaptive SoC and SmartNICs products for cloud, hyperscale, and enterprise environments</t>
  </si>
  <si>
    <t>x86 microprocessors, APUs, GPUs, SoCs, chipsets, semi-custom SoC products, software for desktops, notebooks, gaming consoles, delivering leading performance, efficiency, and immersive experiences</t>
  </si>
  <si>
    <t>Data Center Segment</t>
  </si>
  <si>
    <t>Market</t>
  </si>
  <si>
    <t>Products</t>
  </si>
  <si>
    <t>The Data Center segment primarily includes server-class CPUs, GPUs, AI accelerators, DPUs, FPGAs, SmartNICs, and Adaptive SoC products</t>
  </si>
  <si>
    <t>The Company leverages its technology to address computational, visual data processing and AI workload acceleration needs in the data center market</t>
  </si>
  <si>
    <t>Modern data centers require high performance, energy efficient, scalable and adaptable compute engines to meet the demand driven by the growing amount of data that needs to be stored, accessed, analyzed and managed</t>
  </si>
  <si>
    <t>Different combinations of CPUs, GPUs, DPUs, FPGAs, SmartNICs, and Adaptive SoCs enable the optimization of performance and power for a diverse set of workloads</t>
  </si>
  <si>
    <t>Leveraging its broad high-performance compute portfolio—spanning supercomputing, cloud, edge, and end devices—AMD’s strategy is built on three pillars:</t>
  </si>
  <si>
    <t>Server CPUs</t>
  </si>
  <si>
    <t>The Company's CPUs for server platforms currently include the AMD EPYC Series processors. EPYC CPUs, which are based on the x86 architecture, are server-specific processors designed for high-performance computing, enterprise IT, supercomputing, and large data centers</t>
  </si>
  <si>
    <t>The Company recently announced its 5th generation AMD EPYC family of server processors, further expanding The Company's high-performance server CPU portfolio</t>
  </si>
  <si>
    <t>Data Center GPUs</t>
  </si>
  <si>
    <t>The Company's AMD Instinct family of GPU accelerator products, including AMD Instinct MI200, MI300 and MI325 series, are based on AMD CDNA™ architecture</t>
  </si>
  <si>
    <t>AMD Instinct accelerators are designed to address the growing demand for AI training and inferencing and exascale-class scientific computing</t>
  </si>
  <si>
    <t>FPGAs and Adaptive SoCs</t>
  </si>
  <si>
    <t>The Company offers a wide range of FPGAs, Adaptive SoCs and acceleration cards for the data center</t>
  </si>
  <si>
    <t>Devices include the Virtex™ and Kintex™, Artix™, and Spartan™ FPGA products, as well as Zynq™, Zynq MPSoC, and Versal™ Adaptive SoC products</t>
  </si>
  <si>
    <t>Alveo™ accelerator cards provide a platform for accelerating multiple data center workloads at the edge or the cloud</t>
  </si>
  <si>
    <t>Networking Products</t>
  </si>
  <si>
    <t>The Company's Pensando™ DPUs and comprehensive networking software stack offload data center infrastructure services from the host CPU, are used by large Infrastructure as a Service (IaaS) cloud providers to accelerate workload performance for hosted virtualized and bare-metal offerings</t>
  </si>
  <si>
    <t>The AMD Solarflare™ portfolio offers a comprehensive low latency networking solution that combines hardware adapters with the Onload™ family of user space networking libraries</t>
  </si>
  <si>
    <t>AMD Solarflare products are the preferred networking solution for capital markets, enabling customers to develop a wide range of high-performance applications across the entire trading ecosystem</t>
  </si>
  <si>
    <t>Client Segments</t>
  </si>
  <si>
    <t>The Company's CPUs and APUs power PCs that have become an integral part of how customers work, learn and play</t>
  </si>
  <si>
    <t>Desktop CPUs</t>
  </si>
  <si>
    <t xml:space="preserve">The Company's CPUs and APUs for desktop platforms currently include the AMD Ryzen and AMD Ryzen Threadripper™ processors </t>
  </si>
  <si>
    <t>The Company's 7000-series Ryzen desktop processors also feature models which include our 1st generation AMD 3D V-Cache technology … The latest AMD Ryzen G-Series processors integrate advanced graphics</t>
  </si>
  <si>
    <t>The Company launched the Ryzen 9000 series processors featuring “Zen 5” cores, along with X3D models featuring 2nd generation AMD 3D V-Cache™ technology for leadership gaming performance</t>
  </si>
  <si>
    <t>Notebook CPUs</t>
  </si>
  <si>
    <t>The Company's AMD Ryzen mobile processors offer a leadership combination of performance, battery life, and immersive visual experiences for PCs</t>
  </si>
  <si>
    <r>
      <t xml:space="preserve">The Company released </t>
    </r>
    <r>
      <rPr>
        <b/>
        <sz val="11"/>
        <color theme="1"/>
        <rFont val="Calibre"/>
      </rPr>
      <t xml:space="preserve">AMD Ryzen AI 300 Series </t>
    </r>
    <r>
      <rPr>
        <sz val="11"/>
        <color theme="1"/>
        <rFont val="Calibre"/>
      </rPr>
      <t xml:space="preserve">processors featuring a </t>
    </r>
    <r>
      <rPr>
        <b/>
        <sz val="11"/>
        <color theme="1"/>
        <rFont val="Calibre"/>
      </rPr>
      <t xml:space="preserve">NPU </t>
    </r>
    <r>
      <rPr>
        <sz val="11"/>
        <color theme="1"/>
        <rFont val="Calibre"/>
      </rPr>
      <t xml:space="preserve">for next-generation AI PCs featuring the </t>
    </r>
    <r>
      <rPr>
        <b/>
        <sz val="11"/>
        <color theme="1"/>
        <rFont val="Calibre"/>
      </rPr>
      <t>latest “Zen 5” architecture in 2024</t>
    </r>
  </si>
  <si>
    <t>Commercial CPUs</t>
  </si>
  <si>
    <t>The AMD PRO solutions include mobile laptops, desktops and workstations for large enterprise, mid-market and the small and medium business (SMB) customers</t>
  </si>
  <si>
    <t>The AMD PRO technology solution offers enterprise-class security features manageability, reliability and extended image stability, for commercial client PCs</t>
  </si>
  <si>
    <t>The Company launched its AMD Ryzen AI PRO 300 series, bringing world-class security and manageability and leadership productivity, battery life, and AI capabilities to business notebooks and mobile workstations</t>
  </si>
  <si>
    <t>The Company's commitment to high performance leadership continued with the launch of AMD Ryzen PRO 200 Series mobile processors that expand the commercial CPU portfolio to enable PCs spanning a range of price points</t>
  </si>
  <si>
    <t>The AMD Ryzen PRO 8000G series desktops offer an integrated AI desktop solution for enterprises, and our AMD Ryzen Threadripper PRO CPU enables leadership performance for premium workstations</t>
  </si>
  <si>
    <t>Chipsets</t>
  </si>
  <si>
    <t>The Company offers a full suite of chipset products to support our AMD Ryzen and AMD Threadripper platforms, for entry level through professional workstation desktop systems</t>
  </si>
  <si>
    <t>Graphics Segment</t>
  </si>
  <si>
    <t>Graphics processing is a fundamental component across many of The Company's products</t>
  </si>
  <si>
    <t>Customers generally use The Company's graphics solutions to enable immersive visualization and to process AI/ML based workloads</t>
  </si>
  <si>
    <t>The Company develop graphics products for use in various computing devices and entertainment platforms, including data centers, desktop PCs, notebook PCs, handheld devices, All-in-Ones, and professional workstations</t>
  </si>
  <si>
    <t>In addition, The Company leverages core IP, including graphics and processing technologies, to develop semi-custom solutions deeply co-engineered with customers which has enabled many of today’s leading gaming consoles and handheld gaming products</t>
  </si>
  <si>
    <t>Semi-Custom Products</t>
  </si>
  <si>
    <t>The Company's semi-custom products are tailored, high-performance, customer-specific solutions based on CPU, GPU and multi-media technologies</t>
  </si>
  <si>
    <t>The Company works closely with our customers to define solutions to precisely match the requirements of the device or application</t>
  </si>
  <si>
    <t>AMD semi-custom SoC products power the Sony PlayStation® 5, the Microsoft ® Xbox Series S™ and X™ game consoles, as well as the Valve Steam Deck PC</t>
  </si>
  <si>
    <t>In 2024, Sony launched the PlayStation 5 Pro with additional graphics performance and AI capabilities compared to the original PlayStation 5</t>
  </si>
  <si>
    <t>Discrete Desktop and Notebook GPUs</t>
  </si>
  <si>
    <t>AMD Radeon discrete GPU processors for desktop and notebook PCs support current generation application programming interfaces (APIs) like DirectX® 12 Ultimate and Vulkan®, support high-refresh rate displays and include the latest technologies for immersive gaming experiences and high-performance AI/ML computing</t>
  </si>
  <si>
    <t>Current Radeon RX 7000 Series graphics, based on the AMD RDNA™ 3 architecture, deliver high performance for the latest gaming and creation workloads</t>
  </si>
  <si>
    <t>All of The Company's graphics products are supported by the AMD Software: Adrenalin Edition™ application that is regularly enhanced to provide the latest in performance, features, and stability</t>
  </si>
  <si>
    <t>Professional GPUs</t>
  </si>
  <si>
    <t>The Company's AMD Radeon PRO family of professional graphics products are designed for integration in desktop workstations, optimized through hardware and software for demanding use cases such as 3D rendering, design and manufacturing for Computer-Aided Design (CAD), and media and entertainment for broadcast and animation pipelines on high resolution displays</t>
  </si>
  <si>
    <t>Embedded Segment</t>
  </si>
  <si>
    <t>The Embedded segment primarily includes embedded CPUs, GPUs, APUs, FPGAs, and Adaptive SoC products</t>
  </si>
  <si>
    <t>Embedded products address computing needs in aerospace and defense, automotive, industrial, vision and healthcare, communications infrastructure, test measurement, emulation and prototyping, audio, video and broadcasting, and data center</t>
  </si>
  <si>
    <t>Typically, The Company's embedded products are used in applications that require varying levels of performance, where key features may include relatively low power, small form factors, and 24x7 operations</t>
  </si>
  <si>
    <t>High-performance graphics are important in some embedded systems</t>
  </si>
  <si>
    <t>Support for Linux®, Windows® and other operating systems as well as for increasingly sophisticated applications are also critical for some customers</t>
  </si>
  <si>
    <t>Other requirements may include meeting rigid specifications for industrial temperatures, shock, vibration and reliability</t>
  </si>
  <si>
    <t>The Embedded market has moved from developing proprietary, custom designs to leveraging industry-standard instruction set architectures and processors as a way to help reduce costs and speed time to market</t>
  </si>
  <si>
    <t>Embedded CPUs, APUs and GPUs</t>
  </si>
  <si>
    <t>The Company's products for embedded platforms include AMD EPYC Embedded CPUs, AMD Ryzen Embedded series processors including V-Series APUs and CPUs and R-Series APUs and CPUs, and Radeon Embedded GPUs</t>
  </si>
  <si>
    <t>Embedded processors and GPUs are designed to support high performance compute, high-bandwidth network connectivity and security, high-performance storage requirements for enterprise and cloud infrastructure, 3D graphics performance and 4K multimedia requirements of automotive infotainment systems</t>
  </si>
  <si>
    <t>The Company's FPGA products are hardware-customizable devices that can be tailored to meet the specific needs of each customer, enabling them to differentiate their products and accelerate time to market</t>
  </si>
  <si>
    <t>FPGA families include AMD UltraScale+™, UltraScale™ 7 Series, and other older series. Adaptive SoC products include the AMD Zynq™ SoC and Zynq UltraScale+ Multi-Processing System-on-a-Chip (MPSoC), which combine FPGA technology with a heterogeneous processing system, as well as the industry’s first RFSoC architecture with integrated radio frequency (RF) data converters (Zynq UltraScale+ RFSoC)</t>
  </si>
  <si>
    <t>The AMD Versal™ portfolio, composed of software-programmable Adaptive SoCs, is a heterogeneous compute platform that combines a processing system, programmable logic, AI Engines, and digital signal processing (DSP) Engines to achieve dramatic system-level performance improvements over today's fastest FPGA competitors’ solutions and accelerates applications in a wide variety of markets, including aerospace and defense, automotive, industrial, vision and healthcare, communications infrastructure, test measurement, emulation and prototyping, audio, video and broadcasting, and data center</t>
  </si>
  <si>
    <t>Development Boards, Kits and Configuration Products</t>
  </si>
  <si>
    <t>The Company offers development kits for all FPGA and Adaptive SoCs</t>
  </si>
  <si>
    <t>These kits include hardware, development tools, IP, and reference designs that streamline and accelerate the development of domain-specific and market-specific applications</t>
  </si>
  <si>
    <t>The AMD Kria™ K24 SOM provides high determinism and low latency for powering electric drives and motor controllers used in compute-intensive DSP applications at the edge</t>
  </si>
  <si>
    <t>Coupled with the Kria KD240 Drives Starter Kit, an out-of-the-box-ready motor control-based development platform, the products offer a seamless path to production deployment</t>
  </si>
  <si>
    <t>Legacy Product Families</t>
  </si>
  <si>
    <t>The Company offers prior generation high-end Virtex™ and low-end Spartan™ FPGA families as well as the original Virtex and Spartan families</t>
  </si>
  <si>
    <t>prior generations of Complex Programmable Logic Devices (CPLD) include the CoolRunner™ and XC9500 product families</t>
  </si>
  <si>
    <t>CPLDs are single-chip, nonvolatile solutions characterized by instant-on and universal interconnect and operate on the lowest end of the programmable logic density spectrum</t>
  </si>
  <si>
    <t>Design Platforms and Services</t>
  </si>
  <si>
    <r>
      <rPr>
        <b/>
        <sz val="11"/>
        <color theme="1"/>
        <rFont val="Calibre"/>
      </rPr>
      <t>Recent strategic investments include the acquisition of Silo AI</t>
    </r>
    <r>
      <rPr>
        <sz val="11"/>
        <color theme="1"/>
        <rFont val="Calibre"/>
      </rPr>
      <t xml:space="preserve"> (expanding AI model and software capabilities) </t>
    </r>
    <r>
      <rPr>
        <b/>
        <sz val="11"/>
        <color theme="1"/>
        <rFont val="Calibre"/>
      </rPr>
      <t>and the planned acquisition of ZT Systems</t>
    </r>
    <r>
      <rPr>
        <sz val="11"/>
        <color theme="1"/>
        <rFont val="Calibre"/>
      </rPr>
      <t xml:space="preserve"> (enhancing data center AI infrastructure and deployment velocity)</t>
    </r>
  </si>
  <si>
    <t>Adaptable Platforms</t>
  </si>
  <si>
    <t>The Company offers two types of platforms that support our customers' designs and reduce their development efforts: FPGAs and Adaptive SoCs:</t>
  </si>
  <si>
    <t>FPGAs feature reconfigurable hardware as well as integrated memory, DSP, analog mixed signal, high-speed serial transceivers, and networking cores coupled with advanced software for a broad range of applications in all of our end markets</t>
  </si>
  <si>
    <t>The Company's Adaptive SoCs feature a heterogeneous processing system with integrated programmable hardware fabric targeting embedded systems that need real-time control, analytics, sensor fusion, and adaptable hardware for differentiation and acceleration</t>
  </si>
  <si>
    <t>Enabled by both hardware and software design tools and an extensive operating system, middleware, software stack, and IP ecosystem, Adaptive SoCs target software developers as well as traditional hardware designers</t>
  </si>
  <si>
    <t>This product portfolio is ideally suited to accelerate a broad set of applications in the emerging era of big data and AI</t>
  </si>
  <si>
    <t>Software Development Platform</t>
  </si>
  <si>
    <t>The AMD Vivado™ Design Suite provides hardware design teams with the tools and methodology needed to program FPGAs and Adaptive SoCs</t>
  </si>
  <si>
    <t>The Zynq UltraScale+ RFSoCs feature integrated high-performance RF data converters targeting wireless, radar, and cable access applications</t>
  </si>
  <si>
    <t>The Versal portfolio combines a processing system, programmable logic, AI Engines, and DSP Engines with leading-edge memory and interfacing technologies to deliver powerful heterogeneous acceleration for any application</t>
  </si>
  <si>
    <t>The Vitis™ unified software platform enables the development and deployment of embedded software and accelerated applications, on our FPGAs and Adaptive SoCs. Our Vitis AI unified software platform enables the development and deployment of AI software on our FPGAs and Adaptive SoCs</t>
  </si>
  <si>
    <t>Sales and Marketing</t>
  </si>
  <si>
    <t>The Company sells products through a direct sales force and through independent distributors and sales representatives in both domestic and international markets</t>
  </si>
  <si>
    <t>Sales arrangements generally operate on the basis of product forecasts provided by the particular customer, but do not typically include any commitment or requirement for minimum product purchases</t>
  </si>
  <si>
    <t>AMD managers have relatively clear foresight into demand over the next one to two quarters due to customer forecasts, but face substantial uncertainty and lack of guaranteed revenue beyond that period</t>
  </si>
  <si>
    <t>Semi / Compute demand goes through big cycles … is AI cyclical or secular??? is AMD excluded from the hardware boom?</t>
  </si>
  <si>
    <t>The Company primarily uses product quotes, purchase orders, sales order acknowledgments and contractual agreements as evidence of sales arrangements</t>
  </si>
  <si>
    <t>The Company's "agreements" typically contain standard terms and conditions covering matters such as payment terms, warranties and indemnities for issues specific to our products</t>
  </si>
  <si>
    <r>
      <rPr>
        <b/>
        <sz val="11"/>
        <color theme="1"/>
        <rFont val="Calibre"/>
      </rPr>
      <t xml:space="preserve">The Company's generally warrant that products sold to customers will conform to approved specifications and be free from defects </t>
    </r>
    <r>
      <rPr>
        <sz val="11"/>
        <color theme="1"/>
        <rFont val="Calibre"/>
      </rPr>
      <t xml:space="preserve">in material and workmanship under normal use and conditions </t>
    </r>
    <r>
      <rPr>
        <b/>
        <sz val="11"/>
        <color theme="1"/>
        <rFont val="Calibre"/>
      </rPr>
      <t>for one year</t>
    </r>
  </si>
  <si>
    <r>
      <rPr>
        <b/>
        <sz val="11"/>
        <color theme="1"/>
        <rFont val="Calibre"/>
      </rPr>
      <t>The Company offers up to three-year limited warranties for certain product types</t>
    </r>
    <r>
      <rPr>
        <sz val="11"/>
        <color theme="1"/>
        <rFont val="Calibre"/>
      </rPr>
      <t>, and sometimes provide other warranty periods based on negotiated terms with certain customers</t>
    </r>
  </si>
  <si>
    <t>The Company markets and sells its latest products under the AMD trademark</t>
  </si>
  <si>
    <t>Product brand for server microprocessors is AMD EPYC™ processors</t>
  </si>
  <si>
    <t>Product brands for data center graphics are AMD Instinct™ accelerators, and Radeon PRO V-series</t>
  </si>
  <si>
    <t>Client product brands for desktop and notebook PCs include: AMD Ryzen™, AMD Ryzen AI™, AMD Ryzen PRO, AMD Ryzen™ Threadripper™, AMD Ryzen Threadripper PRO, AMD Athlon™, and AMD PRO A-Series processors</t>
  </si>
  <si>
    <t>Product brand for the consumer graphics market is AMD Radeon™ graphics, and AMD Embedded Radeon graphics is our product brand for the embedded graphics market</t>
  </si>
  <si>
    <t>Product brand for professional graphics products is AMD Radeon PRO graphics</t>
  </si>
  <si>
    <t>The Company also markets and sells chipsets under AMD trademarks</t>
  </si>
  <si>
    <t>FPGA products are Virtex™-6, Virtex-7, Virtex UltraScale+, Kintex™-7, Kintex UltraScale™, Kintex UltraScale+, Artix™-7, Artix UltraScale+, Spartan™-6, and Spartan-7 brands</t>
  </si>
  <si>
    <t>Product brands for Adaptive SoCs are Zynq-7000, Zynq UltraScale+ MPSoC, Zynq UltraScale+ RFSoCs, Versal HBM, Versal Premium, Versal Prime, Versal AI Core, Versal AI Edge, Vitis, and Vivado</t>
  </si>
  <si>
    <t>Product for System-on-Module (SOM) is Kria™ brand</t>
  </si>
  <si>
    <t>The Company also sells low-power versions of the AMD Athlon, as well as AMD Geode™, AMD Ryzen, AMD EPYC, AMD R-Series and G-Series processors as embedded processor solutions</t>
  </si>
  <si>
    <t>Compute and network acceleration board products are sold under the Alveo™ and Pensando™ brands</t>
  </si>
  <si>
    <t>In addition, The Company has cooperative advertising and marketing programs with customers and third parties, including market development programs, pursuant to which we may provide product information, training, marketing materials and funds</t>
  </si>
  <si>
    <t>AMD markets its products via both direct efforts (through its own sales and marketing channels) and co-marketing partnerships</t>
  </si>
  <si>
    <t>These programs utilize the reach and influence of channel partners, OEMs, and third parties to promote AMD products, often extending their presence in specific verticals or regions</t>
  </si>
  <si>
    <t>AMD collaborates with customers and third-party systems integrators in joint advertising and marketing initiatives</t>
  </si>
  <si>
    <t>Eligible partners can access Market Development Funds (MDF) as reimbursement for their AMD-related advertising and marketing activities</t>
  </si>
  <si>
    <t>These MDF programs typically cover:</t>
  </si>
  <si>
    <t>Development of product information collateral</t>
  </si>
  <si>
    <t>Training for partner sales and technical teams</t>
  </si>
  <si>
    <t>Production and distribution of marketing materials</t>
  </si>
  <si>
    <t>Funding for advertisements, digital campaigns, tradeshows, and other activities designed to build demand for AMD products</t>
  </si>
  <si>
    <t>Partners must meet predefined eligibility criteria—which may include sales targets, approved marketing plans, or alignment with AMD campaigns—to access these funds</t>
  </si>
  <si>
    <t>AMD’s broader marketing approach is multi-layered and collaborative, designed to maximize brand exposure, drive demand, and enable rapid market share gains:</t>
  </si>
  <si>
    <t>Channel-Centric Marketing: By leveraging global OEMs, system integrators, and value-added distributors, AMD amplifies the reach and effectiveness of its product launches and campaigns</t>
  </si>
  <si>
    <t>Joint Campaigns &amp; Brand Building: AMD often sponsors joint events, online and in-person advertising, and provides tailored marketing materials so partners can more easily position AMD solutions to their customers</t>
  </si>
  <si>
    <t>Training and Enablement: AMD invests in regular partner and customer training to ensure value propositions, tech differentiators, and use cases are clearly understood and communicated</t>
  </si>
  <si>
    <t>Ecosystem Collaboration: Working closely with third-party hardware, software, and solution providers, AMD integrates its technology into broader platforms—this “ecosystem marketing” is vital in areas like gaming and data center AI</t>
  </si>
  <si>
    <t>BIG</t>
  </si>
  <si>
    <t>Open Market Development and MDF Funding: AMD deploys resources to tap local and vertical-specific demand, using MDF and similar programs to seed growth in new markets, accelerate key launches, and support partners with regionally relevant campaigns</t>
  </si>
  <si>
    <t>AMD’s direct and cooperative marketing programs are central to its strategy, leveraging market development funds and joint initiatives to maximize reach, boost demand, and establish AMD as an essential component of global computing infrastructure—across consumer, commercial, enterprise, and cloud domains</t>
  </si>
  <si>
    <t>Customer Overview</t>
  </si>
  <si>
    <t>The Company's Data Center Segment customers consist primarily of hyperscale data centers, original equipment manufacturers (OEMs), original design manufacturers (ODMs), system integrators and independent distributors in both domestic and international markets</t>
  </si>
  <si>
    <t>ODMs provide design and/or manufacturing services to branded and unbranded private label resellers, OEMs and system builders</t>
  </si>
  <si>
    <t>Client Segment customers consist primarily of PC OEMs, a network of independent distributors and, for chipset products, ODMs that manufacture motherboards</t>
  </si>
  <si>
    <t>Gaming Segment customers include PC OEMs and independent distributors as well as add-in-board manufacturers (AIBs), independent game console and portable gaming devices manufacturers and contract manufacturers for AMD branded graphics cards</t>
  </si>
  <si>
    <t>Embedded Segment products are sold to customers in a very wide range of markets such as aerospace and defense, automotive, industrial, vision and healthcare, communications infrastructure, test measurement, emulation and prototyping, audio, video and broadcasting, and data center</t>
  </si>
  <si>
    <t>For these products, we either sell directly to our customers or through a network of distributors and OEM partners. We are also developing a network of Value Added Resellers (VARs) and Integrated Solution Vendors (ISVs) for our Alveo products</t>
  </si>
  <si>
    <t>The Company works closely with customers to define product features, performance and timing of new products so that the products The Company is developing meet customers’ needs</t>
  </si>
  <si>
    <t>The Company also employs application engineers to assist our customers in designing, testing and qualifying system designs that incorporate The Company's products</t>
  </si>
  <si>
    <t>The Company believes in a commitment to customer service and design support which improves customers’ time-to-market and fosters relationships that encourage customers to use The Company's next-gen products</t>
  </si>
  <si>
    <t>The Company also works with customers to create differentiated products that leverage Company CPU, GPU, APU, DPU and FPGA technology</t>
  </si>
  <si>
    <t>Certain customers pay The Company non-recurring engineering fees for design and development services and a purchase price for the resulting products</t>
  </si>
  <si>
    <t>Original Equipment Manufacturers</t>
  </si>
  <si>
    <t>The Company focuses on three types of OEM partners: multi-nationals, selected regional accounts and selected global and local system integrators, who target commercial and consumer end customers of all sizes</t>
  </si>
  <si>
    <t>Large multi-nationals and regional accounts are the core of our OEM partners’ business; however, we are increasingly focused on the VAR channel which resells OEM systems to the mid-market and the small and medium business (SMB) segments</t>
  </si>
  <si>
    <t>Additionally, The Company has increased its focus on global system integrators, which resell OEM systems, coupled with their software and services solutions into Enterprise, high performance computing (HPC) and Cloud Service Provider customers</t>
  </si>
  <si>
    <t>OEM customers include numerous foreign and domestic manufacturers of servers and workstations, desktops, notebooks, PC motherboards and game consoles</t>
  </si>
  <si>
    <t>Hyperscale Data Centers</t>
  </si>
  <si>
    <t>Large multi-national public cloud service providers and hyperscale private data centers directly and indirectly purchase a substantial portion of our data center-focused products, including server CPUs, GPU accelerators, DPUs, FPGAs and Adaptive SOCs</t>
  </si>
  <si>
    <t>These products are incorporated into servers and other data center appliances sold by OEMs to the hyperscale customers or into custom servers or hardware designed by or for these customers and manufactured by ODMs or contract manufacturers</t>
  </si>
  <si>
    <t>Hyperscale data centers use these products to operate web-based applications or to support public cloud computing and storage service offerings, including but not limited to AI workloads such as generative AI models</t>
  </si>
  <si>
    <t>Third-Party Distributors</t>
  </si>
  <si>
    <t>The Company's authorized channel distributors resell to sub-distributors, OEMs, ODMs, and other customers</t>
  </si>
  <si>
    <t>Distributors typically maintain an inventory of The Company's products ... In most instances, our agreements with distributors protect their inventory of The Company's products against price reductions and provide certain return rights with respect to any product that The Company has removed from price book or otherwise subject to discontinuation</t>
  </si>
  <si>
    <t>In addition, some agreements with our distributors may contain standard stock rotation provisions permitting limited product returns</t>
  </si>
  <si>
    <t>Typically, distributors handle a wide variety of products, and may include products from other manufacturers that compete with The Company's products</t>
  </si>
  <si>
    <t>Add-in-Board (AIB) Manufacturers and System Integrators</t>
  </si>
  <si>
    <t>We offer component-level graphics and chipset products to AIB manufacturers who in turn build and sell board-level products using our technology to system integrators (SIs), retailers and sub distributors</t>
  </si>
  <si>
    <t>In most instances, The Company's agreements with AIBs protect their inventory of our products against price reductions</t>
  </si>
  <si>
    <t>The Company also sells directly to some SI customers ... SIs typically sell from positions of regional or product-based strength in the market</t>
  </si>
  <si>
    <t>They usually operate on short design cycles and can respond quickly with new technologies</t>
  </si>
  <si>
    <t>SIs often use discrete graphics solutions as a means to differentiate their products and add value to their customers</t>
  </si>
  <si>
    <t>Competition</t>
  </si>
  <si>
    <t>The markets in which our products are sold are highly competitive and delivering the latest and best products to market on a timely basis is critical to achieving revenue growth</t>
  </si>
  <si>
    <t>Managers believe that the main factors that determine our product competitiveness are total cost of ownership, timely product introductions, product quality, product features and capabilities (including accelerations for key workloads such as AI), energy efficiency (including power consumption and battery life, given their impact on total cost of ownership), reliability,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t>
  </si>
  <si>
    <t>We expect that competition will continue to be intense due to rapid technological changes, frequent product introductions by our competitors or new competitors of products that may provide better performance or experiences or that may include additional features that render our products comparatively less competitive</t>
  </si>
  <si>
    <t>Competition in Data Center Segment</t>
  </si>
  <si>
    <t>In the Data Center segment, The Company competes primarily against Intel Corporation (Intel) and NVIDIA Corporation (NVIDIA) with our CPU, GPU and DPU server products</t>
  </si>
  <si>
    <t>In addition, we compete against Intel with our FPGA and Adaptive SoC server products</t>
  </si>
  <si>
    <t>A variety of smaller fabless silicon companies offer proprietary accelerator solutions and Arm based CPUs targeting data center use-cases</t>
  </si>
  <si>
    <t>In addition, some of our customers are internally developing their own data center microprocessor products and accelerator products which could impact the available market for our products</t>
  </si>
  <si>
    <t xml:space="preserve">The CPU market has been reduced to a duopoly between Intel and AMD for leading edge x86 architectures … With Intel's rapid business deterioration over the last year or two, will AMD take majority share of the CPU market </t>
  </si>
  <si>
    <t>Are there any other potential players in the domestic compute business who might potentially take on CPU development??? Would NVDA ever make entry into a CPU design segment?</t>
  </si>
  <si>
    <t>Competition in Client Segment</t>
  </si>
  <si>
    <t>The Companies primary competitor in the supply of CPUs and APUs is Intel … A variety of companies provide or have developed Arm-based microprocessors and platforms which could lead to further adoption of Arm-based PC solutions</t>
  </si>
  <si>
    <t>Competition in Gaming Segment</t>
  </si>
  <si>
    <t>In the graphics market, The Company's principal competitor in the supply of discrete graphics is NVIDIA, who is the discrete GPU market share leader, and Intel, who manufactures and sells integrated graphics processors and gaming-focused discrete GPUs</t>
  </si>
  <si>
    <t>With respect to integrated graphics, higher unit shipments of The Company's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t>
  </si>
  <si>
    <t>The Company is the market share leader in semi-custom game console products, where graphics performance is critical</t>
  </si>
  <si>
    <t>Competition in Embedded Segment</t>
  </si>
  <si>
    <t>The Company expects continued competition from primary FPGA competitors such as Intel, Lattice Semiconductor Corporation and Microsemi Corporation, and from ASSP vendors such as Broadcom Corporation, Marvell Technology Group, Ltd., Analog Devices, Texas Instruments Incorporated and NXP Semiconductors N.V., and from Qualcomm Incorporated and NVIDIA</t>
  </si>
  <si>
    <t>In addition, we expect continued competition from the ASIC market, which has been ongoing since the inception of FPGAs</t>
  </si>
  <si>
    <t xml:space="preserve">Google's TPUs are a big deal in that regard, although in all sincerity, it looks like most serious AI data scientists basically only want to work with CUDA and NVIDIA's hardware … </t>
  </si>
  <si>
    <t>AMD has been working on partnership deals with the hyperscale's and it'll be fun to see if they can "catch up" ... but we may already be mid-late cycle in this AI investment boom</t>
  </si>
  <si>
    <t>Google started using them internally in 2015 and later made them available through their cloud services</t>
  </si>
  <si>
    <t>Intel is our main competitor for embedded CPUs</t>
  </si>
  <si>
    <t>Other competitors include manufacturers of high-density programmable logic products characterized by FPGA-type architectures; high-volume and low-cost FPGAs as programmable replacements for ASICs and ASSPs; ASICs and ASSPs with incremental amounts of embedded programmable logic; high-speed, low-density CPLDs; high-performance DSP devices; products with embedded processors; products with embedded multi-gigabit transceivers; discrete general-purpose GPUs targeting data center and automotive applications; and other new or emerging programmable logic products</t>
  </si>
  <si>
    <t>Research and Development</t>
  </si>
  <si>
    <t>The Company focuses research and development (R&amp;D) activities on designing and developing products</t>
  </si>
  <si>
    <t>The Company's main area of focus is on delivering the next generation of processors (CPU and GPU), FPGAs and Adaptive SoCs, accelerators (adaptive, graphics and DPU), SOMs and SmartNICs and associated software</t>
  </si>
  <si>
    <t>The Company focuses on designing, with security in mind, new integrated circuits (ICs) with improved performance and performance-per-watt in advanced semiconductor manufacturing processes, the design of logic and interface IP, advanced packaging technologies, and heterogeneous integration technologies</t>
  </si>
  <si>
    <t>The Company also focuses on software as part of the development of our products, including design automation tools for hardware, embedded software, optimized software tools and libraries that extend the reach of The Company's platforms to software and AI developers</t>
  </si>
  <si>
    <t>Through targeted R&amp;D efforts, The Company has been able to introduce a number of new products and enhance IP core offerings and software</t>
  </si>
  <si>
    <t>The Company works with industry leaders on process technology, design tools, intellectual property, software and other industry consortia to conduct early-stage R&amp;D</t>
  </si>
  <si>
    <t>The firm is also actively contributing to numerous industry open-source software initiatives across a broad range of technologies</t>
  </si>
  <si>
    <t>The Company conducts product and system R&amp;D activities for products in the United States with additional design and development engineering teams located in various countries who undertake specific activities at the direction of The Company's U.S. headquarters</t>
  </si>
  <si>
    <t>Manufacturing Arrangements and Assembly and Test Facilities</t>
  </si>
  <si>
    <t>Third-Party Wafer Foundry Facilities</t>
  </si>
  <si>
    <t xml:space="preserve">TSMC does all of the advanced manufacturing … AMD has almost completely bucked Global Foundries from the production line … GF only produces legacy nodes ATP … investigate relationship and history further </t>
  </si>
  <si>
    <t>AMD + GF relationship documentary = good place to start … Thx asianometry --&gt;</t>
  </si>
  <si>
    <t>https://www.youtube.com/watch?v=oAlU6vQ1Pn8</t>
  </si>
  <si>
    <t>Other Third-Party Manufacturers</t>
  </si>
  <si>
    <t>The Company outsources board-level graphics product manufacturing to third-party manufacturers</t>
  </si>
  <si>
    <t>AMD spun off its semiconductor manufacturing operations into GlobalFoundries in 2009, and since then, GlobalFoundries has been a significant supplier for AMD's chips\</t>
  </si>
  <si>
    <t>Although AMD no longer owns fabs, it has a wafer supply agreement with GlobalFoundries that includes purchases of silicon wafers and manufacturing services</t>
  </si>
  <si>
    <t>NVDIA has no such agreement, and currently manufactures all of its chips through TSMC</t>
  </si>
  <si>
    <t>Over time, AMD has gained increasing flexibility to source manufacturing from other foundries, particularly Taiwan Semiconductor Manufacturing Company (TSMC), which is now AMD's main foundry partner for leading-edge processes like 7nm and 5nm</t>
  </si>
  <si>
    <t>Assembly, Test, Mark and Packaging Facilities</t>
  </si>
  <si>
    <t>Wafers for The Company's products are either sorted by the foundry or delivered by the foundry to The Company's assembly, test, mark and packaging (ATMP) partners or subcontractors located in the Asia-Pacific region who package and test The Company's final semiconductor products</t>
  </si>
  <si>
    <t>We are party to two ATMP joint ventures (collectively, the ATMP JVs) with Tongfu Microelectronics Co., Ltd. The ATMP JVs, Siliconware Precision Industries Ltd. (SPIL) and King Yuan Electronics Company (KYEC) provide ATMP services for our products</t>
  </si>
  <si>
    <t>Intellectual Property and Licensing</t>
  </si>
  <si>
    <t>The Company relies on contracts and intellectual property rights to protect products and technologies from unauthorized third-party copying and use</t>
  </si>
  <si>
    <t xml:space="preserve"> Intellectual property rights include copyrights, patents, patent applications, trademarks, trade secrets and mask work rights</t>
  </si>
  <si>
    <r>
      <t xml:space="preserve">As of December 28, 2024, </t>
    </r>
    <r>
      <rPr>
        <b/>
        <sz val="11"/>
        <color theme="1"/>
        <rFont val="Calibre"/>
      </rPr>
      <t xml:space="preserve">The Company had approximately 7,500 patents </t>
    </r>
    <r>
      <rPr>
        <sz val="11"/>
        <color theme="1"/>
        <rFont val="Calibre"/>
      </rPr>
      <t xml:space="preserve">in the </t>
    </r>
    <r>
      <rPr>
        <b/>
        <sz val="11"/>
        <color theme="1"/>
        <rFont val="Calibre"/>
      </rPr>
      <t xml:space="preserve">United States </t>
    </r>
    <r>
      <rPr>
        <sz val="11"/>
        <color theme="1"/>
        <rFont val="Calibre"/>
      </rPr>
      <t xml:space="preserve">and </t>
    </r>
    <r>
      <rPr>
        <b/>
        <sz val="11"/>
        <color theme="1"/>
        <rFont val="Calibre"/>
      </rPr>
      <t xml:space="preserve">approximately 1,900 patent applications pending </t>
    </r>
    <r>
      <rPr>
        <sz val="11"/>
        <color theme="1"/>
        <rFont val="Calibre"/>
      </rPr>
      <t>in the United States</t>
    </r>
  </si>
  <si>
    <r>
      <rPr>
        <b/>
        <sz val="11"/>
        <color theme="1"/>
        <rFont val="Calibre"/>
      </rPr>
      <t xml:space="preserve">The Company utilizes </t>
    </r>
    <r>
      <rPr>
        <sz val="11"/>
        <color theme="1"/>
        <rFont val="Calibre"/>
      </rPr>
      <t xml:space="preserve">Taiwan Semiconductor Manufacturing Company Limited </t>
    </r>
    <r>
      <rPr>
        <b/>
        <sz val="11"/>
        <color theme="1"/>
        <rFont val="Calibre"/>
      </rPr>
      <t xml:space="preserve">(TSMC) for the production of wafers </t>
    </r>
    <r>
      <rPr>
        <sz val="11"/>
        <color theme="1"/>
        <rFont val="Calibre"/>
      </rPr>
      <t xml:space="preserve">for The Company's HPC, FPGA and Adaptive SoC products </t>
    </r>
    <r>
      <rPr>
        <b/>
        <sz val="11"/>
        <color theme="1"/>
        <rFont val="Calibre"/>
      </rPr>
      <t>and</t>
    </r>
    <r>
      <rPr>
        <sz val="11"/>
        <color theme="1"/>
        <rFont val="Calibre"/>
      </rPr>
      <t xml:space="preserve"> GLOBALFOUNDRIES Inc. </t>
    </r>
    <r>
      <rPr>
        <b/>
        <sz val="11"/>
        <color theme="1"/>
        <rFont val="Calibre"/>
      </rPr>
      <t>(GF)</t>
    </r>
    <r>
      <rPr>
        <sz val="11"/>
        <color theme="1"/>
        <rFont val="Calibre"/>
      </rPr>
      <t>, with respect to wafer purchases for our HPC products at the 12 nm and 14 nm technology nodes</t>
    </r>
  </si>
  <si>
    <r>
      <t xml:space="preserve">Additionally, </t>
    </r>
    <r>
      <rPr>
        <b/>
        <sz val="11"/>
        <color theme="1"/>
        <rFont val="Calibre"/>
      </rPr>
      <t>The Company utilizes TSMC</t>
    </r>
    <r>
      <rPr>
        <sz val="11"/>
        <color theme="1"/>
        <rFont val="Calibre"/>
      </rPr>
      <t>, United Microelectronics Corporation (</t>
    </r>
    <r>
      <rPr>
        <b/>
        <sz val="11"/>
        <color theme="1"/>
        <rFont val="Calibre"/>
      </rPr>
      <t>UMC</t>
    </r>
    <r>
      <rPr>
        <sz val="11"/>
        <color theme="1"/>
        <rFont val="Calibre"/>
      </rPr>
      <t xml:space="preserve">) and </t>
    </r>
    <r>
      <rPr>
        <b/>
        <sz val="11"/>
        <color theme="1"/>
        <rFont val="Calibre"/>
      </rPr>
      <t>Samsung Electronics Co</t>
    </r>
    <r>
      <rPr>
        <sz val="11"/>
        <color theme="1"/>
        <rFont val="Calibre"/>
      </rPr>
      <t xml:space="preserve">., Ltd. </t>
    </r>
    <r>
      <rPr>
        <b/>
        <sz val="11"/>
        <color theme="1"/>
        <rFont val="Calibre"/>
      </rPr>
      <t xml:space="preserve">for the production of ICs </t>
    </r>
    <r>
      <rPr>
        <sz val="11"/>
        <color theme="1"/>
        <rFont val="Calibre"/>
      </rPr>
      <t>in the form of programmable logic devices</t>
    </r>
  </si>
  <si>
    <t>In certain cases, The Company has filed corresponding applications in foreign jurisdictions</t>
  </si>
  <si>
    <t>The Company has approximately 18,800 patent matters worldwide consisting of approximately 13,200 issued patents and 5,600 patent applications pending</t>
  </si>
  <si>
    <t>The Company expects to file future patent applications in both the United States and abroad on significant inventions, as The Company deems appropriate</t>
  </si>
  <si>
    <t>Managers do not believe that any individual patent, or the expiration of any patent, is or would be material to The Business</t>
  </si>
  <si>
    <t>As is typical in the semiconductor industry, The Company has numerous cross-licensing and technology exchange agreements with other companies under which The Company both transfers and receives technology and intellectual property rights</t>
  </si>
  <si>
    <t>The Company has acquired various licenses from external parties to certain technologies that are implemented in our products, including our IP cores and devices … The Licenses support The Company's continuing ability to make and sell cutting edge products</t>
  </si>
  <si>
    <t>The Company has also acquired licenses to certain proprietary software, open-source software, and related technologies, such as compilers, for The Company's design tools</t>
  </si>
  <si>
    <t>Continued use of such software and technology is important to the operation of the design tools upon which The Company's customers depend</t>
  </si>
  <si>
    <t>Investigate technology licensing and partnerships in greater depth … The IP web of semiconductors is both expansive and fascinating</t>
  </si>
  <si>
    <t>Inventory Backlog</t>
  </si>
  <si>
    <t>Sales are made primarily pursuant to purchase orders for current delivery or agreements covering purchases over a period of time</t>
  </si>
  <si>
    <t>Although such orders or agreements may provide visibility into future quarters, they may not necessarily be indicative of actual sales for any succeeding period as some of these orders or agreements may be revised or canceled without penalty</t>
  </si>
  <si>
    <t xml:space="preserve">Seasonality </t>
  </si>
  <si>
    <r>
      <rPr>
        <b/>
        <sz val="11"/>
        <color theme="1"/>
        <rFont val="Calibre"/>
      </rPr>
      <t>The Company's operating results tend to vary seasonally</t>
    </r>
    <r>
      <rPr>
        <sz val="11"/>
        <color theme="1"/>
        <rFont val="Calibre"/>
      </rPr>
      <t xml:space="preserve"> ... Historically, </t>
    </r>
    <r>
      <rPr>
        <b/>
        <sz val="11"/>
        <color theme="1"/>
        <rFont val="Calibre"/>
      </rPr>
      <t xml:space="preserve">net revenue has been generally higher in the second half of the year </t>
    </r>
    <r>
      <rPr>
        <sz val="11"/>
        <color theme="1"/>
        <rFont val="Calibre"/>
      </rPr>
      <t>than in the first half of the year, although market conditions and product transitions could impact these trends</t>
    </r>
  </si>
  <si>
    <t>Human Capital</t>
  </si>
  <si>
    <t xml:space="preserve">As of December 28, 2024, The Company had a global workforce of approximately 28,000 employees </t>
  </si>
  <si>
    <t>Managers believe The Company is at its best when a shared culture of innovation, creative minds and people from all kinds of backgrounds work together in an engaging and open environment</t>
  </si>
  <si>
    <t>Financial Stmts. Notes/Observations (Updated Q2'25)</t>
  </si>
  <si>
    <t>General Notes/Observations (Updated Q2'25)</t>
  </si>
  <si>
    <t>Fiscal Year: [January - December]</t>
  </si>
  <si>
    <r>
      <rPr>
        <b/>
        <sz val="11"/>
        <color theme="1"/>
        <rFont val="Calibre"/>
      </rPr>
      <t xml:space="preserve">AMD is considered semi-fabless rather than completely fabless </t>
    </r>
    <r>
      <rPr>
        <sz val="11"/>
        <color theme="1"/>
        <rFont val="Calibre"/>
      </rPr>
      <t xml:space="preserve">due to its historical and ongoing </t>
    </r>
    <r>
      <rPr>
        <b/>
        <sz val="11"/>
        <color theme="1"/>
        <rFont val="Calibre"/>
      </rPr>
      <t>relationship with GlobalFoundries</t>
    </r>
  </si>
  <si>
    <t>Founded in 1969 and headquartered in Santa Clara, California, AMD is a global semiconductor company that designs and manufactures high-performance computing and graphics solutions</t>
  </si>
  <si>
    <t>AMD is a leader in CPUs, GPUs, and accelerators powering personal computers, data centers, and gaming consoles</t>
  </si>
  <si>
    <t>This segment focuses on high-performance computing, cloud computing, artificial intelligence, and hyperscale data center markets</t>
  </si>
  <si>
    <t>Key partnerships with cloud providers and enterprises drive demand for AI acceleration and data analytics workloads</t>
  </si>
  <si>
    <t>The Company serves original equipment and design manufacturers, public cloud service providers, system integrators, independent distributors, and add-in-board manufacturers through its direct sales force and sales representatives</t>
  </si>
  <si>
    <t xml:space="preserve">AMD recently merged its Client and Gaming segments for financial reporting … </t>
  </si>
  <si>
    <t>Client segment includes Ryzen and Athlon processors for desktops, laptops, and integrated graphics solutions targeting consumer and commercial PCs</t>
  </si>
  <si>
    <t>Gaming segment includes Radeon GPUs for gaming PCs, gaming laptops, and semi-custom processors for game consoles (Sony PlayStation, Microsoft Xbox)</t>
  </si>
  <si>
    <t>Covers high-performance processors and graphics for automotive electronics, industrial automation, telecommunications, and medical devices</t>
  </si>
  <si>
    <t xml:space="preserve">Lisa Su, Chair, President &amp; CEO, is well-regarded for transforming AMD into a leading chip company, focusing on high-performance and AI-centric computing </t>
  </si>
  <si>
    <t>Lisa and Jensen are distant cousins … The Taiwanese really do know semiconductors … those family dinners must be crazy … "Jensen is CEO of $4.5 trillion dollar company … you only CEO of $250 billion dollar company … B+ in business!!!"</t>
  </si>
  <si>
    <t>Google's TPUs (Tensor Processing Units) are considered a form of ASIC chip … They are custom-designed by Google specifically to accelerate machine learning workloads (DeepMind), making them specialized rather than general-purpose like CPUs or GPUs</t>
  </si>
  <si>
    <t>Investigate further … does Foxconn do the packaging?</t>
  </si>
  <si>
    <t>Ohh … I guess no Foxconn … might still be worth investigating that firm</t>
  </si>
  <si>
    <t>Strategic partnerships with Microsoft, Sony, major cloud providers, and AI ecosystem players</t>
  </si>
  <si>
    <t>Current Portion of Debt</t>
  </si>
  <si>
    <t>Q3'25</t>
  </si>
  <si>
    <t>11/5/25</t>
  </si>
  <si>
    <t>12/30/25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</si>
</sst>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
      <sz val="11"/>
      <color theme="8" tint="-0.249977111117893"/>
      <name val="Calibre"/>
    </font>
    <font>
      <b/>
      <sz val="11"/>
      <color theme="4" tint="-0.249977111117893"/>
      <name val="Calibre"/>
    </font>
    <font>
      <b/>
      <sz val="11"/>
      <color theme="8" tint="-0.249977111117893"/>
      <name val="Calibre"/>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0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14" fontId="2" fillId="0" borderId="0" xfId="0" applyNumberFormat="1" applyFont="1" applyAlignment="1">
      <alignment horizontal="left"/>
    </xf>
    <xf numFmtId="0" fontId="17" fillId="0" borderId="0" xfId="0" applyFont="1"/>
    <xf numFmtId="164" fontId="2" fillId="0" borderId="0" xfId="1" applyNumberFormat="1" applyFont="1"/>
    <xf numFmtId="9" fontId="2" fillId="0" borderId="0" xfId="1" applyFont="1"/>
    <xf numFmtId="165" fontId="2" fillId="0" borderId="0" xfId="0" applyNumberFormat="1" applyFont="1"/>
    <xf numFmtId="10" fontId="0" fillId="0" borderId="0" xfId="0" applyNumberFormat="1"/>
    <xf numFmtId="0" fontId="0" fillId="0" borderId="18" xfId="0" applyBorder="1"/>
    <xf numFmtId="0" fontId="9" fillId="0" borderId="17" xfId="0" applyFont="1" applyBorder="1" applyAlignment="1">
      <alignment horizontal="center"/>
    </xf>
    <xf numFmtId="164" fontId="3" fillId="0" borderId="0" xfId="1" applyNumberFormat="1" applyFont="1"/>
    <xf numFmtId="0" fontId="18" fillId="0" borderId="0" xfId="0" applyFont="1"/>
    <xf numFmtId="0" fontId="19" fillId="0" borderId="0" xfId="0" applyFont="1"/>
    <xf numFmtId="0" fontId="20" fillId="0" borderId="0" xfId="0" applyFont="1"/>
    <xf numFmtId="0" fontId="21" fillId="0" borderId="0" xfId="0" applyFont="1"/>
    <xf numFmtId="0" fontId="13" fillId="0" borderId="0" xfId="0" applyFont="1" applyAlignment="1">
      <alignment vertical="top"/>
    </xf>
    <xf numFmtId="0" fontId="13" fillId="0" borderId="0" xfId="0" applyFont="1" applyAlignment="1">
      <alignment horizontal="righ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4" fontId="13" fillId="0" borderId="0" xfId="1" applyNumberFormat="1" applyFont="1" applyAlignment="1">
      <alignment vertical="top"/>
    </xf>
    <xf numFmtId="14" fontId="13" fillId="0" borderId="0" xfId="0" applyNumberFormat="1" applyFont="1" applyAlignment="1">
      <alignment horizontal="right" vertical="top"/>
    </xf>
    <xf numFmtId="2" fontId="13" fillId="0" borderId="0" xfId="0" applyNumberFormat="1" applyFont="1" applyAlignment="1">
      <alignment vertical="top"/>
    </xf>
    <xf numFmtId="0" fontId="3" fillId="0" borderId="0" xfId="0" applyFont="1" applyAlignment="1">
      <alignment vertical="top"/>
    </xf>
    <xf numFmtId="49" fontId="13" fillId="0" borderId="0" xfId="0" applyNumberFormat="1" applyFont="1" applyAlignment="1">
      <alignment horizontal="right" vertical="top"/>
    </xf>
    <xf numFmtId="1" fontId="18" fillId="0" borderId="0" xfId="0" applyNumberFormat="1" applyFont="1"/>
    <xf numFmtId="1" fontId="20" fillId="0" borderId="0" xfId="0" applyNumberFormat="1" applyFont="1"/>
    <xf numFmtId="164" fontId="18" fillId="0" borderId="0" xfId="1" applyNumberFormat="1" applyFont="1"/>
    <xf numFmtId="2" fontId="20" fillId="0" borderId="0" xfId="0" applyNumberFormat="1" applyFont="1"/>
    <xf numFmtId="0" fontId="14" fillId="0" borderId="0" xfId="0" applyFont="1" applyAlignment="1">
      <alignment horizontal="left"/>
    </xf>
    <xf numFmtId="0" fontId="2" fillId="0" borderId="0" xfId="0" applyFont="1" applyAlignment="1">
      <alignment vertical="top" wrapText="1"/>
    </xf>
    <xf numFmtId="0" fontId="15" fillId="0" borderId="0" xfId="2"/>
    <xf numFmtId="0" fontId="4" fillId="6" borderId="0" xfId="0" applyFont="1" applyFill="1" applyAlignment="1">
      <alignment horizontal="center"/>
    </xf>
    <xf numFmtId="166" fontId="2" fillId="0" borderId="0" xfId="3" applyNumberFormat="1" applyFont="1" applyAlignment="1">
      <alignment horizontal="right" indent="2"/>
    </xf>
    <xf numFmtId="43" fontId="2" fillId="0" borderId="0" xfId="3" applyFont="1" applyAlignment="1">
      <alignment horizontal="right" indent="2"/>
    </xf>
    <xf numFmtId="164" fontId="20" fillId="0" borderId="0" xfId="1" applyNumberFormat="1" applyFont="1"/>
    <xf numFmtId="164" fontId="18" fillId="0" borderId="0" xfId="0" applyNumberFormat="1" applyFont="1"/>
    <xf numFmtId="0" fontId="2" fillId="0" borderId="0" xfId="0" applyFont="1" applyAlignment="1">
      <alignment horizontal="left" vertical="top" wrapText="1"/>
    </xf>
    <xf numFmtId="0" fontId="18"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CCFF66"/>
      <color rgb="FFC9E2B8"/>
      <color rgb="FF29FF8A"/>
      <color rgb="FF91BCE3"/>
      <color rgb="FFD37BA7"/>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(AMD)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8"/>
          <c:order val="0"/>
          <c:tx>
            <c:strRef>
              <c:f>Model!$B$6</c:f>
              <c:strCache>
                <c:ptCount val="1"/>
                <c:pt idx="0">
                  <c:v>Gaming</c:v>
                </c:pt>
              </c:strCache>
            </c:strRef>
          </c:tx>
          <c:spPr>
            <a:solidFill>
              <a:srgbClr val="70AD47">
                <a:lumMod val="60000"/>
                <a:lumOff val="40000"/>
              </a:srgb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Model!$AU$6:$BL$6</c:f>
              <c:numCache>
                <c:formatCode>General</c:formatCode>
                <c:ptCount val="18"/>
                <c:pt idx="0">
                  <c:v>1179</c:v>
                </c:pt>
                <c:pt idx="1">
                  <c:v>1255</c:v>
                </c:pt>
                <c:pt idx="2">
                  <c:v>1434</c:v>
                </c:pt>
                <c:pt idx="3">
                  <c:v>1739</c:v>
                </c:pt>
                <c:pt idx="4">
                  <c:v>1875</c:v>
                </c:pt>
                <c:pt idx="5">
                  <c:v>1655</c:v>
                </c:pt>
                <c:pt idx="6">
                  <c:v>1631</c:v>
                </c:pt>
                <c:pt idx="7">
                  <c:v>1644</c:v>
                </c:pt>
                <c:pt idx="8">
                  <c:v>1757</c:v>
                </c:pt>
                <c:pt idx="9">
                  <c:v>1581</c:v>
                </c:pt>
                <c:pt idx="10">
                  <c:v>1506</c:v>
                </c:pt>
                <c:pt idx="11">
                  <c:v>1368</c:v>
                </c:pt>
                <c:pt idx="12">
                  <c:v>922</c:v>
                </c:pt>
                <c:pt idx="13">
                  <c:v>648</c:v>
                </c:pt>
                <c:pt idx="14">
                  <c:v>462</c:v>
                </c:pt>
                <c:pt idx="15">
                  <c:v>563</c:v>
                </c:pt>
                <c:pt idx="16">
                  <c:v>647</c:v>
                </c:pt>
                <c:pt idx="17">
                  <c:v>1122</c:v>
                </c:pt>
              </c:numCache>
            </c:numRef>
          </c:val>
          <c:extLst>
            <c:ext xmlns:c16="http://schemas.microsoft.com/office/drawing/2014/chart" uri="{C3380CC4-5D6E-409C-BE32-E72D297353CC}">
              <c16:uniqueId val="{00000008-763E-43B3-B662-D76C6E829219}"/>
            </c:ext>
          </c:extLst>
        </c:ser>
        <c:ser>
          <c:idx val="9"/>
          <c:order val="1"/>
          <c:tx>
            <c:strRef>
              <c:f>Model!$B$8</c:f>
              <c:strCache>
                <c:ptCount val="1"/>
                <c:pt idx="0">
                  <c:v>Embedded</c:v>
                </c:pt>
              </c:strCache>
            </c:strRef>
          </c:tx>
          <c:spPr>
            <a:solidFill>
              <a:srgbClr val="CCFF66"/>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Model!$AU$8:$BL$8</c:f>
              <c:numCache>
                <c:formatCode>General</c:formatCode>
                <c:ptCount val="18"/>
                <c:pt idx="0">
                  <c:v>27</c:v>
                </c:pt>
                <c:pt idx="1">
                  <c:v>54</c:v>
                </c:pt>
                <c:pt idx="2">
                  <c:v>79</c:v>
                </c:pt>
                <c:pt idx="3">
                  <c:v>86</c:v>
                </c:pt>
                <c:pt idx="4">
                  <c:v>595</c:v>
                </c:pt>
                <c:pt idx="5">
                  <c:v>1257</c:v>
                </c:pt>
                <c:pt idx="6">
                  <c:v>1303</c:v>
                </c:pt>
                <c:pt idx="7">
                  <c:v>1397</c:v>
                </c:pt>
                <c:pt idx="8">
                  <c:v>1562</c:v>
                </c:pt>
                <c:pt idx="9">
                  <c:v>1459</c:v>
                </c:pt>
                <c:pt idx="10">
                  <c:v>1243</c:v>
                </c:pt>
                <c:pt idx="11">
                  <c:v>1057</c:v>
                </c:pt>
                <c:pt idx="12">
                  <c:v>846</c:v>
                </c:pt>
                <c:pt idx="13">
                  <c:v>861</c:v>
                </c:pt>
                <c:pt idx="14">
                  <c:v>927</c:v>
                </c:pt>
                <c:pt idx="15">
                  <c:v>923</c:v>
                </c:pt>
                <c:pt idx="16">
                  <c:v>823</c:v>
                </c:pt>
                <c:pt idx="17">
                  <c:v>824</c:v>
                </c:pt>
              </c:numCache>
            </c:numRef>
          </c:val>
          <c:extLst>
            <c:ext xmlns:c16="http://schemas.microsoft.com/office/drawing/2014/chart" uri="{C3380CC4-5D6E-409C-BE32-E72D297353CC}">
              <c16:uniqueId val="{00000009-763E-43B3-B662-D76C6E829219}"/>
            </c:ext>
          </c:extLst>
        </c:ser>
        <c:ser>
          <c:idx val="6"/>
          <c:order val="2"/>
          <c:tx>
            <c:strRef>
              <c:f>Model!$B$4</c:f>
              <c:strCache>
                <c:ptCount val="1"/>
                <c:pt idx="0">
                  <c:v>Data Center</c:v>
                </c:pt>
              </c:strCache>
            </c:strRef>
          </c:tx>
          <c:spPr>
            <a:solidFill>
              <a:srgbClr val="91BCE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Model!$AU$4:$BL$4</c:f>
              <c:numCache>
                <c:formatCode>General</c:formatCode>
                <c:ptCount val="18"/>
                <c:pt idx="0">
                  <c:v>594</c:v>
                </c:pt>
                <c:pt idx="1">
                  <c:v>813</c:v>
                </c:pt>
                <c:pt idx="2">
                  <c:v>1108</c:v>
                </c:pt>
                <c:pt idx="3">
                  <c:v>1179</c:v>
                </c:pt>
                <c:pt idx="4">
                  <c:v>1293</c:v>
                </c:pt>
                <c:pt idx="5">
                  <c:v>1486</c:v>
                </c:pt>
                <c:pt idx="6">
                  <c:v>1609</c:v>
                </c:pt>
                <c:pt idx="7">
                  <c:v>1655</c:v>
                </c:pt>
                <c:pt idx="8">
                  <c:v>1295</c:v>
                </c:pt>
                <c:pt idx="9">
                  <c:v>1321</c:v>
                </c:pt>
                <c:pt idx="10">
                  <c:v>1598</c:v>
                </c:pt>
                <c:pt idx="11">
                  <c:v>2282</c:v>
                </c:pt>
                <c:pt idx="12">
                  <c:v>2337</c:v>
                </c:pt>
                <c:pt idx="13">
                  <c:v>2834</c:v>
                </c:pt>
                <c:pt idx="14">
                  <c:v>3549</c:v>
                </c:pt>
                <c:pt idx="15">
                  <c:v>3859</c:v>
                </c:pt>
                <c:pt idx="16">
                  <c:v>3674</c:v>
                </c:pt>
                <c:pt idx="17">
                  <c:v>3240</c:v>
                </c:pt>
              </c:numCache>
            </c:numRef>
          </c:val>
          <c:extLst>
            <c:ext xmlns:c16="http://schemas.microsoft.com/office/drawing/2014/chart" uri="{C3380CC4-5D6E-409C-BE32-E72D297353CC}">
              <c16:uniqueId val="{00000006-763E-43B3-B662-D76C6E829219}"/>
            </c:ext>
          </c:extLst>
        </c:ser>
        <c:ser>
          <c:idx val="7"/>
          <c:order val="3"/>
          <c:tx>
            <c:strRef>
              <c:f>Model!$B$5</c:f>
              <c:strCache>
                <c:ptCount val="1"/>
                <c:pt idx="0">
                  <c:v>Client</c:v>
                </c:pt>
              </c:strCache>
            </c:strRef>
          </c:tx>
          <c:spPr>
            <a:solidFill>
              <a:srgbClr val="D37BA7"/>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Model!$AU$5:$BL$5</c:f>
              <c:numCache>
                <c:formatCode>General</c:formatCode>
                <c:ptCount val="18"/>
                <c:pt idx="0">
                  <c:v>1645</c:v>
                </c:pt>
                <c:pt idx="1">
                  <c:v>1728</c:v>
                </c:pt>
                <c:pt idx="2">
                  <c:v>1692</c:v>
                </c:pt>
                <c:pt idx="3">
                  <c:v>1822</c:v>
                </c:pt>
                <c:pt idx="4">
                  <c:v>2124</c:v>
                </c:pt>
                <c:pt idx="5">
                  <c:v>2152</c:v>
                </c:pt>
                <c:pt idx="6">
                  <c:v>1022</c:v>
                </c:pt>
                <c:pt idx="7">
                  <c:v>903</c:v>
                </c:pt>
                <c:pt idx="8">
                  <c:v>739</c:v>
                </c:pt>
                <c:pt idx="9">
                  <c:v>998</c:v>
                </c:pt>
                <c:pt idx="10">
                  <c:v>1453</c:v>
                </c:pt>
                <c:pt idx="11">
                  <c:v>1461</c:v>
                </c:pt>
                <c:pt idx="12">
                  <c:v>1368</c:v>
                </c:pt>
                <c:pt idx="13">
                  <c:v>1492</c:v>
                </c:pt>
                <c:pt idx="14">
                  <c:v>1881</c:v>
                </c:pt>
                <c:pt idx="15">
                  <c:v>2313</c:v>
                </c:pt>
                <c:pt idx="16">
                  <c:v>2294</c:v>
                </c:pt>
                <c:pt idx="17">
                  <c:v>2499</c:v>
                </c:pt>
              </c:numCache>
            </c:numRef>
          </c:val>
          <c:extLst>
            <c:ext xmlns:c16="http://schemas.microsoft.com/office/drawing/2014/chart" uri="{C3380CC4-5D6E-409C-BE32-E72D297353CC}">
              <c16:uniqueId val="{00000007-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(AMD)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Model!$AQ$36:$BL$36</c:f>
              <c:numCache>
                <c:formatCode>General</c:formatCode>
                <c:ptCount val="22"/>
                <c:pt idx="0">
                  <c:v>162</c:v>
                </c:pt>
                <c:pt idx="1">
                  <c:v>157</c:v>
                </c:pt>
                <c:pt idx="2">
                  <c:v>390</c:v>
                </c:pt>
                <c:pt idx="3">
                  <c:v>1781</c:v>
                </c:pt>
                <c:pt idx="4">
                  <c:v>555</c:v>
                </c:pt>
                <c:pt idx="5">
                  <c:v>710</c:v>
                </c:pt>
                <c:pt idx="6">
                  <c:v>923</c:v>
                </c:pt>
                <c:pt idx="7">
                  <c:v>974</c:v>
                </c:pt>
                <c:pt idx="8">
                  <c:v>786</c:v>
                </c:pt>
                <c:pt idx="9">
                  <c:v>447</c:v>
                </c:pt>
                <c:pt idx="10">
                  <c:v>66</c:v>
                </c:pt>
                <c:pt idx="11">
                  <c:v>21</c:v>
                </c:pt>
                <c:pt idx="12">
                  <c:v>-139</c:v>
                </c:pt>
                <c:pt idx="13">
                  <c:v>27</c:v>
                </c:pt>
                <c:pt idx="14">
                  <c:v>299</c:v>
                </c:pt>
                <c:pt idx="15">
                  <c:v>982</c:v>
                </c:pt>
                <c:pt idx="16">
                  <c:v>123</c:v>
                </c:pt>
                <c:pt idx="17">
                  <c:v>265</c:v>
                </c:pt>
                <c:pt idx="18">
                  <c:v>771</c:v>
                </c:pt>
                <c:pt idx="19">
                  <c:v>482</c:v>
                </c:pt>
                <c:pt idx="20">
                  <c:v>709</c:v>
                </c:pt>
                <c:pt idx="21">
                  <c:v>872</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a:ln>
              <a:solidFill>
                <a:srgbClr val="FFC000"/>
              </a:solidFill>
            </a:ln>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Model!$AQ$85:$BL$85</c:f>
              <c:numCache>
                <c:formatCode>General</c:formatCode>
                <c:ptCount val="22"/>
                <c:pt idx="0">
                  <c:v>-120</c:v>
                </c:pt>
                <c:pt idx="1">
                  <c:v>152</c:v>
                </c:pt>
                <c:pt idx="2">
                  <c:v>265</c:v>
                </c:pt>
                <c:pt idx="3">
                  <c:v>480</c:v>
                </c:pt>
                <c:pt idx="4">
                  <c:v>832</c:v>
                </c:pt>
                <c:pt idx="5">
                  <c:v>888</c:v>
                </c:pt>
                <c:pt idx="6">
                  <c:v>764</c:v>
                </c:pt>
                <c:pt idx="7">
                  <c:v>736</c:v>
                </c:pt>
                <c:pt idx="8">
                  <c:v>924</c:v>
                </c:pt>
                <c:pt idx="9">
                  <c:v>906</c:v>
                </c:pt>
                <c:pt idx="10">
                  <c:v>842</c:v>
                </c:pt>
                <c:pt idx="11">
                  <c:v>443</c:v>
                </c:pt>
                <c:pt idx="12">
                  <c:v>328</c:v>
                </c:pt>
                <c:pt idx="13">
                  <c:v>254</c:v>
                </c:pt>
                <c:pt idx="14">
                  <c:v>297</c:v>
                </c:pt>
                <c:pt idx="15">
                  <c:v>242</c:v>
                </c:pt>
                <c:pt idx="16">
                  <c:v>379</c:v>
                </c:pt>
                <c:pt idx="17">
                  <c:v>439</c:v>
                </c:pt>
                <c:pt idx="18">
                  <c:v>496</c:v>
                </c:pt>
                <c:pt idx="19">
                  <c:v>1091</c:v>
                </c:pt>
                <c:pt idx="20">
                  <c:v>727</c:v>
                </c:pt>
                <c:pt idx="21">
                  <c:v>1180</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strRef>
              <c:f>Model!$AQ$1:$BL$1</c:f>
              <c:strCache>
                <c:ptCount val="21"/>
                <c:pt idx="0">
                  <c:v>Q1 2020</c:v>
                </c:pt>
                <c:pt idx="4">
                  <c:v>Q1 2021</c:v>
                </c:pt>
                <c:pt idx="8">
                  <c:v>Q1 2022</c:v>
                </c:pt>
                <c:pt idx="12">
                  <c:v>Q1 2023</c:v>
                </c:pt>
                <c:pt idx="16">
                  <c:v>Q1 2024</c:v>
                </c:pt>
                <c:pt idx="20">
                  <c:v>Q1 2025</c:v>
                </c:pt>
              </c:strCache>
            </c:strRef>
          </c:cat>
          <c:val>
            <c:numRef>
              <c:f>Model!$AQ$22:$BL$22</c:f>
              <c:numCache>
                <c:formatCode>General</c:formatCode>
                <c:ptCount val="22"/>
                <c:pt idx="0">
                  <c:v>1786</c:v>
                </c:pt>
                <c:pt idx="1">
                  <c:v>1932</c:v>
                </c:pt>
                <c:pt idx="2">
                  <c:v>2801</c:v>
                </c:pt>
                <c:pt idx="3">
                  <c:v>3244</c:v>
                </c:pt>
                <c:pt idx="4">
                  <c:v>3445</c:v>
                </c:pt>
                <c:pt idx="5">
                  <c:v>3850</c:v>
                </c:pt>
                <c:pt idx="6">
                  <c:v>4313</c:v>
                </c:pt>
                <c:pt idx="7">
                  <c:v>4826</c:v>
                </c:pt>
                <c:pt idx="8">
                  <c:v>5887</c:v>
                </c:pt>
                <c:pt idx="9">
                  <c:v>6550</c:v>
                </c:pt>
                <c:pt idx="10">
                  <c:v>5565</c:v>
                </c:pt>
                <c:pt idx="11">
                  <c:v>5599</c:v>
                </c:pt>
                <c:pt idx="12">
                  <c:v>5353</c:v>
                </c:pt>
                <c:pt idx="13">
                  <c:v>5359</c:v>
                </c:pt>
                <c:pt idx="14">
                  <c:v>5800</c:v>
                </c:pt>
                <c:pt idx="15">
                  <c:v>6168</c:v>
                </c:pt>
                <c:pt idx="16">
                  <c:v>5473</c:v>
                </c:pt>
                <c:pt idx="17">
                  <c:v>5835</c:v>
                </c:pt>
                <c:pt idx="18">
                  <c:v>6819</c:v>
                </c:pt>
                <c:pt idx="19">
                  <c:v>7658</c:v>
                </c:pt>
                <c:pt idx="20">
                  <c:v>7438</c:v>
                </c:pt>
                <c:pt idx="21">
                  <c:v>7685</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(AMD) Historical Return Histogram + Normal Distribution Overlay</a:t>
            </a:r>
          </a:p>
        </c:rich>
      </c:tx>
      <c:layout>
        <c:manualLayout>
          <c:xMode val="edge"/>
          <c:yMode val="edge"/>
          <c:x val="0.30108591378517141"/>
          <c:y val="1.8888948670044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tx>
            <c:strRef>
              <c:f>'Notes | Quant Analysis'!$I$207</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Analysis'!$I$209:$I$275</c:f>
              <c:numCache>
                <c:formatCode>0.00%</c:formatCode>
                <c:ptCount val="67"/>
                <c:pt idx="0">
                  <c:v>-8.2500000000000004E-2</c:v>
                </c:pt>
                <c:pt idx="1">
                  <c:v>-0.08</c:v>
                </c:pt>
                <c:pt idx="2">
                  <c:v>-7.7499999999999999E-2</c:v>
                </c:pt>
                <c:pt idx="3">
                  <c:v>-7.4999999999999997E-2</c:v>
                </c:pt>
                <c:pt idx="4">
                  <c:v>-7.2499999999999995E-2</c:v>
                </c:pt>
                <c:pt idx="5">
                  <c:v>-6.9999999999999993E-2</c:v>
                </c:pt>
                <c:pt idx="6">
                  <c:v>-6.7499999999999991E-2</c:v>
                </c:pt>
                <c:pt idx="7">
                  <c:v>-6.4999999999999988E-2</c:v>
                </c:pt>
                <c:pt idx="8">
                  <c:v>-6.2499999999999986E-2</c:v>
                </c:pt>
                <c:pt idx="9">
                  <c:v>-5.9999999999999984E-2</c:v>
                </c:pt>
                <c:pt idx="10">
                  <c:v>-5.7499999999999982E-2</c:v>
                </c:pt>
                <c:pt idx="11">
                  <c:v>-5.4999999999999979E-2</c:v>
                </c:pt>
                <c:pt idx="12">
                  <c:v>-5.2499999999999977E-2</c:v>
                </c:pt>
                <c:pt idx="13">
                  <c:v>-4.9999999999999975E-2</c:v>
                </c:pt>
                <c:pt idx="14">
                  <c:v>-4.7499999999999973E-2</c:v>
                </c:pt>
                <c:pt idx="15">
                  <c:v>-4.4999999999999971E-2</c:v>
                </c:pt>
                <c:pt idx="16">
                  <c:v>-4.2499999999999968E-2</c:v>
                </c:pt>
                <c:pt idx="17">
                  <c:v>-3.9999999999999966E-2</c:v>
                </c:pt>
                <c:pt idx="18">
                  <c:v>-3.7499999999999964E-2</c:v>
                </c:pt>
                <c:pt idx="19">
                  <c:v>-3.4999999999999962E-2</c:v>
                </c:pt>
                <c:pt idx="20">
                  <c:v>-3.2499999999999959E-2</c:v>
                </c:pt>
                <c:pt idx="21">
                  <c:v>-2.9999999999999961E-2</c:v>
                </c:pt>
                <c:pt idx="22">
                  <c:v>-2.7499999999999962E-2</c:v>
                </c:pt>
                <c:pt idx="23">
                  <c:v>-2.4999999999999963E-2</c:v>
                </c:pt>
                <c:pt idx="24">
                  <c:v>-2.2499999999999964E-2</c:v>
                </c:pt>
                <c:pt idx="25">
                  <c:v>-1.9999999999999966E-2</c:v>
                </c:pt>
                <c:pt idx="26">
                  <c:v>-1.7499999999999967E-2</c:v>
                </c:pt>
                <c:pt idx="27">
                  <c:v>-1.4999999999999966E-2</c:v>
                </c:pt>
                <c:pt idx="28">
                  <c:v>-1.2499999999999966E-2</c:v>
                </c:pt>
                <c:pt idx="29">
                  <c:v>-9.9999999999999655E-3</c:v>
                </c:pt>
                <c:pt idx="30">
                  <c:v>-7.499999999999965E-3</c:v>
                </c:pt>
                <c:pt idx="31">
                  <c:v>-4.9999999999999645E-3</c:v>
                </c:pt>
                <c:pt idx="32">
                  <c:v>-2.4999999999999645E-3</c:v>
                </c:pt>
                <c:pt idx="33">
                  <c:v>3.5561831257524545E-17</c:v>
                </c:pt>
                <c:pt idx="34">
                  <c:v>2.5000000000000356E-3</c:v>
                </c:pt>
                <c:pt idx="35">
                  <c:v>5.0000000000000357E-3</c:v>
                </c:pt>
                <c:pt idx="36">
                  <c:v>7.5000000000000362E-3</c:v>
                </c:pt>
                <c:pt idx="37">
                  <c:v>1.0000000000000037E-2</c:v>
                </c:pt>
                <c:pt idx="38">
                  <c:v>1.2500000000000037E-2</c:v>
                </c:pt>
                <c:pt idx="39">
                  <c:v>1.5000000000000038E-2</c:v>
                </c:pt>
                <c:pt idx="40">
                  <c:v>1.7500000000000036E-2</c:v>
                </c:pt>
                <c:pt idx="41">
                  <c:v>2.0000000000000035E-2</c:v>
                </c:pt>
                <c:pt idx="42">
                  <c:v>2.2500000000000034E-2</c:v>
                </c:pt>
                <c:pt idx="43">
                  <c:v>2.5000000000000033E-2</c:v>
                </c:pt>
                <c:pt idx="44">
                  <c:v>2.7500000000000031E-2</c:v>
                </c:pt>
                <c:pt idx="45">
                  <c:v>3.000000000000003E-2</c:v>
                </c:pt>
                <c:pt idx="46">
                  <c:v>3.2500000000000029E-2</c:v>
                </c:pt>
                <c:pt idx="47">
                  <c:v>3.5000000000000031E-2</c:v>
                </c:pt>
                <c:pt idx="48">
                  <c:v>3.7500000000000033E-2</c:v>
                </c:pt>
                <c:pt idx="49">
                  <c:v>4.0000000000000036E-2</c:v>
                </c:pt>
                <c:pt idx="50">
                  <c:v>4.2500000000000038E-2</c:v>
                </c:pt>
                <c:pt idx="51">
                  <c:v>4.500000000000004E-2</c:v>
                </c:pt>
                <c:pt idx="52">
                  <c:v>4.7500000000000042E-2</c:v>
                </c:pt>
                <c:pt idx="53">
                  <c:v>5.0000000000000044E-2</c:v>
                </c:pt>
                <c:pt idx="54">
                  <c:v>5.2500000000000047E-2</c:v>
                </c:pt>
                <c:pt idx="55">
                  <c:v>5.5000000000000049E-2</c:v>
                </c:pt>
                <c:pt idx="56">
                  <c:v>5.7500000000000051E-2</c:v>
                </c:pt>
                <c:pt idx="57">
                  <c:v>6.0000000000000053E-2</c:v>
                </c:pt>
                <c:pt idx="58">
                  <c:v>6.2500000000000056E-2</c:v>
                </c:pt>
                <c:pt idx="59">
                  <c:v>6.5000000000000058E-2</c:v>
                </c:pt>
                <c:pt idx="60">
                  <c:v>6.750000000000006E-2</c:v>
                </c:pt>
                <c:pt idx="61">
                  <c:v>7.0000000000000062E-2</c:v>
                </c:pt>
                <c:pt idx="62">
                  <c:v>7.2500000000000064E-2</c:v>
                </c:pt>
                <c:pt idx="63">
                  <c:v>7.5000000000000067E-2</c:v>
                </c:pt>
                <c:pt idx="64">
                  <c:v>7.7499999999999999E-2</c:v>
                </c:pt>
                <c:pt idx="65">
                  <c:v>0.08</c:v>
                </c:pt>
                <c:pt idx="66">
                  <c:v>8.2500000000000004E-2</c:v>
                </c:pt>
              </c:numCache>
            </c:numRef>
          </c:xVal>
          <c:yVal>
            <c:numRef>
              <c:f>'Notes | Quant Analysis'!$J$209:$J$275</c:f>
              <c:numCache>
                <c:formatCode>General</c:formatCode>
                <c:ptCount val="67"/>
                <c:pt idx="0">
                  <c:v>1</c:v>
                </c:pt>
                <c:pt idx="1">
                  <c:v>0</c:v>
                </c:pt>
                <c:pt idx="2">
                  <c:v>0</c:v>
                </c:pt>
                <c:pt idx="3">
                  <c:v>0</c:v>
                </c:pt>
                <c:pt idx="4">
                  <c:v>0</c:v>
                </c:pt>
                <c:pt idx="5">
                  <c:v>2</c:v>
                </c:pt>
                <c:pt idx="6">
                  <c:v>2</c:v>
                </c:pt>
                <c:pt idx="7">
                  <c:v>1</c:v>
                </c:pt>
                <c:pt idx="8">
                  <c:v>1</c:v>
                </c:pt>
                <c:pt idx="9">
                  <c:v>4</c:v>
                </c:pt>
                <c:pt idx="10">
                  <c:v>4</c:v>
                </c:pt>
                <c:pt idx="11">
                  <c:v>3</c:v>
                </c:pt>
                <c:pt idx="12">
                  <c:v>8</c:v>
                </c:pt>
                <c:pt idx="13">
                  <c:v>5</c:v>
                </c:pt>
                <c:pt idx="14">
                  <c:v>10</c:v>
                </c:pt>
                <c:pt idx="15">
                  <c:v>7</c:v>
                </c:pt>
                <c:pt idx="16">
                  <c:v>8</c:v>
                </c:pt>
                <c:pt idx="17">
                  <c:v>10</c:v>
                </c:pt>
                <c:pt idx="18">
                  <c:v>11</c:v>
                </c:pt>
                <c:pt idx="19">
                  <c:v>12</c:v>
                </c:pt>
                <c:pt idx="20">
                  <c:v>22</c:v>
                </c:pt>
                <c:pt idx="21">
                  <c:v>24</c:v>
                </c:pt>
                <c:pt idx="22">
                  <c:v>22</c:v>
                </c:pt>
                <c:pt idx="23">
                  <c:v>22</c:v>
                </c:pt>
                <c:pt idx="24">
                  <c:v>23</c:v>
                </c:pt>
                <c:pt idx="25">
                  <c:v>28</c:v>
                </c:pt>
                <c:pt idx="26">
                  <c:v>39</c:v>
                </c:pt>
                <c:pt idx="27">
                  <c:v>42</c:v>
                </c:pt>
                <c:pt idx="28">
                  <c:v>50</c:v>
                </c:pt>
                <c:pt idx="29">
                  <c:v>49</c:v>
                </c:pt>
                <c:pt idx="30">
                  <c:v>54</c:v>
                </c:pt>
                <c:pt idx="31">
                  <c:v>53</c:v>
                </c:pt>
                <c:pt idx="32">
                  <c:v>60</c:v>
                </c:pt>
                <c:pt idx="33">
                  <c:v>59</c:v>
                </c:pt>
                <c:pt idx="34">
                  <c:v>54</c:v>
                </c:pt>
                <c:pt idx="35">
                  <c:v>55</c:v>
                </c:pt>
                <c:pt idx="36">
                  <c:v>56</c:v>
                </c:pt>
                <c:pt idx="37">
                  <c:v>48</c:v>
                </c:pt>
                <c:pt idx="38">
                  <c:v>49</c:v>
                </c:pt>
                <c:pt idx="39">
                  <c:v>41</c:v>
                </c:pt>
                <c:pt idx="40">
                  <c:v>32</c:v>
                </c:pt>
                <c:pt idx="41">
                  <c:v>30</c:v>
                </c:pt>
                <c:pt idx="42">
                  <c:v>37</c:v>
                </c:pt>
                <c:pt idx="43">
                  <c:v>26</c:v>
                </c:pt>
                <c:pt idx="44">
                  <c:v>18</c:v>
                </c:pt>
                <c:pt idx="45">
                  <c:v>13</c:v>
                </c:pt>
                <c:pt idx="46">
                  <c:v>24</c:v>
                </c:pt>
                <c:pt idx="47">
                  <c:v>21</c:v>
                </c:pt>
                <c:pt idx="48">
                  <c:v>17</c:v>
                </c:pt>
                <c:pt idx="49">
                  <c:v>13</c:v>
                </c:pt>
                <c:pt idx="50">
                  <c:v>13</c:v>
                </c:pt>
                <c:pt idx="51">
                  <c:v>6</c:v>
                </c:pt>
                <c:pt idx="52">
                  <c:v>11</c:v>
                </c:pt>
                <c:pt idx="53">
                  <c:v>14</c:v>
                </c:pt>
                <c:pt idx="54">
                  <c:v>1</c:v>
                </c:pt>
                <c:pt idx="55">
                  <c:v>2</c:v>
                </c:pt>
                <c:pt idx="56">
                  <c:v>4</c:v>
                </c:pt>
                <c:pt idx="57">
                  <c:v>3</c:v>
                </c:pt>
                <c:pt idx="58">
                  <c:v>3</c:v>
                </c:pt>
                <c:pt idx="59">
                  <c:v>3</c:v>
                </c:pt>
                <c:pt idx="60">
                  <c:v>3</c:v>
                </c:pt>
                <c:pt idx="61">
                  <c:v>1</c:v>
                </c:pt>
                <c:pt idx="62">
                  <c:v>1</c:v>
                </c:pt>
                <c:pt idx="63">
                  <c:v>0</c:v>
                </c:pt>
                <c:pt idx="64">
                  <c:v>3</c:v>
                </c:pt>
                <c:pt idx="65">
                  <c:v>1</c:v>
                </c:pt>
                <c:pt idx="66">
                  <c:v>2</c:v>
                </c:pt>
              </c:numCache>
            </c:numRef>
          </c:yVal>
          <c:smooth val="1"/>
          <c:extLst>
            <c:ext xmlns:c16="http://schemas.microsoft.com/office/drawing/2014/chart" uri="{C3380CC4-5D6E-409C-BE32-E72D297353CC}">
              <c16:uniqueId val="{00000000-64C8-46E7-8417-05DC731C65AA}"/>
            </c:ext>
          </c:extLst>
        </c:ser>
        <c:ser>
          <c:idx val="1"/>
          <c:order val="1"/>
          <c:tx>
            <c:strRef>
              <c:f>'Notes | Quant Analysis'!$L$207</c:f>
              <c:strCache>
                <c:ptCount val="1"/>
                <c:pt idx="0">
                  <c:v>Distribution Overlay</c:v>
                </c:pt>
              </c:strCache>
            </c:strRef>
          </c:tx>
          <c:spPr>
            <a:ln w="19050" cap="rnd">
              <a:solidFill>
                <a:srgbClr val="FFC000"/>
              </a:solidFill>
              <a:round/>
            </a:ln>
            <a:effectLst/>
          </c:spPr>
          <c:marker>
            <c:symbol val="none"/>
          </c:marker>
          <c:xVal>
            <c:numRef>
              <c:f>'Notes | Quant Analysis'!$L$209:$L$277</c:f>
              <c:numCache>
                <c:formatCode>0.00%</c:formatCode>
                <c:ptCount val="69"/>
                <c:pt idx="0">
                  <c:v>-8.5000000000000006E-2</c:v>
                </c:pt>
                <c:pt idx="1">
                  <c:v>-8.2500000000000004E-2</c:v>
                </c:pt>
                <c:pt idx="2">
                  <c:v>-0.08</c:v>
                </c:pt>
                <c:pt idx="3">
                  <c:v>-7.7499999999999999E-2</c:v>
                </c:pt>
                <c:pt idx="4">
                  <c:v>-7.4999999999999997E-2</c:v>
                </c:pt>
                <c:pt idx="5">
                  <c:v>-7.2499999999999995E-2</c:v>
                </c:pt>
                <c:pt idx="6">
                  <c:v>-6.9999999999999993E-2</c:v>
                </c:pt>
                <c:pt idx="7">
                  <c:v>-6.7499999999999991E-2</c:v>
                </c:pt>
                <c:pt idx="8">
                  <c:v>-6.4999999999999988E-2</c:v>
                </c:pt>
                <c:pt idx="9">
                  <c:v>-6.2499999999999986E-2</c:v>
                </c:pt>
                <c:pt idx="10">
                  <c:v>-5.9999999999999984E-2</c:v>
                </c:pt>
                <c:pt idx="11">
                  <c:v>-5.7499999999999982E-2</c:v>
                </c:pt>
                <c:pt idx="12">
                  <c:v>-5.4999999999999979E-2</c:v>
                </c:pt>
                <c:pt idx="13">
                  <c:v>-5.2499999999999977E-2</c:v>
                </c:pt>
                <c:pt idx="14">
                  <c:v>-4.9999999999999975E-2</c:v>
                </c:pt>
                <c:pt idx="15">
                  <c:v>-4.7499999999999973E-2</c:v>
                </c:pt>
                <c:pt idx="16">
                  <c:v>-4.4999999999999971E-2</c:v>
                </c:pt>
                <c:pt idx="17">
                  <c:v>-4.2499999999999968E-2</c:v>
                </c:pt>
                <c:pt idx="18">
                  <c:v>-3.9999999999999966E-2</c:v>
                </c:pt>
                <c:pt idx="19">
                  <c:v>-3.7499999999999964E-2</c:v>
                </c:pt>
                <c:pt idx="20">
                  <c:v>-3.4999999999999962E-2</c:v>
                </c:pt>
                <c:pt idx="21">
                  <c:v>-3.2499999999999959E-2</c:v>
                </c:pt>
                <c:pt idx="22">
                  <c:v>-2.9999999999999961E-2</c:v>
                </c:pt>
                <c:pt idx="23">
                  <c:v>-2.7499999999999962E-2</c:v>
                </c:pt>
                <c:pt idx="24">
                  <c:v>-2.4999999999999963E-2</c:v>
                </c:pt>
                <c:pt idx="25">
                  <c:v>-2.2499999999999964E-2</c:v>
                </c:pt>
                <c:pt idx="26">
                  <c:v>-1.9999999999999966E-2</c:v>
                </c:pt>
                <c:pt idx="27">
                  <c:v>-1.7499999999999967E-2</c:v>
                </c:pt>
                <c:pt idx="28">
                  <c:v>-1.4999999999999966E-2</c:v>
                </c:pt>
                <c:pt idx="29">
                  <c:v>-1.2499999999999966E-2</c:v>
                </c:pt>
                <c:pt idx="30">
                  <c:v>-9.9999999999999655E-3</c:v>
                </c:pt>
                <c:pt idx="31">
                  <c:v>-7.499999999999965E-3</c:v>
                </c:pt>
                <c:pt idx="32">
                  <c:v>-4.9999999999999645E-3</c:v>
                </c:pt>
                <c:pt idx="33">
                  <c:v>-2.4999999999999645E-3</c:v>
                </c:pt>
                <c:pt idx="34">
                  <c:v>3.5561831257524545E-17</c:v>
                </c:pt>
                <c:pt idx="35">
                  <c:v>2.5000000000000356E-3</c:v>
                </c:pt>
                <c:pt idx="36">
                  <c:v>5.0000000000000357E-3</c:v>
                </c:pt>
                <c:pt idx="37">
                  <c:v>7.5000000000000362E-3</c:v>
                </c:pt>
                <c:pt idx="38">
                  <c:v>1.0000000000000037E-2</c:v>
                </c:pt>
                <c:pt idx="39">
                  <c:v>1.2500000000000037E-2</c:v>
                </c:pt>
                <c:pt idx="40">
                  <c:v>1.5000000000000038E-2</c:v>
                </c:pt>
                <c:pt idx="41">
                  <c:v>1.7500000000000036E-2</c:v>
                </c:pt>
                <c:pt idx="42">
                  <c:v>2.0000000000000035E-2</c:v>
                </c:pt>
                <c:pt idx="43">
                  <c:v>2.2500000000000034E-2</c:v>
                </c:pt>
                <c:pt idx="44">
                  <c:v>2.5000000000000033E-2</c:v>
                </c:pt>
                <c:pt idx="45">
                  <c:v>2.7500000000000031E-2</c:v>
                </c:pt>
                <c:pt idx="46">
                  <c:v>3.000000000000003E-2</c:v>
                </c:pt>
                <c:pt idx="47">
                  <c:v>3.2500000000000029E-2</c:v>
                </c:pt>
                <c:pt idx="48">
                  <c:v>3.5000000000000031E-2</c:v>
                </c:pt>
                <c:pt idx="49">
                  <c:v>3.7500000000000033E-2</c:v>
                </c:pt>
                <c:pt idx="50">
                  <c:v>4.0000000000000036E-2</c:v>
                </c:pt>
                <c:pt idx="51">
                  <c:v>4.2500000000000038E-2</c:v>
                </c:pt>
                <c:pt idx="52">
                  <c:v>4.500000000000004E-2</c:v>
                </c:pt>
                <c:pt idx="53">
                  <c:v>4.7500000000000042E-2</c:v>
                </c:pt>
                <c:pt idx="54">
                  <c:v>5.0000000000000044E-2</c:v>
                </c:pt>
                <c:pt idx="55">
                  <c:v>5.2500000000000047E-2</c:v>
                </c:pt>
                <c:pt idx="56">
                  <c:v>5.5000000000000049E-2</c:v>
                </c:pt>
                <c:pt idx="57">
                  <c:v>5.7500000000000051E-2</c:v>
                </c:pt>
                <c:pt idx="58">
                  <c:v>6.0000000000000053E-2</c:v>
                </c:pt>
                <c:pt idx="59">
                  <c:v>6.2500000000000056E-2</c:v>
                </c:pt>
                <c:pt idx="60">
                  <c:v>6.5000000000000058E-2</c:v>
                </c:pt>
                <c:pt idx="61">
                  <c:v>6.750000000000006E-2</c:v>
                </c:pt>
                <c:pt idx="62">
                  <c:v>7.0000000000000062E-2</c:v>
                </c:pt>
                <c:pt idx="63">
                  <c:v>7.2500000000000064E-2</c:v>
                </c:pt>
                <c:pt idx="64">
                  <c:v>7.5000000000000067E-2</c:v>
                </c:pt>
                <c:pt idx="65">
                  <c:v>7.7499999999999999E-2</c:v>
                </c:pt>
                <c:pt idx="66">
                  <c:v>0.08</c:v>
                </c:pt>
                <c:pt idx="67">
                  <c:v>8.2500000000000004E-2</c:v>
                </c:pt>
                <c:pt idx="68">
                  <c:v>8.5000000000000006E-2</c:v>
                </c:pt>
              </c:numCache>
            </c:numRef>
          </c:xVal>
          <c:yVal>
            <c:numRef>
              <c:f>'Notes | Quant Analysis'!$M$209:$M$277</c:f>
              <c:numCache>
                <c:formatCode>General</c:formatCode>
                <c:ptCount val="69"/>
                <c:pt idx="0">
                  <c:v>0.10783096920104651</c:v>
                </c:pt>
                <c:pt idx="1">
                  <c:v>0.14329325678808627</c:v>
                </c:pt>
                <c:pt idx="2">
                  <c:v>0.18881154204233769</c:v>
                </c:pt>
                <c:pt idx="3">
                  <c:v>0.24669018223056963</c:v>
                </c:pt>
                <c:pt idx="4">
                  <c:v>0.31959187768079544</c:v>
                </c:pt>
                <c:pt idx="5">
                  <c:v>0.41054440875320708</c:v>
                </c:pt>
                <c:pt idx="6">
                  <c:v>0.52293184658839387</c:v>
                </c:pt>
                <c:pt idx="7">
                  <c:v>0.66046617634979532</c:v>
                </c:pt>
                <c:pt idx="8">
                  <c:v>0.82713540853706069</c:v>
                </c:pt>
                <c:pt idx="9">
                  <c:v>1.0271247279589943</c:v>
                </c:pt>
                <c:pt idx="10">
                  <c:v>1.264708094161523</c:v>
                </c:pt>
                <c:pt idx="11">
                  <c:v>1.5441089921350657</c:v>
                </c:pt>
                <c:pt idx="12">
                  <c:v>1.8693307370584344</c:v>
                </c:pt>
                <c:pt idx="13">
                  <c:v>2.243958821245378</c:v>
                </c:pt>
                <c:pt idx="14">
                  <c:v>2.6709401698756499</c:v>
                </c:pt>
                <c:pt idx="15">
                  <c:v>3.1523467121660782</c:v>
                </c:pt>
                <c:pt idx="16">
                  <c:v>3.6891332000813026</c:v>
                </c:pt>
                <c:pt idx="17">
                  <c:v>4.2809015057134276</c:v>
                </c:pt>
                <c:pt idx="18">
                  <c:v>4.9256854678964306</c:v>
                </c:pt>
                <c:pt idx="19">
                  <c:v>5.6197715031423607</c:v>
                </c:pt>
                <c:pt idx="20">
                  <c:v>6.3575704312377139</c:v>
                </c:pt>
                <c:pt idx="21">
                  <c:v>7.1315551233956826</c:v>
                </c:pt>
                <c:pt idx="22">
                  <c:v>7.9322765624393368</c:v>
                </c:pt>
                <c:pt idx="23">
                  <c:v>8.7484677024556117</c:v>
                </c:pt>
                <c:pt idx="24">
                  <c:v>9.5672402265739898</c:v>
                </c:pt>
                <c:pt idx="25">
                  <c:v>10.374374131986306</c:v>
                </c:pt>
                <c:pt idx="26">
                  <c:v>11.154694329810187</c:v>
                </c:pt>
                <c:pt idx="27">
                  <c:v>11.892522527458697</c:v>
                </c:pt>
                <c:pt idx="28">
                  <c:v>12.572187012202079</c:v>
                </c:pt>
                <c:pt idx="29">
                  <c:v>13.178568044076965</c:v>
                </c:pt>
                <c:pt idx="30">
                  <c:v>13.697652836654569</c:v>
                </c:pt>
                <c:pt idx="31">
                  <c:v>14.117071928680522</c:v>
                </c:pt>
                <c:pt idx="32">
                  <c:v>14.426588392057482</c:v>
                </c:pt>
                <c:pt idx="33">
                  <c:v>14.618512904807442</c:v>
                </c:pt>
                <c:pt idx="34">
                  <c:v>14.688021204290353</c:v>
                </c:pt>
                <c:pt idx="35">
                  <c:v>14.633355625389564</c:v>
                </c:pt>
                <c:pt idx="36">
                  <c:v>14.455898969520778</c:v>
                </c:pt>
                <c:pt idx="37">
                  <c:v>14.160116370389433</c:v>
                </c:pt>
                <c:pt idx="38">
                  <c:v>13.753368568519184</c:v>
                </c:pt>
                <c:pt idx="39">
                  <c:v>13.24560749591766</c:v>
                </c:pt>
                <c:pt idx="40">
                  <c:v>12.64897174559864</c:v>
                </c:pt>
                <c:pt idx="41">
                  <c:v>11.977304873249388</c:v>
                </c:pt>
                <c:pt idx="42">
                  <c:v>11.245623182659344</c:v>
                </c:pt>
                <c:pt idx="43">
                  <c:v>10.469561462904419</c:v>
                </c:pt>
                <c:pt idx="44">
                  <c:v>9.6648250167595435</c:v>
                </c:pt>
                <c:pt idx="45">
                  <c:v>8.8466743506901278</c:v>
                </c:pt>
                <c:pt idx="46">
                  <c:v>8.0294653354166119</c:v>
                </c:pt>
                <c:pt idx="47">
                  <c:v>7.2262628545991072</c:v>
                </c:pt>
                <c:pt idx="48">
                  <c:v>6.4485403741014151</c:v>
                </c:pt>
                <c:pt idx="49">
                  <c:v>5.7059719523859451</c:v>
                </c:pt>
                <c:pt idx="50">
                  <c:v>5.0063174275522178</c:v>
                </c:pt>
                <c:pt idx="51">
                  <c:v>4.3553962603240288</c:v>
                </c:pt>
                <c:pt idx="52">
                  <c:v>3.7571411050202226</c:v>
                </c:pt>
                <c:pt idx="53">
                  <c:v>3.2137188410845217</c:v>
                </c:pt>
                <c:pt idx="54">
                  <c:v>2.725704635996435</c:v>
                </c:pt>
                <c:pt idx="55">
                  <c:v>2.2922936306486692</c:v>
                </c:pt>
                <c:pt idx="56">
                  <c:v>1.9115349521535012</c:v>
                </c:pt>
                <c:pt idx="57">
                  <c:v>1.5805738052776042</c:v>
                </c:pt>
                <c:pt idx="58">
                  <c:v>1.2958891621215485</c:v>
                </c:pt>
                <c:pt idx="59">
                  <c:v>1.0535168261699086</c:v>
                </c:pt>
                <c:pt idx="60">
                  <c:v>0.84925015689962069</c:v>
                </c:pt>
                <c:pt idx="61">
                  <c:v>0.67881328954786535</c:v>
                </c:pt>
                <c:pt idx="62">
                  <c:v>0.5380040903095723</c:v>
                </c:pt>
                <c:pt idx="63">
                  <c:v>0.42280621228831278</c:v>
                </c:pt>
                <c:pt idx="64">
                  <c:v>0.32947137088992728</c:v>
                </c:pt>
                <c:pt idx="65">
                  <c:v>0.25457429343321114</c:v>
                </c:pt>
                <c:pt idx="66">
                  <c:v>0.19504371128949619</c:v>
                </c:pt>
                <c:pt idx="67">
                  <c:v>0.14817328117141351</c:v>
                </c:pt>
                <c:pt idx="68">
                  <c:v>0.11161649611998654</c:v>
                </c:pt>
              </c:numCache>
            </c:numRef>
          </c:yVal>
          <c:smooth val="1"/>
          <c:extLst>
            <c:ext xmlns:c16="http://schemas.microsoft.com/office/drawing/2014/chart" uri="{C3380CC4-5D6E-409C-BE32-E72D297353CC}">
              <c16:uniqueId val="{00000001-64C8-46E7-8417-05DC731C65AA}"/>
            </c:ext>
          </c:extLst>
        </c:ser>
        <c:ser>
          <c:idx val="2"/>
          <c:order val="2"/>
          <c:tx>
            <c:strRef>
              <c:f>'Notes | Quant Analysis'!$O$209</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64C8-46E7-8417-05DC731C65AA}"/>
                </c:ext>
              </c:extLst>
            </c:dLbl>
            <c:dLbl>
              <c:idx val="1"/>
              <c:layout>
                <c:manualLayout>
                  <c:x val="-5.1512718839984928E-2"/>
                  <c:y val="-2.72380960551360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Analysis'!$P$209:$P$210</c:f>
              <c:numCache>
                <c:formatCode>0.00%</c:formatCode>
                <c:ptCount val="2"/>
                <c:pt idx="0">
                  <c:v>1.4972705403135315E-4</c:v>
                </c:pt>
                <c:pt idx="1">
                  <c:v>1.4972705403135315E-4</c:v>
                </c:pt>
              </c:numCache>
            </c:numRef>
          </c:xVal>
          <c:yVal>
            <c:numRef>
              <c:f>'Notes | Quant Analysis'!$Q$209:$Q$210</c:f>
              <c:numCache>
                <c:formatCode>General</c:formatCode>
                <c:ptCount val="2"/>
                <c:pt idx="0">
                  <c:v>0</c:v>
                </c:pt>
                <c:pt idx="1">
                  <c:v>15</c:v>
                </c:pt>
              </c:numCache>
            </c:numRef>
          </c:yVal>
          <c:smooth val="1"/>
          <c:extLst>
            <c:ext xmlns:c16="http://schemas.microsoft.com/office/drawing/2014/chart" uri="{C3380CC4-5D6E-409C-BE32-E72D297353CC}">
              <c16:uniqueId val="{00000004-64C8-46E7-8417-05DC731C65AA}"/>
            </c:ext>
          </c:extLst>
        </c:ser>
        <c:ser>
          <c:idx val="3"/>
          <c:order val="3"/>
          <c:tx>
            <c:strRef>
              <c:f>'Notes | Quant Analysis'!$O$211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64C8-46E7-8417-05DC731C65AA}"/>
                </c:ext>
              </c:extLst>
            </c:dLbl>
            <c:dLbl>
              <c:idx val="1"/>
              <c:layout>
                <c:manualLayout>
                  <c:x val="-3.6198126752421803E-2"/>
                  <c:y val="-2.723809605513598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Analysis'!$P$211:$P$212</c:f>
              <c:numCache>
                <c:formatCode>0.00%</c:formatCode>
                <c:ptCount val="2"/>
                <c:pt idx="0">
                  <c:v>-8.1332226120736262E-2</c:v>
                </c:pt>
                <c:pt idx="1">
                  <c:v>-8.1332226120736262E-2</c:v>
                </c:pt>
              </c:numCache>
            </c:numRef>
          </c:xVal>
          <c:yVal>
            <c:numRef>
              <c:f>'Notes | Quant Analysis'!$Q$211:$Q$212</c:f>
              <c:numCache>
                <c:formatCode>General</c:formatCode>
                <c:ptCount val="2"/>
                <c:pt idx="0">
                  <c:v>0</c:v>
                </c:pt>
                <c:pt idx="1">
                  <c:v>2</c:v>
                </c:pt>
              </c:numCache>
            </c:numRef>
          </c:yVal>
          <c:smooth val="1"/>
          <c:extLst>
            <c:ext xmlns:c16="http://schemas.microsoft.com/office/drawing/2014/chart" uri="{C3380CC4-5D6E-409C-BE32-E72D297353CC}">
              <c16:uniqueId val="{00000007-64C8-46E7-8417-05DC731C65AA}"/>
            </c:ext>
          </c:extLst>
        </c:ser>
        <c:ser>
          <c:idx val="4"/>
          <c:order val="4"/>
          <c:tx>
            <c:strRef>
              <c:f>'Notes | Quant Analysis'!$O$213</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64C8-46E7-8417-05DC731C65AA}"/>
                </c:ext>
              </c:extLst>
            </c:dLbl>
            <c:dLbl>
              <c:idx val="1"/>
              <c:layout>
                <c:manualLayout>
                  <c:x val="-4.4551540618365276E-2"/>
                  <c:y val="-2.723809605513598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Analysis'!$P$213:$P$214</c:f>
              <c:numCache>
                <c:formatCode>0.00%</c:formatCode>
                <c:ptCount val="2"/>
                <c:pt idx="0">
                  <c:v>-5.4171575062480395E-2</c:v>
                </c:pt>
                <c:pt idx="1">
                  <c:v>-5.4171575062480395E-2</c:v>
                </c:pt>
              </c:numCache>
            </c:numRef>
          </c:xVal>
          <c:yVal>
            <c:numRef>
              <c:f>'Notes | Quant Analysis'!$Q$213:$Q$214</c:f>
              <c:numCache>
                <c:formatCode>General</c:formatCode>
                <c:ptCount val="2"/>
                <c:pt idx="0">
                  <c:v>0</c:v>
                </c:pt>
                <c:pt idx="1">
                  <c:v>3</c:v>
                </c:pt>
              </c:numCache>
            </c:numRef>
          </c:yVal>
          <c:smooth val="1"/>
          <c:extLst>
            <c:ext xmlns:c16="http://schemas.microsoft.com/office/drawing/2014/chart" uri="{C3380CC4-5D6E-409C-BE32-E72D297353CC}">
              <c16:uniqueId val="{0000000A-64C8-46E7-8417-05DC731C65AA}"/>
            </c:ext>
          </c:extLst>
        </c:ser>
        <c:ser>
          <c:idx val="5"/>
          <c:order val="5"/>
          <c:tx>
            <c:strRef>
              <c:f>'Notes | Quant Analysis'!$O$215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64C8-46E7-8417-05DC731C65AA}"/>
                </c:ext>
              </c:extLst>
            </c:dLbl>
            <c:dLbl>
              <c:idx val="1"/>
              <c:layout>
                <c:manualLayout>
                  <c:x val="-5.2904954484308792E-2"/>
                  <c:y val="-4.457142990840425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Analysis'!$P$215:$P$216</c:f>
              <c:numCache>
                <c:formatCode>0.00%</c:formatCode>
                <c:ptCount val="2"/>
                <c:pt idx="0">
                  <c:v>-2.7010924004224519E-2</c:v>
                </c:pt>
                <c:pt idx="1">
                  <c:v>-2.7010924004224519E-2</c:v>
                </c:pt>
              </c:numCache>
            </c:numRef>
          </c:xVal>
          <c:yVal>
            <c:numRef>
              <c:f>'Notes | Quant Analysis'!$Q$215:$Q$216</c:f>
              <c:numCache>
                <c:formatCode>General</c:formatCode>
                <c:ptCount val="2"/>
                <c:pt idx="0">
                  <c:v>0</c:v>
                </c:pt>
                <c:pt idx="1">
                  <c:v>9</c:v>
                </c:pt>
              </c:numCache>
            </c:numRef>
          </c:yVal>
          <c:smooth val="1"/>
          <c:extLst>
            <c:ext xmlns:c16="http://schemas.microsoft.com/office/drawing/2014/chart" uri="{C3380CC4-5D6E-409C-BE32-E72D297353CC}">
              <c16:uniqueId val="{0000000D-64C8-46E7-8417-05DC731C65AA}"/>
            </c:ext>
          </c:extLst>
        </c:ser>
        <c:ser>
          <c:idx val="6"/>
          <c:order val="6"/>
          <c:tx>
            <c:strRef>
              <c:f>'Notes | Quant Analysis'!$O$217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64C8-46E7-8417-05DC731C65AA}"/>
                </c:ext>
              </c:extLst>
            </c:dLbl>
            <c:dLbl>
              <c:idx val="1"/>
              <c:layout>
                <c:manualLayout>
                  <c:x val="-3.6128843844767361E-2"/>
                  <c:y val="-3.85396636982276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Analysis'!$P$217:$P$218</c:f>
              <c:numCache>
                <c:formatCode>0.00%</c:formatCode>
                <c:ptCount val="2"/>
                <c:pt idx="0">
                  <c:v>2.7310378112287228E-2</c:v>
                </c:pt>
                <c:pt idx="1">
                  <c:v>2.7310378112287228E-2</c:v>
                </c:pt>
              </c:numCache>
            </c:numRef>
          </c:xVal>
          <c:yVal>
            <c:numRef>
              <c:f>'Notes | Quant Analysis'!$Q$215:$Q$216</c:f>
              <c:numCache>
                <c:formatCode>General</c:formatCode>
                <c:ptCount val="2"/>
                <c:pt idx="0">
                  <c:v>0</c:v>
                </c:pt>
                <c:pt idx="1">
                  <c:v>9</c:v>
                </c:pt>
              </c:numCache>
            </c:numRef>
          </c:yVal>
          <c:smooth val="1"/>
          <c:extLst>
            <c:ext xmlns:c16="http://schemas.microsoft.com/office/drawing/2014/chart" uri="{C3380CC4-5D6E-409C-BE32-E72D297353CC}">
              <c16:uniqueId val="{00000010-64C8-46E7-8417-05DC731C65AA}"/>
            </c:ext>
          </c:extLst>
        </c:ser>
        <c:ser>
          <c:idx val="7"/>
          <c:order val="7"/>
          <c:tx>
            <c:strRef>
              <c:f>'Notes | Quant Analysis'!$O$219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64C8-46E7-8417-05DC731C65AA}"/>
                </c:ext>
              </c:extLst>
            </c:dLbl>
            <c:dLbl>
              <c:idx val="1"/>
              <c:layout>
                <c:manualLayout>
                  <c:x val="-4.1767069329717466E-2"/>
                  <c:y val="-2.723809605513598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Analysis'!$P$219:$P$220</c:f>
              <c:numCache>
                <c:formatCode>0.00%</c:formatCode>
                <c:ptCount val="2"/>
                <c:pt idx="0">
                  <c:v>5.4471029170543098E-2</c:v>
                </c:pt>
                <c:pt idx="1">
                  <c:v>5.4471029170543098E-2</c:v>
                </c:pt>
              </c:numCache>
            </c:numRef>
          </c:xVal>
          <c:yVal>
            <c:numRef>
              <c:f>'Notes | Quant Analysis'!$Q$219:$Q$220</c:f>
              <c:numCache>
                <c:formatCode>General</c:formatCode>
                <c:ptCount val="2"/>
                <c:pt idx="0">
                  <c:v>0</c:v>
                </c:pt>
                <c:pt idx="1">
                  <c:v>3</c:v>
                </c:pt>
              </c:numCache>
            </c:numRef>
          </c:yVal>
          <c:smooth val="1"/>
          <c:extLst>
            <c:ext xmlns:c16="http://schemas.microsoft.com/office/drawing/2014/chart" uri="{C3380CC4-5D6E-409C-BE32-E72D297353CC}">
              <c16:uniqueId val="{00000013-64C8-46E7-8417-05DC731C65AA}"/>
            </c:ext>
          </c:extLst>
        </c:ser>
        <c:ser>
          <c:idx val="8"/>
          <c:order val="8"/>
          <c:tx>
            <c:strRef>
              <c:f>'Notes | Quant Analysis'!$O$221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64C8-46E7-8417-05DC731C65AA}"/>
                </c:ext>
              </c:extLst>
            </c:dLbl>
            <c:dLbl>
              <c:idx val="1"/>
              <c:layout>
                <c:manualLayout>
                  <c:x val="-2.3668005953506564E-2"/>
                  <c:y val="-2.476190550466926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64C8-46E7-8417-05DC731C65A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'Notes | Quant Analysis'!$P$221:$P$222</c:f>
              <c:numCache>
                <c:formatCode>0.00%</c:formatCode>
                <c:ptCount val="2"/>
                <c:pt idx="0">
                  <c:v>8.1631680228798964E-2</c:v>
                </c:pt>
                <c:pt idx="1">
                  <c:v>8.1631680228798964E-2</c:v>
                </c:pt>
              </c:numCache>
            </c:numRef>
          </c:xVal>
          <c:yVal>
            <c:numRef>
              <c:f>'Notes | Quant Analysis'!$Q$221:$Q$222</c:f>
              <c:numCache>
                <c:formatCode>General</c:formatCode>
                <c:ptCount val="2"/>
                <c:pt idx="0">
                  <c:v>0</c:v>
                </c:pt>
                <c:pt idx="1">
                  <c:v>2</c:v>
                </c:pt>
              </c:numCache>
            </c:numRef>
          </c:yVal>
          <c:smooth val="1"/>
          <c:extLst>
            <c:ext xmlns:c16="http://schemas.microsoft.com/office/drawing/2014/chart" uri="{C3380CC4-5D6E-409C-BE32-E72D297353CC}">
              <c16:uniqueId val="{00000016-64C8-46E7-8417-05DC731C65AA}"/>
            </c:ext>
          </c:extLst>
        </c:ser>
        <c:dLbls>
          <c:showLegendKey val="0"/>
          <c:showVal val="0"/>
          <c:showCatName val="0"/>
          <c:showSerName val="0"/>
          <c:showPercent val="0"/>
          <c:showBubbleSize val="0"/>
        </c:dLbls>
        <c:axId val="1297843279"/>
        <c:axId val="1297840879"/>
      </c:scatterChart>
      <c:valAx>
        <c:axId val="1297843279"/>
        <c:scaling>
          <c:orientation val="minMax"/>
          <c:max val="9.0000000000000024E-2"/>
          <c:min val="-9.0000000000000024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1.0000000000000002E-2"/>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(AMD)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Model!$BW$36:$CK$36</c:f>
              <c:numCache>
                <c:formatCode>General</c:formatCode>
                <c:ptCount val="15"/>
                <c:pt idx="0">
                  <c:v>471</c:v>
                </c:pt>
                <c:pt idx="1">
                  <c:v>491</c:v>
                </c:pt>
                <c:pt idx="2">
                  <c:v>-1183</c:v>
                </c:pt>
                <c:pt idx="3">
                  <c:v>-83</c:v>
                </c:pt>
                <c:pt idx="4">
                  <c:v>-403</c:v>
                </c:pt>
                <c:pt idx="5">
                  <c:v>-660</c:v>
                </c:pt>
                <c:pt idx="6">
                  <c:v>-498</c:v>
                </c:pt>
                <c:pt idx="7">
                  <c:v>-33</c:v>
                </c:pt>
                <c:pt idx="8">
                  <c:v>337</c:v>
                </c:pt>
                <c:pt idx="9">
                  <c:v>340</c:v>
                </c:pt>
                <c:pt idx="10">
                  <c:v>2490</c:v>
                </c:pt>
                <c:pt idx="11">
                  <c:v>3162</c:v>
                </c:pt>
                <c:pt idx="12">
                  <c:v>1320</c:v>
                </c:pt>
                <c:pt idx="13">
                  <c:v>1169</c:v>
                </c:pt>
                <c:pt idx="14">
                  <c:v>1641</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a:ln>
              <a:solidFill>
                <a:srgbClr val="FFC000"/>
              </a:solidFill>
            </a:ln>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Model!$BW$85:$CK$85</c:f>
              <c:numCache>
                <c:formatCode>General</c:formatCode>
                <c:ptCount val="15"/>
                <c:pt idx="0">
                  <c:v>-559</c:v>
                </c:pt>
                <c:pt idx="1">
                  <c:v>148</c:v>
                </c:pt>
                <c:pt idx="2">
                  <c:v>-471</c:v>
                </c:pt>
                <c:pt idx="3">
                  <c:v>6</c:v>
                </c:pt>
                <c:pt idx="4">
                  <c:v>-193</c:v>
                </c:pt>
                <c:pt idx="5">
                  <c:v>-314</c:v>
                </c:pt>
                <c:pt idx="6">
                  <c:v>4</c:v>
                </c:pt>
                <c:pt idx="7">
                  <c:v>-101</c:v>
                </c:pt>
                <c:pt idx="8">
                  <c:v>-129</c:v>
                </c:pt>
                <c:pt idx="9">
                  <c:v>276</c:v>
                </c:pt>
                <c:pt idx="10">
                  <c:v>777</c:v>
                </c:pt>
                <c:pt idx="11">
                  <c:v>3220</c:v>
                </c:pt>
                <c:pt idx="12">
                  <c:v>3115</c:v>
                </c:pt>
                <c:pt idx="13">
                  <c:v>1121</c:v>
                </c:pt>
                <c:pt idx="14">
                  <c:v>2405</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marker>
            <c:symbol val="none"/>
          </c:marker>
          <c:cat>
            <c:numRef>
              <c:f>Model!$BW$3:$CK$3</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Model!$BW$22:$CK$22</c:f>
              <c:numCache>
                <c:formatCode>General</c:formatCode>
                <c:ptCount val="15"/>
                <c:pt idx="0">
                  <c:v>6533</c:v>
                </c:pt>
                <c:pt idx="1">
                  <c:v>6540</c:v>
                </c:pt>
                <c:pt idx="2">
                  <c:v>4925</c:v>
                </c:pt>
                <c:pt idx="3">
                  <c:v>5608</c:v>
                </c:pt>
                <c:pt idx="4">
                  <c:v>5139</c:v>
                </c:pt>
                <c:pt idx="5">
                  <c:v>3793</c:v>
                </c:pt>
                <c:pt idx="6">
                  <c:v>4665</c:v>
                </c:pt>
                <c:pt idx="7">
                  <c:v>5722</c:v>
                </c:pt>
                <c:pt idx="8">
                  <c:v>6100</c:v>
                </c:pt>
                <c:pt idx="9">
                  <c:v>5459</c:v>
                </c:pt>
                <c:pt idx="10">
                  <c:v>9763</c:v>
                </c:pt>
                <c:pt idx="11">
                  <c:v>16434</c:v>
                </c:pt>
                <c:pt idx="12">
                  <c:v>23601</c:v>
                </c:pt>
                <c:pt idx="13">
                  <c:v>22680</c:v>
                </c:pt>
                <c:pt idx="14">
                  <c:v>25785</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(AMD)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405835627516794E-2"/>
          <c:y val="0.16630261573867286"/>
          <c:w val="0.90817230861958997"/>
          <c:h val="0.74917903495450422"/>
        </c:manualLayout>
      </c:layout>
      <c:barChart>
        <c:barDir val="col"/>
        <c:grouping val="stacked"/>
        <c:varyColors val="0"/>
        <c:ser>
          <c:idx val="8"/>
          <c:order val="0"/>
          <c:tx>
            <c:strRef>
              <c:f>Model!$B$6</c:f>
              <c:strCache>
                <c:ptCount val="1"/>
                <c:pt idx="0">
                  <c:v>Gaming</c:v>
                </c:pt>
              </c:strCache>
            </c:strRef>
          </c:tx>
          <c:spPr>
            <a:solidFill>
              <a:srgbClr val="70AD47">
                <a:lumMod val="60000"/>
                <a:lumOff val="40000"/>
              </a:srgbClr>
            </a:solidFill>
            <a:ln>
              <a:noFill/>
            </a:ln>
            <a:effectLst/>
          </c:spPr>
          <c:invertIfNegative val="0"/>
          <c:cat>
            <c:strRef>
              <c:f>Model!$AU$1:$BM$1</c:f>
              <c:strCache>
                <c:ptCount val="17"/>
                <c:pt idx="0">
                  <c:v>Q1 2021</c:v>
                </c:pt>
                <c:pt idx="4">
                  <c:v>Q1 2022</c:v>
                </c:pt>
                <c:pt idx="8">
                  <c:v>Q1 2023</c:v>
                </c:pt>
                <c:pt idx="12">
                  <c:v>Q1 2024</c:v>
                </c:pt>
                <c:pt idx="16">
                  <c:v>Q1 2025</c:v>
                </c:pt>
              </c:strCache>
            </c:strRef>
          </c:cat>
          <c:val>
            <c:numRef>
              <c:f>Model!$AU$6:$BM$6</c:f>
              <c:numCache>
                <c:formatCode>General</c:formatCode>
                <c:ptCount val="19"/>
                <c:pt idx="0">
                  <c:v>1179</c:v>
                </c:pt>
                <c:pt idx="1">
                  <c:v>1255</c:v>
                </c:pt>
                <c:pt idx="2">
                  <c:v>1434</c:v>
                </c:pt>
                <c:pt idx="3">
                  <c:v>1739</c:v>
                </c:pt>
                <c:pt idx="4">
                  <c:v>1875</c:v>
                </c:pt>
                <c:pt idx="5">
                  <c:v>1655</c:v>
                </c:pt>
                <c:pt idx="6">
                  <c:v>1631</c:v>
                </c:pt>
                <c:pt idx="7">
                  <c:v>1644</c:v>
                </c:pt>
                <c:pt idx="8">
                  <c:v>1757</c:v>
                </c:pt>
                <c:pt idx="9">
                  <c:v>1581</c:v>
                </c:pt>
                <c:pt idx="10">
                  <c:v>1506</c:v>
                </c:pt>
                <c:pt idx="11">
                  <c:v>1368</c:v>
                </c:pt>
                <c:pt idx="12">
                  <c:v>922</c:v>
                </c:pt>
                <c:pt idx="13">
                  <c:v>648</c:v>
                </c:pt>
                <c:pt idx="14">
                  <c:v>462</c:v>
                </c:pt>
                <c:pt idx="15">
                  <c:v>563</c:v>
                </c:pt>
                <c:pt idx="16">
                  <c:v>647</c:v>
                </c:pt>
                <c:pt idx="17">
                  <c:v>1122</c:v>
                </c:pt>
                <c:pt idx="18">
                  <c:v>1298</c:v>
                </c:pt>
              </c:numCache>
            </c:numRef>
          </c:val>
          <c:extLst>
            <c:ext xmlns:c16="http://schemas.microsoft.com/office/drawing/2014/chart" uri="{C3380CC4-5D6E-409C-BE32-E72D297353CC}">
              <c16:uniqueId val="{00000000-245C-40E1-AB46-1BED2DC17D08}"/>
            </c:ext>
          </c:extLst>
        </c:ser>
        <c:ser>
          <c:idx val="9"/>
          <c:order val="1"/>
          <c:tx>
            <c:strRef>
              <c:f>Model!$B$8</c:f>
              <c:strCache>
                <c:ptCount val="1"/>
                <c:pt idx="0">
                  <c:v>Embedded</c:v>
                </c:pt>
              </c:strCache>
            </c:strRef>
          </c:tx>
          <c:spPr>
            <a:solidFill>
              <a:srgbClr val="CCFF66"/>
            </a:solidFill>
            <a:ln>
              <a:noFill/>
            </a:ln>
            <a:effectLst/>
          </c:spPr>
          <c:invertIfNegative val="0"/>
          <c:cat>
            <c:strRef>
              <c:f>Model!$AU$1:$BM$1</c:f>
              <c:strCache>
                <c:ptCount val="17"/>
                <c:pt idx="0">
                  <c:v>Q1 2021</c:v>
                </c:pt>
                <c:pt idx="4">
                  <c:v>Q1 2022</c:v>
                </c:pt>
                <c:pt idx="8">
                  <c:v>Q1 2023</c:v>
                </c:pt>
                <c:pt idx="12">
                  <c:v>Q1 2024</c:v>
                </c:pt>
                <c:pt idx="16">
                  <c:v>Q1 2025</c:v>
                </c:pt>
              </c:strCache>
            </c:strRef>
          </c:cat>
          <c:val>
            <c:numRef>
              <c:f>Model!$AU$8:$BM$8</c:f>
              <c:numCache>
                <c:formatCode>General</c:formatCode>
                <c:ptCount val="19"/>
                <c:pt idx="0">
                  <c:v>27</c:v>
                </c:pt>
                <c:pt idx="1">
                  <c:v>54</c:v>
                </c:pt>
                <c:pt idx="2">
                  <c:v>79</c:v>
                </c:pt>
                <c:pt idx="3">
                  <c:v>86</c:v>
                </c:pt>
                <c:pt idx="4">
                  <c:v>595</c:v>
                </c:pt>
                <c:pt idx="5">
                  <c:v>1257</c:v>
                </c:pt>
                <c:pt idx="6">
                  <c:v>1303</c:v>
                </c:pt>
                <c:pt idx="7">
                  <c:v>1397</c:v>
                </c:pt>
                <c:pt idx="8">
                  <c:v>1562</c:v>
                </c:pt>
                <c:pt idx="9">
                  <c:v>1459</c:v>
                </c:pt>
                <c:pt idx="10">
                  <c:v>1243</c:v>
                </c:pt>
                <c:pt idx="11">
                  <c:v>1057</c:v>
                </c:pt>
                <c:pt idx="12">
                  <c:v>846</c:v>
                </c:pt>
                <c:pt idx="13">
                  <c:v>861</c:v>
                </c:pt>
                <c:pt idx="14">
                  <c:v>927</c:v>
                </c:pt>
                <c:pt idx="15">
                  <c:v>923</c:v>
                </c:pt>
                <c:pt idx="16">
                  <c:v>823</c:v>
                </c:pt>
                <c:pt idx="17">
                  <c:v>824</c:v>
                </c:pt>
                <c:pt idx="18">
                  <c:v>857</c:v>
                </c:pt>
              </c:numCache>
            </c:numRef>
          </c:val>
          <c:extLst>
            <c:ext xmlns:c16="http://schemas.microsoft.com/office/drawing/2014/chart" uri="{C3380CC4-5D6E-409C-BE32-E72D297353CC}">
              <c16:uniqueId val="{00000001-245C-40E1-AB46-1BED2DC17D08}"/>
            </c:ext>
          </c:extLst>
        </c:ser>
        <c:ser>
          <c:idx val="6"/>
          <c:order val="2"/>
          <c:tx>
            <c:strRef>
              <c:f>Model!$B$4</c:f>
              <c:strCache>
                <c:ptCount val="1"/>
                <c:pt idx="0">
                  <c:v>Data Center</c:v>
                </c:pt>
              </c:strCache>
            </c:strRef>
          </c:tx>
          <c:spPr>
            <a:solidFill>
              <a:srgbClr val="91BCE3"/>
            </a:solidFill>
            <a:ln>
              <a:noFill/>
            </a:ln>
            <a:effectLst/>
          </c:spPr>
          <c:invertIfNegative val="0"/>
          <c:cat>
            <c:strRef>
              <c:f>Model!$AU$1:$BM$1</c:f>
              <c:strCache>
                <c:ptCount val="17"/>
                <c:pt idx="0">
                  <c:v>Q1 2021</c:v>
                </c:pt>
                <c:pt idx="4">
                  <c:v>Q1 2022</c:v>
                </c:pt>
                <c:pt idx="8">
                  <c:v>Q1 2023</c:v>
                </c:pt>
                <c:pt idx="12">
                  <c:v>Q1 2024</c:v>
                </c:pt>
                <c:pt idx="16">
                  <c:v>Q1 2025</c:v>
                </c:pt>
              </c:strCache>
            </c:strRef>
          </c:cat>
          <c:val>
            <c:numRef>
              <c:f>Model!$AU$4:$BM$4</c:f>
              <c:numCache>
                <c:formatCode>General</c:formatCode>
                <c:ptCount val="19"/>
                <c:pt idx="0">
                  <c:v>594</c:v>
                </c:pt>
                <c:pt idx="1">
                  <c:v>813</c:v>
                </c:pt>
                <c:pt idx="2">
                  <c:v>1108</c:v>
                </c:pt>
                <c:pt idx="3">
                  <c:v>1179</c:v>
                </c:pt>
                <c:pt idx="4">
                  <c:v>1293</c:v>
                </c:pt>
                <c:pt idx="5">
                  <c:v>1486</c:v>
                </c:pt>
                <c:pt idx="6">
                  <c:v>1609</c:v>
                </c:pt>
                <c:pt idx="7">
                  <c:v>1655</c:v>
                </c:pt>
                <c:pt idx="8">
                  <c:v>1295</c:v>
                </c:pt>
                <c:pt idx="9">
                  <c:v>1321</c:v>
                </c:pt>
                <c:pt idx="10">
                  <c:v>1598</c:v>
                </c:pt>
                <c:pt idx="11">
                  <c:v>2282</c:v>
                </c:pt>
                <c:pt idx="12">
                  <c:v>2337</c:v>
                </c:pt>
                <c:pt idx="13">
                  <c:v>2834</c:v>
                </c:pt>
                <c:pt idx="14">
                  <c:v>3549</c:v>
                </c:pt>
                <c:pt idx="15">
                  <c:v>3859</c:v>
                </c:pt>
                <c:pt idx="16">
                  <c:v>3674</c:v>
                </c:pt>
                <c:pt idx="17">
                  <c:v>3240</c:v>
                </c:pt>
                <c:pt idx="18">
                  <c:v>4341</c:v>
                </c:pt>
              </c:numCache>
            </c:numRef>
          </c:val>
          <c:extLst>
            <c:ext xmlns:c16="http://schemas.microsoft.com/office/drawing/2014/chart" uri="{C3380CC4-5D6E-409C-BE32-E72D297353CC}">
              <c16:uniqueId val="{00000002-245C-40E1-AB46-1BED2DC17D08}"/>
            </c:ext>
          </c:extLst>
        </c:ser>
        <c:ser>
          <c:idx val="7"/>
          <c:order val="3"/>
          <c:tx>
            <c:strRef>
              <c:f>Model!$B$5</c:f>
              <c:strCache>
                <c:ptCount val="1"/>
                <c:pt idx="0">
                  <c:v>Client</c:v>
                </c:pt>
              </c:strCache>
            </c:strRef>
          </c:tx>
          <c:spPr>
            <a:solidFill>
              <a:srgbClr val="D37BA7"/>
            </a:solidFill>
            <a:ln>
              <a:noFill/>
            </a:ln>
            <a:effectLst/>
          </c:spPr>
          <c:invertIfNegative val="0"/>
          <c:cat>
            <c:strRef>
              <c:f>Model!$AU$1:$BM$1</c:f>
              <c:strCache>
                <c:ptCount val="17"/>
                <c:pt idx="0">
                  <c:v>Q1 2021</c:v>
                </c:pt>
                <c:pt idx="4">
                  <c:v>Q1 2022</c:v>
                </c:pt>
                <c:pt idx="8">
                  <c:v>Q1 2023</c:v>
                </c:pt>
                <c:pt idx="12">
                  <c:v>Q1 2024</c:v>
                </c:pt>
                <c:pt idx="16">
                  <c:v>Q1 2025</c:v>
                </c:pt>
              </c:strCache>
            </c:strRef>
          </c:cat>
          <c:val>
            <c:numRef>
              <c:f>Model!$AU$5:$BM$5</c:f>
              <c:numCache>
                <c:formatCode>General</c:formatCode>
                <c:ptCount val="19"/>
                <c:pt idx="0">
                  <c:v>1645</c:v>
                </c:pt>
                <c:pt idx="1">
                  <c:v>1728</c:v>
                </c:pt>
                <c:pt idx="2">
                  <c:v>1692</c:v>
                </c:pt>
                <c:pt idx="3">
                  <c:v>1822</c:v>
                </c:pt>
                <c:pt idx="4">
                  <c:v>2124</c:v>
                </c:pt>
                <c:pt idx="5">
                  <c:v>2152</c:v>
                </c:pt>
                <c:pt idx="6">
                  <c:v>1022</c:v>
                </c:pt>
                <c:pt idx="7">
                  <c:v>903</c:v>
                </c:pt>
                <c:pt idx="8">
                  <c:v>739</c:v>
                </c:pt>
                <c:pt idx="9">
                  <c:v>998</c:v>
                </c:pt>
                <c:pt idx="10">
                  <c:v>1453</c:v>
                </c:pt>
                <c:pt idx="11">
                  <c:v>1461</c:v>
                </c:pt>
                <c:pt idx="12">
                  <c:v>1368</c:v>
                </c:pt>
                <c:pt idx="13">
                  <c:v>1492</c:v>
                </c:pt>
                <c:pt idx="14">
                  <c:v>1881</c:v>
                </c:pt>
                <c:pt idx="15">
                  <c:v>2313</c:v>
                </c:pt>
                <c:pt idx="16">
                  <c:v>2294</c:v>
                </c:pt>
                <c:pt idx="17">
                  <c:v>2499</c:v>
                </c:pt>
                <c:pt idx="18">
                  <c:v>2750</c:v>
                </c:pt>
              </c:numCache>
            </c:numRef>
          </c:val>
          <c:extLst>
            <c:ext xmlns:c16="http://schemas.microsoft.com/office/drawing/2014/chart" uri="{C3380CC4-5D6E-409C-BE32-E72D297353CC}">
              <c16:uniqueId val="{00000003-245C-40E1-AB46-1BED2DC17D08}"/>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majorUnit val="2000"/>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(AMD)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7.6199299235194765E-2"/>
          <c:y val="0.13215758462290811"/>
          <c:w val="0.91146317261238152"/>
          <c:h val="0.74322565235797999"/>
        </c:manualLayout>
      </c:layout>
      <c:barChart>
        <c:barDir val="col"/>
        <c:grouping val="clustered"/>
        <c:varyColors val="0"/>
        <c:ser>
          <c:idx val="1"/>
          <c:order val="1"/>
          <c:tx>
            <c:v>Income</c:v>
          </c:tx>
          <c:spPr>
            <a:solidFill>
              <a:srgbClr val="FFC00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Model!$AU$36:$BM$36</c:f>
              <c:numCache>
                <c:formatCode>General</c:formatCode>
                <c:ptCount val="19"/>
                <c:pt idx="0">
                  <c:v>555</c:v>
                </c:pt>
                <c:pt idx="1">
                  <c:v>710</c:v>
                </c:pt>
                <c:pt idx="2">
                  <c:v>923</c:v>
                </c:pt>
                <c:pt idx="3">
                  <c:v>974</c:v>
                </c:pt>
                <c:pt idx="4">
                  <c:v>786</c:v>
                </c:pt>
                <c:pt idx="5">
                  <c:v>447</c:v>
                </c:pt>
                <c:pt idx="6">
                  <c:v>66</c:v>
                </c:pt>
                <c:pt idx="7">
                  <c:v>21</c:v>
                </c:pt>
                <c:pt idx="8">
                  <c:v>-139</c:v>
                </c:pt>
                <c:pt idx="9">
                  <c:v>27</c:v>
                </c:pt>
                <c:pt idx="10">
                  <c:v>299</c:v>
                </c:pt>
                <c:pt idx="11">
                  <c:v>982</c:v>
                </c:pt>
                <c:pt idx="12">
                  <c:v>123</c:v>
                </c:pt>
                <c:pt idx="13">
                  <c:v>265</c:v>
                </c:pt>
                <c:pt idx="14">
                  <c:v>771</c:v>
                </c:pt>
                <c:pt idx="15">
                  <c:v>482</c:v>
                </c:pt>
                <c:pt idx="16">
                  <c:v>709</c:v>
                </c:pt>
                <c:pt idx="17">
                  <c:v>872</c:v>
                </c:pt>
                <c:pt idx="18">
                  <c:v>1243</c:v>
                </c:pt>
              </c:numCache>
            </c:numRef>
          </c:val>
          <c:extLst>
            <c:ext xmlns:c16="http://schemas.microsoft.com/office/drawing/2014/chart" uri="{C3380CC4-5D6E-409C-BE32-E72D297353CC}">
              <c16:uniqueId val="{00000000-CD88-4BB8-82BF-3101F1318F05}"/>
            </c:ext>
          </c:extLst>
        </c:ser>
        <c:ser>
          <c:idx val="2"/>
          <c:order val="2"/>
          <c:tx>
            <c:v>FCF</c:v>
          </c:tx>
          <c:spPr>
            <a:solidFill>
              <a:srgbClr val="00B05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Model!$AU$85:$BM$85</c:f>
              <c:numCache>
                <c:formatCode>General</c:formatCode>
                <c:ptCount val="19"/>
                <c:pt idx="0">
                  <c:v>832</c:v>
                </c:pt>
                <c:pt idx="1">
                  <c:v>888</c:v>
                </c:pt>
                <c:pt idx="2">
                  <c:v>764</c:v>
                </c:pt>
                <c:pt idx="3">
                  <c:v>736</c:v>
                </c:pt>
                <c:pt idx="4">
                  <c:v>924</c:v>
                </c:pt>
                <c:pt idx="5">
                  <c:v>906</c:v>
                </c:pt>
                <c:pt idx="6">
                  <c:v>842</c:v>
                </c:pt>
                <c:pt idx="7">
                  <c:v>443</c:v>
                </c:pt>
                <c:pt idx="8">
                  <c:v>328</c:v>
                </c:pt>
                <c:pt idx="9">
                  <c:v>254</c:v>
                </c:pt>
                <c:pt idx="10">
                  <c:v>297</c:v>
                </c:pt>
                <c:pt idx="11">
                  <c:v>242</c:v>
                </c:pt>
                <c:pt idx="12">
                  <c:v>379</c:v>
                </c:pt>
                <c:pt idx="13">
                  <c:v>439</c:v>
                </c:pt>
                <c:pt idx="14">
                  <c:v>496</c:v>
                </c:pt>
                <c:pt idx="15">
                  <c:v>1091</c:v>
                </c:pt>
                <c:pt idx="16">
                  <c:v>727</c:v>
                </c:pt>
                <c:pt idx="17">
                  <c:v>1180</c:v>
                </c:pt>
                <c:pt idx="18">
                  <c:v>1530</c:v>
                </c:pt>
              </c:numCache>
            </c:numRef>
          </c:val>
          <c:extLst>
            <c:ext xmlns:c16="http://schemas.microsoft.com/office/drawing/2014/chart" uri="{C3380CC4-5D6E-409C-BE32-E72D297353CC}">
              <c16:uniqueId val="{00000001-CD88-4BB8-82BF-3101F1318F05}"/>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5400">
              <a:solidFill>
                <a:srgbClr val="00B0F0"/>
              </a:solidFill>
            </a:ln>
          </c:spPr>
          <c:marker>
            <c:symbol val="none"/>
          </c:marker>
          <c:cat>
            <c:strRef>
              <c:f>Model!$AU$1:$BM$1</c:f>
              <c:strCache>
                <c:ptCount val="17"/>
                <c:pt idx="0">
                  <c:v>Q1 2021</c:v>
                </c:pt>
                <c:pt idx="4">
                  <c:v>Q1 2022</c:v>
                </c:pt>
                <c:pt idx="8">
                  <c:v>Q1 2023</c:v>
                </c:pt>
                <c:pt idx="12">
                  <c:v>Q1 2024</c:v>
                </c:pt>
                <c:pt idx="16">
                  <c:v>Q1 2025</c:v>
                </c:pt>
              </c:strCache>
            </c:strRef>
          </c:cat>
          <c:val>
            <c:numRef>
              <c:f>Model!$AU$22:$BM$22</c:f>
              <c:numCache>
                <c:formatCode>General</c:formatCode>
                <c:ptCount val="19"/>
                <c:pt idx="0">
                  <c:v>3445</c:v>
                </c:pt>
                <c:pt idx="1">
                  <c:v>3850</c:v>
                </c:pt>
                <c:pt idx="2">
                  <c:v>4313</c:v>
                </c:pt>
                <c:pt idx="3">
                  <c:v>4826</c:v>
                </c:pt>
                <c:pt idx="4">
                  <c:v>5887</c:v>
                </c:pt>
                <c:pt idx="5">
                  <c:v>6550</c:v>
                </c:pt>
                <c:pt idx="6">
                  <c:v>5565</c:v>
                </c:pt>
                <c:pt idx="7">
                  <c:v>5599</c:v>
                </c:pt>
                <c:pt idx="8">
                  <c:v>5353</c:v>
                </c:pt>
                <c:pt idx="9">
                  <c:v>5359</c:v>
                </c:pt>
                <c:pt idx="10">
                  <c:v>5800</c:v>
                </c:pt>
                <c:pt idx="11">
                  <c:v>6168</c:v>
                </c:pt>
                <c:pt idx="12">
                  <c:v>5473</c:v>
                </c:pt>
                <c:pt idx="13">
                  <c:v>5835</c:v>
                </c:pt>
                <c:pt idx="14">
                  <c:v>6819</c:v>
                </c:pt>
                <c:pt idx="15">
                  <c:v>7658</c:v>
                </c:pt>
                <c:pt idx="16">
                  <c:v>7438</c:v>
                </c:pt>
                <c:pt idx="17">
                  <c:v>7685</c:v>
                </c:pt>
                <c:pt idx="18">
                  <c:v>9246</c:v>
                </c:pt>
              </c:numCache>
            </c:numRef>
          </c:val>
          <c:smooth val="0"/>
          <c:extLst>
            <c:ext xmlns:c16="http://schemas.microsoft.com/office/drawing/2014/chart" uri="{C3380CC4-5D6E-409C-BE32-E72D297353CC}">
              <c16:uniqueId val="{00000002-CD88-4BB8-82BF-3101F1318F05}"/>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(AMD)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'[3]Notes | Quant Analysis'!$I$207</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'[3]Notes | Quant Analysis'!$I$209:$I$275</c:f>
              <c:numCache>
                <c:formatCode>General</c:formatCode>
                <c:ptCount val="67"/>
                <c:pt idx="0">
                  <c:v>-8.2500000000000004E-2</c:v>
                </c:pt>
                <c:pt idx="1">
                  <c:v>-0.08</c:v>
                </c:pt>
                <c:pt idx="2">
                  <c:v>-7.7499999999999999E-2</c:v>
                </c:pt>
                <c:pt idx="3">
                  <c:v>-7.4999999999999997E-2</c:v>
                </c:pt>
                <c:pt idx="4">
                  <c:v>-7.2499999999999995E-2</c:v>
                </c:pt>
                <c:pt idx="5">
                  <c:v>-6.9999999999999993E-2</c:v>
                </c:pt>
                <c:pt idx="6">
                  <c:v>-6.7499999999999991E-2</c:v>
                </c:pt>
                <c:pt idx="7">
                  <c:v>-6.4999999999999988E-2</c:v>
                </c:pt>
                <c:pt idx="8">
                  <c:v>-6.2499999999999986E-2</c:v>
                </c:pt>
                <c:pt idx="9">
                  <c:v>-5.9999999999999984E-2</c:v>
                </c:pt>
                <c:pt idx="10">
                  <c:v>-5.7499999999999982E-2</c:v>
                </c:pt>
                <c:pt idx="11">
                  <c:v>-5.4999999999999979E-2</c:v>
                </c:pt>
                <c:pt idx="12">
                  <c:v>-5.2499999999999977E-2</c:v>
                </c:pt>
                <c:pt idx="13">
                  <c:v>-4.9999999999999975E-2</c:v>
                </c:pt>
                <c:pt idx="14">
                  <c:v>-4.7499999999999973E-2</c:v>
                </c:pt>
                <c:pt idx="15">
                  <c:v>-4.4999999999999971E-2</c:v>
                </c:pt>
                <c:pt idx="16">
                  <c:v>-4.2499999999999968E-2</c:v>
                </c:pt>
                <c:pt idx="17">
                  <c:v>-3.9999999999999966E-2</c:v>
                </c:pt>
                <c:pt idx="18">
                  <c:v>-3.7499999999999964E-2</c:v>
                </c:pt>
                <c:pt idx="19">
                  <c:v>-3.4999999999999962E-2</c:v>
                </c:pt>
                <c:pt idx="20">
                  <c:v>-3.2499999999999959E-2</c:v>
                </c:pt>
                <c:pt idx="21">
                  <c:v>-2.9999999999999961E-2</c:v>
                </c:pt>
                <c:pt idx="22">
                  <c:v>-2.7499999999999962E-2</c:v>
                </c:pt>
                <c:pt idx="23">
                  <c:v>-2.4999999999999963E-2</c:v>
                </c:pt>
                <c:pt idx="24">
                  <c:v>-2.2499999999999964E-2</c:v>
                </c:pt>
                <c:pt idx="25">
                  <c:v>-1.9999999999999966E-2</c:v>
                </c:pt>
                <c:pt idx="26">
                  <c:v>-1.7499999999999967E-2</c:v>
                </c:pt>
                <c:pt idx="27">
                  <c:v>-1.4999999999999966E-2</c:v>
                </c:pt>
                <c:pt idx="28">
                  <c:v>-1.2499999999999966E-2</c:v>
                </c:pt>
                <c:pt idx="29">
                  <c:v>-9.9999999999999655E-3</c:v>
                </c:pt>
                <c:pt idx="30">
                  <c:v>-7.499999999999965E-3</c:v>
                </c:pt>
                <c:pt idx="31">
                  <c:v>-4.9999999999999645E-3</c:v>
                </c:pt>
                <c:pt idx="32">
                  <c:v>-2.4999999999999645E-3</c:v>
                </c:pt>
                <c:pt idx="33">
                  <c:v>3.5561831257524545E-17</c:v>
                </c:pt>
                <c:pt idx="34">
                  <c:v>2.5000000000000356E-3</c:v>
                </c:pt>
                <c:pt idx="35">
                  <c:v>5.0000000000000357E-3</c:v>
                </c:pt>
                <c:pt idx="36">
                  <c:v>7.5000000000000362E-3</c:v>
                </c:pt>
                <c:pt idx="37">
                  <c:v>1.0000000000000037E-2</c:v>
                </c:pt>
                <c:pt idx="38">
                  <c:v>1.2500000000000037E-2</c:v>
                </c:pt>
                <c:pt idx="39">
                  <c:v>1.5000000000000038E-2</c:v>
                </c:pt>
                <c:pt idx="40">
                  <c:v>1.7500000000000036E-2</c:v>
                </c:pt>
                <c:pt idx="41">
                  <c:v>2.0000000000000035E-2</c:v>
                </c:pt>
                <c:pt idx="42">
                  <c:v>2.2500000000000034E-2</c:v>
                </c:pt>
                <c:pt idx="43">
                  <c:v>2.5000000000000033E-2</c:v>
                </c:pt>
                <c:pt idx="44">
                  <c:v>2.7500000000000031E-2</c:v>
                </c:pt>
                <c:pt idx="45">
                  <c:v>3.000000000000003E-2</c:v>
                </c:pt>
                <c:pt idx="46">
                  <c:v>3.2500000000000029E-2</c:v>
                </c:pt>
                <c:pt idx="47">
                  <c:v>3.5000000000000031E-2</c:v>
                </c:pt>
                <c:pt idx="48">
                  <c:v>3.7500000000000033E-2</c:v>
                </c:pt>
                <c:pt idx="49">
                  <c:v>4.0000000000000036E-2</c:v>
                </c:pt>
                <c:pt idx="50">
                  <c:v>4.2500000000000038E-2</c:v>
                </c:pt>
                <c:pt idx="51">
                  <c:v>4.500000000000004E-2</c:v>
                </c:pt>
                <c:pt idx="52">
                  <c:v>4.7500000000000042E-2</c:v>
                </c:pt>
                <c:pt idx="53">
                  <c:v>5.0000000000000044E-2</c:v>
                </c:pt>
                <c:pt idx="54">
                  <c:v>5.2500000000000047E-2</c:v>
                </c:pt>
                <c:pt idx="55">
                  <c:v>5.5000000000000049E-2</c:v>
                </c:pt>
                <c:pt idx="56">
                  <c:v>5.7500000000000051E-2</c:v>
                </c:pt>
                <c:pt idx="57">
                  <c:v>6.0000000000000053E-2</c:v>
                </c:pt>
                <c:pt idx="58">
                  <c:v>6.2500000000000056E-2</c:v>
                </c:pt>
                <c:pt idx="59">
                  <c:v>6.5000000000000058E-2</c:v>
                </c:pt>
                <c:pt idx="60">
                  <c:v>6.750000000000006E-2</c:v>
                </c:pt>
                <c:pt idx="61">
                  <c:v>7.0000000000000062E-2</c:v>
                </c:pt>
                <c:pt idx="62">
                  <c:v>7.2500000000000064E-2</c:v>
                </c:pt>
                <c:pt idx="63">
                  <c:v>7.5000000000000067E-2</c:v>
                </c:pt>
                <c:pt idx="64">
                  <c:v>7.7499999999999999E-2</c:v>
                </c:pt>
                <c:pt idx="65">
                  <c:v>0.08</c:v>
                </c:pt>
                <c:pt idx="66">
                  <c:v>8.2500000000000004E-2</c:v>
                </c:pt>
              </c:numCache>
            </c:numRef>
          </c:xVal>
          <c:yVal>
            <c:numRef>
              <c:f>'[3]Notes | Quant Analysis'!$J$209:$J$275</c:f>
              <c:numCache>
                <c:formatCode>General</c:formatCode>
                <c:ptCount val="67"/>
                <c:pt idx="0">
                  <c:v>1</c:v>
                </c:pt>
                <c:pt idx="1">
                  <c:v>0</c:v>
                </c:pt>
                <c:pt idx="2">
                  <c:v>0</c:v>
                </c:pt>
                <c:pt idx="3">
                  <c:v>0</c:v>
                </c:pt>
                <c:pt idx="4">
                  <c:v>0</c:v>
                </c:pt>
                <c:pt idx="5">
                  <c:v>2</c:v>
                </c:pt>
                <c:pt idx="6">
                  <c:v>2</c:v>
                </c:pt>
                <c:pt idx="7">
                  <c:v>1</c:v>
                </c:pt>
                <c:pt idx="8">
                  <c:v>1</c:v>
                </c:pt>
                <c:pt idx="9">
                  <c:v>4</c:v>
                </c:pt>
                <c:pt idx="10">
                  <c:v>4</c:v>
                </c:pt>
                <c:pt idx="11">
                  <c:v>3</c:v>
                </c:pt>
                <c:pt idx="12">
                  <c:v>8</c:v>
                </c:pt>
                <c:pt idx="13">
                  <c:v>5</c:v>
                </c:pt>
                <c:pt idx="14">
                  <c:v>10</c:v>
                </c:pt>
                <c:pt idx="15">
                  <c:v>7</c:v>
                </c:pt>
                <c:pt idx="16">
                  <c:v>8</c:v>
                </c:pt>
                <c:pt idx="17">
                  <c:v>10</c:v>
                </c:pt>
                <c:pt idx="18">
                  <c:v>11</c:v>
                </c:pt>
                <c:pt idx="19">
                  <c:v>12</c:v>
                </c:pt>
                <c:pt idx="20">
                  <c:v>22</c:v>
                </c:pt>
                <c:pt idx="21">
                  <c:v>24</c:v>
                </c:pt>
                <c:pt idx="22">
                  <c:v>22</c:v>
                </c:pt>
                <c:pt idx="23">
                  <c:v>22</c:v>
                </c:pt>
                <c:pt idx="24">
                  <c:v>23</c:v>
                </c:pt>
                <c:pt idx="25">
                  <c:v>28</c:v>
                </c:pt>
                <c:pt idx="26">
                  <c:v>39</c:v>
                </c:pt>
                <c:pt idx="27">
                  <c:v>42</c:v>
                </c:pt>
                <c:pt idx="28">
                  <c:v>50</c:v>
                </c:pt>
                <c:pt idx="29">
                  <c:v>49</c:v>
                </c:pt>
                <c:pt idx="30">
                  <c:v>54</c:v>
                </c:pt>
                <c:pt idx="31">
                  <c:v>53</c:v>
                </c:pt>
                <c:pt idx="32">
                  <c:v>60</c:v>
                </c:pt>
                <c:pt idx="33">
                  <c:v>59</c:v>
                </c:pt>
                <c:pt idx="34">
                  <c:v>54</c:v>
                </c:pt>
                <c:pt idx="35">
                  <c:v>55</c:v>
                </c:pt>
                <c:pt idx="36">
                  <c:v>56</c:v>
                </c:pt>
                <c:pt idx="37">
                  <c:v>48</c:v>
                </c:pt>
                <c:pt idx="38">
                  <c:v>49</c:v>
                </c:pt>
                <c:pt idx="39">
                  <c:v>41</c:v>
                </c:pt>
                <c:pt idx="40">
                  <c:v>32</c:v>
                </c:pt>
                <c:pt idx="41">
                  <c:v>30</c:v>
                </c:pt>
                <c:pt idx="42">
                  <c:v>37</c:v>
                </c:pt>
                <c:pt idx="43">
                  <c:v>26</c:v>
                </c:pt>
                <c:pt idx="44">
                  <c:v>18</c:v>
                </c:pt>
                <c:pt idx="45">
                  <c:v>13</c:v>
                </c:pt>
                <c:pt idx="46">
                  <c:v>24</c:v>
                </c:pt>
                <c:pt idx="47">
                  <c:v>21</c:v>
                </c:pt>
                <c:pt idx="48">
                  <c:v>17</c:v>
                </c:pt>
                <c:pt idx="49">
                  <c:v>13</c:v>
                </c:pt>
                <c:pt idx="50">
                  <c:v>13</c:v>
                </c:pt>
                <c:pt idx="51">
                  <c:v>6</c:v>
                </c:pt>
                <c:pt idx="52">
                  <c:v>11</c:v>
                </c:pt>
                <c:pt idx="53">
                  <c:v>14</c:v>
                </c:pt>
                <c:pt idx="54">
                  <c:v>1</c:v>
                </c:pt>
                <c:pt idx="55">
                  <c:v>2</c:v>
                </c:pt>
                <c:pt idx="56">
                  <c:v>4</c:v>
                </c:pt>
                <c:pt idx="57">
                  <c:v>3</c:v>
                </c:pt>
                <c:pt idx="58">
                  <c:v>3</c:v>
                </c:pt>
                <c:pt idx="59">
                  <c:v>3</c:v>
                </c:pt>
                <c:pt idx="60">
                  <c:v>3</c:v>
                </c:pt>
                <c:pt idx="61">
                  <c:v>1</c:v>
                </c:pt>
                <c:pt idx="62">
                  <c:v>1</c:v>
                </c:pt>
                <c:pt idx="63">
                  <c:v>0</c:v>
                </c:pt>
                <c:pt idx="64">
                  <c:v>3</c:v>
                </c:pt>
                <c:pt idx="65">
                  <c:v>1</c:v>
                </c:pt>
                <c:pt idx="66">
                  <c:v>2</c:v>
                </c:pt>
              </c:numCache>
            </c:numRef>
          </c:yVal>
          <c:smooth val="1"/>
          <c:extLst>
            <c:ext xmlns:c16="http://schemas.microsoft.com/office/drawing/2014/chart" uri="{C3380CC4-5D6E-409C-BE32-E72D297353CC}">
              <c16:uniqueId val="{00000000-28C7-4862-86E9-AF862A5BA0AD}"/>
            </c:ext>
          </c:extLst>
        </c:ser>
        <c:ser>
          <c:idx val="1"/>
          <c:order val="1"/>
          <c:tx>
            <c:strRef>
              <c:f>'[3]Notes | Quant Analysis'!$L$207</c:f>
              <c:strCache>
                <c:ptCount val="1"/>
                <c:pt idx="0">
                  <c:v>Distribution Overlay</c:v>
                </c:pt>
              </c:strCache>
            </c:strRef>
          </c:tx>
          <c:spPr>
            <a:ln w="19050" cap="rnd">
              <a:solidFill>
                <a:srgbClr val="FFC000"/>
              </a:solidFill>
              <a:round/>
            </a:ln>
            <a:effectLst/>
          </c:spPr>
          <c:marker>
            <c:symbol val="none"/>
          </c:marker>
          <c:xVal>
            <c:numRef>
              <c:f>'[3]Notes | Quant Analysis'!$L$209:$L$277</c:f>
              <c:numCache>
                <c:formatCode>General</c:formatCode>
                <c:ptCount val="69"/>
                <c:pt idx="0">
                  <c:v>-8.5000000000000006E-2</c:v>
                </c:pt>
                <c:pt idx="1">
                  <c:v>-8.2500000000000004E-2</c:v>
                </c:pt>
                <c:pt idx="2">
                  <c:v>-0.08</c:v>
                </c:pt>
                <c:pt idx="3">
                  <c:v>-7.7499999999999999E-2</c:v>
                </c:pt>
                <c:pt idx="4">
                  <c:v>-7.4999999999999997E-2</c:v>
                </c:pt>
                <c:pt idx="5">
                  <c:v>-7.2499999999999995E-2</c:v>
                </c:pt>
                <c:pt idx="6">
                  <c:v>-6.9999999999999993E-2</c:v>
                </c:pt>
                <c:pt idx="7">
                  <c:v>-6.7499999999999991E-2</c:v>
                </c:pt>
                <c:pt idx="8">
                  <c:v>-6.4999999999999988E-2</c:v>
                </c:pt>
                <c:pt idx="9">
                  <c:v>-6.2499999999999986E-2</c:v>
                </c:pt>
                <c:pt idx="10">
                  <c:v>-5.9999999999999984E-2</c:v>
                </c:pt>
                <c:pt idx="11">
                  <c:v>-5.7499999999999982E-2</c:v>
                </c:pt>
                <c:pt idx="12">
                  <c:v>-5.4999999999999979E-2</c:v>
                </c:pt>
                <c:pt idx="13">
                  <c:v>-5.2499999999999977E-2</c:v>
                </c:pt>
                <c:pt idx="14">
                  <c:v>-4.9999999999999975E-2</c:v>
                </c:pt>
                <c:pt idx="15">
                  <c:v>-4.7499999999999973E-2</c:v>
                </c:pt>
                <c:pt idx="16">
                  <c:v>-4.4999999999999971E-2</c:v>
                </c:pt>
                <c:pt idx="17">
                  <c:v>-4.2499999999999968E-2</c:v>
                </c:pt>
                <c:pt idx="18">
                  <c:v>-3.9999999999999966E-2</c:v>
                </c:pt>
                <c:pt idx="19">
                  <c:v>-3.7499999999999964E-2</c:v>
                </c:pt>
                <c:pt idx="20">
                  <c:v>-3.4999999999999962E-2</c:v>
                </c:pt>
                <c:pt idx="21">
                  <c:v>-3.2499999999999959E-2</c:v>
                </c:pt>
                <c:pt idx="22">
                  <c:v>-2.9999999999999961E-2</c:v>
                </c:pt>
                <c:pt idx="23">
                  <c:v>-2.7499999999999962E-2</c:v>
                </c:pt>
                <c:pt idx="24">
                  <c:v>-2.4999999999999963E-2</c:v>
                </c:pt>
                <c:pt idx="25">
                  <c:v>-2.2499999999999964E-2</c:v>
                </c:pt>
                <c:pt idx="26">
                  <c:v>-1.9999999999999966E-2</c:v>
                </c:pt>
                <c:pt idx="27">
                  <c:v>-1.7499999999999967E-2</c:v>
                </c:pt>
                <c:pt idx="28">
                  <c:v>-1.4999999999999966E-2</c:v>
                </c:pt>
                <c:pt idx="29">
                  <c:v>-1.2499999999999966E-2</c:v>
                </c:pt>
                <c:pt idx="30">
                  <c:v>-9.9999999999999655E-3</c:v>
                </c:pt>
                <c:pt idx="31">
                  <c:v>-7.499999999999965E-3</c:v>
                </c:pt>
                <c:pt idx="32">
                  <c:v>-4.9999999999999645E-3</c:v>
                </c:pt>
                <c:pt idx="33">
                  <c:v>-2.4999999999999645E-3</c:v>
                </c:pt>
                <c:pt idx="34">
                  <c:v>3.5561831257524545E-17</c:v>
                </c:pt>
                <c:pt idx="35">
                  <c:v>2.5000000000000356E-3</c:v>
                </c:pt>
                <c:pt idx="36">
                  <c:v>5.0000000000000357E-3</c:v>
                </c:pt>
                <c:pt idx="37">
                  <c:v>7.5000000000000362E-3</c:v>
                </c:pt>
                <c:pt idx="38">
                  <c:v>1.0000000000000037E-2</c:v>
                </c:pt>
                <c:pt idx="39">
                  <c:v>1.2500000000000037E-2</c:v>
                </c:pt>
                <c:pt idx="40">
                  <c:v>1.5000000000000038E-2</c:v>
                </c:pt>
                <c:pt idx="41">
                  <c:v>1.7500000000000036E-2</c:v>
                </c:pt>
                <c:pt idx="42">
                  <c:v>2.0000000000000035E-2</c:v>
                </c:pt>
                <c:pt idx="43">
                  <c:v>2.2500000000000034E-2</c:v>
                </c:pt>
                <c:pt idx="44">
                  <c:v>2.5000000000000033E-2</c:v>
                </c:pt>
                <c:pt idx="45">
                  <c:v>2.7500000000000031E-2</c:v>
                </c:pt>
                <c:pt idx="46">
                  <c:v>3.000000000000003E-2</c:v>
                </c:pt>
                <c:pt idx="47">
                  <c:v>3.2500000000000029E-2</c:v>
                </c:pt>
                <c:pt idx="48">
                  <c:v>3.5000000000000031E-2</c:v>
                </c:pt>
                <c:pt idx="49">
                  <c:v>3.7500000000000033E-2</c:v>
                </c:pt>
                <c:pt idx="50">
                  <c:v>4.0000000000000036E-2</c:v>
                </c:pt>
                <c:pt idx="51">
                  <c:v>4.2500000000000038E-2</c:v>
                </c:pt>
                <c:pt idx="52">
                  <c:v>4.500000000000004E-2</c:v>
                </c:pt>
                <c:pt idx="53">
                  <c:v>4.7500000000000042E-2</c:v>
                </c:pt>
                <c:pt idx="54">
                  <c:v>5.0000000000000044E-2</c:v>
                </c:pt>
                <c:pt idx="55">
                  <c:v>5.2500000000000047E-2</c:v>
                </c:pt>
                <c:pt idx="56">
                  <c:v>5.5000000000000049E-2</c:v>
                </c:pt>
                <c:pt idx="57">
                  <c:v>5.7500000000000051E-2</c:v>
                </c:pt>
                <c:pt idx="58">
                  <c:v>6.0000000000000053E-2</c:v>
                </c:pt>
                <c:pt idx="59">
                  <c:v>6.2500000000000056E-2</c:v>
                </c:pt>
                <c:pt idx="60">
                  <c:v>6.5000000000000058E-2</c:v>
                </c:pt>
                <c:pt idx="61">
                  <c:v>6.750000000000006E-2</c:v>
                </c:pt>
                <c:pt idx="62">
                  <c:v>7.0000000000000062E-2</c:v>
                </c:pt>
                <c:pt idx="63">
                  <c:v>7.2500000000000064E-2</c:v>
                </c:pt>
                <c:pt idx="64">
                  <c:v>7.5000000000000067E-2</c:v>
                </c:pt>
                <c:pt idx="65">
                  <c:v>7.7499999999999999E-2</c:v>
                </c:pt>
                <c:pt idx="66">
                  <c:v>0.08</c:v>
                </c:pt>
                <c:pt idx="67">
                  <c:v>8.2500000000000004E-2</c:v>
                </c:pt>
                <c:pt idx="68">
                  <c:v>8.5000000000000006E-2</c:v>
                </c:pt>
              </c:numCache>
            </c:numRef>
          </c:xVal>
          <c:yVal>
            <c:numRef>
              <c:f>'[3]Notes | Quant Analysis'!$M$209:$M$277</c:f>
              <c:numCache>
                <c:formatCode>General</c:formatCode>
                <c:ptCount val="69"/>
                <c:pt idx="0">
                  <c:v>0.10783096920104651</c:v>
                </c:pt>
                <c:pt idx="1">
                  <c:v>0.14329325678808627</c:v>
                </c:pt>
                <c:pt idx="2">
                  <c:v>0.18881154204233769</c:v>
                </c:pt>
                <c:pt idx="3">
                  <c:v>0.24669018223056963</c:v>
                </c:pt>
                <c:pt idx="4">
                  <c:v>0.31959187768079544</c:v>
                </c:pt>
                <c:pt idx="5">
                  <c:v>0.41054440875320708</c:v>
                </c:pt>
                <c:pt idx="6">
                  <c:v>0.52293184658839387</c:v>
                </c:pt>
                <c:pt idx="7">
                  <c:v>0.66046617634979532</c:v>
                </c:pt>
                <c:pt idx="8">
                  <c:v>0.82713540853706069</c:v>
                </c:pt>
                <c:pt idx="9">
                  <c:v>1.0271247279589943</c:v>
                </c:pt>
                <c:pt idx="10">
                  <c:v>1.264708094161523</c:v>
                </c:pt>
                <c:pt idx="11">
                  <c:v>1.5441089921350657</c:v>
                </c:pt>
                <c:pt idx="12">
                  <c:v>1.8693307370584344</c:v>
                </c:pt>
                <c:pt idx="13">
                  <c:v>2.243958821245378</c:v>
                </c:pt>
                <c:pt idx="14">
                  <c:v>2.6709401698756499</c:v>
                </c:pt>
                <c:pt idx="15">
                  <c:v>3.1523467121660782</c:v>
                </c:pt>
                <c:pt idx="16">
                  <c:v>3.6891332000813026</c:v>
                </c:pt>
                <c:pt idx="17">
                  <c:v>4.2809015057134276</c:v>
                </c:pt>
                <c:pt idx="18">
                  <c:v>4.9256854678964306</c:v>
                </c:pt>
                <c:pt idx="19">
                  <c:v>5.6197715031423607</c:v>
                </c:pt>
                <c:pt idx="20">
                  <c:v>6.3575704312377139</c:v>
                </c:pt>
                <c:pt idx="21">
                  <c:v>7.1315551233956826</c:v>
                </c:pt>
                <c:pt idx="22">
                  <c:v>7.9322765624393368</c:v>
                </c:pt>
                <c:pt idx="23">
                  <c:v>8.7484677024556117</c:v>
                </c:pt>
                <c:pt idx="24">
                  <c:v>9.5672402265739898</c:v>
                </c:pt>
                <c:pt idx="25">
                  <c:v>10.374374131986306</c:v>
                </c:pt>
                <c:pt idx="26">
                  <c:v>11.154694329810187</c:v>
                </c:pt>
                <c:pt idx="27">
                  <c:v>11.892522527458697</c:v>
                </c:pt>
                <c:pt idx="28">
                  <c:v>12.572187012202079</c:v>
                </c:pt>
                <c:pt idx="29">
                  <c:v>13.178568044076965</c:v>
                </c:pt>
                <c:pt idx="30">
                  <c:v>13.697652836654569</c:v>
                </c:pt>
                <c:pt idx="31">
                  <c:v>14.117071928680522</c:v>
                </c:pt>
                <c:pt idx="32">
                  <c:v>14.426588392057482</c:v>
                </c:pt>
                <c:pt idx="33">
                  <c:v>14.618512904807442</c:v>
                </c:pt>
                <c:pt idx="34">
                  <c:v>14.688021204290353</c:v>
                </c:pt>
                <c:pt idx="35">
                  <c:v>14.633355625389564</c:v>
                </c:pt>
                <c:pt idx="36">
                  <c:v>14.455898969520778</c:v>
                </c:pt>
                <c:pt idx="37">
                  <c:v>14.160116370389433</c:v>
                </c:pt>
                <c:pt idx="38">
                  <c:v>13.753368568519184</c:v>
                </c:pt>
                <c:pt idx="39">
                  <c:v>13.24560749591766</c:v>
                </c:pt>
                <c:pt idx="40">
                  <c:v>12.64897174559864</c:v>
                </c:pt>
                <c:pt idx="41">
                  <c:v>11.977304873249388</c:v>
                </c:pt>
                <c:pt idx="42">
                  <c:v>11.245623182659344</c:v>
                </c:pt>
                <c:pt idx="43">
                  <c:v>10.469561462904419</c:v>
                </c:pt>
                <c:pt idx="44">
                  <c:v>9.6648250167595435</c:v>
                </c:pt>
                <c:pt idx="45">
                  <c:v>8.8466743506901278</c:v>
                </c:pt>
                <c:pt idx="46">
                  <c:v>8.0294653354166119</c:v>
                </c:pt>
                <c:pt idx="47">
                  <c:v>7.2262628545991072</c:v>
                </c:pt>
                <c:pt idx="48">
                  <c:v>6.4485403741014151</c:v>
                </c:pt>
                <c:pt idx="49">
                  <c:v>5.7059719523859451</c:v>
                </c:pt>
                <c:pt idx="50">
                  <c:v>5.0063174275522178</c:v>
                </c:pt>
                <c:pt idx="51">
                  <c:v>4.3553962603240288</c:v>
                </c:pt>
                <c:pt idx="52">
                  <c:v>3.7571411050202226</c:v>
                </c:pt>
                <c:pt idx="53">
                  <c:v>3.2137188410845217</c:v>
                </c:pt>
                <c:pt idx="54">
                  <c:v>2.725704635996435</c:v>
                </c:pt>
                <c:pt idx="55">
                  <c:v>2.2922936306486692</c:v>
                </c:pt>
                <c:pt idx="56">
                  <c:v>1.9115349521535012</c:v>
                </c:pt>
                <c:pt idx="57">
                  <c:v>1.5805738052776042</c:v>
                </c:pt>
                <c:pt idx="58">
                  <c:v>1.2958891621215485</c:v>
                </c:pt>
                <c:pt idx="59">
                  <c:v>1.0535168261699086</c:v>
                </c:pt>
                <c:pt idx="60">
                  <c:v>0.84925015689962069</c:v>
                </c:pt>
                <c:pt idx="61">
                  <c:v>0.67881328954786535</c:v>
                </c:pt>
                <c:pt idx="62">
                  <c:v>0.5380040903095723</c:v>
                </c:pt>
                <c:pt idx="63">
                  <c:v>0.42280621228831278</c:v>
                </c:pt>
                <c:pt idx="64">
                  <c:v>0.32947137088992728</c:v>
                </c:pt>
                <c:pt idx="65">
                  <c:v>0.25457429343321114</c:v>
                </c:pt>
                <c:pt idx="66">
                  <c:v>0.19504371128949619</c:v>
                </c:pt>
                <c:pt idx="67">
                  <c:v>0.14817328117141351</c:v>
                </c:pt>
                <c:pt idx="68">
                  <c:v>0.11161649611998654</c:v>
                </c:pt>
              </c:numCache>
            </c:numRef>
          </c:yVal>
          <c:smooth val="1"/>
          <c:extLst>
            <c:ext xmlns:c16="http://schemas.microsoft.com/office/drawing/2014/chart" uri="{C3380CC4-5D6E-409C-BE32-E72D297353CC}">
              <c16:uniqueId val="{00000001-28C7-4862-86E9-AF862A5BA0AD}"/>
            </c:ext>
          </c:extLst>
        </c:ser>
        <c:ser>
          <c:idx val="2"/>
          <c:order val="2"/>
          <c:tx>
            <c:strRef>
              <c:f>'Notes | Quant Analysis'!$O$209</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8604184163830335E-2"/>
                  <c:y val="-2.710316979608318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0898806748786205"/>
                      <c:h val="7.7448415101958407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Analysis'!$P$209:$P$210</c:f>
              <c:numCache>
                <c:formatCode>0.00%</c:formatCode>
                <c:ptCount val="2"/>
                <c:pt idx="0">
                  <c:v>1.4972705403135315E-4</c:v>
                </c:pt>
                <c:pt idx="1">
                  <c:v>1.4972705403135315E-4</c:v>
                </c:pt>
              </c:numCache>
            </c:numRef>
          </c:xVal>
          <c:yVal>
            <c:numRef>
              <c:f>'Notes | Quant Analysis'!$Q$209:$Q$210</c:f>
              <c:numCache>
                <c:formatCode>General</c:formatCode>
                <c:ptCount val="2"/>
                <c:pt idx="0">
                  <c:v>0</c:v>
                </c:pt>
                <c:pt idx="1">
                  <c:v>15</c:v>
                </c:pt>
              </c:numCache>
            </c:numRef>
          </c:yVal>
          <c:smooth val="1"/>
          <c:extLst>
            <c:ext xmlns:c16="http://schemas.microsoft.com/office/drawing/2014/chart" uri="{C3380CC4-5D6E-409C-BE32-E72D297353CC}">
              <c16:uniqueId val="{00000004-28C7-4862-86E9-AF862A5BA0AD}"/>
            </c:ext>
          </c:extLst>
        </c:ser>
        <c:ser>
          <c:idx val="3"/>
          <c:order val="3"/>
          <c:tx>
            <c:strRef>
              <c:f>'Notes | Quant Analysis'!$O$211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6393604579381069E-2"/>
                  <c:y val="-2.937694326670704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Analysis'!$P$211:$P$212</c:f>
              <c:numCache>
                <c:formatCode>0.00%</c:formatCode>
                <c:ptCount val="2"/>
                <c:pt idx="0">
                  <c:v>-8.1332226120736262E-2</c:v>
                </c:pt>
                <c:pt idx="1">
                  <c:v>-8.1332226120736262E-2</c:v>
                </c:pt>
              </c:numCache>
            </c:numRef>
          </c:xVal>
          <c:yVal>
            <c:numRef>
              <c:f>'Notes | Quant Analysis'!$Q$211:$Q$212</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Analysis'!$O$213</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4.7077232416697895E-2"/>
                  <c:y val="-4.057015949929335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Analysis'!$P$213:$P$214</c:f>
              <c:numCache>
                <c:formatCode>0.00%</c:formatCode>
                <c:ptCount val="2"/>
                <c:pt idx="0">
                  <c:v>-5.4171575062480395E-2</c:v>
                </c:pt>
                <c:pt idx="1">
                  <c:v>-5.4171575062480395E-2</c:v>
                </c:pt>
              </c:numCache>
            </c:numRef>
          </c:xVal>
          <c:yVal>
            <c:numRef>
              <c:f>'Notes | Quant Analysis'!$Q$213:$Q$214</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Quant Analysis'!$O$215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6.4703159190237988E-2"/>
                  <c:y val="-3.492731677771047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Analysis'!$P$215:$P$216</c:f>
              <c:numCache>
                <c:formatCode>0.00%</c:formatCode>
                <c:ptCount val="2"/>
                <c:pt idx="0">
                  <c:v>-2.7010924004224519E-2</c:v>
                </c:pt>
                <c:pt idx="1">
                  <c:v>-2.7010924004224519E-2</c:v>
                </c:pt>
              </c:numCache>
            </c:numRef>
          </c:xVal>
          <c:yVal>
            <c:numRef>
              <c:f>'Notes | Quant Analysis'!$Q$215:$Q$216</c:f>
              <c:numCache>
                <c:formatCode>General</c:formatCode>
                <c:ptCount val="2"/>
                <c:pt idx="0">
                  <c:v>0</c:v>
                </c:pt>
                <c:pt idx="1">
                  <c:v>9</c:v>
                </c:pt>
              </c:numCache>
            </c:numRef>
          </c:yVal>
          <c:smooth val="1"/>
          <c:extLst>
            <c:ext xmlns:c16="http://schemas.microsoft.com/office/drawing/2014/chart" uri="{C3380CC4-5D6E-409C-BE32-E72D297353CC}">
              <c16:uniqueId val="{0000000D-28C7-4862-86E9-AF862A5BA0AD}"/>
            </c:ext>
          </c:extLst>
        </c:ser>
        <c:ser>
          <c:idx val="6"/>
          <c:order val="6"/>
          <c:tx>
            <c:strRef>
              <c:f>'Notes | Quant Analysis'!$O$217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2.7350883882126403E-2"/>
                  <c:y val="-2.979911164950544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Analysis'!$P$217:$P$218</c:f>
              <c:numCache>
                <c:formatCode>0.00%</c:formatCode>
                <c:ptCount val="2"/>
                <c:pt idx="0">
                  <c:v>2.7310378112287228E-2</c:v>
                </c:pt>
                <c:pt idx="1">
                  <c:v>2.7310378112287228E-2</c:v>
                </c:pt>
              </c:numCache>
            </c:numRef>
          </c:xVal>
          <c:yVal>
            <c:numRef>
              <c:f>'Notes | Quant Analysis'!$Q$217:$Q$218</c:f>
              <c:numCache>
                <c:formatCode>General</c:formatCode>
                <c:ptCount val="2"/>
                <c:pt idx="0">
                  <c:v>0</c:v>
                </c:pt>
                <c:pt idx="1">
                  <c:v>9</c:v>
                </c:pt>
              </c:numCache>
            </c:numRef>
          </c:yVal>
          <c:smooth val="1"/>
          <c:extLst>
            <c:ext xmlns:c16="http://schemas.microsoft.com/office/drawing/2014/chart" uri="{C3380CC4-5D6E-409C-BE32-E72D297353CC}">
              <c16:uniqueId val="{0000000F-28C7-4862-86E9-AF862A5BA0AD}"/>
            </c:ext>
          </c:extLst>
        </c:ser>
        <c:ser>
          <c:idx val="7"/>
          <c:order val="7"/>
          <c:tx>
            <c:strRef>
              <c:f>'Notes | Quant Analysis'!$O$219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5.0392484470575476E-2"/>
                  <c:y val="-3.5589137896224601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Analysis'!$P$219:$P$220</c:f>
              <c:numCache>
                <c:formatCode>0.00%</c:formatCode>
                <c:ptCount val="2"/>
                <c:pt idx="0">
                  <c:v>5.4471029170543098E-2</c:v>
                </c:pt>
                <c:pt idx="1">
                  <c:v>5.4471029170543098E-2</c:v>
                </c:pt>
              </c:numCache>
            </c:numRef>
          </c:xVal>
          <c:yVal>
            <c:numRef>
              <c:f>'Notes | Quant Analysis'!$Q$219:$Q$220</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Quant Analysis'!$O$221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22934184347E-2"/>
                  <c:y val="-3.6914193418130611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Analysis'!$P$221:$P$222</c:f>
              <c:numCache>
                <c:formatCode>0.00%</c:formatCode>
                <c:ptCount val="2"/>
                <c:pt idx="0">
                  <c:v>8.1631680228798964E-2</c:v>
                </c:pt>
                <c:pt idx="1">
                  <c:v>8.1631680228798964E-2</c:v>
                </c:pt>
              </c:numCache>
            </c:numRef>
          </c:xVal>
          <c:yVal>
            <c:numRef>
              <c:f>'Notes | Quant Analysis'!$Q$221:$Q$222</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9.0000000000000024E-2"/>
          <c:min val="-9.0000000000000024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(AMD)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735365411436822"/>
        </c:manualLayout>
      </c:layout>
      <c:barChart>
        <c:barDir val="col"/>
        <c:grouping val="clustered"/>
        <c:varyColors val="0"/>
        <c:ser>
          <c:idx val="1"/>
          <c:order val="1"/>
          <c:tx>
            <c:v>Income</c:v>
          </c:tx>
          <c:spPr>
            <a:solidFill>
              <a:srgbClr val="FFC00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Model!$BW$36:$CK$36</c:f>
              <c:numCache>
                <c:formatCode>General</c:formatCode>
                <c:ptCount val="15"/>
                <c:pt idx="0">
                  <c:v>471</c:v>
                </c:pt>
                <c:pt idx="1">
                  <c:v>491</c:v>
                </c:pt>
                <c:pt idx="2">
                  <c:v>-1183</c:v>
                </c:pt>
                <c:pt idx="3">
                  <c:v>-83</c:v>
                </c:pt>
                <c:pt idx="4">
                  <c:v>-403</c:v>
                </c:pt>
                <c:pt idx="5">
                  <c:v>-660</c:v>
                </c:pt>
                <c:pt idx="6">
                  <c:v>-498</c:v>
                </c:pt>
                <c:pt idx="7">
                  <c:v>-33</c:v>
                </c:pt>
                <c:pt idx="8">
                  <c:v>337</c:v>
                </c:pt>
                <c:pt idx="9">
                  <c:v>340</c:v>
                </c:pt>
                <c:pt idx="10">
                  <c:v>2490</c:v>
                </c:pt>
                <c:pt idx="11">
                  <c:v>3162</c:v>
                </c:pt>
                <c:pt idx="12">
                  <c:v>1320</c:v>
                </c:pt>
                <c:pt idx="13">
                  <c:v>1169</c:v>
                </c:pt>
                <c:pt idx="14">
                  <c:v>1641</c:v>
                </c:pt>
              </c:numCache>
            </c:numRef>
          </c:val>
          <c:extLst>
            <c:ext xmlns:c16="http://schemas.microsoft.com/office/drawing/2014/chart" uri="{C3380CC4-5D6E-409C-BE32-E72D297353CC}">
              <c16:uniqueId val="{00000000-D0DB-4F3B-89A8-A3CE157336E8}"/>
            </c:ext>
          </c:extLst>
        </c:ser>
        <c:ser>
          <c:idx val="2"/>
          <c:order val="2"/>
          <c:tx>
            <c:v>FCF</c:v>
          </c:tx>
          <c:spPr>
            <a:solidFill>
              <a:srgbClr val="00B05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Model!$BW$85:$CK$85</c:f>
              <c:numCache>
                <c:formatCode>General</c:formatCode>
                <c:ptCount val="15"/>
                <c:pt idx="0">
                  <c:v>-559</c:v>
                </c:pt>
                <c:pt idx="1">
                  <c:v>148</c:v>
                </c:pt>
                <c:pt idx="2">
                  <c:v>-471</c:v>
                </c:pt>
                <c:pt idx="3">
                  <c:v>6</c:v>
                </c:pt>
                <c:pt idx="4">
                  <c:v>-193</c:v>
                </c:pt>
                <c:pt idx="5">
                  <c:v>-314</c:v>
                </c:pt>
                <c:pt idx="6">
                  <c:v>4</c:v>
                </c:pt>
                <c:pt idx="7">
                  <c:v>-101</c:v>
                </c:pt>
                <c:pt idx="8">
                  <c:v>-129</c:v>
                </c:pt>
                <c:pt idx="9">
                  <c:v>276</c:v>
                </c:pt>
                <c:pt idx="10">
                  <c:v>777</c:v>
                </c:pt>
                <c:pt idx="11">
                  <c:v>3220</c:v>
                </c:pt>
                <c:pt idx="12">
                  <c:v>3115</c:v>
                </c:pt>
                <c:pt idx="13">
                  <c:v>1121</c:v>
                </c:pt>
                <c:pt idx="14">
                  <c:v>2405</c:v>
                </c:pt>
              </c:numCache>
            </c:numRef>
          </c:val>
          <c:extLst>
            <c:ext xmlns:c16="http://schemas.microsoft.com/office/drawing/2014/chart" uri="{C3380CC4-5D6E-409C-BE32-E72D297353CC}">
              <c16:uniqueId val="{00000001-D0DB-4F3B-89A8-A3CE157336E8}"/>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7940">
              <a:solidFill>
                <a:srgbClr val="00B0F0"/>
              </a:solidFill>
            </a:ln>
          </c:spPr>
          <c:marker>
            <c:symbol val="none"/>
          </c:marker>
          <c:cat>
            <c:numRef>
              <c:f>Model!$BW$3:$CK$3</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Model!$BW$22:$CK$22</c:f>
              <c:numCache>
                <c:formatCode>General</c:formatCode>
                <c:ptCount val="15"/>
                <c:pt idx="0">
                  <c:v>6533</c:v>
                </c:pt>
                <c:pt idx="1">
                  <c:v>6540</c:v>
                </c:pt>
                <c:pt idx="2">
                  <c:v>4925</c:v>
                </c:pt>
                <c:pt idx="3">
                  <c:v>5608</c:v>
                </c:pt>
                <c:pt idx="4">
                  <c:v>5139</c:v>
                </c:pt>
                <c:pt idx="5">
                  <c:v>3793</c:v>
                </c:pt>
                <c:pt idx="6">
                  <c:v>4665</c:v>
                </c:pt>
                <c:pt idx="7">
                  <c:v>5722</c:v>
                </c:pt>
                <c:pt idx="8">
                  <c:v>6100</c:v>
                </c:pt>
                <c:pt idx="9">
                  <c:v>5459</c:v>
                </c:pt>
                <c:pt idx="10">
                  <c:v>9763</c:v>
                </c:pt>
                <c:pt idx="11">
                  <c:v>16434</c:v>
                </c:pt>
                <c:pt idx="12">
                  <c:v>23601</c:v>
                </c:pt>
                <c:pt idx="13">
                  <c:v>22680</c:v>
                </c:pt>
                <c:pt idx="14">
                  <c:v>25785</c:v>
                </c:pt>
              </c:numCache>
            </c:numRef>
          </c:val>
          <c:smooth val="0"/>
          <c:extLst>
            <c:ext xmlns:c16="http://schemas.microsoft.com/office/drawing/2014/chart" uri="{C3380CC4-5D6E-409C-BE32-E72D297353CC}">
              <c16:uniqueId val="{00000002-D0DB-4F3B-89A8-A3CE157336E8}"/>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8.xml"/><Relationship Id="rId5" Type="http://schemas.openxmlformats.org/officeDocument/2006/relationships/image" Target="../media/image2.png"/><Relationship Id="rId15" Type="http://schemas.openxmlformats.org/officeDocument/2006/relationships/image" Target="../media/image8.png"/><Relationship Id="rId10" Type="http://schemas.openxmlformats.org/officeDocument/2006/relationships/chart" Target="../charts/chart7.xml"/><Relationship Id="rId19" Type="http://schemas.openxmlformats.org/officeDocument/2006/relationships/image" Target="../media/image12.png"/><Relationship Id="rId4" Type="http://schemas.openxmlformats.org/officeDocument/2006/relationships/chart" Target="../charts/chart4.xml"/><Relationship Id="rId9" Type="http://schemas.openxmlformats.org/officeDocument/2006/relationships/chart" Target="../charts/chart6.xml"/><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11206</xdr:colOff>
      <xdr:row>2</xdr:row>
      <xdr:rowOff>11206</xdr:rowOff>
    </xdr:from>
    <xdr:to>
      <xdr:col>7</xdr:col>
      <xdr:colOff>593912</xdr:colOff>
      <xdr:row>8</xdr:row>
      <xdr:rowOff>0</xdr:rowOff>
    </xdr:to>
    <xdr:pic>
      <xdr:nvPicPr>
        <xdr:cNvPr id="3" name="Picture 2">
          <a:extLst>
            <a:ext uri="{FF2B5EF4-FFF2-40B4-BE49-F238E27FC236}">
              <a16:creationId xmlns:a16="http://schemas.microsoft.com/office/drawing/2014/main" id="{691925AB-3EF2-392A-868A-FC386E5F7A4B}"/>
            </a:ext>
          </a:extLst>
        </xdr:cNvPr>
        <xdr:cNvPicPr>
          <a:picLocks noChangeAspect="1"/>
        </xdr:cNvPicPr>
      </xdr:nvPicPr>
      <xdr:blipFill>
        <a:blip xmlns:r="http://schemas.openxmlformats.org/officeDocument/2006/relationships" r:embed="rId1"/>
        <a:stretch>
          <a:fillRect/>
        </a:stretch>
      </xdr:blipFill>
      <xdr:spPr>
        <a:xfrm>
          <a:off x="3249706" y="381000"/>
          <a:ext cx="1792941" cy="1064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89</xdr:col>
      <xdr:colOff>0</xdr:colOff>
      <xdr:row>0</xdr:row>
      <xdr:rowOff>0</xdr:rowOff>
    </xdr:from>
    <xdr:to>
      <xdr:col>89</xdr:col>
      <xdr:colOff>0</xdr:colOff>
      <xdr:row>92</xdr:row>
      <xdr:rowOff>57150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16602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0</xdr:colOff>
      <xdr:row>0</xdr:row>
      <xdr:rowOff>0</xdr:rowOff>
    </xdr:from>
    <xdr:to>
      <xdr:col>89</xdr:col>
      <xdr:colOff>0</xdr:colOff>
      <xdr:row>92</xdr:row>
      <xdr:rowOff>57150</xdr:rowOff>
    </xdr:to>
    <xdr:cxnSp macro="">
      <xdr:nvCxnSpPr>
        <xdr:cNvPr id="5" name="Straight Connector 4">
          <a:extLst>
            <a:ext uri="{FF2B5EF4-FFF2-40B4-BE49-F238E27FC236}">
              <a16:creationId xmlns:a16="http://schemas.microsoft.com/office/drawing/2014/main" id="{9C30E5CC-76FF-4296-AC12-FA241E6ECDB9}"/>
            </a:ext>
          </a:extLst>
        </xdr:cNvPr>
        <xdr:cNvCxnSpPr/>
      </xdr:nvCxnSpPr>
      <xdr:spPr>
        <a:xfrm>
          <a:off x="58112025" y="0"/>
          <a:ext cx="0" cy="16649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0</xdr:colOff>
      <xdr:row>0</xdr:row>
      <xdr:rowOff>0</xdr:rowOff>
    </xdr:from>
    <xdr:to>
      <xdr:col>65</xdr:col>
      <xdr:colOff>0</xdr:colOff>
      <xdr:row>92</xdr:row>
      <xdr:rowOff>57150</xdr:rowOff>
    </xdr:to>
    <xdr:cxnSp macro="">
      <xdr:nvCxnSpPr>
        <xdr:cNvPr id="9" name="Straight Connector 8">
          <a:extLst>
            <a:ext uri="{FF2B5EF4-FFF2-40B4-BE49-F238E27FC236}">
              <a16:creationId xmlns:a16="http://schemas.microsoft.com/office/drawing/2014/main" id="{B993CF4B-97B0-4717-BCF0-325724848D1A}"/>
            </a:ext>
          </a:extLst>
        </xdr:cNvPr>
        <xdr:cNvCxnSpPr/>
      </xdr:nvCxnSpPr>
      <xdr:spPr>
        <a:xfrm>
          <a:off x="40767000" y="0"/>
          <a:ext cx="0" cy="166754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62</xdr:row>
      <xdr:rowOff>190499</xdr:rowOff>
    </xdr:from>
    <xdr:to>
      <xdr:col>23</xdr:col>
      <xdr:colOff>0</xdr:colOff>
      <xdr:row>93</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99</xdr:row>
      <xdr:rowOff>0</xdr:rowOff>
    </xdr:from>
    <xdr:to>
      <xdr:col>23</xdr:col>
      <xdr:colOff>0</xdr:colOff>
      <xdr:row>127</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164</xdr:row>
      <xdr:rowOff>0</xdr:rowOff>
    </xdr:from>
    <xdr:to>
      <xdr:col>23</xdr:col>
      <xdr:colOff>0</xdr:colOff>
      <xdr:row>192</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132</xdr:row>
      <xdr:rowOff>0</xdr:rowOff>
    </xdr:from>
    <xdr:to>
      <xdr:col>23</xdr:col>
      <xdr:colOff>0</xdr:colOff>
      <xdr:row>160</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19050</xdr:colOff>
      <xdr:row>2</xdr:row>
      <xdr:rowOff>19050</xdr:rowOff>
    </xdr:from>
    <xdr:to>
      <xdr:col>17</xdr:col>
      <xdr:colOff>0</xdr:colOff>
      <xdr:row>27</xdr:row>
      <xdr:rowOff>0</xdr:rowOff>
    </xdr:to>
    <xdr:pic>
      <xdr:nvPicPr>
        <xdr:cNvPr id="6" name="Picture 5">
          <a:extLst>
            <a:ext uri="{FF2B5EF4-FFF2-40B4-BE49-F238E27FC236}">
              <a16:creationId xmlns:a16="http://schemas.microsoft.com/office/drawing/2014/main" id="{A1BE6533-0265-0CFB-7482-24A15ACDCD38}"/>
            </a:ext>
          </a:extLst>
        </xdr:cNvPr>
        <xdr:cNvPicPr>
          <a:picLocks noChangeAspect="1"/>
        </xdr:cNvPicPr>
      </xdr:nvPicPr>
      <xdr:blipFill>
        <a:blip xmlns:r="http://schemas.openxmlformats.org/officeDocument/2006/relationships" r:embed="rId5"/>
        <a:stretch>
          <a:fillRect/>
        </a:stretch>
      </xdr:blipFill>
      <xdr:spPr>
        <a:xfrm>
          <a:off x="4495800" y="390525"/>
          <a:ext cx="5467350" cy="4505325"/>
        </a:xfrm>
        <a:prstGeom prst="rect">
          <a:avLst/>
        </a:prstGeom>
      </xdr:spPr>
    </xdr:pic>
    <xdr:clientData/>
  </xdr:twoCellAnchor>
  <xdr:twoCellAnchor editAs="oneCell">
    <xdr:from>
      <xdr:col>17</xdr:col>
      <xdr:colOff>1</xdr:colOff>
      <xdr:row>2</xdr:row>
      <xdr:rowOff>9525</xdr:rowOff>
    </xdr:from>
    <xdr:to>
      <xdr:col>26</xdr:col>
      <xdr:colOff>0</xdr:colOff>
      <xdr:row>26</xdr:row>
      <xdr:rowOff>171451</xdr:rowOff>
    </xdr:to>
    <xdr:pic>
      <xdr:nvPicPr>
        <xdr:cNvPr id="7" name="Picture 6">
          <a:extLst>
            <a:ext uri="{FF2B5EF4-FFF2-40B4-BE49-F238E27FC236}">
              <a16:creationId xmlns:a16="http://schemas.microsoft.com/office/drawing/2014/main" id="{E9884714-D86E-96C3-0D46-3CC8ABEF24FA}"/>
            </a:ext>
          </a:extLst>
        </xdr:cNvPr>
        <xdr:cNvPicPr>
          <a:picLocks noChangeAspect="1"/>
        </xdr:cNvPicPr>
      </xdr:nvPicPr>
      <xdr:blipFill>
        <a:blip xmlns:r="http://schemas.openxmlformats.org/officeDocument/2006/relationships" r:embed="rId6"/>
        <a:stretch>
          <a:fillRect/>
        </a:stretch>
      </xdr:blipFill>
      <xdr:spPr>
        <a:xfrm>
          <a:off x="9963151" y="381000"/>
          <a:ext cx="5486399" cy="4505326"/>
        </a:xfrm>
        <a:prstGeom prst="rect">
          <a:avLst/>
        </a:prstGeom>
      </xdr:spPr>
    </xdr:pic>
    <xdr:clientData/>
  </xdr:twoCellAnchor>
  <xdr:twoCellAnchor editAs="oneCell">
    <xdr:from>
      <xdr:col>8</xdr:col>
      <xdr:colOff>9525</xdr:colOff>
      <xdr:row>32</xdr:row>
      <xdr:rowOff>9525</xdr:rowOff>
    </xdr:from>
    <xdr:to>
      <xdr:col>17</xdr:col>
      <xdr:colOff>0</xdr:colOff>
      <xdr:row>58</xdr:row>
      <xdr:rowOff>13607</xdr:rowOff>
    </xdr:to>
    <xdr:pic>
      <xdr:nvPicPr>
        <xdr:cNvPr id="8" name="Picture 7">
          <a:extLst>
            <a:ext uri="{FF2B5EF4-FFF2-40B4-BE49-F238E27FC236}">
              <a16:creationId xmlns:a16="http://schemas.microsoft.com/office/drawing/2014/main" id="{C71414A5-AAF4-4A07-3D48-4D89EA0208D5}"/>
            </a:ext>
          </a:extLst>
        </xdr:cNvPr>
        <xdr:cNvPicPr>
          <a:picLocks noChangeAspect="1"/>
        </xdr:cNvPicPr>
      </xdr:nvPicPr>
      <xdr:blipFill>
        <a:blip xmlns:r="http://schemas.openxmlformats.org/officeDocument/2006/relationships" r:embed="rId7"/>
        <a:stretch>
          <a:fillRect/>
        </a:stretch>
      </xdr:blipFill>
      <xdr:spPr>
        <a:xfrm>
          <a:off x="4486275" y="6543675"/>
          <a:ext cx="5476875" cy="4714875"/>
        </a:xfrm>
        <a:prstGeom prst="rect">
          <a:avLst/>
        </a:prstGeom>
      </xdr:spPr>
    </xdr:pic>
    <xdr:clientData/>
  </xdr:twoCellAnchor>
  <xdr:twoCellAnchor>
    <xdr:from>
      <xdr:col>8</xdr:col>
      <xdr:colOff>0</xdr:colOff>
      <xdr:row>62</xdr:row>
      <xdr:rowOff>190499</xdr:rowOff>
    </xdr:from>
    <xdr:to>
      <xdr:col>23</xdr:col>
      <xdr:colOff>0</xdr:colOff>
      <xdr:row>93</xdr:row>
      <xdr:rowOff>180974</xdr:rowOff>
    </xdr:to>
    <xdr:graphicFrame macro="">
      <xdr:nvGraphicFramePr>
        <xdr:cNvPr id="9" name="Chart 8">
          <a:extLst>
            <a:ext uri="{FF2B5EF4-FFF2-40B4-BE49-F238E27FC236}">
              <a16:creationId xmlns:a16="http://schemas.microsoft.com/office/drawing/2014/main" id="{E1ABE3C0-BCB8-4284-BE57-8764EDCAA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99</xdr:row>
      <xdr:rowOff>0</xdr:rowOff>
    </xdr:from>
    <xdr:to>
      <xdr:col>23</xdr:col>
      <xdr:colOff>0</xdr:colOff>
      <xdr:row>127</xdr:row>
      <xdr:rowOff>0</xdr:rowOff>
    </xdr:to>
    <xdr:graphicFrame macro="">
      <xdr:nvGraphicFramePr>
        <xdr:cNvPr id="10" name="Chart 9">
          <a:extLst>
            <a:ext uri="{FF2B5EF4-FFF2-40B4-BE49-F238E27FC236}">
              <a16:creationId xmlns:a16="http://schemas.microsoft.com/office/drawing/2014/main" id="{E7524742-AE28-4696-BB1A-4BD028C52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164</xdr:row>
      <xdr:rowOff>0</xdr:rowOff>
    </xdr:from>
    <xdr:to>
      <xdr:col>23</xdr:col>
      <xdr:colOff>0</xdr:colOff>
      <xdr:row>192</xdr:row>
      <xdr:rowOff>0</xdr:rowOff>
    </xdr:to>
    <xdr:graphicFrame macro="">
      <xdr:nvGraphicFramePr>
        <xdr:cNvPr id="11" name="Chart 10">
          <a:extLst>
            <a:ext uri="{FF2B5EF4-FFF2-40B4-BE49-F238E27FC236}">
              <a16:creationId xmlns:a16="http://schemas.microsoft.com/office/drawing/2014/main" id="{E022D3A5-7673-4EBC-B15C-4274CF17A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0</xdr:colOff>
      <xdr:row>132</xdr:row>
      <xdr:rowOff>0</xdr:rowOff>
    </xdr:from>
    <xdr:to>
      <xdr:col>23</xdr:col>
      <xdr:colOff>0</xdr:colOff>
      <xdr:row>160</xdr:row>
      <xdr:rowOff>0</xdr:rowOff>
    </xdr:to>
    <xdr:graphicFrame macro="">
      <xdr:nvGraphicFramePr>
        <xdr:cNvPr id="12" name="Chart 11">
          <a:extLst>
            <a:ext uri="{FF2B5EF4-FFF2-40B4-BE49-F238E27FC236}">
              <a16:creationId xmlns:a16="http://schemas.microsoft.com/office/drawing/2014/main" id="{BCE6A618-D825-44B3-920E-D1FD106B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19050</xdr:colOff>
      <xdr:row>2</xdr:row>
      <xdr:rowOff>19050</xdr:rowOff>
    </xdr:from>
    <xdr:to>
      <xdr:col>17</xdr:col>
      <xdr:colOff>0</xdr:colOff>
      <xdr:row>27</xdr:row>
      <xdr:rowOff>0</xdr:rowOff>
    </xdr:to>
    <xdr:pic>
      <xdr:nvPicPr>
        <xdr:cNvPr id="13" name="Picture 12">
          <a:extLst>
            <a:ext uri="{FF2B5EF4-FFF2-40B4-BE49-F238E27FC236}">
              <a16:creationId xmlns:a16="http://schemas.microsoft.com/office/drawing/2014/main" id="{D7424570-EE0B-4307-824C-D0214E226938}"/>
            </a:ext>
          </a:extLst>
        </xdr:cNvPr>
        <xdr:cNvPicPr>
          <a:picLocks noChangeAspect="1"/>
        </xdr:cNvPicPr>
      </xdr:nvPicPr>
      <xdr:blipFill>
        <a:blip xmlns:r="http://schemas.openxmlformats.org/officeDocument/2006/relationships" r:embed="rId5"/>
        <a:stretch>
          <a:fillRect/>
        </a:stretch>
      </xdr:blipFill>
      <xdr:spPr>
        <a:xfrm>
          <a:off x="228600" y="390525"/>
          <a:ext cx="5467350" cy="4505325"/>
        </a:xfrm>
        <a:prstGeom prst="rect">
          <a:avLst/>
        </a:prstGeom>
      </xdr:spPr>
    </xdr:pic>
    <xdr:clientData/>
  </xdr:twoCellAnchor>
  <xdr:twoCellAnchor editAs="oneCell">
    <xdr:from>
      <xdr:col>17</xdr:col>
      <xdr:colOff>1</xdr:colOff>
      <xdr:row>2</xdr:row>
      <xdr:rowOff>9525</xdr:rowOff>
    </xdr:from>
    <xdr:to>
      <xdr:col>26</xdr:col>
      <xdr:colOff>0</xdr:colOff>
      <xdr:row>26</xdr:row>
      <xdr:rowOff>171451</xdr:rowOff>
    </xdr:to>
    <xdr:pic>
      <xdr:nvPicPr>
        <xdr:cNvPr id="14" name="Picture 13">
          <a:extLst>
            <a:ext uri="{FF2B5EF4-FFF2-40B4-BE49-F238E27FC236}">
              <a16:creationId xmlns:a16="http://schemas.microsoft.com/office/drawing/2014/main" id="{2D5D59B2-22F7-445B-9437-C7CCBF23C3A0}"/>
            </a:ext>
          </a:extLst>
        </xdr:cNvPr>
        <xdr:cNvPicPr>
          <a:picLocks noChangeAspect="1"/>
        </xdr:cNvPicPr>
      </xdr:nvPicPr>
      <xdr:blipFill>
        <a:blip xmlns:r="http://schemas.openxmlformats.org/officeDocument/2006/relationships" r:embed="rId6"/>
        <a:stretch>
          <a:fillRect/>
        </a:stretch>
      </xdr:blipFill>
      <xdr:spPr>
        <a:xfrm>
          <a:off x="5695951" y="381000"/>
          <a:ext cx="5486399" cy="4505326"/>
        </a:xfrm>
        <a:prstGeom prst="rect">
          <a:avLst/>
        </a:prstGeom>
      </xdr:spPr>
    </xdr:pic>
    <xdr:clientData/>
  </xdr:twoCellAnchor>
  <xdr:twoCellAnchor editAs="oneCell">
    <xdr:from>
      <xdr:col>8</xdr:col>
      <xdr:colOff>9525</xdr:colOff>
      <xdr:row>32</xdr:row>
      <xdr:rowOff>9525</xdr:rowOff>
    </xdr:from>
    <xdr:to>
      <xdr:col>17</xdr:col>
      <xdr:colOff>0</xdr:colOff>
      <xdr:row>58</xdr:row>
      <xdr:rowOff>13607</xdr:rowOff>
    </xdr:to>
    <xdr:pic>
      <xdr:nvPicPr>
        <xdr:cNvPr id="15" name="Picture 14">
          <a:extLst>
            <a:ext uri="{FF2B5EF4-FFF2-40B4-BE49-F238E27FC236}">
              <a16:creationId xmlns:a16="http://schemas.microsoft.com/office/drawing/2014/main" id="{4DBE9E93-1ABC-4ACD-B6D6-A6A38BE36614}"/>
            </a:ext>
          </a:extLst>
        </xdr:cNvPr>
        <xdr:cNvPicPr>
          <a:picLocks noChangeAspect="1"/>
        </xdr:cNvPicPr>
      </xdr:nvPicPr>
      <xdr:blipFill>
        <a:blip xmlns:r="http://schemas.openxmlformats.org/officeDocument/2006/relationships" r:embed="rId7"/>
        <a:stretch>
          <a:fillRect/>
        </a:stretch>
      </xdr:blipFill>
      <xdr:spPr>
        <a:xfrm>
          <a:off x="219075" y="5819775"/>
          <a:ext cx="5476875" cy="4714875"/>
        </a:xfrm>
        <a:prstGeom prst="rect">
          <a:avLst/>
        </a:prstGeom>
      </xdr:spPr>
    </xdr:pic>
    <xdr:clientData/>
  </xdr:twoCellAnchor>
  <xdr:oneCellAnchor>
    <xdr:from>
      <xdr:col>29</xdr:col>
      <xdr:colOff>13606</xdr:colOff>
      <xdr:row>33</xdr:row>
      <xdr:rowOff>0</xdr:rowOff>
    </xdr:from>
    <xdr:ext cx="6721929" cy="4422321"/>
    <xdr:pic>
      <xdr:nvPicPr>
        <xdr:cNvPr id="17" name="Picture 16">
          <a:extLst>
            <a:ext uri="{FF2B5EF4-FFF2-40B4-BE49-F238E27FC236}">
              <a16:creationId xmlns:a16="http://schemas.microsoft.com/office/drawing/2014/main" id="{258C7C49-A010-4F43-BACA-ECC22A51B32B}"/>
            </a:ext>
          </a:extLst>
        </xdr:cNvPr>
        <xdr:cNvPicPr>
          <a:picLocks noChangeAspect="1"/>
        </xdr:cNvPicPr>
      </xdr:nvPicPr>
      <xdr:blipFill>
        <a:blip xmlns:r="http://schemas.openxmlformats.org/officeDocument/2006/relationships" r:embed="rId12"/>
        <a:stretch>
          <a:fillRect/>
        </a:stretch>
      </xdr:blipFill>
      <xdr:spPr>
        <a:xfrm>
          <a:off x="12654642" y="5891893"/>
          <a:ext cx="6721929" cy="4422321"/>
        </a:xfrm>
        <a:prstGeom prst="rect">
          <a:avLst/>
        </a:prstGeom>
      </xdr:spPr>
    </xdr:pic>
    <xdr:clientData/>
  </xdr:oneCellAnchor>
  <xdr:twoCellAnchor editAs="oneCell">
    <xdr:from>
      <xdr:col>29</xdr:col>
      <xdr:colOff>13606</xdr:colOff>
      <xdr:row>79</xdr:row>
      <xdr:rowOff>13607</xdr:rowOff>
    </xdr:from>
    <xdr:to>
      <xdr:col>40</xdr:col>
      <xdr:colOff>0</xdr:colOff>
      <xdr:row>107</xdr:row>
      <xdr:rowOff>0</xdr:rowOff>
    </xdr:to>
    <xdr:pic>
      <xdr:nvPicPr>
        <xdr:cNvPr id="18" name="Picture 17">
          <a:extLst>
            <a:ext uri="{FF2B5EF4-FFF2-40B4-BE49-F238E27FC236}">
              <a16:creationId xmlns:a16="http://schemas.microsoft.com/office/drawing/2014/main" id="{8EE88301-B28C-A8F6-AFD5-FFB46501708D}"/>
            </a:ext>
          </a:extLst>
        </xdr:cNvPr>
        <xdr:cNvPicPr>
          <a:picLocks noChangeAspect="1"/>
        </xdr:cNvPicPr>
      </xdr:nvPicPr>
      <xdr:blipFill>
        <a:blip xmlns:r="http://schemas.openxmlformats.org/officeDocument/2006/relationships" r:embed="rId13"/>
        <a:stretch>
          <a:fillRect/>
        </a:stretch>
      </xdr:blipFill>
      <xdr:spPr>
        <a:xfrm>
          <a:off x="12654642" y="14069786"/>
          <a:ext cx="6721929" cy="4953000"/>
        </a:xfrm>
        <a:prstGeom prst="rect">
          <a:avLst/>
        </a:prstGeom>
      </xdr:spPr>
    </xdr:pic>
    <xdr:clientData/>
  </xdr:twoCellAnchor>
  <xdr:twoCellAnchor editAs="oneCell">
    <xdr:from>
      <xdr:col>39</xdr:col>
      <xdr:colOff>612320</xdr:colOff>
      <xdr:row>79</xdr:row>
      <xdr:rowOff>13606</xdr:rowOff>
    </xdr:from>
    <xdr:to>
      <xdr:col>51</xdr:col>
      <xdr:colOff>27214</xdr:colOff>
      <xdr:row>107</xdr:row>
      <xdr:rowOff>0</xdr:rowOff>
    </xdr:to>
    <xdr:pic>
      <xdr:nvPicPr>
        <xdr:cNvPr id="19" name="Picture 18">
          <a:extLst>
            <a:ext uri="{FF2B5EF4-FFF2-40B4-BE49-F238E27FC236}">
              <a16:creationId xmlns:a16="http://schemas.microsoft.com/office/drawing/2014/main" id="{C73FC97A-FE76-F820-D60C-11A85E0D222D}"/>
            </a:ext>
          </a:extLst>
        </xdr:cNvPr>
        <xdr:cNvPicPr>
          <a:picLocks noChangeAspect="1"/>
        </xdr:cNvPicPr>
      </xdr:nvPicPr>
      <xdr:blipFill>
        <a:blip xmlns:r="http://schemas.openxmlformats.org/officeDocument/2006/relationships" r:embed="rId14"/>
        <a:stretch>
          <a:fillRect/>
        </a:stretch>
      </xdr:blipFill>
      <xdr:spPr>
        <a:xfrm>
          <a:off x="19376570" y="14069785"/>
          <a:ext cx="6762751" cy="4953001"/>
        </a:xfrm>
        <a:prstGeom prst="rect">
          <a:avLst/>
        </a:prstGeom>
      </xdr:spPr>
    </xdr:pic>
    <xdr:clientData/>
  </xdr:twoCellAnchor>
  <xdr:twoCellAnchor editAs="oneCell">
    <xdr:from>
      <xdr:col>61</xdr:col>
      <xdr:colOff>612321</xdr:colOff>
      <xdr:row>117</xdr:row>
      <xdr:rowOff>13607</xdr:rowOff>
    </xdr:from>
    <xdr:to>
      <xdr:col>73</xdr:col>
      <xdr:colOff>-1</xdr:colOff>
      <xdr:row>144</xdr:row>
      <xdr:rowOff>0</xdr:rowOff>
    </xdr:to>
    <xdr:pic>
      <xdr:nvPicPr>
        <xdr:cNvPr id="20" name="Picture 19">
          <a:extLst>
            <a:ext uri="{FF2B5EF4-FFF2-40B4-BE49-F238E27FC236}">
              <a16:creationId xmlns:a16="http://schemas.microsoft.com/office/drawing/2014/main" id="{D915E386-27C8-339C-4059-009BEA67B353}"/>
            </a:ext>
          </a:extLst>
        </xdr:cNvPr>
        <xdr:cNvPicPr>
          <a:picLocks noChangeAspect="1"/>
        </xdr:cNvPicPr>
      </xdr:nvPicPr>
      <xdr:blipFill>
        <a:blip xmlns:r="http://schemas.openxmlformats.org/officeDocument/2006/relationships" r:embed="rId15"/>
        <a:stretch>
          <a:fillRect/>
        </a:stretch>
      </xdr:blipFill>
      <xdr:spPr>
        <a:xfrm>
          <a:off x="32847642" y="20914178"/>
          <a:ext cx="6735536" cy="4830536"/>
        </a:xfrm>
        <a:prstGeom prst="rect">
          <a:avLst/>
        </a:prstGeom>
      </xdr:spPr>
    </xdr:pic>
    <xdr:clientData/>
  </xdr:twoCellAnchor>
  <xdr:twoCellAnchor editAs="oneCell">
    <xdr:from>
      <xdr:col>51</xdr:col>
      <xdr:colOff>0</xdr:colOff>
      <xdr:row>79</xdr:row>
      <xdr:rowOff>13606</xdr:rowOff>
    </xdr:from>
    <xdr:to>
      <xdr:col>62</xdr:col>
      <xdr:colOff>13607</xdr:colOff>
      <xdr:row>107</xdr:row>
      <xdr:rowOff>0</xdr:rowOff>
    </xdr:to>
    <xdr:pic>
      <xdr:nvPicPr>
        <xdr:cNvPr id="21" name="Picture 20">
          <a:extLst>
            <a:ext uri="{FF2B5EF4-FFF2-40B4-BE49-F238E27FC236}">
              <a16:creationId xmlns:a16="http://schemas.microsoft.com/office/drawing/2014/main" id="{FA7A175D-FF57-6094-B36D-61A0929AE795}"/>
            </a:ext>
          </a:extLst>
        </xdr:cNvPr>
        <xdr:cNvPicPr>
          <a:picLocks noChangeAspect="1"/>
        </xdr:cNvPicPr>
      </xdr:nvPicPr>
      <xdr:blipFill>
        <a:blip xmlns:r="http://schemas.openxmlformats.org/officeDocument/2006/relationships" r:embed="rId16"/>
        <a:stretch>
          <a:fillRect/>
        </a:stretch>
      </xdr:blipFill>
      <xdr:spPr>
        <a:xfrm>
          <a:off x="26112107" y="14069785"/>
          <a:ext cx="6749143" cy="4953001"/>
        </a:xfrm>
        <a:prstGeom prst="rect">
          <a:avLst/>
        </a:prstGeom>
      </xdr:spPr>
    </xdr:pic>
    <xdr:clientData/>
  </xdr:twoCellAnchor>
  <xdr:twoCellAnchor editAs="oneCell">
    <xdr:from>
      <xdr:col>29</xdr:col>
      <xdr:colOff>13606</xdr:colOff>
      <xdr:row>117</xdr:row>
      <xdr:rowOff>13608</xdr:rowOff>
    </xdr:from>
    <xdr:to>
      <xdr:col>40</xdr:col>
      <xdr:colOff>13608</xdr:colOff>
      <xdr:row>144</xdr:row>
      <xdr:rowOff>1</xdr:rowOff>
    </xdr:to>
    <xdr:pic>
      <xdr:nvPicPr>
        <xdr:cNvPr id="22" name="Picture 21">
          <a:extLst>
            <a:ext uri="{FF2B5EF4-FFF2-40B4-BE49-F238E27FC236}">
              <a16:creationId xmlns:a16="http://schemas.microsoft.com/office/drawing/2014/main" id="{A8AF1765-30BA-1E66-D904-FAD48E793E3A}"/>
            </a:ext>
          </a:extLst>
        </xdr:cNvPr>
        <xdr:cNvPicPr>
          <a:picLocks noChangeAspect="1"/>
        </xdr:cNvPicPr>
      </xdr:nvPicPr>
      <xdr:blipFill>
        <a:blip xmlns:r="http://schemas.openxmlformats.org/officeDocument/2006/relationships" r:embed="rId17"/>
        <a:stretch>
          <a:fillRect/>
        </a:stretch>
      </xdr:blipFill>
      <xdr:spPr>
        <a:xfrm>
          <a:off x="12654642" y="20914179"/>
          <a:ext cx="6735537" cy="4830536"/>
        </a:xfrm>
        <a:prstGeom prst="rect">
          <a:avLst/>
        </a:prstGeom>
      </xdr:spPr>
    </xdr:pic>
    <xdr:clientData/>
  </xdr:twoCellAnchor>
  <xdr:twoCellAnchor editAs="oneCell">
    <xdr:from>
      <xdr:col>40</xdr:col>
      <xdr:colOff>13606</xdr:colOff>
      <xdr:row>117</xdr:row>
      <xdr:rowOff>13607</xdr:rowOff>
    </xdr:from>
    <xdr:to>
      <xdr:col>51</xdr:col>
      <xdr:colOff>13607</xdr:colOff>
      <xdr:row>144</xdr:row>
      <xdr:rowOff>0</xdr:rowOff>
    </xdr:to>
    <xdr:pic>
      <xdr:nvPicPr>
        <xdr:cNvPr id="23" name="Picture 22">
          <a:extLst>
            <a:ext uri="{FF2B5EF4-FFF2-40B4-BE49-F238E27FC236}">
              <a16:creationId xmlns:a16="http://schemas.microsoft.com/office/drawing/2014/main" id="{B413E5BC-5BB6-D6D0-2A0A-7E8AE501933F}"/>
            </a:ext>
          </a:extLst>
        </xdr:cNvPr>
        <xdr:cNvPicPr>
          <a:picLocks noChangeAspect="1"/>
        </xdr:cNvPicPr>
      </xdr:nvPicPr>
      <xdr:blipFill>
        <a:blip xmlns:r="http://schemas.openxmlformats.org/officeDocument/2006/relationships" r:embed="rId18"/>
        <a:stretch>
          <a:fillRect/>
        </a:stretch>
      </xdr:blipFill>
      <xdr:spPr>
        <a:xfrm>
          <a:off x="19390177" y="20914178"/>
          <a:ext cx="6735537" cy="4830536"/>
        </a:xfrm>
        <a:prstGeom prst="rect">
          <a:avLst/>
        </a:prstGeom>
      </xdr:spPr>
    </xdr:pic>
    <xdr:clientData/>
  </xdr:twoCellAnchor>
  <xdr:twoCellAnchor editAs="oneCell">
    <xdr:from>
      <xdr:col>51</xdr:col>
      <xdr:colOff>13606</xdr:colOff>
      <xdr:row>117</xdr:row>
      <xdr:rowOff>13606</xdr:rowOff>
    </xdr:from>
    <xdr:to>
      <xdr:col>62</xdr:col>
      <xdr:colOff>0</xdr:colOff>
      <xdr:row>144</xdr:row>
      <xdr:rowOff>0</xdr:rowOff>
    </xdr:to>
    <xdr:pic>
      <xdr:nvPicPr>
        <xdr:cNvPr id="24" name="Picture 23">
          <a:extLst>
            <a:ext uri="{FF2B5EF4-FFF2-40B4-BE49-F238E27FC236}">
              <a16:creationId xmlns:a16="http://schemas.microsoft.com/office/drawing/2014/main" id="{E234D217-C55E-6EE2-1227-6FEF1BA742ED}"/>
            </a:ext>
          </a:extLst>
        </xdr:cNvPr>
        <xdr:cNvPicPr>
          <a:picLocks noChangeAspect="1"/>
        </xdr:cNvPicPr>
      </xdr:nvPicPr>
      <xdr:blipFill>
        <a:blip xmlns:r="http://schemas.openxmlformats.org/officeDocument/2006/relationships" r:embed="rId19"/>
        <a:stretch>
          <a:fillRect/>
        </a:stretch>
      </xdr:blipFill>
      <xdr:spPr>
        <a:xfrm>
          <a:off x="26125713" y="20914177"/>
          <a:ext cx="6721930" cy="4830537"/>
        </a:xfrm>
        <a:prstGeom prst="rect">
          <a:avLst/>
        </a:prstGeom>
      </xdr:spPr>
    </xdr:pic>
    <xdr:clientData/>
  </xdr:twoCellAnchor>
  <xdr:twoCellAnchor editAs="oneCell">
    <xdr:from>
      <xdr:col>29</xdr:col>
      <xdr:colOff>13607</xdr:colOff>
      <xdr:row>156</xdr:row>
      <xdr:rowOff>13606</xdr:rowOff>
    </xdr:from>
    <xdr:to>
      <xdr:col>42</xdr:col>
      <xdr:colOff>0</xdr:colOff>
      <xdr:row>192</xdr:row>
      <xdr:rowOff>13607</xdr:rowOff>
    </xdr:to>
    <xdr:pic>
      <xdr:nvPicPr>
        <xdr:cNvPr id="25" name="Picture 24">
          <a:extLst>
            <a:ext uri="{FF2B5EF4-FFF2-40B4-BE49-F238E27FC236}">
              <a16:creationId xmlns:a16="http://schemas.microsoft.com/office/drawing/2014/main" id="{55CBA825-D1B8-3232-4277-B67DF339EB30}"/>
            </a:ext>
          </a:extLst>
        </xdr:cNvPr>
        <xdr:cNvPicPr>
          <a:picLocks noChangeAspect="1"/>
        </xdr:cNvPicPr>
      </xdr:nvPicPr>
      <xdr:blipFill>
        <a:blip xmlns:r="http://schemas.openxmlformats.org/officeDocument/2006/relationships" r:embed="rId20"/>
        <a:stretch>
          <a:fillRect/>
        </a:stretch>
      </xdr:blipFill>
      <xdr:spPr>
        <a:xfrm>
          <a:off x="12654643" y="27894642"/>
          <a:ext cx="7946571" cy="63681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9524</xdr:colOff>
      <xdr:row>1</xdr:row>
      <xdr:rowOff>9525</xdr:rowOff>
    </xdr:from>
    <xdr:to>
      <xdr:col>13</xdr:col>
      <xdr:colOff>0</xdr:colOff>
      <xdr:row>33</xdr:row>
      <xdr:rowOff>0</xdr:rowOff>
    </xdr:to>
    <xdr:pic>
      <xdr:nvPicPr>
        <xdr:cNvPr id="2" name="Picture 1">
          <a:extLst>
            <a:ext uri="{FF2B5EF4-FFF2-40B4-BE49-F238E27FC236}">
              <a16:creationId xmlns:a16="http://schemas.microsoft.com/office/drawing/2014/main" id="{4EE077B8-1B54-4DEE-B171-38BD2646E8D5}"/>
            </a:ext>
          </a:extLst>
        </xdr:cNvPr>
        <xdr:cNvPicPr>
          <a:picLocks noChangeAspect="1"/>
        </xdr:cNvPicPr>
      </xdr:nvPicPr>
      <xdr:blipFill>
        <a:blip xmlns:r="http://schemas.openxmlformats.org/officeDocument/2006/relationships" r:embed="rId1"/>
        <a:stretch>
          <a:fillRect/>
        </a:stretch>
      </xdr:blipFill>
      <xdr:spPr>
        <a:xfrm>
          <a:off x="209549" y="190500"/>
          <a:ext cx="7305676" cy="5781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AppData\Roaming\Microsoft\Excel\AMD_Model%20(version%201).xlsb" TargetMode="External"/><Relationship Id="rId1" Type="http://schemas.openxmlformats.org/officeDocument/2006/relationships/externalLinkPath" Target="file:///C:\Users\User\AppData\Roaming\Microsoft\Excel\AMD_Model%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cell r="BC1" t="str">
            <v>Q1 2022</v>
          </cell>
          <cell r="BG1" t="str">
            <v>Q1 2023</v>
          </cell>
          <cell r="BK1" t="str">
            <v>Q1 2024</v>
          </cell>
          <cell r="BO1" t="str">
            <v>Q1 2025</v>
          </cell>
        </row>
      </sheetData>
      <sheetData sheetId="2">
        <row r="188">
          <cell r="I188" t="str">
            <v>Notes:</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Product Lines"/>
      <sheetName val="Management"/>
      <sheetName val="Table Formatting"/>
    </sheetNames>
    <sheetDataSet>
      <sheetData sheetId="0" refreshError="1"/>
      <sheetData sheetId="1">
        <row r="1">
          <cell r="AQ1" t="str">
            <v>Q1 2020</v>
          </cell>
        </row>
      </sheetData>
      <sheetData sheetId="2">
        <row r="207">
          <cell r="I207" t="str">
            <v>Histogram Data</v>
          </cell>
          <cell r="L207" t="str">
            <v>Distribution Overlay</v>
          </cell>
        </row>
        <row r="209">
          <cell r="I209">
            <v>-8.2500000000000004E-2</v>
          </cell>
          <cell r="J209">
            <v>1</v>
          </cell>
          <cell r="L209">
            <v>-8.5000000000000006E-2</v>
          </cell>
          <cell r="M209">
            <v>0.10783096920104651</v>
          </cell>
        </row>
        <row r="210">
          <cell r="I210">
            <v>-0.08</v>
          </cell>
          <cell r="J210">
            <v>0</v>
          </cell>
          <cell r="L210">
            <v>-8.2500000000000004E-2</v>
          </cell>
          <cell r="M210">
            <v>0.14329325678808627</v>
          </cell>
        </row>
        <row r="211">
          <cell r="I211">
            <v>-7.7499999999999999E-2</v>
          </cell>
          <cell r="J211">
            <v>0</v>
          </cell>
          <cell r="L211">
            <v>-0.08</v>
          </cell>
          <cell r="M211">
            <v>0.18881154204233769</v>
          </cell>
        </row>
        <row r="212">
          <cell r="I212">
            <v>-7.4999999999999997E-2</v>
          </cell>
          <cell r="J212">
            <v>0</v>
          </cell>
          <cell r="L212">
            <v>-7.7499999999999999E-2</v>
          </cell>
          <cell r="M212">
            <v>0.24669018223056963</v>
          </cell>
        </row>
        <row r="213">
          <cell r="I213">
            <v>-7.2499999999999995E-2</v>
          </cell>
          <cell r="J213">
            <v>0</v>
          </cell>
          <cell r="L213">
            <v>-7.4999999999999997E-2</v>
          </cell>
          <cell r="M213">
            <v>0.31959187768079544</v>
          </cell>
        </row>
        <row r="214">
          <cell r="I214">
            <v>-6.9999999999999993E-2</v>
          </cell>
          <cell r="J214">
            <v>2</v>
          </cell>
          <cell r="L214">
            <v>-7.2499999999999995E-2</v>
          </cell>
          <cell r="M214">
            <v>0.41054440875320708</v>
          </cell>
        </row>
        <row r="215">
          <cell r="I215">
            <v>-6.7499999999999991E-2</v>
          </cell>
          <cell r="J215">
            <v>2</v>
          </cell>
          <cell r="L215">
            <v>-6.9999999999999993E-2</v>
          </cell>
          <cell r="M215">
            <v>0.52293184658839387</v>
          </cell>
        </row>
        <row r="216">
          <cell r="I216">
            <v>-6.4999999999999988E-2</v>
          </cell>
          <cell r="J216">
            <v>1</v>
          </cell>
          <cell r="L216">
            <v>-6.7499999999999991E-2</v>
          </cell>
          <cell r="M216">
            <v>0.66046617634979532</v>
          </cell>
        </row>
        <row r="217">
          <cell r="I217">
            <v>-6.2499999999999986E-2</v>
          </cell>
          <cell r="J217">
            <v>1</v>
          </cell>
          <cell r="L217">
            <v>-6.4999999999999988E-2</v>
          </cell>
          <cell r="M217">
            <v>0.82713540853706069</v>
          </cell>
        </row>
        <row r="218">
          <cell r="I218">
            <v>-5.9999999999999984E-2</v>
          </cell>
          <cell r="J218">
            <v>4</v>
          </cell>
          <cell r="L218">
            <v>-6.2499999999999986E-2</v>
          </cell>
          <cell r="M218">
            <v>1.0271247279589943</v>
          </cell>
        </row>
        <row r="219">
          <cell r="I219">
            <v>-5.7499999999999982E-2</v>
          </cell>
          <cell r="J219">
            <v>4</v>
          </cell>
          <cell r="L219">
            <v>-5.9999999999999984E-2</v>
          </cell>
          <cell r="M219">
            <v>1.264708094161523</v>
          </cell>
        </row>
        <row r="220">
          <cell r="I220">
            <v>-5.4999999999999979E-2</v>
          </cell>
          <cell r="J220">
            <v>3</v>
          </cell>
          <cell r="L220">
            <v>-5.7499999999999982E-2</v>
          </cell>
          <cell r="M220">
            <v>1.5441089921350657</v>
          </cell>
        </row>
        <row r="221">
          <cell r="I221">
            <v>-5.2499999999999977E-2</v>
          </cell>
          <cell r="J221">
            <v>8</v>
          </cell>
          <cell r="L221">
            <v>-5.4999999999999979E-2</v>
          </cell>
          <cell r="M221">
            <v>1.8693307370584344</v>
          </cell>
        </row>
        <row r="222">
          <cell r="I222">
            <v>-4.9999999999999975E-2</v>
          </cell>
          <cell r="J222">
            <v>5</v>
          </cell>
          <cell r="L222">
            <v>-5.2499999999999977E-2</v>
          </cell>
          <cell r="M222">
            <v>2.243958821245378</v>
          </cell>
        </row>
        <row r="223">
          <cell r="I223">
            <v>-4.7499999999999973E-2</v>
          </cell>
          <cell r="J223">
            <v>10</v>
          </cell>
          <cell r="L223">
            <v>-4.9999999999999975E-2</v>
          </cell>
          <cell r="M223">
            <v>2.6709401698756499</v>
          </cell>
        </row>
        <row r="224">
          <cell r="I224">
            <v>-4.4999999999999971E-2</v>
          </cell>
          <cell r="J224">
            <v>7</v>
          </cell>
          <cell r="L224">
            <v>-4.7499999999999973E-2</v>
          </cell>
          <cell r="M224">
            <v>3.1523467121660782</v>
          </cell>
        </row>
        <row r="225">
          <cell r="I225">
            <v>-4.2499999999999968E-2</v>
          </cell>
          <cell r="J225">
            <v>8</v>
          </cell>
          <cell r="L225">
            <v>-4.4999999999999971E-2</v>
          </cell>
          <cell r="M225">
            <v>3.6891332000813026</v>
          </cell>
        </row>
        <row r="226">
          <cell r="I226">
            <v>-3.9999999999999966E-2</v>
          </cell>
          <cell r="J226">
            <v>10</v>
          </cell>
          <cell r="L226">
            <v>-4.2499999999999968E-2</v>
          </cell>
          <cell r="M226">
            <v>4.2809015057134276</v>
          </cell>
        </row>
        <row r="227">
          <cell r="I227">
            <v>-3.7499999999999964E-2</v>
          </cell>
          <cell r="J227">
            <v>11</v>
          </cell>
          <cell r="L227">
            <v>-3.9999999999999966E-2</v>
          </cell>
          <cell r="M227">
            <v>4.9256854678964306</v>
          </cell>
        </row>
        <row r="228">
          <cell r="I228">
            <v>-3.4999999999999962E-2</v>
          </cell>
          <cell r="J228">
            <v>12</v>
          </cell>
          <cell r="L228">
            <v>-3.7499999999999964E-2</v>
          </cell>
          <cell r="M228">
            <v>5.6197715031423607</v>
          </cell>
        </row>
        <row r="229">
          <cell r="I229">
            <v>-3.2499999999999959E-2</v>
          </cell>
          <cell r="J229">
            <v>22</v>
          </cell>
          <cell r="L229">
            <v>-3.4999999999999962E-2</v>
          </cell>
          <cell r="M229">
            <v>6.3575704312377139</v>
          </cell>
        </row>
        <row r="230">
          <cell r="I230">
            <v>-2.9999999999999961E-2</v>
          </cell>
          <cell r="J230">
            <v>24</v>
          </cell>
          <cell r="L230">
            <v>-3.2499999999999959E-2</v>
          </cell>
          <cell r="M230">
            <v>7.1315551233956826</v>
          </cell>
        </row>
        <row r="231">
          <cell r="I231">
            <v>-2.7499999999999962E-2</v>
          </cell>
          <cell r="J231">
            <v>22</v>
          </cell>
          <cell r="L231">
            <v>-2.9999999999999961E-2</v>
          </cell>
          <cell r="M231">
            <v>7.9322765624393368</v>
          </cell>
        </row>
        <row r="232">
          <cell r="I232">
            <v>-2.4999999999999963E-2</v>
          </cell>
          <cell r="J232">
            <v>22</v>
          </cell>
          <cell r="L232">
            <v>-2.7499999999999962E-2</v>
          </cell>
          <cell r="M232">
            <v>8.7484677024556117</v>
          </cell>
        </row>
        <row r="233">
          <cell r="I233">
            <v>-2.2499999999999964E-2</v>
          </cell>
          <cell r="J233">
            <v>23</v>
          </cell>
          <cell r="L233">
            <v>-2.4999999999999963E-2</v>
          </cell>
          <cell r="M233">
            <v>9.5672402265739898</v>
          </cell>
        </row>
        <row r="234">
          <cell r="I234">
            <v>-1.9999999999999966E-2</v>
          </cell>
          <cell r="J234">
            <v>28</v>
          </cell>
          <cell r="L234">
            <v>-2.2499999999999964E-2</v>
          </cell>
          <cell r="M234">
            <v>10.374374131986306</v>
          </cell>
        </row>
        <row r="235">
          <cell r="I235">
            <v>-1.7499999999999967E-2</v>
          </cell>
          <cell r="J235">
            <v>39</v>
          </cell>
          <cell r="L235">
            <v>-1.9999999999999966E-2</v>
          </cell>
          <cell r="M235">
            <v>11.154694329810187</v>
          </cell>
        </row>
        <row r="236">
          <cell r="I236">
            <v>-1.4999999999999966E-2</v>
          </cell>
          <cell r="J236">
            <v>42</v>
          </cell>
          <cell r="L236">
            <v>-1.7499999999999967E-2</v>
          </cell>
          <cell r="M236">
            <v>11.892522527458697</v>
          </cell>
        </row>
        <row r="237">
          <cell r="I237">
            <v>-1.2499999999999966E-2</v>
          </cell>
          <cell r="J237">
            <v>50</v>
          </cell>
          <cell r="L237">
            <v>-1.4999999999999966E-2</v>
          </cell>
          <cell r="M237">
            <v>12.572187012202079</v>
          </cell>
        </row>
        <row r="238">
          <cell r="I238">
            <v>-9.9999999999999655E-3</v>
          </cell>
          <cell r="J238">
            <v>49</v>
          </cell>
          <cell r="L238">
            <v>-1.2499999999999966E-2</v>
          </cell>
          <cell r="M238">
            <v>13.178568044076965</v>
          </cell>
        </row>
        <row r="239">
          <cell r="I239">
            <v>-7.499999999999965E-3</v>
          </cell>
          <cell r="J239">
            <v>54</v>
          </cell>
          <cell r="L239">
            <v>-9.9999999999999655E-3</v>
          </cell>
          <cell r="M239">
            <v>13.697652836654569</v>
          </cell>
        </row>
        <row r="240">
          <cell r="I240">
            <v>-4.9999999999999645E-3</v>
          </cell>
          <cell r="J240">
            <v>53</v>
          </cell>
          <cell r="L240">
            <v>-7.499999999999965E-3</v>
          </cell>
          <cell r="M240">
            <v>14.117071928680522</v>
          </cell>
        </row>
        <row r="241">
          <cell r="I241">
            <v>-2.4999999999999645E-3</v>
          </cell>
          <cell r="J241">
            <v>60</v>
          </cell>
          <cell r="L241">
            <v>-4.9999999999999645E-3</v>
          </cell>
          <cell r="M241">
            <v>14.426588392057482</v>
          </cell>
        </row>
        <row r="242">
          <cell r="I242">
            <v>3.5561831257524545E-17</v>
          </cell>
          <cell r="J242">
            <v>59</v>
          </cell>
          <cell r="L242">
            <v>-2.4999999999999645E-3</v>
          </cell>
          <cell r="M242">
            <v>14.618512904807442</v>
          </cell>
        </row>
        <row r="243">
          <cell r="I243">
            <v>2.5000000000000356E-3</v>
          </cell>
          <cell r="J243">
            <v>54</v>
          </cell>
          <cell r="L243">
            <v>3.5561831257524545E-17</v>
          </cell>
          <cell r="M243">
            <v>14.688021204290353</v>
          </cell>
        </row>
        <row r="244">
          <cell r="I244">
            <v>5.0000000000000357E-3</v>
          </cell>
          <cell r="J244">
            <v>55</v>
          </cell>
          <cell r="L244">
            <v>2.5000000000000356E-3</v>
          </cell>
          <cell r="M244">
            <v>14.633355625389564</v>
          </cell>
        </row>
        <row r="245">
          <cell r="I245">
            <v>7.5000000000000362E-3</v>
          </cell>
          <cell r="J245">
            <v>56</v>
          </cell>
          <cell r="L245">
            <v>5.0000000000000357E-3</v>
          </cell>
          <cell r="M245">
            <v>14.455898969520778</v>
          </cell>
        </row>
        <row r="246">
          <cell r="I246">
            <v>1.0000000000000037E-2</v>
          </cell>
          <cell r="J246">
            <v>48</v>
          </cell>
          <cell r="L246">
            <v>7.5000000000000362E-3</v>
          </cell>
          <cell r="M246">
            <v>14.160116370389433</v>
          </cell>
        </row>
        <row r="247">
          <cell r="I247">
            <v>1.2500000000000037E-2</v>
          </cell>
          <cell r="J247">
            <v>49</v>
          </cell>
          <cell r="L247">
            <v>1.0000000000000037E-2</v>
          </cell>
          <cell r="M247">
            <v>13.753368568519184</v>
          </cell>
        </row>
        <row r="248">
          <cell r="I248">
            <v>1.5000000000000038E-2</v>
          </cell>
          <cell r="J248">
            <v>41</v>
          </cell>
          <cell r="L248">
            <v>1.2500000000000037E-2</v>
          </cell>
          <cell r="M248">
            <v>13.24560749591766</v>
          </cell>
        </row>
        <row r="249">
          <cell r="I249">
            <v>1.7500000000000036E-2</v>
          </cell>
          <cell r="J249">
            <v>32</v>
          </cell>
          <cell r="L249">
            <v>1.5000000000000038E-2</v>
          </cell>
          <cell r="M249">
            <v>12.64897174559864</v>
          </cell>
        </row>
        <row r="250">
          <cell r="I250">
            <v>2.0000000000000035E-2</v>
          </cell>
          <cell r="J250">
            <v>30</v>
          </cell>
          <cell r="L250">
            <v>1.7500000000000036E-2</v>
          </cell>
          <cell r="M250">
            <v>11.977304873249388</v>
          </cell>
        </row>
        <row r="251">
          <cell r="I251">
            <v>2.2500000000000034E-2</v>
          </cell>
          <cell r="J251">
            <v>37</v>
          </cell>
          <cell r="L251">
            <v>2.0000000000000035E-2</v>
          </cell>
          <cell r="M251">
            <v>11.245623182659344</v>
          </cell>
        </row>
        <row r="252">
          <cell r="I252">
            <v>2.5000000000000033E-2</v>
          </cell>
          <cell r="J252">
            <v>26</v>
          </cell>
          <cell r="L252">
            <v>2.2500000000000034E-2</v>
          </cell>
          <cell r="M252">
            <v>10.469561462904419</v>
          </cell>
        </row>
        <row r="253">
          <cell r="I253">
            <v>2.7500000000000031E-2</v>
          </cell>
          <cell r="J253">
            <v>18</v>
          </cell>
          <cell r="L253">
            <v>2.5000000000000033E-2</v>
          </cell>
          <cell r="M253">
            <v>9.6648250167595435</v>
          </cell>
        </row>
        <row r="254">
          <cell r="I254">
            <v>3.000000000000003E-2</v>
          </cell>
          <cell r="J254">
            <v>13</v>
          </cell>
          <cell r="L254">
            <v>2.7500000000000031E-2</v>
          </cell>
          <cell r="M254">
            <v>8.8466743506901278</v>
          </cell>
        </row>
        <row r="255">
          <cell r="I255">
            <v>3.2500000000000029E-2</v>
          </cell>
          <cell r="J255">
            <v>24</v>
          </cell>
          <cell r="L255">
            <v>3.000000000000003E-2</v>
          </cell>
          <cell r="M255">
            <v>8.0294653354166119</v>
          </cell>
        </row>
        <row r="256">
          <cell r="I256">
            <v>3.5000000000000031E-2</v>
          </cell>
          <cell r="J256">
            <v>21</v>
          </cell>
          <cell r="L256">
            <v>3.2500000000000029E-2</v>
          </cell>
          <cell r="M256">
            <v>7.2262628545991072</v>
          </cell>
        </row>
        <row r="257">
          <cell r="I257">
            <v>3.7500000000000033E-2</v>
          </cell>
          <cell r="J257">
            <v>17</v>
          </cell>
          <cell r="L257">
            <v>3.5000000000000031E-2</v>
          </cell>
          <cell r="M257">
            <v>6.4485403741014151</v>
          </cell>
        </row>
        <row r="258">
          <cell r="I258">
            <v>4.0000000000000036E-2</v>
          </cell>
          <cell r="J258">
            <v>13</v>
          </cell>
          <cell r="L258">
            <v>3.7500000000000033E-2</v>
          </cell>
          <cell r="M258">
            <v>5.7059719523859451</v>
          </cell>
        </row>
        <row r="259">
          <cell r="I259">
            <v>4.2500000000000038E-2</v>
          </cell>
          <cell r="J259">
            <v>13</v>
          </cell>
          <cell r="L259">
            <v>4.0000000000000036E-2</v>
          </cell>
          <cell r="M259">
            <v>5.0063174275522178</v>
          </cell>
        </row>
        <row r="260">
          <cell r="I260">
            <v>4.500000000000004E-2</v>
          </cell>
          <cell r="J260">
            <v>6</v>
          </cell>
          <cell r="L260">
            <v>4.2500000000000038E-2</v>
          </cell>
          <cell r="M260">
            <v>4.3553962603240288</v>
          </cell>
        </row>
        <row r="261">
          <cell r="I261">
            <v>4.7500000000000042E-2</v>
          </cell>
          <cell r="J261">
            <v>11</v>
          </cell>
          <cell r="L261">
            <v>4.500000000000004E-2</v>
          </cell>
          <cell r="M261">
            <v>3.7571411050202226</v>
          </cell>
        </row>
        <row r="262">
          <cell r="I262">
            <v>5.0000000000000044E-2</v>
          </cell>
          <cell r="J262">
            <v>14</v>
          </cell>
          <cell r="L262">
            <v>4.7500000000000042E-2</v>
          </cell>
          <cell r="M262">
            <v>3.2137188410845217</v>
          </cell>
        </row>
        <row r="263">
          <cell r="I263">
            <v>5.2500000000000047E-2</v>
          </cell>
          <cell r="J263">
            <v>1</v>
          </cell>
          <cell r="L263">
            <v>5.0000000000000044E-2</v>
          </cell>
          <cell r="M263">
            <v>2.725704635996435</v>
          </cell>
        </row>
        <row r="264">
          <cell r="I264">
            <v>5.5000000000000049E-2</v>
          </cell>
          <cell r="J264">
            <v>2</v>
          </cell>
          <cell r="L264">
            <v>5.2500000000000047E-2</v>
          </cell>
          <cell r="M264">
            <v>2.2922936306486692</v>
          </cell>
        </row>
        <row r="265">
          <cell r="I265">
            <v>5.7500000000000051E-2</v>
          </cell>
          <cell r="J265">
            <v>4</v>
          </cell>
          <cell r="L265">
            <v>5.5000000000000049E-2</v>
          </cell>
          <cell r="M265">
            <v>1.9115349521535012</v>
          </cell>
        </row>
        <row r="266">
          <cell r="I266">
            <v>6.0000000000000053E-2</v>
          </cell>
          <cell r="J266">
            <v>3</v>
          </cell>
          <cell r="L266">
            <v>5.7500000000000051E-2</v>
          </cell>
          <cell r="M266">
            <v>1.5805738052776042</v>
          </cell>
        </row>
        <row r="267">
          <cell r="I267">
            <v>6.2500000000000056E-2</v>
          </cell>
          <cell r="J267">
            <v>3</v>
          </cell>
          <cell r="L267">
            <v>6.0000000000000053E-2</v>
          </cell>
          <cell r="M267">
            <v>1.2958891621215485</v>
          </cell>
        </row>
        <row r="268">
          <cell r="I268">
            <v>6.5000000000000058E-2</v>
          </cell>
          <cell r="J268">
            <v>3</v>
          </cell>
          <cell r="L268">
            <v>6.2500000000000056E-2</v>
          </cell>
          <cell r="M268">
            <v>1.0535168261699086</v>
          </cell>
        </row>
        <row r="269">
          <cell r="I269">
            <v>6.750000000000006E-2</v>
          </cell>
          <cell r="J269">
            <v>3</v>
          </cell>
          <cell r="L269">
            <v>6.5000000000000058E-2</v>
          </cell>
          <cell r="M269">
            <v>0.84925015689962069</v>
          </cell>
        </row>
        <row r="270">
          <cell r="I270">
            <v>7.0000000000000062E-2</v>
          </cell>
          <cell r="J270">
            <v>1</v>
          </cell>
          <cell r="L270">
            <v>6.750000000000006E-2</v>
          </cell>
          <cell r="M270">
            <v>0.67881328954786535</v>
          </cell>
        </row>
        <row r="271">
          <cell r="I271">
            <v>7.2500000000000064E-2</v>
          </cell>
          <cell r="J271">
            <v>1</v>
          </cell>
          <cell r="L271">
            <v>7.0000000000000062E-2</v>
          </cell>
          <cell r="M271">
            <v>0.5380040903095723</v>
          </cell>
        </row>
        <row r="272">
          <cell r="I272">
            <v>7.5000000000000067E-2</v>
          </cell>
          <cell r="J272">
            <v>0</v>
          </cell>
          <cell r="L272">
            <v>7.2500000000000064E-2</v>
          </cell>
          <cell r="M272">
            <v>0.42280621228831278</v>
          </cell>
        </row>
        <row r="273">
          <cell r="I273">
            <v>7.7499999999999999E-2</v>
          </cell>
          <cell r="J273">
            <v>3</v>
          </cell>
          <cell r="L273">
            <v>7.5000000000000067E-2</v>
          </cell>
          <cell r="M273">
            <v>0.32947137088992728</v>
          </cell>
        </row>
        <row r="274">
          <cell r="I274">
            <v>0.08</v>
          </cell>
          <cell r="J274">
            <v>1</v>
          </cell>
          <cell r="L274">
            <v>7.7499999999999999E-2</v>
          </cell>
          <cell r="M274">
            <v>0.25457429343321114</v>
          </cell>
        </row>
        <row r="275">
          <cell r="I275">
            <v>8.2500000000000004E-2</v>
          </cell>
          <cell r="J275">
            <v>2</v>
          </cell>
          <cell r="L275">
            <v>0.08</v>
          </cell>
          <cell r="M275">
            <v>0.19504371128949619</v>
          </cell>
        </row>
        <row r="276">
          <cell r="L276">
            <v>8.2500000000000004E-2</v>
          </cell>
          <cell r="M276">
            <v>0.14817328117141351</v>
          </cell>
        </row>
        <row r="277">
          <cell r="L277">
            <v>8.5000000000000006E-2</v>
          </cell>
          <cell r="M277">
            <v>0.11161649611998654</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oAlU6vQ1Pn8" TargetMode="External"/><Relationship Id="rId3" Type="http://schemas.openxmlformats.org/officeDocument/2006/relationships/hyperlink" Target="https://app.godelterminal.com/" TargetMode="External"/><Relationship Id="rId7" Type="http://schemas.openxmlformats.org/officeDocument/2006/relationships/hyperlink" Target="mailto:Investor.Relations@amd.com" TargetMode="External"/><Relationship Id="rId2" Type="http://schemas.openxmlformats.org/officeDocument/2006/relationships/hyperlink" Target="https://stockanalysis.com/stocks/amd/company/" TargetMode="External"/><Relationship Id="rId1" Type="http://schemas.openxmlformats.org/officeDocument/2006/relationships/hyperlink" Target="https://seekingalpha.com/symbol/GOOGL/earnings/transcripts" TargetMode="External"/><Relationship Id="rId6" Type="http://schemas.openxmlformats.org/officeDocument/2006/relationships/hyperlink" Target="https://www.gurufocus.com/term/wacc/AMD" TargetMode="External"/><Relationship Id="rId5" Type="http://schemas.openxmlformats.org/officeDocument/2006/relationships/hyperlink" Target="https://www.macrotrends.net/stocks/charts/AMD/amd/cash-flow-statement?freq=Q" TargetMode="External"/><Relationship Id="rId10" Type="http://schemas.openxmlformats.org/officeDocument/2006/relationships/drawing" Target="../drawings/drawing1.xml"/><Relationship Id="rId4" Type="http://schemas.openxmlformats.org/officeDocument/2006/relationships/hyperlink" Target="https://ir.amd.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310"/>
  <sheetViews>
    <sheetView tabSelected="1" topLeftCell="A184" zoomScale="85" zoomScaleNormal="85" workbookViewId="0">
      <selection activeCell="D3" sqref="D3"/>
    </sheetView>
  </sheetViews>
  <sheetFormatPr defaultColWidth="9.140625" defaultRowHeight="14.25"/>
  <cols>
    <col min="1" max="1" width="3.42578125" style="1" customWidth="1"/>
    <col min="2" max="2" width="9" style="1" customWidth="1"/>
    <col min="3" max="3" width="12.42578125" style="1" customWidth="1"/>
    <col min="4" max="4" width="9" style="1" customWidth="1"/>
    <col min="5" max="16384" width="9.140625" style="1"/>
  </cols>
  <sheetData>
    <row r="2" spans="2:18" ht="15">
      <c r="B2" s="2" t="s">
        <v>186</v>
      </c>
    </row>
    <row r="3" spans="2:18">
      <c r="B3" s="1" t="s">
        <v>0</v>
      </c>
      <c r="C3" s="78">
        <v>215.08</v>
      </c>
      <c r="D3" s="42" t="s">
        <v>1781</v>
      </c>
    </row>
    <row r="4" spans="2:18">
      <c r="B4" s="1" t="s">
        <v>1</v>
      </c>
      <c r="C4" s="77">
        <v>1626</v>
      </c>
      <c r="D4" s="44" t="s">
        <v>1779</v>
      </c>
    </row>
    <row r="5" spans="2:18">
      <c r="B5" s="1" t="s">
        <v>2</v>
      </c>
      <c r="C5" s="77">
        <f>C3*C4</f>
        <v>349720.08</v>
      </c>
    </row>
    <row r="6" spans="2:18">
      <c r="B6" s="1" t="s">
        <v>3</v>
      </c>
      <c r="C6" s="77">
        <f>4808+2435</f>
        <v>7243</v>
      </c>
      <c r="D6" s="44" t="s">
        <v>1779</v>
      </c>
    </row>
    <row r="7" spans="2:18">
      <c r="B7" s="1" t="s">
        <v>4</v>
      </c>
      <c r="C7" s="77">
        <f>873+2347</f>
        <v>3220</v>
      </c>
      <c r="D7" s="44" t="s">
        <v>1779</v>
      </c>
    </row>
    <row r="8" spans="2:18">
      <c r="B8" s="1" t="s">
        <v>5</v>
      </c>
      <c r="C8" s="77">
        <f>C5-C6+C7</f>
        <v>345697.08</v>
      </c>
    </row>
    <row r="10" spans="2:18" ht="15">
      <c r="B10" s="2" t="s">
        <v>187</v>
      </c>
    </row>
    <row r="12" spans="2:18" ht="15">
      <c r="B12" s="1" t="s">
        <v>178</v>
      </c>
      <c r="N12" s="1" t="s">
        <v>160</v>
      </c>
      <c r="Q12" s="2"/>
    </row>
    <row r="13" spans="2:18">
      <c r="B13" s="1" t="s">
        <v>179</v>
      </c>
      <c r="N13" s="1" t="s">
        <v>169</v>
      </c>
      <c r="Q13" s="43" t="s">
        <v>174</v>
      </c>
    </row>
    <row r="14" spans="2:18">
      <c r="B14" s="1" t="s">
        <v>183</v>
      </c>
      <c r="F14" s="1" t="s">
        <v>165</v>
      </c>
      <c r="N14" s="1" t="s">
        <v>168</v>
      </c>
      <c r="Q14" s="43" t="s">
        <v>167</v>
      </c>
    </row>
    <row r="15" spans="2:18">
      <c r="B15" s="1" t="s">
        <v>164</v>
      </c>
      <c r="F15" s="1" t="s">
        <v>166</v>
      </c>
      <c r="O15" s="1" t="s">
        <v>172</v>
      </c>
      <c r="R15" s="43" t="s">
        <v>173</v>
      </c>
    </row>
    <row r="16" spans="2:18">
      <c r="B16" s="1" t="s">
        <v>182</v>
      </c>
      <c r="F16" s="1" t="s">
        <v>6</v>
      </c>
      <c r="N16" s="1" t="s">
        <v>153</v>
      </c>
      <c r="Q16" s="43" t="s">
        <v>154</v>
      </c>
    </row>
    <row r="17" spans="1:17">
      <c r="B17" s="1" t="s">
        <v>180</v>
      </c>
      <c r="F17" s="1" t="s">
        <v>157</v>
      </c>
      <c r="N17" s="1" t="s">
        <v>155</v>
      </c>
      <c r="Q17" s="43" t="s">
        <v>185</v>
      </c>
    </row>
    <row r="18" spans="1:17">
      <c r="B18" s="1" t="s">
        <v>181</v>
      </c>
      <c r="F18" s="1" t="s">
        <v>150</v>
      </c>
      <c r="G18" s="1" t="s">
        <v>177</v>
      </c>
      <c r="I18" s="1" t="s">
        <v>151</v>
      </c>
      <c r="J18" s="43" t="s">
        <v>1446</v>
      </c>
      <c r="N18" s="1" t="s">
        <v>170</v>
      </c>
      <c r="Q18" s="43" t="s">
        <v>175</v>
      </c>
    </row>
    <row r="19" spans="1:17">
      <c r="B19" s="1" t="s">
        <v>184</v>
      </c>
      <c r="N19" s="1" t="s">
        <v>171</v>
      </c>
      <c r="Q19" s="43" t="s">
        <v>176</v>
      </c>
    </row>
    <row r="20" spans="1:17">
      <c r="B20" s="1" t="s">
        <v>1761</v>
      </c>
      <c r="N20" s="1" t="s">
        <v>7</v>
      </c>
      <c r="Q20" s="43" t="s">
        <v>156</v>
      </c>
    </row>
    <row r="21" spans="1:17" ht="15">
      <c r="N21" s="2"/>
    </row>
    <row r="22" spans="1:17" ht="15">
      <c r="A22" s="2" t="s">
        <v>8</v>
      </c>
      <c r="N22" s="2"/>
    </row>
    <row r="23" spans="1:17" ht="15">
      <c r="B23" s="1" t="s">
        <v>1763</v>
      </c>
      <c r="C23" s="2"/>
    </row>
    <row r="24" spans="1:17">
      <c r="C24" s="1" t="s">
        <v>1764</v>
      </c>
    </row>
    <row r="25" spans="1:17">
      <c r="C25" s="1" t="s">
        <v>1772</v>
      </c>
    </row>
    <row r="26" spans="1:17">
      <c r="C26" s="1" t="s">
        <v>1773</v>
      </c>
    </row>
    <row r="27" spans="1:17" ht="15">
      <c r="B27" s="1" t="s">
        <v>163</v>
      </c>
    </row>
    <row r="28" spans="1:17" ht="15">
      <c r="C28" s="2" t="s">
        <v>1447</v>
      </c>
    </row>
    <row r="29" spans="1:17" ht="15">
      <c r="C29" s="2"/>
      <c r="D29" s="1" t="s">
        <v>1765</v>
      </c>
    </row>
    <row r="30" spans="1:17" ht="15">
      <c r="C30" s="2"/>
      <c r="D30" s="1" t="s">
        <v>1766</v>
      </c>
    </row>
    <row r="31" spans="1:17" ht="15">
      <c r="C31" s="2"/>
      <c r="E31" s="1" t="s">
        <v>1777</v>
      </c>
    </row>
    <row r="32" spans="1:17">
      <c r="E32" s="1" t="s">
        <v>1523</v>
      </c>
    </row>
    <row r="33" spans="2:5">
      <c r="E33" s="1" t="s">
        <v>1513</v>
      </c>
    </row>
    <row r="34" spans="2:5" ht="15">
      <c r="C34" s="2"/>
      <c r="E34" s="1" t="s">
        <v>1512</v>
      </c>
    </row>
    <row r="35" spans="2:5" ht="15">
      <c r="C35" s="2" t="s">
        <v>1509</v>
      </c>
    </row>
    <row r="36" spans="2:5" ht="15">
      <c r="C36" s="2"/>
      <c r="D36" s="1" t="s">
        <v>1768</v>
      </c>
    </row>
    <row r="37" spans="2:5" ht="15">
      <c r="C37" s="2"/>
      <c r="E37" s="1" t="s">
        <v>1769</v>
      </c>
    </row>
    <row r="38" spans="2:5" ht="15">
      <c r="C38" s="2"/>
      <c r="E38" s="1" t="s">
        <v>1770</v>
      </c>
    </row>
    <row r="39" spans="2:5" ht="15">
      <c r="C39" s="2"/>
      <c r="D39" s="1" t="s">
        <v>1524</v>
      </c>
    </row>
    <row r="40" spans="2:5" ht="15">
      <c r="C40" s="2"/>
      <c r="D40" s="1" t="s">
        <v>1511</v>
      </c>
    </row>
    <row r="41" spans="2:5" ht="15">
      <c r="C41" s="2" t="s">
        <v>1451</v>
      </c>
    </row>
    <row r="42" spans="2:5" ht="15">
      <c r="C42" s="2"/>
      <c r="D42" s="1" t="s">
        <v>1771</v>
      </c>
    </row>
    <row r="43" spans="2:5">
      <c r="E43" s="1" t="s">
        <v>1510</v>
      </c>
    </row>
    <row r="44" spans="2:5">
      <c r="E44" s="1" t="s">
        <v>1514</v>
      </c>
    </row>
    <row r="45" spans="2:5">
      <c r="B45" s="1" t="s">
        <v>1767</v>
      </c>
    </row>
    <row r="46" spans="2:5">
      <c r="B46" s="1" t="s">
        <v>1515</v>
      </c>
    </row>
    <row r="47" spans="2:5">
      <c r="C47" s="1" t="s">
        <v>1532</v>
      </c>
    </row>
    <row r="48" spans="2:5" ht="15">
      <c r="C48" s="2" t="s">
        <v>1516</v>
      </c>
    </row>
    <row r="49" spans="1:4">
      <c r="D49" s="1" t="s">
        <v>1517</v>
      </c>
    </row>
    <row r="50" spans="1:4" ht="15">
      <c r="C50" s="2" t="s">
        <v>1518</v>
      </c>
    </row>
    <row r="51" spans="1:4" ht="15">
      <c r="A51" s="2"/>
      <c r="D51" s="1" t="s">
        <v>1519</v>
      </c>
    </row>
    <row r="52" spans="1:4" ht="15">
      <c r="C52" s="2" t="s">
        <v>1520</v>
      </c>
    </row>
    <row r="53" spans="1:4">
      <c r="D53" s="1" t="s">
        <v>1521</v>
      </c>
    </row>
    <row r="54" spans="1:4" ht="15">
      <c r="C54" s="1" t="s">
        <v>1604</v>
      </c>
    </row>
    <row r="55" spans="1:4">
      <c r="D55" s="1" t="s">
        <v>1522</v>
      </c>
    </row>
    <row r="56" spans="1:4" ht="15">
      <c r="B56" s="1" t="s">
        <v>1762</v>
      </c>
    </row>
    <row r="57" spans="1:4">
      <c r="C57" s="1" t="s">
        <v>1729</v>
      </c>
    </row>
    <row r="58" spans="1:4">
      <c r="C58" s="1" t="s">
        <v>1730</v>
      </c>
    </row>
    <row r="59" spans="1:4">
      <c r="D59" s="1" t="s">
        <v>1731</v>
      </c>
    </row>
    <row r="60" spans="1:4">
      <c r="C60" s="1" t="s">
        <v>1732</v>
      </c>
    </row>
    <row r="62" spans="1:4" ht="15">
      <c r="A62" s="2" t="s">
        <v>158</v>
      </c>
    </row>
    <row r="63" spans="1:4" ht="15">
      <c r="B63" s="2" t="s">
        <v>1525</v>
      </c>
    </row>
    <row r="64" spans="1:4" ht="15">
      <c r="C64" s="2" t="s">
        <v>1526</v>
      </c>
    </row>
    <row r="65" spans="3:5">
      <c r="D65" s="1" t="s">
        <v>1528</v>
      </c>
    </row>
    <row r="66" spans="3:5">
      <c r="D66" s="1" t="s">
        <v>1529</v>
      </c>
    </row>
    <row r="67" spans="3:5">
      <c r="E67" s="1" t="s">
        <v>1530</v>
      </c>
    </row>
    <row r="68" spans="3:5">
      <c r="E68" s="1" t="s">
        <v>1531</v>
      </c>
    </row>
    <row r="69" spans="3:5" ht="15">
      <c r="C69" s="2" t="s">
        <v>1527</v>
      </c>
    </row>
    <row r="70" spans="3:5">
      <c r="C70" s="1" t="s">
        <v>1533</v>
      </c>
    </row>
    <row r="71" spans="3:5">
      <c r="D71" s="1" t="s">
        <v>1534</v>
      </c>
    </row>
    <row r="72" spans="3:5">
      <c r="D72" s="1" t="s">
        <v>1535</v>
      </c>
    </row>
    <row r="73" spans="3:5">
      <c r="C73" s="1" t="s">
        <v>1536</v>
      </c>
    </row>
    <row r="74" spans="3:5">
      <c r="D74" s="1" t="s">
        <v>1537</v>
      </c>
    </row>
    <row r="75" spans="3:5">
      <c r="E75" s="1" t="s">
        <v>1538</v>
      </c>
    </row>
    <row r="76" spans="3:5">
      <c r="C76" s="1" t="s">
        <v>1539</v>
      </c>
    </row>
    <row r="77" spans="3:5">
      <c r="D77" s="1" t="s">
        <v>1540</v>
      </c>
    </row>
    <row r="78" spans="3:5">
      <c r="E78" s="1" t="s">
        <v>1541</v>
      </c>
    </row>
    <row r="79" spans="3:5">
      <c r="E79" s="1" t="s">
        <v>1542</v>
      </c>
    </row>
    <row r="80" spans="3:5">
      <c r="C80" s="1" t="s">
        <v>1543</v>
      </c>
    </row>
    <row r="81" spans="2:5">
      <c r="D81" s="1" t="s">
        <v>1544</v>
      </c>
    </row>
    <row r="82" spans="2:5">
      <c r="E82" s="1" t="s">
        <v>1545</v>
      </c>
    </row>
    <row r="83" spans="2:5">
      <c r="E83" s="1" t="s">
        <v>1546</v>
      </c>
    </row>
    <row r="84" spans="2:5" ht="15">
      <c r="B84" s="2" t="s">
        <v>1547</v>
      </c>
    </row>
    <row r="85" spans="2:5" ht="15">
      <c r="C85" s="2" t="s">
        <v>1526</v>
      </c>
    </row>
    <row r="86" spans="2:5">
      <c r="D86" s="1" t="s">
        <v>1548</v>
      </c>
    </row>
    <row r="87" spans="2:5" ht="15">
      <c r="C87" s="2" t="s">
        <v>1527</v>
      </c>
    </row>
    <row r="88" spans="2:5">
      <c r="C88" s="1" t="s">
        <v>1549</v>
      </c>
    </row>
    <row r="89" spans="2:5">
      <c r="D89" s="1" t="s">
        <v>1550</v>
      </c>
    </row>
    <row r="90" spans="2:5">
      <c r="E90" s="1" t="s">
        <v>1552</v>
      </c>
    </row>
    <row r="91" spans="2:5">
      <c r="E91" s="1" t="s">
        <v>1551</v>
      </c>
    </row>
    <row r="92" spans="2:5">
      <c r="C92" s="1" t="s">
        <v>1553</v>
      </c>
    </row>
    <row r="93" spans="2:5">
      <c r="D93" s="1" t="s">
        <v>1554</v>
      </c>
    </row>
    <row r="94" spans="2:5" ht="15">
      <c r="E94" s="1" t="s">
        <v>1555</v>
      </c>
    </row>
    <row r="95" spans="2:5">
      <c r="C95" s="1" t="s">
        <v>1556</v>
      </c>
    </row>
    <row r="96" spans="2:5">
      <c r="D96" s="1" t="s">
        <v>1557</v>
      </c>
    </row>
    <row r="97" spans="2:6">
      <c r="E97" s="1" t="s">
        <v>1558</v>
      </c>
    </row>
    <row r="98" spans="2:6">
      <c r="E98" s="1" t="s">
        <v>1559</v>
      </c>
    </row>
    <row r="99" spans="2:6">
      <c r="E99" s="1" t="s">
        <v>1560</v>
      </c>
    </row>
    <row r="100" spans="2:6">
      <c r="E100" s="1" t="s">
        <v>1561</v>
      </c>
    </row>
    <row r="101" spans="2:6">
      <c r="C101" s="1" t="s">
        <v>1562</v>
      </c>
    </row>
    <row r="102" spans="2:6">
      <c r="D102" s="1" t="s">
        <v>1563</v>
      </c>
    </row>
    <row r="103" spans="2:6" ht="15">
      <c r="B103" s="2" t="s">
        <v>1564</v>
      </c>
    </row>
    <row r="104" spans="2:6" ht="15">
      <c r="C104" s="2" t="s">
        <v>1526</v>
      </c>
    </row>
    <row r="105" spans="2:6">
      <c r="D105" s="1" t="s">
        <v>1565</v>
      </c>
    </row>
    <row r="106" spans="2:6">
      <c r="E106" s="1" t="s">
        <v>1566</v>
      </c>
    </row>
    <row r="107" spans="2:6">
      <c r="E107" s="1" t="s">
        <v>1567</v>
      </c>
    </row>
    <row r="108" spans="2:6">
      <c r="F108" s="1" t="s">
        <v>1568</v>
      </c>
    </row>
    <row r="109" spans="2:6" ht="15">
      <c r="C109" s="2" t="s">
        <v>1527</v>
      </c>
    </row>
    <row r="110" spans="2:6">
      <c r="C110" s="1" t="s">
        <v>1569</v>
      </c>
    </row>
    <row r="111" spans="2:6">
      <c r="D111" s="1" t="s">
        <v>1570</v>
      </c>
    </row>
    <row r="112" spans="2:6">
      <c r="E112" s="1" t="s">
        <v>1571</v>
      </c>
    </row>
    <row r="113" spans="2:6" ht="15">
      <c r="E113" s="2" t="s">
        <v>1572</v>
      </c>
    </row>
    <row r="114" spans="2:6">
      <c r="F114" s="1" t="s">
        <v>1573</v>
      </c>
    </row>
    <row r="115" spans="2:6">
      <c r="C115" s="1" t="s">
        <v>1574</v>
      </c>
    </row>
    <row r="116" spans="2:6">
      <c r="D116" s="1" t="s">
        <v>1575</v>
      </c>
    </row>
    <row r="117" spans="2:6">
      <c r="D117" s="1" t="s">
        <v>1576</v>
      </c>
    </row>
    <row r="118" spans="2:6">
      <c r="D118" s="1" t="s">
        <v>1577</v>
      </c>
    </row>
    <row r="119" spans="2:6">
      <c r="C119" s="1" t="s">
        <v>1578</v>
      </c>
    </row>
    <row r="120" spans="2:6">
      <c r="D120" s="1" t="s">
        <v>1579</v>
      </c>
    </row>
    <row r="121" spans="2:6" ht="15">
      <c r="B121" s="2" t="s">
        <v>1580</v>
      </c>
    </row>
    <row r="122" spans="2:6" ht="15">
      <c r="C122" s="2" t="s">
        <v>1526</v>
      </c>
    </row>
    <row r="123" spans="2:6">
      <c r="D123" s="1" t="s">
        <v>1581</v>
      </c>
    </row>
    <row r="124" spans="2:6">
      <c r="E124" s="1" t="s">
        <v>1582</v>
      </c>
    </row>
    <row r="125" spans="2:6">
      <c r="E125" s="1" t="s">
        <v>1583</v>
      </c>
    </row>
    <row r="126" spans="2:6">
      <c r="F126" s="1" t="s">
        <v>1584</v>
      </c>
    </row>
    <row r="127" spans="2:6">
      <c r="F127" s="1" t="s">
        <v>1585</v>
      </c>
    </row>
    <row r="128" spans="2:6">
      <c r="F128" s="1" t="s">
        <v>1586</v>
      </c>
    </row>
    <row r="129" spans="3:5">
      <c r="E129" s="1" t="s">
        <v>1587</v>
      </c>
    </row>
    <row r="130" spans="3:5" ht="15">
      <c r="C130" s="2" t="s">
        <v>1527</v>
      </c>
    </row>
    <row r="131" spans="3:5">
      <c r="C131" s="1" t="s">
        <v>1588</v>
      </c>
    </row>
    <row r="132" spans="3:5">
      <c r="D132" s="1" t="s">
        <v>1589</v>
      </c>
    </row>
    <row r="133" spans="3:5">
      <c r="E133" s="1" t="s">
        <v>1590</v>
      </c>
    </row>
    <row r="134" spans="3:5">
      <c r="C134" s="1" t="s">
        <v>1539</v>
      </c>
    </row>
    <row r="135" spans="3:5">
      <c r="D135" s="1" t="s">
        <v>1591</v>
      </c>
    </row>
    <row r="136" spans="3:5">
      <c r="E136" s="1" t="s">
        <v>1592</v>
      </c>
    </row>
    <row r="137" spans="3:5">
      <c r="E137" s="1" t="s">
        <v>1593</v>
      </c>
    </row>
    <row r="138" spans="3:5">
      <c r="C138" s="1" t="s">
        <v>1594</v>
      </c>
    </row>
    <row r="139" spans="3:5">
      <c r="D139" s="1" t="s">
        <v>1595</v>
      </c>
    </row>
    <row r="140" spans="3:5">
      <c r="E140" s="1" t="s">
        <v>1596</v>
      </c>
    </row>
    <row r="141" spans="3:5">
      <c r="D141" s="1" t="s">
        <v>1597</v>
      </c>
    </row>
    <row r="142" spans="3:5">
      <c r="E142" s="1" t="s">
        <v>1598</v>
      </c>
    </row>
    <row r="143" spans="3:5">
      <c r="C143" s="1" t="s">
        <v>1599</v>
      </c>
    </row>
    <row r="144" spans="3:5">
      <c r="D144" s="1" t="s">
        <v>1600</v>
      </c>
    </row>
    <row r="145" spans="1:5">
      <c r="E145" s="1" t="s">
        <v>1601</v>
      </c>
    </row>
    <row r="146" spans="1:5">
      <c r="E146" s="1" t="s">
        <v>1602</v>
      </c>
    </row>
    <row r="148" spans="1:5" ht="15">
      <c r="A148" s="2" t="s">
        <v>1603</v>
      </c>
    </row>
    <row r="149" spans="1:5">
      <c r="B149" s="1" t="s">
        <v>1605</v>
      </c>
    </row>
    <row r="150" spans="1:5">
      <c r="B150" s="1" t="s">
        <v>1606</v>
      </c>
    </row>
    <row r="151" spans="1:5">
      <c r="C151" s="1" t="s">
        <v>1607</v>
      </c>
    </row>
    <row r="152" spans="1:5">
      <c r="C152" s="1" t="s">
        <v>1608</v>
      </c>
    </row>
    <row r="153" spans="1:5">
      <c r="D153" s="1" t="s">
        <v>1613</v>
      </c>
    </row>
    <row r="154" spans="1:5">
      <c r="D154" s="1" t="s">
        <v>1609</v>
      </c>
    </row>
    <row r="155" spans="1:5">
      <c r="D155" s="1" t="s">
        <v>1614</v>
      </c>
    </row>
    <row r="156" spans="1:5">
      <c r="E156" s="1" t="s">
        <v>1610</v>
      </c>
    </row>
    <row r="157" spans="1:5">
      <c r="B157" s="1" t="s">
        <v>1611</v>
      </c>
    </row>
    <row r="158" spans="1:5">
      <c r="C158" s="1" t="s">
        <v>1612</v>
      </c>
    </row>
    <row r="159" spans="1:5">
      <c r="D159" s="1" t="s">
        <v>1615</v>
      </c>
    </row>
    <row r="161" spans="1:4" ht="15">
      <c r="A161" s="2" t="s">
        <v>1616</v>
      </c>
    </row>
    <row r="162" spans="1:4">
      <c r="B162" s="1" t="s">
        <v>1617</v>
      </c>
    </row>
    <row r="163" spans="1:4">
      <c r="C163" s="1" t="s">
        <v>1618</v>
      </c>
    </row>
    <row r="164" spans="1:4">
      <c r="D164" s="1" t="s">
        <v>1619</v>
      </c>
    </row>
    <row r="165" spans="1:4">
      <c r="D165" s="1" t="s">
        <v>1620</v>
      </c>
    </row>
    <row r="166" spans="1:4">
      <c r="C166" s="1" t="s">
        <v>1621</v>
      </c>
    </row>
    <row r="167" spans="1:4">
      <c r="D167" s="1" t="s">
        <v>1622</v>
      </c>
    </row>
    <row r="168" spans="1:4" ht="15">
      <c r="B168" s="1" t="s">
        <v>1623</v>
      </c>
    </row>
    <row r="169" spans="1:4" ht="15">
      <c r="C169" s="1" t="s">
        <v>1624</v>
      </c>
    </row>
    <row r="170" spans="1:4">
      <c r="B170" s="1" t="s">
        <v>1625</v>
      </c>
    </row>
    <row r="171" spans="1:4">
      <c r="C171" s="1" t="s">
        <v>1626</v>
      </c>
    </row>
    <row r="172" spans="1:4">
      <c r="C172" s="1" t="s">
        <v>1627</v>
      </c>
    </row>
    <row r="173" spans="1:4">
      <c r="C173" s="1" t="s">
        <v>1628</v>
      </c>
    </row>
    <row r="174" spans="1:4">
      <c r="C174" s="1" t="s">
        <v>1629</v>
      </c>
    </row>
    <row r="175" spans="1:4">
      <c r="C175" s="1" t="s">
        <v>1630</v>
      </c>
    </row>
    <row r="176" spans="1:4">
      <c r="B176" s="1" t="s">
        <v>1631</v>
      </c>
    </row>
    <row r="177" spans="2:5">
      <c r="C177" s="1" t="s">
        <v>1632</v>
      </c>
    </row>
    <row r="178" spans="2:5">
      <c r="C178" s="1" t="s">
        <v>1633</v>
      </c>
    </row>
    <row r="179" spans="2:5">
      <c r="C179" s="1" t="s">
        <v>1634</v>
      </c>
    </row>
    <row r="180" spans="2:5">
      <c r="C180" s="1" t="s">
        <v>1635</v>
      </c>
    </row>
    <row r="181" spans="2:5">
      <c r="C181" s="1" t="s">
        <v>1636</v>
      </c>
    </row>
    <row r="182" spans="2:5">
      <c r="B182" s="1" t="s">
        <v>1638</v>
      </c>
    </row>
    <row r="183" spans="2:5">
      <c r="C183" s="1" t="s">
        <v>1639</v>
      </c>
    </row>
    <row r="184" spans="2:5">
      <c r="C184" s="1" t="s">
        <v>1637</v>
      </c>
    </row>
    <row r="185" spans="2:5">
      <c r="D185" s="1" t="s">
        <v>1640</v>
      </c>
    </row>
    <row r="186" spans="2:5">
      <c r="D186" s="1" t="s">
        <v>1641</v>
      </c>
    </row>
    <row r="187" spans="2:5">
      <c r="D187" s="1" t="s">
        <v>1642</v>
      </c>
    </row>
    <row r="188" spans="2:5">
      <c r="E188" s="1" t="s">
        <v>1643</v>
      </c>
    </row>
    <row r="189" spans="2:5">
      <c r="E189" s="1" t="s">
        <v>1644</v>
      </c>
    </row>
    <row r="190" spans="2:5">
      <c r="E190" s="1" t="s">
        <v>1645</v>
      </c>
    </row>
    <row r="191" spans="2:5">
      <c r="E191" s="1" t="s">
        <v>1646</v>
      </c>
    </row>
    <row r="192" spans="2:5">
      <c r="D192" s="1" t="s">
        <v>1647</v>
      </c>
    </row>
    <row r="193" spans="1:4">
      <c r="C193" s="1" t="s">
        <v>1648</v>
      </c>
    </row>
    <row r="194" spans="1:4">
      <c r="D194" s="1" t="s">
        <v>1649</v>
      </c>
    </row>
    <row r="195" spans="1:4">
      <c r="D195" s="1" t="s">
        <v>1650</v>
      </c>
    </row>
    <row r="196" spans="1:4">
      <c r="D196" s="1" t="s">
        <v>1651</v>
      </c>
    </row>
    <row r="197" spans="1:4" ht="15">
      <c r="C197" s="76" t="s">
        <v>1653</v>
      </c>
      <c r="D197" s="1" t="s">
        <v>1652</v>
      </c>
    </row>
    <row r="198" spans="1:4">
      <c r="D198" s="1" t="s">
        <v>1654</v>
      </c>
    </row>
    <row r="199" spans="1:4">
      <c r="B199" s="1" t="s">
        <v>1655</v>
      </c>
    </row>
    <row r="201" spans="1:4" ht="15">
      <c r="A201" s="2" t="s">
        <v>1656</v>
      </c>
    </row>
    <row r="202" spans="1:4">
      <c r="B202" s="1" t="s">
        <v>1657</v>
      </c>
    </row>
    <row r="203" spans="1:4">
      <c r="C203" s="1" t="s">
        <v>1658</v>
      </c>
    </row>
    <row r="204" spans="1:4">
      <c r="B204" s="1" t="s">
        <v>1659</v>
      </c>
    </row>
    <row r="205" spans="1:4">
      <c r="B205" s="1" t="s">
        <v>1660</v>
      </c>
    </row>
    <row r="206" spans="1:4">
      <c r="B206" s="1" t="s">
        <v>1661</v>
      </c>
    </row>
    <row r="207" spans="1:4">
      <c r="C207" s="1" t="s">
        <v>1662</v>
      </c>
    </row>
    <row r="208" spans="1:4">
      <c r="B208" s="1" t="s">
        <v>1663</v>
      </c>
    </row>
    <row r="209" spans="2:4">
      <c r="C209" s="1" t="s">
        <v>1664</v>
      </c>
    </row>
    <row r="210" spans="2:4">
      <c r="C210" s="1" t="s">
        <v>1665</v>
      </c>
    </row>
    <row r="211" spans="2:4">
      <c r="B211" s="1" t="s">
        <v>1666</v>
      </c>
    </row>
    <row r="212" spans="2:4">
      <c r="C212" s="1" t="s">
        <v>1667</v>
      </c>
    </row>
    <row r="213" spans="2:4">
      <c r="B213" s="1" t="s">
        <v>1668</v>
      </c>
    </row>
    <row r="214" spans="2:4">
      <c r="C214" s="1" t="s">
        <v>1669</v>
      </c>
    </row>
    <row r="215" spans="2:4">
      <c r="D215" s="1" t="s">
        <v>1670</v>
      </c>
    </row>
    <row r="216" spans="2:4">
      <c r="D216" s="1" t="s">
        <v>1671</v>
      </c>
    </row>
    <row r="217" spans="2:4">
      <c r="D217" s="1" t="s">
        <v>1672</v>
      </c>
    </row>
    <row r="218" spans="2:4">
      <c r="B218" s="1" t="s">
        <v>1673</v>
      </c>
    </row>
    <row r="219" spans="2:4">
      <c r="C219" s="1" t="s">
        <v>1674</v>
      </c>
    </row>
    <row r="220" spans="2:4">
      <c r="D220" s="1" t="s">
        <v>1675</v>
      </c>
    </row>
    <row r="221" spans="2:4">
      <c r="D221" s="1" t="s">
        <v>1676</v>
      </c>
    </row>
    <row r="222" spans="2:4">
      <c r="B222" s="1" t="s">
        <v>1677</v>
      </c>
    </row>
    <row r="223" spans="2:4">
      <c r="C223" s="1" t="s">
        <v>1678</v>
      </c>
    </row>
    <row r="224" spans="2:4">
      <c r="D224" s="1" t="s">
        <v>1681</v>
      </c>
    </row>
    <row r="225" spans="1:27">
      <c r="D225" s="1" t="s">
        <v>1679</v>
      </c>
    </row>
    <row r="226" spans="1:27">
      <c r="E226" s="1" t="s">
        <v>1680</v>
      </c>
    </row>
    <row r="227" spans="1:27">
      <c r="B227" s="1" t="s">
        <v>1682</v>
      </c>
    </row>
    <row r="228" spans="1:27">
      <c r="C228" s="1" t="s">
        <v>1683</v>
      </c>
    </row>
    <row r="229" spans="1:27">
      <c r="D229" s="1" t="s">
        <v>1684</v>
      </c>
    </row>
    <row r="230" spans="1:27">
      <c r="C230" s="1" t="s">
        <v>1685</v>
      </c>
    </row>
    <row r="231" spans="1:27">
      <c r="D231" s="1" t="s">
        <v>1686</v>
      </c>
    </row>
    <row r="232" spans="1:27">
      <c r="D232" s="1" t="s">
        <v>1687</v>
      </c>
    </row>
    <row r="234" spans="1:27" ht="15">
      <c r="A234" s="2" t="s">
        <v>1688</v>
      </c>
    </row>
    <row r="235" spans="1:27">
      <c r="B235" s="1" t="s">
        <v>1689</v>
      </c>
    </row>
    <row r="236" spans="1:27" ht="14.25" customHeight="1">
      <c r="C236" s="81" t="s">
        <v>1690</v>
      </c>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74"/>
    </row>
    <row r="237" spans="1:27">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74"/>
    </row>
    <row r="238" spans="1:27">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74"/>
    </row>
    <row r="239" spans="1:27">
      <c r="C239" s="1" t="s">
        <v>1691</v>
      </c>
    </row>
    <row r="240" spans="1:27">
      <c r="B240" s="1" t="s">
        <v>1692</v>
      </c>
    </row>
    <row r="241" spans="2:4">
      <c r="C241" s="1" t="s">
        <v>1693</v>
      </c>
    </row>
    <row r="242" spans="2:4">
      <c r="D242" s="1" t="s">
        <v>1697</v>
      </c>
    </row>
    <row r="243" spans="2:4">
      <c r="D243" s="1" t="s">
        <v>1698</v>
      </c>
    </row>
    <row r="244" spans="2:4">
      <c r="C244" s="1" t="s">
        <v>1694</v>
      </c>
    </row>
    <row r="245" spans="2:4">
      <c r="C245" s="1" t="s">
        <v>1695</v>
      </c>
    </row>
    <row r="246" spans="2:4">
      <c r="C246" s="1" t="s">
        <v>1696</v>
      </c>
    </row>
    <row r="247" spans="2:4">
      <c r="B247" s="1" t="s">
        <v>1699</v>
      </c>
    </row>
    <row r="248" spans="2:4">
      <c r="C248" s="1" t="s">
        <v>1700</v>
      </c>
    </row>
    <row r="249" spans="2:4">
      <c r="B249" s="1" t="s">
        <v>1701</v>
      </c>
    </row>
    <row r="250" spans="2:4">
      <c r="C250" s="1" t="s">
        <v>1702</v>
      </c>
    </row>
    <row r="251" spans="2:4">
      <c r="D251" s="1" t="s">
        <v>1703</v>
      </c>
    </row>
    <row r="252" spans="2:4">
      <c r="C252" s="1" t="s">
        <v>1704</v>
      </c>
    </row>
    <row r="253" spans="2:4">
      <c r="B253" s="1" t="s">
        <v>1705</v>
      </c>
    </row>
    <row r="254" spans="2:4">
      <c r="C254" s="1" t="s">
        <v>1706</v>
      </c>
    </row>
    <row r="255" spans="2:4">
      <c r="C255" s="1" t="s">
        <v>1707</v>
      </c>
    </row>
    <row r="256" spans="2:4">
      <c r="D256" s="1" t="s">
        <v>1774</v>
      </c>
    </row>
    <row r="257" spans="1:5">
      <c r="D257" s="1" t="s">
        <v>1710</v>
      </c>
    </row>
    <row r="258" spans="1:5">
      <c r="E258" s="1" t="s">
        <v>1708</v>
      </c>
    </row>
    <row r="259" spans="1:5">
      <c r="D259" s="1" t="s">
        <v>1709</v>
      </c>
    </row>
    <row r="260" spans="1:5">
      <c r="C260" s="1" t="s">
        <v>1711</v>
      </c>
    </row>
    <row r="261" spans="1:5">
      <c r="D261" s="1" t="s">
        <v>1712</v>
      </c>
    </row>
    <row r="263" spans="1:5" ht="15">
      <c r="A263" s="2" t="s">
        <v>1713</v>
      </c>
    </row>
    <row r="264" spans="1:5">
      <c r="B264" s="1" t="s">
        <v>1714</v>
      </c>
    </row>
    <row r="265" spans="1:5">
      <c r="C265" s="1" t="s">
        <v>1715</v>
      </c>
    </row>
    <row r="266" spans="1:5">
      <c r="C266" s="1" t="s">
        <v>1716</v>
      </c>
    </row>
    <row r="267" spans="1:5">
      <c r="C267" s="1" t="s">
        <v>1717</v>
      </c>
    </row>
    <row r="268" spans="1:5">
      <c r="C268" s="1" t="s">
        <v>1718</v>
      </c>
    </row>
    <row r="269" spans="1:5">
      <c r="B269" s="1" t="s">
        <v>1719</v>
      </c>
    </row>
    <row r="270" spans="1:5">
      <c r="C270" s="1" t="s">
        <v>1720</v>
      </c>
    </row>
    <row r="271" spans="1:5">
      <c r="C271" s="1" t="s">
        <v>1721</v>
      </c>
    </row>
    <row r="273" spans="1:12" ht="15">
      <c r="A273" s="2" t="s">
        <v>1722</v>
      </c>
    </row>
    <row r="274" spans="1:12">
      <c r="B274" s="1" t="s">
        <v>1723</v>
      </c>
    </row>
    <row r="275" spans="1:12" ht="15">
      <c r="C275" s="1" t="s">
        <v>1740</v>
      </c>
    </row>
    <row r="276" spans="1:12">
      <c r="D276" s="1" t="s">
        <v>1724</v>
      </c>
    </row>
    <row r="277" spans="1:12" ht="15">
      <c r="D277" s="2" t="s">
        <v>1725</v>
      </c>
      <c r="L277" s="75" t="s">
        <v>1726</v>
      </c>
    </row>
    <row r="278" spans="1:12" ht="15">
      <c r="C278" s="1" t="s">
        <v>1741</v>
      </c>
    </row>
    <row r="279" spans="1:12">
      <c r="B279" s="1" t="s">
        <v>1727</v>
      </c>
    </row>
    <row r="280" spans="1:12">
      <c r="C280" s="1" t="s">
        <v>1728</v>
      </c>
    </row>
    <row r="281" spans="1:12">
      <c r="B281" s="1" t="s">
        <v>1733</v>
      </c>
    </row>
    <row r="282" spans="1:12">
      <c r="C282" s="1" t="s">
        <v>1734</v>
      </c>
    </row>
    <row r="283" spans="1:12">
      <c r="D283" s="1" t="s">
        <v>1775</v>
      </c>
    </row>
    <row r="284" spans="1:12">
      <c r="C284" s="1" t="s">
        <v>1735</v>
      </c>
    </row>
    <row r="285" spans="1:12">
      <c r="D285" s="1" t="s">
        <v>1776</v>
      </c>
    </row>
    <row r="287" spans="1:12" ht="15">
      <c r="A287" s="2" t="s">
        <v>1736</v>
      </c>
    </row>
    <row r="288" spans="1:12">
      <c r="B288" s="1" t="s">
        <v>1737</v>
      </c>
    </row>
    <row r="289" spans="1:4">
      <c r="C289" s="1" t="s">
        <v>1738</v>
      </c>
    </row>
    <row r="290" spans="1:4" ht="15">
      <c r="B290" s="1" t="s">
        <v>1739</v>
      </c>
    </row>
    <row r="291" spans="1:4">
      <c r="C291" s="1" t="s">
        <v>1742</v>
      </c>
    </row>
    <row r="292" spans="1:4">
      <c r="B292" s="1" t="s">
        <v>1743</v>
      </c>
    </row>
    <row r="293" spans="1:4">
      <c r="C293" s="1" t="s">
        <v>1744</v>
      </c>
    </row>
    <row r="294" spans="1:4">
      <c r="C294" s="1" t="s">
        <v>1745</v>
      </c>
    </row>
    <row r="295" spans="1:4">
      <c r="B295" s="1" t="s">
        <v>1746</v>
      </c>
    </row>
    <row r="296" spans="1:4">
      <c r="C296" s="1" t="s">
        <v>1747</v>
      </c>
    </row>
    <row r="297" spans="1:4">
      <c r="C297" s="1" t="s">
        <v>1748</v>
      </c>
    </row>
    <row r="298" spans="1:4">
      <c r="D298" s="1" t="s">
        <v>1749</v>
      </c>
    </row>
    <row r="299" spans="1:4">
      <c r="C299" s="1" t="s">
        <v>1750</v>
      </c>
    </row>
    <row r="301" spans="1:4" ht="15">
      <c r="A301" s="2" t="s">
        <v>1751</v>
      </c>
    </row>
    <row r="302" spans="1:4">
      <c r="B302" s="1" t="s">
        <v>1752</v>
      </c>
    </row>
    <row r="303" spans="1:4">
      <c r="C303" s="1" t="s">
        <v>1753</v>
      </c>
    </row>
    <row r="305" spans="1:2" ht="15">
      <c r="A305" s="2" t="s">
        <v>1754</v>
      </c>
    </row>
    <row r="306" spans="1:2" ht="15">
      <c r="B306" s="1" t="s">
        <v>1755</v>
      </c>
    </row>
    <row r="308" spans="1:2" ht="15">
      <c r="A308" s="2" t="s">
        <v>1756</v>
      </c>
    </row>
    <row r="309" spans="1:2">
      <c r="B309" s="1" t="s">
        <v>1757</v>
      </c>
    </row>
    <row r="310" spans="1:2">
      <c r="B310" s="1" t="s">
        <v>1758</v>
      </c>
    </row>
  </sheetData>
  <mergeCells count="1">
    <mergeCell ref="C236:Z238"/>
  </mergeCells>
  <hyperlinks>
    <hyperlink ref="Q16" r:id="rId1" xr:uid="{E44B94DF-FE8A-4931-93F9-24899DFED42C}"/>
    <hyperlink ref="Q17" r:id="rId2" xr:uid="{02ECFE4E-0865-458E-9F04-951EDF61DD89}"/>
    <hyperlink ref="Q20" r:id="rId3" xr:uid="{14375537-5C3D-4253-9650-337AB6789785}"/>
    <hyperlink ref="R15" r:id="rId4" xr:uid="{EA48C2BD-9D1C-401D-9463-E93A1221DD38}"/>
    <hyperlink ref="Q18" r:id="rId5" xr:uid="{AF9AAAA2-1C06-40D8-9AC8-4E247CC243EA}"/>
    <hyperlink ref="Q19" r:id="rId6" xr:uid="{DDD96F05-E919-4DC8-A937-5872B9313D39}"/>
    <hyperlink ref="J18" r:id="rId7" xr:uid="{A0B7F459-7E95-4E31-818F-2A403283E1E1}"/>
    <hyperlink ref="L277" r:id="rId8" xr:uid="{46569B4C-61D7-4F6D-897B-86E2E624B374}"/>
  </hyperlinks>
  <pageMargins left="0.7" right="0.7" top="0.75" bottom="0.75" header="0.3" footer="0.3"/>
  <pageSetup orientation="portrait" r:id="rId9"/>
  <ignoredErrors>
    <ignoredError sqref="D3" twoDigitTextYear="1"/>
  </ignoredErrors>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V87"/>
  <sheetViews>
    <sheetView zoomScale="85" zoomScaleNormal="85" workbookViewId="0">
      <pane xSplit="2" ySplit="3" topLeftCell="CB51" activePane="bottomRight" state="frozen"/>
      <selection pane="topRight" activeCell="C1" sqref="C1"/>
      <selection pane="bottomLeft" activeCell="A4" sqref="A4"/>
      <selection pane="bottomRight" activeCell="CZ61" sqref="CZ61"/>
    </sheetView>
  </sheetViews>
  <sheetFormatPr defaultColWidth="9.140625" defaultRowHeight="14.25"/>
  <cols>
    <col min="1" max="1" width="3.140625" style="1" customWidth="1"/>
    <col min="2" max="2" width="36.42578125" style="1" customWidth="1"/>
    <col min="3" max="63" width="9.140625" style="1"/>
    <col min="64" max="64" width="9.140625" style="1" customWidth="1"/>
    <col min="65" max="65" width="9.140625" style="1"/>
    <col min="66" max="70" width="9.140625" style="35"/>
    <col min="71" max="89" width="9.140625" style="1"/>
    <col min="90" max="97" width="9.140625" style="53"/>
    <col min="98" max="100" width="9" style="53" customWidth="1"/>
    <col min="101" max="149" width="9.140625" style="53"/>
    <col min="150" max="151" width="9.140625" style="54"/>
    <col min="152" max="16384" width="9.140625" style="1"/>
  </cols>
  <sheetData>
    <row r="1" spans="2:152" ht="15">
      <c r="B1" s="1" t="s">
        <v>112</v>
      </c>
      <c r="AQ1" s="33" t="s">
        <v>84</v>
      </c>
      <c r="AU1" s="33" t="s">
        <v>88</v>
      </c>
      <c r="AY1" s="33" t="s">
        <v>92</v>
      </c>
      <c r="BC1" s="33" t="s">
        <v>96</v>
      </c>
      <c r="BG1" s="33" t="s">
        <v>100</v>
      </c>
      <c r="BK1" s="33" t="s">
        <v>104</v>
      </c>
      <c r="BO1" s="34" t="s">
        <v>108</v>
      </c>
    </row>
    <row r="2" spans="2:152">
      <c r="B2" s="1" t="s">
        <v>113</v>
      </c>
    </row>
    <row r="3" spans="2:152" ht="15">
      <c r="B3" s="2" t="s">
        <v>114</v>
      </c>
      <c r="C3" s="33" t="s">
        <v>44</v>
      </c>
      <c r="D3" s="33" t="s">
        <v>45</v>
      </c>
      <c r="E3" s="33" t="s">
        <v>46</v>
      </c>
      <c r="F3" s="33" t="s">
        <v>47</v>
      </c>
      <c r="G3" s="33" t="s">
        <v>48</v>
      </c>
      <c r="H3" s="33" t="s">
        <v>49</v>
      </c>
      <c r="I3" s="33" t="s">
        <v>50</v>
      </c>
      <c r="J3" s="33" t="s">
        <v>51</v>
      </c>
      <c r="K3" s="33" t="s">
        <v>52</v>
      </c>
      <c r="L3" s="33" t="s">
        <v>53</v>
      </c>
      <c r="M3" s="33" t="s">
        <v>54</v>
      </c>
      <c r="N3" s="33" t="s">
        <v>55</v>
      </c>
      <c r="O3" s="33" t="s">
        <v>56</v>
      </c>
      <c r="P3" s="33" t="s">
        <v>57</v>
      </c>
      <c r="Q3" s="33" t="s">
        <v>58</v>
      </c>
      <c r="R3" s="33" t="s">
        <v>59</v>
      </c>
      <c r="S3" s="33" t="s">
        <v>60</v>
      </c>
      <c r="T3" s="33" t="s">
        <v>61</v>
      </c>
      <c r="U3" s="33" t="s">
        <v>62</v>
      </c>
      <c r="V3" s="33" t="s">
        <v>63</v>
      </c>
      <c r="W3" s="33" t="s">
        <v>64</v>
      </c>
      <c r="X3" s="33" t="s">
        <v>65</v>
      </c>
      <c r="Y3" s="33" t="s">
        <v>66</v>
      </c>
      <c r="Z3" s="33" t="s">
        <v>67</v>
      </c>
      <c r="AA3" s="33" t="s">
        <v>68</v>
      </c>
      <c r="AB3" s="33" t="s">
        <v>69</v>
      </c>
      <c r="AC3" s="33" t="s">
        <v>70</v>
      </c>
      <c r="AD3" s="33" t="s">
        <v>71</v>
      </c>
      <c r="AE3" s="33" t="s">
        <v>72</v>
      </c>
      <c r="AF3" s="33" t="s">
        <v>73</v>
      </c>
      <c r="AG3" s="33" t="s">
        <v>74</v>
      </c>
      <c r="AH3" s="33" t="s">
        <v>75</v>
      </c>
      <c r="AI3" s="33" t="s">
        <v>76</v>
      </c>
      <c r="AJ3" s="33" t="s">
        <v>77</v>
      </c>
      <c r="AK3" s="33" t="s">
        <v>78</v>
      </c>
      <c r="AL3" s="33" t="s">
        <v>79</v>
      </c>
      <c r="AM3" s="33" t="s">
        <v>80</v>
      </c>
      <c r="AN3" s="33" t="s">
        <v>81</v>
      </c>
      <c r="AO3" s="33" t="s">
        <v>82</v>
      </c>
      <c r="AP3" s="33" t="s">
        <v>83</v>
      </c>
      <c r="AQ3" s="33" t="s">
        <v>84</v>
      </c>
      <c r="AR3" s="33" t="s">
        <v>85</v>
      </c>
      <c r="AS3" s="33" t="s">
        <v>86</v>
      </c>
      <c r="AT3" s="33" t="s">
        <v>87</v>
      </c>
      <c r="AU3" s="33" t="s">
        <v>88</v>
      </c>
      <c r="AV3" s="33" t="s">
        <v>89</v>
      </c>
      <c r="AW3" s="33" t="s">
        <v>90</v>
      </c>
      <c r="AX3" s="33" t="s">
        <v>91</v>
      </c>
      <c r="AY3" s="33" t="s">
        <v>92</v>
      </c>
      <c r="AZ3" s="33" t="s">
        <v>93</v>
      </c>
      <c r="BA3" s="33" t="s">
        <v>94</v>
      </c>
      <c r="BB3" s="33" t="s">
        <v>95</v>
      </c>
      <c r="BC3" s="33" t="s">
        <v>96</v>
      </c>
      <c r="BD3" s="33" t="s">
        <v>97</v>
      </c>
      <c r="BE3" s="33" t="s">
        <v>98</v>
      </c>
      <c r="BF3" s="33" t="s">
        <v>99</v>
      </c>
      <c r="BG3" s="33" t="s">
        <v>100</v>
      </c>
      <c r="BH3" s="33" t="s">
        <v>101</v>
      </c>
      <c r="BI3" s="33" t="s">
        <v>102</v>
      </c>
      <c r="BJ3" s="33" t="s">
        <v>103</v>
      </c>
      <c r="BK3" s="33" t="s">
        <v>104</v>
      </c>
      <c r="BL3" s="2" t="s">
        <v>105</v>
      </c>
      <c r="BM3" s="2" t="s">
        <v>106</v>
      </c>
      <c r="BN3" s="34" t="s">
        <v>107</v>
      </c>
      <c r="BO3" s="34" t="s">
        <v>108</v>
      </c>
      <c r="BP3" s="34" t="s">
        <v>109</v>
      </c>
      <c r="BQ3" s="34" t="s">
        <v>110</v>
      </c>
      <c r="BR3" s="34" t="s">
        <v>111</v>
      </c>
      <c r="BW3" s="2">
        <v>2010</v>
      </c>
      <c r="BX3" s="2">
        <f t="shared" ref="BX3:EI3" si="0">BW3+1</f>
        <v>2011</v>
      </c>
      <c r="BY3" s="2">
        <f t="shared" si="0"/>
        <v>2012</v>
      </c>
      <c r="BZ3" s="2">
        <f t="shared" si="0"/>
        <v>2013</v>
      </c>
      <c r="CA3" s="2">
        <f t="shared" si="0"/>
        <v>2014</v>
      </c>
      <c r="CB3" s="2">
        <f t="shared" si="0"/>
        <v>2015</v>
      </c>
      <c r="CC3" s="2">
        <f t="shared" si="0"/>
        <v>2016</v>
      </c>
      <c r="CD3" s="2">
        <f t="shared" si="0"/>
        <v>2017</v>
      </c>
      <c r="CE3" s="2">
        <f t="shared" si="0"/>
        <v>2018</v>
      </c>
      <c r="CF3" s="2">
        <f t="shared" si="0"/>
        <v>2019</v>
      </c>
      <c r="CG3" s="2">
        <f t="shared" si="0"/>
        <v>2020</v>
      </c>
      <c r="CH3" s="2">
        <f t="shared" si="0"/>
        <v>2021</v>
      </c>
      <c r="CI3" s="2">
        <f t="shared" si="0"/>
        <v>2022</v>
      </c>
      <c r="CJ3" s="2">
        <f t="shared" si="0"/>
        <v>2023</v>
      </c>
      <c r="CK3" s="2">
        <f t="shared" si="0"/>
        <v>2024</v>
      </c>
      <c r="CL3" s="55">
        <f t="shared" si="0"/>
        <v>2025</v>
      </c>
      <c r="CM3" s="55">
        <f t="shared" si="0"/>
        <v>2026</v>
      </c>
      <c r="CN3" s="55">
        <f t="shared" si="0"/>
        <v>2027</v>
      </c>
      <c r="CO3" s="55">
        <f t="shared" si="0"/>
        <v>2028</v>
      </c>
      <c r="CP3" s="55">
        <f t="shared" si="0"/>
        <v>2029</v>
      </c>
      <c r="CQ3" s="55">
        <f t="shared" si="0"/>
        <v>2030</v>
      </c>
      <c r="CR3" s="55">
        <f t="shared" si="0"/>
        <v>2031</v>
      </c>
      <c r="CS3" s="55">
        <f t="shared" si="0"/>
        <v>2032</v>
      </c>
      <c r="CT3" s="55">
        <f t="shared" si="0"/>
        <v>2033</v>
      </c>
      <c r="CU3" s="55">
        <f t="shared" si="0"/>
        <v>2034</v>
      </c>
      <c r="CV3" s="55">
        <f t="shared" si="0"/>
        <v>2035</v>
      </c>
      <c r="CW3" s="55">
        <f t="shared" si="0"/>
        <v>2036</v>
      </c>
      <c r="CX3" s="55">
        <f t="shared" si="0"/>
        <v>2037</v>
      </c>
      <c r="CY3" s="55">
        <f t="shared" si="0"/>
        <v>2038</v>
      </c>
      <c r="CZ3" s="55">
        <f t="shared" si="0"/>
        <v>2039</v>
      </c>
      <c r="DA3" s="55">
        <f t="shared" si="0"/>
        <v>2040</v>
      </c>
      <c r="DB3" s="55">
        <f t="shared" si="0"/>
        <v>2041</v>
      </c>
      <c r="DC3" s="55">
        <f t="shared" si="0"/>
        <v>2042</v>
      </c>
      <c r="DD3" s="55">
        <f t="shared" si="0"/>
        <v>2043</v>
      </c>
      <c r="DE3" s="55">
        <f t="shared" si="0"/>
        <v>2044</v>
      </c>
      <c r="DF3" s="55">
        <f t="shared" si="0"/>
        <v>2045</v>
      </c>
      <c r="DG3" s="55">
        <f t="shared" si="0"/>
        <v>2046</v>
      </c>
      <c r="DH3" s="55">
        <f t="shared" si="0"/>
        <v>2047</v>
      </c>
      <c r="DI3" s="55">
        <f t="shared" si="0"/>
        <v>2048</v>
      </c>
      <c r="DJ3" s="55">
        <f t="shared" si="0"/>
        <v>2049</v>
      </c>
      <c r="DK3" s="55">
        <f t="shared" si="0"/>
        <v>2050</v>
      </c>
      <c r="DL3" s="55">
        <f t="shared" si="0"/>
        <v>2051</v>
      </c>
      <c r="DM3" s="55">
        <f t="shared" si="0"/>
        <v>2052</v>
      </c>
      <c r="DN3" s="55">
        <f t="shared" si="0"/>
        <v>2053</v>
      </c>
      <c r="DO3" s="55">
        <f t="shared" si="0"/>
        <v>2054</v>
      </c>
      <c r="DP3" s="55">
        <f t="shared" si="0"/>
        <v>2055</v>
      </c>
      <c r="DQ3" s="55">
        <f t="shared" si="0"/>
        <v>2056</v>
      </c>
      <c r="DR3" s="55">
        <f t="shared" si="0"/>
        <v>2057</v>
      </c>
      <c r="DS3" s="55">
        <f t="shared" si="0"/>
        <v>2058</v>
      </c>
      <c r="DT3" s="55">
        <f t="shared" si="0"/>
        <v>2059</v>
      </c>
      <c r="DU3" s="55">
        <f t="shared" si="0"/>
        <v>2060</v>
      </c>
      <c r="DV3" s="55">
        <f t="shared" si="0"/>
        <v>2061</v>
      </c>
      <c r="DW3" s="55">
        <f t="shared" si="0"/>
        <v>2062</v>
      </c>
      <c r="DX3" s="55">
        <f t="shared" si="0"/>
        <v>2063</v>
      </c>
      <c r="DY3" s="55">
        <f t="shared" si="0"/>
        <v>2064</v>
      </c>
      <c r="DZ3" s="55">
        <f t="shared" si="0"/>
        <v>2065</v>
      </c>
      <c r="EA3" s="55">
        <f t="shared" si="0"/>
        <v>2066</v>
      </c>
      <c r="EB3" s="55">
        <f t="shared" si="0"/>
        <v>2067</v>
      </c>
      <c r="EC3" s="55">
        <f t="shared" si="0"/>
        <v>2068</v>
      </c>
      <c r="ED3" s="55">
        <f t="shared" si="0"/>
        <v>2069</v>
      </c>
      <c r="EE3" s="55">
        <f t="shared" si="0"/>
        <v>2070</v>
      </c>
      <c r="EF3" s="55">
        <f t="shared" si="0"/>
        <v>2071</v>
      </c>
      <c r="EG3" s="55">
        <f t="shared" si="0"/>
        <v>2072</v>
      </c>
      <c r="EH3" s="55">
        <f t="shared" si="0"/>
        <v>2073</v>
      </c>
      <c r="EI3" s="55">
        <f t="shared" si="0"/>
        <v>2074</v>
      </c>
      <c r="EJ3" s="55">
        <f t="shared" ref="EJ3:ES3" si="1">EI3+1</f>
        <v>2075</v>
      </c>
      <c r="EK3" s="55">
        <f t="shared" si="1"/>
        <v>2076</v>
      </c>
      <c r="EL3" s="55">
        <f t="shared" si="1"/>
        <v>2077</v>
      </c>
      <c r="EM3" s="55">
        <f t="shared" si="1"/>
        <v>2078</v>
      </c>
      <c r="EN3" s="55">
        <f t="shared" si="1"/>
        <v>2079</v>
      </c>
      <c r="EO3" s="55">
        <f t="shared" si="1"/>
        <v>2080</v>
      </c>
      <c r="EP3" s="55">
        <f t="shared" si="1"/>
        <v>2081</v>
      </c>
      <c r="EQ3" s="55">
        <f t="shared" si="1"/>
        <v>2082</v>
      </c>
      <c r="ER3" s="55">
        <f t="shared" si="1"/>
        <v>2083</v>
      </c>
      <c r="ES3" s="55">
        <f t="shared" si="1"/>
        <v>2084</v>
      </c>
      <c r="ET3" s="56"/>
      <c r="EU3" s="56"/>
      <c r="EV3" s="2"/>
    </row>
    <row r="4" spans="2:152">
      <c r="B4" s="73" t="s">
        <v>1447</v>
      </c>
      <c r="AU4" s="1">
        <v>594</v>
      </c>
      <c r="AV4" s="1">
        <v>813</v>
      </c>
      <c r="AW4" s="1">
        <v>1108</v>
      </c>
      <c r="AX4" s="1">
        <f>3694-SUM(AU4:AW4)</f>
        <v>1179</v>
      </c>
      <c r="AY4" s="1">
        <v>1293</v>
      </c>
      <c r="AZ4" s="1">
        <v>1486</v>
      </c>
      <c r="BA4" s="1">
        <v>1609</v>
      </c>
      <c r="BB4" s="1">
        <f>6043-SUM(AY4:BA4)</f>
        <v>1655</v>
      </c>
      <c r="BC4" s="1">
        <v>1295</v>
      </c>
      <c r="BD4" s="1">
        <v>1321</v>
      </c>
      <c r="BE4" s="1">
        <v>1598</v>
      </c>
      <c r="BF4" s="1">
        <f>6496-SUM(BC4:BE4)</f>
        <v>2282</v>
      </c>
      <c r="BG4" s="1">
        <v>2337</v>
      </c>
      <c r="BH4" s="1">
        <v>2834</v>
      </c>
      <c r="BI4" s="1">
        <v>3549</v>
      </c>
      <c r="BJ4" s="1">
        <f>12579-SUM(BG4:BI4)</f>
        <v>3859</v>
      </c>
      <c r="BK4" s="1">
        <v>3674</v>
      </c>
      <c r="BL4" s="1">
        <v>3240</v>
      </c>
      <c r="BM4" s="1">
        <v>4341</v>
      </c>
      <c r="CH4" s="1">
        <f t="shared" ref="CH4:CH9" si="2">SUM(AU4:AX4)</f>
        <v>3694</v>
      </c>
      <c r="CI4" s="1">
        <f t="shared" ref="CI4:CI9" si="3">SUM(AY4:BB4)</f>
        <v>6043</v>
      </c>
      <c r="CJ4" s="1">
        <f t="shared" ref="CJ4:CJ9" si="4">SUM(BC4:BF4)</f>
        <v>6496</v>
      </c>
      <c r="CK4" s="1">
        <f t="shared" ref="CK4:CK9" si="5">SUM(BG4:BJ4)</f>
        <v>12579</v>
      </c>
      <c r="CL4" s="69">
        <f>CK4*(1+CL11)</f>
        <v>16855.86</v>
      </c>
      <c r="CM4" s="69">
        <f t="shared" ref="CM4:CU4" si="6">CL4*(1+CM11)</f>
        <v>20732.7078</v>
      </c>
      <c r="CN4" s="69">
        <f t="shared" si="6"/>
        <v>25293.903515999998</v>
      </c>
      <c r="CO4" s="69">
        <f t="shared" si="6"/>
        <v>30352.684219199997</v>
      </c>
      <c r="CP4" s="69">
        <f t="shared" si="6"/>
        <v>35512.640536463994</v>
      </c>
      <c r="CQ4" s="69">
        <f t="shared" si="6"/>
        <v>40484.41021156896</v>
      </c>
      <c r="CR4" s="69">
        <f t="shared" si="6"/>
        <v>45342.539436957239</v>
      </c>
      <c r="CS4" s="69">
        <f t="shared" si="6"/>
        <v>49876.793380652969</v>
      </c>
      <c r="CT4" s="69">
        <f t="shared" si="6"/>
        <v>53866.936851105209</v>
      </c>
      <c r="CU4" s="69">
        <f t="shared" si="6"/>
        <v>57098.953062171524</v>
      </c>
    </row>
    <row r="5" spans="2:152">
      <c r="B5" s="36" t="s">
        <v>1448</v>
      </c>
      <c r="AU5" s="1">
        <v>1645</v>
      </c>
      <c r="AV5" s="1">
        <v>1728</v>
      </c>
      <c r="AW5" s="1">
        <v>1692</v>
      </c>
      <c r="AX5" s="1">
        <f>6887-SUM(AU5:AW5)</f>
        <v>1822</v>
      </c>
      <c r="AY5" s="1">
        <v>2124</v>
      </c>
      <c r="AZ5" s="1">
        <v>2152</v>
      </c>
      <c r="BA5" s="1">
        <v>1022</v>
      </c>
      <c r="BB5" s="1">
        <f>6201-SUM(AY5:BA5)</f>
        <v>903</v>
      </c>
      <c r="BC5" s="1">
        <v>739</v>
      </c>
      <c r="BD5" s="1">
        <v>998</v>
      </c>
      <c r="BE5" s="1">
        <v>1453</v>
      </c>
      <c r="BF5" s="1">
        <f>4651-SUM(BC5:BE5)</f>
        <v>1461</v>
      </c>
      <c r="BG5" s="1">
        <v>1368</v>
      </c>
      <c r="BH5" s="1">
        <v>1492</v>
      </c>
      <c r="BI5" s="1">
        <v>1881</v>
      </c>
      <c r="BJ5" s="1">
        <f>7054-SUM(BG5:BI5)</f>
        <v>2313</v>
      </c>
      <c r="BK5" s="1">
        <v>2294</v>
      </c>
      <c r="BL5" s="1">
        <v>2499</v>
      </c>
      <c r="BM5" s="1">
        <v>2750</v>
      </c>
      <c r="CH5" s="1">
        <f t="shared" si="2"/>
        <v>6887</v>
      </c>
      <c r="CI5" s="1">
        <f t="shared" si="3"/>
        <v>6201</v>
      </c>
      <c r="CJ5" s="1">
        <f t="shared" si="4"/>
        <v>4651</v>
      </c>
      <c r="CK5" s="1">
        <f t="shared" si="5"/>
        <v>7054</v>
      </c>
      <c r="CL5" s="69">
        <f t="shared" ref="CL5:CU6" si="7">CK5*(1+CL12)</f>
        <v>11074.779999999999</v>
      </c>
      <c r="CM5" s="69">
        <f t="shared" si="7"/>
        <v>13954.222799999998</v>
      </c>
      <c r="CN5" s="69">
        <f t="shared" si="7"/>
        <v>17442.778499999997</v>
      </c>
      <c r="CO5" s="69">
        <f t="shared" si="7"/>
        <v>21629.045339999997</v>
      </c>
      <c r="CP5" s="69">
        <f t="shared" si="7"/>
        <v>26387.435314799997</v>
      </c>
      <c r="CQ5" s="69">
        <f t="shared" si="7"/>
        <v>31664.922377759995</v>
      </c>
      <c r="CR5" s="69">
        <f t="shared" si="7"/>
        <v>37364.608405756793</v>
      </c>
      <c r="CS5" s="69">
        <f t="shared" si="7"/>
        <v>42969.299666620311</v>
      </c>
      <c r="CT5" s="69">
        <f t="shared" si="7"/>
        <v>48125.615626614752</v>
      </c>
      <c r="CU5" s="69">
        <f t="shared" si="7"/>
        <v>52938.177189276234</v>
      </c>
    </row>
    <row r="6" spans="2:152">
      <c r="B6" s="36" t="s">
        <v>1449</v>
      </c>
      <c r="AU6" s="1">
        <v>1179</v>
      </c>
      <c r="AV6" s="1">
        <v>1255</v>
      </c>
      <c r="AW6" s="1">
        <v>1434</v>
      </c>
      <c r="AX6" s="1">
        <f>5607-SUM(AU6:AW6)</f>
        <v>1739</v>
      </c>
      <c r="AY6" s="1">
        <v>1875</v>
      </c>
      <c r="AZ6" s="1">
        <v>1655</v>
      </c>
      <c r="BA6" s="1">
        <v>1631</v>
      </c>
      <c r="BB6" s="1">
        <f>6805-SUM(AY6:BA6)</f>
        <v>1644</v>
      </c>
      <c r="BC6" s="1">
        <v>1757</v>
      </c>
      <c r="BD6" s="1">
        <v>1581</v>
      </c>
      <c r="BE6" s="1">
        <v>1506</v>
      </c>
      <c r="BF6" s="1">
        <f>6212-SUM(BC6:BE6)</f>
        <v>1368</v>
      </c>
      <c r="BG6" s="1">
        <v>922</v>
      </c>
      <c r="BH6" s="1">
        <v>648</v>
      </c>
      <c r="BI6" s="1">
        <v>462</v>
      </c>
      <c r="BJ6" s="1">
        <f>2595-SUM(BG6:BI6)</f>
        <v>563</v>
      </c>
      <c r="BK6" s="1">
        <v>647</v>
      </c>
      <c r="BL6" s="1">
        <v>1122</v>
      </c>
      <c r="BM6" s="1">
        <v>1298</v>
      </c>
      <c r="CH6" s="1">
        <f t="shared" si="2"/>
        <v>5607</v>
      </c>
      <c r="CI6" s="1">
        <f t="shared" si="3"/>
        <v>6805</v>
      </c>
      <c r="CJ6" s="1">
        <f t="shared" si="4"/>
        <v>6212</v>
      </c>
      <c r="CK6" s="1">
        <f t="shared" si="5"/>
        <v>2595</v>
      </c>
      <c r="CL6" s="69">
        <f t="shared" si="7"/>
        <v>3191.85</v>
      </c>
      <c r="CM6" s="69">
        <f t="shared" si="7"/>
        <v>3766.3829999999998</v>
      </c>
      <c r="CN6" s="69">
        <f t="shared" si="7"/>
        <v>4369.0042799999992</v>
      </c>
      <c r="CO6" s="69">
        <f t="shared" si="7"/>
        <v>5024.3549219999986</v>
      </c>
      <c r="CP6" s="69">
        <f t="shared" si="7"/>
        <v>5727.7646110799988</v>
      </c>
      <c r="CQ6" s="69">
        <f t="shared" si="7"/>
        <v>6472.3740105203979</v>
      </c>
      <c r="CR6" s="69">
        <f t="shared" si="7"/>
        <v>7249.0588917828463</v>
      </c>
      <c r="CS6" s="69">
        <f t="shared" si="7"/>
        <v>7828.9836031254745</v>
      </c>
      <c r="CT6" s="69">
        <f t="shared" si="7"/>
        <v>8298.7226193130027</v>
      </c>
      <c r="CU6" s="69">
        <f t="shared" si="7"/>
        <v>8630.6715240855228</v>
      </c>
    </row>
    <row r="7" spans="2:152" s="2" customFormat="1" ht="15">
      <c r="B7" s="33" t="s">
        <v>1450</v>
      </c>
      <c r="AU7" s="2">
        <f t="shared" ref="AU7:BK7" si="8">SUM(AU5:AU6)</f>
        <v>2824</v>
      </c>
      <c r="AV7" s="2">
        <f t="shared" si="8"/>
        <v>2983</v>
      </c>
      <c r="AW7" s="2">
        <f t="shared" si="8"/>
        <v>3126</v>
      </c>
      <c r="AX7" s="2">
        <f t="shared" si="8"/>
        <v>3561</v>
      </c>
      <c r="AY7" s="2">
        <f t="shared" si="8"/>
        <v>3999</v>
      </c>
      <c r="AZ7" s="2">
        <f t="shared" si="8"/>
        <v>3807</v>
      </c>
      <c r="BA7" s="2">
        <f t="shared" si="8"/>
        <v>2653</v>
      </c>
      <c r="BB7" s="2">
        <f t="shared" si="8"/>
        <v>2547</v>
      </c>
      <c r="BC7" s="2">
        <f t="shared" si="8"/>
        <v>2496</v>
      </c>
      <c r="BD7" s="2">
        <f t="shared" si="8"/>
        <v>2579</v>
      </c>
      <c r="BE7" s="2">
        <f t="shared" si="8"/>
        <v>2959</v>
      </c>
      <c r="BF7" s="2">
        <f t="shared" si="8"/>
        <v>2829</v>
      </c>
      <c r="BG7" s="2">
        <f t="shared" si="8"/>
        <v>2290</v>
      </c>
      <c r="BH7" s="2">
        <f t="shared" si="8"/>
        <v>2140</v>
      </c>
      <c r="BI7" s="2">
        <f t="shared" si="8"/>
        <v>2343</v>
      </c>
      <c r="BJ7" s="2">
        <f t="shared" si="8"/>
        <v>2876</v>
      </c>
      <c r="BK7" s="2">
        <f t="shared" si="8"/>
        <v>2941</v>
      </c>
      <c r="BL7" s="2">
        <f>SUM(BL5:BL6)</f>
        <v>3621</v>
      </c>
      <c r="BM7" s="2">
        <f>SUM(BM5:BM6)</f>
        <v>4048</v>
      </c>
      <c r="BN7" s="34"/>
      <c r="BO7" s="34"/>
      <c r="BP7" s="34"/>
      <c r="BQ7" s="34"/>
      <c r="BR7" s="34"/>
      <c r="CH7" s="2">
        <f t="shared" si="2"/>
        <v>12494</v>
      </c>
      <c r="CI7" s="2">
        <f t="shared" si="3"/>
        <v>13006</v>
      </c>
      <c r="CJ7" s="2">
        <f t="shared" si="4"/>
        <v>10863</v>
      </c>
      <c r="CK7" s="2">
        <f t="shared" si="5"/>
        <v>9649</v>
      </c>
      <c r="CL7" s="70">
        <f>SUM(CL5:CL6)</f>
        <v>14266.63</v>
      </c>
      <c r="CM7" s="70">
        <f t="shared" ref="CM7:CU7" si="9">SUM(CM5:CM6)</f>
        <v>17720.605799999998</v>
      </c>
      <c r="CN7" s="70">
        <f t="shared" si="9"/>
        <v>21811.782779999994</v>
      </c>
      <c r="CO7" s="70">
        <f t="shared" si="9"/>
        <v>26653.400261999996</v>
      </c>
      <c r="CP7" s="70">
        <f t="shared" si="9"/>
        <v>32115.199925879995</v>
      </c>
      <c r="CQ7" s="70">
        <f t="shared" si="9"/>
        <v>38137.296388280389</v>
      </c>
      <c r="CR7" s="70">
        <f t="shared" si="9"/>
        <v>44613.667297539636</v>
      </c>
      <c r="CS7" s="70">
        <f t="shared" si="9"/>
        <v>50798.283269745785</v>
      </c>
      <c r="CT7" s="70">
        <f t="shared" si="9"/>
        <v>56424.338245927756</v>
      </c>
      <c r="CU7" s="70">
        <f t="shared" si="9"/>
        <v>61568.84871336176</v>
      </c>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6"/>
      <c r="EU7" s="56"/>
    </row>
    <row r="8" spans="2:152">
      <c r="B8" s="73" t="s">
        <v>1451</v>
      </c>
      <c r="AU8" s="1">
        <v>27</v>
      </c>
      <c r="AV8" s="1">
        <v>54</v>
      </c>
      <c r="AW8" s="1">
        <v>79</v>
      </c>
      <c r="AX8" s="1">
        <f>246-SUM(AU8:AW8)</f>
        <v>86</v>
      </c>
      <c r="AY8" s="1">
        <v>595</v>
      </c>
      <c r="AZ8" s="1">
        <v>1257</v>
      </c>
      <c r="BA8" s="1">
        <v>1303</v>
      </c>
      <c r="BB8" s="1">
        <f>4552-SUM(AY8:BA8)</f>
        <v>1397</v>
      </c>
      <c r="BC8" s="1">
        <v>1562</v>
      </c>
      <c r="BD8" s="1">
        <v>1459</v>
      </c>
      <c r="BE8" s="1">
        <v>1243</v>
      </c>
      <c r="BF8" s="1">
        <f>5321-SUM(BC8:BE8)</f>
        <v>1057</v>
      </c>
      <c r="BG8" s="1">
        <v>846</v>
      </c>
      <c r="BH8" s="1">
        <v>861</v>
      </c>
      <c r="BI8" s="1">
        <v>927</v>
      </c>
      <c r="BJ8" s="1">
        <f>3557-SUM(BG8:BI8)</f>
        <v>923</v>
      </c>
      <c r="BK8" s="1">
        <v>823</v>
      </c>
      <c r="BL8" s="1">
        <v>824</v>
      </c>
      <c r="BM8" s="1">
        <v>857</v>
      </c>
      <c r="CH8" s="1">
        <f t="shared" si="2"/>
        <v>246</v>
      </c>
      <c r="CI8" s="1">
        <f t="shared" si="3"/>
        <v>4552</v>
      </c>
      <c r="CJ8" s="1">
        <f t="shared" si="4"/>
        <v>5321</v>
      </c>
      <c r="CK8" s="1">
        <f t="shared" si="5"/>
        <v>3557</v>
      </c>
      <c r="CL8" s="69">
        <f>CK8*(1+CL14)</f>
        <v>3379.1499999999996</v>
      </c>
      <c r="CM8" s="69">
        <f t="shared" ref="CM8:CU8" si="10">CL8*(1+CM14)</f>
        <v>3446.7329999999997</v>
      </c>
      <c r="CN8" s="69">
        <f t="shared" si="10"/>
        <v>3515.6676599999996</v>
      </c>
      <c r="CO8" s="69">
        <f t="shared" si="10"/>
        <v>3585.9810131999998</v>
      </c>
      <c r="CP8" s="69">
        <f t="shared" si="10"/>
        <v>3657.700633464</v>
      </c>
      <c r="CQ8" s="69">
        <f t="shared" si="10"/>
        <v>3730.8546461332803</v>
      </c>
      <c r="CR8" s="69">
        <f t="shared" si="10"/>
        <v>3805.4717390559458</v>
      </c>
      <c r="CS8" s="69">
        <f t="shared" si="10"/>
        <v>3881.5811738370649</v>
      </c>
      <c r="CT8" s="69">
        <f t="shared" si="10"/>
        <v>3959.2127973138063</v>
      </c>
      <c r="CU8" s="69">
        <f t="shared" si="10"/>
        <v>4038.3970532600824</v>
      </c>
    </row>
    <row r="9" spans="2:152" s="2" customFormat="1" ht="15">
      <c r="B9" s="33" t="s">
        <v>115</v>
      </c>
      <c r="AU9" s="2">
        <f t="shared" ref="AU9:BK9" si="11">SUM(AU4:AU6)+AU8</f>
        <v>3445</v>
      </c>
      <c r="AV9" s="2">
        <f t="shared" si="11"/>
        <v>3850</v>
      </c>
      <c r="AW9" s="2">
        <f t="shared" si="11"/>
        <v>4313</v>
      </c>
      <c r="AX9" s="2">
        <f t="shared" si="11"/>
        <v>4826</v>
      </c>
      <c r="AY9" s="2">
        <f t="shared" si="11"/>
        <v>5887</v>
      </c>
      <c r="AZ9" s="2">
        <f t="shared" si="11"/>
        <v>6550</v>
      </c>
      <c r="BA9" s="2">
        <f t="shared" si="11"/>
        <v>5565</v>
      </c>
      <c r="BB9" s="2">
        <f t="shared" si="11"/>
        <v>5599</v>
      </c>
      <c r="BC9" s="2">
        <f t="shared" si="11"/>
        <v>5353</v>
      </c>
      <c r="BD9" s="2">
        <f t="shared" si="11"/>
        <v>5359</v>
      </c>
      <c r="BE9" s="2">
        <f t="shared" si="11"/>
        <v>5800</v>
      </c>
      <c r="BF9" s="2">
        <f t="shared" si="11"/>
        <v>6168</v>
      </c>
      <c r="BG9" s="2">
        <f t="shared" si="11"/>
        <v>5473</v>
      </c>
      <c r="BH9" s="2">
        <f t="shared" si="11"/>
        <v>5835</v>
      </c>
      <c r="BI9" s="2">
        <f t="shared" si="11"/>
        <v>6819</v>
      </c>
      <c r="BJ9" s="2">
        <f t="shared" si="11"/>
        <v>7658</v>
      </c>
      <c r="BK9" s="2">
        <f t="shared" si="11"/>
        <v>7438</v>
      </c>
      <c r="BL9" s="2">
        <f>SUM(BL4:BL6)+BL8</f>
        <v>7685</v>
      </c>
      <c r="BM9" s="2">
        <f>SUM(BM4:BM6)+BM8</f>
        <v>9246</v>
      </c>
      <c r="BN9" s="34"/>
      <c r="BO9" s="34"/>
      <c r="BP9" s="34"/>
      <c r="BQ9" s="34"/>
      <c r="BR9" s="34"/>
      <c r="CH9" s="2">
        <f t="shared" si="2"/>
        <v>16434</v>
      </c>
      <c r="CI9" s="2">
        <f t="shared" si="3"/>
        <v>23601</v>
      </c>
      <c r="CJ9" s="2">
        <f t="shared" si="4"/>
        <v>22680</v>
      </c>
      <c r="CK9" s="2">
        <f t="shared" si="5"/>
        <v>25785</v>
      </c>
      <c r="CL9" s="70">
        <f>CL4+CL7+CL8</f>
        <v>34501.64</v>
      </c>
      <c r="CM9" s="70">
        <f t="shared" ref="CM9:CU9" si="12">CM4+CM7+CM8</f>
        <v>41900.046599999994</v>
      </c>
      <c r="CN9" s="70">
        <f t="shared" si="12"/>
        <v>50621.353955999992</v>
      </c>
      <c r="CO9" s="70">
        <f t="shared" si="12"/>
        <v>60592.065494399991</v>
      </c>
      <c r="CP9" s="70">
        <f t="shared" si="12"/>
        <v>71285.541095807988</v>
      </c>
      <c r="CQ9" s="70">
        <f t="shared" si="12"/>
        <v>82352.561245982622</v>
      </c>
      <c r="CR9" s="70">
        <f t="shared" si="12"/>
        <v>93761.67847355282</v>
      </c>
      <c r="CS9" s="70">
        <f t="shared" si="12"/>
        <v>104556.65782423582</v>
      </c>
      <c r="CT9" s="70">
        <f t="shared" si="12"/>
        <v>114250.48789434678</v>
      </c>
      <c r="CU9" s="70">
        <f t="shared" si="12"/>
        <v>122706.19882879336</v>
      </c>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6"/>
      <c r="EU9" s="56"/>
    </row>
    <row r="10" spans="2:152">
      <c r="B10" s="36"/>
    </row>
    <row r="11" spans="2:152">
      <c r="B11" s="37" t="s">
        <v>1488</v>
      </c>
      <c r="AU11" s="46"/>
      <c r="AV11" s="46"/>
      <c r="AW11" s="46"/>
      <c r="AX11" s="46"/>
      <c r="AY11" s="46">
        <f t="shared" ref="AY11:BK13" si="13">AY4/AU4-1</f>
        <v>1.1767676767676769</v>
      </c>
      <c r="AZ11" s="46">
        <f t="shared" si="13"/>
        <v>0.82779827798277972</v>
      </c>
      <c r="BA11" s="46">
        <f t="shared" si="13"/>
        <v>0.45216606498194944</v>
      </c>
      <c r="BB11" s="46">
        <f t="shared" si="13"/>
        <v>0.40373197625106028</v>
      </c>
      <c r="BC11" s="46">
        <f t="shared" si="13"/>
        <v>1.5467904098993568E-3</v>
      </c>
      <c r="BD11" s="46">
        <f t="shared" si="13"/>
        <v>-0.11103633916554512</v>
      </c>
      <c r="BE11" s="46">
        <f t="shared" si="13"/>
        <v>-6.836544437538894E-3</v>
      </c>
      <c r="BF11" s="46">
        <f t="shared" si="13"/>
        <v>0.37885196374622354</v>
      </c>
      <c r="BG11" s="46">
        <f t="shared" si="13"/>
        <v>0.80463320463320454</v>
      </c>
      <c r="BH11" s="46">
        <f t="shared" si="13"/>
        <v>1.1453444360333083</v>
      </c>
      <c r="BI11" s="46">
        <f t="shared" si="13"/>
        <v>1.2209011264080099</v>
      </c>
      <c r="BJ11" s="46">
        <f t="shared" si="13"/>
        <v>0.69106047326906217</v>
      </c>
      <c r="BK11" s="46">
        <f t="shared" si="13"/>
        <v>0.57210098416773647</v>
      </c>
      <c r="BL11" s="46">
        <f t="shared" ref="BL11:BM13" si="14">BL4/BH4-1</f>
        <v>0.14326040931545525</v>
      </c>
      <c r="BM11" s="46">
        <f t="shared" si="14"/>
        <v>0.22316145393068476</v>
      </c>
      <c r="BW11" s="46"/>
      <c r="BX11" s="46"/>
      <c r="BY11" s="46"/>
      <c r="BZ11" s="46"/>
      <c r="CA11" s="46"/>
      <c r="CB11" s="46"/>
      <c r="CC11" s="46"/>
      <c r="CD11" s="46"/>
      <c r="CE11" s="46"/>
      <c r="CF11" s="46"/>
      <c r="CG11" s="46"/>
      <c r="CH11" s="46"/>
      <c r="CI11" s="46">
        <f t="shared" ref="CI11:CJ15" si="15">CI4/CH4-1</f>
        <v>0.63589604764482943</v>
      </c>
      <c r="CJ11" s="46">
        <f t="shared" si="15"/>
        <v>7.4962766837663342E-2</v>
      </c>
      <c r="CK11" s="46">
        <f>CK4/CJ4-1</f>
        <v>0.93642241379310343</v>
      </c>
      <c r="CL11" s="71">
        <v>0.34</v>
      </c>
      <c r="CM11" s="71">
        <v>0.23</v>
      </c>
      <c r="CN11" s="71">
        <v>0.22</v>
      </c>
      <c r="CO11" s="71">
        <v>0.2</v>
      </c>
      <c r="CP11" s="71">
        <v>0.17</v>
      </c>
      <c r="CQ11" s="71">
        <v>0.14000000000000001</v>
      </c>
      <c r="CR11" s="71">
        <v>0.12</v>
      </c>
      <c r="CS11" s="71">
        <v>0.1</v>
      </c>
      <c r="CT11" s="71">
        <v>0.08</v>
      </c>
      <c r="CU11" s="71">
        <v>0.06</v>
      </c>
    </row>
    <row r="12" spans="2:152">
      <c r="B12" s="37" t="s">
        <v>1489</v>
      </c>
      <c r="AU12" s="46"/>
      <c r="AV12" s="46"/>
      <c r="AW12" s="46"/>
      <c r="AX12" s="46"/>
      <c r="AY12" s="46">
        <f t="shared" si="13"/>
        <v>0.29118541033434653</v>
      </c>
      <c r="AZ12" s="46">
        <f t="shared" si="13"/>
        <v>0.24537037037037046</v>
      </c>
      <c r="BA12" s="46">
        <f t="shared" si="13"/>
        <v>-0.39598108747044913</v>
      </c>
      <c r="BB12" s="46">
        <f t="shared" si="13"/>
        <v>-0.50439077936333698</v>
      </c>
      <c r="BC12" s="46">
        <f t="shared" si="13"/>
        <v>-0.65207156308851222</v>
      </c>
      <c r="BD12" s="46">
        <f t="shared" si="13"/>
        <v>-0.53624535315985122</v>
      </c>
      <c r="BE12" s="46">
        <f t="shared" si="13"/>
        <v>0.42172211350293543</v>
      </c>
      <c r="BF12" s="46">
        <f t="shared" si="13"/>
        <v>0.61794019933554822</v>
      </c>
      <c r="BG12" s="46">
        <f t="shared" si="13"/>
        <v>0.85115020297699595</v>
      </c>
      <c r="BH12" s="46">
        <f t="shared" si="13"/>
        <v>0.49498997995991978</v>
      </c>
      <c r="BI12" s="46">
        <f t="shared" si="13"/>
        <v>0.29456297315898139</v>
      </c>
      <c r="BJ12" s="46">
        <f t="shared" si="13"/>
        <v>0.58316221765913756</v>
      </c>
      <c r="BK12" s="46">
        <f t="shared" si="13"/>
        <v>0.67690058479532156</v>
      </c>
      <c r="BL12" s="46">
        <f t="shared" si="14"/>
        <v>0.67493297587131362</v>
      </c>
      <c r="BM12" s="46">
        <f t="shared" si="14"/>
        <v>0.46198830409356728</v>
      </c>
      <c r="BW12" s="46"/>
      <c r="BX12" s="46"/>
      <c r="BY12" s="46"/>
      <c r="BZ12" s="46"/>
      <c r="CA12" s="46"/>
      <c r="CB12" s="46"/>
      <c r="CC12" s="46"/>
      <c r="CD12" s="46"/>
      <c r="CE12" s="46"/>
      <c r="CF12" s="46"/>
      <c r="CG12" s="46"/>
      <c r="CH12" s="46"/>
      <c r="CI12" s="46">
        <f t="shared" si="15"/>
        <v>-9.9607957020473314E-2</v>
      </c>
      <c r="CJ12" s="46">
        <f t="shared" si="15"/>
        <v>-0.24995968392194812</v>
      </c>
      <c r="CK12" s="46">
        <f>CK5/CJ5-1</f>
        <v>0.51666308320791221</v>
      </c>
      <c r="CL12" s="71">
        <v>0.56999999999999995</v>
      </c>
      <c r="CM12" s="71">
        <v>0.26</v>
      </c>
      <c r="CN12" s="71">
        <v>0.25</v>
      </c>
      <c r="CO12" s="71">
        <v>0.24</v>
      </c>
      <c r="CP12" s="71">
        <v>0.22</v>
      </c>
      <c r="CQ12" s="71">
        <v>0.2</v>
      </c>
      <c r="CR12" s="71">
        <v>0.18</v>
      </c>
      <c r="CS12" s="71">
        <v>0.15</v>
      </c>
      <c r="CT12" s="71">
        <v>0.12</v>
      </c>
      <c r="CU12" s="71">
        <v>0.1</v>
      </c>
    </row>
    <row r="13" spans="2:152">
      <c r="B13" s="37" t="s">
        <v>1490</v>
      </c>
      <c r="AU13" s="46"/>
      <c r="AV13" s="46"/>
      <c r="AW13" s="46"/>
      <c r="AX13" s="46"/>
      <c r="AY13" s="46">
        <f t="shared" si="13"/>
        <v>0.59033078880407119</v>
      </c>
      <c r="AZ13" s="46">
        <f t="shared" si="13"/>
        <v>0.31872509960159356</v>
      </c>
      <c r="BA13" s="46">
        <f t="shared" si="13"/>
        <v>0.13737796373779632</v>
      </c>
      <c r="BB13" s="46">
        <f t="shared" si="13"/>
        <v>-5.4629097182288699E-2</v>
      </c>
      <c r="BC13" s="46">
        <f t="shared" si="13"/>
        <v>-6.2933333333333286E-2</v>
      </c>
      <c r="BD13" s="46">
        <f t="shared" si="13"/>
        <v>-4.4712990936555896E-2</v>
      </c>
      <c r="BE13" s="46">
        <f t="shared" si="13"/>
        <v>-7.6640098099325593E-2</v>
      </c>
      <c r="BF13" s="46">
        <f t="shared" si="13"/>
        <v>-0.16788321167883213</v>
      </c>
      <c r="BG13" s="46">
        <f t="shared" si="13"/>
        <v>-0.47524188958451907</v>
      </c>
      <c r="BH13" s="46">
        <f t="shared" si="13"/>
        <v>-0.59013282732447814</v>
      </c>
      <c r="BI13" s="46">
        <f t="shared" si="13"/>
        <v>-0.69322709163346619</v>
      </c>
      <c r="BJ13" s="46">
        <f t="shared" si="13"/>
        <v>-0.58845029239766089</v>
      </c>
      <c r="BK13" s="46">
        <f t="shared" si="13"/>
        <v>-0.29826464208242953</v>
      </c>
      <c r="BL13" s="46">
        <f t="shared" si="14"/>
        <v>0.7314814814814814</v>
      </c>
      <c r="BM13" s="46">
        <f t="shared" si="14"/>
        <v>1.8095238095238093</v>
      </c>
      <c r="BW13" s="46"/>
      <c r="BX13" s="46"/>
      <c r="BY13" s="46"/>
      <c r="BZ13" s="46"/>
      <c r="CA13" s="46"/>
      <c r="CB13" s="46"/>
      <c r="CC13" s="46"/>
      <c r="CD13" s="46"/>
      <c r="CE13" s="46"/>
      <c r="CF13" s="46"/>
      <c r="CG13" s="46"/>
      <c r="CH13" s="46"/>
      <c r="CI13" s="46">
        <f t="shared" si="15"/>
        <v>0.21366149456037098</v>
      </c>
      <c r="CJ13" s="46">
        <f t="shared" si="15"/>
        <v>-8.7141807494489298E-2</v>
      </c>
      <c r="CK13" s="46">
        <f>CK6/CJ6-1</f>
        <v>-0.58226014166130069</v>
      </c>
      <c r="CL13" s="71">
        <v>0.23</v>
      </c>
      <c r="CM13" s="71">
        <v>0.18</v>
      </c>
      <c r="CN13" s="71">
        <v>0.16</v>
      </c>
      <c r="CO13" s="71">
        <v>0.15</v>
      </c>
      <c r="CP13" s="71">
        <v>0.14000000000000001</v>
      </c>
      <c r="CQ13" s="71">
        <v>0.13</v>
      </c>
      <c r="CR13" s="71">
        <v>0.12</v>
      </c>
      <c r="CS13" s="71">
        <v>0.08</v>
      </c>
      <c r="CT13" s="71">
        <v>0.06</v>
      </c>
      <c r="CU13" s="71">
        <v>0.04</v>
      </c>
    </row>
    <row r="14" spans="2:152">
      <c r="B14" s="37" t="s">
        <v>1491</v>
      </c>
      <c r="AU14" s="46"/>
      <c r="AV14" s="46"/>
      <c r="AW14" s="46"/>
      <c r="AX14" s="46"/>
      <c r="AY14" s="46">
        <f t="shared" ref="AY14:BK15" si="16">AY8/AU8-1</f>
        <v>21.037037037037038</v>
      </c>
      <c r="AZ14" s="46">
        <f t="shared" si="16"/>
        <v>22.277777777777779</v>
      </c>
      <c r="BA14" s="46">
        <f t="shared" si="16"/>
        <v>15.49367088607595</v>
      </c>
      <c r="BB14" s="46">
        <f t="shared" si="16"/>
        <v>15.244186046511629</v>
      </c>
      <c r="BC14" s="46">
        <f t="shared" si="16"/>
        <v>1.6252100840336134</v>
      </c>
      <c r="BD14" s="46">
        <f t="shared" si="16"/>
        <v>0.16070007955449483</v>
      </c>
      <c r="BE14" s="46">
        <f t="shared" si="16"/>
        <v>-4.6047582501918649E-2</v>
      </c>
      <c r="BF14" s="46">
        <f t="shared" si="16"/>
        <v>-0.24337866857551893</v>
      </c>
      <c r="BG14" s="46">
        <f t="shared" si="16"/>
        <v>-0.45838668373879643</v>
      </c>
      <c r="BH14" s="46">
        <f t="shared" si="16"/>
        <v>-0.4098697738176833</v>
      </c>
      <c r="BI14" s="46">
        <f t="shared" si="16"/>
        <v>-0.2542236524537409</v>
      </c>
      <c r="BJ14" s="46">
        <f t="shared" si="16"/>
        <v>-0.12677388836329229</v>
      </c>
      <c r="BK14" s="46">
        <f t="shared" si="16"/>
        <v>-2.7186761229314405E-2</v>
      </c>
      <c r="BL14" s="46">
        <f>BL8/BH8-1</f>
        <v>-4.297328687572588E-2</v>
      </c>
      <c r="BM14" s="46">
        <f>BM8/BI8-1</f>
        <v>-7.5512405609493016E-2</v>
      </c>
      <c r="BW14" s="46"/>
      <c r="BX14" s="46"/>
      <c r="BY14" s="46"/>
      <c r="BZ14" s="46"/>
      <c r="CA14" s="46"/>
      <c r="CB14" s="46"/>
      <c r="CC14" s="46"/>
      <c r="CD14" s="46"/>
      <c r="CE14" s="46"/>
      <c r="CF14" s="46"/>
      <c r="CG14" s="46"/>
      <c r="CH14" s="46"/>
      <c r="CI14" s="46">
        <f t="shared" si="15"/>
        <v>4.0979670241716004E-2</v>
      </c>
      <c r="CJ14" s="46">
        <f t="shared" si="15"/>
        <v>-0.16477010610487464</v>
      </c>
      <c r="CK14" s="46">
        <f>CK7/CJ7-1</f>
        <v>-0.11175550032219461</v>
      </c>
      <c r="CL14" s="71">
        <v>-0.05</v>
      </c>
      <c r="CM14" s="71">
        <v>0.02</v>
      </c>
      <c r="CN14" s="71">
        <v>0.02</v>
      </c>
      <c r="CO14" s="71">
        <v>0.02</v>
      </c>
      <c r="CP14" s="71">
        <v>0.02</v>
      </c>
      <c r="CQ14" s="71">
        <v>0.02</v>
      </c>
      <c r="CR14" s="71">
        <v>0.02</v>
      </c>
      <c r="CS14" s="71">
        <v>0.02</v>
      </c>
      <c r="CT14" s="71">
        <v>0.02</v>
      </c>
      <c r="CU14" s="71">
        <v>0.02</v>
      </c>
    </row>
    <row r="15" spans="2:152" s="2" customFormat="1" ht="15">
      <c r="B15" s="33" t="s">
        <v>1494</v>
      </c>
      <c r="AU15" s="52"/>
      <c r="AV15" s="52"/>
      <c r="AW15" s="52"/>
      <c r="AX15" s="52"/>
      <c r="AY15" s="52">
        <f t="shared" si="16"/>
        <v>0.70885341074020314</v>
      </c>
      <c r="AZ15" s="52">
        <f t="shared" si="16"/>
        <v>0.70129870129870131</v>
      </c>
      <c r="BA15" s="52">
        <f t="shared" si="16"/>
        <v>0.29028518432645489</v>
      </c>
      <c r="BB15" s="52">
        <f t="shared" si="16"/>
        <v>0.16017405719021971</v>
      </c>
      <c r="BC15" s="52">
        <f t="shared" si="16"/>
        <v>-9.0708340411075228E-2</v>
      </c>
      <c r="BD15" s="52">
        <f t="shared" si="16"/>
        <v>-0.18183206106870231</v>
      </c>
      <c r="BE15" s="52">
        <f t="shared" si="16"/>
        <v>4.2228212039532753E-2</v>
      </c>
      <c r="BF15" s="52">
        <f t="shared" si="16"/>
        <v>0.10162529023039824</v>
      </c>
      <c r="BG15" s="52">
        <f t="shared" si="16"/>
        <v>2.2417336073230043E-2</v>
      </c>
      <c r="BH15" s="52">
        <f t="shared" si="16"/>
        <v>8.882254151894009E-2</v>
      </c>
      <c r="BI15" s="52">
        <f t="shared" si="16"/>
        <v>0.17568965517241386</v>
      </c>
      <c r="BJ15" s="52">
        <f t="shared" si="16"/>
        <v>0.24156939040207526</v>
      </c>
      <c r="BK15" s="52">
        <f t="shared" si="16"/>
        <v>0.35903526402338759</v>
      </c>
      <c r="BL15" s="52">
        <f>BL9/BH9-1</f>
        <v>0.31705227077977716</v>
      </c>
      <c r="BM15" s="52">
        <f>BM9/BI9-1</f>
        <v>0.35591728992520899</v>
      </c>
      <c r="BN15" s="34"/>
      <c r="BO15" s="34"/>
      <c r="BP15" s="34"/>
      <c r="BQ15" s="34"/>
      <c r="BR15" s="34"/>
      <c r="BW15" s="52"/>
      <c r="BX15" s="52"/>
      <c r="BY15" s="52"/>
      <c r="BZ15" s="52"/>
      <c r="CA15" s="52"/>
      <c r="CB15" s="52"/>
      <c r="CC15" s="52"/>
      <c r="CD15" s="52"/>
      <c r="CE15" s="52"/>
      <c r="CF15" s="52"/>
      <c r="CG15" s="52"/>
      <c r="CH15" s="52"/>
      <c r="CI15" s="52">
        <f t="shared" si="15"/>
        <v>17.504065040650406</v>
      </c>
      <c r="CJ15" s="52">
        <f t="shared" si="15"/>
        <v>0.16893673110720564</v>
      </c>
      <c r="CK15" s="52">
        <f>CK8/CJ8-1</f>
        <v>-0.33151663221199024</v>
      </c>
      <c r="CL15" s="79">
        <f>CL9/CK9-1</f>
        <v>0.33805080473143301</v>
      </c>
      <c r="CM15" s="79">
        <f t="shared" ref="CM15:CU15" si="17">CM9/CL9-1</f>
        <v>0.21443637461871368</v>
      </c>
      <c r="CN15" s="79">
        <f t="shared" si="17"/>
        <v>0.2081455287928009</v>
      </c>
      <c r="CO15" s="79">
        <f t="shared" si="17"/>
        <v>0.19696651233521978</v>
      </c>
      <c r="CP15" s="79">
        <f t="shared" si="17"/>
        <v>0.17648310078481</v>
      </c>
      <c r="CQ15" s="79">
        <f t="shared" si="17"/>
        <v>0.15524915684234664</v>
      </c>
      <c r="CR15" s="79">
        <f t="shared" si="17"/>
        <v>0.13853991976632996</v>
      </c>
      <c r="CS15" s="79">
        <f t="shared" si="17"/>
        <v>0.11513210435677013</v>
      </c>
      <c r="CT15" s="79">
        <f t="shared" si="17"/>
        <v>9.2713656612921636E-2</v>
      </c>
      <c r="CU15" s="79">
        <f t="shared" si="17"/>
        <v>7.4010282934336535E-2</v>
      </c>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6"/>
      <c r="EU15" s="56"/>
    </row>
    <row r="16" spans="2:152">
      <c r="CL16" s="80"/>
      <c r="CM16" s="80"/>
      <c r="CN16" s="80"/>
      <c r="CO16" s="80"/>
      <c r="CP16" s="80"/>
      <c r="CQ16" s="80"/>
      <c r="CR16" s="80"/>
      <c r="CS16" s="80"/>
      <c r="CT16" s="80"/>
      <c r="CU16" s="80"/>
    </row>
    <row r="17" spans="2:151">
      <c r="B17" s="37" t="s">
        <v>1452</v>
      </c>
      <c r="AU17" s="46">
        <f t="shared" ref="AU17:BK17" si="18">AU4/AU9</f>
        <v>0.17242380261248186</v>
      </c>
      <c r="AV17" s="46">
        <f t="shared" si="18"/>
        <v>0.21116883116883117</v>
      </c>
      <c r="AW17" s="46">
        <f t="shared" si="18"/>
        <v>0.25689775098539303</v>
      </c>
      <c r="AX17" s="46">
        <f t="shared" si="18"/>
        <v>0.24430169912971406</v>
      </c>
      <c r="AY17" s="46">
        <f t="shared" si="18"/>
        <v>0.21963648717513165</v>
      </c>
      <c r="AZ17" s="46">
        <f t="shared" si="18"/>
        <v>0.22687022900763359</v>
      </c>
      <c r="BA17" s="46">
        <f t="shared" si="18"/>
        <v>0.28912848158131177</v>
      </c>
      <c r="BB17" s="46">
        <f t="shared" si="18"/>
        <v>0.29558849794606179</v>
      </c>
      <c r="BC17" s="46">
        <f t="shared" si="18"/>
        <v>0.24192041845694004</v>
      </c>
      <c r="BD17" s="46">
        <f t="shared" si="18"/>
        <v>0.24650121291285687</v>
      </c>
      <c r="BE17" s="46">
        <f t="shared" si="18"/>
        <v>0.27551724137931033</v>
      </c>
      <c r="BF17" s="46">
        <f t="shared" si="18"/>
        <v>0.36997405966277563</v>
      </c>
      <c r="BG17" s="46">
        <f t="shared" si="18"/>
        <v>0.42700529873926546</v>
      </c>
      <c r="BH17" s="46">
        <f t="shared" si="18"/>
        <v>0.48568980291345332</v>
      </c>
      <c r="BI17" s="46">
        <f t="shared" si="18"/>
        <v>0.52045754509458864</v>
      </c>
      <c r="BJ17" s="46">
        <f t="shared" si="18"/>
        <v>0.50391747192478453</v>
      </c>
      <c r="BK17" s="46">
        <f t="shared" si="18"/>
        <v>0.49394998655552569</v>
      </c>
      <c r="BL17" s="46">
        <f>BL4/BL9</f>
        <v>0.42160052049446972</v>
      </c>
      <c r="BM17" s="46">
        <f>BM4/BM9</f>
        <v>0.46950032446463336</v>
      </c>
      <c r="BW17" s="46"/>
      <c r="BX17" s="46"/>
      <c r="BY17" s="46"/>
      <c r="BZ17" s="46"/>
      <c r="CA17" s="46"/>
      <c r="CB17" s="46"/>
      <c r="CC17" s="46"/>
      <c r="CD17" s="46"/>
      <c r="CE17" s="46"/>
      <c r="CF17" s="46"/>
      <c r="CG17" s="46"/>
      <c r="CH17" s="46">
        <f>CH4/CH9</f>
        <v>0.22477789947669466</v>
      </c>
      <c r="CI17" s="46">
        <f>CI4/CI9</f>
        <v>0.25604847252235075</v>
      </c>
      <c r="CJ17" s="46">
        <f>CJ4/CJ9</f>
        <v>0.28641975308641976</v>
      </c>
      <c r="CK17" s="46">
        <f>CK4/CK9</f>
        <v>0.48784176847004074</v>
      </c>
      <c r="CL17" s="71">
        <f t="shared" ref="CL17:CU17" si="19">CL4/CL9</f>
        <v>0.48855242823239708</v>
      </c>
      <c r="CM17" s="71">
        <f t="shared" si="19"/>
        <v>0.49481347832200268</v>
      </c>
      <c r="CN17" s="71">
        <f t="shared" si="19"/>
        <v>0.49966864849141379</v>
      </c>
      <c r="CO17" s="71">
        <f t="shared" si="19"/>
        <v>0.50093496518954672</v>
      </c>
      <c r="CP17" s="71">
        <f t="shared" si="19"/>
        <v>0.49817452446261012</v>
      </c>
      <c r="CQ17" s="71">
        <f t="shared" si="19"/>
        <v>0.49159867767371834</v>
      </c>
      <c r="CR17" s="71">
        <f t="shared" si="19"/>
        <v>0.48359351256437805</v>
      </c>
      <c r="CS17" s="71">
        <f t="shared" si="19"/>
        <v>0.47703125194091395</v>
      </c>
      <c r="CT17" s="71">
        <f t="shared" si="19"/>
        <v>0.47148102247859719</v>
      </c>
      <c r="CU17" s="71">
        <f t="shared" si="19"/>
        <v>0.46533063208843439</v>
      </c>
    </row>
    <row r="18" spans="2:151">
      <c r="B18" s="37" t="s">
        <v>1453</v>
      </c>
      <c r="AU18" s="46">
        <f t="shared" ref="AU18:BK18" si="20">AU5/AU9</f>
        <v>0.47750362844702465</v>
      </c>
      <c r="AV18" s="46">
        <f t="shared" si="20"/>
        <v>0.44883116883116886</v>
      </c>
      <c r="AW18" s="46">
        <f t="shared" si="20"/>
        <v>0.39230234175747741</v>
      </c>
      <c r="AX18" s="46">
        <f t="shared" si="20"/>
        <v>0.37753833402403647</v>
      </c>
      <c r="AY18" s="46">
        <f t="shared" si="20"/>
        <v>0.360794971972142</v>
      </c>
      <c r="AZ18" s="46">
        <f t="shared" si="20"/>
        <v>0.32854961832061069</v>
      </c>
      <c r="BA18" s="46">
        <f t="shared" si="20"/>
        <v>0.18364779874213835</v>
      </c>
      <c r="BB18" s="46">
        <f t="shared" si="20"/>
        <v>0.16127879978567602</v>
      </c>
      <c r="BC18" s="46">
        <f t="shared" si="20"/>
        <v>0.13805342798430786</v>
      </c>
      <c r="BD18" s="46">
        <f t="shared" si="20"/>
        <v>0.18622877402500468</v>
      </c>
      <c r="BE18" s="46">
        <f t="shared" si="20"/>
        <v>0.25051724137931036</v>
      </c>
      <c r="BF18" s="46">
        <f t="shared" si="20"/>
        <v>0.23686770428015563</v>
      </c>
      <c r="BG18" s="46">
        <f t="shared" si="20"/>
        <v>0.24995432121322858</v>
      </c>
      <c r="BH18" s="46">
        <f t="shared" si="20"/>
        <v>0.25569837189374467</v>
      </c>
      <c r="BI18" s="46">
        <f t="shared" si="20"/>
        <v>0.27584689837219534</v>
      </c>
      <c r="BJ18" s="46">
        <f t="shared" si="20"/>
        <v>0.30203708540088797</v>
      </c>
      <c r="BK18" s="46">
        <f t="shared" si="20"/>
        <v>0.30841624092497982</v>
      </c>
      <c r="BL18" s="46">
        <f>BL5/BL9</f>
        <v>0.3251789199739753</v>
      </c>
      <c r="BM18" s="46">
        <f>BM5/BM9</f>
        <v>0.29742591390871731</v>
      </c>
      <c r="BW18" s="46"/>
      <c r="BX18" s="46"/>
      <c r="BY18" s="46"/>
      <c r="BZ18" s="46"/>
      <c r="CA18" s="46"/>
      <c r="CB18" s="46"/>
      <c r="CC18" s="46"/>
      <c r="CD18" s="46"/>
      <c r="CE18" s="46"/>
      <c r="CF18" s="46"/>
      <c r="CG18" s="46"/>
      <c r="CH18" s="46">
        <f>CH5/CH9</f>
        <v>0.41907022027503954</v>
      </c>
      <c r="CI18" s="46">
        <f>CI5/CI9</f>
        <v>0.26274310410575824</v>
      </c>
      <c r="CJ18" s="46">
        <f>CJ5/CJ9</f>
        <v>0.20507054673721339</v>
      </c>
      <c r="CK18" s="46">
        <f>CK5/CK9</f>
        <v>0.27356990498351758</v>
      </c>
      <c r="CL18" s="71">
        <f t="shared" ref="CL18:CU18" si="21">CL5/CL9</f>
        <v>0.32099285715113829</v>
      </c>
      <c r="CM18" s="71">
        <f t="shared" si="21"/>
        <v>0.3330359732821872</v>
      </c>
      <c r="CN18" s="71">
        <f t="shared" si="21"/>
        <v>0.34457352751096376</v>
      </c>
      <c r="CO18" s="71">
        <f t="shared" si="21"/>
        <v>0.35696167746582241</v>
      </c>
      <c r="CP18" s="71">
        <f t="shared" si="21"/>
        <v>0.37016532257691925</v>
      </c>
      <c r="CQ18" s="71">
        <f t="shared" si="21"/>
        <v>0.38450440276142223</v>
      </c>
      <c r="CR18" s="71">
        <f t="shared" si="21"/>
        <v>0.39850618092653023</v>
      </c>
      <c r="CS18" s="71">
        <f t="shared" si="21"/>
        <v>0.41096665253831588</v>
      </c>
      <c r="CT18" s="71">
        <f t="shared" si="21"/>
        <v>0.42122897252849328</v>
      </c>
      <c r="CU18" s="71">
        <f t="shared" si="21"/>
        <v>0.43142219133638532</v>
      </c>
    </row>
    <row r="19" spans="2:151">
      <c r="B19" s="37" t="s">
        <v>1454</v>
      </c>
      <c r="AU19" s="46">
        <f t="shared" ref="AU19:BK19" si="22">AU6/AU9</f>
        <v>0.34223512336719886</v>
      </c>
      <c r="AV19" s="46">
        <f t="shared" si="22"/>
        <v>0.32597402597402597</v>
      </c>
      <c r="AW19" s="46">
        <f t="shared" si="22"/>
        <v>0.3324831903547415</v>
      </c>
      <c r="AX19" s="46">
        <f t="shared" si="22"/>
        <v>0.36033982594280978</v>
      </c>
      <c r="AY19" s="46">
        <f t="shared" si="22"/>
        <v>0.31849838627484289</v>
      </c>
      <c r="AZ19" s="46">
        <f t="shared" si="22"/>
        <v>0.25267175572519085</v>
      </c>
      <c r="BA19" s="46">
        <f t="shared" si="22"/>
        <v>0.2930817610062893</v>
      </c>
      <c r="BB19" s="46">
        <f t="shared" si="22"/>
        <v>0.29362386140382213</v>
      </c>
      <c r="BC19" s="46">
        <f t="shared" si="22"/>
        <v>0.32822716233887539</v>
      </c>
      <c r="BD19" s="46">
        <f t="shared" si="22"/>
        <v>0.2950177271879082</v>
      </c>
      <c r="BE19" s="46">
        <f t="shared" si="22"/>
        <v>0.2596551724137931</v>
      </c>
      <c r="BF19" s="46">
        <f t="shared" si="22"/>
        <v>0.22178988326848248</v>
      </c>
      <c r="BG19" s="46">
        <f t="shared" si="22"/>
        <v>0.16846336561300931</v>
      </c>
      <c r="BH19" s="46">
        <f t="shared" si="22"/>
        <v>0.11105398457583547</v>
      </c>
      <c r="BI19" s="46">
        <f t="shared" si="22"/>
        <v>6.775186977562693E-2</v>
      </c>
      <c r="BJ19" s="46">
        <f t="shared" si="22"/>
        <v>7.3517889788456511E-2</v>
      </c>
      <c r="BK19" s="46">
        <f t="shared" si="22"/>
        <v>8.6985748857219686E-2</v>
      </c>
      <c r="BL19" s="46">
        <f>BL6/BL9</f>
        <v>0.14599869876382562</v>
      </c>
      <c r="BM19" s="46">
        <f>BM6/BM9</f>
        <v>0.14038503136491456</v>
      </c>
      <c r="BW19" s="46"/>
      <c r="BX19" s="46"/>
      <c r="BY19" s="46"/>
      <c r="BZ19" s="46"/>
      <c r="CA19" s="46"/>
      <c r="CB19" s="46"/>
      <c r="CC19" s="46"/>
      <c r="CD19" s="46"/>
      <c r="CE19" s="46"/>
      <c r="CF19" s="46"/>
      <c r="CG19" s="46"/>
      <c r="CH19" s="46">
        <f>CH6/CH9</f>
        <v>0.34118291347207008</v>
      </c>
      <c r="CI19" s="46">
        <f>CI6/CI9</f>
        <v>0.28833524003220201</v>
      </c>
      <c r="CJ19" s="46">
        <f>CJ6/CJ9</f>
        <v>0.27389770723104057</v>
      </c>
      <c r="CK19" s="46">
        <f>CK6/CK9</f>
        <v>0.10063990692262943</v>
      </c>
      <c r="CL19" s="71">
        <f t="shared" ref="CL19:CU19" si="23">CL6/CL9</f>
        <v>9.2512993585232475E-2</v>
      </c>
      <c r="CM19" s="71">
        <f t="shared" si="23"/>
        <v>8.9889709096409462E-2</v>
      </c>
      <c r="CN19" s="71">
        <f t="shared" si="23"/>
        <v>8.630753503348669E-2</v>
      </c>
      <c r="CO19" s="71">
        <f t="shared" si="23"/>
        <v>8.2921004276778731E-2</v>
      </c>
      <c r="CP19" s="71">
        <f t="shared" si="23"/>
        <v>8.0349598572617489E-2</v>
      </c>
      <c r="CQ19" s="71">
        <f t="shared" si="23"/>
        <v>7.8593475571303348E-2</v>
      </c>
      <c r="CR19" s="71">
        <f t="shared" si="23"/>
        <v>7.7313663852845535E-2</v>
      </c>
      <c r="CS19" s="71">
        <f t="shared" si="23"/>
        <v>7.4877906065879879E-2</v>
      </c>
      <c r="CT19" s="71">
        <f t="shared" si="23"/>
        <v>7.2636211645653995E-2</v>
      </c>
      <c r="CU19" s="71">
        <f t="shared" si="23"/>
        <v>7.0336067830831628E-2</v>
      </c>
    </row>
    <row r="20" spans="2:151">
      <c r="B20" s="37" t="s">
        <v>1455</v>
      </c>
      <c r="AU20" s="46">
        <f t="shared" ref="AU20:BK20" si="24">AU8/AU9</f>
        <v>7.8374455732946307E-3</v>
      </c>
      <c r="AV20" s="46">
        <f t="shared" si="24"/>
        <v>1.4025974025974027E-2</v>
      </c>
      <c r="AW20" s="46">
        <f t="shared" si="24"/>
        <v>1.831671690238813E-2</v>
      </c>
      <c r="AX20" s="46">
        <f t="shared" si="24"/>
        <v>1.7820140903439703E-2</v>
      </c>
      <c r="AY20" s="46">
        <f t="shared" si="24"/>
        <v>0.10107015457788347</v>
      </c>
      <c r="AZ20" s="46">
        <f t="shared" si="24"/>
        <v>0.19190839694656489</v>
      </c>
      <c r="BA20" s="46">
        <f t="shared" si="24"/>
        <v>0.23414195867026055</v>
      </c>
      <c r="BB20" s="46">
        <f t="shared" si="24"/>
        <v>0.24950884086444008</v>
      </c>
      <c r="BC20" s="46">
        <f t="shared" si="24"/>
        <v>0.29179899121987668</v>
      </c>
      <c r="BD20" s="46">
        <f t="shared" si="24"/>
        <v>0.27225228587423028</v>
      </c>
      <c r="BE20" s="46">
        <f t="shared" si="24"/>
        <v>0.21431034482758621</v>
      </c>
      <c r="BF20" s="46">
        <f t="shared" si="24"/>
        <v>0.17136835278858625</v>
      </c>
      <c r="BG20" s="46">
        <f t="shared" si="24"/>
        <v>0.15457701443449662</v>
      </c>
      <c r="BH20" s="46">
        <f t="shared" si="24"/>
        <v>0.14755784061696658</v>
      </c>
      <c r="BI20" s="46">
        <f t="shared" si="24"/>
        <v>0.13594368675758908</v>
      </c>
      <c r="BJ20" s="46">
        <f t="shared" si="24"/>
        <v>0.12052755288587098</v>
      </c>
      <c r="BK20" s="46">
        <f t="shared" si="24"/>
        <v>0.1106480236622748</v>
      </c>
      <c r="BL20" s="46">
        <f>BL8/BL9</f>
        <v>0.10722186076772934</v>
      </c>
      <c r="BM20" s="46">
        <f>BM8/BM9</f>
        <v>9.2688730261734797E-2</v>
      </c>
      <c r="BW20" s="46"/>
      <c r="BX20" s="46"/>
      <c r="BY20" s="46"/>
      <c r="BZ20" s="46"/>
      <c r="CA20" s="46"/>
      <c r="CB20" s="46"/>
      <c r="CC20" s="46"/>
      <c r="CD20" s="46"/>
      <c r="CE20" s="46"/>
      <c r="CF20" s="46"/>
      <c r="CG20" s="46"/>
      <c r="CH20" s="46">
        <f>CH8/CH9</f>
        <v>1.4968966776195691E-2</v>
      </c>
      <c r="CI20" s="46">
        <f>CI8/CI9</f>
        <v>0.192873183339689</v>
      </c>
      <c r="CJ20" s="46">
        <f>CJ8/CJ9</f>
        <v>0.23461199294532628</v>
      </c>
      <c r="CK20" s="46">
        <f>CK8/CK9</f>
        <v>0.1379484196238123</v>
      </c>
      <c r="CL20" s="71">
        <f t="shared" ref="CL20:CU20" si="25">CL8/CL9</f>
        <v>9.7941721031232123E-2</v>
      </c>
      <c r="CM20" s="71">
        <f t="shared" si="25"/>
        <v>8.2260839299400687E-2</v>
      </c>
      <c r="CN20" s="71">
        <f t="shared" si="25"/>
        <v>6.9450288964135826E-2</v>
      </c>
      <c r="CO20" s="71">
        <f t="shared" si="25"/>
        <v>5.918235306785212E-2</v>
      </c>
      <c r="CP20" s="71">
        <f t="shared" si="25"/>
        <v>5.1310554387853195E-2</v>
      </c>
      <c r="CQ20" s="71">
        <f t="shared" si="25"/>
        <v>4.5303443993556194E-2</v>
      </c>
      <c r="CR20" s="71">
        <f t="shared" si="25"/>
        <v>4.0586642656246265E-2</v>
      </c>
      <c r="CS20" s="71">
        <f t="shared" si="25"/>
        <v>3.7124189454890259E-2</v>
      </c>
      <c r="CT20" s="71">
        <f t="shared" si="25"/>
        <v>3.465379334725547E-2</v>
      </c>
      <c r="CU20" s="71">
        <f t="shared" si="25"/>
        <v>3.2911108744348626E-2</v>
      </c>
    </row>
    <row r="22" spans="2:151" s="2" customFormat="1" ht="15">
      <c r="B22" s="2" t="s">
        <v>114</v>
      </c>
      <c r="C22" s="2">
        <v>1574</v>
      </c>
      <c r="D22" s="2">
        <v>1653</v>
      </c>
      <c r="E22" s="2">
        <v>1618</v>
      </c>
      <c r="F22" s="2">
        <v>1649</v>
      </c>
      <c r="G22" s="2">
        <v>1613</v>
      </c>
      <c r="H22" s="2">
        <v>1574</v>
      </c>
      <c r="I22" s="2">
        <v>1690</v>
      </c>
      <c r="J22" s="2">
        <v>1691</v>
      </c>
      <c r="K22" s="2">
        <v>1585</v>
      </c>
      <c r="L22" s="2">
        <v>1413</v>
      </c>
      <c r="M22" s="2">
        <v>1269</v>
      </c>
      <c r="N22" s="2">
        <v>1155</v>
      </c>
      <c r="O22" s="2">
        <v>1088</v>
      </c>
      <c r="P22" s="2">
        <v>1161</v>
      </c>
      <c r="Q22" s="2">
        <v>1461</v>
      </c>
      <c r="R22" s="2">
        <v>1589</v>
      </c>
      <c r="S22" s="2">
        <v>1397</v>
      </c>
      <c r="T22" s="2">
        <v>1441</v>
      </c>
      <c r="U22" s="2">
        <v>1429</v>
      </c>
      <c r="V22" s="2">
        <v>1239</v>
      </c>
      <c r="W22" s="2">
        <v>1030</v>
      </c>
      <c r="X22" s="2">
        <v>942</v>
      </c>
      <c r="Y22" s="2">
        <v>1061</v>
      </c>
      <c r="Z22" s="2">
        <v>958</v>
      </c>
      <c r="AA22" s="2">
        <v>832</v>
      </c>
      <c r="AB22" s="2">
        <v>1027</v>
      </c>
      <c r="AC22" s="2">
        <v>1307</v>
      </c>
      <c r="AD22" s="2">
        <v>1153</v>
      </c>
      <c r="AE22" s="2">
        <v>1178</v>
      </c>
      <c r="AF22" s="2">
        <v>1151</v>
      </c>
      <c r="AG22" s="2">
        <v>1584</v>
      </c>
      <c r="AH22" s="2">
        <v>1340</v>
      </c>
      <c r="AI22" s="2">
        <v>1647</v>
      </c>
      <c r="AJ22" s="2">
        <v>1756</v>
      </c>
      <c r="AK22" s="2">
        <v>1653</v>
      </c>
      <c r="AL22" s="2">
        <v>1419</v>
      </c>
      <c r="AM22" s="2">
        <v>1272</v>
      </c>
      <c r="AN22" s="2">
        <v>1531</v>
      </c>
      <c r="AO22" s="2">
        <v>1801</v>
      </c>
      <c r="AP22" s="2">
        <v>2127</v>
      </c>
      <c r="AQ22" s="2">
        <v>1786</v>
      </c>
      <c r="AR22" s="2">
        <v>1932</v>
      </c>
      <c r="AS22" s="2">
        <v>2801</v>
      </c>
      <c r="AT22" s="2">
        <f>9763-SUM(AQ22:AS22)</f>
        <v>3244</v>
      </c>
      <c r="AU22" s="2">
        <f t="shared" ref="AU22:BL22" si="26">AU9</f>
        <v>3445</v>
      </c>
      <c r="AV22" s="2">
        <f t="shared" si="26"/>
        <v>3850</v>
      </c>
      <c r="AW22" s="2">
        <f t="shared" si="26"/>
        <v>4313</v>
      </c>
      <c r="AX22" s="2">
        <f t="shared" si="26"/>
        <v>4826</v>
      </c>
      <c r="AY22" s="2">
        <f t="shared" si="26"/>
        <v>5887</v>
      </c>
      <c r="AZ22" s="2">
        <f t="shared" si="26"/>
        <v>6550</v>
      </c>
      <c r="BA22" s="2">
        <f t="shared" si="26"/>
        <v>5565</v>
      </c>
      <c r="BB22" s="2">
        <f t="shared" si="26"/>
        <v>5599</v>
      </c>
      <c r="BC22" s="2">
        <f t="shared" si="26"/>
        <v>5353</v>
      </c>
      <c r="BD22" s="2">
        <f t="shared" si="26"/>
        <v>5359</v>
      </c>
      <c r="BE22" s="2">
        <f t="shared" si="26"/>
        <v>5800</v>
      </c>
      <c r="BF22" s="2">
        <f t="shared" si="26"/>
        <v>6168</v>
      </c>
      <c r="BG22" s="2">
        <f t="shared" si="26"/>
        <v>5473</v>
      </c>
      <c r="BH22" s="2">
        <f t="shared" si="26"/>
        <v>5835</v>
      </c>
      <c r="BI22" s="2">
        <f t="shared" si="26"/>
        <v>6819</v>
      </c>
      <c r="BJ22" s="2">
        <f t="shared" si="26"/>
        <v>7658</v>
      </c>
      <c r="BK22" s="2">
        <f t="shared" si="26"/>
        <v>7438</v>
      </c>
      <c r="BL22" s="2">
        <f t="shared" si="26"/>
        <v>7685</v>
      </c>
      <c r="BM22" s="2">
        <f t="shared" ref="BM22" si="27">BM9</f>
        <v>9246</v>
      </c>
      <c r="BN22" s="34">
        <v>12300</v>
      </c>
      <c r="BO22" s="34">
        <v>9260</v>
      </c>
      <c r="BP22" s="34">
        <v>9940</v>
      </c>
      <c r="BQ22" s="34">
        <v>11460</v>
      </c>
      <c r="BR22" s="34">
        <v>13170</v>
      </c>
      <c r="BW22" s="2">
        <f>SUM(D22:G22)</f>
        <v>6533</v>
      </c>
      <c r="BX22" s="2">
        <f>SUM(H22:K22)</f>
        <v>6540</v>
      </c>
      <c r="BY22" s="2">
        <f>SUM(L22:O22)</f>
        <v>4925</v>
      </c>
      <c r="BZ22" s="2">
        <f>SUM(P22:S22)</f>
        <v>5608</v>
      </c>
      <c r="CA22" s="2">
        <f>SUM(T22:W22)</f>
        <v>5139</v>
      </c>
      <c r="CB22" s="2">
        <f>SUM(X22:AA22)</f>
        <v>3793</v>
      </c>
      <c r="CC22" s="2">
        <f>SUM(AB22:AE22)</f>
        <v>4665</v>
      </c>
      <c r="CD22" s="2">
        <f>SUM(AF22:AI22)</f>
        <v>5722</v>
      </c>
      <c r="CE22" s="2">
        <f>SUM(AJ22:AM22)</f>
        <v>6100</v>
      </c>
      <c r="CF22" s="2">
        <f>SUM(AN22:AP22)</f>
        <v>5459</v>
      </c>
      <c r="CG22" s="2">
        <f t="shared" ref="CG22:CG36" si="28">SUM(AQ22:AT22)</f>
        <v>9763</v>
      </c>
      <c r="CH22" s="2">
        <f t="shared" ref="CH22:CH36" si="29">SUM(AU22:AX22)</f>
        <v>16434</v>
      </c>
      <c r="CI22" s="2">
        <f t="shared" ref="CI22:CI36" si="30">SUM(AY22:BB22)</f>
        <v>23601</v>
      </c>
      <c r="CJ22" s="2">
        <f t="shared" ref="CJ22:CJ36" si="31">SUM(BC22:BF22)</f>
        <v>22680</v>
      </c>
      <c r="CK22" s="2">
        <f t="shared" ref="CK22:CK36" si="32">SUM(BG22:BJ22)</f>
        <v>25785</v>
      </c>
      <c r="CL22" s="70">
        <f>CL9</f>
        <v>34501.64</v>
      </c>
      <c r="CM22" s="70">
        <f t="shared" ref="CM22:CU22" si="33">CM9</f>
        <v>41900.046599999994</v>
      </c>
      <c r="CN22" s="70">
        <f t="shared" si="33"/>
        <v>50621.353955999992</v>
      </c>
      <c r="CO22" s="70">
        <f t="shared" si="33"/>
        <v>60592.065494399991</v>
      </c>
      <c r="CP22" s="70">
        <f t="shared" si="33"/>
        <v>71285.541095807988</v>
      </c>
      <c r="CQ22" s="70">
        <f t="shared" si="33"/>
        <v>82352.561245982622</v>
      </c>
      <c r="CR22" s="70">
        <f t="shared" si="33"/>
        <v>93761.67847355282</v>
      </c>
      <c r="CS22" s="70">
        <f t="shared" si="33"/>
        <v>104556.65782423582</v>
      </c>
      <c r="CT22" s="70">
        <f t="shared" si="33"/>
        <v>114250.48789434678</v>
      </c>
      <c r="CU22" s="70">
        <f t="shared" si="33"/>
        <v>122706.19882879336</v>
      </c>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6"/>
      <c r="EU22" s="56"/>
    </row>
    <row r="23" spans="2:151">
      <c r="B23" s="1" t="s">
        <v>116</v>
      </c>
      <c r="C23" s="1">
        <v>833</v>
      </c>
      <c r="D23" s="1">
        <v>915</v>
      </c>
      <c r="E23" s="1">
        <v>879</v>
      </c>
      <c r="F23" s="1">
        <v>906</v>
      </c>
      <c r="G23" s="1">
        <v>922</v>
      </c>
      <c r="H23" s="1">
        <v>854</v>
      </c>
      <c r="I23" s="1">
        <v>934</v>
      </c>
      <c r="J23" s="1">
        <v>918</v>
      </c>
      <c r="K23" s="1">
        <v>1558</v>
      </c>
      <c r="L23" s="1">
        <v>775</v>
      </c>
      <c r="M23" s="1">
        <v>877</v>
      </c>
      <c r="N23" s="1">
        <v>977</v>
      </c>
      <c r="O23" s="1">
        <v>643</v>
      </c>
      <c r="P23" s="1">
        <v>702</v>
      </c>
      <c r="Q23" s="1">
        <v>940</v>
      </c>
      <c r="R23" s="1">
        <v>1036</v>
      </c>
      <c r="S23" s="1">
        <v>910</v>
      </c>
      <c r="T23" s="1">
        <v>943</v>
      </c>
      <c r="U23" s="1">
        <v>935</v>
      </c>
      <c r="V23" s="1">
        <v>879</v>
      </c>
      <c r="W23" s="1">
        <v>704</v>
      </c>
      <c r="X23" s="1">
        <v>710</v>
      </c>
      <c r="Y23" s="1">
        <v>822</v>
      </c>
      <c r="Z23" s="1">
        <v>675</v>
      </c>
      <c r="AA23" s="1">
        <v>563</v>
      </c>
      <c r="AB23" s="1">
        <v>708</v>
      </c>
      <c r="AC23" s="1">
        <v>1248</v>
      </c>
      <c r="AD23" s="1">
        <v>797</v>
      </c>
      <c r="AE23" s="1">
        <v>800</v>
      </c>
      <c r="AF23" s="1">
        <v>765</v>
      </c>
      <c r="AG23" s="1">
        <v>1013</v>
      </c>
      <c r="AH23" s="1">
        <v>888</v>
      </c>
      <c r="AI23" s="1">
        <v>1050</v>
      </c>
      <c r="AJ23" s="1">
        <v>1104</v>
      </c>
      <c r="AK23" s="1">
        <v>992</v>
      </c>
      <c r="AL23" s="1">
        <v>882</v>
      </c>
      <c r="AM23" s="1">
        <v>751</v>
      </c>
      <c r="AN23" s="1">
        <v>910</v>
      </c>
      <c r="AO23" s="1">
        <v>1024</v>
      </c>
      <c r="AP23" s="1">
        <v>1178</v>
      </c>
      <c r="AQ23" s="1">
        <v>968</v>
      </c>
      <c r="AR23" s="1">
        <v>1084</v>
      </c>
      <c r="AS23" s="1">
        <v>1571</v>
      </c>
      <c r="AT23" s="1">
        <f>5416-SUM(AQ23:AS23)</f>
        <v>1793</v>
      </c>
      <c r="AU23" s="1">
        <v>1858</v>
      </c>
      <c r="AV23" s="1">
        <v>2020</v>
      </c>
      <c r="AW23" s="1">
        <v>2227</v>
      </c>
      <c r="AX23" s="1">
        <f>8505-SUM(AU23:AW23)</f>
        <v>2400</v>
      </c>
      <c r="AY23" s="1">
        <v>3069</v>
      </c>
      <c r="AZ23" s="1">
        <v>3522</v>
      </c>
      <c r="BA23" s="1">
        <v>3211</v>
      </c>
      <c r="BB23" s="1">
        <f>12998-SUM(AY23:BA23)</f>
        <v>3196</v>
      </c>
      <c r="BC23" s="1">
        <v>2994</v>
      </c>
      <c r="BD23" s="1">
        <v>2916</v>
      </c>
      <c r="BE23" s="1">
        <v>3053</v>
      </c>
      <c r="BF23" s="1">
        <f>12220-SUM(BC23:BE23)</f>
        <v>3257</v>
      </c>
      <c r="BG23" s="1">
        <v>2913</v>
      </c>
      <c r="BH23" s="1">
        <v>2971</v>
      </c>
      <c r="BI23" s="1">
        <v>3400</v>
      </c>
      <c r="BJ23" s="1">
        <f>13060-SUM(BG23:BI23)</f>
        <v>3776</v>
      </c>
      <c r="BK23" s="1">
        <v>3702</v>
      </c>
      <c r="BL23" s="1">
        <v>4626</v>
      </c>
      <c r="BM23" s="1">
        <v>4466</v>
      </c>
      <c r="BW23" s="1">
        <f t="shared" ref="BW23:BW29" si="34">SUM(C23:F23)</f>
        <v>3533</v>
      </c>
      <c r="BX23" s="1">
        <f t="shared" ref="BX23:BX29" si="35">SUM(G23:J23)</f>
        <v>3628</v>
      </c>
      <c r="BY23" s="1">
        <f t="shared" ref="BY23:BY29" si="36">SUM(K23:N23)</f>
        <v>4187</v>
      </c>
      <c r="BZ23" s="1">
        <f t="shared" ref="BZ23:BZ29" si="37">SUM(O23:R23)</f>
        <v>3321</v>
      </c>
      <c r="CA23" s="1">
        <f t="shared" ref="CA23:CA29" si="38">SUM(S23:V23)</f>
        <v>3667</v>
      </c>
      <c r="CB23" s="1">
        <f t="shared" ref="CB23:CB29" si="39">SUM(W23:Z23)</f>
        <v>2911</v>
      </c>
      <c r="CC23" s="1">
        <f t="shared" ref="CC23:CC29" si="40">SUM(AA23:AD23)</f>
        <v>3316</v>
      </c>
      <c r="CD23" s="1">
        <f t="shared" ref="CD23:CD29" si="41">SUM(AE23:AH23)</f>
        <v>3466</v>
      </c>
      <c r="CE23" s="1">
        <f t="shared" ref="CE23:CE29" si="42">SUM(AI23:AL23)</f>
        <v>4028</v>
      </c>
      <c r="CF23" s="1">
        <f t="shared" ref="CF23:CF29" si="43">SUM(AM23:AP23)</f>
        <v>3863</v>
      </c>
      <c r="CG23" s="1">
        <f t="shared" si="28"/>
        <v>5416</v>
      </c>
      <c r="CH23" s="1">
        <f t="shared" si="29"/>
        <v>8505</v>
      </c>
      <c r="CI23" s="1">
        <f t="shared" si="30"/>
        <v>12998</v>
      </c>
      <c r="CJ23" s="1">
        <f t="shared" si="31"/>
        <v>12220</v>
      </c>
      <c r="CK23" s="1">
        <f t="shared" si="32"/>
        <v>13060</v>
      </c>
      <c r="CL23" s="69">
        <f>CL22*(1-CL40)</f>
        <v>17768.3446</v>
      </c>
      <c r="CM23" s="69">
        <f t="shared" ref="CM23:CU23" si="44">CM22*(1-CM40)</f>
        <v>20531.022833999996</v>
      </c>
      <c r="CN23" s="69">
        <f t="shared" si="44"/>
        <v>24298.249898879996</v>
      </c>
      <c r="CO23" s="69">
        <f t="shared" si="44"/>
        <v>28781.231109839995</v>
      </c>
      <c r="CP23" s="69">
        <f t="shared" si="44"/>
        <v>33504.204315029754</v>
      </c>
      <c r="CQ23" s="69">
        <f t="shared" si="44"/>
        <v>38293.940979381914</v>
      </c>
      <c r="CR23" s="69">
        <f t="shared" si="44"/>
        <v>43130.372097834297</v>
      </c>
      <c r="CS23" s="69">
        <f t="shared" si="44"/>
        <v>47573.279310027297</v>
      </c>
      <c r="CT23" s="69">
        <f t="shared" si="44"/>
        <v>51412.719552456045</v>
      </c>
      <c r="CU23" s="69">
        <f t="shared" si="44"/>
        <v>55217.789472957011</v>
      </c>
    </row>
    <row r="24" spans="2:151">
      <c r="B24" s="1" t="s">
        <v>117</v>
      </c>
      <c r="C24" s="1">
        <f t="shared" ref="C24:AO24" si="45">C22-C23</f>
        <v>741</v>
      </c>
      <c r="D24" s="1">
        <f t="shared" si="45"/>
        <v>738</v>
      </c>
      <c r="E24" s="1">
        <f t="shared" si="45"/>
        <v>739</v>
      </c>
      <c r="F24" s="1">
        <f t="shared" si="45"/>
        <v>743</v>
      </c>
      <c r="G24" s="1">
        <f t="shared" si="45"/>
        <v>691</v>
      </c>
      <c r="H24" s="1">
        <f t="shared" si="45"/>
        <v>720</v>
      </c>
      <c r="I24" s="1">
        <f t="shared" si="45"/>
        <v>756</v>
      </c>
      <c r="J24" s="1">
        <f t="shared" si="45"/>
        <v>773</v>
      </c>
      <c r="K24" s="1">
        <f t="shared" si="45"/>
        <v>27</v>
      </c>
      <c r="L24" s="1">
        <f t="shared" si="45"/>
        <v>638</v>
      </c>
      <c r="M24" s="1">
        <f t="shared" si="45"/>
        <v>392</v>
      </c>
      <c r="N24" s="1">
        <f t="shared" si="45"/>
        <v>178</v>
      </c>
      <c r="O24" s="1">
        <f t="shared" si="45"/>
        <v>445</v>
      </c>
      <c r="P24" s="1">
        <f t="shared" si="45"/>
        <v>459</v>
      </c>
      <c r="Q24" s="1">
        <f t="shared" si="45"/>
        <v>521</v>
      </c>
      <c r="R24" s="1">
        <f t="shared" si="45"/>
        <v>553</v>
      </c>
      <c r="S24" s="1">
        <f t="shared" si="45"/>
        <v>487</v>
      </c>
      <c r="T24" s="1">
        <f t="shared" si="45"/>
        <v>498</v>
      </c>
      <c r="U24" s="1">
        <f t="shared" si="45"/>
        <v>494</v>
      </c>
      <c r="V24" s="1">
        <f t="shared" si="45"/>
        <v>360</v>
      </c>
      <c r="W24" s="1">
        <f t="shared" si="45"/>
        <v>326</v>
      </c>
      <c r="X24" s="1">
        <f t="shared" si="45"/>
        <v>232</v>
      </c>
      <c r="Y24" s="1">
        <f t="shared" si="45"/>
        <v>239</v>
      </c>
      <c r="Z24" s="1">
        <f t="shared" si="45"/>
        <v>283</v>
      </c>
      <c r="AA24" s="1">
        <f t="shared" si="45"/>
        <v>269</v>
      </c>
      <c r="AB24" s="1">
        <f t="shared" si="45"/>
        <v>319</v>
      </c>
      <c r="AC24" s="1">
        <f t="shared" si="45"/>
        <v>59</v>
      </c>
      <c r="AD24" s="1">
        <f t="shared" si="45"/>
        <v>356</v>
      </c>
      <c r="AE24" s="1">
        <f t="shared" si="45"/>
        <v>378</v>
      </c>
      <c r="AF24" s="1">
        <f t="shared" si="45"/>
        <v>386</v>
      </c>
      <c r="AG24" s="1">
        <f t="shared" si="45"/>
        <v>571</v>
      </c>
      <c r="AH24" s="1">
        <f t="shared" si="45"/>
        <v>452</v>
      </c>
      <c r="AI24" s="1">
        <f t="shared" si="45"/>
        <v>597</v>
      </c>
      <c r="AJ24" s="1">
        <f t="shared" si="45"/>
        <v>652</v>
      </c>
      <c r="AK24" s="1">
        <f t="shared" si="45"/>
        <v>661</v>
      </c>
      <c r="AL24" s="1">
        <f t="shared" si="45"/>
        <v>537</v>
      </c>
      <c r="AM24" s="1">
        <f t="shared" si="45"/>
        <v>521</v>
      </c>
      <c r="AN24" s="1">
        <f t="shared" si="45"/>
        <v>621</v>
      </c>
      <c r="AO24" s="1">
        <f t="shared" si="45"/>
        <v>777</v>
      </c>
      <c r="AP24" s="1">
        <f>AP22-AP23</f>
        <v>949</v>
      </c>
      <c r="AQ24" s="1">
        <f>AQ22-AQ23</f>
        <v>818</v>
      </c>
      <c r="AR24" s="1">
        <f>AR22-AR23</f>
        <v>848</v>
      </c>
      <c r="AS24" s="1">
        <f>AS22-AS23</f>
        <v>1230</v>
      </c>
      <c r="AT24" s="1">
        <f>AT22-AT23</f>
        <v>1451</v>
      </c>
      <c r="AU24" s="1">
        <f t="shared" ref="AU24:BJ24" si="46">AU22-AU23</f>
        <v>1587</v>
      </c>
      <c r="AV24" s="1">
        <f t="shared" si="46"/>
        <v>1830</v>
      </c>
      <c r="AW24" s="1">
        <f t="shared" si="46"/>
        <v>2086</v>
      </c>
      <c r="AX24" s="1">
        <f t="shared" si="46"/>
        <v>2426</v>
      </c>
      <c r="AY24" s="1">
        <f t="shared" si="46"/>
        <v>2818</v>
      </c>
      <c r="AZ24" s="1">
        <f t="shared" si="46"/>
        <v>3028</v>
      </c>
      <c r="BA24" s="1">
        <f t="shared" si="46"/>
        <v>2354</v>
      </c>
      <c r="BB24" s="1">
        <f t="shared" si="46"/>
        <v>2403</v>
      </c>
      <c r="BC24" s="1">
        <f t="shared" si="46"/>
        <v>2359</v>
      </c>
      <c r="BD24" s="1">
        <f t="shared" si="46"/>
        <v>2443</v>
      </c>
      <c r="BE24" s="1">
        <f t="shared" si="46"/>
        <v>2747</v>
      </c>
      <c r="BF24" s="1">
        <f t="shared" si="46"/>
        <v>2911</v>
      </c>
      <c r="BG24" s="1">
        <f t="shared" si="46"/>
        <v>2560</v>
      </c>
      <c r="BH24" s="1">
        <f t="shared" si="46"/>
        <v>2864</v>
      </c>
      <c r="BI24" s="1">
        <f t="shared" si="46"/>
        <v>3419</v>
      </c>
      <c r="BJ24" s="1">
        <f t="shared" si="46"/>
        <v>3882</v>
      </c>
      <c r="BK24" s="1">
        <v>3736</v>
      </c>
      <c r="BL24" s="1">
        <f>BL22-BL23</f>
        <v>3059</v>
      </c>
      <c r="BM24" s="1">
        <f>BM22-BM23</f>
        <v>4780</v>
      </c>
      <c r="BW24" s="1">
        <f t="shared" si="34"/>
        <v>2961</v>
      </c>
      <c r="BX24" s="1">
        <f t="shared" si="35"/>
        <v>2940</v>
      </c>
      <c r="BY24" s="1">
        <f t="shared" si="36"/>
        <v>1235</v>
      </c>
      <c r="BZ24" s="1">
        <f t="shared" si="37"/>
        <v>1978</v>
      </c>
      <c r="CA24" s="1">
        <f t="shared" si="38"/>
        <v>1839</v>
      </c>
      <c r="CB24" s="1">
        <f t="shared" si="39"/>
        <v>1080</v>
      </c>
      <c r="CC24" s="1">
        <f t="shared" si="40"/>
        <v>1003</v>
      </c>
      <c r="CD24" s="1">
        <f t="shared" si="41"/>
        <v>1787</v>
      </c>
      <c r="CE24" s="1">
        <f t="shared" si="42"/>
        <v>2447</v>
      </c>
      <c r="CF24" s="1">
        <f t="shared" si="43"/>
        <v>2868</v>
      </c>
      <c r="CG24" s="1">
        <f t="shared" si="28"/>
        <v>4347</v>
      </c>
      <c r="CH24" s="1">
        <f t="shared" si="29"/>
        <v>7929</v>
      </c>
      <c r="CI24" s="1">
        <f t="shared" si="30"/>
        <v>10603</v>
      </c>
      <c r="CJ24" s="1">
        <f t="shared" si="31"/>
        <v>10460</v>
      </c>
      <c r="CK24" s="1">
        <f t="shared" si="32"/>
        <v>12725</v>
      </c>
      <c r="CL24" s="69">
        <f>CL22-CL23</f>
        <v>16733.295399999999</v>
      </c>
      <c r="CM24" s="69">
        <f t="shared" ref="CM24:CU24" si="47">CM22-CM23</f>
        <v>21369.023765999998</v>
      </c>
      <c r="CN24" s="69">
        <f t="shared" si="47"/>
        <v>26323.104057119996</v>
      </c>
      <c r="CO24" s="69">
        <f t="shared" si="47"/>
        <v>31810.834384559996</v>
      </c>
      <c r="CP24" s="69">
        <f t="shared" si="47"/>
        <v>37781.336780778234</v>
      </c>
      <c r="CQ24" s="69">
        <f t="shared" si="47"/>
        <v>44058.620266600708</v>
      </c>
      <c r="CR24" s="69">
        <f t="shared" si="47"/>
        <v>50631.306375718523</v>
      </c>
      <c r="CS24" s="69">
        <f t="shared" si="47"/>
        <v>56983.378514208525</v>
      </c>
      <c r="CT24" s="69">
        <f t="shared" si="47"/>
        <v>62837.768341890733</v>
      </c>
      <c r="CU24" s="69">
        <f t="shared" si="47"/>
        <v>67488.409355836353</v>
      </c>
    </row>
    <row r="25" spans="2:151">
      <c r="B25" s="1" t="s">
        <v>1456</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442</v>
      </c>
      <c r="AR25" s="1">
        <v>460</v>
      </c>
      <c r="AS25" s="1">
        <v>508</v>
      </c>
      <c r="AT25" s="1">
        <f>1983-SUM(AQ25:AS25)</f>
        <v>573</v>
      </c>
      <c r="AU25" s="1">
        <v>610</v>
      </c>
      <c r="AV25" s="1">
        <v>659</v>
      </c>
      <c r="AW25" s="1">
        <v>765</v>
      </c>
      <c r="AX25" s="1">
        <f>2845-SUM(AU25:AW25)</f>
        <v>811</v>
      </c>
      <c r="AY25" s="1">
        <v>1060</v>
      </c>
      <c r="AZ25" s="1">
        <v>1300</v>
      </c>
      <c r="BA25" s="1">
        <v>1279</v>
      </c>
      <c r="BB25" s="1">
        <f>5005-SUM(AY25:BA25)</f>
        <v>1366</v>
      </c>
      <c r="BC25" s="1">
        <v>1411</v>
      </c>
      <c r="BD25" s="1">
        <v>1443</v>
      </c>
      <c r="BE25" s="1">
        <v>1507</v>
      </c>
      <c r="BF25" s="1">
        <f>5872-SUM(BC25:BE25)</f>
        <v>1511</v>
      </c>
      <c r="BG25" s="1">
        <v>1525</v>
      </c>
      <c r="BH25" s="1">
        <v>1583</v>
      </c>
      <c r="BI25" s="1">
        <v>1636</v>
      </c>
      <c r="BJ25" s="1">
        <f>6456-SUM(BG25:BI25)</f>
        <v>1712</v>
      </c>
      <c r="BK25" s="1">
        <v>1728</v>
      </c>
      <c r="BL25" s="1">
        <v>1894</v>
      </c>
      <c r="BM25" s="1">
        <v>2139</v>
      </c>
      <c r="BW25" s="1">
        <f t="shared" si="34"/>
        <v>0</v>
      </c>
      <c r="BX25" s="1">
        <f t="shared" si="35"/>
        <v>0</v>
      </c>
      <c r="BY25" s="1">
        <f t="shared" si="36"/>
        <v>0</v>
      </c>
      <c r="BZ25" s="1">
        <f t="shared" si="37"/>
        <v>0</v>
      </c>
      <c r="CA25" s="1">
        <f t="shared" si="38"/>
        <v>0</v>
      </c>
      <c r="CB25" s="1">
        <f t="shared" si="39"/>
        <v>0</v>
      </c>
      <c r="CC25" s="1">
        <f t="shared" si="40"/>
        <v>0</v>
      </c>
      <c r="CD25" s="1">
        <f t="shared" si="41"/>
        <v>0</v>
      </c>
      <c r="CE25" s="1">
        <f t="shared" si="42"/>
        <v>0</v>
      </c>
      <c r="CF25" s="1">
        <f t="shared" si="43"/>
        <v>0</v>
      </c>
      <c r="CG25" s="1">
        <f t="shared" si="28"/>
        <v>1983</v>
      </c>
      <c r="CH25" s="1">
        <f t="shared" si="29"/>
        <v>2845</v>
      </c>
      <c r="CI25" s="1">
        <f t="shared" si="30"/>
        <v>5005</v>
      </c>
      <c r="CJ25" s="1">
        <f t="shared" si="31"/>
        <v>5872</v>
      </c>
      <c r="CK25" s="1">
        <f t="shared" si="32"/>
        <v>6456</v>
      </c>
      <c r="CL25" s="69">
        <f>CL22*CL41</f>
        <v>8280.3935999999994</v>
      </c>
      <c r="CM25" s="69">
        <f t="shared" ref="CM25:CU25" si="48">CM22*CM41</f>
        <v>9637.0107179999995</v>
      </c>
      <c r="CN25" s="69">
        <f t="shared" si="48"/>
        <v>11389.804640099999</v>
      </c>
      <c r="CO25" s="69">
        <f t="shared" si="48"/>
        <v>13330.254408767998</v>
      </c>
      <c r="CP25" s="69">
        <f t="shared" si="48"/>
        <v>15326.391335598717</v>
      </c>
      <c r="CQ25" s="69">
        <f t="shared" si="48"/>
        <v>17294.03786165635</v>
      </c>
      <c r="CR25" s="69">
        <f t="shared" si="48"/>
        <v>19221.144087078326</v>
      </c>
      <c r="CS25" s="69">
        <f t="shared" si="48"/>
        <v>20911.331564847165</v>
      </c>
      <c r="CT25" s="69">
        <f t="shared" si="48"/>
        <v>22278.845139397621</v>
      </c>
      <c r="CU25" s="69">
        <f t="shared" si="48"/>
        <v>23314.177777470741</v>
      </c>
    </row>
    <row r="26" spans="2:151">
      <c r="B26" s="1" t="s">
        <v>1457</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199</v>
      </c>
      <c r="AR26" s="1">
        <v>215</v>
      </c>
      <c r="AS26" s="1">
        <v>273</v>
      </c>
      <c r="AT26" s="1">
        <f>995-SUM(AQ26:AS26)</f>
        <v>308</v>
      </c>
      <c r="AU26" s="1">
        <v>319</v>
      </c>
      <c r="AV26" s="1">
        <v>341</v>
      </c>
      <c r="AW26" s="1">
        <v>376</v>
      </c>
      <c r="AX26" s="1">
        <f>1448-SUM(AU26:AW26)</f>
        <v>412</v>
      </c>
      <c r="AY26" s="1">
        <v>597</v>
      </c>
      <c r="AZ26" s="1">
        <v>592</v>
      </c>
      <c r="BA26" s="1">
        <v>557</v>
      </c>
      <c r="BB26" s="1">
        <f>2336-SUM(AY26:BA26)</f>
        <v>590</v>
      </c>
      <c r="BC26" s="1">
        <v>585</v>
      </c>
      <c r="BD26" s="1">
        <v>547</v>
      </c>
      <c r="BE26" s="1">
        <v>576</v>
      </c>
      <c r="BF26" s="1">
        <f>2352-SUM(BC26:BE26)</f>
        <v>644</v>
      </c>
      <c r="BG26" s="1">
        <v>607</v>
      </c>
      <c r="BH26" s="1">
        <v>640</v>
      </c>
      <c r="BI26" s="1">
        <v>721</v>
      </c>
      <c r="BJ26" s="1">
        <f>2783-SUM(BG26:BI26)</f>
        <v>815</v>
      </c>
      <c r="BK26" s="1">
        <v>886</v>
      </c>
      <c r="BL26" s="1">
        <v>991</v>
      </c>
      <c r="BM26" s="1">
        <v>1069</v>
      </c>
      <c r="BW26" s="1">
        <f t="shared" si="34"/>
        <v>0</v>
      </c>
      <c r="BX26" s="1">
        <f t="shared" si="35"/>
        <v>0</v>
      </c>
      <c r="BY26" s="1">
        <f t="shared" si="36"/>
        <v>0</v>
      </c>
      <c r="BZ26" s="1">
        <f t="shared" si="37"/>
        <v>0</v>
      </c>
      <c r="CA26" s="1">
        <f t="shared" si="38"/>
        <v>0</v>
      </c>
      <c r="CB26" s="1">
        <f t="shared" si="39"/>
        <v>0</v>
      </c>
      <c r="CC26" s="1">
        <f t="shared" si="40"/>
        <v>0</v>
      </c>
      <c r="CD26" s="1">
        <f t="shared" si="41"/>
        <v>0</v>
      </c>
      <c r="CE26" s="1">
        <f t="shared" si="42"/>
        <v>0</v>
      </c>
      <c r="CF26" s="1">
        <f t="shared" si="43"/>
        <v>0</v>
      </c>
      <c r="CG26" s="1">
        <f t="shared" si="28"/>
        <v>995</v>
      </c>
      <c r="CH26" s="1">
        <f t="shared" si="29"/>
        <v>1448</v>
      </c>
      <c r="CI26" s="1">
        <f t="shared" si="30"/>
        <v>2336</v>
      </c>
      <c r="CJ26" s="1">
        <f t="shared" si="31"/>
        <v>2352</v>
      </c>
      <c r="CK26" s="1">
        <f t="shared" si="32"/>
        <v>2783</v>
      </c>
      <c r="CL26" s="69">
        <f>CL22*CL42</f>
        <v>4053.9426999999996</v>
      </c>
      <c r="CM26" s="69">
        <f t="shared" ref="CM26:CU26" si="49">CM22*CM42</f>
        <v>4818.5053589999998</v>
      </c>
      <c r="CN26" s="69">
        <f t="shared" si="49"/>
        <v>5568.3489351599992</v>
      </c>
      <c r="CO26" s="69">
        <f t="shared" si="49"/>
        <v>6362.1668769119988</v>
      </c>
      <c r="CP26" s="69">
        <f t="shared" si="49"/>
        <v>7128.5541095807994</v>
      </c>
      <c r="CQ26" s="69">
        <f t="shared" si="49"/>
        <v>8029.3747214833056</v>
      </c>
      <c r="CR26" s="69">
        <f t="shared" si="49"/>
        <v>8907.3594549875179</v>
      </c>
      <c r="CS26" s="69">
        <f t="shared" si="49"/>
        <v>9671.4908487418143</v>
      </c>
      <c r="CT26" s="69">
        <f t="shared" si="49"/>
        <v>10282.543910491209</v>
      </c>
      <c r="CU26" s="69">
        <f t="shared" si="49"/>
        <v>11043.557894591402</v>
      </c>
    </row>
    <row r="27" spans="2:151">
      <c r="B27" s="1" t="s">
        <v>1458</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f>0-SUM(AQ27:AS27)</f>
        <v>0</v>
      </c>
      <c r="AU27" s="1">
        <v>-4</v>
      </c>
      <c r="AV27" s="1">
        <v>-1</v>
      </c>
      <c r="AW27" s="1">
        <v>-3</v>
      </c>
      <c r="AX27" s="1">
        <f>-12-SUM(AU27:AW27)</f>
        <v>-4</v>
      </c>
      <c r="AY27" s="1">
        <f>293-83</f>
        <v>210</v>
      </c>
      <c r="AZ27" s="1">
        <f>616-5</f>
        <v>611</v>
      </c>
      <c r="BA27" s="1">
        <f>590-8</f>
        <v>582</v>
      </c>
      <c r="BB27" s="1">
        <f>2100-102-SUM(AY27:BA27)</f>
        <v>595</v>
      </c>
      <c r="BC27" s="1">
        <f>518-10</f>
        <v>508</v>
      </c>
      <c r="BD27" s="1">
        <f>481-8</f>
        <v>473</v>
      </c>
      <c r="BE27" s="1">
        <f>450-10</f>
        <v>440</v>
      </c>
      <c r="BF27" s="1">
        <f>1869-349-SUM(BC27:BE27)</f>
        <v>99</v>
      </c>
      <c r="BG27" s="1">
        <v>392</v>
      </c>
      <c r="BH27" s="1">
        <v>372</v>
      </c>
      <c r="BI27" s="1">
        <f>352-14</f>
        <v>338</v>
      </c>
      <c r="BJ27" s="1">
        <f>1448+186-48-SUM(BG27:BI27)</f>
        <v>484</v>
      </c>
      <c r="BK27" s="1">
        <v>316</v>
      </c>
      <c r="BL27" s="1">
        <v>308</v>
      </c>
      <c r="BM27" s="1">
        <v>302</v>
      </c>
      <c r="BW27" s="1">
        <f t="shared" si="34"/>
        <v>0</v>
      </c>
      <c r="BX27" s="1">
        <f t="shared" si="35"/>
        <v>0</v>
      </c>
      <c r="BY27" s="1">
        <f t="shared" si="36"/>
        <v>0</v>
      </c>
      <c r="BZ27" s="1">
        <f t="shared" si="37"/>
        <v>0</v>
      </c>
      <c r="CA27" s="1">
        <f t="shared" si="38"/>
        <v>0</v>
      </c>
      <c r="CB27" s="1">
        <f t="shared" si="39"/>
        <v>0</v>
      </c>
      <c r="CC27" s="1">
        <f t="shared" si="40"/>
        <v>0</v>
      </c>
      <c r="CD27" s="1">
        <f t="shared" si="41"/>
        <v>0</v>
      </c>
      <c r="CE27" s="1">
        <f t="shared" si="42"/>
        <v>0</v>
      </c>
      <c r="CF27" s="1">
        <f t="shared" si="43"/>
        <v>0</v>
      </c>
      <c r="CG27" s="1">
        <f t="shared" si="28"/>
        <v>0</v>
      </c>
      <c r="CH27" s="1">
        <f t="shared" si="29"/>
        <v>-12</v>
      </c>
      <c r="CI27" s="1">
        <f t="shared" si="30"/>
        <v>1998</v>
      </c>
      <c r="CJ27" s="1">
        <f t="shared" si="31"/>
        <v>1520</v>
      </c>
      <c r="CK27" s="1">
        <f t="shared" si="32"/>
        <v>1586</v>
      </c>
      <c r="CL27" s="53">
        <v>1200</v>
      </c>
      <c r="CM27" s="53">
        <f>CL27*1.05</f>
        <v>1260</v>
      </c>
      <c r="CN27" s="69">
        <f t="shared" ref="CN27:CU27" si="50">CM27*1.05</f>
        <v>1323</v>
      </c>
      <c r="CO27" s="69">
        <f t="shared" si="50"/>
        <v>1389.15</v>
      </c>
      <c r="CP27" s="69">
        <f t="shared" si="50"/>
        <v>1458.6075000000001</v>
      </c>
      <c r="CQ27" s="69">
        <f t="shared" si="50"/>
        <v>1531.5378750000002</v>
      </c>
      <c r="CR27" s="69">
        <f t="shared" si="50"/>
        <v>1608.1147687500004</v>
      </c>
      <c r="CS27" s="69">
        <f t="shared" si="50"/>
        <v>1688.5205071875005</v>
      </c>
      <c r="CT27" s="69">
        <f t="shared" si="50"/>
        <v>1772.9465325468755</v>
      </c>
      <c r="CU27" s="69">
        <f t="shared" si="50"/>
        <v>1861.5938591742192</v>
      </c>
    </row>
    <row r="28" spans="2:151">
      <c r="B28" s="1" t="s">
        <v>1459</v>
      </c>
      <c r="C28" s="1">
        <v>559</v>
      </c>
      <c r="D28" s="1">
        <v>613</v>
      </c>
      <c r="E28" s="1">
        <v>611</v>
      </c>
      <c r="F28" s="1">
        <v>330</v>
      </c>
      <c r="G28" s="1">
        <v>637</v>
      </c>
      <c r="H28" s="1">
        <v>615</v>
      </c>
      <c r="I28" s="1">
        <v>618</v>
      </c>
      <c r="J28" s="1">
        <v>702</v>
      </c>
      <c r="K28" s="1">
        <v>607</v>
      </c>
      <c r="L28" s="1">
        <v>561</v>
      </c>
      <c r="M28" s="1">
        <v>523</v>
      </c>
      <c r="N28" s="1">
        <v>600</v>
      </c>
      <c r="O28" s="1">
        <v>543</v>
      </c>
      <c r="P28" s="1">
        <v>488</v>
      </c>
      <c r="Q28" s="1">
        <v>426</v>
      </c>
      <c r="R28" s="1">
        <v>418</v>
      </c>
      <c r="S28" s="1">
        <v>438</v>
      </c>
      <c r="T28" s="1">
        <v>435</v>
      </c>
      <c r="U28" s="1">
        <v>431</v>
      </c>
      <c r="V28" s="1">
        <v>690</v>
      </c>
      <c r="W28" s="1">
        <v>463</v>
      </c>
      <c r="X28" s="1">
        <v>369</v>
      </c>
      <c r="Y28" s="1">
        <v>397</v>
      </c>
      <c r="Z28" s="1">
        <v>332</v>
      </c>
      <c r="AA28" s="1">
        <v>337</v>
      </c>
      <c r="AB28" s="1">
        <v>327</v>
      </c>
      <c r="AC28" s="1">
        <v>352</v>
      </c>
      <c r="AD28" s="1">
        <v>360</v>
      </c>
      <c r="AE28" s="1">
        <v>367</v>
      </c>
      <c r="AF28" s="1">
        <v>387</v>
      </c>
      <c r="AG28" s="1">
        <v>452</v>
      </c>
      <c r="AH28" s="1">
        <v>454</v>
      </c>
      <c r="AI28" s="1">
        <v>477</v>
      </c>
      <c r="AJ28" s="1">
        <v>499</v>
      </c>
      <c r="AK28" s="1">
        <v>511</v>
      </c>
      <c r="AL28" s="1">
        <v>509</v>
      </c>
      <c r="AM28" s="1">
        <v>483</v>
      </c>
      <c r="AN28" s="1">
        <v>562</v>
      </c>
      <c r="AO28" s="1">
        <v>591</v>
      </c>
      <c r="AP28" s="1">
        <v>601</v>
      </c>
      <c r="AQ28" s="1">
        <f>SUM(AQ25:AQ27)</f>
        <v>641</v>
      </c>
      <c r="AR28" s="1">
        <f>SUM(AR25:AR27)</f>
        <v>675</v>
      </c>
      <c r="AS28" s="1">
        <f>SUM(AS25:AS27)</f>
        <v>781</v>
      </c>
      <c r="AT28" s="1">
        <f>SUM(AT25:AT27)</f>
        <v>881</v>
      </c>
      <c r="AU28" s="1">
        <f t="shared" ref="AU28:BK28" si="51">SUM(AU25:AU27)</f>
        <v>925</v>
      </c>
      <c r="AV28" s="1">
        <f t="shared" si="51"/>
        <v>999</v>
      </c>
      <c r="AW28" s="1">
        <f t="shared" si="51"/>
        <v>1138</v>
      </c>
      <c r="AX28" s="1">
        <f t="shared" si="51"/>
        <v>1219</v>
      </c>
      <c r="AY28" s="1">
        <f t="shared" si="51"/>
        <v>1867</v>
      </c>
      <c r="AZ28" s="1">
        <f t="shared" si="51"/>
        <v>2503</v>
      </c>
      <c r="BA28" s="1">
        <f t="shared" si="51"/>
        <v>2418</v>
      </c>
      <c r="BB28" s="1">
        <f t="shared" si="51"/>
        <v>2551</v>
      </c>
      <c r="BC28" s="1">
        <f t="shared" si="51"/>
        <v>2504</v>
      </c>
      <c r="BD28" s="1">
        <f t="shared" si="51"/>
        <v>2463</v>
      </c>
      <c r="BE28" s="1">
        <f t="shared" si="51"/>
        <v>2523</v>
      </c>
      <c r="BF28" s="1">
        <f t="shared" si="51"/>
        <v>2254</v>
      </c>
      <c r="BG28" s="1">
        <f t="shared" si="51"/>
        <v>2524</v>
      </c>
      <c r="BH28" s="1">
        <f t="shared" si="51"/>
        <v>2595</v>
      </c>
      <c r="BI28" s="1">
        <f t="shared" si="51"/>
        <v>2695</v>
      </c>
      <c r="BJ28" s="1">
        <f t="shared" si="51"/>
        <v>3011</v>
      </c>
      <c r="BK28" s="1">
        <f t="shared" si="51"/>
        <v>2930</v>
      </c>
      <c r="BL28" s="1">
        <f>SUM(BL25:BL27)</f>
        <v>3193</v>
      </c>
      <c r="BM28" s="1">
        <f>SUM(BM25:BM27)</f>
        <v>3510</v>
      </c>
      <c r="BW28" s="1">
        <f t="shared" si="34"/>
        <v>2113</v>
      </c>
      <c r="BX28" s="1">
        <f t="shared" si="35"/>
        <v>2572</v>
      </c>
      <c r="BY28" s="1">
        <f t="shared" si="36"/>
        <v>2291</v>
      </c>
      <c r="BZ28" s="1">
        <f t="shared" si="37"/>
        <v>1875</v>
      </c>
      <c r="CA28" s="1">
        <f t="shared" si="38"/>
        <v>1994</v>
      </c>
      <c r="CB28" s="1">
        <f t="shared" si="39"/>
        <v>1561</v>
      </c>
      <c r="CC28" s="1">
        <f t="shared" si="40"/>
        <v>1376</v>
      </c>
      <c r="CD28" s="1">
        <f t="shared" si="41"/>
        <v>1660</v>
      </c>
      <c r="CE28" s="1">
        <f t="shared" si="42"/>
        <v>1996</v>
      </c>
      <c r="CF28" s="1">
        <f t="shared" si="43"/>
        <v>2237</v>
      </c>
      <c r="CG28" s="1">
        <f t="shared" si="28"/>
        <v>2978</v>
      </c>
      <c r="CH28" s="1">
        <f t="shared" si="29"/>
        <v>4281</v>
      </c>
      <c r="CI28" s="1">
        <f t="shared" si="30"/>
        <v>9339</v>
      </c>
      <c r="CJ28" s="1">
        <f t="shared" si="31"/>
        <v>9744</v>
      </c>
      <c r="CK28" s="1">
        <f t="shared" si="32"/>
        <v>10825</v>
      </c>
      <c r="CL28" s="69">
        <f>SUM(CL25:CL27)</f>
        <v>13534.336299999999</v>
      </c>
      <c r="CM28" s="69">
        <f t="shared" ref="CM28:CU28" si="52">SUM(CM25:CM27)</f>
        <v>15715.516077</v>
      </c>
      <c r="CN28" s="69">
        <f t="shared" si="52"/>
        <v>18281.153575259999</v>
      </c>
      <c r="CO28" s="69">
        <f t="shared" si="52"/>
        <v>21081.571285679998</v>
      </c>
      <c r="CP28" s="69">
        <f t="shared" si="52"/>
        <v>23913.552945179516</v>
      </c>
      <c r="CQ28" s="69">
        <f t="shared" si="52"/>
        <v>26854.950458139658</v>
      </c>
      <c r="CR28" s="69">
        <f t="shared" si="52"/>
        <v>29736.618310815848</v>
      </c>
      <c r="CS28" s="69">
        <f t="shared" si="52"/>
        <v>32271.342920776478</v>
      </c>
      <c r="CT28" s="69">
        <f t="shared" si="52"/>
        <v>34334.335582435706</v>
      </c>
      <c r="CU28" s="69">
        <f t="shared" si="52"/>
        <v>36219.329531236363</v>
      </c>
    </row>
    <row r="29" spans="2:151">
      <c r="B29" s="1" t="s">
        <v>1460</v>
      </c>
      <c r="C29" s="1">
        <f t="shared" ref="C29:AP29" si="53">C24-C28</f>
        <v>182</v>
      </c>
      <c r="D29" s="1">
        <f t="shared" si="53"/>
        <v>125</v>
      </c>
      <c r="E29" s="1">
        <f t="shared" si="53"/>
        <v>128</v>
      </c>
      <c r="F29" s="1">
        <f t="shared" si="53"/>
        <v>413</v>
      </c>
      <c r="G29" s="1">
        <f t="shared" si="53"/>
        <v>54</v>
      </c>
      <c r="H29" s="1">
        <f t="shared" si="53"/>
        <v>105</v>
      </c>
      <c r="I29" s="1">
        <f t="shared" si="53"/>
        <v>138</v>
      </c>
      <c r="J29" s="1">
        <f t="shared" si="53"/>
        <v>71</v>
      </c>
      <c r="K29" s="1">
        <f t="shared" si="53"/>
        <v>-580</v>
      </c>
      <c r="L29" s="1">
        <f t="shared" si="53"/>
        <v>77</v>
      </c>
      <c r="M29" s="1">
        <f t="shared" si="53"/>
        <v>-131</v>
      </c>
      <c r="N29" s="1">
        <f t="shared" si="53"/>
        <v>-422</v>
      </c>
      <c r="O29" s="1">
        <f t="shared" si="53"/>
        <v>-98</v>
      </c>
      <c r="P29" s="1">
        <f t="shared" si="53"/>
        <v>-29</v>
      </c>
      <c r="Q29" s="1">
        <f t="shared" si="53"/>
        <v>95</v>
      </c>
      <c r="R29" s="1">
        <f t="shared" si="53"/>
        <v>135</v>
      </c>
      <c r="S29" s="1">
        <f t="shared" si="53"/>
        <v>49</v>
      </c>
      <c r="T29" s="1">
        <f t="shared" si="53"/>
        <v>63</v>
      </c>
      <c r="U29" s="1">
        <f t="shared" si="53"/>
        <v>63</v>
      </c>
      <c r="V29" s="1">
        <f t="shared" si="53"/>
        <v>-330</v>
      </c>
      <c r="W29" s="1">
        <f t="shared" si="53"/>
        <v>-137</v>
      </c>
      <c r="X29" s="1">
        <f t="shared" si="53"/>
        <v>-137</v>
      </c>
      <c r="Y29" s="1">
        <f t="shared" si="53"/>
        <v>-158</v>
      </c>
      <c r="Z29" s="1">
        <f t="shared" si="53"/>
        <v>-49</v>
      </c>
      <c r="AA29" s="1">
        <f t="shared" si="53"/>
        <v>-68</v>
      </c>
      <c r="AB29" s="1">
        <f t="shared" si="53"/>
        <v>-8</v>
      </c>
      <c r="AC29" s="1">
        <f t="shared" si="53"/>
        <v>-293</v>
      </c>
      <c r="AD29" s="1">
        <f t="shared" si="53"/>
        <v>-4</v>
      </c>
      <c r="AE29" s="1">
        <f t="shared" si="53"/>
        <v>11</v>
      </c>
      <c r="AF29" s="1">
        <f t="shared" si="53"/>
        <v>-1</v>
      </c>
      <c r="AG29" s="1">
        <f t="shared" si="53"/>
        <v>119</v>
      </c>
      <c r="AH29" s="1">
        <f t="shared" si="53"/>
        <v>-2</v>
      </c>
      <c r="AI29" s="1">
        <f t="shared" si="53"/>
        <v>120</v>
      </c>
      <c r="AJ29" s="1">
        <f t="shared" si="53"/>
        <v>153</v>
      </c>
      <c r="AK29" s="1">
        <f t="shared" si="53"/>
        <v>150</v>
      </c>
      <c r="AL29" s="1">
        <f t="shared" si="53"/>
        <v>28</v>
      </c>
      <c r="AM29" s="1">
        <f t="shared" si="53"/>
        <v>38</v>
      </c>
      <c r="AN29" s="1">
        <f t="shared" si="53"/>
        <v>59</v>
      </c>
      <c r="AO29" s="1">
        <f t="shared" si="53"/>
        <v>186</v>
      </c>
      <c r="AP29" s="1">
        <f t="shared" si="53"/>
        <v>348</v>
      </c>
      <c r="AQ29" s="1">
        <f>AQ24-AQ28</f>
        <v>177</v>
      </c>
      <c r="AR29" s="1">
        <f>AR24-AR28</f>
        <v>173</v>
      </c>
      <c r="AS29" s="1">
        <f>AS24-AS28</f>
        <v>449</v>
      </c>
      <c r="AT29" s="1">
        <f>AT24-AT28</f>
        <v>570</v>
      </c>
      <c r="AU29" s="1">
        <f t="shared" ref="AU29:BK29" si="54">AU24-AU28</f>
        <v>662</v>
      </c>
      <c r="AV29" s="1">
        <f t="shared" si="54"/>
        <v>831</v>
      </c>
      <c r="AW29" s="1">
        <f t="shared" si="54"/>
        <v>948</v>
      </c>
      <c r="AX29" s="1">
        <f t="shared" si="54"/>
        <v>1207</v>
      </c>
      <c r="AY29" s="1">
        <f t="shared" si="54"/>
        <v>951</v>
      </c>
      <c r="AZ29" s="1">
        <f t="shared" si="54"/>
        <v>525</v>
      </c>
      <c r="BA29" s="1">
        <f t="shared" si="54"/>
        <v>-64</v>
      </c>
      <c r="BB29" s="1">
        <f t="shared" si="54"/>
        <v>-148</v>
      </c>
      <c r="BC29" s="1">
        <f t="shared" si="54"/>
        <v>-145</v>
      </c>
      <c r="BD29" s="1">
        <f t="shared" si="54"/>
        <v>-20</v>
      </c>
      <c r="BE29" s="1">
        <f t="shared" si="54"/>
        <v>224</v>
      </c>
      <c r="BF29" s="1">
        <f t="shared" si="54"/>
        <v>657</v>
      </c>
      <c r="BG29" s="1">
        <f t="shared" si="54"/>
        <v>36</v>
      </c>
      <c r="BH29" s="1">
        <f t="shared" si="54"/>
        <v>269</v>
      </c>
      <c r="BI29" s="1">
        <f t="shared" si="54"/>
        <v>724</v>
      </c>
      <c r="BJ29" s="1">
        <f t="shared" si="54"/>
        <v>871</v>
      </c>
      <c r="BK29" s="1">
        <f t="shared" si="54"/>
        <v>806</v>
      </c>
      <c r="BL29" s="1">
        <f>BL24-BL28</f>
        <v>-134</v>
      </c>
      <c r="BM29" s="1">
        <f>BM24-BM28</f>
        <v>1270</v>
      </c>
      <c r="BW29" s="1">
        <f t="shared" si="34"/>
        <v>848</v>
      </c>
      <c r="BX29" s="1">
        <f t="shared" si="35"/>
        <v>368</v>
      </c>
      <c r="BY29" s="1">
        <f t="shared" si="36"/>
        <v>-1056</v>
      </c>
      <c r="BZ29" s="1">
        <f t="shared" si="37"/>
        <v>103</v>
      </c>
      <c r="CA29" s="1">
        <f t="shared" si="38"/>
        <v>-155</v>
      </c>
      <c r="CB29" s="1">
        <f t="shared" si="39"/>
        <v>-481</v>
      </c>
      <c r="CC29" s="1">
        <f t="shared" si="40"/>
        <v>-373</v>
      </c>
      <c r="CD29" s="1">
        <f t="shared" si="41"/>
        <v>127</v>
      </c>
      <c r="CE29" s="1">
        <f t="shared" si="42"/>
        <v>451</v>
      </c>
      <c r="CF29" s="1">
        <f t="shared" si="43"/>
        <v>631</v>
      </c>
      <c r="CG29" s="1">
        <f t="shared" si="28"/>
        <v>1369</v>
      </c>
      <c r="CH29" s="1">
        <f t="shared" si="29"/>
        <v>3648</v>
      </c>
      <c r="CI29" s="1">
        <f t="shared" si="30"/>
        <v>1264</v>
      </c>
      <c r="CJ29" s="1">
        <f t="shared" si="31"/>
        <v>716</v>
      </c>
      <c r="CK29" s="1">
        <f t="shared" si="32"/>
        <v>1900</v>
      </c>
      <c r="CL29" s="69">
        <f>CL24-CL28</f>
        <v>3198.9591</v>
      </c>
      <c r="CM29" s="69">
        <f t="shared" ref="CM29:CU29" si="55">CM24-CM28</f>
        <v>5653.5076889999982</v>
      </c>
      <c r="CN29" s="69">
        <f t="shared" si="55"/>
        <v>8041.9504818599962</v>
      </c>
      <c r="CO29" s="69">
        <f t="shared" si="55"/>
        <v>10729.263098879997</v>
      </c>
      <c r="CP29" s="69">
        <f t="shared" si="55"/>
        <v>13867.783835598719</v>
      </c>
      <c r="CQ29" s="69">
        <f t="shared" si="55"/>
        <v>17203.669808461051</v>
      </c>
      <c r="CR29" s="69">
        <f t="shared" si="55"/>
        <v>20894.688064902675</v>
      </c>
      <c r="CS29" s="69">
        <f t="shared" si="55"/>
        <v>24712.035593432047</v>
      </c>
      <c r="CT29" s="69">
        <f t="shared" si="55"/>
        <v>28503.432759455027</v>
      </c>
      <c r="CU29" s="69">
        <f t="shared" si="55"/>
        <v>31269.07982459999</v>
      </c>
    </row>
    <row r="30" spans="2:151">
      <c r="B30" s="1" t="s">
        <v>1461</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-13</v>
      </c>
      <c r="AR30" s="1">
        <v>-14</v>
      </c>
      <c r="AS30" s="1">
        <v>-11</v>
      </c>
      <c r="AT30" s="1">
        <f>-47-SUM(AQ30:AS30)</f>
        <v>-9</v>
      </c>
      <c r="AU30" s="1">
        <v>-9</v>
      </c>
      <c r="AV30" s="1">
        <v>-10</v>
      </c>
      <c r="AW30" s="1">
        <v>-7</v>
      </c>
      <c r="AX30" s="1">
        <f>-34-SUM(AU30:AW30)</f>
        <v>-8</v>
      </c>
      <c r="AY30" s="1">
        <v>-13</v>
      </c>
      <c r="AZ30" s="1">
        <v>-25</v>
      </c>
      <c r="BA30" s="1">
        <v>-31</v>
      </c>
      <c r="BB30" s="1">
        <f>-88-SUM(AY30:BA30)</f>
        <v>-19</v>
      </c>
      <c r="BC30" s="1">
        <v>-25</v>
      </c>
      <c r="BD30" s="1">
        <v>-28</v>
      </c>
      <c r="BE30" s="1">
        <v>-26</v>
      </c>
      <c r="BF30" s="1">
        <f>-106-SUM(BC30:BE30)</f>
        <v>-27</v>
      </c>
      <c r="BG30" s="1">
        <v>-25</v>
      </c>
      <c r="BH30" s="1">
        <v>-25</v>
      </c>
      <c r="BI30" s="1">
        <v>-23</v>
      </c>
      <c r="BJ30" s="1">
        <f>-92-SUM(BG30:BI30)</f>
        <v>-19</v>
      </c>
      <c r="BK30" s="1">
        <v>-20</v>
      </c>
      <c r="BL30" s="1">
        <v>-38</v>
      </c>
      <c r="BM30" s="1">
        <v>-37</v>
      </c>
      <c r="BW30" s="1">
        <f>SUM(C31:F31)</f>
        <v>123</v>
      </c>
      <c r="BX30" s="1">
        <f>SUM(G31:J31)</f>
        <v>-369</v>
      </c>
      <c r="BY30" s="1">
        <f>SUM(K31:N31)</f>
        <v>-161</v>
      </c>
      <c r="BZ30" s="1">
        <f>SUM(O31:R31)</f>
        <v>-177</v>
      </c>
      <c r="CA30" s="1">
        <f>SUM(S31:V31)</f>
        <v>-243</v>
      </c>
      <c r="CB30" s="1">
        <f>SUM(W31:Z31)</f>
        <v>-165</v>
      </c>
      <c r="CC30" s="1">
        <f>SUM(AA31:AD31)</f>
        <v>-76</v>
      </c>
      <c r="CD30" s="1">
        <f>SUM(AE31:AH31)</f>
        <v>-135</v>
      </c>
      <c r="CE30" s="1">
        <f>SUM(AI31:AL31)</f>
        <v>-121</v>
      </c>
      <c r="CF30" s="1">
        <f>SUM(AM31:AP31)</f>
        <v>-259</v>
      </c>
      <c r="CG30" s="1">
        <f t="shared" si="28"/>
        <v>-47</v>
      </c>
      <c r="CH30" s="1">
        <f t="shared" si="29"/>
        <v>-34</v>
      </c>
      <c r="CI30" s="1">
        <f t="shared" si="30"/>
        <v>-88</v>
      </c>
      <c r="CJ30" s="1">
        <f t="shared" si="31"/>
        <v>-106</v>
      </c>
      <c r="CK30" s="1">
        <f t="shared" si="32"/>
        <v>-92</v>
      </c>
      <c r="CL30" s="69">
        <f t="shared" ref="CL30:CU30" si="56">CK47*$CU$49</f>
        <v>444.97249999999997</v>
      </c>
      <c r="CM30" s="69">
        <f t="shared" si="56"/>
        <v>851.72636484999998</v>
      </c>
      <c r="CN30" s="69">
        <f t="shared" si="56"/>
        <v>1539.6548660446374</v>
      </c>
      <c r="CO30" s="69">
        <f t="shared" si="56"/>
        <v>2530.3928590179762</v>
      </c>
      <c r="CP30" s="69">
        <f t="shared" si="56"/>
        <v>3901.4412850646272</v>
      </c>
      <c r="CQ30" s="69">
        <f t="shared" si="56"/>
        <v>5738.7791625412174</v>
      </c>
      <c r="CR30" s="69">
        <f t="shared" si="56"/>
        <v>8111.0283861428516</v>
      </c>
      <c r="CS30" s="69">
        <f t="shared" si="56"/>
        <v>11110.219467180959</v>
      </c>
      <c r="CT30" s="69">
        <f t="shared" si="56"/>
        <v>14814.240640448343</v>
      </c>
      <c r="CU30" s="69">
        <f t="shared" si="56"/>
        <v>19293.288069998351</v>
      </c>
    </row>
    <row r="31" spans="2:151">
      <c r="B31" s="1" t="s">
        <v>1465</v>
      </c>
      <c r="C31" s="1">
        <v>258</v>
      </c>
      <c r="D31" s="1">
        <v>-53</v>
      </c>
      <c r="E31" s="1">
        <v>-59</v>
      </c>
      <c r="F31" s="1">
        <v>-23</v>
      </c>
      <c r="G31" s="1">
        <v>-34</v>
      </c>
      <c r="H31" s="1">
        <v>-41</v>
      </c>
      <c r="I31" s="1">
        <v>-46</v>
      </c>
      <c r="J31" s="1">
        <v>-248</v>
      </c>
      <c r="K31" s="1">
        <v>-42</v>
      </c>
      <c r="L31" s="1">
        <v>-46</v>
      </c>
      <c r="M31" s="1">
        <v>-26</v>
      </c>
      <c r="N31" s="1">
        <v>-47</v>
      </c>
      <c r="O31" s="1">
        <v>-46</v>
      </c>
      <c r="P31" s="1">
        <v>-42</v>
      </c>
      <c r="Q31" s="1">
        <v>-44</v>
      </c>
      <c r="R31" s="1">
        <v>-45</v>
      </c>
      <c r="S31" s="1">
        <v>-67</v>
      </c>
      <c r="T31" s="1">
        <v>-95</v>
      </c>
      <c r="U31" s="1">
        <v>-44</v>
      </c>
      <c r="V31" s="1">
        <v>-37</v>
      </c>
      <c r="W31" s="1">
        <v>-40</v>
      </c>
      <c r="X31" s="1">
        <v>-43</v>
      </c>
      <c r="Y31" s="1">
        <v>-39</v>
      </c>
      <c r="Z31" s="1">
        <v>-43</v>
      </c>
      <c r="AA31" s="1">
        <v>-40</v>
      </c>
      <c r="AB31" s="1">
        <v>109</v>
      </c>
      <c r="AC31" s="1">
        <v>-104</v>
      </c>
      <c r="AD31" s="1">
        <v>-41</v>
      </c>
      <c r="AE31" s="1">
        <v>-37</v>
      </c>
      <c r="AF31" s="1">
        <v>-35</v>
      </c>
      <c r="AG31" s="1">
        <v>-34</v>
      </c>
      <c r="AH31" s="1">
        <v>-29</v>
      </c>
      <c r="AI31" s="1">
        <v>-30</v>
      </c>
      <c r="AJ31" s="1">
        <v>-30</v>
      </c>
      <c r="AK31" s="1">
        <v>-36</v>
      </c>
      <c r="AL31" s="1">
        <v>-25</v>
      </c>
      <c r="AM31" s="1">
        <v>-34</v>
      </c>
      <c r="AN31" s="1">
        <v>-22</v>
      </c>
      <c r="AO31" s="1">
        <v>-60</v>
      </c>
      <c r="AP31" s="1">
        <v>-143</v>
      </c>
      <c r="AQ31" s="1">
        <v>4</v>
      </c>
      <c r="AR31" s="1">
        <v>1</v>
      </c>
      <c r="AS31" s="1">
        <v>-37</v>
      </c>
      <c r="AT31" s="1">
        <f>-47-SUM(AQ31:AS31)</f>
        <v>-15</v>
      </c>
      <c r="AU31" s="1">
        <v>-11</v>
      </c>
      <c r="AV31" s="1">
        <v>0</v>
      </c>
      <c r="AW31" s="1">
        <v>62</v>
      </c>
      <c r="AX31" s="1">
        <f>55-SUM(AU31:AW31)</f>
        <v>4</v>
      </c>
      <c r="AY31" s="1">
        <v>-42</v>
      </c>
      <c r="AZ31" s="1">
        <v>-4</v>
      </c>
      <c r="BA31" s="1">
        <v>22</v>
      </c>
      <c r="BB31" s="1">
        <f>8-SUM(AY31:BA31)</f>
        <v>32</v>
      </c>
      <c r="BC31" s="1">
        <v>43</v>
      </c>
      <c r="BD31" s="1">
        <v>46</v>
      </c>
      <c r="BE31" s="1">
        <v>59</v>
      </c>
      <c r="BF31" s="1">
        <f>197-SUM(BC31:BE31)</f>
        <v>49</v>
      </c>
      <c r="BG31" s="1">
        <v>53</v>
      </c>
      <c r="BH31" s="1">
        <v>55</v>
      </c>
      <c r="BI31" s="1">
        <v>36</v>
      </c>
      <c r="BJ31" s="1">
        <f>181-SUM(BG31:BI31)</f>
        <v>37</v>
      </c>
      <c r="BK31" s="1">
        <v>39</v>
      </c>
      <c r="BL31" s="1">
        <v>98</v>
      </c>
      <c r="BM31" s="1">
        <v>82</v>
      </c>
      <c r="BW31" s="1">
        <f>SUM(C32:F32)</f>
        <v>971</v>
      </c>
      <c r="BX31" s="1">
        <f>SUM(G32:J32)</f>
        <v>-1</v>
      </c>
      <c r="BY31" s="1">
        <f>SUM(K32:N32)</f>
        <v>-1217</v>
      </c>
      <c r="BZ31" s="1">
        <f>SUM(O32:R32)</f>
        <v>-74</v>
      </c>
      <c r="CA31" s="1">
        <f>SUM(S32:V32)</f>
        <v>-398</v>
      </c>
      <c r="CB31" s="1">
        <f>SUM(W32:Z32)</f>
        <v>-646</v>
      </c>
      <c r="CC31" s="1">
        <f>SUM(AA32:AD32)</f>
        <v>-449</v>
      </c>
      <c r="CD31" s="1">
        <f>SUM(AE32:AH32)</f>
        <v>-8</v>
      </c>
      <c r="CE31" s="1">
        <f>SUM(AI32:AL32)</f>
        <v>330</v>
      </c>
      <c r="CF31" s="1">
        <f>SUM(AM32:AP32)</f>
        <v>372</v>
      </c>
      <c r="CG31" s="1">
        <f t="shared" si="28"/>
        <v>-47</v>
      </c>
      <c r="CH31" s="1">
        <f t="shared" si="29"/>
        <v>55</v>
      </c>
      <c r="CI31" s="1">
        <f t="shared" si="30"/>
        <v>8</v>
      </c>
      <c r="CJ31" s="1">
        <f t="shared" si="31"/>
        <v>197</v>
      </c>
      <c r="CK31" s="1">
        <f t="shared" si="32"/>
        <v>181</v>
      </c>
      <c r="CL31" s="53">
        <v>0</v>
      </c>
      <c r="CM31" s="53">
        <v>0</v>
      </c>
      <c r="CN31" s="53">
        <v>0</v>
      </c>
      <c r="CO31" s="53">
        <v>0</v>
      </c>
      <c r="CP31" s="53">
        <v>0</v>
      </c>
      <c r="CQ31" s="53">
        <v>0</v>
      </c>
      <c r="CR31" s="53">
        <v>0</v>
      </c>
      <c r="CS31" s="53">
        <v>0</v>
      </c>
      <c r="CT31" s="53">
        <v>0</v>
      </c>
      <c r="CU31" s="53">
        <v>0</v>
      </c>
    </row>
    <row r="32" spans="2:151">
      <c r="B32" s="1" t="s">
        <v>1462</v>
      </c>
      <c r="C32" s="1">
        <f t="shared" ref="C32:AO32" si="57">C29+SUM(C30:C31)</f>
        <v>440</v>
      </c>
      <c r="D32" s="1">
        <f t="shared" si="57"/>
        <v>72</v>
      </c>
      <c r="E32" s="1">
        <f t="shared" si="57"/>
        <v>69</v>
      </c>
      <c r="F32" s="1">
        <f t="shared" si="57"/>
        <v>390</v>
      </c>
      <c r="G32" s="1">
        <f t="shared" si="57"/>
        <v>20</v>
      </c>
      <c r="H32" s="1">
        <f t="shared" si="57"/>
        <v>64</v>
      </c>
      <c r="I32" s="1">
        <f t="shared" si="57"/>
        <v>92</v>
      </c>
      <c r="J32" s="1">
        <f t="shared" si="57"/>
        <v>-177</v>
      </c>
      <c r="K32" s="1">
        <f t="shared" si="57"/>
        <v>-622</v>
      </c>
      <c r="L32" s="1">
        <f t="shared" si="57"/>
        <v>31</v>
      </c>
      <c r="M32" s="1">
        <f t="shared" si="57"/>
        <v>-157</v>
      </c>
      <c r="N32" s="1">
        <f t="shared" si="57"/>
        <v>-469</v>
      </c>
      <c r="O32" s="1">
        <f t="shared" si="57"/>
        <v>-144</v>
      </c>
      <c r="P32" s="1">
        <f t="shared" si="57"/>
        <v>-71</v>
      </c>
      <c r="Q32" s="1">
        <f t="shared" si="57"/>
        <v>51</v>
      </c>
      <c r="R32" s="1">
        <f t="shared" si="57"/>
        <v>90</v>
      </c>
      <c r="S32" s="1">
        <f t="shared" si="57"/>
        <v>-18</v>
      </c>
      <c r="T32" s="1">
        <f t="shared" si="57"/>
        <v>-32</v>
      </c>
      <c r="U32" s="1">
        <f t="shared" si="57"/>
        <v>19</v>
      </c>
      <c r="V32" s="1">
        <f t="shared" si="57"/>
        <v>-367</v>
      </c>
      <c r="W32" s="1">
        <f t="shared" si="57"/>
        <v>-177</v>
      </c>
      <c r="X32" s="1">
        <f t="shared" si="57"/>
        <v>-180</v>
      </c>
      <c r="Y32" s="1">
        <f t="shared" si="57"/>
        <v>-197</v>
      </c>
      <c r="Z32" s="1">
        <f t="shared" si="57"/>
        <v>-92</v>
      </c>
      <c r="AA32" s="1">
        <f t="shared" si="57"/>
        <v>-108</v>
      </c>
      <c r="AB32" s="1">
        <f t="shared" si="57"/>
        <v>101</v>
      </c>
      <c r="AC32" s="1">
        <f t="shared" si="57"/>
        <v>-397</v>
      </c>
      <c r="AD32" s="1">
        <f t="shared" si="57"/>
        <v>-45</v>
      </c>
      <c r="AE32" s="1">
        <f t="shared" si="57"/>
        <v>-26</v>
      </c>
      <c r="AF32" s="1">
        <f t="shared" si="57"/>
        <v>-36</v>
      </c>
      <c r="AG32" s="1">
        <f t="shared" si="57"/>
        <v>85</v>
      </c>
      <c r="AH32" s="1">
        <f t="shared" si="57"/>
        <v>-31</v>
      </c>
      <c r="AI32" s="1">
        <f t="shared" si="57"/>
        <v>90</v>
      </c>
      <c r="AJ32" s="1">
        <f t="shared" si="57"/>
        <v>123</v>
      </c>
      <c r="AK32" s="1">
        <f t="shared" si="57"/>
        <v>114</v>
      </c>
      <c r="AL32" s="1">
        <f t="shared" si="57"/>
        <v>3</v>
      </c>
      <c r="AM32" s="1">
        <f t="shared" si="57"/>
        <v>4</v>
      </c>
      <c r="AN32" s="1">
        <f t="shared" si="57"/>
        <v>37</v>
      </c>
      <c r="AO32" s="1">
        <f t="shared" si="57"/>
        <v>126</v>
      </c>
      <c r="AP32" s="1">
        <f>AP29+SUM(AP30:AP31)</f>
        <v>205</v>
      </c>
      <c r="AQ32" s="1">
        <f>AQ29+SUM(AQ30:AQ31)</f>
        <v>168</v>
      </c>
      <c r="AR32" s="1">
        <f>AR29+SUM(AR30:AR31)</f>
        <v>160</v>
      </c>
      <c r="AS32" s="1">
        <f>AS29+SUM(AS30:AS31)</f>
        <v>401</v>
      </c>
      <c r="AT32" s="1">
        <f>AT29+SUM(AT30:AT31)</f>
        <v>546</v>
      </c>
      <c r="AU32" s="1">
        <f t="shared" ref="AU32:BK32" si="58">AU29+SUM(AU30:AU31)</f>
        <v>642</v>
      </c>
      <c r="AV32" s="1">
        <f t="shared" si="58"/>
        <v>821</v>
      </c>
      <c r="AW32" s="1">
        <f t="shared" si="58"/>
        <v>1003</v>
      </c>
      <c r="AX32" s="1">
        <f t="shared" si="58"/>
        <v>1203</v>
      </c>
      <c r="AY32" s="1">
        <f t="shared" si="58"/>
        <v>896</v>
      </c>
      <c r="AZ32" s="1">
        <f t="shared" si="58"/>
        <v>496</v>
      </c>
      <c r="BA32" s="1">
        <f t="shared" si="58"/>
        <v>-73</v>
      </c>
      <c r="BB32" s="1">
        <f t="shared" si="58"/>
        <v>-135</v>
      </c>
      <c r="BC32" s="1">
        <f t="shared" si="58"/>
        <v>-127</v>
      </c>
      <c r="BD32" s="1">
        <f t="shared" si="58"/>
        <v>-2</v>
      </c>
      <c r="BE32" s="1">
        <f t="shared" si="58"/>
        <v>257</v>
      </c>
      <c r="BF32" s="1">
        <f t="shared" si="58"/>
        <v>679</v>
      </c>
      <c r="BG32" s="1">
        <f t="shared" si="58"/>
        <v>64</v>
      </c>
      <c r="BH32" s="1">
        <f t="shared" si="58"/>
        <v>299</v>
      </c>
      <c r="BI32" s="1">
        <f t="shared" si="58"/>
        <v>737</v>
      </c>
      <c r="BJ32" s="1">
        <f t="shared" si="58"/>
        <v>889</v>
      </c>
      <c r="BK32" s="1">
        <f t="shared" si="58"/>
        <v>825</v>
      </c>
      <c r="BL32" s="1">
        <f>BL29+SUM(BL30:BL31)</f>
        <v>-74</v>
      </c>
      <c r="BM32" s="1">
        <f>BM29+SUM(BM30:BM31)</f>
        <v>1315</v>
      </c>
      <c r="BW32" s="1">
        <f>SUM(C32:F32)</f>
        <v>971</v>
      </c>
      <c r="BX32" s="1">
        <f>SUM(G32:J32)</f>
        <v>-1</v>
      </c>
      <c r="BY32" s="1">
        <f>SUM(K32:N32)</f>
        <v>-1217</v>
      </c>
      <c r="BZ32" s="1">
        <f>SUM(O32:R32)</f>
        <v>-74</v>
      </c>
      <c r="CA32" s="1">
        <f>SUM(S32:V32)</f>
        <v>-398</v>
      </c>
      <c r="CB32" s="1">
        <f>SUM(W32:Z32)</f>
        <v>-646</v>
      </c>
      <c r="CC32" s="1">
        <f>SUM(AA32:AD32)</f>
        <v>-449</v>
      </c>
      <c r="CD32" s="1">
        <f>SUM(AE32:AH32)</f>
        <v>-8</v>
      </c>
      <c r="CE32" s="1">
        <f>SUM(AI32:AL32)</f>
        <v>330</v>
      </c>
      <c r="CF32" s="1">
        <f>SUM(AM32:AP32)</f>
        <v>372</v>
      </c>
      <c r="CG32" s="1">
        <f t="shared" si="28"/>
        <v>1275</v>
      </c>
      <c r="CH32" s="1">
        <f t="shared" si="29"/>
        <v>3669</v>
      </c>
      <c r="CI32" s="1">
        <f t="shared" si="30"/>
        <v>1184</v>
      </c>
      <c r="CJ32" s="1">
        <f t="shared" si="31"/>
        <v>807</v>
      </c>
      <c r="CK32" s="1">
        <f t="shared" si="32"/>
        <v>1989</v>
      </c>
      <c r="CL32" s="69">
        <f>CL29+CL30</f>
        <v>3643.9315999999999</v>
      </c>
      <c r="CM32" s="69">
        <f t="shared" ref="CM32:CU32" si="59">CM29+SUM(CM30:CM31)</f>
        <v>6505.2340538499984</v>
      </c>
      <c r="CN32" s="69">
        <f t="shared" si="59"/>
        <v>9581.6053479046332</v>
      </c>
      <c r="CO32" s="69">
        <f t="shared" si="59"/>
        <v>13259.655957897974</v>
      </c>
      <c r="CP32" s="69">
        <f t="shared" si="59"/>
        <v>17769.225120663345</v>
      </c>
      <c r="CQ32" s="69">
        <f t="shared" si="59"/>
        <v>22942.448971002268</v>
      </c>
      <c r="CR32" s="69">
        <f t="shared" si="59"/>
        <v>29005.716451045526</v>
      </c>
      <c r="CS32" s="69">
        <f t="shared" si="59"/>
        <v>35822.25506061301</v>
      </c>
      <c r="CT32" s="69">
        <f t="shared" si="59"/>
        <v>43317.673399903368</v>
      </c>
      <c r="CU32" s="69">
        <f t="shared" si="59"/>
        <v>50562.367894598341</v>
      </c>
    </row>
    <row r="33" spans="2:151">
      <c r="B33" s="1" t="s">
        <v>1463</v>
      </c>
      <c r="C33" s="1">
        <v>183</v>
      </c>
      <c r="D33" s="1">
        <v>-5</v>
      </c>
      <c r="E33" s="1">
        <v>1</v>
      </c>
      <c r="F33" s="1">
        <v>42</v>
      </c>
      <c r="G33" s="1">
        <v>2</v>
      </c>
      <c r="H33" s="1">
        <v>3</v>
      </c>
      <c r="I33" s="1">
        <v>-5</v>
      </c>
      <c r="J33" s="1">
        <v>-4</v>
      </c>
      <c r="K33" s="1">
        <v>-32</v>
      </c>
      <c r="L33" s="1">
        <v>-6</v>
      </c>
      <c r="M33" s="1">
        <v>0</v>
      </c>
      <c r="N33" s="1">
        <v>4</v>
      </c>
      <c r="O33" s="1">
        <v>2</v>
      </c>
      <c r="P33" s="1">
        <v>3</v>
      </c>
      <c r="Q33" s="1">
        <v>3</v>
      </c>
      <c r="R33" s="1">
        <v>1</v>
      </c>
      <c r="S33" s="1">
        <v>2</v>
      </c>
      <c r="T33" s="1">
        <v>4</v>
      </c>
      <c r="U33" s="1">
        <v>2</v>
      </c>
      <c r="V33" s="1">
        <v>-3</v>
      </c>
      <c r="W33" s="1">
        <v>3</v>
      </c>
      <c r="X33" s="1">
        <v>1</v>
      </c>
      <c r="Y33" s="1">
        <v>0</v>
      </c>
      <c r="Z33" s="1">
        <v>10</v>
      </c>
      <c r="AA33" s="1">
        <v>1</v>
      </c>
      <c r="AB33" s="1">
        <v>29</v>
      </c>
      <c r="AC33" s="1">
        <v>4</v>
      </c>
      <c r="AD33" s="1">
        <v>5</v>
      </c>
      <c r="AE33" s="1">
        <v>5</v>
      </c>
      <c r="AF33" s="1">
        <v>3</v>
      </c>
      <c r="AG33" s="1">
        <v>22</v>
      </c>
      <c r="AH33" s="1">
        <v>-12</v>
      </c>
      <c r="AI33" s="1">
        <v>8</v>
      </c>
      <c r="AJ33" s="1">
        <v>6</v>
      </c>
      <c r="AK33" s="1">
        <v>12</v>
      </c>
      <c r="AL33" s="1">
        <v>-35</v>
      </c>
      <c r="AM33" s="1">
        <v>-13</v>
      </c>
      <c r="AN33" s="1">
        <v>2</v>
      </c>
      <c r="AO33" s="1">
        <v>7</v>
      </c>
      <c r="AP33" s="1">
        <v>35</v>
      </c>
      <c r="AQ33" s="1">
        <v>6</v>
      </c>
      <c r="AR33" s="1">
        <v>4</v>
      </c>
      <c r="AS33" s="1">
        <v>12</v>
      </c>
      <c r="AT33" s="1">
        <f>-1210-SUM(AQ33:AS33)</f>
        <v>-1232</v>
      </c>
      <c r="AU33" s="1">
        <v>89</v>
      </c>
      <c r="AV33" s="1">
        <v>113</v>
      </c>
      <c r="AW33" s="1">
        <v>82</v>
      </c>
      <c r="AX33" s="1">
        <f>513-SUM(AU33:AW33)</f>
        <v>229</v>
      </c>
      <c r="AY33" s="1">
        <v>113</v>
      </c>
      <c r="AZ33" s="1">
        <v>53</v>
      </c>
      <c r="BA33" s="1">
        <v>-135</v>
      </c>
      <c r="BB33" s="1">
        <f>-122-SUM(AY33:BA33)</f>
        <v>-153</v>
      </c>
      <c r="BC33" s="1">
        <v>13</v>
      </c>
      <c r="BD33" s="1">
        <v>-23</v>
      </c>
      <c r="BE33" s="1">
        <v>-39</v>
      </c>
      <c r="BF33" s="1">
        <f>-346-SUM(BC33:BE33)</f>
        <v>-297</v>
      </c>
      <c r="BG33" s="1">
        <v>-52</v>
      </c>
      <c r="BH33" s="1">
        <v>41</v>
      </c>
      <c r="BI33" s="1">
        <v>-27</v>
      </c>
      <c r="BJ33" s="1">
        <f>381-SUM(BG33:BI33)</f>
        <v>419</v>
      </c>
      <c r="BK33" s="1">
        <v>123</v>
      </c>
      <c r="BL33" s="1">
        <v>-834</v>
      </c>
      <c r="BM33" s="1">
        <v>153</v>
      </c>
      <c r="BW33" s="1">
        <f>SUM(C33:F33)</f>
        <v>221</v>
      </c>
      <c r="BX33" s="1">
        <f>SUM(G33:J33)</f>
        <v>-4</v>
      </c>
      <c r="BY33" s="1">
        <f>SUM(K33:N33)</f>
        <v>-34</v>
      </c>
      <c r="BZ33" s="1">
        <f>SUM(O33:R33)</f>
        <v>9</v>
      </c>
      <c r="CA33" s="1">
        <f>SUM(S33:V33)</f>
        <v>5</v>
      </c>
      <c r="CB33" s="1">
        <f>SUM(W33:Z33)</f>
        <v>14</v>
      </c>
      <c r="CC33" s="1">
        <f>SUM(AA33:AD33)</f>
        <v>39</v>
      </c>
      <c r="CD33" s="1">
        <f>SUM(AE33:AH33)</f>
        <v>18</v>
      </c>
      <c r="CE33" s="1">
        <f>SUM(AI33:AL33)</f>
        <v>-9</v>
      </c>
      <c r="CF33" s="1">
        <f>SUM(AM33:AP33)</f>
        <v>31</v>
      </c>
      <c r="CG33" s="1">
        <f t="shared" si="28"/>
        <v>-1210</v>
      </c>
      <c r="CH33" s="1">
        <f t="shared" si="29"/>
        <v>513</v>
      </c>
      <c r="CI33" s="1">
        <f t="shared" si="30"/>
        <v>-122</v>
      </c>
      <c r="CJ33" s="1">
        <f t="shared" si="31"/>
        <v>-346</v>
      </c>
      <c r="CK33" s="1">
        <f t="shared" si="32"/>
        <v>381</v>
      </c>
      <c r="CL33" s="69">
        <f>CL32*CL44</f>
        <v>182.19658000000001</v>
      </c>
      <c r="CM33" s="69">
        <f t="shared" ref="CM33:CU33" si="60">CM32*CM44</f>
        <v>650.52340538499993</v>
      </c>
      <c r="CN33" s="69">
        <f t="shared" si="60"/>
        <v>1149.792641748556</v>
      </c>
      <c r="CO33" s="69">
        <f t="shared" si="60"/>
        <v>1591.1587149477568</v>
      </c>
      <c r="CP33" s="69">
        <f t="shared" si="60"/>
        <v>2132.3070144796011</v>
      </c>
      <c r="CQ33" s="69">
        <f t="shared" si="60"/>
        <v>2753.0938765202723</v>
      </c>
      <c r="CR33" s="69">
        <f t="shared" si="60"/>
        <v>3480.685974125463</v>
      </c>
      <c r="CS33" s="69">
        <f t="shared" si="60"/>
        <v>4298.6706072735615</v>
      </c>
      <c r="CT33" s="69">
        <f t="shared" si="60"/>
        <v>5198.1208079884036</v>
      </c>
      <c r="CU33" s="69">
        <f t="shared" si="60"/>
        <v>6067.4841473518009</v>
      </c>
    </row>
    <row r="34" spans="2:151">
      <c r="B34" s="1" t="s">
        <v>1464</v>
      </c>
      <c r="C34" s="1">
        <v>0</v>
      </c>
      <c r="D34" s="1">
        <v>-120</v>
      </c>
      <c r="E34" s="1">
        <v>-186</v>
      </c>
      <c r="F34" s="1">
        <v>27</v>
      </c>
      <c r="G34" s="1">
        <v>492</v>
      </c>
      <c r="H34" s="1">
        <v>0</v>
      </c>
      <c r="I34" s="1">
        <v>0</v>
      </c>
      <c r="J34" s="1">
        <v>-4</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-3</v>
      </c>
      <c r="AC34" s="1">
        <v>-5</v>
      </c>
      <c r="AD34" s="1">
        <v>-2</v>
      </c>
      <c r="AE34" s="1">
        <v>-2</v>
      </c>
      <c r="AF34" s="1">
        <v>-3</v>
      </c>
      <c r="AG34" s="1">
        <v>-2</v>
      </c>
      <c r="AH34" s="1">
        <v>0</v>
      </c>
      <c r="AI34" s="1">
        <v>-1</v>
      </c>
      <c r="AJ34" s="1">
        <v>-1</v>
      </c>
      <c r="AK34" s="1">
        <v>0</v>
      </c>
      <c r="AL34" s="1">
        <v>0</v>
      </c>
      <c r="AM34" s="1">
        <v>-1</v>
      </c>
      <c r="AN34" s="1">
        <v>0</v>
      </c>
      <c r="AO34" s="1">
        <v>0</v>
      </c>
      <c r="AP34" s="1">
        <v>0</v>
      </c>
      <c r="AQ34" s="1">
        <v>0</v>
      </c>
      <c r="AR34" s="1">
        <v>1</v>
      </c>
      <c r="AS34" s="1">
        <v>1</v>
      </c>
      <c r="AT34" s="1">
        <f>5-SUM(AQ34:AS34)</f>
        <v>3</v>
      </c>
      <c r="AU34" s="1">
        <v>2</v>
      </c>
      <c r="AV34" s="1">
        <v>2</v>
      </c>
      <c r="AW34" s="1">
        <v>2</v>
      </c>
      <c r="AX34" s="1">
        <f>6-SUM(AU34:AW34)</f>
        <v>0</v>
      </c>
      <c r="AY34" s="1">
        <v>3</v>
      </c>
      <c r="AZ34" s="1">
        <v>4</v>
      </c>
      <c r="BA34" s="1">
        <v>4</v>
      </c>
      <c r="BB34" s="1">
        <f>14-SUM(AY34:BA34)</f>
        <v>3</v>
      </c>
      <c r="BC34" s="1">
        <v>1</v>
      </c>
      <c r="BD34" s="1">
        <v>6</v>
      </c>
      <c r="BE34" s="1">
        <v>3</v>
      </c>
      <c r="BF34" s="1">
        <f>16-SUM(BC34:BE34)</f>
        <v>6</v>
      </c>
      <c r="BG34" s="1">
        <v>7</v>
      </c>
      <c r="BH34" s="1">
        <v>7</v>
      </c>
      <c r="BI34" s="1">
        <v>7</v>
      </c>
      <c r="BJ34" s="1">
        <f>33-SUM(BG34:BI34)</f>
        <v>12</v>
      </c>
      <c r="BK34" s="1">
        <v>7</v>
      </c>
      <c r="BL34" s="1">
        <v>8</v>
      </c>
      <c r="BM34" s="1">
        <v>10</v>
      </c>
      <c r="BW34" s="1">
        <f>SUM(C34:F34)</f>
        <v>-279</v>
      </c>
      <c r="BX34" s="1">
        <f>SUM(G34:J34)</f>
        <v>488</v>
      </c>
      <c r="BY34" s="1">
        <f>SUM(K34:N34)</f>
        <v>0</v>
      </c>
      <c r="BZ34" s="1">
        <f>SUM(O34:R34)</f>
        <v>0</v>
      </c>
      <c r="CA34" s="1">
        <f>SUM(S34:V34)</f>
        <v>0</v>
      </c>
      <c r="CB34" s="1">
        <f>SUM(W34:Z34)</f>
        <v>0</v>
      </c>
      <c r="CC34" s="1">
        <f>SUM(AA34:AD34)</f>
        <v>-10</v>
      </c>
      <c r="CD34" s="1">
        <f>SUM(AE34:AH34)</f>
        <v>-7</v>
      </c>
      <c r="CE34" s="1">
        <f>SUM(AI34:AL34)</f>
        <v>-2</v>
      </c>
      <c r="CF34" s="1">
        <f>SUM(AM34:AP34)</f>
        <v>-1</v>
      </c>
      <c r="CG34" s="1">
        <f t="shared" si="28"/>
        <v>5</v>
      </c>
      <c r="CH34" s="1">
        <f t="shared" si="29"/>
        <v>6</v>
      </c>
      <c r="CI34" s="1">
        <f t="shared" si="30"/>
        <v>14</v>
      </c>
      <c r="CJ34" s="1">
        <f t="shared" si="31"/>
        <v>16</v>
      </c>
      <c r="CK34" s="1">
        <f t="shared" si="32"/>
        <v>33</v>
      </c>
      <c r="CL34" s="53">
        <v>0</v>
      </c>
      <c r="CM34" s="53">
        <v>0</v>
      </c>
      <c r="CN34" s="53">
        <v>0</v>
      </c>
      <c r="CO34" s="53">
        <v>0</v>
      </c>
      <c r="CP34" s="53">
        <v>0</v>
      </c>
      <c r="CQ34" s="53">
        <v>0</v>
      </c>
      <c r="CR34" s="53">
        <v>0</v>
      </c>
      <c r="CS34" s="53">
        <v>0</v>
      </c>
      <c r="CT34" s="53">
        <v>0</v>
      </c>
      <c r="CU34" s="53">
        <v>0</v>
      </c>
    </row>
    <row r="35" spans="2:151">
      <c r="B35" s="1" t="s">
        <v>1465</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f>0-SUM(AQ35:AS35)</f>
        <v>0</v>
      </c>
      <c r="AU35" s="1">
        <v>0</v>
      </c>
      <c r="AV35" s="1">
        <v>0</v>
      </c>
      <c r="AW35" s="1">
        <v>0</v>
      </c>
      <c r="AX35" s="1">
        <f>0-SUM(AU35:AW35)</f>
        <v>0</v>
      </c>
      <c r="AY35" s="1">
        <v>0</v>
      </c>
      <c r="AZ35" s="1">
        <v>0</v>
      </c>
      <c r="BA35" s="1">
        <v>0</v>
      </c>
      <c r="BB35" s="1">
        <f>0-SUM(AY35:BA35)</f>
        <v>0</v>
      </c>
      <c r="BC35" s="1">
        <v>0</v>
      </c>
      <c r="BD35" s="1">
        <v>0</v>
      </c>
      <c r="BE35" s="1">
        <v>0</v>
      </c>
      <c r="BF35" s="1">
        <f>0-SUM(BC35:BE35)</f>
        <v>0</v>
      </c>
      <c r="BG35" s="1">
        <v>0</v>
      </c>
      <c r="BH35" s="1">
        <v>0</v>
      </c>
      <c r="BI35" s="1">
        <v>0</v>
      </c>
      <c r="BJ35" s="1">
        <f>0-SUM(BG35:BI35)</f>
        <v>0</v>
      </c>
      <c r="BK35" s="1">
        <v>0</v>
      </c>
      <c r="BL35" s="1">
        <v>104</v>
      </c>
      <c r="BM35" s="1">
        <v>71</v>
      </c>
      <c r="BW35" s="1">
        <f>SUM(C35:F35)</f>
        <v>0</v>
      </c>
      <c r="BX35" s="1">
        <f>SUM(G35:J35)</f>
        <v>0</v>
      </c>
      <c r="BY35" s="1">
        <f>SUM(K35:N35)</f>
        <v>0</v>
      </c>
      <c r="BZ35" s="1">
        <f>SUM(O35:R35)</f>
        <v>0</v>
      </c>
      <c r="CA35" s="1">
        <f>SUM(S35:V35)</f>
        <v>0</v>
      </c>
      <c r="CB35" s="1">
        <f>SUM(W35:Z35)</f>
        <v>0</v>
      </c>
      <c r="CC35" s="1">
        <f>SUM(AA35:AD35)</f>
        <v>0</v>
      </c>
      <c r="CD35" s="1">
        <f>SUM(AE35:AH35)</f>
        <v>0</v>
      </c>
      <c r="CE35" s="1">
        <f>SUM(AI35:AL35)</f>
        <v>0</v>
      </c>
      <c r="CF35" s="1">
        <f>SUM(AM35:AP35)</f>
        <v>0</v>
      </c>
      <c r="CG35" s="1">
        <f t="shared" si="28"/>
        <v>0</v>
      </c>
      <c r="CH35" s="1">
        <f t="shared" si="29"/>
        <v>0</v>
      </c>
      <c r="CI35" s="1">
        <f t="shared" si="30"/>
        <v>0</v>
      </c>
      <c r="CJ35" s="1">
        <f t="shared" si="31"/>
        <v>0</v>
      </c>
      <c r="CK35" s="1">
        <f t="shared" si="32"/>
        <v>0</v>
      </c>
      <c r="CL35" s="53">
        <v>0</v>
      </c>
      <c r="CM35" s="53">
        <v>0</v>
      </c>
      <c r="CN35" s="53">
        <v>0</v>
      </c>
      <c r="CO35" s="53">
        <v>0</v>
      </c>
      <c r="CP35" s="53">
        <v>0</v>
      </c>
      <c r="CQ35" s="53">
        <v>0</v>
      </c>
      <c r="CR35" s="53">
        <v>0</v>
      </c>
      <c r="CS35" s="53">
        <v>0</v>
      </c>
      <c r="CT35" s="53">
        <v>0</v>
      </c>
      <c r="CU35" s="53">
        <v>0</v>
      </c>
    </row>
    <row r="36" spans="2:151" s="2" customFormat="1" ht="15">
      <c r="B36" s="2" t="s">
        <v>133</v>
      </c>
      <c r="C36" s="2">
        <f t="shared" ref="C36:AT36" si="61">C32-C33+SUM(C34:C35)</f>
        <v>257</v>
      </c>
      <c r="D36" s="2">
        <f t="shared" si="61"/>
        <v>-43</v>
      </c>
      <c r="E36" s="2">
        <f t="shared" si="61"/>
        <v>-118</v>
      </c>
      <c r="F36" s="2">
        <f t="shared" si="61"/>
        <v>375</v>
      </c>
      <c r="G36" s="2">
        <f t="shared" si="61"/>
        <v>510</v>
      </c>
      <c r="H36" s="2">
        <f t="shared" si="61"/>
        <v>61</v>
      </c>
      <c r="I36" s="2">
        <f t="shared" si="61"/>
        <v>97</v>
      </c>
      <c r="J36" s="2">
        <f t="shared" si="61"/>
        <v>-177</v>
      </c>
      <c r="K36" s="2">
        <f t="shared" si="61"/>
        <v>-590</v>
      </c>
      <c r="L36" s="2">
        <f t="shared" si="61"/>
        <v>37</v>
      </c>
      <c r="M36" s="2">
        <f t="shared" si="61"/>
        <v>-157</v>
      </c>
      <c r="N36" s="2">
        <f t="shared" si="61"/>
        <v>-473</v>
      </c>
      <c r="O36" s="2">
        <f t="shared" si="61"/>
        <v>-146</v>
      </c>
      <c r="P36" s="2">
        <f t="shared" si="61"/>
        <v>-74</v>
      </c>
      <c r="Q36" s="2">
        <f t="shared" si="61"/>
        <v>48</v>
      </c>
      <c r="R36" s="2">
        <f t="shared" si="61"/>
        <v>89</v>
      </c>
      <c r="S36" s="2">
        <f t="shared" si="61"/>
        <v>-20</v>
      </c>
      <c r="T36" s="2">
        <f t="shared" si="61"/>
        <v>-36</v>
      </c>
      <c r="U36" s="2">
        <f t="shared" si="61"/>
        <v>17</v>
      </c>
      <c r="V36" s="2">
        <f t="shared" si="61"/>
        <v>-364</v>
      </c>
      <c r="W36" s="2">
        <f t="shared" si="61"/>
        <v>-180</v>
      </c>
      <c r="X36" s="2">
        <f t="shared" si="61"/>
        <v>-181</v>
      </c>
      <c r="Y36" s="2">
        <f t="shared" si="61"/>
        <v>-197</v>
      </c>
      <c r="Z36" s="2">
        <f t="shared" si="61"/>
        <v>-102</v>
      </c>
      <c r="AA36" s="2">
        <f t="shared" si="61"/>
        <v>-109</v>
      </c>
      <c r="AB36" s="2">
        <f t="shared" si="61"/>
        <v>69</v>
      </c>
      <c r="AC36" s="2">
        <f t="shared" si="61"/>
        <v>-406</v>
      </c>
      <c r="AD36" s="2">
        <f t="shared" si="61"/>
        <v>-52</v>
      </c>
      <c r="AE36" s="2">
        <f t="shared" si="61"/>
        <v>-33</v>
      </c>
      <c r="AF36" s="2">
        <f t="shared" si="61"/>
        <v>-42</v>
      </c>
      <c r="AG36" s="2">
        <f t="shared" si="61"/>
        <v>61</v>
      </c>
      <c r="AH36" s="2">
        <f t="shared" si="61"/>
        <v>-19</v>
      </c>
      <c r="AI36" s="2">
        <f t="shared" si="61"/>
        <v>81</v>
      </c>
      <c r="AJ36" s="2">
        <f t="shared" si="61"/>
        <v>116</v>
      </c>
      <c r="AK36" s="2">
        <f t="shared" si="61"/>
        <v>102</v>
      </c>
      <c r="AL36" s="2">
        <f t="shared" si="61"/>
        <v>38</v>
      </c>
      <c r="AM36" s="2">
        <f t="shared" si="61"/>
        <v>16</v>
      </c>
      <c r="AN36" s="2">
        <f t="shared" si="61"/>
        <v>35</v>
      </c>
      <c r="AO36" s="2">
        <f t="shared" si="61"/>
        <v>119</v>
      </c>
      <c r="AP36" s="2">
        <f t="shared" si="61"/>
        <v>170</v>
      </c>
      <c r="AQ36" s="2">
        <f t="shared" si="61"/>
        <v>162</v>
      </c>
      <c r="AR36" s="2">
        <f t="shared" si="61"/>
        <v>157</v>
      </c>
      <c r="AS36" s="2">
        <f t="shared" si="61"/>
        <v>390</v>
      </c>
      <c r="AT36" s="2">
        <f t="shared" si="61"/>
        <v>1781</v>
      </c>
      <c r="AU36" s="2">
        <f t="shared" ref="AU36:BK36" si="62">AU32-AU33+SUM(AU34:AU35)</f>
        <v>555</v>
      </c>
      <c r="AV36" s="2">
        <f t="shared" si="62"/>
        <v>710</v>
      </c>
      <c r="AW36" s="2">
        <f t="shared" si="62"/>
        <v>923</v>
      </c>
      <c r="AX36" s="2">
        <f t="shared" si="62"/>
        <v>974</v>
      </c>
      <c r="AY36" s="2">
        <f t="shared" si="62"/>
        <v>786</v>
      </c>
      <c r="AZ36" s="2">
        <f t="shared" si="62"/>
        <v>447</v>
      </c>
      <c r="BA36" s="2">
        <f t="shared" si="62"/>
        <v>66</v>
      </c>
      <c r="BB36" s="2">
        <f t="shared" si="62"/>
        <v>21</v>
      </c>
      <c r="BC36" s="2">
        <f t="shared" si="62"/>
        <v>-139</v>
      </c>
      <c r="BD36" s="2">
        <f t="shared" si="62"/>
        <v>27</v>
      </c>
      <c r="BE36" s="2">
        <f t="shared" si="62"/>
        <v>299</v>
      </c>
      <c r="BF36" s="2">
        <f t="shared" si="62"/>
        <v>982</v>
      </c>
      <c r="BG36" s="2">
        <f t="shared" si="62"/>
        <v>123</v>
      </c>
      <c r="BH36" s="2">
        <f t="shared" si="62"/>
        <v>265</v>
      </c>
      <c r="BI36" s="2">
        <f t="shared" si="62"/>
        <v>771</v>
      </c>
      <c r="BJ36" s="2">
        <f t="shared" si="62"/>
        <v>482</v>
      </c>
      <c r="BK36" s="2">
        <f t="shared" si="62"/>
        <v>709</v>
      </c>
      <c r="BL36" s="2">
        <f>BL32-BL33+SUM(BL34:BL35)</f>
        <v>872</v>
      </c>
      <c r="BM36" s="2">
        <f>BM32-BM33+SUM(BM34:BM35)</f>
        <v>1243</v>
      </c>
      <c r="BN36" s="34"/>
      <c r="BO36" s="34"/>
      <c r="BP36" s="34"/>
      <c r="BQ36" s="34"/>
      <c r="BR36" s="34"/>
      <c r="BW36" s="2">
        <f>SUM(C36:F36)</f>
        <v>471</v>
      </c>
      <c r="BX36" s="2">
        <f>SUM(G36:J36)</f>
        <v>491</v>
      </c>
      <c r="BY36" s="2">
        <f>SUM(K36:N36)</f>
        <v>-1183</v>
      </c>
      <c r="BZ36" s="2">
        <f>SUM(O36:R36)</f>
        <v>-83</v>
      </c>
      <c r="CA36" s="2">
        <f>SUM(S36:V36)</f>
        <v>-403</v>
      </c>
      <c r="CB36" s="2">
        <f>SUM(W36:Z36)</f>
        <v>-660</v>
      </c>
      <c r="CC36" s="2">
        <f>SUM(AA36:AD36)</f>
        <v>-498</v>
      </c>
      <c r="CD36" s="2">
        <f>SUM(AE36:AH36)</f>
        <v>-33</v>
      </c>
      <c r="CE36" s="2">
        <f>SUM(AI36:AL36)</f>
        <v>337</v>
      </c>
      <c r="CF36" s="2">
        <f>SUM(AM36:AP36)</f>
        <v>340</v>
      </c>
      <c r="CG36" s="2">
        <f t="shared" si="28"/>
        <v>2490</v>
      </c>
      <c r="CH36" s="2">
        <f t="shared" si="29"/>
        <v>3162</v>
      </c>
      <c r="CI36" s="2">
        <f t="shared" si="30"/>
        <v>1320</v>
      </c>
      <c r="CJ36" s="2">
        <f t="shared" si="31"/>
        <v>1169</v>
      </c>
      <c r="CK36" s="2">
        <f t="shared" si="32"/>
        <v>1641</v>
      </c>
      <c r="CL36" s="70">
        <f>CL32-CL33</f>
        <v>3461.7350200000001</v>
      </c>
      <c r="CM36" s="70">
        <f t="shared" ref="CM36:CU36" si="63">CM32-CM33</f>
        <v>5854.7106484649985</v>
      </c>
      <c r="CN36" s="70">
        <f t="shared" si="63"/>
        <v>8431.8127061560772</v>
      </c>
      <c r="CO36" s="70">
        <f t="shared" si="63"/>
        <v>11668.497242950218</v>
      </c>
      <c r="CP36" s="70">
        <f t="shared" si="63"/>
        <v>15636.918106183744</v>
      </c>
      <c r="CQ36" s="70">
        <f t="shared" si="63"/>
        <v>20189.355094481994</v>
      </c>
      <c r="CR36" s="70">
        <f t="shared" si="63"/>
        <v>25525.030476920063</v>
      </c>
      <c r="CS36" s="70">
        <f t="shared" si="63"/>
        <v>31523.584453339448</v>
      </c>
      <c r="CT36" s="70">
        <f t="shared" si="63"/>
        <v>38119.552591914966</v>
      </c>
      <c r="CU36" s="70">
        <f t="shared" si="63"/>
        <v>44494.883747246538</v>
      </c>
      <c r="CV36" s="70">
        <f t="shared" ref="CV36:EA36" si="64">CU36*(1+$CU$50)</f>
        <v>45162.307003455229</v>
      </c>
      <c r="CW36" s="70">
        <f t="shared" si="64"/>
        <v>45839.741608507051</v>
      </c>
      <c r="CX36" s="70">
        <f t="shared" si="64"/>
        <v>46527.337732634653</v>
      </c>
      <c r="CY36" s="70">
        <f t="shared" si="64"/>
        <v>47225.247798624165</v>
      </c>
      <c r="CZ36" s="70">
        <f t="shared" si="64"/>
        <v>47933.626515603522</v>
      </c>
      <c r="DA36" s="70">
        <f t="shared" si="64"/>
        <v>48652.630913337569</v>
      </c>
      <c r="DB36" s="70">
        <f t="shared" si="64"/>
        <v>49382.420377037626</v>
      </c>
      <c r="DC36" s="70">
        <f t="shared" si="64"/>
        <v>50123.156682693188</v>
      </c>
      <c r="DD36" s="70">
        <f t="shared" si="64"/>
        <v>50875.004032933582</v>
      </c>
      <c r="DE36" s="70">
        <f t="shared" si="64"/>
        <v>51638.129093427582</v>
      </c>
      <c r="DF36" s="70">
        <f t="shared" si="64"/>
        <v>52412.70102982899</v>
      </c>
      <c r="DG36" s="70">
        <f t="shared" si="64"/>
        <v>53198.891545276419</v>
      </c>
      <c r="DH36" s="70">
        <f t="shared" si="64"/>
        <v>53996.874918455564</v>
      </c>
      <c r="DI36" s="70">
        <f t="shared" si="64"/>
        <v>54806.828042232395</v>
      </c>
      <c r="DJ36" s="70">
        <f t="shared" si="64"/>
        <v>55628.930462865879</v>
      </c>
      <c r="DK36" s="70">
        <f t="shared" si="64"/>
        <v>56463.364419808859</v>
      </c>
      <c r="DL36" s="70">
        <f t="shared" si="64"/>
        <v>57310.314886105989</v>
      </c>
      <c r="DM36" s="70">
        <f t="shared" si="64"/>
        <v>58169.969609397573</v>
      </c>
      <c r="DN36" s="70">
        <f t="shared" si="64"/>
        <v>59042.519153538531</v>
      </c>
      <c r="DO36" s="70">
        <f t="shared" si="64"/>
        <v>59928.156940841604</v>
      </c>
      <c r="DP36" s="70">
        <f t="shared" si="64"/>
        <v>60827.079294954223</v>
      </c>
      <c r="DQ36" s="70">
        <f t="shared" si="64"/>
        <v>61739.485484378529</v>
      </c>
      <c r="DR36" s="70">
        <f t="shared" si="64"/>
        <v>62665.577766644201</v>
      </c>
      <c r="DS36" s="70">
        <f t="shared" si="64"/>
        <v>63605.561433143856</v>
      </c>
      <c r="DT36" s="70">
        <f t="shared" si="64"/>
        <v>64559.64485464101</v>
      </c>
      <c r="DU36" s="70">
        <f t="shared" si="64"/>
        <v>65528.03952746062</v>
      </c>
      <c r="DV36" s="70">
        <f t="shared" si="64"/>
        <v>66510.960120372518</v>
      </c>
      <c r="DW36" s="70">
        <f t="shared" si="64"/>
        <v>67508.624522178099</v>
      </c>
      <c r="DX36" s="70">
        <f t="shared" si="64"/>
        <v>68521.253890010761</v>
      </c>
      <c r="DY36" s="70">
        <f t="shared" si="64"/>
        <v>69549.07269836092</v>
      </c>
      <c r="DZ36" s="70">
        <f t="shared" si="64"/>
        <v>70592.308788836322</v>
      </c>
      <c r="EA36" s="70">
        <f t="shared" si="64"/>
        <v>71651.19342066886</v>
      </c>
      <c r="EB36" s="70">
        <f t="shared" ref="EB36:ES36" si="65">EA36*(1+$CU$50)</f>
        <v>72725.961321978888</v>
      </c>
      <c r="EC36" s="70">
        <f t="shared" si="65"/>
        <v>73816.850741808565</v>
      </c>
      <c r="ED36" s="70">
        <f t="shared" si="65"/>
        <v>74924.103502935686</v>
      </c>
      <c r="EE36" s="70">
        <f t="shared" si="65"/>
        <v>76047.965055479712</v>
      </c>
      <c r="EF36" s="70">
        <f t="shared" si="65"/>
        <v>77188.684531311897</v>
      </c>
      <c r="EG36" s="70">
        <f t="shared" si="65"/>
        <v>78346.514799281562</v>
      </c>
      <c r="EH36" s="70">
        <f t="shared" si="65"/>
        <v>79521.712521270776</v>
      </c>
      <c r="EI36" s="70">
        <f t="shared" si="65"/>
        <v>80714.538209089835</v>
      </c>
      <c r="EJ36" s="70">
        <f t="shared" si="65"/>
        <v>81925.256282226168</v>
      </c>
      <c r="EK36" s="70">
        <f t="shared" si="65"/>
        <v>83154.135126459558</v>
      </c>
      <c r="EL36" s="70">
        <f t="shared" si="65"/>
        <v>84401.44715335645</v>
      </c>
      <c r="EM36" s="70">
        <f t="shared" si="65"/>
        <v>85667.468860656794</v>
      </c>
      <c r="EN36" s="70">
        <f t="shared" si="65"/>
        <v>86952.480893566637</v>
      </c>
      <c r="EO36" s="70">
        <f t="shared" si="65"/>
        <v>88256.768106970121</v>
      </c>
      <c r="EP36" s="70">
        <f t="shared" si="65"/>
        <v>89580.61962857467</v>
      </c>
      <c r="EQ36" s="70">
        <f t="shared" si="65"/>
        <v>90924.328923003282</v>
      </c>
      <c r="ER36" s="70">
        <f t="shared" si="65"/>
        <v>92288.193856848316</v>
      </c>
      <c r="ES36" s="70">
        <f t="shared" si="65"/>
        <v>93672.516764701038</v>
      </c>
      <c r="ET36" s="56"/>
      <c r="EU36" s="56"/>
    </row>
    <row r="37" spans="2:151">
      <c r="B37" s="1" t="s">
        <v>137</v>
      </c>
      <c r="C37" s="1">
        <v>707</v>
      </c>
      <c r="D37" s="1">
        <v>709</v>
      </c>
      <c r="E37" s="1">
        <v>713</v>
      </c>
      <c r="F37" s="1">
        <v>711</v>
      </c>
      <c r="G37" s="1">
        <v>720</v>
      </c>
      <c r="H37" s="1">
        <v>724</v>
      </c>
      <c r="I37" s="1">
        <v>729</v>
      </c>
      <c r="J37" s="1">
        <v>727</v>
      </c>
      <c r="K37" s="1">
        <v>734</v>
      </c>
      <c r="L37" s="1">
        <v>739</v>
      </c>
      <c r="M37" s="1">
        <v>745</v>
      </c>
      <c r="N37" s="1">
        <v>741</v>
      </c>
      <c r="O37" s="1">
        <v>749</v>
      </c>
      <c r="P37" s="1">
        <v>752</v>
      </c>
      <c r="Q37" s="1">
        <v>757</v>
      </c>
      <c r="R37" s="1">
        <v>754</v>
      </c>
      <c r="S37" s="1">
        <v>761</v>
      </c>
      <c r="T37" s="1">
        <v>764</v>
      </c>
      <c r="U37" s="1">
        <v>770</v>
      </c>
      <c r="V37" s="1">
        <v>768</v>
      </c>
      <c r="W37" s="1">
        <v>777</v>
      </c>
      <c r="X37" s="1">
        <v>778</v>
      </c>
      <c r="Y37" s="1">
        <v>785</v>
      </c>
      <c r="Z37" s="1">
        <v>783</v>
      </c>
      <c r="AA37" s="1">
        <v>793</v>
      </c>
      <c r="AB37" s="1">
        <v>794</v>
      </c>
      <c r="AC37" s="1">
        <v>815</v>
      </c>
      <c r="AD37" s="1">
        <v>835</v>
      </c>
      <c r="AE37" s="1">
        <v>939</v>
      </c>
      <c r="AF37" s="1">
        <v>945</v>
      </c>
      <c r="AG37" s="1">
        <v>957</v>
      </c>
      <c r="AH37" s="1">
        <v>952</v>
      </c>
      <c r="AI37" s="1">
        <v>968</v>
      </c>
      <c r="AJ37" s="1">
        <v>972</v>
      </c>
      <c r="AK37" s="1">
        <v>987</v>
      </c>
      <c r="AL37" s="1">
        <v>982</v>
      </c>
      <c r="AM37" s="1">
        <v>1044</v>
      </c>
      <c r="AN37" s="1">
        <v>1084</v>
      </c>
      <c r="AO37" s="1">
        <v>1097</v>
      </c>
      <c r="AP37" s="1">
        <v>1091</v>
      </c>
      <c r="AQ37" s="1">
        <v>1170</v>
      </c>
      <c r="AR37" s="1">
        <v>1174</v>
      </c>
      <c r="AS37" s="1">
        <v>1184</v>
      </c>
      <c r="AT37" s="1">
        <v>1184</v>
      </c>
      <c r="AU37" s="1">
        <v>1213</v>
      </c>
      <c r="AV37" s="1">
        <v>1216</v>
      </c>
      <c r="AW37" s="1">
        <v>1214</v>
      </c>
      <c r="AX37" s="1">
        <v>1213</v>
      </c>
      <c r="AY37" s="1">
        <v>1393</v>
      </c>
      <c r="AZ37" s="1">
        <v>1618</v>
      </c>
      <c r="BA37" s="1">
        <v>1615</v>
      </c>
      <c r="BB37" s="1">
        <v>1611</v>
      </c>
      <c r="BC37" s="1">
        <v>1611</v>
      </c>
      <c r="BD37" s="1">
        <v>1612</v>
      </c>
      <c r="BE37" s="1">
        <v>1616</v>
      </c>
      <c r="BF37" s="1">
        <v>1616</v>
      </c>
      <c r="BG37" s="1">
        <v>1617</v>
      </c>
      <c r="BH37" s="1">
        <v>1618</v>
      </c>
      <c r="BI37" s="1">
        <v>1620</v>
      </c>
      <c r="BJ37" s="1">
        <v>1620</v>
      </c>
      <c r="BK37" s="1">
        <v>1620</v>
      </c>
      <c r="BL37" s="1">
        <v>1623</v>
      </c>
      <c r="BM37" s="1">
        <v>1626</v>
      </c>
      <c r="BW37" s="48">
        <f>AVERAGE(C37:F37)</f>
        <v>710</v>
      </c>
      <c r="BX37" s="48">
        <f>AVERAGE(G37:J37)</f>
        <v>725</v>
      </c>
      <c r="BY37" s="48">
        <f>AVERAGE(K37:N37)</f>
        <v>739.75</v>
      </c>
      <c r="BZ37" s="48">
        <f>AVERAGE(O37:R37)</f>
        <v>753</v>
      </c>
      <c r="CA37" s="48">
        <f>AVERAGE(S37:V37)</f>
        <v>765.75</v>
      </c>
      <c r="CB37" s="48">
        <f>AVERAGE(W37:Z37)</f>
        <v>780.75</v>
      </c>
      <c r="CC37" s="48">
        <f>AVERAGE(AA37:AD37)</f>
        <v>809.25</v>
      </c>
      <c r="CD37" s="48">
        <f>AVERAGE(AE37:AH37)</f>
        <v>948.25</v>
      </c>
      <c r="CE37" s="48">
        <f>AVERAGE(AI37:AL37)</f>
        <v>977.25</v>
      </c>
      <c r="CF37" s="48">
        <f>AVERAGE(AM37:AP37)</f>
        <v>1079</v>
      </c>
      <c r="CG37" s="48">
        <f>AVERAGE(AQ37:AT37)</f>
        <v>1178</v>
      </c>
      <c r="CH37" s="48">
        <f>AVERAGE(AU37:AX37)</f>
        <v>1214</v>
      </c>
      <c r="CI37" s="48">
        <f>AVERAGE(AY37:BB37)</f>
        <v>1559.25</v>
      </c>
      <c r="CJ37" s="48">
        <f>AVERAGE(BC37:BF37)</f>
        <v>1613.75</v>
      </c>
      <c r="CK37" s="48">
        <f>AVERAGE(BG37:BJ37)</f>
        <v>1618.75</v>
      </c>
    </row>
    <row r="38" spans="2:151" s="2" customFormat="1" ht="15">
      <c r="B38" s="1" t="s">
        <v>1487</v>
      </c>
      <c r="C38" s="39">
        <f t="shared" ref="C38:AO38" si="66">C36/C37</f>
        <v>0.36350777934936351</v>
      </c>
      <c r="D38" s="39">
        <f t="shared" si="66"/>
        <v>-6.0648801128349791E-2</v>
      </c>
      <c r="E38" s="39">
        <f t="shared" si="66"/>
        <v>-0.16549789621318373</v>
      </c>
      <c r="F38" s="39">
        <f t="shared" si="66"/>
        <v>0.52742616033755274</v>
      </c>
      <c r="G38" s="39">
        <f t="shared" si="66"/>
        <v>0.70833333333333337</v>
      </c>
      <c r="H38" s="39">
        <f t="shared" si="66"/>
        <v>8.4254143646408847E-2</v>
      </c>
      <c r="I38" s="39">
        <f t="shared" si="66"/>
        <v>0.13305898491083676</v>
      </c>
      <c r="J38" s="39">
        <f t="shared" si="66"/>
        <v>-0.24346629986244842</v>
      </c>
      <c r="K38" s="39">
        <f t="shared" si="66"/>
        <v>-0.80381471389645776</v>
      </c>
      <c r="L38" s="39">
        <f t="shared" si="66"/>
        <v>5.0067658998646819E-2</v>
      </c>
      <c r="M38" s="39">
        <f t="shared" si="66"/>
        <v>-0.21073825503355706</v>
      </c>
      <c r="N38" s="39">
        <f t="shared" si="66"/>
        <v>-0.63832658569500678</v>
      </c>
      <c r="O38" s="39">
        <f t="shared" si="66"/>
        <v>-0.19492656875834447</v>
      </c>
      <c r="P38" s="39">
        <f t="shared" si="66"/>
        <v>-9.8404255319148939E-2</v>
      </c>
      <c r="Q38" s="39">
        <f t="shared" si="66"/>
        <v>6.3408190224570671E-2</v>
      </c>
      <c r="R38" s="39">
        <f t="shared" si="66"/>
        <v>0.11803713527851459</v>
      </c>
      <c r="S38" s="39">
        <f t="shared" si="66"/>
        <v>-2.6281208935611037E-2</v>
      </c>
      <c r="T38" s="39">
        <f t="shared" si="66"/>
        <v>-4.712041884816754E-2</v>
      </c>
      <c r="U38" s="39">
        <f t="shared" si="66"/>
        <v>2.2077922077922078E-2</v>
      </c>
      <c r="V38" s="39">
        <f t="shared" si="66"/>
        <v>-0.47395833333333331</v>
      </c>
      <c r="W38" s="39">
        <f t="shared" si="66"/>
        <v>-0.23166023166023167</v>
      </c>
      <c r="X38" s="39">
        <f t="shared" si="66"/>
        <v>-0.2326478149100257</v>
      </c>
      <c r="Y38" s="39">
        <f t="shared" si="66"/>
        <v>-0.25095541401273885</v>
      </c>
      <c r="Z38" s="39">
        <f t="shared" si="66"/>
        <v>-0.13026819923371646</v>
      </c>
      <c r="AA38" s="39">
        <f t="shared" si="66"/>
        <v>-0.13745271122320302</v>
      </c>
      <c r="AB38" s="39">
        <f t="shared" si="66"/>
        <v>8.6901763224181361E-2</v>
      </c>
      <c r="AC38" s="39">
        <f t="shared" si="66"/>
        <v>-0.498159509202454</v>
      </c>
      <c r="AD38" s="39">
        <f t="shared" si="66"/>
        <v>-6.2275449101796408E-2</v>
      </c>
      <c r="AE38" s="39">
        <f t="shared" si="66"/>
        <v>-3.5143769968051117E-2</v>
      </c>
      <c r="AF38" s="39">
        <f t="shared" si="66"/>
        <v>-4.4444444444444446E-2</v>
      </c>
      <c r="AG38" s="39">
        <f t="shared" si="66"/>
        <v>6.3740856844305124E-2</v>
      </c>
      <c r="AH38" s="39">
        <f t="shared" si="66"/>
        <v>-1.9957983193277309E-2</v>
      </c>
      <c r="AI38" s="39">
        <f t="shared" si="66"/>
        <v>8.3677685950413222E-2</v>
      </c>
      <c r="AJ38" s="39">
        <f t="shared" si="66"/>
        <v>0.11934156378600823</v>
      </c>
      <c r="AK38" s="39">
        <f t="shared" si="66"/>
        <v>0.10334346504559271</v>
      </c>
      <c r="AL38" s="39">
        <f t="shared" si="66"/>
        <v>3.8696537678207736E-2</v>
      </c>
      <c r="AM38" s="39">
        <f t="shared" si="66"/>
        <v>1.532567049808429E-2</v>
      </c>
      <c r="AN38" s="39">
        <f t="shared" si="66"/>
        <v>3.2287822878228782E-2</v>
      </c>
      <c r="AO38" s="39">
        <f t="shared" si="66"/>
        <v>0.10847766636280766</v>
      </c>
      <c r="AP38" s="39">
        <f>AP36/AP37</f>
        <v>0.15582034830430797</v>
      </c>
      <c r="AQ38" s="39">
        <f>AQ36/AQ37</f>
        <v>0.13846153846153847</v>
      </c>
      <c r="AR38" s="39">
        <f>AR36/AR37</f>
        <v>0.13373083475298125</v>
      </c>
      <c r="AS38" s="39">
        <f>AS36/AS37</f>
        <v>0.32939189189189189</v>
      </c>
      <c r="AT38" s="39">
        <f>AT36/AT37</f>
        <v>1.504222972972973</v>
      </c>
      <c r="AU38" s="39">
        <f t="shared" ref="AU38:BK38" si="67">AU36/AU37</f>
        <v>0.45754328112118714</v>
      </c>
      <c r="AV38" s="39">
        <f t="shared" si="67"/>
        <v>0.58388157894736847</v>
      </c>
      <c r="AW38" s="39">
        <f t="shared" si="67"/>
        <v>0.76029654036243821</v>
      </c>
      <c r="AX38" s="39">
        <f t="shared" si="67"/>
        <v>0.80296784830997525</v>
      </c>
      <c r="AY38" s="39">
        <f t="shared" si="67"/>
        <v>0.56424982053122752</v>
      </c>
      <c r="AZ38" s="39">
        <f t="shared" si="67"/>
        <v>0.27626699629171819</v>
      </c>
      <c r="BA38" s="39">
        <f t="shared" si="67"/>
        <v>4.0866873065015477E-2</v>
      </c>
      <c r="BB38" s="39">
        <f t="shared" si="67"/>
        <v>1.3035381750465549E-2</v>
      </c>
      <c r="BC38" s="39">
        <f t="shared" si="67"/>
        <v>-8.6281812538795785E-2</v>
      </c>
      <c r="BD38" s="39">
        <f t="shared" si="67"/>
        <v>1.6749379652605458E-2</v>
      </c>
      <c r="BE38" s="39">
        <f t="shared" si="67"/>
        <v>0.18502475247524752</v>
      </c>
      <c r="BF38" s="39">
        <f t="shared" si="67"/>
        <v>0.60767326732673266</v>
      </c>
      <c r="BG38" s="39">
        <f t="shared" si="67"/>
        <v>7.6066790352504632E-2</v>
      </c>
      <c r="BH38" s="39">
        <f t="shared" si="67"/>
        <v>0.16378244746600742</v>
      </c>
      <c r="BI38" s="39">
        <f t="shared" si="67"/>
        <v>0.47592592592592592</v>
      </c>
      <c r="BJ38" s="39">
        <f t="shared" si="67"/>
        <v>0.29753086419753089</v>
      </c>
      <c r="BK38" s="39">
        <f t="shared" si="67"/>
        <v>0.43765432098765433</v>
      </c>
      <c r="BL38" s="39">
        <f>BL36/BL37</f>
        <v>0.5372766481823783</v>
      </c>
      <c r="BM38" s="39">
        <f>BM36/BM37</f>
        <v>0.76445264452644524</v>
      </c>
      <c r="BN38" s="34"/>
      <c r="BO38" s="34"/>
      <c r="BP38" s="34"/>
      <c r="BQ38" s="34"/>
      <c r="BR38" s="34"/>
      <c r="BW38" s="39">
        <f>SUM(C38:F38)</f>
        <v>0.66478724234538267</v>
      </c>
      <c r="BX38" s="39">
        <f>SUM(G38:J38)</f>
        <v>0.68218016202813059</v>
      </c>
      <c r="BY38" s="39">
        <f>SUM(K38:N38)</f>
        <v>-1.6028118956263748</v>
      </c>
      <c r="BZ38" s="39">
        <f>SUM(O38:R38)</f>
        <v>-0.11188549857440813</v>
      </c>
      <c r="CA38" s="39">
        <f>SUM(S38:V38)</f>
        <v>-0.5252820390391898</v>
      </c>
      <c r="CB38" s="39">
        <f>SUM(W38:Z38)</f>
        <v>-0.84553165981671263</v>
      </c>
      <c r="CC38" s="39">
        <f>SUM(AA38:AD38)</f>
        <v>-0.61098590630327199</v>
      </c>
      <c r="CD38" s="39">
        <f>SUM(AE38:AH38)</f>
        <v>-3.5805340761467741E-2</v>
      </c>
      <c r="CE38" s="39">
        <f>SUM(AI38:AL38)</f>
        <v>0.3450592524602219</v>
      </c>
      <c r="CF38" s="39">
        <f>SUM(AM38:AP38)</f>
        <v>0.31191150804342871</v>
      </c>
      <c r="CG38" s="39">
        <f>SUM(AQ38:AT38)</f>
        <v>2.1058072380793846</v>
      </c>
      <c r="CH38" s="39">
        <f>SUM(AU38:AX38)</f>
        <v>2.6046892487409692</v>
      </c>
      <c r="CI38" s="39">
        <f>SUM(AY38:BB38)</f>
        <v>0.89441907163842682</v>
      </c>
      <c r="CJ38" s="39">
        <f>SUM(BC38:BF38)</f>
        <v>0.7231655869157898</v>
      </c>
      <c r="CK38" s="39">
        <f>SUM(BG38:BJ38)</f>
        <v>1.0133060279419688</v>
      </c>
      <c r="CL38" s="72"/>
      <c r="CM38" s="72"/>
      <c r="CN38" s="72"/>
      <c r="CO38" s="72"/>
      <c r="CP38" s="72"/>
      <c r="CQ38" s="72"/>
      <c r="CR38" s="72"/>
      <c r="CS38" s="72"/>
      <c r="CT38" s="72"/>
      <c r="CU38" s="72"/>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6"/>
      <c r="EU38" s="56"/>
    </row>
    <row r="40" spans="2:151">
      <c r="B40" s="37" t="s">
        <v>118</v>
      </c>
      <c r="C40" s="46">
        <f t="shared" ref="C40:AP40" si="68">C24/C22</f>
        <v>0.47077509529860229</v>
      </c>
      <c r="D40" s="46">
        <f t="shared" si="68"/>
        <v>0.44646098003629764</v>
      </c>
      <c r="E40" s="46">
        <f t="shared" si="68"/>
        <v>0.45673671199011123</v>
      </c>
      <c r="F40" s="46">
        <f t="shared" si="68"/>
        <v>0.45057610673135234</v>
      </c>
      <c r="G40" s="46">
        <f t="shared" si="68"/>
        <v>0.42839429634221948</v>
      </c>
      <c r="H40" s="46">
        <f t="shared" si="68"/>
        <v>0.45743329097839897</v>
      </c>
      <c r="I40" s="46">
        <f t="shared" si="68"/>
        <v>0.44733727810650886</v>
      </c>
      <c r="J40" s="46">
        <f t="shared" si="68"/>
        <v>0.45712596096984032</v>
      </c>
      <c r="K40" s="46">
        <f t="shared" si="68"/>
        <v>1.7034700315457414E-2</v>
      </c>
      <c r="L40" s="46">
        <f t="shared" si="68"/>
        <v>0.45152158527954706</v>
      </c>
      <c r="M40" s="46">
        <f t="shared" si="68"/>
        <v>0.30890464933018125</v>
      </c>
      <c r="N40" s="46">
        <f t="shared" si="68"/>
        <v>0.15411255411255412</v>
      </c>
      <c r="O40" s="46">
        <f t="shared" si="68"/>
        <v>0.40900735294117646</v>
      </c>
      <c r="P40" s="46">
        <f t="shared" si="68"/>
        <v>0.39534883720930231</v>
      </c>
      <c r="Q40" s="46">
        <f t="shared" si="68"/>
        <v>0.35660506502395617</v>
      </c>
      <c r="R40" s="46">
        <f t="shared" si="68"/>
        <v>0.34801762114537443</v>
      </c>
      <c r="S40" s="46">
        <f t="shared" si="68"/>
        <v>0.34860415175375803</v>
      </c>
      <c r="T40" s="46">
        <f t="shared" si="68"/>
        <v>0.34559333795975017</v>
      </c>
      <c r="U40" s="46">
        <f t="shared" si="68"/>
        <v>0.3456962911126662</v>
      </c>
      <c r="V40" s="46">
        <f t="shared" si="68"/>
        <v>0.29055690072639223</v>
      </c>
      <c r="W40" s="46">
        <f t="shared" si="68"/>
        <v>0.31650485436893205</v>
      </c>
      <c r="X40" s="46">
        <f t="shared" si="68"/>
        <v>0.24628450106157113</v>
      </c>
      <c r="Y40" s="46">
        <f t="shared" si="68"/>
        <v>0.22525918944392084</v>
      </c>
      <c r="Z40" s="46">
        <f t="shared" si="68"/>
        <v>0.29540709812108562</v>
      </c>
      <c r="AA40" s="46">
        <f t="shared" si="68"/>
        <v>0.32331730769230771</v>
      </c>
      <c r="AB40" s="46">
        <f t="shared" si="68"/>
        <v>0.31061343719571566</v>
      </c>
      <c r="AC40" s="46">
        <f t="shared" si="68"/>
        <v>4.5141545524100997E-2</v>
      </c>
      <c r="AD40" s="46">
        <f t="shared" si="68"/>
        <v>0.30875975715524717</v>
      </c>
      <c r="AE40" s="46">
        <f t="shared" si="68"/>
        <v>0.32088285229202035</v>
      </c>
      <c r="AF40" s="46">
        <f t="shared" si="68"/>
        <v>0.33536055603822762</v>
      </c>
      <c r="AG40" s="46">
        <f t="shared" si="68"/>
        <v>0.36047979797979796</v>
      </c>
      <c r="AH40" s="46">
        <f t="shared" si="68"/>
        <v>0.33731343283582088</v>
      </c>
      <c r="AI40" s="46">
        <f t="shared" si="68"/>
        <v>0.36247723132969034</v>
      </c>
      <c r="AJ40" s="46">
        <f t="shared" si="68"/>
        <v>0.3712984054669704</v>
      </c>
      <c r="AK40" s="46">
        <f t="shared" si="68"/>
        <v>0.39987900786448882</v>
      </c>
      <c r="AL40" s="46">
        <f t="shared" si="68"/>
        <v>0.3784355179704017</v>
      </c>
      <c r="AM40" s="46">
        <f t="shared" si="68"/>
        <v>0.40959119496855345</v>
      </c>
      <c r="AN40" s="46">
        <f t="shared" si="68"/>
        <v>0.40561724363161333</v>
      </c>
      <c r="AO40" s="46">
        <f t="shared" si="68"/>
        <v>0.43142698500832871</v>
      </c>
      <c r="AP40" s="46">
        <f t="shared" si="68"/>
        <v>0.44616831217677477</v>
      </c>
      <c r="AQ40" s="46">
        <f>AQ24/AQ22</f>
        <v>0.45800671892497202</v>
      </c>
      <c r="AR40" s="46">
        <f>AR24/AR22</f>
        <v>0.43892339544513459</v>
      </c>
      <c r="AS40" s="46">
        <f>AS24/AS22</f>
        <v>0.43912888254194932</v>
      </c>
      <c r="AT40" s="46">
        <f>AT24/AT22</f>
        <v>0.44728729963008629</v>
      </c>
      <c r="AU40" s="46">
        <f t="shared" ref="AU40:BK40" si="69">AU24/AU22</f>
        <v>0.46066763425253993</v>
      </c>
      <c r="AV40" s="46">
        <f t="shared" si="69"/>
        <v>0.47532467532467532</v>
      </c>
      <c r="AW40" s="46">
        <f t="shared" si="69"/>
        <v>0.48365406909343844</v>
      </c>
      <c r="AX40" s="46">
        <f t="shared" si="69"/>
        <v>0.50269374222958974</v>
      </c>
      <c r="AY40" s="46">
        <f t="shared" si="69"/>
        <v>0.4786818413453372</v>
      </c>
      <c r="AZ40" s="46">
        <f t="shared" si="69"/>
        <v>0.46229007633587788</v>
      </c>
      <c r="BA40" s="46">
        <f t="shared" si="69"/>
        <v>0.42300089847259659</v>
      </c>
      <c r="BB40" s="46">
        <f t="shared" si="69"/>
        <v>0.42918378281836045</v>
      </c>
      <c r="BC40" s="46">
        <f t="shared" si="69"/>
        <v>0.44068746497291239</v>
      </c>
      <c r="BD40" s="46">
        <f t="shared" si="69"/>
        <v>0.4558686322075014</v>
      </c>
      <c r="BE40" s="46">
        <f t="shared" si="69"/>
        <v>0.4736206896551724</v>
      </c>
      <c r="BF40" s="46">
        <f t="shared" si="69"/>
        <v>0.47195201037613488</v>
      </c>
      <c r="BG40" s="46">
        <f t="shared" si="69"/>
        <v>0.46775077653937513</v>
      </c>
      <c r="BH40" s="46">
        <f t="shared" si="69"/>
        <v>0.49083119108826051</v>
      </c>
      <c r="BI40" s="46">
        <f t="shared" si="69"/>
        <v>0.50139316615339491</v>
      </c>
      <c r="BJ40" s="46">
        <f t="shared" si="69"/>
        <v>0.50692086706711936</v>
      </c>
      <c r="BK40" s="46">
        <f t="shared" si="69"/>
        <v>0.50228556063457919</v>
      </c>
      <c r="BL40" s="46">
        <f>BL24/BL22</f>
        <v>0.39804814573845154</v>
      </c>
      <c r="BM40" s="46">
        <f>BM24/BM22</f>
        <v>0.51698031581224313</v>
      </c>
      <c r="BW40" s="46">
        <f t="shared" ref="BW40:CK40" si="70">BW24/BW22</f>
        <v>0.45323741007194246</v>
      </c>
      <c r="BX40" s="46">
        <f t="shared" si="70"/>
        <v>0.44954128440366975</v>
      </c>
      <c r="BY40" s="46">
        <f t="shared" si="70"/>
        <v>0.25076142131979695</v>
      </c>
      <c r="BZ40" s="46">
        <f t="shared" si="70"/>
        <v>0.35271041369472184</v>
      </c>
      <c r="CA40" s="46">
        <f t="shared" si="70"/>
        <v>0.35785172212492705</v>
      </c>
      <c r="CB40" s="46">
        <f t="shared" si="70"/>
        <v>0.28473503822831531</v>
      </c>
      <c r="CC40" s="46">
        <f t="shared" si="70"/>
        <v>0.21500535905680601</v>
      </c>
      <c r="CD40" s="46">
        <f t="shared" si="70"/>
        <v>0.31230339042292904</v>
      </c>
      <c r="CE40" s="46">
        <f t="shared" si="70"/>
        <v>0.40114754098360655</v>
      </c>
      <c r="CF40" s="46">
        <f t="shared" si="70"/>
        <v>0.52537094705990106</v>
      </c>
      <c r="CG40" s="46">
        <f t="shared" si="70"/>
        <v>0.44525248386766364</v>
      </c>
      <c r="CH40" s="46">
        <f t="shared" si="70"/>
        <v>0.48247535596933189</v>
      </c>
      <c r="CI40" s="46">
        <f t="shared" si="70"/>
        <v>0.4492606245498072</v>
      </c>
      <c r="CJ40" s="46">
        <f t="shared" si="70"/>
        <v>0.46119929453262787</v>
      </c>
      <c r="CK40" s="46">
        <f t="shared" si="70"/>
        <v>0.49350397517936784</v>
      </c>
      <c r="CL40" s="71">
        <v>0.48499999999999999</v>
      </c>
      <c r="CM40" s="71">
        <v>0.51</v>
      </c>
      <c r="CN40" s="71">
        <v>0.52</v>
      </c>
      <c r="CO40" s="71">
        <v>0.52500000000000002</v>
      </c>
      <c r="CP40" s="71">
        <v>0.53</v>
      </c>
      <c r="CQ40" s="71">
        <v>0.53500000000000003</v>
      </c>
      <c r="CR40" s="71">
        <v>0.54</v>
      </c>
      <c r="CS40" s="71">
        <v>0.54500000000000004</v>
      </c>
      <c r="CT40" s="71">
        <v>0.55000000000000004</v>
      </c>
      <c r="CU40" s="71">
        <v>0.55000000000000004</v>
      </c>
    </row>
    <row r="41" spans="2:151">
      <c r="B41" s="37" t="s">
        <v>119</v>
      </c>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f>AQ25/AQ22</f>
        <v>0.24748040313549832</v>
      </c>
      <c r="AR41" s="46">
        <f>AR25/AR22</f>
        <v>0.23809523809523808</v>
      </c>
      <c r="AS41" s="46">
        <f>AS25/AS22</f>
        <v>0.18136379864334165</v>
      </c>
      <c r="AT41" s="46">
        <f>AT25/AT22</f>
        <v>0.17663378545006164</v>
      </c>
      <c r="AU41" s="46">
        <f t="shared" ref="AU41:BK41" si="71">AU25/AU22</f>
        <v>0.17706821480406387</v>
      </c>
      <c r="AV41" s="46">
        <f t="shared" si="71"/>
        <v>0.17116883116883116</v>
      </c>
      <c r="AW41" s="46">
        <f t="shared" si="71"/>
        <v>0.17737073962439137</v>
      </c>
      <c r="AX41" s="46">
        <f t="shared" si="71"/>
        <v>0.16804807293825114</v>
      </c>
      <c r="AY41" s="46">
        <f t="shared" si="71"/>
        <v>0.1800577543740445</v>
      </c>
      <c r="AZ41" s="46">
        <f t="shared" si="71"/>
        <v>0.19847328244274809</v>
      </c>
      <c r="BA41" s="46">
        <f t="shared" si="71"/>
        <v>0.22982929020664869</v>
      </c>
      <c r="BB41" s="46">
        <f t="shared" si="71"/>
        <v>0.24397213788176461</v>
      </c>
      <c r="BC41" s="46">
        <f t="shared" si="71"/>
        <v>0.26359050999439565</v>
      </c>
      <c r="BD41" s="46">
        <f t="shared" si="71"/>
        <v>0.26926665422653479</v>
      </c>
      <c r="BE41" s="46">
        <f t="shared" si="71"/>
        <v>0.25982758620689655</v>
      </c>
      <c r="BF41" s="46">
        <f t="shared" si="71"/>
        <v>0.24497405966277561</v>
      </c>
      <c r="BG41" s="46">
        <f t="shared" si="71"/>
        <v>0.27864059930568247</v>
      </c>
      <c r="BH41" s="46">
        <f t="shared" si="71"/>
        <v>0.27129391602399316</v>
      </c>
      <c r="BI41" s="46">
        <f t="shared" si="71"/>
        <v>0.23991787652148408</v>
      </c>
      <c r="BJ41" s="46">
        <f t="shared" si="71"/>
        <v>0.22355706450770435</v>
      </c>
      <c r="BK41" s="46">
        <f t="shared" si="71"/>
        <v>0.23232051626781391</v>
      </c>
      <c r="BL41" s="46">
        <f>BL25/BL22</f>
        <v>0.24645413142485362</v>
      </c>
      <c r="BM41" s="46">
        <f>BM25/BM22</f>
        <v>0.23134328358208955</v>
      </c>
      <c r="BW41" s="46">
        <f t="shared" ref="BW41:CK41" si="72">BW25/BW22</f>
        <v>0</v>
      </c>
      <c r="BX41" s="46">
        <f t="shared" si="72"/>
        <v>0</v>
      </c>
      <c r="BY41" s="46">
        <f t="shared" si="72"/>
        <v>0</v>
      </c>
      <c r="BZ41" s="46">
        <f t="shared" si="72"/>
        <v>0</v>
      </c>
      <c r="CA41" s="46">
        <f t="shared" si="72"/>
        <v>0</v>
      </c>
      <c r="CB41" s="46">
        <f t="shared" si="72"/>
        <v>0</v>
      </c>
      <c r="CC41" s="46">
        <f t="shared" si="72"/>
        <v>0</v>
      </c>
      <c r="CD41" s="46">
        <f t="shared" si="72"/>
        <v>0</v>
      </c>
      <c r="CE41" s="46">
        <f t="shared" si="72"/>
        <v>0</v>
      </c>
      <c r="CF41" s="46">
        <f t="shared" si="72"/>
        <v>0</v>
      </c>
      <c r="CG41" s="46">
        <f t="shared" si="72"/>
        <v>0.20311379698863055</v>
      </c>
      <c r="CH41" s="46">
        <f t="shared" si="72"/>
        <v>0.17311670926128758</v>
      </c>
      <c r="CI41" s="46">
        <f t="shared" si="72"/>
        <v>0.21206728528452184</v>
      </c>
      <c r="CJ41" s="46">
        <f t="shared" si="72"/>
        <v>0.25890652557319221</v>
      </c>
      <c r="CK41" s="46">
        <f t="shared" si="72"/>
        <v>0.25037812681791738</v>
      </c>
      <c r="CL41" s="71">
        <v>0.24</v>
      </c>
      <c r="CM41" s="71">
        <v>0.23</v>
      </c>
      <c r="CN41" s="71">
        <v>0.22500000000000001</v>
      </c>
      <c r="CO41" s="71">
        <v>0.22</v>
      </c>
      <c r="CP41" s="71">
        <v>0.215</v>
      </c>
      <c r="CQ41" s="71">
        <v>0.21</v>
      </c>
      <c r="CR41" s="71">
        <v>0.20499999999999999</v>
      </c>
      <c r="CS41" s="71">
        <v>0.2</v>
      </c>
      <c r="CT41" s="71">
        <v>0.19500000000000001</v>
      </c>
      <c r="CU41" s="71">
        <v>0.19</v>
      </c>
    </row>
    <row r="42" spans="2:151">
      <c r="B42" s="37" t="s">
        <v>120</v>
      </c>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f>AQ26/AQ22</f>
        <v>0.11142217245240761</v>
      </c>
      <c r="AR42" s="46">
        <f>AR26/AR22</f>
        <v>0.11128364389233955</v>
      </c>
      <c r="AS42" s="46">
        <f>AS26/AS22</f>
        <v>9.7465191003213145E-2</v>
      </c>
      <c r="AT42" s="46">
        <f>AT26/AT22</f>
        <v>9.4944512946979032E-2</v>
      </c>
      <c r="AU42" s="46">
        <f t="shared" ref="AU42:BK42" si="73">AU26/AU22</f>
        <v>9.2597968069666178E-2</v>
      </c>
      <c r="AV42" s="46">
        <f t="shared" si="73"/>
        <v>8.8571428571428565E-2</v>
      </c>
      <c r="AW42" s="46">
        <f t="shared" si="73"/>
        <v>8.7178298168328311E-2</v>
      </c>
      <c r="AX42" s="46">
        <f t="shared" si="73"/>
        <v>8.5370907583920436E-2</v>
      </c>
      <c r="AY42" s="46">
        <f t="shared" si="73"/>
        <v>0.10140988618990997</v>
      </c>
      <c r="AZ42" s="46">
        <f t="shared" si="73"/>
        <v>9.0381679389312977E-2</v>
      </c>
      <c r="BA42" s="46">
        <f t="shared" si="73"/>
        <v>0.10008984725965858</v>
      </c>
      <c r="BB42" s="46">
        <f t="shared" si="73"/>
        <v>0.10537595999285587</v>
      </c>
      <c r="BC42" s="46">
        <f t="shared" si="73"/>
        <v>0.10928451335699607</v>
      </c>
      <c r="BD42" s="46">
        <f t="shared" si="73"/>
        <v>0.10207128195558873</v>
      </c>
      <c r="BE42" s="46">
        <f t="shared" si="73"/>
        <v>9.9310344827586203E-2</v>
      </c>
      <c r="BF42" s="46">
        <f t="shared" si="73"/>
        <v>0.10440985732814527</v>
      </c>
      <c r="BG42" s="46">
        <f t="shared" si="73"/>
        <v>0.11090809428101589</v>
      </c>
      <c r="BH42" s="46">
        <f t="shared" si="73"/>
        <v>0.10968294772922023</v>
      </c>
      <c r="BI42" s="46">
        <f t="shared" si="73"/>
        <v>0.10573397858923596</v>
      </c>
      <c r="BJ42" s="46">
        <f t="shared" si="73"/>
        <v>0.10642465395664664</v>
      </c>
      <c r="BK42" s="46">
        <f t="shared" si="73"/>
        <v>0.11911804248453886</v>
      </c>
      <c r="BL42" s="46">
        <f>BL26/BL22</f>
        <v>0.12895250487963567</v>
      </c>
      <c r="BM42" s="46">
        <f>BM26/BM22</f>
        <v>0.11561756435215229</v>
      </c>
      <c r="BW42" s="46">
        <f t="shared" ref="BW42:CK42" si="74">BW26/BW22</f>
        <v>0</v>
      </c>
      <c r="BX42" s="46">
        <f t="shared" si="74"/>
        <v>0</v>
      </c>
      <c r="BY42" s="46">
        <f t="shared" si="74"/>
        <v>0</v>
      </c>
      <c r="BZ42" s="46">
        <f t="shared" si="74"/>
        <v>0</v>
      </c>
      <c r="CA42" s="46">
        <f t="shared" si="74"/>
        <v>0</v>
      </c>
      <c r="CB42" s="46">
        <f t="shared" si="74"/>
        <v>0</v>
      </c>
      <c r="CC42" s="46">
        <f t="shared" si="74"/>
        <v>0</v>
      </c>
      <c r="CD42" s="46">
        <f t="shared" si="74"/>
        <v>0</v>
      </c>
      <c r="CE42" s="46">
        <f t="shared" si="74"/>
        <v>0</v>
      </c>
      <c r="CF42" s="46">
        <f t="shared" si="74"/>
        <v>0</v>
      </c>
      <c r="CG42" s="46">
        <f t="shared" si="74"/>
        <v>0.10191539485813787</v>
      </c>
      <c r="CH42" s="46">
        <f t="shared" si="74"/>
        <v>8.81100158208592E-2</v>
      </c>
      <c r="CI42" s="46">
        <f t="shared" si="74"/>
        <v>9.8978856828100509E-2</v>
      </c>
      <c r="CJ42" s="46">
        <f t="shared" si="74"/>
        <v>0.1037037037037037</v>
      </c>
      <c r="CK42" s="46">
        <f t="shared" si="74"/>
        <v>0.10793096761683149</v>
      </c>
      <c r="CL42" s="71">
        <v>0.11749999999999999</v>
      </c>
      <c r="CM42" s="71">
        <v>0.115</v>
      </c>
      <c r="CN42" s="71">
        <v>0.11</v>
      </c>
      <c r="CO42" s="71">
        <v>0.105</v>
      </c>
      <c r="CP42" s="71">
        <v>0.1</v>
      </c>
      <c r="CQ42" s="71">
        <v>9.7500000000000003E-2</v>
      </c>
      <c r="CR42" s="71">
        <v>9.5000000000000001E-2</v>
      </c>
      <c r="CS42" s="71">
        <v>9.2499999999999999E-2</v>
      </c>
      <c r="CT42" s="71">
        <v>0.09</v>
      </c>
      <c r="CU42" s="71">
        <v>0.09</v>
      </c>
    </row>
    <row r="43" spans="2:151">
      <c r="B43" s="37" t="s">
        <v>121</v>
      </c>
      <c r="C43" s="46">
        <f t="shared" ref="C43:AP43" si="75">C29/C22</f>
        <v>0.1156289707750953</v>
      </c>
      <c r="D43" s="46">
        <f t="shared" si="75"/>
        <v>7.5620084694494855E-2</v>
      </c>
      <c r="E43" s="46">
        <f t="shared" si="75"/>
        <v>7.9110012360939425E-2</v>
      </c>
      <c r="F43" s="46">
        <f t="shared" si="75"/>
        <v>0.25045482110369921</v>
      </c>
      <c r="G43" s="46">
        <f t="shared" si="75"/>
        <v>3.3477991320520768E-2</v>
      </c>
      <c r="H43" s="46">
        <f t="shared" si="75"/>
        <v>6.6709021601016522E-2</v>
      </c>
      <c r="I43" s="46">
        <f t="shared" si="75"/>
        <v>8.1656804733727814E-2</v>
      </c>
      <c r="J43" s="46">
        <f t="shared" si="75"/>
        <v>4.1986989946777055E-2</v>
      </c>
      <c r="K43" s="46">
        <f t="shared" si="75"/>
        <v>-0.36593059936908517</v>
      </c>
      <c r="L43" s="46">
        <f t="shared" si="75"/>
        <v>5.449398443029016E-2</v>
      </c>
      <c r="M43" s="46">
        <f t="shared" si="75"/>
        <v>-0.10323089046493301</v>
      </c>
      <c r="N43" s="46">
        <f t="shared" si="75"/>
        <v>-0.36536796536796534</v>
      </c>
      <c r="O43" s="46">
        <f t="shared" si="75"/>
        <v>-9.0073529411764705E-2</v>
      </c>
      <c r="P43" s="46">
        <f t="shared" si="75"/>
        <v>-2.4978466838931956E-2</v>
      </c>
      <c r="Q43" s="46">
        <f t="shared" si="75"/>
        <v>6.5023956194387403E-2</v>
      </c>
      <c r="R43" s="46">
        <f t="shared" si="75"/>
        <v>8.4959093769666455E-2</v>
      </c>
      <c r="S43" s="46">
        <f t="shared" si="75"/>
        <v>3.5075161059413031E-2</v>
      </c>
      <c r="T43" s="46">
        <f t="shared" si="75"/>
        <v>4.3719639139486469E-2</v>
      </c>
      <c r="U43" s="46">
        <f t="shared" si="75"/>
        <v>4.4086773967809655E-2</v>
      </c>
      <c r="V43" s="46">
        <f t="shared" si="75"/>
        <v>-0.26634382566585957</v>
      </c>
      <c r="W43" s="46">
        <f t="shared" si="75"/>
        <v>-0.13300970873786408</v>
      </c>
      <c r="X43" s="46">
        <f t="shared" si="75"/>
        <v>-0.14543524416135881</v>
      </c>
      <c r="Y43" s="46">
        <f t="shared" si="75"/>
        <v>-0.14891611687087652</v>
      </c>
      <c r="Z43" s="46">
        <f t="shared" si="75"/>
        <v>-5.1148225469728602E-2</v>
      </c>
      <c r="AA43" s="46">
        <f t="shared" si="75"/>
        <v>-8.1730769230769232E-2</v>
      </c>
      <c r="AB43" s="46">
        <f t="shared" si="75"/>
        <v>-7.7896786757546254E-3</v>
      </c>
      <c r="AC43" s="46">
        <f t="shared" si="75"/>
        <v>-0.22417750573833206</v>
      </c>
      <c r="AD43" s="46">
        <f t="shared" si="75"/>
        <v>-3.469210754553339E-3</v>
      </c>
      <c r="AE43" s="46">
        <f t="shared" si="75"/>
        <v>9.3378607809847195E-3</v>
      </c>
      <c r="AF43" s="46">
        <f t="shared" si="75"/>
        <v>-8.6880973066898344E-4</v>
      </c>
      <c r="AG43" s="46">
        <f t="shared" si="75"/>
        <v>7.5126262626262624E-2</v>
      </c>
      <c r="AH43" s="46">
        <f t="shared" si="75"/>
        <v>-1.4925373134328358E-3</v>
      </c>
      <c r="AI43" s="46">
        <f t="shared" si="75"/>
        <v>7.2859744990892539E-2</v>
      </c>
      <c r="AJ43" s="46">
        <f t="shared" si="75"/>
        <v>8.7129840546697035E-2</v>
      </c>
      <c r="AK43" s="46">
        <f t="shared" si="75"/>
        <v>9.0744101633393831E-2</v>
      </c>
      <c r="AL43" s="46">
        <f t="shared" si="75"/>
        <v>1.9732205778717406E-2</v>
      </c>
      <c r="AM43" s="46">
        <f t="shared" si="75"/>
        <v>2.9874213836477988E-2</v>
      </c>
      <c r="AN43" s="46">
        <f t="shared" si="75"/>
        <v>3.8536903984323974E-2</v>
      </c>
      <c r="AO43" s="46">
        <f t="shared" si="75"/>
        <v>0.10327595780122155</v>
      </c>
      <c r="AP43" s="46">
        <f t="shared" si="75"/>
        <v>0.16361071932299012</v>
      </c>
      <c r="AQ43" s="46">
        <f>AQ29/AQ22</f>
        <v>9.9104143337066075E-2</v>
      </c>
      <c r="AR43" s="46">
        <f>AR29/AR22</f>
        <v>8.9544513457556929E-2</v>
      </c>
      <c r="AS43" s="46">
        <f>AS29/AS22</f>
        <v>0.16029989289539451</v>
      </c>
      <c r="AT43" s="46">
        <f>AT29/AT22</f>
        <v>0.17570900123304561</v>
      </c>
      <c r="AU43" s="46">
        <f t="shared" ref="AU43:BK43" si="76">AU29/AU22</f>
        <v>0.19216255442670538</v>
      </c>
      <c r="AV43" s="46">
        <f t="shared" si="76"/>
        <v>0.21584415584415584</v>
      </c>
      <c r="AW43" s="46">
        <f t="shared" si="76"/>
        <v>0.21980060282865754</v>
      </c>
      <c r="AX43" s="46">
        <f t="shared" si="76"/>
        <v>0.25010360547036886</v>
      </c>
      <c r="AY43" s="46">
        <f t="shared" si="76"/>
        <v>0.16154238151860031</v>
      </c>
      <c r="AZ43" s="46">
        <f t="shared" si="76"/>
        <v>8.0152671755725186E-2</v>
      </c>
      <c r="BA43" s="46">
        <f t="shared" si="76"/>
        <v>-1.1500449236298293E-2</v>
      </c>
      <c r="BB43" s="46">
        <f t="shared" si="76"/>
        <v>-2.643329165922486E-2</v>
      </c>
      <c r="BC43" s="46">
        <f t="shared" si="76"/>
        <v>-2.7087614421819541E-2</v>
      </c>
      <c r="BD43" s="46">
        <f t="shared" si="76"/>
        <v>-3.7320395596193321E-3</v>
      </c>
      <c r="BE43" s="46">
        <f t="shared" si="76"/>
        <v>3.8620689655172416E-2</v>
      </c>
      <c r="BF43" s="46">
        <f t="shared" si="76"/>
        <v>0.10651750972762646</v>
      </c>
      <c r="BG43" s="46">
        <f t="shared" si="76"/>
        <v>6.5777452950849628E-3</v>
      </c>
      <c r="BH43" s="46">
        <f t="shared" si="76"/>
        <v>4.6101113967437872E-2</v>
      </c>
      <c r="BI43" s="46">
        <f t="shared" si="76"/>
        <v>0.10617392579557119</v>
      </c>
      <c r="BJ43" s="46">
        <f t="shared" si="76"/>
        <v>0.11373726821624446</v>
      </c>
      <c r="BK43" s="46">
        <f t="shared" si="76"/>
        <v>0.10836246302769562</v>
      </c>
      <c r="BL43" s="46">
        <f>BL29/BL22</f>
        <v>-1.7436564736499675E-2</v>
      </c>
      <c r="BM43" s="46">
        <f>BM29/BM22</f>
        <v>0.13735669478693488</v>
      </c>
      <c r="BW43" s="46">
        <f t="shared" ref="BW43:CK43" si="77">BW29/BW22</f>
        <v>0.12980254094596663</v>
      </c>
      <c r="BX43" s="46">
        <f t="shared" si="77"/>
        <v>5.6269113149847096E-2</v>
      </c>
      <c r="BY43" s="46">
        <f t="shared" si="77"/>
        <v>-0.21441624365482234</v>
      </c>
      <c r="BZ43" s="46">
        <f t="shared" si="77"/>
        <v>1.8366619115549217E-2</v>
      </c>
      <c r="CA43" s="46">
        <f t="shared" si="77"/>
        <v>-3.0161510021404943E-2</v>
      </c>
      <c r="CB43" s="46">
        <f t="shared" si="77"/>
        <v>-0.12681254943316636</v>
      </c>
      <c r="CC43" s="46">
        <f t="shared" si="77"/>
        <v>-7.9957127545551981E-2</v>
      </c>
      <c r="CD43" s="46">
        <f t="shared" si="77"/>
        <v>2.2195036700454387E-2</v>
      </c>
      <c r="CE43" s="46">
        <f t="shared" si="77"/>
        <v>7.3934426229508202E-2</v>
      </c>
      <c r="CF43" s="46">
        <f t="shared" si="77"/>
        <v>0.11558893570250962</v>
      </c>
      <c r="CG43" s="46">
        <f t="shared" si="77"/>
        <v>0.14022329202089523</v>
      </c>
      <c r="CH43" s="46">
        <f t="shared" si="77"/>
        <v>0.22197882438846295</v>
      </c>
      <c r="CI43" s="46">
        <f t="shared" si="77"/>
        <v>5.3557052667259859E-2</v>
      </c>
      <c r="CJ43" s="46">
        <f t="shared" si="77"/>
        <v>3.1569664902998236E-2</v>
      </c>
      <c r="CK43" s="46">
        <f t="shared" si="77"/>
        <v>7.3686251696722896E-2</v>
      </c>
      <c r="CL43" s="71">
        <f>CL29/CL22</f>
        <v>9.2719044659906019E-2</v>
      </c>
      <c r="CM43" s="71">
        <f t="shared" ref="CM43:CU43" si="78">CM29/CM22</f>
        <v>0.1349284343994023</v>
      </c>
      <c r="CN43" s="71">
        <f t="shared" si="78"/>
        <v>0.15886478439217663</v>
      </c>
      <c r="CO43" s="71">
        <f t="shared" si="78"/>
        <v>0.17707373088101133</v>
      </c>
      <c r="CP43" s="71">
        <f t="shared" si="78"/>
        <v>0.1945385224327662</v>
      </c>
      <c r="CQ43" s="71">
        <f t="shared" si="78"/>
        <v>0.20890266857729689</v>
      </c>
      <c r="CR43" s="71">
        <f t="shared" si="78"/>
        <v>0.22284891231758827</v>
      </c>
      <c r="CS43" s="71">
        <f t="shared" si="78"/>
        <v>0.23635066487084952</v>
      </c>
      <c r="CT43" s="71">
        <f t="shared" si="78"/>
        <v>0.24948193469259927</v>
      </c>
      <c r="CU43" s="71">
        <f t="shared" si="78"/>
        <v>0.25482885235674507</v>
      </c>
    </row>
    <row r="44" spans="2:151">
      <c r="B44" s="37" t="s">
        <v>122</v>
      </c>
      <c r="C44" s="47">
        <f t="shared" ref="C44:AV44" si="79">C33/C32</f>
        <v>0.41590909090909089</v>
      </c>
      <c r="D44" s="47">
        <f t="shared" si="79"/>
        <v>-6.9444444444444448E-2</v>
      </c>
      <c r="E44" s="47">
        <f t="shared" si="79"/>
        <v>1.4492753623188406E-2</v>
      </c>
      <c r="F44" s="47">
        <f t="shared" si="79"/>
        <v>0.1076923076923077</v>
      </c>
      <c r="G44" s="47">
        <f t="shared" si="79"/>
        <v>0.1</v>
      </c>
      <c r="H44" s="47">
        <f t="shared" si="79"/>
        <v>4.6875E-2</v>
      </c>
      <c r="I44" s="47">
        <f t="shared" si="79"/>
        <v>-5.434782608695652E-2</v>
      </c>
      <c r="J44" s="47">
        <f t="shared" si="79"/>
        <v>2.2598870056497175E-2</v>
      </c>
      <c r="K44" s="47">
        <f t="shared" si="79"/>
        <v>5.1446945337620578E-2</v>
      </c>
      <c r="L44" s="47">
        <f t="shared" si="79"/>
        <v>-0.19354838709677419</v>
      </c>
      <c r="M44" s="47">
        <f t="shared" si="79"/>
        <v>0</v>
      </c>
      <c r="N44" s="47">
        <f t="shared" si="79"/>
        <v>-8.5287846481876331E-3</v>
      </c>
      <c r="O44" s="47">
        <f t="shared" si="79"/>
        <v>-1.3888888888888888E-2</v>
      </c>
      <c r="P44" s="47">
        <f t="shared" si="79"/>
        <v>-4.2253521126760563E-2</v>
      </c>
      <c r="Q44" s="47">
        <f t="shared" si="79"/>
        <v>5.8823529411764705E-2</v>
      </c>
      <c r="R44" s="47">
        <f t="shared" si="79"/>
        <v>1.1111111111111112E-2</v>
      </c>
      <c r="S44" s="47">
        <f t="shared" si="79"/>
        <v>-0.1111111111111111</v>
      </c>
      <c r="T44" s="47">
        <f t="shared" si="79"/>
        <v>-0.125</v>
      </c>
      <c r="U44" s="47">
        <f t="shared" si="79"/>
        <v>0.10526315789473684</v>
      </c>
      <c r="V44" s="47">
        <f t="shared" si="79"/>
        <v>8.1743869209809257E-3</v>
      </c>
      <c r="W44" s="47">
        <f t="shared" si="79"/>
        <v>-1.6949152542372881E-2</v>
      </c>
      <c r="X44" s="47">
        <f t="shared" si="79"/>
        <v>-5.5555555555555558E-3</v>
      </c>
      <c r="Y44" s="47">
        <f t="shared" si="79"/>
        <v>0</v>
      </c>
      <c r="Z44" s="47">
        <f t="shared" si="79"/>
        <v>-0.10869565217391304</v>
      </c>
      <c r="AA44" s="47">
        <f t="shared" si="79"/>
        <v>-9.2592592592592587E-3</v>
      </c>
      <c r="AB44" s="47">
        <f t="shared" si="79"/>
        <v>0.28712871287128711</v>
      </c>
      <c r="AC44" s="47">
        <f t="shared" si="79"/>
        <v>-1.0075566750629723E-2</v>
      </c>
      <c r="AD44" s="47">
        <f t="shared" si="79"/>
        <v>-0.1111111111111111</v>
      </c>
      <c r="AE44" s="47">
        <f t="shared" si="79"/>
        <v>-0.19230769230769232</v>
      </c>
      <c r="AF44" s="47">
        <f t="shared" si="79"/>
        <v>-8.3333333333333329E-2</v>
      </c>
      <c r="AG44" s="47">
        <f t="shared" si="79"/>
        <v>0.25882352941176473</v>
      </c>
      <c r="AH44" s="47">
        <f t="shared" si="79"/>
        <v>0.38709677419354838</v>
      </c>
      <c r="AI44" s="47">
        <f t="shared" si="79"/>
        <v>8.8888888888888892E-2</v>
      </c>
      <c r="AJ44" s="47">
        <f t="shared" si="79"/>
        <v>4.878048780487805E-2</v>
      </c>
      <c r="AK44" s="47">
        <f t="shared" si="79"/>
        <v>0.10526315789473684</v>
      </c>
      <c r="AL44" s="47">
        <f t="shared" si="79"/>
        <v>-11.666666666666666</v>
      </c>
      <c r="AM44" s="47">
        <f t="shared" si="79"/>
        <v>-3.25</v>
      </c>
      <c r="AN44" s="47">
        <f t="shared" si="79"/>
        <v>5.4054054054054057E-2</v>
      </c>
      <c r="AO44" s="47">
        <f t="shared" si="79"/>
        <v>5.5555555555555552E-2</v>
      </c>
      <c r="AP44" s="47">
        <f t="shared" si="79"/>
        <v>0.17073170731707318</v>
      </c>
      <c r="AQ44" s="47">
        <f t="shared" si="79"/>
        <v>3.5714285714285712E-2</v>
      </c>
      <c r="AR44" s="47">
        <f t="shared" si="79"/>
        <v>2.5000000000000001E-2</v>
      </c>
      <c r="AS44" s="47">
        <f t="shared" si="79"/>
        <v>2.9925187032418952E-2</v>
      </c>
      <c r="AT44" s="47">
        <f t="shared" si="79"/>
        <v>-2.2564102564102564</v>
      </c>
      <c r="AU44" s="47">
        <f t="shared" si="79"/>
        <v>0.13862928348909656</v>
      </c>
      <c r="AV44" s="47">
        <f t="shared" si="79"/>
        <v>0.13763702801461633</v>
      </c>
      <c r="AW44" s="47">
        <f>AW33/AW32</f>
        <v>8.175473579262213E-2</v>
      </c>
      <c r="AX44" s="47">
        <f t="shared" ref="AX44:BL44" si="80">AX33/AX32</f>
        <v>0.19035743973399832</v>
      </c>
      <c r="AY44" s="47">
        <f t="shared" si="80"/>
        <v>0.12611607142857142</v>
      </c>
      <c r="AZ44" s="47">
        <f t="shared" si="80"/>
        <v>0.10685483870967742</v>
      </c>
      <c r="BA44" s="47">
        <f t="shared" si="80"/>
        <v>1.8493150684931507</v>
      </c>
      <c r="BB44" s="47">
        <f t="shared" si="80"/>
        <v>1.1333333333333333</v>
      </c>
      <c r="BC44" s="47">
        <f t="shared" si="80"/>
        <v>-0.10236220472440945</v>
      </c>
      <c r="BD44" s="47">
        <f t="shared" si="80"/>
        <v>11.5</v>
      </c>
      <c r="BE44" s="47">
        <f t="shared" si="80"/>
        <v>-0.1517509727626459</v>
      </c>
      <c r="BF44" s="47">
        <f t="shared" si="80"/>
        <v>-0.4374079528718704</v>
      </c>
      <c r="BG44" s="47">
        <f t="shared" si="80"/>
        <v>-0.8125</v>
      </c>
      <c r="BH44" s="47">
        <f t="shared" si="80"/>
        <v>0.13712374581939799</v>
      </c>
      <c r="BI44" s="47">
        <f t="shared" si="80"/>
        <v>-3.6635006784260515E-2</v>
      </c>
      <c r="BJ44" s="47">
        <f t="shared" si="80"/>
        <v>0.47131608548931386</v>
      </c>
      <c r="BK44" s="47">
        <f t="shared" si="80"/>
        <v>0.14909090909090908</v>
      </c>
      <c r="BL44" s="47">
        <f t="shared" si="80"/>
        <v>11.27027027027027</v>
      </c>
      <c r="BM44" s="47">
        <f t="shared" ref="BM44" si="81">BM33/BM32</f>
        <v>0.11634980988593156</v>
      </c>
      <c r="BW44" s="47">
        <f t="shared" ref="BW44:CK44" si="82">BW33/BW32</f>
        <v>0.22760041194644695</v>
      </c>
      <c r="BX44" s="47">
        <f t="shared" si="82"/>
        <v>4</v>
      </c>
      <c r="BY44" s="47">
        <f t="shared" si="82"/>
        <v>2.7937551355792935E-2</v>
      </c>
      <c r="BZ44" s="47">
        <f t="shared" si="82"/>
        <v>-0.12162162162162163</v>
      </c>
      <c r="CA44" s="47">
        <f t="shared" si="82"/>
        <v>-1.2562814070351759E-2</v>
      </c>
      <c r="CB44" s="47">
        <f t="shared" si="82"/>
        <v>-2.1671826625386997E-2</v>
      </c>
      <c r="CC44" s="47">
        <f t="shared" si="82"/>
        <v>-8.6859688195991089E-2</v>
      </c>
      <c r="CD44" s="47">
        <f t="shared" si="82"/>
        <v>-2.25</v>
      </c>
      <c r="CE44" s="47">
        <f t="shared" si="82"/>
        <v>-2.7272727272727271E-2</v>
      </c>
      <c r="CF44" s="47">
        <f t="shared" si="82"/>
        <v>8.3333333333333329E-2</v>
      </c>
      <c r="CG44" s="47">
        <f t="shared" si="82"/>
        <v>-0.94901960784313721</v>
      </c>
      <c r="CH44" s="47">
        <f t="shared" si="82"/>
        <v>0.13982011447260834</v>
      </c>
      <c r="CI44" s="47">
        <f t="shared" si="82"/>
        <v>-0.10304054054054054</v>
      </c>
      <c r="CJ44" s="47">
        <f t="shared" si="82"/>
        <v>-0.42874845105328374</v>
      </c>
      <c r="CK44" s="47">
        <f t="shared" si="82"/>
        <v>0.19155354449472098</v>
      </c>
      <c r="CL44" s="71">
        <v>0.05</v>
      </c>
      <c r="CM44" s="71">
        <v>0.1</v>
      </c>
      <c r="CN44" s="71">
        <v>0.12</v>
      </c>
      <c r="CO44" s="71">
        <v>0.12</v>
      </c>
      <c r="CP44" s="71">
        <v>0.12</v>
      </c>
      <c r="CQ44" s="71">
        <v>0.12</v>
      </c>
      <c r="CR44" s="71">
        <v>0.12</v>
      </c>
      <c r="CS44" s="71">
        <v>0.12</v>
      </c>
      <c r="CT44" s="71">
        <v>0.12</v>
      </c>
      <c r="CU44" s="71">
        <v>0.12</v>
      </c>
    </row>
    <row r="45" spans="2:151">
      <c r="B45" s="37" t="s">
        <v>123</v>
      </c>
      <c r="C45" s="46">
        <f t="shared" ref="C45:AP45" si="83">C36/C22</f>
        <v>0.16327827191867852</v>
      </c>
      <c r="D45" s="46">
        <f t="shared" si="83"/>
        <v>-2.601330913490623E-2</v>
      </c>
      <c r="E45" s="46">
        <f t="shared" si="83"/>
        <v>-7.2929542645241041E-2</v>
      </c>
      <c r="F45" s="46">
        <f t="shared" si="83"/>
        <v>0.22741055184960582</v>
      </c>
      <c r="G45" s="46">
        <f t="shared" si="83"/>
        <v>0.31618102913825169</v>
      </c>
      <c r="H45" s="46">
        <f t="shared" si="83"/>
        <v>3.8754764930114358E-2</v>
      </c>
      <c r="I45" s="46">
        <f t="shared" si="83"/>
        <v>5.7396449704142011E-2</v>
      </c>
      <c r="J45" s="46">
        <f t="shared" si="83"/>
        <v>-0.10467179183914843</v>
      </c>
      <c r="K45" s="46">
        <f t="shared" si="83"/>
        <v>-0.37223974763406942</v>
      </c>
      <c r="L45" s="46">
        <f t="shared" si="83"/>
        <v>2.6185421089879687E-2</v>
      </c>
      <c r="M45" s="46">
        <f t="shared" si="83"/>
        <v>-0.12371946414499606</v>
      </c>
      <c r="N45" s="46">
        <f t="shared" si="83"/>
        <v>-0.40952380952380951</v>
      </c>
      <c r="O45" s="46">
        <f t="shared" si="83"/>
        <v>-0.13419117647058823</v>
      </c>
      <c r="P45" s="46">
        <f t="shared" si="83"/>
        <v>-6.3738156761412576E-2</v>
      </c>
      <c r="Q45" s="46">
        <f t="shared" si="83"/>
        <v>3.2854209445585217E-2</v>
      </c>
      <c r="R45" s="46">
        <f t="shared" si="83"/>
        <v>5.6010069225928258E-2</v>
      </c>
      <c r="S45" s="46">
        <f t="shared" si="83"/>
        <v>-1.4316392269148175E-2</v>
      </c>
      <c r="T45" s="46">
        <f t="shared" si="83"/>
        <v>-2.4982650936849409E-2</v>
      </c>
      <c r="U45" s="46">
        <f t="shared" si="83"/>
        <v>1.1896431070678797E-2</v>
      </c>
      <c r="V45" s="46">
        <f t="shared" si="83"/>
        <v>-0.29378531073446329</v>
      </c>
      <c r="W45" s="46">
        <f t="shared" si="83"/>
        <v>-0.17475728155339806</v>
      </c>
      <c r="X45" s="46">
        <f t="shared" si="83"/>
        <v>-0.19214437367303611</v>
      </c>
      <c r="Y45" s="46">
        <f t="shared" si="83"/>
        <v>-0.18567389255419417</v>
      </c>
      <c r="Z45" s="46">
        <f t="shared" si="83"/>
        <v>-0.10647181628392484</v>
      </c>
      <c r="AA45" s="46">
        <f t="shared" si="83"/>
        <v>-0.13100961538461539</v>
      </c>
      <c r="AB45" s="46">
        <f t="shared" si="83"/>
        <v>6.718597857838364E-2</v>
      </c>
      <c r="AC45" s="46">
        <f t="shared" si="83"/>
        <v>-0.31063504208110176</v>
      </c>
      <c r="AD45" s="46">
        <f t="shared" si="83"/>
        <v>-4.5099739809193407E-2</v>
      </c>
      <c r="AE45" s="46">
        <f t="shared" si="83"/>
        <v>-2.801358234295416E-2</v>
      </c>
      <c r="AF45" s="46">
        <f t="shared" si="83"/>
        <v>-3.6490008688097306E-2</v>
      </c>
      <c r="AG45" s="46">
        <f t="shared" si="83"/>
        <v>3.8510101010101008E-2</v>
      </c>
      <c r="AH45" s="46">
        <f t="shared" si="83"/>
        <v>-1.4179104477611941E-2</v>
      </c>
      <c r="AI45" s="46">
        <f t="shared" si="83"/>
        <v>4.9180327868852458E-2</v>
      </c>
      <c r="AJ45" s="46">
        <f t="shared" si="83"/>
        <v>6.6059225512528477E-2</v>
      </c>
      <c r="AK45" s="46">
        <f t="shared" si="83"/>
        <v>6.1705989110707807E-2</v>
      </c>
      <c r="AL45" s="46">
        <f t="shared" si="83"/>
        <v>2.6779422128259338E-2</v>
      </c>
      <c r="AM45" s="46">
        <f t="shared" si="83"/>
        <v>1.2578616352201259E-2</v>
      </c>
      <c r="AN45" s="46">
        <f t="shared" si="83"/>
        <v>2.2860875244937948E-2</v>
      </c>
      <c r="AO45" s="46">
        <f t="shared" si="83"/>
        <v>6.6074403109383673E-2</v>
      </c>
      <c r="AP45" s="46">
        <f t="shared" si="83"/>
        <v>7.992477668077104E-2</v>
      </c>
      <c r="AQ45" s="46">
        <f>AQ36/AQ22</f>
        <v>9.0705487122060474E-2</v>
      </c>
      <c r="AR45" s="46">
        <f>AR36/AR22</f>
        <v>8.1262939958592129E-2</v>
      </c>
      <c r="AS45" s="46">
        <f>AS36/AS22</f>
        <v>0.13923598714744734</v>
      </c>
      <c r="AT45" s="46">
        <f>AT36/AT22</f>
        <v>0.5490135635018496</v>
      </c>
      <c r="AU45" s="46">
        <f t="shared" ref="AU45:BK45" si="84">AU36/AU22</f>
        <v>0.16110304789550073</v>
      </c>
      <c r="AV45" s="46">
        <f t="shared" si="84"/>
        <v>0.18441558441558442</v>
      </c>
      <c r="AW45" s="46">
        <f t="shared" si="84"/>
        <v>0.21400417342916764</v>
      </c>
      <c r="AX45" s="46">
        <f t="shared" si="84"/>
        <v>0.20182345627849149</v>
      </c>
      <c r="AY45" s="46">
        <f t="shared" si="84"/>
        <v>0.13351452352641413</v>
      </c>
      <c r="AZ45" s="46">
        <f t="shared" si="84"/>
        <v>6.8244274809160302E-2</v>
      </c>
      <c r="BA45" s="46">
        <f t="shared" si="84"/>
        <v>1.1859838274932614E-2</v>
      </c>
      <c r="BB45" s="46">
        <f t="shared" si="84"/>
        <v>3.7506697624575818E-3</v>
      </c>
      <c r="BC45" s="46">
        <f t="shared" si="84"/>
        <v>-2.5966747618158044E-2</v>
      </c>
      <c r="BD45" s="46">
        <f t="shared" si="84"/>
        <v>5.0382534054860982E-3</v>
      </c>
      <c r="BE45" s="46">
        <f t="shared" si="84"/>
        <v>5.1551724137931035E-2</v>
      </c>
      <c r="BF45" s="46">
        <f t="shared" si="84"/>
        <v>0.15920881971465628</v>
      </c>
      <c r="BG45" s="46">
        <f t="shared" si="84"/>
        <v>2.2473963091540289E-2</v>
      </c>
      <c r="BH45" s="46">
        <f t="shared" si="84"/>
        <v>4.5415595544130251E-2</v>
      </c>
      <c r="BI45" s="46">
        <f t="shared" si="84"/>
        <v>0.11306643202815662</v>
      </c>
      <c r="BJ45" s="46">
        <f t="shared" si="84"/>
        <v>6.2940715591538257E-2</v>
      </c>
      <c r="BK45" s="46">
        <f t="shared" si="84"/>
        <v>9.5321322936273198E-2</v>
      </c>
      <c r="BL45" s="46">
        <f>BL36/BL22</f>
        <v>0.11346779440468445</v>
      </c>
      <c r="BM45" s="46">
        <f>BM36/BM22</f>
        <v>0.13443651308674021</v>
      </c>
      <c r="BW45" s="46">
        <f t="shared" ref="BW45:CK45" si="85">BW36/BW22</f>
        <v>7.209551507729986E-2</v>
      </c>
      <c r="BX45" s="46">
        <f t="shared" si="85"/>
        <v>7.5076452599388374E-2</v>
      </c>
      <c r="BY45" s="46">
        <f t="shared" si="85"/>
        <v>-0.2402030456852792</v>
      </c>
      <c r="BZ45" s="46">
        <f t="shared" si="85"/>
        <v>-1.4800285306704708E-2</v>
      </c>
      <c r="CA45" s="46">
        <f t="shared" si="85"/>
        <v>-7.8419926055652844E-2</v>
      </c>
      <c r="CB45" s="46">
        <f t="shared" si="85"/>
        <v>-0.17400474558397047</v>
      </c>
      <c r="CC45" s="46">
        <f t="shared" si="85"/>
        <v>-0.1067524115755627</v>
      </c>
      <c r="CD45" s="46">
        <f t="shared" si="85"/>
        <v>-5.7672142607479906E-3</v>
      </c>
      <c r="CE45" s="46">
        <f t="shared" si="85"/>
        <v>5.5245901639344265E-2</v>
      </c>
      <c r="CF45" s="46">
        <f t="shared" si="85"/>
        <v>6.2282469316724674E-2</v>
      </c>
      <c r="CG45" s="46">
        <f t="shared" si="85"/>
        <v>0.25504455597664655</v>
      </c>
      <c r="CH45" s="46">
        <f t="shared" si="85"/>
        <v>0.19240598758671049</v>
      </c>
      <c r="CI45" s="46">
        <f t="shared" si="85"/>
        <v>5.5929833481632135E-2</v>
      </c>
      <c r="CJ45" s="46">
        <f t="shared" si="85"/>
        <v>5.1543209876543213E-2</v>
      </c>
      <c r="CK45" s="46">
        <f t="shared" si="85"/>
        <v>6.3641652123327522E-2</v>
      </c>
      <c r="CL45" s="71">
        <f>CL36/CL22</f>
        <v>0.10033537594154945</v>
      </c>
      <c r="CM45" s="71">
        <f t="shared" ref="CM45:CU45" si="86">CM36/CM22</f>
        <v>0.13973040899828018</v>
      </c>
      <c r="CN45" s="71">
        <f t="shared" si="86"/>
        <v>0.16656632126997228</v>
      </c>
      <c r="CO45" s="71">
        <f t="shared" si="86"/>
        <v>0.19257467372569825</v>
      </c>
      <c r="CP45" s="71">
        <f t="shared" si="86"/>
        <v>0.21935609754533081</v>
      </c>
      <c r="CQ45" s="71">
        <f t="shared" si="86"/>
        <v>0.24515758573892424</v>
      </c>
      <c r="CR45" s="71">
        <f t="shared" si="86"/>
        <v>0.27223307957440052</v>
      </c>
      <c r="CS45" s="71">
        <f t="shared" si="86"/>
        <v>0.30149762922158369</v>
      </c>
      <c r="CT45" s="71">
        <f t="shared" si="86"/>
        <v>0.33364892609619357</v>
      </c>
      <c r="CU45" s="71">
        <f t="shared" si="86"/>
        <v>0.36261317009198796</v>
      </c>
    </row>
    <row r="47" spans="2:151" ht="15" customHeight="1">
      <c r="B47" s="1" t="s">
        <v>124</v>
      </c>
      <c r="AT47" s="1">
        <v>1595</v>
      </c>
      <c r="AU47" s="1">
        <v>1763</v>
      </c>
      <c r="AV47" s="1">
        <v>2623</v>
      </c>
      <c r="AW47" s="1">
        <v>2440</v>
      </c>
      <c r="AX47" s="1">
        <v>2535</v>
      </c>
      <c r="AY47" s="1">
        <v>4740</v>
      </c>
      <c r="AZ47" s="1">
        <v>4964</v>
      </c>
      <c r="BA47" s="1">
        <v>3398</v>
      </c>
      <c r="BB47" s="1">
        <v>4835</v>
      </c>
      <c r="BC47" s="1">
        <v>3825</v>
      </c>
      <c r="BD47" s="1">
        <v>3841</v>
      </c>
      <c r="BE47" s="1">
        <v>3561</v>
      </c>
      <c r="BF47" s="1">
        <v>3933</v>
      </c>
      <c r="BG47" s="1">
        <v>4190</v>
      </c>
      <c r="BH47" s="1">
        <v>4113</v>
      </c>
      <c r="BI47" s="1">
        <v>3897</v>
      </c>
      <c r="BJ47" s="1">
        <v>3787</v>
      </c>
      <c r="BK47" s="1">
        <v>6049</v>
      </c>
      <c r="BL47" s="1">
        <v>4442</v>
      </c>
      <c r="BM47" s="1">
        <v>4808</v>
      </c>
      <c r="CG47" s="1">
        <f t="shared" ref="CG47:CG59" si="87">AT47</f>
        <v>1595</v>
      </c>
      <c r="CH47" s="1">
        <f t="shared" ref="CH47:CH59" si="88">AX47</f>
        <v>2535</v>
      </c>
      <c r="CI47" s="1">
        <f t="shared" ref="CI47:CI59" si="89">BB47</f>
        <v>4835</v>
      </c>
      <c r="CJ47" s="1">
        <f t="shared" ref="CJ47:CJ59" si="90">BF47</f>
        <v>3933</v>
      </c>
      <c r="CK47" s="1">
        <f t="shared" ref="CK47:CK59" si="91">BJ47</f>
        <v>3787</v>
      </c>
      <c r="CL47" s="69">
        <f>CK47+CL36</f>
        <v>7248.7350200000001</v>
      </c>
      <c r="CM47" s="53">
        <f t="shared" ref="CM47:CU47" si="92">CL47+CM36</f>
        <v>13103.445668464999</v>
      </c>
      <c r="CN47" s="53">
        <f t="shared" si="92"/>
        <v>21535.258374621077</v>
      </c>
      <c r="CO47" s="53">
        <f t="shared" si="92"/>
        <v>33203.755617571296</v>
      </c>
      <c r="CP47" s="53">
        <f t="shared" si="92"/>
        <v>48840.673723755041</v>
      </c>
      <c r="CQ47" s="53">
        <f t="shared" si="92"/>
        <v>69030.028818237042</v>
      </c>
      <c r="CR47" s="53">
        <f t="shared" si="92"/>
        <v>94555.059295157102</v>
      </c>
      <c r="CS47" s="53">
        <f t="shared" si="92"/>
        <v>126078.64374849654</v>
      </c>
      <c r="CT47" s="53">
        <f t="shared" si="92"/>
        <v>164198.19634041149</v>
      </c>
      <c r="CU47" s="53">
        <f t="shared" si="92"/>
        <v>208693.08008765802</v>
      </c>
    </row>
    <row r="48" spans="2:151" ht="15" customHeight="1">
      <c r="B48" s="1" t="s">
        <v>125</v>
      </c>
      <c r="AT48" s="1">
        <v>695</v>
      </c>
      <c r="AU48" s="1">
        <v>1353</v>
      </c>
      <c r="AV48" s="1">
        <v>1170</v>
      </c>
      <c r="AW48" s="1">
        <v>1168</v>
      </c>
      <c r="AX48" s="1">
        <v>1073</v>
      </c>
      <c r="AY48" s="1">
        <v>1792</v>
      </c>
      <c r="AZ48" s="1">
        <v>1028</v>
      </c>
      <c r="BA48" s="1">
        <v>2193</v>
      </c>
      <c r="BB48" s="1">
        <v>1020</v>
      </c>
      <c r="BC48" s="1">
        <v>2114</v>
      </c>
      <c r="BD48" s="1">
        <v>2444</v>
      </c>
      <c r="BE48" s="1">
        <v>2224</v>
      </c>
      <c r="BF48" s="1">
        <v>1840</v>
      </c>
      <c r="BG48" s="1">
        <v>1845</v>
      </c>
      <c r="BH48" s="1">
        <v>1227</v>
      </c>
      <c r="BI48" s="1">
        <v>647</v>
      </c>
      <c r="BJ48" s="1">
        <v>1345</v>
      </c>
      <c r="BK48" s="1">
        <v>1261</v>
      </c>
      <c r="BL48" s="1">
        <v>1425</v>
      </c>
      <c r="BM48" s="1">
        <v>2435</v>
      </c>
      <c r="CG48" s="1">
        <f t="shared" si="87"/>
        <v>695</v>
      </c>
      <c r="CH48" s="1">
        <f t="shared" si="88"/>
        <v>1073</v>
      </c>
      <c r="CI48" s="1">
        <f t="shared" si="89"/>
        <v>1020</v>
      </c>
      <c r="CJ48" s="1">
        <f t="shared" si="90"/>
        <v>1840</v>
      </c>
      <c r="CK48" s="1">
        <f t="shared" si="91"/>
        <v>1345</v>
      </c>
    </row>
    <row r="49" spans="2:151" ht="15" customHeight="1">
      <c r="B49" s="1" t="s">
        <v>1466</v>
      </c>
      <c r="AT49" s="1">
        <v>2066</v>
      </c>
      <c r="AU49" s="1">
        <v>2178</v>
      </c>
      <c r="AV49" s="1">
        <v>2020</v>
      </c>
      <c r="AW49" s="1">
        <v>2224</v>
      </c>
      <c r="AX49" s="1">
        <v>2706</v>
      </c>
      <c r="AY49" s="1">
        <v>3677</v>
      </c>
      <c r="AZ49" s="1">
        <v>4050</v>
      </c>
      <c r="BA49" s="1">
        <v>4336</v>
      </c>
      <c r="BB49" s="1">
        <v>4126</v>
      </c>
      <c r="BC49" s="1">
        <v>4040</v>
      </c>
      <c r="BD49" s="1">
        <v>4312</v>
      </c>
      <c r="BE49" s="1">
        <v>5054</v>
      </c>
      <c r="BF49" s="1">
        <v>4323</v>
      </c>
      <c r="BG49" s="1">
        <v>5038</v>
      </c>
      <c r="BH49" s="1">
        <v>5749</v>
      </c>
      <c r="BI49" s="1">
        <v>7241</v>
      </c>
      <c r="BJ49" s="1">
        <v>6192</v>
      </c>
      <c r="BK49" s="1">
        <v>5443</v>
      </c>
      <c r="BL49" s="1">
        <v>5115</v>
      </c>
      <c r="BM49" s="1">
        <v>6201</v>
      </c>
      <c r="CG49" s="1">
        <f t="shared" si="87"/>
        <v>2066</v>
      </c>
      <c r="CH49" s="1">
        <f t="shared" si="88"/>
        <v>2706</v>
      </c>
      <c r="CI49" s="1">
        <f t="shared" si="89"/>
        <v>4126</v>
      </c>
      <c r="CJ49" s="1">
        <f t="shared" si="90"/>
        <v>4323</v>
      </c>
      <c r="CK49" s="1">
        <f t="shared" si="91"/>
        <v>6192</v>
      </c>
      <c r="CM49" s="58" t="s">
        <v>1495</v>
      </c>
      <c r="CN49" s="57"/>
      <c r="CO49" s="57"/>
      <c r="CP49" s="58" t="s">
        <v>1496</v>
      </c>
      <c r="CQ49" s="57"/>
      <c r="CR49" s="59" t="s">
        <v>1497</v>
      </c>
      <c r="CS49" s="57"/>
      <c r="CT49" s="60" t="s">
        <v>1498</v>
      </c>
      <c r="CU49" s="61">
        <v>0.11749999999999999</v>
      </c>
      <c r="CV49" s="57"/>
    </row>
    <row r="50" spans="2:151" ht="15" customHeight="1">
      <c r="B50" s="1" t="s">
        <v>1467</v>
      </c>
      <c r="AT50" s="1">
        <v>1399</v>
      </c>
      <c r="AU50" s="1">
        <v>1653</v>
      </c>
      <c r="AV50" s="1">
        <v>1765</v>
      </c>
      <c r="AW50" s="1">
        <v>1902</v>
      </c>
      <c r="AX50" s="1">
        <v>1955</v>
      </c>
      <c r="AY50" s="1">
        <v>2431</v>
      </c>
      <c r="AZ50" s="1">
        <v>2648</v>
      </c>
      <c r="BA50" s="1">
        <v>3369</v>
      </c>
      <c r="BB50" s="1">
        <v>3771</v>
      </c>
      <c r="BC50" s="1">
        <v>4235</v>
      </c>
      <c r="BD50" s="1">
        <v>4567</v>
      </c>
      <c r="BE50" s="1">
        <v>4445</v>
      </c>
      <c r="BF50" s="1">
        <v>4351</v>
      </c>
      <c r="BG50" s="1">
        <v>4652</v>
      </c>
      <c r="BH50" s="1">
        <v>4991</v>
      </c>
      <c r="BI50" s="1">
        <v>5374</v>
      </c>
      <c r="BJ50" s="1">
        <v>5734</v>
      </c>
      <c r="BK50" s="1">
        <v>6416</v>
      </c>
      <c r="BL50" s="1">
        <v>6677</v>
      </c>
      <c r="BM50" s="1">
        <v>7313</v>
      </c>
      <c r="CG50" s="1">
        <f t="shared" si="87"/>
        <v>1399</v>
      </c>
      <c r="CH50" s="1">
        <f t="shared" si="88"/>
        <v>1955</v>
      </c>
      <c r="CI50" s="1">
        <f t="shared" si="89"/>
        <v>3771</v>
      </c>
      <c r="CJ50" s="1">
        <f t="shared" si="90"/>
        <v>4351</v>
      </c>
      <c r="CK50" s="1">
        <f t="shared" si="91"/>
        <v>5734</v>
      </c>
      <c r="CM50" s="57">
        <v>2025</v>
      </c>
      <c r="CN50" s="57"/>
      <c r="CO50" s="57">
        <v>2023</v>
      </c>
      <c r="CP50" s="57">
        <v>2024</v>
      </c>
      <c r="CQ50" s="57"/>
      <c r="CR50" s="59" t="s">
        <v>1499</v>
      </c>
      <c r="CS50" s="57"/>
      <c r="CT50" s="60" t="s">
        <v>1500</v>
      </c>
      <c r="CU50" s="61">
        <v>1.4999999999999999E-2</v>
      </c>
      <c r="CV50" s="57"/>
    </row>
    <row r="51" spans="2:151" ht="15" customHeight="1">
      <c r="B51" s="1" t="s">
        <v>1468</v>
      </c>
      <c r="AT51" s="1">
        <v>10</v>
      </c>
      <c r="AU51" s="1">
        <v>7</v>
      </c>
      <c r="AV51" s="1">
        <v>6</v>
      </c>
      <c r="AW51" s="1">
        <v>0</v>
      </c>
      <c r="AX51" s="1">
        <v>0</v>
      </c>
      <c r="AY51" s="1">
        <v>0</v>
      </c>
      <c r="AZ51" s="1">
        <v>0</v>
      </c>
      <c r="BA51" s="1">
        <v>0</v>
      </c>
      <c r="BB51" s="1">
        <v>0</v>
      </c>
      <c r="BC51" s="1">
        <v>0</v>
      </c>
      <c r="BD51" s="1">
        <v>0</v>
      </c>
      <c r="BE51" s="1">
        <v>0</v>
      </c>
      <c r="BF51" s="1">
        <v>0</v>
      </c>
      <c r="BG51" s="1">
        <v>0</v>
      </c>
      <c r="BH51" s="1">
        <v>0</v>
      </c>
      <c r="BI51" s="1">
        <v>0</v>
      </c>
      <c r="BJ51" s="1">
        <v>0</v>
      </c>
      <c r="BK51" s="1">
        <v>0</v>
      </c>
      <c r="BL51" s="1">
        <v>4326</v>
      </c>
      <c r="BM51" s="1">
        <v>3990</v>
      </c>
      <c r="CG51" s="1">
        <f t="shared" si="87"/>
        <v>10</v>
      </c>
      <c r="CH51" s="1">
        <f t="shared" si="88"/>
        <v>0</v>
      </c>
      <c r="CI51" s="1">
        <f t="shared" si="89"/>
        <v>0</v>
      </c>
      <c r="CJ51" s="1">
        <f t="shared" si="90"/>
        <v>0</v>
      </c>
      <c r="CK51" s="1">
        <f t="shared" si="91"/>
        <v>0</v>
      </c>
      <c r="CM51" s="62">
        <f>AVERAGE(CL29)*(1-CL44)</f>
        <v>3039.0111449999999</v>
      </c>
      <c r="CN51" s="57"/>
      <c r="CO51" s="63">
        <f>SUM(CJ47:CJ50)-CJ61+CJ52+CJ56+CJ55</f>
        <v>59975</v>
      </c>
      <c r="CP51" s="63">
        <f>SUM(CK47:CK50)-CK61+CK52+CK56+CK55</f>
        <v>60352</v>
      </c>
      <c r="CQ51" s="57"/>
      <c r="CR51" s="63">
        <f>AVERAGE(CO51:CP51)</f>
        <v>60163.5</v>
      </c>
      <c r="CS51" s="57"/>
      <c r="CT51" s="60" t="s">
        <v>1501</v>
      </c>
      <c r="CU51" s="61">
        <v>4.1459999999999997E-2</v>
      </c>
      <c r="CV51" s="57"/>
    </row>
    <row r="52" spans="2:151" ht="15" customHeight="1">
      <c r="B52" s="1" t="s">
        <v>1474</v>
      </c>
      <c r="AT52" s="1">
        <v>378</v>
      </c>
      <c r="AU52" s="1">
        <v>234</v>
      </c>
      <c r="AV52" s="1">
        <v>234</v>
      </c>
      <c r="AW52" s="1">
        <f>5+249</f>
        <v>254</v>
      </c>
      <c r="AX52" s="1">
        <f>2+312</f>
        <v>314</v>
      </c>
      <c r="AY52" s="1">
        <f>4+725</f>
        <v>729</v>
      </c>
      <c r="AZ52" s="1">
        <f>3+769</f>
        <v>772</v>
      </c>
      <c r="BA52" s="1">
        <f>4+1120</f>
        <v>1124</v>
      </c>
      <c r="BB52" s="1">
        <f>2+1265</f>
        <v>1267</v>
      </c>
      <c r="BC52" s="1">
        <f>2+1442</f>
        <v>1444</v>
      </c>
      <c r="BD52" s="1">
        <f>2+1339</f>
        <v>1341</v>
      </c>
      <c r="BE52" s="1">
        <f>1+1403</f>
        <v>1404</v>
      </c>
      <c r="BF52" s="1">
        <f>2312+9</f>
        <v>2321</v>
      </c>
      <c r="BG52" s="1">
        <f>31+1328</f>
        <v>1359</v>
      </c>
      <c r="BH52" s="1">
        <f>24+1361</f>
        <v>1385</v>
      </c>
      <c r="BI52" s="1">
        <f>29+1547</f>
        <v>1576</v>
      </c>
      <c r="BJ52" s="1">
        <v>1991</v>
      </c>
      <c r="BK52" s="1">
        <v>2426</v>
      </c>
      <c r="BL52" s="1">
        <v>2534</v>
      </c>
      <c r="BM52" s="1">
        <v>2253</v>
      </c>
      <c r="CG52" s="1">
        <f t="shared" si="87"/>
        <v>378</v>
      </c>
      <c r="CH52" s="1">
        <f t="shared" si="88"/>
        <v>314</v>
      </c>
      <c r="CI52" s="1">
        <f t="shared" si="89"/>
        <v>1267</v>
      </c>
      <c r="CJ52" s="1">
        <f t="shared" si="90"/>
        <v>2321</v>
      </c>
      <c r="CK52" s="1">
        <f t="shared" si="91"/>
        <v>1991</v>
      </c>
      <c r="CM52" s="64">
        <f>CM51/CR51</f>
        <v>5.0512539081004261E-2</v>
      </c>
      <c r="CN52" s="57"/>
      <c r="CO52" s="57"/>
      <c r="CP52" s="57"/>
      <c r="CQ52" s="57"/>
      <c r="CR52" s="57"/>
      <c r="CS52" s="57"/>
      <c r="CT52" s="60" t="s">
        <v>1502</v>
      </c>
      <c r="CU52" s="61">
        <f>7.35%-CU51</f>
        <v>3.2039999999999999E-2</v>
      </c>
      <c r="CV52" s="57"/>
    </row>
    <row r="53" spans="2:151" ht="15" customHeight="1">
      <c r="B53" s="1" t="s">
        <v>1469</v>
      </c>
      <c r="AT53" s="1">
        <v>641</v>
      </c>
      <c r="AU53" s="1">
        <v>681</v>
      </c>
      <c r="AV53" s="1">
        <v>671</v>
      </c>
      <c r="AW53" s="1">
        <v>717</v>
      </c>
      <c r="AX53" s="1">
        <v>702</v>
      </c>
      <c r="AY53" s="1">
        <v>1406</v>
      </c>
      <c r="AZ53" s="1">
        <v>1441</v>
      </c>
      <c r="BA53" s="1">
        <v>1486</v>
      </c>
      <c r="BB53" s="1">
        <v>1513</v>
      </c>
      <c r="BC53" s="1">
        <v>1500</v>
      </c>
      <c r="BD53" s="1">
        <v>1541</v>
      </c>
      <c r="BE53" s="1">
        <v>1566</v>
      </c>
      <c r="BF53" s="1">
        <v>1589</v>
      </c>
      <c r="BG53" s="1">
        <v>1624</v>
      </c>
      <c r="BH53" s="1">
        <v>1666</v>
      </c>
      <c r="BI53" s="1">
        <v>1669</v>
      </c>
      <c r="BJ53" s="1">
        <v>1802</v>
      </c>
      <c r="BK53" s="1">
        <v>1921</v>
      </c>
      <c r="BL53" s="1">
        <v>2128</v>
      </c>
      <c r="BM53" s="1">
        <v>2205</v>
      </c>
      <c r="CG53" s="1">
        <f t="shared" si="87"/>
        <v>641</v>
      </c>
      <c r="CH53" s="1">
        <f t="shared" si="88"/>
        <v>702</v>
      </c>
      <c r="CI53" s="1">
        <f t="shared" si="89"/>
        <v>1513</v>
      </c>
      <c r="CJ53" s="1">
        <f t="shared" si="90"/>
        <v>1589</v>
      </c>
      <c r="CK53" s="1">
        <f t="shared" si="91"/>
        <v>1802</v>
      </c>
      <c r="CM53" s="57"/>
      <c r="CN53" s="57"/>
      <c r="CO53" s="57"/>
      <c r="CP53" s="57"/>
      <c r="CQ53" s="57"/>
      <c r="CR53" s="57"/>
      <c r="CS53" s="57"/>
      <c r="CT53" s="60" t="s">
        <v>1503</v>
      </c>
      <c r="CU53" s="57">
        <v>2.0299999999999998</v>
      </c>
      <c r="CV53" s="57"/>
    </row>
    <row r="54" spans="2:151" ht="15" customHeight="1">
      <c r="B54" s="1" t="s">
        <v>1492</v>
      </c>
      <c r="AT54" s="1">
        <v>208</v>
      </c>
      <c r="AU54" s="1">
        <v>241</v>
      </c>
      <c r="AV54" s="1">
        <v>247</v>
      </c>
      <c r="AW54" s="1">
        <v>284</v>
      </c>
      <c r="AX54" s="1">
        <v>367</v>
      </c>
      <c r="AY54" s="1">
        <v>416</v>
      </c>
      <c r="AZ54" s="1">
        <v>482</v>
      </c>
      <c r="BA54" s="1">
        <v>490</v>
      </c>
      <c r="BB54" s="1">
        <v>460</v>
      </c>
      <c r="BC54" s="1">
        <v>447</v>
      </c>
      <c r="BD54" s="1">
        <v>461</v>
      </c>
      <c r="BE54" s="1">
        <v>507</v>
      </c>
      <c r="BF54" s="1">
        <v>633</v>
      </c>
      <c r="BG54" s="1">
        <v>632</v>
      </c>
      <c r="BH54" s="1">
        <v>635</v>
      </c>
      <c r="BI54" s="1">
        <v>647</v>
      </c>
      <c r="BJ54" s="1">
        <v>0</v>
      </c>
      <c r="BK54" s="1">
        <v>0</v>
      </c>
      <c r="BL54" s="1">
        <v>0</v>
      </c>
      <c r="BM54" s="1">
        <v>0</v>
      </c>
      <c r="CG54" s="1">
        <f t="shared" si="87"/>
        <v>208</v>
      </c>
      <c r="CH54" s="1">
        <f t="shared" si="88"/>
        <v>367</v>
      </c>
      <c r="CI54" s="1">
        <f t="shared" si="89"/>
        <v>460</v>
      </c>
      <c r="CJ54" s="1">
        <f t="shared" si="90"/>
        <v>633</v>
      </c>
      <c r="CK54" s="1">
        <f t="shared" si="91"/>
        <v>0</v>
      </c>
      <c r="CM54" s="57"/>
      <c r="CN54" s="57"/>
      <c r="CO54" s="57"/>
      <c r="CP54" s="57"/>
      <c r="CQ54" s="57"/>
      <c r="CR54" s="57"/>
      <c r="CS54" s="57"/>
      <c r="CT54" s="60" t="s">
        <v>1504</v>
      </c>
      <c r="CU54" s="61">
        <f>+CU51+(CU52*CU53)</f>
        <v>0.10650119999999999</v>
      </c>
      <c r="CV54" s="57"/>
    </row>
    <row r="55" spans="2:151" ht="15" customHeight="1">
      <c r="B55" s="1" t="s">
        <v>1470</v>
      </c>
      <c r="AT55" s="1">
        <v>289</v>
      </c>
      <c r="AU55" s="1">
        <v>289</v>
      </c>
      <c r="AV55" s="1">
        <v>289</v>
      </c>
      <c r="AW55" s="1">
        <v>289</v>
      </c>
      <c r="AX55" s="1">
        <v>289</v>
      </c>
      <c r="AY55" s="1">
        <v>23083</v>
      </c>
      <c r="AZ55" s="1">
        <v>24193</v>
      </c>
      <c r="BA55" s="1">
        <v>24187</v>
      </c>
      <c r="BB55" s="1">
        <v>24177</v>
      </c>
      <c r="BC55" s="1">
        <v>24177</v>
      </c>
      <c r="BD55" s="1">
        <v>24177</v>
      </c>
      <c r="BE55" s="1">
        <v>24186</v>
      </c>
      <c r="BF55" s="1">
        <v>24262</v>
      </c>
      <c r="BG55" s="1">
        <v>24262</v>
      </c>
      <c r="BH55" s="1">
        <v>24262</v>
      </c>
      <c r="BI55" s="1">
        <v>24839</v>
      </c>
      <c r="BJ55" s="1">
        <v>24839</v>
      </c>
      <c r="BK55" s="1">
        <v>24839</v>
      </c>
      <c r="BL55" s="1">
        <v>25083</v>
      </c>
      <c r="BM55" s="1">
        <v>25083</v>
      </c>
      <c r="CG55" s="1">
        <f t="shared" si="87"/>
        <v>289</v>
      </c>
      <c r="CH55" s="1">
        <f t="shared" si="88"/>
        <v>289</v>
      </c>
      <c r="CI55" s="1">
        <f t="shared" si="89"/>
        <v>24177</v>
      </c>
      <c r="CJ55" s="1">
        <f t="shared" si="90"/>
        <v>24262</v>
      </c>
      <c r="CK55" s="1">
        <f t="shared" si="91"/>
        <v>24839</v>
      </c>
      <c r="CM55" s="57"/>
      <c r="CN55" s="57"/>
      <c r="CO55" s="57"/>
      <c r="CP55" s="57"/>
      <c r="CQ55" s="57"/>
      <c r="CR55" s="57"/>
      <c r="CS55" s="57"/>
      <c r="CT55" s="60"/>
      <c r="CU55" s="57"/>
      <c r="CV55" s="57"/>
    </row>
    <row r="56" spans="2:151" ht="15" customHeight="1">
      <c r="B56" s="1" t="s">
        <v>1471</v>
      </c>
      <c r="AT56" s="1">
        <v>63</v>
      </c>
      <c r="AU56" s="1">
        <v>65</v>
      </c>
      <c r="AV56" s="1">
        <v>67</v>
      </c>
      <c r="AW56" s="1">
        <v>0</v>
      </c>
      <c r="AX56" s="1">
        <v>0</v>
      </c>
      <c r="AY56" s="1">
        <v>26832</v>
      </c>
      <c r="AZ56" s="1">
        <v>26159</v>
      </c>
      <c r="BA56" s="1">
        <v>25162</v>
      </c>
      <c r="BB56" s="1">
        <v>24118</v>
      </c>
      <c r="BC56" s="1">
        <v>23291</v>
      </c>
      <c r="BD56" s="1">
        <v>22598</v>
      </c>
      <c r="BE56" s="1">
        <v>21950</v>
      </c>
      <c r="BF56" s="1">
        <v>21363</v>
      </c>
      <c r="BG56" s="1">
        <v>20741</v>
      </c>
      <c r="BH56" s="1">
        <v>20138</v>
      </c>
      <c r="BI56" s="1">
        <v>19572</v>
      </c>
      <c r="BJ56" s="1">
        <v>18930</v>
      </c>
      <c r="BK56" s="1">
        <v>18363</v>
      </c>
      <c r="BL56" s="1">
        <v>17812</v>
      </c>
      <c r="BM56" s="1">
        <v>17250</v>
      </c>
      <c r="CG56" s="1">
        <f t="shared" si="87"/>
        <v>63</v>
      </c>
      <c r="CH56" s="1">
        <f t="shared" si="88"/>
        <v>0</v>
      </c>
      <c r="CI56" s="1">
        <f t="shared" si="89"/>
        <v>24118</v>
      </c>
      <c r="CJ56" s="1">
        <f t="shared" si="90"/>
        <v>21363</v>
      </c>
      <c r="CK56" s="1">
        <f t="shared" si="91"/>
        <v>18930</v>
      </c>
      <c r="CM56" s="57"/>
      <c r="CN56" s="57"/>
      <c r="CO56" s="57"/>
      <c r="CP56" s="57"/>
      <c r="CQ56" s="57"/>
      <c r="CR56" s="57"/>
      <c r="CS56" s="57"/>
      <c r="CT56" s="60" t="s">
        <v>1505</v>
      </c>
      <c r="CU56" s="62">
        <f>NPV(CU54,CL36:ES36)</f>
        <v>277455.60887060373</v>
      </c>
      <c r="CV56" s="57"/>
    </row>
    <row r="57" spans="2:151" ht="15" customHeight="1">
      <c r="B57" s="1" t="s">
        <v>1472</v>
      </c>
      <c r="AT57" s="1">
        <v>1245</v>
      </c>
      <c r="AU57" s="1">
        <v>1162</v>
      </c>
      <c r="AV57" s="1">
        <v>1090</v>
      </c>
      <c r="AW57" s="1">
        <v>1036</v>
      </c>
      <c r="AX57" s="1">
        <v>931</v>
      </c>
      <c r="AY57" s="1">
        <v>32</v>
      </c>
      <c r="AZ57" s="1">
        <v>76</v>
      </c>
      <c r="BA57" s="1">
        <v>32</v>
      </c>
      <c r="BB57" s="1">
        <v>83</v>
      </c>
      <c r="BC57" s="1">
        <v>67</v>
      </c>
      <c r="BD57" s="1">
        <v>68</v>
      </c>
      <c r="BE57" s="1">
        <v>58</v>
      </c>
      <c r="BF57" s="1">
        <v>366</v>
      </c>
      <c r="BG57" s="1">
        <v>433</v>
      </c>
      <c r="BH57" s="1">
        <v>617</v>
      </c>
      <c r="BI57" s="1">
        <v>1183</v>
      </c>
      <c r="BJ57" s="1">
        <v>688</v>
      </c>
      <c r="BK57" s="1">
        <v>845</v>
      </c>
      <c r="BL57" s="1">
        <v>860</v>
      </c>
      <c r="BM57" s="1">
        <v>633</v>
      </c>
      <c r="CG57" s="1">
        <f t="shared" si="87"/>
        <v>1245</v>
      </c>
      <c r="CH57" s="1">
        <f t="shared" si="88"/>
        <v>931</v>
      </c>
      <c r="CI57" s="1">
        <f t="shared" si="89"/>
        <v>83</v>
      </c>
      <c r="CJ57" s="1">
        <f t="shared" si="90"/>
        <v>366</v>
      </c>
      <c r="CK57" s="1">
        <f t="shared" si="91"/>
        <v>688</v>
      </c>
      <c r="CM57" s="57"/>
      <c r="CN57" s="57"/>
      <c r="CO57" s="57"/>
      <c r="CP57" s="57"/>
      <c r="CQ57" s="57"/>
      <c r="CR57" s="57"/>
      <c r="CS57" s="57"/>
      <c r="CT57" s="60" t="s">
        <v>137</v>
      </c>
      <c r="CU57" s="63">
        <f>Main!C4</f>
        <v>1626</v>
      </c>
      <c r="CV57" s="65" t="s">
        <v>1779</v>
      </c>
    </row>
    <row r="58" spans="2:151" ht="15" customHeight="1">
      <c r="B58" s="1" t="s">
        <v>1473</v>
      </c>
      <c r="AT58" s="1">
        <v>373</v>
      </c>
      <c r="AU58" s="1">
        <v>421</v>
      </c>
      <c r="AV58" s="1">
        <v>509</v>
      </c>
      <c r="AW58" s="1">
        <f>69+770</f>
        <v>839</v>
      </c>
      <c r="AX58" s="1">
        <f>69+1478</f>
        <v>1547</v>
      </c>
      <c r="AY58" s="1">
        <f>72+1705</f>
        <v>1777</v>
      </c>
      <c r="AZ58" s="1">
        <f>32+1657</f>
        <v>1689</v>
      </c>
      <c r="BA58" s="1">
        <f>80+1954</f>
        <v>2034</v>
      </c>
      <c r="BB58" s="1">
        <f>58+2152</f>
        <v>2210</v>
      </c>
      <c r="BC58" s="1">
        <f>84+2410</f>
        <v>2494</v>
      </c>
      <c r="BD58" s="1">
        <f>90+2527</f>
        <v>2617</v>
      </c>
      <c r="BE58" s="1">
        <f>83+2152</f>
        <v>2235</v>
      </c>
      <c r="BF58" s="1">
        <f>2805+99</f>
        <v>2904</v>
      </c>
      <c r="BG58" s="1">
        <f>106+3013</f>
        <v>3119</v>
      </c>
      <c r="BH58" s="1">
        <f>2990+113</f>
        <v>3103</v>
      </c>
      <c r="BI58" s="1">
        <f>137+2854</f>
        <v>2991</v>
      </c>
      <c r="BJ58" s="1">
        <v>3918</v>
      </c>
      <c r="BK58" s="1">
        <v>3987</v>
      </c>
      <c r="BL58" s="1">
        <v>4418</v>
      </c>
      <c r="BM58" s="1">
        <v>4720</v>
      </c>
      <c r="CG58" s="1">
        <f t="shared" si="87"/>
        <v>373</v>
      </c>
      <c r="CH58" s="1">
        <f t="shared" si="88"/>
        <v>1547</v>
      </c>
      <c r="CI58" s="1">
        <f t="shared" si="89"/>
        <v>2210</v>
      </c>
      <c r="CJ58" s="1">
        <f t="shared" si="90"/>
        <v>2904</v>
      </c>
      <c r="CK58" s="1">
        <f t="shared" si="91"/>
        <v>3918</v>
      </c>
      <c r="CM58" s="57"/>
      <c r="CN58" s="57"/>
      <c r="CO58" s="57"/>
      <c r="CP58" s="57"/>
      <c r="CQ58" s="57"/>
      <c r="CR58" s="57"/>
      <c r="CS58" s="57"/>
      <c r="CT58" s="60" t="s">
        <v>1506</v>
      </c>
      <c r="CU58" s="66">
        <f>CU56/CU57</f>
        <v>170.63690582447953</v>
      </c>
      <c r="CV58" s="58"/>
    </row>
    <row r="59" spans="2:151" s="2" customFormat="1" ht="15" customHeight="1">
      <c r="B59" s="2" t="s">
        <v>1475</v>
      </c>
      <c r="AT59" s="2">
        <f t="shared" ref="AT59:BL59" si="93">SUM(AT47:AT58)</f>
        <v>8962</v>
      </c>
      <c r="AU59" s="2">
        <f t="shared" si="93"/>
        <v>10047</v>
      </c>
      <c r="AV59" s="2">
        <f t="shared" si="93"/>
        <v>10691</v>
      </c>
      <c r="AW59" s="2">
        <f t="shared" si="93"/>
        <v>11153</v>
      </c>
      <c r="AX59" s="2">
        <f t="shared" si="93"/>
        <v>12419</v>
      </c>
      <c r="AY59" s="2">
        <f t="shared" si="93"/>
        <v>66915</v>
      </c>
      <c r="AZ59" s="2">
        <f t="shared" si="93"/>
        <v>67502</v>
      </c>
      <c r="BA59" s="2">
        <f t="shared" si="93"/>
        <v>67811</v>
      </c>
      <c r="BB59" s="2">
        <f t="shared" si="93"/>
        <v>67580</v>
      </c>
      <c r="BC59" s="2">
        <f t="shared" si="93"/>
        <v>67634</v>
      </c>
      <c r="BD59" s="2">
        <f t="shared" si="93"/>
        <v>67967</v>
      </c>
      <c r="BE59" s="2">
        <f t="shared" si="93"/>
        <v>67190</v>
      </c>
      <c r="BF59" s="2">
        <f t="shared" si="93"/>
        <v>67885</v>
      </c>
      <c r="BG59" s="2">
        <f t="shared" si="93"/>
        <v>67895</v>
      </c>
      <c r="BH59" s="2">
        <f t="shared" si="93"/>
        <v>67886</v>
      </c>
      <c r="BI59" s="2">
        <f t="shared" si="93"/>
        <v>69636</v>
      </c>
      <c r="BJ59" s="2">
        <f t="shared" si="93"/>
        <v>69226</v>
      </c>
      <c r="BK59" s="2">
        <f t="shared" si="93"/>
        <v>71550</v>
      </c>
      <c r="BL59" s="2">
        <f t="shared" si="93"/>
        <v>74820</v>
      </c>
      <c r="BM59" s="2">
        <f t="shared" ref="BM59" si="94">SUM(BM47:BM58)</f>
        <v>76891</v>
      </c>
      <c r="BN59" s="34"/>
      <c r="BO59" s="34"/>
      <c r="BP59" s="34"/>
      <c r="BQ59" s="34"/>
      <c r="BR59" s="34"/>
      <c r="CG59" s="2">
        <f t="shared" si="87"/>
        <v>8962</v>
      </c>
      <c r="CH59" s="2">
        <f t="shared" si="88"/>
        <v>12419</v>
      </c>
      <c r="CI59" s="2">
        <f t="shared" si="89"/>
        <v>67580</v>
      </c>
      <c r="CJ59" s="2">
        <f t="shared" si="90"/>
        <v>67885</v>
      </c>
      <c r="CK59" s="2">
        <f t="shared" si="91"/>
        <v>69226</v>
      </c>
      <c r="CL59" s="55"/>
      <c r="CM59" s="67"/>
      <c r="CN59" s="67"/>
      <c r="CO59" s="67"/>
      <c r="CP59" s="67"/>
      <c r="CQ59" s="67"/>
      <c r="CR59" s="67"/>
      <c r="CS59" s="67"/>
      <c r="CT59" s="60" t="s">
        <v>1507</v>
      </c>
      <c r="CU59" s="66">
        <f>Main!C3</f>
        <v>215.08</v>
      </c>
      <c r="CV59" s="68" t="s">
        <v>1780</v>
      </c>
      <c r="CX59" s="55"/>
      <c r="CY59" s="55"/>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55"/>
      <c r="DX59" s="55"/>
      <c r="DY59" s="55"/>
      <c r="DZ59" s="55"/>
      <c r="EA59" s="55"/>
      <c r="EB59" s="55"/>
      <c r="EC59" s="55"/>
      <c r="ED59" s="55"/>
      <c r="EE59" s="55"/>
      <c r="EF59" s="55"/>
      <c r="EG59" s="55"/>
      <c r="EH59" s="55"/>
      <c r="EI59" s="55"/>
      <c r="EJ59" s="55"/>
      <c r="EK59" s="55"/>
      <c r="EL59" s="55"/>
      <c r="EM59" s="55"/>
      <c r="EN59" s="55"/>
      <c r="EO59" s="55"/>
      <c r="EP59" s="55"/>
      <c r="EQ59" s="55"/>
      <c r="ER59" s="55"/>
      <c r="ES59" s="55"/>
      <c r="ET59" s="56"/>
      <c r="EU59" s="56"/>
    </row>
    <row r="60" spans="2:151" ht="15" customHeight="1">
      <c r="CM60" s="57"/>
      <c r="CN60" s="57"/>
      <c r="CO60" s="57"/>
      <c r="CP60" s="57"/>
      <c r="CQ60" s="57"/>
      <c r="CR60" s="57"/>
      <c r="CS60" s="57"/>
      <c r="CT60" s="60" t="s">
        <v>1508</v>
      </c>
      <c r="CU60" s="61">
        <f>CU58/CU59-1</f>
        <v>-0.20663517842440249</v>
      </c>
      <c r="CV60" s="58" t="str">
        <f>IF(CU60&gt;0,"Upside","Downside")</f>
        <v>Downside</v>
      </c>
    </row>
    <row r="61" spans="2:151" ht="15" customHeight="1">
      <c r="B61" s="1" t="s">
        <v>1476</v>
      </c>
      <c r="AT61" s="1">
        <f>468+78</f>
        <v>546</v>
      </c>
      <c r="AU61" s="1">
        <v>949</v>
      </c>
      <c r="AV61" s="1">
        <v>836</v>
      </c>
      <c r="AW61" s="1">
        <f>1048+36</f>
        <v>1084</v>
      </c>
      <c r="AX61" s="1">
        <f>1321+85</f>
        <v>1406</v>
      </c>
      <c r="AY61" s="1">
        <f>1476+205</f>
        <v>1681</v>
      </c>
      <c r="AZ61" s="1">
        <f>1518+361</f>
        <v>1879</v>
      </c>
      <c r="BA61" s="1">
        <f>2337+397</f>
        <v>2734</v>
      </c>
      <c r="BB61" s="1">
        <f>2493+463</f>
        <v>2956</v>
      </c>
      <c r="BC61" s="1">
        <f>2518+353</f>
        <v>2871</v>
      </c>
      <c r="BD61" s="1">
        <f>2779+313</f>
        <v>3092</v>
      </c>
      <c r="BE61" s="1">
        <f>2245+325</f>
        <v>2570</v>
      </c>
      <c r="BF61" s="1">
        <f>2055+363</f>
        <v>2418</v>
      </c>
      <c r="BG61" s="1">
        <f>1418+438</f>
        <v>1856</v>
      </c>
      <c r="BH61" s="1">
        <f>1699+420</f>
        <v>2119</v>
      </c>
      <c r="BI61" s="1">
        <f>2530+461</f>
        <v>2991</v>
      </c>
      <c r="BJ61" s="1">
        <v>2466</v>
      </c>
      <c r="BK61" s="1">
        <v>2206</v>
      </c>
      <c r="BL61" s="1">
        <v>3080</v>
      </c>
      <c r="BM61" s="1">
        <v>3483</v>
      </c>
      <c r="CG61" s="1">
        <f t="shared" ref="CG61:CG72" si="95">AT61</f>
        <v>546</v>
      </c>
      <c r="CH61" s="1">
        <f t="shared" ref="CH61:CH72" si="96">AX61</f>
        <v>1406</v>
      </c>
      <c r="CI61" s="1">
        <f t="shared" ref="CI61:CI72" si="97">BB61</f>
        <v>2956</v>
      </c>
      <c r="CJ61" s="1">
        <f t="shared" ref="CJ61:CJ72" si="98">BF61</f>
        <v>2418</v>
      </c>
      <c r="CK61" s="1">
        <f t="shared" ref="CK61:CK72" si="99">BJ61</f>
        <v>2466</v>
      </c>
      <c r="CT61" s="82" t="str" cm="1">
        <f t="array" ref="CT61">_xlfn.IFS(CU60&gt;=25%,"Strong Buy",CU60&gt;=10.00001%,"Buy",AND(CU60&lt;=10%,CU60&gt;=-4.9999%),"Hold",AND(CU60&lt;=-5%,CU60&gt;=-14.999999%),"Sell",CU60&lt;=-15%,"Strong Sell")</f>
        <v>Strong Sell</v>
      </c>
      <c r="CU61" s="82"/>
    </row>
    <row r="62" spans="2:151">
      <c r="B62" s="1" t="s">
        <v>1477</v>
      </c>
      <c r="AT62" s="1">
        <v>1796</v>
      </c>
      <c r="AU62" s="1">
        <v>40</v>
      </c>
      <c r="AV62" s="1">
        <v>36</v>
      </c>
      <c r="AW62" s="1">
        <v>2048</v>
      </c>
      <c r="AX62" s="1">
        <v>2424</v>
      </c>
      <c r="AY62" s="1">
        <v>3070</v>
      </c>
      <c r="AZ62" s="1">
        <v>3074</v>
      </c>
      <c r="BA62" s="1">
        <v>3598</v>
      </c>
      <c r="BB62" s="1">
        <v>3077</v>
      </c>
      <c r="BC62" s="1">
        <v>3167</v>
      </c>
      <c r="BD62" s="1">
        <v>2971</v>
      </c>
      <c r="BE62" s="1">
        <v>3376</v>
      </c>
      <c r="BF62" s="1">
        <v>3082</v>
      </c>
      <c r="BG62" s="1">
        <v>3444</v>
      </c>
      <c r="BH62" s="1">
        <v>3629</v>
      </c>
      <c r="BI62" s="1">
        <v>4120</v>
      </c>
      <c r="BJ62" s="1">
        <v>4260</v>
      </c>
      <c r="BK62" s="1">
        <v>3876</v>
      </c>
      <c r="BL62" s="1">
        <v>4479</v>
      </c>
      <c r="BM62" s="1">
        <v>5112</v>
      </c>
      <c r="CG62" s="1">
        <f t="shared" si="95"/>
        <v>1796</v>
      </c>
      <c r="CH62" s="1">
        <f t="shared" si="96"/>
        <v>2424</v>
      </c>
      <c r="CI62" s="1">
        <f t="shared" si="97"/>
        <v>3077</v>
      </c>
      <c r="CJ62" s="1">
        <f t="shared" si="98"/>
        <v>3082</v>
      </c>
      <c r="CK62" s="1">
        <f t="shared" si="99"/>
        <v>4260</v>
      </c>
    </row>
    <row r="63" spans="2:151">
      <c r="B63" s="1" t="s">
        <v>1778</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873</v>
      </c>
      <c r="CG63" s="1">
        <f t="shared" si="95"/>
        <v>0</v>
      </c>
      <c r="CH63" s="1">
        <f t="shared" si="96"/>
        <v>0</v>
      </c>
      <c r="CI63" s="1">
        <f t="shared" si="97"/>
        <v>0</v>
      </c>
      <c r="CJ63" s="1">
        <f t="shared" si="98"/>
        <v>0</v>
      </c>
      <c r="CK63" s="1">
        <f t="shared" si="99"/>
        <v>0</v>
      </c>
    </row>
    <row r="64" spans="2:151">
      <c r="B64" s="1" t="s">
        <v>1478</v>
      </c>
      <c r="AT64" s="1">
        <v>0</v>
      </c>
      <c r="AU64" s="1">
        <v>1779</v>
      </c>
      <c r="AV64" s="1">
        <v>1911</v>
      </c>
      <c r="AW64" s="1">
        <v>312</v>
      </c>
      <c r="AX64" s="1">
        <v>312</v>
      </c>
      <c r="AY64" s="1">
        <v>0</v>
      </c>
      <c r="AZ64" s="1">
        <v>0</v>
      </c>
      <c r="BA64" s="1">
        <v>0</v>
      </c>
      <c r="BB64" s="1">
        <v>0</v>
      </c>
      <c r="BC64" s="1">
        <v>0</v>
      </c>
      <c r="BD64" s="1">
        <v>0</v>
      </c>
      <c r="BE64" s="1">
        <v>0</v>
      </c>
      <c r="BF64" s="1">
        <v>0</v>
      </c>
      <c r="BG64" s="1">
        <v>0</v>
      </c>
      <c r="BH64" s="1">
        <v>0</v>
      </c>
      <c r="BI64" s="1">
        <v>0</v>
      </c>
      <c r="BJ64" s="1">
        <v>0</v>
      </c>
      <c r="BK64" s="1">
        <v>947</v>
      </c>
      <c r="BL64" s="1">
        <v>1968</v>
      </c>
      <c r="BM64" s="1">
        <v>1908</v>
      </c>
      <c r="CG64" s="1">
        <f t="shared" si="95"/>
        <v>0</v>
      </c>
      <c r="CH64" s="1">
        <f t="shared" si="96"/>
        <v>312</v>
      </c>
      <c r="CI64" s="1">
        <f t="shared" si="97"/>
        <v>0</v>
      </c>
      <c r="CJ64" s="1">
        <f t="shared" si="98"/>
        <v>0</v>
      </c>
      <c r="CK64" s="1">
        <f t="shared" si="99"/>
        <v>0</v>
      </c>
    </row>
    <row r="65" spans="2:151">
      <c r="B65" s="1" t="s">
        <v>1479</v>
      </c>
      <c r="AT65" s="1">
        <v>75</v>
      </c>
      <c r="AU65" s="1">
        <v>96</v>
      </c>
      <c r="AV65" s="1">
        <v>109</v>
      </c>
      <c r="AW65" s="1">
        <v>120</v>
      </c>
      <c r="AX65" s="1">
        <v>98</v>
      </c>
      <c r="AY65" s="1">
        <f>518+312</f>
        <v>830</v>
      </c>
      <c r="AZ65" s="1">
        <f>312+258</f>
        <v>570</v>
      </c>
      <c r="BA65" s="1">
        <v>359</v>
      </c>
      <c r="BB65" s="1">
        <v>336</v>
      </c>
      <c r="BC65" s="1">
        <v>539</v>
      </c>
      <c r="BD65" s="1">
        <f>753+756</f>
        <v>1509</v>
      </c>
      <c r="BE65" s="1">
        <f>752+929</f>
        <v>1681</v>
      </c>
      <c r="BF65" s="1">
        <f>751+438</f>
        <v>1189</v>
      </c>
      <c r="BG65" s="1">
        <f>750+424</f>
        <v>1174</v>
      </c>
      <c r="BH65" s="1">
        <v>447</v>
      </c>
      <c r="BI65" s="1">
        <v>389</v>
      </c>
      <c r="BJ65" s="1">
        <v>555</v>
      </c>
      <c r="BK65" s="1">
        <v>674</v>
      </c>
      <c r="BL65" s="1">
        <v>316</v>
      </c>
      <c r="BM65" s="1">
        <v>324</v>
      </c>
      <c r="CG65" s="1">
        <f t="shared" si="95"/>
        <v>75</v>
      </c>
      <c r="CH65" s="1">
        <f t="shared" si="96"/>
        <v>98</v>
      </c>
      <c r="CI65" s="1">
        <f t="shared" si="97"/>
        <v>336</v>
      </c>
      <c r="CJ65" s="1">
        <f t="shared" si="98"/>
        <v>1189</v>
      </c>
      <c r="CK65" s="1">
        <f t="shared" si="99"/>
        <v>555</v>
      </c>
    </row>
    <row r="66" spans="2:151">
      <c r="B66" s="1" t="s">
        <v>1480</v>
      </c>
      <c r="AT66" s="1">
        <v>330</v>
      </c>
      <c r="AU66" s="1">
        <v>313</v>
      </c>
      <c r="AV66" s="1">
        <v>313</v>
      </c>
      <c r="AW66" s="1">
        <v>1</v>
      </c>
      <c r="AX66" s="1">
        <v>1</v>
      </c>
      <c r="AY66" s="1">
        <v>1475</v>
      </c>
      <c r="AZ66" s="1">
        <v>2465</v>
      </c>
      <c r="BA66" s="1">
        <v>2466</v>
      </c>
      <c r="BB66" s="1">
        <v>2467</v>
      </c>
      <c r="BC66" s="1">
        <v>2467</v>
      </c>
      <c r="BD66" s="1">
        <v>1714</v>
      </c>
      <c r="BE66" s="1">
        <v>1715</v>
      </c>
      <c r="BF66" s="1">
        <v>1717</v>
      </c>
      <c r="BG66" s="1">
        <v>1718</v>
      </c>
      <c r="BH66" s="1">
        <v>1719</v>
      </c>
      <c r="BI66" s="1">
        <v>1720</v>
      </c>
      <c r="BJ66" s="1">
        <v>1721</v>
      </c>
      <c r="BK66" s="1">
        <v>3217</v>
      </c>
      <c r="BL66" s="1">
        <v>3218</v>
      </c>
      <c r="BM66" s="1">
        <v>2347</v>
      </c>
      <c r="CG66" s="1">
        <f t="shared" si="95"/>
        <v>330</v>
      </c>
      <c r="CH66" s="1">
        <f t="shared" si="96"/>
        <v>1</v>
      </c>
      <c r="CI66" s="1">
        <f t="shared" si="97"/>
        <v>2467</v>
      </c>
      <c r="CJ66" s="1">
        <f t="shared" si="98"/>
        <v>1717</v>
      </c>
      <c r="CK66" s="1">
        <f t="shared" si="99"/>
        <v>1721</v>
      </c>
    </row>
    <row r="67" spans="2:151">
      <c r="B67" s="1" t="s">
        <v>1481</v>
      </c>
      <c r="AT67" s="1">
        <v>201</v>
      </c>
      <c r="AU67" s="1">
        <v>238</v>
      </c>
      <c r="AV67" s="1">
        <v>240</v>
      </c>
      <c r="AW67" s="1">
        <v>269</v>
      </c>
      <c r="AX67" s="1">
        <v>348</v>
      </c>
      <c r="AY67" s="1">
        <v>370</v>
      </c>
      <c r="AZ67" s="1">
        <v>422</v>
      </c>
      <c r="BA67" s="1">
        <v>424</v>
      </c>
      <c r="BB67" s="1">
        <v>396</v>
      </c>
      <c r="BC67" s="1">
        <v>381</v>
      </c>
      <c r="BD67" s="1">
        <v>393</v>
      </c>
      <c r="BE67" s="1">
        <v>395</v>
      </c>
      <c r="BF67" s="1">
        <v>535</v>
      </c>
      <c r="BG67" s="1">
        <v>530</v>
      </c>
      <c r="BH67" s="1">
        <v>526</v>
      </c>
      <c r="BI67" s="1">
        <v>518</v>
      </c>
      <c r="BJ67" s="1">
        <v>491</v>
      </c>
      <c r="BK67" s="1">
        <v>567</v>
      </c>
      <c r="BL67" s="1">
        <v>668</v>
      </c>
      <c r="BM67" s="1">
        <v>650</v>
      </c>
      <c r="CG67" s="1">
        <f t="shared" si="95"/>
        <v>201</v>
      </c>
      <c r="CH67" s="1">
        <f t="shared" si="96"/>
        <v>348</v>
      </c>
      <c r="CI67" s="1">
        <f t="shared" si="97"/>
        <v>396</v>
      </c>
      <c r="CJ67" s="1">
        <f t="shared" si="98"/>
        <v>535</v>
      </c>
      <c r="CK67" s="1">
        <f t="shared" si="99"/>
        <v>491</v>
      </c>
    </row>
    <row r="68" spans="2:151">
      <c r="B68" s="1" t="s">
        <v>1482</v>
      </c>
      <c r="AT68" s="1">
        <v>0</v>
      </c>
      <c r="AU68" s="1">
        <v>0</v>
      </c>
      <c r="AV68" s="1">
        <v>0</v>
      </c>
      <c r="AW68" s="1">
        <v>0</v>
      </c>
      <c r="AX68" s="1">
        <v>12</v>
      </c>
      <c r="AY68" s="1">
        <v>3109</v>
      </c>
      <c r="AZ68" s="1">
        <v>2805</v>
      </c>
      <c r="BA68" s="1">
        <v>2078</v>
      </c>
      <c r="BB68" s="1">
        <v>1934</v>
      </c>
      <c r="BC68" s="1">
        <v>1641</v>
      </c>
      <c r="BD68" s="1">
        <v>1365</v>
      </c>
      <c r="BE68" s="1">
        <v>1152</v>
      </c>
      <c r="BF68" s="1">
        <v>1202</v>
      </c>
      <c r="BG68" s="1">
        <v>1199</v>
      </c>
      <c r="BH68" s="1">
        <v>1192</v>
      </c>
      <c r="BI68" s="1">
        <v>1162</v>
      </c>
      <c r="BJ68" s="1">
        <v>349</v>
      </c>
      <c r="BK68" s="1">
        <v>343</v>
      </c>
      <c r="BL68" s="1">
        <v>341</v>
      </c>
      <c r="BM68" s="1">
        <v>326</v>
      </c>
      <c r="CG68" s="1">
        <f t="shared" si="95"/>
        <v>0</v>
      </c>
      <c r="CH68" s="1">
        <f t="shared" si="96"/>
        <v>12</v>
      </c>
      <c r="CI68" s="1">
        <f t="shared" si="97"/>
        <v>1934</v>
      </c>
      <c r="CJ68" s="1">
        <f t="shared" si="98"/>
        <v>1202</v>
      </c>
      <c r="CK68" s="1">
        <f t="shared" si="99"/>
        <v>349</v>
      </c>
    </row>
    <row r="69" spans="2:151">
      <c r="B69" s="1" t="s">
        <v>1483</v>
      </c>
      <c r="AT69" s="1">
        <v>177</v>
      </c>
      <c r="AU69" s="1">
        <v>155</v>
      </c>
      <c r="AV69" s="1">
        <v>181</v>
      </c>
      <c r="AW69" s="1">
        <v>183</v>
      </c>
      <c r="AX69" s="1">
        <v>321</v>
      </c>
      <c r="AY69" s="1">
        <v>1047</v>
      </c>
      <c r="AZ69" s="1">
        <v>1118</v>
      </c>
      <c r="BA69" s="1">
        <v>1610</v>
      </c>
      <c r="BB69" s="1">
        <v>1664</v>
      </c>
      <c r="BC69" s="1">
        <v>1874</v>
      </c>
      <c r="BD69" s="1">
        <v>1787</v>
      </c>
      <c r="BE69" s="1">
        <v>1767</v>
      </c>
      <c r="BF69" s="1">
        <v>1850</v>
      </c>
      <c r="BG69" s="1">
        <v>1776</v>
      </c>
      <c r="BH69" s="1">
        <v>1716</v>
      </c>
      <c r="BI69" s="1">
        <v>1751</v>
      </c>
      <c r="BJ69" s="1">
        <v>1816</v>
      </c>
      <c r="BK69" s="1">
        <v>1839</v>
      </c>
      <c r="BL69" s="1">
        <v>1085</v>
      </c>
      <c r="BM69" s="1">
        <v>1078</v>
      </c>
      <c r="CG69" s="1">
        <f t="shared" si="95"/>
        <v>177</v>
      </c>
      <c r="CH69" s="1">
        <f t="shared" si="96"/>
        <v>321</v>
      </c>
      <c r="CI69" s="1">
        <f t="shared" si="97"/>
        <v>1664</v>
      </c>
      <c r="CJ69" s="1">
        <f t="shared" si="98"/>
        <v>1850</v>
      </c>
      <c r="CK69" s="1">
        <f t="shared" si="99"/>
        <v>1816</v>
      </c>
    </row>
    <row r="70" spans="2:151" s="2" customFormat="1" ht="15">
      <c r="B70" s="2" t="s">
        <v>1484</v>
      </c>
      <c r="AT70" s="2">
        <f t="shared" ref="AT70:BM70" si="100">SUM(AT61:AT69)</f>
        <v>3125</v>
      </c>
      <c r="AU70" s="2">
        <f t="shared" si="100"/>
        <v>3570</v>
      </c>
      <c r="AV70" s="2">
        <f t="shared" si="100"/>
        <v>3626</v>
      </c>
      <c r="AW70" s="2">
        <f t="shared" si="100"/>
        <v>4017</v>
      </c>
      <c r="AX70" s="2">
        <f t="shared" si="100"/>
        <v>4922</v>
      </c>
      <c r="AY70" s="2">
        <f t="shared" si="100"/>
        <v>11582</v>
      </c>
      <c r="AZ70" s="2">
        <f t="shared" si="100"/>
        <v>12333</v>
      </c>
      <c r="BA70" s="2">
        <f t="shared" si="100"/>
        <v>13269</v>
      </c>
      <c r="BB70" s="2">
        <f t="shared" si="100"/>
        <v>12830</v>
      </c>
      <c r="BC70" s="2">
        <f t="shared" si="100"/>
        <v>12940</v>
      </c>
      <c r="BD70" s="2">
        <f t="shared" si="100"/>
        <v>12831</v>
      </c>
      <c r="BE70" s="2">
        <f t="shared" si="100"/>
        <v>12656</v>
      </c>
      <c r="BF70" s="2">
        <f t="shared" si="100"/>
        <v>11993</v>
      </c>
      <c r="BG70" s="2">
        <f t="shared" si="100"/>
        <v>11697</v>
      </c>
      <c r="BH70" s="2">
        <f t="shared" si="100"/>
        <v>11348</v>
      </c>
      <c r="BI70" s="2">
        <f t="shared" si="100"/>
        <v>12651</v>
      </c>
      <c r="BJ70" s="2">
        <f t="shared" si="100"/>
        <v>11658</v>
      </c>
      <c r="BK70" s="2">
        <f t="shared" si="100"/>
        <v>13669</v>
      </c>
      <c r="BL70" s="2">
        <f t="shared" si="100"/>
        <v>15155</v>
      </c>
      <c r="BM70" s="2">
        <f t="shared" si="100"/>
        <v>16101</v>
      </c>
      <c r="BN70" s="34"/>
      <c r="BO70" s="34"/>
      <c r="BP70" s="34"/>
      <c r="BQ70" s="34"/>
      <c r="BR70" s="34"/>
      <c r="CG70" s="2">
        <f t="shared" si="95"/>
        <v>3125</v>
      </c>
      <c r="CH70" s="2">
        <f t="shared" si="96"/>
        <v>4922</v>
      </c>
      <c r="CI70" s="2">
        <f t="shared" si="97"/>
        <v>12830</v>
      </c>
      <c r="CJ70" s="2">
        <f t="shared" si="98"/>
        <v>11993</v>
      </c>
      <c r="CK70" s="2">
        <f t="shared" si="99"/>
        <v>11658</v>
      </c>
      <c r="CL70" s="55"/>
      <c r="CM70" s="55"/>
      <c r="CN70" s="55"/>
      <c r="CO70" s="55"/>
      <c r="CP70" s="55"/>
      <c r="CQ70" s="55"/>
      <c r="CR70" s="55"/>
      <c r="CS70" s="55"/>
      <c r="CT70" s="55"/>
      <c r="CU70" s="55"/>
      <c r="CV70" s="55"/>
      <c r="CW70" s="55"/>
      <c r="CX70" s="55"/>
      <c r="CY70" s="55"/>
      <c r="CZ70" s="55"/>
      <c r="DA70" s="55"/>
      <c r="DB70" s="55"/>
      <c r="DC70" s="55"/>
      <c r="DD70" s="55"/>
      <c r="DE70" s="55"/>
      <c r="DF70" s="55"/>
      <c r="DG70" s="55"/>
      <c r="DH70" s="55"/>
      <c r="DI70" s="55"/>
      <c r="DJ70" s="55"/>
      <c r="DK70" s="55"/>
      <c r="DL70" s="55"/>
      <c r="DM70" s="55"/>
      <c r="DN70" s="55"/>
      <c r="DO70" s="55"/>
      <c r="DP70" s="55"/>
      <c r="DQ70" s="55"/>
      <c r="DR70" s="55"/>
      <c r="DS70" s="55"/>
      <c r="DT70" s="55"/>
      <c r="DU70" s="55"/>
      <c r="DV70" s="55"/>
      <c r="DW70" s="55"/>
      <c r="DX70" s="55"/>
      <c r="DY70" s="55"/>
      <c r="DZ70" s="55"/>
      <c r="EA70" s="55"/>
      <c r="EB70" s="55"/>
      <c r="EC70" s="55"/>
      <c r="ED70" s="55"/>
      <c r="EE70" s="55"/>
      <c r="EF70" s="55"/>
      <c r="EG70" s="55"/>
      <c r="EH70" s="55"/>
      <c r="EI70" s="55"/>
      <c r="EJ70" s="55"/>
      <c r="EK70" s="55"/>
      <c r="EL70" s="55"/>
      <c r="EM70" s="55"/>
      <c r="EN70" s="55"/>
      <c r="EO70" s="55"/>
      <c r="EP70" s="55"/>
      <c r="EQ70" s="55"/>
      <c r="ER70" s="55"/>
      <c r="ES70" s="55"/>
      <c r="ET70" s="56"/>
      <c r="EU70" s="56"/>
    </row>
    <row r="71" spans="2:151">
      <c r="B71" s="1" t="s">
        <v>1485</v>
      </c>
      <c r="AT71" s="1">
        <v>5837</v>
      </c>
      <c r="AU71" s="1">
        <v>6477</v>
      </c>
      <c r="AV71" s="1">
        <v>7065</v>
      </c>
      <c r="AW71" s="1">
        <v>7136</v>
      </c>
      <c r="AX71" s="1">
        <v>7497</v>
      </c>
      <c r="AY71" s="1">
        <v>55333</v>
      </c>
      <c r="AZ71" s="1">
        <v>55169</v>
      </c>
      <c r="BA71" s="1">
        <v>54542</v>
      </c>
      <c r="BB71" s="1">
        <v>54750</v>
      </c>
      <c r="BC71" s="1">
        <v>54694</v>
      </c>
      <c r="BD71" s="1">
        <v>55136</v>
      </c>
      <c r="BE71" s="1">
        <v>54970</v>
      </c>
      <c r="BF71" s="1">
        <v>55892</v>
      </c>
      <c r="BG71" s="1">
        <v>56198</v>
      </c>
      <c r="BH71" s="1">
        <v>56538</v>
      </c>
      <c r="BI71" s="1">
        <v>56985</v>
      </c>
      <c r="BJ71" s="1">
        <v>57568</v>
      </c>
      <c r="BK71" s="1">
        <v>57881</v>
      </c>
      <c r="BL71" s="1">
        <v>59665</v>
      </c>
      <c r="BM71" s="1">
        <v>60790</v>
      </c>
      <c r="CG71" s="1">
        <f t="shared" si="95"/>
        <v>5837</v>
      </c>
      <c r="CH71" s="1">
        <f t="shared" si="96"/>
        <v>7497</v>
      </c>
      <c r="CI71" s="1">
        <f t="shared" si="97"/>
        <v>54750</v>
      </c>
      <c r="CJ71" s="1">
        <f t="shared" si="98"/>
        <v>55892</v>
      </c>
      <c r="CK71" s="1">
        <f t="shared" si="99"/>
        <v>57568</v>
      </c>
    </row>
    <row r="72" spans="2:151" s="2" customFormat="1" ht="15">
      <c r="B72" s="2" t="s">
        <v>1486</v>
      </c>
      <c r="AT72" s="2">
        <f>AT70+AT71</f>
        <v>8962</v>
      </c>
      <c r="AU72" s="2">
        <f>AU70+AU71</f>
        <v>10047</v>
      </c>
      <c r="AV72" s="2">
        <f t="shared" ref="AV72:BL72" si="101">AV70+AV71</f>
        <v>10691</v>
      </c>
      <c r="AW72" s="2">
        <f t="shared" si="101"/>
        <v>11153</v>
      </c>
      <c r="AX72" s="2">
        <f t="shared" si="101"/>
        <v>12419</v>
      </c>
      <c r="AY72" s="2">
        <f t="shared" si="101"/>
        <v>66915</v>
      </c>
      <c r="AZ72" s="2">
        <f t="shared" si="101"/>
        <v>67502</v>
      </c>
      <c r="BA72" s="2">
        <f t="shared" si="101"/>
        <v>67811</v>
      </c>
      <c r="BB72" s="2">
        <f t="shared" si="101"/>
        <v>67580</v>
      </c>
      <c r="BC72" s="2">
        <f t="shared" si="101"/>
        <v>67634</v>
      </c>
      <c r="BD72" s="2">
        <f t="shared" si="101"/>
        <v>67967</v>
      </c>
      <c r="BE72" s="2">
        <f t="shared" si="101"/>
        <v>67626</v>
      </c>
      <c r="BF72" s="2">
        <f t="shared" si="101"/>
        <v>67885</v>
      </c>
      <c r="BG72" s="2">
        <f t="shared" si="101"/>
        <v>67895</v>
      </c>
      <c r="BH72" s="2">
        <f t="shared" si="101"/>
        <v>67886</v>
      </c>
      <c r="BI72" s="2">
        <f t="shared" si="101"/>
        <v>69636</v>
      </c>
      <c r="BJ72" s="2">
        <f>BJ70+BJ71</f>
        <v>69226</v>
      </c>
      <c r="BK72" s="2">
        <f t="shared" si="101"/>
        <v>71550</v>
      </c>
      <c r="BL72" s="2">
        <f t="shared" si="101"/>
        <v>74820</v>
      </c>
      <c r="BM72" s="2">
        <f t="shared" ref="BM72" si="102">BM70+BM71</f>
        <v>76891</v>
      </c>
      <c r="BN72" s="34"/>
      <c r="BO72" s="34"/>
      <c r="BP72" s="34"/>
      <c r="BQ72" s="34"/>
      <c r="BR72" s="34"/>
      <c r="CG72" s="2">
        <f t="shared" si="95"/>
        <v>8962</v>
      </c>
      <c r="CH72" s="2">
        <f t="shared" si="96"/>
        <v>12419</v>
      </c>
      <c r="CI72" s="2">
        <f t="shared" si="97"/>
        <v>67580</v>
      </c>
      <c r="CJ72" s="2">
        <f t="shared" si="98"/>
        <v>67885</v>
      </c>
      <c r="CK72" s="2">
        <f t="shared" si="99"/>
        <v>69226</v>
      </c>
      <c r="CL72" s="55"/>
      <c r="CM72" s="55"/>
      <c r="CN72" s="55"/>
      <c r="CO72" s="55"/>
      <c r="CP72" s="55"/>
      <c r="CQ72" s="55"/>
      <c r="CR72" s="55"/>
      <c r="CS72" s="5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5"/>
      <c r="DT72" s="55"/>
      <c r="DU72" s="55"/>
      <c r="DV72" s="55"/>
      <c r="DW72" s="55"/>
      <c r="DX72" s="55"/>
      <c r="DY72" s="55"/>
      <c r="DZ72" s="55"/>
      <c r="EA72" s="55"/>
      <c r="EB72" s="55"/>
      <c r="EC72" s="55"/>
      <c r="ED72" s="55"/>
      <c r="EE72" s="55"/>
      <c r="EF72" s="55"/>
      <c r="EG72" s="55"/>
      <c r="EH72" s="55"/>
      <c r="EI72" s="55"/>
      <c r="EJ72" s="55"/>
      <c r="EK72" s="55"/>
      <c r="EL72" s="55"/>
      <c r="EM72" s="55"/>
      <c r="EN72" s="55"/>
      <c r="EO72" s="55"/>
      <c r="EP72" s="55"/>
      <c r="EQ72" s="55"/>
      <c r="ER72" s="55"/>
      <c r="ES72" s="55"/>
      <c r="ET72" s="56"/>
      <c r="EU72" s="56"/>
    </row>
    <row r="74" spans="2:151">
      <c r="B74" s="1" t="s">
        <v>126</v>
      </c>
      <c r="AT74" s="39">
        <f t="shared" ref="AT74:BL74" si="103">SUM(AT47:AT52)/SUM(AT61:AT65)</f>
        <v>2.5415804716590813</v>
      </c>
      <c r="AU74" s="39">
        <f t="shared" si="103"/>
        <v>2.5097765363128492</v>
      </c>
      <c r="AV74" s="39">
        <f t="shared" si="103"/>
        <v>2.703319502074689</v>
      </c>
      <c r="AW74" s="39">
        <f t="shared" si="103"/>
        <v>2.2413019079685745</v>
      </c>
      <c r="AX74" s="39">
        <f t="shared" si="103"/>
        <v>2.0242924528301889</v>
      </c>
      <c r="AY74" s="39">
        <f t="shared" si="103"/>
        <v>2.3954488442931376</v>
      </c>
      <c r="AZ74" s="39">
        <f t="shared" si="103"/>
        <v>2.4374434184320117</v>
      </c>
      <c r="BA74" s="39">
        <f t="shared" si="103"/>
        <v>2.155133761769541</v>
      </c>
      <c r="BB74" s="39">
        <f t="shared" si="103"/>
        <v>2.358140995446695</v>
      </c>
      <c r="BC74" s="39">
        <f t="shared" si="103"/>
        <v>2.3807206933252241</v>
      </c>
      <c r="BD74" s="39">
        <f t="shared" si="103"/>
        <v>2.1797411516111991</v>
      </c>
      <c r="BE74" s="39">
        <f t="shared" si="103"/>
        <v>2.1880162580306806</v>
      </c>
      <c r="BF74" s="39">
        <f t="shared" si="103"/>
        <v>2.5068022125878309</v>
      </c>
      <c r="BG74" s="39">
        <f t="shared" si="103"/>
        <v>2.6388631448872411</v>
      </c>
      <c r="BH74" s="39">
        <f t="shared" si="103"/>
        <v>2.8192090395480225</v>
      </c>
      <c r="BI74" s="39">
        <f t="shared" si="103"/>
        <v>2.4980000000000002</v>
      </c>
      <c r="BJ74" s="39">
        <f t="shared" si="103"/>
        <v>2.6162615025408598</v>
      </c>
      <c r="BK74" s="39">
        <f t="shared" si="103"/>
        <v>2.8034532000519277</v>
      </c>
      <c r="BL74" s="39">
        <f t="shared" si="103"/>
        <v>2.4910088387686682</v>
      </c>
      <c r="BM74" s="39">
        <f>SUM(BM47:BM52)/SUM(BM61:BM65)</f>
        <v>2.3076923076923075</v>
      </c>
      <c r="CG74" s="39">
        <f>SUM(CG47:CG52)/SUM(CG61:CG65)</f>
        <v>2.5415804716590813</v>
      </c>
      <c r="CH74" s="39">
        <f>SUM(CH47:CH52)/SUM(CH61:CH65)</f>
        <v>2.0242924528301889</v>
      </c>
      <c r="CI74" s="39">
        <f>SUM(CI47:CI52)/SUM(CI61:CI65)</f>
        <v>2.358140995446695</v>
      </c>
      <c r="CJ74" s="39">
        <f>SUM(CJ47:CJ52)/SUM(CJ61:CJ65)</f>
        <v>2.5068022125878309</v>
      </c>
      <c r="CK74" s="39">
        <f>SUM(CK47:CK52)/SUM(CK61:CK65)</f>
        <v>2.6162615025408598</v>
      </c>
    </row>
    <row r="75" spans="2:151">
      <c r="B75" s="1" t="s">
        <v>127</v>
      </c>
      <c r="AT75" s="39">
        <f t="shared" ref="AT75:BL75" si="104">(SUM(AT47:AT51)-AT50)/SUM(AT61:AT65)</f>
        <v>1.806371534960695</v>
      </c>
      <c r="AU75" s="39">
        <f t="shared" si="104"/>
        <v>1.8509078212290502</v>
      </c>
      <c r="AV75" s="39">
        <f t="shared" si="104"/>
        <v>2.0121023513139695</v>
      </c>
      <c r="AW75" s="39">
        <f t="shared" si="104"/>
        <v>1.6363636363636365</v>
      </c>
      <c r="AX75" s="39">
        <f t="shared" si="104"/>
        <v>1.4891509433962264</v>
      </c>
      <c r="AY75" s="39">
        <f t="shared" si="104"/>
        <v>1.8292420713133848</v>
      </c>
      <c r="AZ75" s="39">
        <f t="shared" si="104"/>
        <v>1.8182147383668297</v>
      </c>
      <c r="BA75" s="39">
        <f t="shared" si="104"/>
        <v>1.4836347332237334</v>
      </c>
      <c r="BB75" s="39">
        <f t="shared" si="104"/>
        <v>1.5671219971738106</v>
      </c>
      <c r="BC75" s="39">
        <f t="shared" si="104"/>
        <v>1.5172571081039987</v>
      </c>
      <c r="BD75" s="39">
        <f t="shared" si="104"/>
        <v>1.3994981510829372</v>
      </c>
      <c r="BE75" s="39">
        <f t="shared" si="104"/>
        <v>1.4211354398846203</v>
      </c>
      <c r="BF75" s="39">
        <f t="shared" si="104"/>
        <v>1.5093436986096576</v>
      </c>
      <c r="BG75" s="39">
        <f t="shared" si="104"/>
        <v>1.7103799814643188</v>
      </c>
      <c r="BH75" s="39">
        <f t="shared" si="104"/>
        <v>1.7899919289749797</v>
      </c>
      <c r="BI75" s="39">
        <f t="shared" si="104"/>
        <v>1.5713333333333332</v>
      </c>
      <c r="BJ75" s="39">
        <f t="shared" si="104"/>
        <v>1.5552808680126355</v>
      </c>
      <c r="BK75" s="39">
        <f t="shared" si="104"/>
        <v>1.6555887316629885</v>
      </c>
      <c r="BL75" s="39">
        <f t="shared" si="104"/>
        <v>1.5552169054150158</v>
      </c>
      <c r="BM75" s="39">
        <f>(SUM(BM47:BM51)-BM50)/SUM(BM61:BM65)</f>
        <v>1.49008547008547</v>
      </c>
      <c r="CG75" s="39">
        <f>(SUM(CG47:CG51)-CG50)/SUM(CG61:CG65)</f>
        <v>1.806371534960695</v>
      </c>
      <c r="CH75" s="39">
        <f>(SUM(CH47:CH51)-CH50)/SUM(CH61:CH65)</f>
        <v>1.4891509433962264</v>
      </c>
      <c r="CI75" s="39">
        <f>(SUM(CI47:CI51)-CI50)/SUM(CI61:CI65)</f>
        <v>1.5671219971738106</v>
      </c>
      <c r="CJ75" s="39">
        <f>(SUM(CJ47:CJ51)-CJ50)/SUM(CJ61:CJ65)</f>
        <v>1.5093436986096576</v>
      </c>
      <c r="CK75" s="39">
        <f>(SUM(CK47:CK51)-CK50)/SUM(CK61:CK65)</f>
        <v>1.5552808680126355</v>
      </c>
    </row>
    <row r="76" spans="2:151">
      <c r="B76" s="1" t="s">
        <v>128</v>
      </c>
      <c r="AT76" s="39">
        <f t="shared" ref="AT76:BL76" si="105">SUM(AT47:AT48)/SUM(AT61:AT65)</f>
        <v>0.94745552337608607</v>
      </c>
      <c r="AU76" s="39">
        <f t="shared" si="105"/>
        <v>1.0879888268156424</v>
      </c>
      <c r="AV76" s="39">
        <f t="shared" si="105"/>
        <v>1.3115491009681881</v>
      </c>
      <c r="AW76" s="39">
        <f t="shared" si="105"/>
        <v>1.0123456790123457</v>
      </c>
      <c r="AX76" s="39">
        <f t="shared" si="105"/>
        <v>0.85094339622641513</v>
      </c>
      <c r="AY76" s="39">
        <f t="shared" si="105"/>
        <v>1.1703995699695395</v>
      </c>
      <c r="AZ76" s="39">
        <f t="shared" si="105"/>
        <v>1.084917617237009</v>
      </c>
      <c r="BA76" s="39">
        <f t="shared" si="105"/>
        <v>0.83560005978179641</v>
      </c>
      <c r="BB76" s="39">
        <f t="shared" si="105"/>
        <v>0.91929659287172238</v>
      </c>
      <c r="BC76" s="39">
        <f t="shared" si="105"/>
        <v>0.90299528660483508</v>
      </c>
      <c r="BD76" s="39">
        <f t="shared" si="105"/>
        <v>0.8300316957210776</v>
      </c>
      <c r="BE76" s="39">
        <f t="shared" si="105"/>
        <v>0.75848957650452342</v>
      </c>
      <c r="BF76" s="39">
        <f t="shared" si="105"/>
        <v>0.86305875317685754</v>
      </c>
      <c r="BG76" s="39">
        <f t="shared" si="105"/>
        <v>0.93219029966017919</v>
      </c>
      <c r="BH76" s="39">
        <f t="shared" si="105"/>
        <v>0.86198547215496368</v>
      </c>
      <c r="BI76" s="39">
        <f t="shared" si="105"/>
        <v>0.60586666666666666</v>
      </c>
      <c r="BJ76" s="39">
        <f t="shared" si="105"/>
        <v>0.70484823513253669</v>
      </c>
      <c r="BK76" s="39">
        <f t="shared" si="105"/>
        <v>0.94898091652602878</v>
      </c>
      <c r="BL76" s="39">
        <f t="shared" si="105"/>
        <v>0.59605811236411665</v>
      </c>
      <c r="BM76" s="39">
        <f>SUM(BM47:BM48)/SUM(BM61:BM65)</f>
        <v>0.61905982905982904</v>
      </c>
      <c r="CG76" s="39">
        <f>SUM(CG47:CG48)/SUM(CG61:CG65)</f>
        <v>0.94745552337608607</v>
      </c>
      <c r="CH76" s="39">
        <f>SUM(CH47:CH48)/SUM(CH61:CH65)</f>
        <v>0.85094339622641513</v>
      </c>
      <c r="CI76" s="39">
        <f>SUM(CI47:CI48)/SUM(CI61:CI65)</f>
        <v>0.91929659287172238</v>
      </c>
      <c r="CJ76" s="39">
        <f>SUM(CJ47:CJ48)/SUM(CJ61:CJ65)</f>
        <v>0.86305875317685754</v>
      </c>
      <c r="CK76" s="39">
        <f>SUM(CK47:CK48)/SUM(CK61:CK65)</f>
        <v>0.70484823513253669</v>
      </c>
    </row>
    <row r="77" spans="2:151">
      <c r="B77" s="1" t="s">
        <v>129</v>
      </c>
      <c r="AT77" s="39">
        <f t="shared" ref="AT77:BL77" si="106">AT22/AT59</f>
        <v>0.36197277393438965</v>
      </c>
      <c r="AU77" s="39">
        <f t="shared" si="106"/>
        <v>0.3428884244052951</v>
      </c>
      <c r="AV77" s="39">
        <f t="shared" si="106"/>
        <v>0.36011598540828732</v>
      </c>
      <c r="AW77" s="39">
        <f t="shared" si="106"/>
        <v>0.38671209540034074</v>
      </c>
      <c r="AX77" s="39">
        <f t="shared" si="106"/>
        <v>0.38859811579032127</v>
      </c>
      <c r="AY77" s="39">
        <f t="shared" si="106"/>
        <v>8.7977284614809831E-2</v>
      </c>
      <c r="AZ77" s="39">
        <f t="shared" si="106"/>
        <v>9.7034161950757009E-2</v>
      </c>
      <c r="BA77" s="39">
        <f t="shared" si="106"/>
        <v>8.2066331421155866E-2</v>
      </c>
      <c r="BB77" s="39">
        <f t="shared" si="106"/>
        <v>8.2849955608168102E-2</v>
      </c>
      <c r="BC77" s="39">
        <f t="shared" si="106"/>
        <v>7.914658307951622E-2</v>
      </c>
      <c r="BD77" s="39">
        <f t="shared" si="106"/>
        <v>7.8847087557196868E-2</v>
      </c>
      <c r="BE77" s="39">
        <f t="shared" si="106"/>
        <v>8.6322369400208362E-2</v>
      </c>
      <c r="BF77" s="39">
        <f t="shared" si="106"/>
        <v>9.0859541872284011E-2</v>
      </c>
      <c r="BG77" s="39">
        <f t="shared" si="106"/>
        <v>8.0609765078429929E-2</v>
      </c>
      <c r="BH77" s="39">
        <f t="shared" si="106"/>
        <v>8.5952921073564503E-2</v>
      </c>
      <c r="BI77" s="39">
        <f t="shared" si="106"/>
        <v>9.792348785111149E-2</v>
      </c>
      <c r="BJ77" s="39">
        <f t="shared" si="106"/>
        <v>0.11062317626325369</v>
      </c>
      <c r="BK77" s="39">
        <f t="shared" si="106"/>
        <v>0.10395527603074772</v>
      </c>
      <c r="BL77" s="39">
        <f t="shared" si="106"/>
        <v>0.10271317829457365</v>
      </c>
      <c r="BM77" s="39">
        <f>BM22/BM59</f>
        <v>0.12024814347582942</v>
      </c>
      <c r="CG77" s="39">
        <f>CG22/CG59</f>
        <v>1.0893773711225172</v>
      </c>
      <c r="CH77" s="39">
        <f>CH22/CH59</f>
        <v>1.3232949512843224</v>
      </c>
      <c r="CI77" s="39">
        <f>CI22/CI59</f>
        <v>0.34923054158034922</v>
      </c>
      <c r="CJ77" s="39">
        <f>CJ22/CJ59</f>
        <v>0.33409442439419607</v>
      </c>
      <c r="CK77" s="39">
        <f>CK22/CK59</f>
        <v>0.3724756594343166</v>
      </c>
    </row>
    <row r="78" spans="2:151">
      <c r="B78" s="1" t="s">
        <v>130</v>
      </c>
      <c r="AT78" s="39">
        <f t="shared" ref="AT78:BL78" si="107">AT23/AVERAGE(AQ50:AT50)</f>
        <v>1.2816297355253752</v>
      </c>
      <c r="AU78" s="39">
        <f t="shared" si="107"/>
        <v>1.2175622542595019</v>
      </c>
      <c r="AV78" s="39">
        <f t="shared" si="107"/>
        <v>1.2580444259912809</v>
      </c>
      <c r="AW78" s="39">
        <f t="shared" si="107"/>
        <v>1.3257925286500967</v>
      </c>
      <c r="AX78" s="39">
        <f t="shared" si="107"/>
        <v>1.3195876288659794</v>
      </c>
      <c r="AY78" s="39">
        <f t="shared" si="107"/>
        <v>1.5244008444058115</v>
      </c>
      <c r="AZ78" s="39">
        <f t="shared" si="107"/>
        <v>1.576544315129812</v>
      </c>
      <c r="BA78" s="39">
        <f t="shared" si="107"/>
        <v>1.234643852734788</v>
      </c>
      <c r="BB78" s="39">
        <f t="shared" si="107"/>
        <v>1.0462394631311891</v>
      </c>
      <c r="BC78" s="39">
        <f t="shared" si="107"/>
        <v>0.85402552948727095</v>
      </c>
      <c r="BD78" s="39">
        <f t="shared" si="107"/>
        <v>0.73165223936770796</v>
      </c>
      <c r="BE78" s="39">
        <f t="shared" si="107"/>
        <v>0.71759313667881064</v>
      </c>
      <c r="BF78" s="39">
        <f t="shared" si="107"/>
        <v>0.74031139902261622</v>
      </c>
      <c r="BG78" s="39">
        <f t="shared" si="107"/>
        <v>0.64679433805162367</v>
      </c>
      <c r="BH78" s="39">
        <f t="shared" si="107"/>
        <v>0.6445034980205</v>
      </c>
      <c r="BI78" s="39">
        <f t="shared" si="107"/>
        <v>0.70218917802560921</v>
      </c>
      <c r="BJ78" s="39">
        <f t="shared" si="107"/>
        <v>0.72786853645607441</v>
      </c>
      <c r="BK78" s="39">
        <f t="shared" si="107"/>
        <v>0.65769487008660887</v>
      </c>
      <c r="BL78" s="39">
        <f t="shared" si="107"/>
        <v>0.7645965042766828</v>
      </c>
      <c r="BM78" s="39">
        <f>BM23/AVERAGE(BJ50:BM50)</f>
        <v>0.68339709257842385</v>
      </c>
      <c r="CG78" s="39">
        <f>CG23/AVERAGE(CD50:CG50)</f>
        <v>3.8713366690493207</v>
      </c>
      <c r="CH78" s="39">
        <f>CH23/AVERAGE(CE50:CH50)</f>
        <v>5.0715563506261176</v>
      </c>
      <c r="CI78" s="39">
        <f>CI23/AVERAGE(CF50:CI50)</f>
        <v>5.4728421052631582</v>
      </c>
      <c r="CJ78" s="39">
        <f>CJ23/AVERAGE(CG50:CJ50)</f>
        <v>4.259323806204252</v>
      </c>
      <c r="CK78" s="39">
        <f>CK23/AVERAGE(CH50:CK50)</f>
        <v>3.3040288406805387</v>
      </c>
    </row>
    <row r="79" spans="2:151">
      <c r="B79" s="1" t="s">
        <v>131</v>
      </c>
      <c r="AT79" s="46">
        <f t="shared" ref="AT79:BL79" si="108">AT36/AT59</f>
        <v>0.19872796250836866</v>
      </c>
      <c r="AU79" s="46">
        <f t="shared" si="108"/>
        <v>5.5240370259779036E-2</v>
      </c>
      <c r="AV79" s="46">
        <f t="shared" si="108"/>
        <v>6.6410999906463375E-2</v>
      </c>
      <c r="AW79" s="46">
        <f t="shared" si="108"/>
        <v>8.2758002331211333E-2</v>
      </c>
      <c r="AX79" s="46">
        <f t="shared" si="108"/>
        <v>7.8428214832112084E-2</v>
      </c>
      <c r="AY79" s="46">
        <f t="shared" si="108"/>
        <v>1.1746245236494059E-2</v>
      </c>
      <c r="AZ79" s="46">
        <f t="shared" si="108"/>
        <v>6.6220260140440286E-3</v>
      </c>
      <c r="BA79" s="46">
        <f t="shared" si="108"/>
        <v>9.7329341847192938E-4</v>
      </c>
      <c r="BB79" s="46">
        <f t="shared" si="108"/>
        <v>3.1074282332050902E-4</v>
      </c>
      <c r="BC79" s="46">
        <f t="shared" si="108"/>
        <v>-2.0551793476653755E-3</v>
      </c>
      <c r="BD79" s="46">
        <f t="shared" si="108"/>
        <v>3.972516073977077E-4</v>
      </c>
      <c r="BE79" s="46">
        <f t="shared" si="108"/>
        <v>4.4500669742521207E-3</v>
      </c>
      <c r="BF79" s="46">
        <f t="shared" si="108"/>
        <v>1.4465640421300729E-2</v>
      </c>
      <c r="BG79" s="46">
        <f t="shared" si="108"/>
        <v>1.8116208851903675E-3</v>
      </c>
      <c r="BH79" s="46">
        <f t="shared" si="108"/>
        <v>3.9036030993135551E-3</v>
      </c>
      <c r="BI79" s="46">
        <f t="shared" si="108"/>
        <v>1.1071859383077719E-2</v>
      </c>
      <c r="BJ79" s="46">
        <f t="shared" si="108"/>
        <v>6.9627018750180571E-3</v>
      </c>
      <c r="BK79" s="46">
        <f t="shared" si="108"/>
        <v>9.9091544374563245E-3</v>
      </c>
      <c r="BL79" s="46">
        <f t="shared" si="108"/>
        <v>1.1654637797380379E-2</v>
      </c>
      <c r="BM79" s="46">
        <f>BM36/BM59</f>
        <v>1.6165741114044556E-2</v>
      </c>
      <c r="CG79" s="46">
        <f>CG36/CG59</f>
        <v>0.27783976790894888</v>
      </c>
      <c r="CH79" s="46">
        <f>CH36/CH59</f>
        <v>0.254609871970368</v>
      </c>
      <c r="CI79" s="46">
        <f>CI36/CI59</f>
        <v>1.9532406037289139E-2</v>
      </c>
      <c r="CJ79" s="46">
        <f>CJ36/CJ59</f>
        <v>1.7220299035132947E-2</v>
      </c>
      <c r="CK79" s="46">
        <f>CK36/CK59</f>
        <v>2.370496634212579E-2</v>
      </c>
    </row>
    <row r="80" spans="2:151">
      <c r="B80" s="1" t="s">
        <v>132</v>
      </c>
      <c r="AT80" s="46">
        <f t="shared" ref="AT80:BL80" si="109">AT36/AT71</f>
        <v>0.30512249443207129</v>
      </c>
      <c r="AU80" s="46">
        <f t="shared" si="109"/>
        <v>8.5687818434460397E-2</v>
      </c>
      <c r="AV80" s="46">
        <f t="shared" si="109"/>
        <v>0.10049539985845718</v>
      </c>
      <c r="AW80" s="46">
        <f t="shared" si="109"/>
        <v>0.12934417040358745</v>
      </c>
      <c r="AX80" s="46">
        <f t="shared" si="109"/>
        <v>0.12991863412031479</v>
      </c>
      <c r="AY80" s="46">
        <f t="shared" si="109"/>
        <v>1.420490484882439E-2</v>
      </c>
      <c r="AZ80" s="46">
        <f t="shared" si="109"/>
        <v>8.1023763345356992E-3</v>
      </c>
      <c r="BA80" s="46">
        <f t="shared" si="109"/>
        <v>1.2100766381870852E-3</v>
      </c>
      <c r="BB80" s="46">
        <f t="shared" si="109"/>
        <v>3.8356164383561642E-4</v>
      </c>
      <c r="BC80" s="46">
        <f t="shared" si="109"/>
        <v>-2.5414122207189087E-3</v>
      </c>
      <c r="BD80" s="46">
        <f t="shared" si="109"/>
        <v>4.896982008125363E-4</v>
      </c>
      <c r="BE80" s="46">
        <f t="shared" si="109"/>
        <v>5.439330543933054E-3</v>
      </c>
      <c r="BF80" s="46">
        <f t="shared" si="109"/>
        <v>1.7569598511414871E-2</v>
      </c>
      <c r="BG80" s="46">
        <f t="shared" si="109"/>
        <v>2.188689988967579E-3</v>
      </c>
      <c r="BH80" s="46">
        <f t="shared" si="109"/>
        <v>4.687113092079663E-3</v>
      </c>
      <c r="BI80" s="46">
        <f t="shared" si="109"/>
        <v>1.352987628323243E-2</v>
      </c>
      <c r="BJ80" s="46">
        <f t="shared" si="109"/>
        <v>8.3727070594774872E-3</v>
      </c>
      <c r="BK80" s="46">
        <f t="shared" si="109"/>
        <v>1.2249270054076467E-2</v>
      </c>
      <c r="BL80" s="46">
        <f t="shared" si="109"/>
        <v>1.461493337802732E-2</v>
      </c>
      <c r="BM80" s="46">
        <f>BM36/BM71</f>
        <v>2.044744201348906E-2</v>
      </c>
      <c r="CG80" s="46">
        <f>CG36/CG71</f>
        <v>0.4265890011992462</v>
      </c>
      <c r="CH80" s="46">
        <f>CH36/CH71</f>
        <v>0.42176870748299322</v>
      </c>
      <c r="CI80" s="46">
        <f>CI36/CI71</f>
        <v>2.4109589041095891E-2</v>
      </c>
      <c r="CJ80" s="46">
        <f>CJ36/CJ71</f>
        <v>2.091533672081872E-2</v>
      </c>
      <c r="CK80" s="46">
        <f>CK36/CK71</f>
        <v>2.8505419677598665E-2</v>
      </c>
    </row>
    <row r="82" spans="2:151">
      <c r="B82" s="1" t="s">
        <v>133</v>
      </c>
      <c r="C82" s="1">
        <f t="shared" ref="C82:AH82" si="110">C36</f>
        <v>257</v>
      </c>
      <c r="D82" s="1">
        <f t="shared" si="110"/>
        <v>-43</v>
      </c>
      <c r="E82" s="1">
        <f t="shared" si="110"/>
        <v>-118</v>
      </c>
      <c r="F82" s="1">
        <f t="shared" si="110"/>
        <v>375</v>
      </c>
      <c r="G82" s="1">
        <f t="shared" si="110"/>
        <v>510</v>
      </c>
      <c r="H82" s="1">
        <f t="shared" si="110"/>
        <v>61</v>
      </c>
      <c r="I82" s="1">
        <f t="shared" si="110"/>
        <v>97</v>
      </c>
      <c r="J82" s="1">
        <f t="shared" si="110"/>
        <v>-177</v>
      </c>
      <c r="K82" s="1">
        <f t="shared" si="110"/>
        <v>-590</v>
      </c>
      <c r="L82" s="1">
        <f t="shared" si="110"/>
        <v>37</v>
      </c>
      <c r="M82" s="1">
        <f t="shared" si="110"/>
        <v>-157</v>
      </c>
      <c r="N82" s="1">
        <f t="shared" si="110"/>
        <v>-473</v>
      </c>
      <c r="O82" s="1">
        <f t="shared" si="110"/>
        <v>-146</v>
      </c>
      <c r="P82" s="1">
        <f t="shared" si="110"/>
        <v>-74</v>
      </c>
      <c r="Q82" s="1">
        <f t="shared" si="110"/>
        <v>48</v>
      </c>
      <c r="R82" s="1">
        <f t="shared" si="110"/>
        <v>89</v>
      </c>
      <c r="S82" s="1">
        <f t="shared" si="110"/>
        <v>-20</v>
      </c>
      <c r="T82" s="1">
        <f t="shared" si="110"/>
        <v>-36</v>
      </c>
      <c r="U82" s="1">
        <f t="shared" si="110"/>
        <v>17</v>
      </c>
      <c r="V82" s="1">
        <f t="shared" si="110"/>
        <v>-364</v>
      </c>
      <c r="W82" s="1">
        <f t="shared" si="110"/>
        <v>-180</v>
      </c>
      <c r="X82" s="1">
        <f t="shared" si="110"/>
        <v>-181</v>
      </c>
      <c r="Y82" s="1">
        <f t="shared" si="110"/>
        <v>-197</v>
      </c>
      <c r="Z82" s="1">
        <f t="shared" si="110"/>
        <v>-102</v>
      </c>
      <c r="AA82" s="1">
        <f t="shared" si="110"/>
        <v>-109</v>
      </c>
      <c r="AB82" s="1">
        <f t="shared" si="110"/>
        <v>69</v>
      </c>
      <c r="AC82" s="1">
        <f t="shared" si="110"/>
        <v>-406</v>
      </c>
      <c r="AD82" s="1">
        <f t="shared" si="110"/>
        <v>-52</v>
      </c>
      <c r="AE82" s="1">
        <f t="shared" si="110"/>
        <v>-33</v>
      </c>
      <c r="AF82" s="1">
        <f t="shared" si="110"/>
        <v>-42</v>
      </c>
      <c r="AG82" s="1">
        <f t="shared" si="110"/>
        <v>61</v>
      </c>
      <c r="AH82" s="1">
        <f t="shared" si="110"/>
        <v>-19</v>
      </c>
      <c r="AI82" s="1">
        <f t="shared" ref="AI82:BM82" si="111">AI36</f>
        <v>81</v>
      </c>
      <c r="AJ82" s="1">
        <f t="shared" si="111"/>
        <v>116</v>
      </c>
      <c r="AK82" s="1">
        <f t="shared" si="111"/>
        <v>102</v>
      </c>
      <c r="AL82" s="1">
        <f t="shared" si="111"/>
        <v>38</v>
      </c>
      <c r="AM82" s="1">
        <f t="shared" si="111"/>
        <v>16</v>
      </c>
      <c r="AN82" s="1">
        <f t="shared" si="111"/>
        <v>35</v>
      </c>
      <c r="AO82" s="1">
        <f t="shared" si="111"/>
        <v>119</v>
      </c>
      <c r="AP82" s="1">
        <f t="shared" si="111"/>
        <v>170</v>
      </c>
      <c r="AQ82" s="1">
        <f t="shared" si="111"/>
        <v>162</v>
      </c>
      <c r="AR82" s="1">
        <f t="shared" si="111"/>
        <v>157</v>
      </c>
      <c r="AS82" s="1">
        <f t="shared" si="111"/>
        <v>390</v>
      </c>
      <c r="AT82" s="1">
        <f t="shared" si="111"/>
        <v>1781</v>
      </c>
      <c r="AU82" s="1">
        <f t="shared" si="111"/>
        <v>555</v>
      </c>
      <c r="AV82" s="1">
        <f t="shared" si="111"/>
        <v>710</v>
      </c>
      <c r="AW82" s="1">
        <f t="shared" si="111"/>
        <v>923</v>
      </c>
      <c r="AX82" s="1">
        <f t="shared" si="111"/>
        <v>974</v>
      </c>
      <c r="AY82" s="1">
        <f t="shared" si="111"/>
        <v>786</v>
      </c>
      <c r="AZ82" s="1">
        <f t="shared" si="111"/>
        <v>447</v>
      </c>
      <c r="BA82" s="1">
        <f t="shared" si="111"/>
        <v>66</v>
      </c>
      <c r="BB82" s="1">
        <f t="shared" si="111"/>
        <v>21</v>
      </c>
      <c r="BC82" s="1">
        <f t="shared" si="111"/>
        <v>-139</v>
      </c>
      <c r="BD82" s="1">
        <f t="shared" si="111"/>
        <v>27</v>
      </c>
      <c r="BE82" s="1">
        <f t="shared" si="111"/>
        <v>299</v>
      </c>
      <c r="BF82" s="1">
        <f t="shared" si="111"/>
        <v>982</v>
      </c>
      <c r="BG82" s="1">
        <f t="shared" si="111"/>
        <v>123</v>
      </c>
      <c r="BH82" s="1">
        <f t="shared" si="111"/>
        <v>265</v>
      </c>
      <c r="BI82" s="1">
        <f t="shared" si="111"/>
        <v>771</v>
      </c>
      <c r="BJ82" s="1">
        <f t="shared" si="111"/>
        <v>482</v>
      </c>
      <c r="BK82" s="1">
        <f t="shared" si="111"/>
        <v>709</v>
      </c>
      <c r="BL82" s="1">
        <f t="shared" si="111"/>
        <v>872</v>
      </c>
      <c r="BM82" s="1">
        <f t="shared" si="111"/>
        <v>1243</v>
      </c>
      <c r="BW82" s="1">
        <f>SUM(C82:F82)</f>
        <v>471</v>
      </c>
      <c r="BX82" s="1">
        <f>SUM(G82:J82)</f>
        <v>491</v>
      </c>
      <c r="BY82" s="1">
        <f>SUM(K82:N82)</f>
        <v>-1183</v>
      </c>
      <c r="BZ82" s="1">
        <f>SUM(O82:R82)</f>
        <v>-83</v>
      </c>
      <c r="CA82" s="1">
        <f>SUM(S82:V82)</f>
        <v>-403</v>
      </c>
      <c r="CB82" s="1">
        <f>SUM(W82:Z82)</f>
        <v>-660</v>
      </c>
      <c r="CC82" s="1">
        <f>SUM(AA82:AD82)</f>
        <v>-498</v>
      </c>
      <c r="CD82" s="1">
        <f>SUM(AE82:AH82)</f>
        <v>-33</v>
      </c>
      <c r="CE82" s="1">
        <f>SUM(AI82:AL82)</f>
        <v>337</v>
      </c>
      <c r="CF82" s="1">
        <f>SUM(AM82:AP82)</f>
        <v>340</v>
      </c>
      <c r="CG82" s="1">
        <f>SUM(AQ82:AT82)</f>
        <v>2490</v>
      </c>
      <c r="CH82" s="1">
        <f>SUM(AU82:AX82)</f>
        <v>3162</v>
      </c>
      <c r="CI82" s="1">
        <f>SUM(AY82:BB82)</f>
        <v>1320</v>
      </c>
      <c r="CJ82" s="1">
        <f>SUM(BC82:BF82)</f>
        <v>1169</v>
      </c>
      <c r="CK82" s="1">
        <f>SUM(BG82:BJ82)</f>
        <v>1641</v>
      </c>
    </row>
    <row r="83" spans="2:151" s="2" customFormat="1" ht="15">
      <c r="B83" s="2" t="s">
        <v>134</v>
      </c>
      <c r="C83" s="2">
        <v>23</v>
      </c>
      <c r="D83" s="2">
        <v>-98</v>
      </c>
      <c r="E83" s="2">
        <v>-124</v>
      </c>
      <c r="F83" s="2">
        <v>-213</v>
      </c>
      <c r="G83" s="2">
        <v>-168</v>
      </c>
      <c r="H83" s="2">
        <v>174</v>
      </c>
      <c r="I83" s="2">
        <v>189</v>
      </c>
      <c r="J83" s="2">
        <v>187</v>
      </c>
      <c r="K83" s="2">
        <v>107</v>
      </c>
      <c r="L83" s="2">
        <v>81</v>
      </c>
      <c r="M83" s="2">
        <v>-240</v>
      </c>
      <c r="N83" s="2">
        <v>-286</v>
      </c>
      <c r="O83" s="2">
        <v>-155</v>
      </c>
      <c r="P83" s="2">
        <v>-35</v>
      </c>
      <c r="Q83" s="2">
        <v>21</v>
      </c>
      <c r="R83" s="2">
        <v>21</v>
      </c>
      <c r="S83" s="2">
        <v>-204</v>
      </c>
      <c r="T83" s="2">
        <v>-28</v>
      </c>
      <c r="U83" s="2">
        <v>18</v>
      </c>
      <c r="V83" s="2">
        <v>116</v>
      </c>
      <c r="W83" s="2">
        <v>-172</v>
      </c>
      <c r="X83" s="2">
        <v>-57</v>
      </c>
      <c r="Y83" s="2">
        <v>-56</v>
      </c>
      <c r="Z83" s="2">
        <v>59</v>
      </c>
      <c r="AA83" s="2">
        <v>-42</v>
      </c>
      <c r="AB83" s="2">
        <v>-85</v>
      </c>
      <c r="AC83" s="2">
        <v>29</v>
      </c>
      <c r="AD83" s="2">
        <v>179</v>
      </c>
      <c r="AE83" s="2">
        <v>-299</v>
      </c>
      <c r="AF83" s="2">
        <v>-82</v>
      </c>
      <c r="AG83" s="2">
        <v>69</v>
      </c>
      <c r="AH83" s="2">
        <v>324</v>
      </c>
      <c r="AI83" s="2">
        <v>-107</v>
      </c>
      <c r="AJ83" s="2">
        <v>-55</v>
      </c>
      <c r="AK83" s="2">
        <v>76</v>
      </c>
      <c r="AL83" s="2">
        <v>120</v>
      </c>
      <c r="AM83" s="2">
        <v>-213</v>
      </c>
      <c r="AN83" s="2">
        <v>30</v>
      </c>
      <c r="AO83" s="2">
        <v>234</v>
      </c>
      <c r="AP83" s="2">
        <v>442</v>
      </c>
      <c r="AQ83" s="2">
        <v>-65</v>
      </c>
      <c r="AR83" s="2">
        <v>243</v>
      </c>
      <c r="AS83" s="2">
        <v>339</v>
      </c>
      <c r="AT83" s="2">
        <v>554</v>
      </c>
      <c r="AU83" s="2">
        <v>898</v>
      </c>
      <c r="AV83" s="2">
        <v>952</v>
      </c>
      <c r="AW83" s="2">
        <v>849</v>
      </c>
      <c r="AX83" s="2">
        <v>822</v>
      </c>
      <c r="AY83" s="2">
        <v>995</v>
      </c>
      <c r="AZ83" s="2">
        <v>1038</v>
      </c>
      <c r="BA83" s="2">
        <v>965</v>
      </c>
      <c r="BB83" s="2">
        <v>567</v>
      </c>
      <c r="BC83" s="2">
        <v>486</v>
      </c>
      <c r="BD83" s="2">
        <v>379</v>
      </c>
      <c r="BE83" s="2">
        <v>421</v>
      </c>
      <c r="BF83" s="2">
        <v>381</v>
      </c>
      <c r="BG83" s="2">
        <v>521</v>
      </c>
      <c r="BH83" s="2">
        <v>593</v>
      </c>
      <c r="BI83" s="2">
        <v>628</v>
      </c>
      <c r="BJ83" s="2">
        <v>1299</v>
      </c>
      <c r="BK83" s="2">
        <v>939</v>
      </c>
      <c r="BL83" s="2">
        <v>1462</v>
      </c>
      <c r="BM83" s="2">
        <f>4189-SUM(BK83:BL83)</f>
        <v>1788</v>
      </c>
      <c r="BN83" s="34"/>
      <c r="BO83" s="34"/>
      <c r="BP83" s="34"/>
      <c r="BQ83" s="34"/>
      <c r="BR83" s="34"/>
      <c r="BW83" s="2">
        <f>SUM(C83:F83)</f>
        <v>-412</v>
      </c>
      <c r="BX83" s="2">
        <f>SUM(G83:J83)</f>
        <v>382</v>
      </c>
      <c r="BY83" s="2">
        <f>SUM(K83:N83)</f>
        <v>-338</v>
      </c>
      <c r="BZ83" s="2">
        <f>SUM(O83:R83)</f>
        <v>-148</v>
      </c>
      <c r="CA83" s="2">
        <f>SUM(S83:V83)</f>
        <v>-98</v>
      </c>
      <c r="CB83" s="2">
        <f>SUM(W83:Z83)</f>
        <v>-226</v>
      </c>
      <c r="CC83" s="2">
        <f>SUM(AA83:AD83)</f>
        <v>81</v>
      </c>
      <c r="CD83" s="2">
        <f>SUM(AE83:AH83)</f>
        <v>12</v>
      </c>
      <c r="CE83" s="2">
        <f>SUM(AI83:AL83)</f>
        <v>34</v>
      </c>
      <c r="CF83" s="2">
        <f>SUM(AM83:AP83)</f>
        <v>493</v>
      </c>
      <c r="CG83" s="2">
        <f>SUM(AQ83:AT83)</f>
        <v>1071</v>
      </c>
      <c r="CH83" s="2">
        <f>SUM(AU83:AX83)</f>
        <v>3521</v>
      </c>
      <c r="CI83" s="2">
        <f>SUM(AY83:BB83)</f>
        <v>3565</v>
      </c>
      <c r="CJ83" s="2">
        <f>SUM(BC83:BF83)</f>
        <v>1667</v>
      </c>
      <c r="CK83" s="2">
        <f>SUM(BG83:BJ83)</f>
        <v>3041</v>
      </c>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5"/>
      <c r="EC83" s="55"/>
      <c r="ED83" s="55"/>
      <c r="EE83" s="55"/>
      <c r="EF83" s="55"/>
      <c r="EG83" s="55"/>
      <c r="EH83" s="55"/>
      <c r="EI83" s="55"/>
      <c r="EJ83" s="55"/>
      <c r="EK83" s="55"/>
      <c r="EL83" s="55"/>
      <c r="EM83" s="55"/>
      <c r="EN83" s="55"/>
      <c r="EO83" s="55"/>
      <c r="EP83" s="55"/>
      <c r="EQ83" s="55"/>
      <c r="ER83" s="55"/>
      <c r="ES83" s="55"/>
      <c r="ET83" s="56"/>
      <c r="EU83" s="56"/>
    </row>
    <row r="84" spans="2:151">
      <c r="B84" s="1" t="s">
        <v>135</v>
      </c>
      <c r="C84" s="1">
        <v>-48</v>
      </c>
      <c r="D84" s="1">
        <v>-31</v>
      </c>
      <c r="E84" s="1">
        <v>-30</v>
      </c>
      <c r="F84" s="1">
        <v>-38</v>
      </c>
      <c r="G84" s="1">
        <v>-38</v>
      </c>
      <c r="H84" s="1">
        <v>-67</v>
      </c>
      <c r="I84" s="1">
        <v>-42</v>
      </c>
      <c r="J84" s="1">
        <v>-87</v>
      </c>
      <c r="K84" s="1">
        <v>-40</v>
      </c>
      <c r="L84" s="1">
        <v>-39</v>
      </c>
      <c r="M84" s="1">
        <v>79</v>
      </c>
      <c r="N84" s="1">
        <v>-133</v>
      </c>
      <c r="O84" s="1">
        <v>158</v>
      </c>
      <c r="P84" s="1">
        <v>-25</v>
      </c>
      <c r="Q84" s="1">
        <v>42</v>
      </c>
      <c r="R84" s="1">
        <v>-21</v>
      </c>
      <c r="S84" s="1">
        <v>-21</v>
      </c>
      <c r="T84" s="1">
        <v>-23</v>
      </c>
      <c r="U84" s="1">
        <v>-29</v>
      </c>
      <c r="V84" s="1">
        <v>-22</v>
      </c>
      <c r="W84" s="1">
        <v>-22</v>
      </c>
      <c r="X84" s="1">
        <v>-17</v>
      </c>
      <c r="Y84" s="1">
        <v>-17</v>
      </c>
      <c r="Z84" s="1">
        <v>-32</v>
      </c>
      <c r="AA84" s="1">
        <v>-26</v>
      </c>
      <c r="AB84" s="1">
        <v>-21</v>
      </c>
      <c r="AC84" s="1">
        <v>-9</v>
      </c>
      <c r="AD84" s="1">
        <v>-21</v>
      </c>
      <c r="AE84" s="1">
        <v>-23</v>
      </c>
      <c r="AF84" s="1">
        <v>-12</v>
      </c>
      <c r="AG84" s="1">
        <v>-34</v>
      </c>
      <c r="AH84" s="1">
        <v>-44</v>
      </c>
      <c r="AI84" s="1">
        <v>-46</v>
      </c>
      <c r="AJ84" s="1">
        <v>-43</v>
      </c>
      <c r="AK84" s="1">
        <v>-33</v>
      </c>
      <c r="AL84" s="1">
        <v>-41</v>
      </c>
      <c r="AM84" s="1">
        <v>-62</v>
      </c>
      <c r="AN84" s="1">
        <v>-58</v>
      </c>
      <c r="AO84" s="1">
        <v>-55</v>
      </c>
      <c r="AP84" s="1">
        <v>-42</v>
      </c>
      <c r="AQ84" s="1">
        <v>-55</v>
      </c>
      <c r="AR84" s="1">
        <v>-91</v>
      </c>
      <c r="AS84" s="1">
        <v>-74</v>
      </c>
      <c r="AT84" s="1">
        <v>-74</v>
      </c>
      <c r="AU84" s="1">
        <v>-66</v>
      </c>
      <c r="AV84" s="1">
        <v>-64</v>
      </c>
      <c r="AW84" s="1">
        <v>-85</v>
      </c>
      <c r="AX84" s="1">
        <v>-86</v>
      </c>
      <c r="AY84" s="1">
        <v>-71</v>
      </c>
      <c r="AZ84" s="1">
        <v>-132</v>
      </c>
      <c r="BA84" s="1">
        <v>-123</v>
      </c>
      <c r="BB84" s="1">
        <v>-124</v>
      </c>
      <c r="BC84" s="1">
        <v>-158</v>
      </c>
      <c r="BD84" s="1">
        <v>-125</v>
      </c>
      <c r="BE84" s="1">
        <v>-124</v>
      </c>
      <c r="BF84" s="1">
        <v>-139</v>
      </c>
      <c r="BG84" s="1">
        <v>-142</v>
      </c>
      <c r="BH84" s="1">
        <v>-154</v>
      </c>
      <c r="BI84" s="1">
        <v>-132</v>
      </c>
      <c r="BJ84" s="1">
        <v>-208</v>
      </c>
      <c r="BK84" s="1">
        <v>-212</v>
      </c>
      <c r="BL84" s="1">
        <v>-282</v>
      </c>
      <c r="BM84" s="1">
        <f>-752-SUM(BK84:BL84)</f>
        <v>-258</v>
      </c>
      <c r="BW84" s="1">
        <f>SUM(C84:F84)</f>
        <v>-147</v>
      </c>
      <c r="BX84" s="1">
        <f>SUM(G84:J84)</f>
        <v>-234</v>
      </c>
      <c r="BY84" s="1">
        <f>SUM(K84:N84)</f>
        <v>-133</v>
      </c>
      <c r="BZ84" s="1">
        <f>SUM(O84:R84)</f>
        <v>154</v>
      </c>
      <c r="CA84" s="1">
        <f>SUM(S84:V84)</f>
        <v>-95</v>
      </c>
      <c r="CB84" s="1">
        <f>SUM(W84:Z84)</f>
        <v>-88</v>
      </c>
      <c r="CC84" s="1">
        <f>SUM(AA84:AD84)</f>
        <v>-77</v>
      </c>
      <c r="CD84" s="1">
        <f>SUM(AE84:AH84)</f>
        <v>-113</v>
      </c>
      <c r="CE84" s="1">
        <f>SUM(AI84:AL84)</f>
        <v>-163</v>
      </c>
      <c r="CF84" s="1">
        <f>SUM(AM84:AP84)</f>
        <v>-217</v>
      </c>
      <c r="CG84" s="1">
        <f>SUM(AQ84:AT84)</f>
        <v>-294</v>
      </c>
      <c r="CH84" s="1">
        <f>SUM(AU84:AX84)</f>
        <v>-301</v>
      </c>
      <c r="CI84" s="1">
        <f>SUM(AY84:BB84)</f>
        <v>-450</v>
      </c>
      <c r="CJ84" s="1">
        <f>SUM(BC84:BF84)</f>
        <v>-546</v>
      </c>
      <c r="CK84" s="1">
        <f>SUM(BG84:BJ84)</f>
        <v>-636</v>
      </c>
    </row>
    <row r="85" spans="2:151" s="2" customFormat="1" ht="15">
      <c r="B85" s="2" t="s">
        <v>136</v>
      </c>
      <c r="C85" s="2">
        <f t="shared" ref="C85:BL85" si="112">C83+C84</f>
        <v>-25</v>
      </c>
      <c r="D85" s="2">
        <f t="shared" si="112"/>
        <v>-129</v>
      </c>
      <c r="E85" s="2">
        <f t="shared" si="112"/>
        <v>-154</v>
      </c>
      <c r="F85" s="2">
        <f t="shared" si="112"/>
        <v>-251</v>
      </c>
      <c r="G85" s="2">
        <f t="shared" si="112"/>
        <v>-206</v>
      </c>
      <c r="H85" s="2">
        <f t="shared" si="112"/>
        <v>107</v>
      </c>
      <c r="I85" s="2">
        <f t="shared" si="112"/>
        <v>147</v>
      </c>
      <c r="J85" s="2">
        <f t="shared" si="112"/>
        <v>100</v>
      </c>
      <c r="K85" s="2">
        <f t="shared" si="112"/>
        <v>67</v>
      </c>
      <c r="L85" s="2">
        <f t="shared" si="112"/>
        <v>42</v>
      </c>
      <c r="M85" s="2">
        <f t="shared" si="112"/>
        <v>-161</v>
      </c>
      <c r="N85" s="2">
        <f t="shared" si="112"/>
        <v>-419</v>
      </c>
      <c r="O85" s="2">
        <f t="shared" si="112"/>
        <v>3</v>
      </c>
      <c r="P85" s="2">
        <f t="shared" si="112"/>
        <v>-60</v>
      </c>
      <c r="Q85" s="2">
        <f t="shared" si="112"/>
        <v>63</v>
      </c>
      <c r="R85" s="2">
        <f t="shared" si="112"/>
        <v>0</v>
      </c>
      <c r="S85" s="2">
        <f t="shared" si="112"/>
        <v>-225</v>
      </c>
      <c r="T85" s="2">
        <f t="shared" si="112"/>
        <v>-51</v>
      </c>
      <c r="U85" s="2">
        <f t="shared" si="112"/>
        <v>-11</v>
      </c>
      <c r="V85" s="2">
        <f t="shared" si="112"/>
        <v>94</v>
      </c>
      <c r="W85" s="2">
        <f t="shared" si="112"/>
        <v>-194</v>
      </c>
      <c r="X85" s="2">
        <f t="shared" si="112"/>
        <v>-74</v>
      </c>
      <c r="Y85" s="2">
        <f t="shared" si="112"/>
        <v>-73</v>
      </c>
      <c r="Z85" s="2">
        <f t="shared" si="112"/>
        <v>27</v>
      </c>
      <c r="AA85" s="2">
        <f t="shared" si="112"/>
        <v>-68</v>
      </c>
      <c r="AB85" s="2">
        <f t="shared" si="112"/>
        <v>-106</v>
      </c>
      <c r="AC85" s="2">
        <f t="shared" si="112"/>
        <v>20</v>
      </c>
      <c r="AD85" s="2">
        <f t="shared" si="112"/>
        <v>158</v>
      </c>
      <c r="AE85" s="2">
        <f t="shared" si="112"/>
        <v>-322</v>
      </c>
      <c r="AF85" s="2">
        <f t="shared" si="112"/>
        <v>-94</v>
      </c>
      <c r="AG85" s="2">
        <f t="shared" si="112"/>
        <v>35</v>
      </c>
      <c r="AH85" s="2">
        <f t="shared" si="112"/>
        <v>280</v>
      </c>
      <c r="AI85" s="2">
        <f t="shared" si="112"/>
        <v>-153</v>
      </c>
      <c r="AJ85" s="2">
        <f t="shared" si="112"/>
        <v>-98</v>
      </c>
      <c r="AK85" s="2">
        <f t="shared" si="112"/>
        <v>43</v>
      </c>
      <c r="AL85" s="2">
        <f t="shared" si="112"/>
        <v>79</v>
      </c>
      <c r="AM85" s="2">
        <f t="shared" si="112"/>
        <v>-275</v>
      </c>
      <c r="AN85" s="2">
        <f t="shared" si="112"/>
        <v>-28</v>
      </c>
      <c r="AO85" s="2">
        <f t="shared" si="112"/>
        <v>179</v>
      </c>
      <c r="AP85" s="2">
        <f t="shared" si="112"/>
        <v>400</v>
      </c>
      <c r="AQ85" s="2">
        <f t="shared" si="112"/>
        <v>-120</v>
      </c>
      <c r="AR85" s="2">
        <f t="shared" si="112"/>
        <v>152</v>
      </c>
      <c r="AS85" s="2">
        <f t="shared" si="112"/>
        <v>265</v>
      </c>
      <c r="AT85" s="2">
        <f t="shared" si="112"/>
        <v>480</v>
      </c>
      <c r="AU85" s="2">
        <f t="shared" si="112"/>
        <v>832</v>
      </c>
      <c r="AV85" s="2">
        <f t="shared" si="112"/>
        <v>888</v>
      </c>
      <c r="AW85" s="2">
        <f t="shared" si="112"/>
        <v>764</v>
      </c>
      <c r="AX85" s="2">
        <f t="shared" si="112"/>
        <v>736</v>
      </c>
      <c r="AY85" s="2">
        <f t="shared" si="112"/>
        <v>924</v>
      </c>
      <c r="AZ85" s="2">
        <f t="shared" si="112"/>
        <v>906</v>
      </c>
      <c r="BA85" s="2">
        <f t="shared" si="112"/>
        <v>842</v>
      </c>
      <c r="BB85" s="2">
        <f t="shared" si="112"/>
        <v>443</v>
      </c>
      <c r="BC85" s="2">
        <f t="shared" si="112"/>
        <v>328</v>
      </c>
      <c r="BD85" s="2">
        <f t="shared" si="112"/>
        <v>254</v>
      </c>
      <c r="BE85" s="2">
        <f t="shared" si="112"/>
        <v>297</v>
      </c>
      <c r="BF85" s="2">
        <f t="shared" si="112"/>
        <v>242</v>
      </c>
      <c r="BG85" s="2">
        <f t="shared" si="112"/>
        <v>379</v>
      </c>
      <c r="BH85" s="2">
        <f t="shared" si="112"/>
        <v>439</v>
      </c>
      <c r="BI85" s="2">
        <f t="shared" si="112"/>
        <v>496</v>
      </c>
      <c r="BJ85" s="2">
        <f t="shared" si="112"/>
        <v>1091</v>
      </c>
      <c r="BK85" s="2">
        <f t="shared" si="112"/>
        <v>727</v>
      </c>
      <c r="BL85" s="2">
        <f t="shared" si="112"/>
        <v>1180</v>
      </c>
      <c r="BM85" s="2">
        <f t="shared" ref="BM85" si="113">BM83+BM84</f>
        <v>1530</v>
      </c>
      <c r="BN85" s="34"/>
      <c r="BO85" s="34"/>
      <c r="BP85" s="34"/>
      <c r="BQ85" s="34"/>
      <c r="BR85" s="34"/>
      <c r="BW85" s="2">
        <f t="shared" ref="BW85:CK85" si="114">BW83+BW84</f>
        <v>-559</v>
      </c>
      <c r="BX85" s="2">
        <f t="shared" si="114"/>
        <v>148</v>
      </c>
      <c r="BY85" s="2">
        <f t="shared" si="114"/>
        <v>-471</v>
      </c>
      <c r="BZ85" s="2">
        <f t="shared" si="114"/>
        <v>6</v>
      </c>
      <c r="CA85" s="2">
        <f t="shared" si="114"/>
        <v>-193</v>
      </c>
      <c r="CB85" s="2">
        <f t="shared" si="114"/>
        <v>-314</v>
      </c>
      <c r="CC85" s="2">
        <f t="shared" si="114"/>
        <v>4</v>
      </c>
      <c r="CD85" s="2">
        <f t="shared" si="114"/>
        <v>-101</v>
      </c>
      <c r="CE85" s="2">
        <f t="shared" si="114"/>
        <v>-129</v>
      </c>
      <c r="CF85" s="2">
        <f t="shared" si="114"/>
        <v>276</v>
      </c>
      <c r="CG85" s="2">
        <f t="shared" si="114"/>
        <v>777</v>
      </c>
      <c r="CH85" s="2">
        <f t="shared" si="114"/>
        <v>3220</v>
      </c>
      <c r="CI85" s="2">
        <f t="shared" si="114"/>
        <v>3115</v>
      </c>
      <c r="CJ85" s="2">
        <f t="shared" si="114"/>
        <v>1121</v>
      </c>
      <c r="CK85" s="2">
        <f t="shared" si="114"/>
        <v>2405</v>
      </c>
      <c r="CL85" s="55"/>
      <c r="CM85" s="55"/>
      <c r="CN85" s="55"/>
      <c r="CO85" s="55"/>
      <c r="CP85" s="55"/>
      <c r="CQ85" s="55"/>
      <c r="CR85" s="55"/>
      <c r="CS85" s="55"/>
      <c r="CT85" s="55"/>
      <c r="CU85" s="55"/>
      <c r="CV85" s="55"/>
      <c r="CW85" s="55"/>
      <c r="CX85" s="55"/>
      <c r="CY85" s="55"/>
      <c r="CZ85" s="55"/>
      <c r="DA85" s="55"/>
      <c r="DB85" s="55"/>
      <c r="DC85" s="55"/>
      <c r="DD85" s="55"/>
      <c r="DE85" s="55"/>
      <c r="DF85" s="55"/>
      <c r="DG85" s="55"/>
      <c r="DH85" s="55"/>
      <c r="DI85" s="55"/>
      <c r="DJ85" s="55"/>
      <c r="DK85" s="55"/>
      <c r="DL85" s="55"/>
      <c r="DM85" s="55"/>
      <c r="DN85" s="55"/>
      <c r="DO85" s="55"/>
      <c r="DP85" s="55"/>
      <c r="DQ85" s="55"/>
      <c r="DR85" s="55"/>
      <c r="DS85" s="55"/>
      <c r="DT85" s="55"/>
      <c r="DU85" s="55"/>
      <c r="DV85" s="55"/>
      <c r="DW85" s="55"/>
      <c r="DX85" s="55"/>
      <c r="DY85" s="55"/>
      <c r="DZ85" s="55"/>
      <c r="EA85" s="55"/>
      <c r="EB85" s="55"/>
      <c r="EC85" s="55"/>
      <c r="ED85" s="55"/>
      <c r="EE85" s="55"/>
      <c r="EF85" s="55"/>
      <c r="EG85" s="55"/>
      <c r="EH85" s="55"/>
      <c r="EI85" s="55"/>
      <c r="EJ85" s="55"/>
      <c r="EK85" s="55"/>
      <c r="EL85" s="55"/>
      <c r="EM85" s="55"/>
      <c r="EN85" s="55"/>
      <c r="EO85" s="55"/>
      <c r="EP85" s="55"/>
      <c r="EQ85" s="55"/>
      <c r="ER85" s="55"/>
      <c r="ES85" s="55"/>
      <c r="ET85" s="56"/>
      <c r="EU85" s="56"/>
    </row>
    <row r="86" spans="2:151">
      <c r="B86" s="1" t="s">
        <v>137</v>
      </c>
      <c r="C86" s="1">
        <f t="shared" ref="C86:AH86" si="115">C37</f>
        <v>707</v>
      </c>
      <c r="D86" s="1">
        <f t="shared" si="115"/>
        <v>709</v>
      </c>
      <c r="E86" s="1">
        <f t="shared" si="115"/>
        <v>713</v>
      </c>
      <c r="F86" s="1">
        <f t="shared" si="115"/>
        <v>711</v>
      </c>
      <c r="G86" s="1">
        <f t="shared" si="115"/>
        <v>720</v>
      </c>
      <c r="H86" s="1">
        <f t="shared" si="115"/>
        <v>724</v>
      </c>
      <c r="I86" s="1">
        <f t="shared" si="115"/>
        <v>729</v>
      </c>
      <c r="J86" s="1">
        <f t="shared" si="115"/>
        <v>727</v>
      </c>
      <c r="K86" s="1">
        <f t="shared" si="115"/>
        <v>734</v>
      </c>
      <c r="L86" s="1">
        <f t="shared" si="115"/>
        <v>739</v>
      </c>
      <c r="M86" s="1">
        <f t="shared" si="115"/>
        <v>745</v>
      </c>
      <c r="N86" s="1">
        <f t="shared" si="115"/>
        <v>741</v>
      </c>
      <c r="O86" s="1">
        <f t="shared" si="115"/>
        <v>749</v>
      </c>
      <c r="P86" s="1">
        <f t="shared" si="115"/>
        <v>752</v>
      </c>
      <c r="Q86" s="1">
        <f t="shared" si="115"/>
        <v>757</v>
      </c>
      <c r="R86" s="1">
        <f t="shared" si="115"/>
        <v>754</v>
      </c>
      <c r="S86" s="1">
        <f t="shared" si="115"/>
        <v>761</v>
      </c>
      <c r="T86" s="1">
        <f t="shared" si="115"/>
        <v>764</v>
      </c>
      <c r="U86" s="1">
        <f t="shared" si="115"/>
        <v>770</v>
      </c>
      <c r="V86" s="1">
        <f t="shared" si="115"/>
        <v>768</v>
      </c>
      <c r="W86" s="1">
        <f t="shared" si="115"/>
        <v>777</v>
      </c>
      <c r="X86" s="1">
        <f t="shared" si="115"/>
        <v>778</v>
      </c>
      <c r="Y86" s="1">
        <f t="shared" si="115"/>
        <v>785</v>
      </c>
      <c r="Z86" s="1">
        <f t="shared" si="115"/>
        <v>783</v>
      </c>
      <c r="AA86" s="1">
        <f t="shared" si="115"/>
        <v>793</v>
      </c>
      <c r="AB86" s="1">
        <f t="shared" si="115"/>
        <v>794</v>
      </c>
      <c r="AC86" s="1">
        <f t="shared" si="115"/>
        <v>815</v>
      </c>
      <c r="AD86" s="1">
        <f t="shared" si="115"/>
        <v>835</v>
      </c>
      <c r="AE86" s="1">
        <f t="shared" si="115"/>
        <v>939</v>
      </c>
      <c r="AF86" s="1">
        <f t="shared" si="115"/>
        <v>945</v>
      </c>
      <c r="AG86" s="1">
        <f t="shared" si="115"/>
        <v>957</v>
      </c>
      <c r="AH86" s="1">
        <f t="shared" si="115"/>
        <v>952</v>
      </c>
      <c r="AI86" s="1">
        <f t="shared" ref="AI86:BM86" si="116">AI37</f>
        <v>968</v>
      </c>
      <c r="AJ86" s="1">
        <f t="shared" si="116"/>
        <v>972</v>
      </c>
      <c r="AK86" s="1">
        <f t="shared" si="116"/>
        <v>987</v>
      </c>
      <c r="AL86" s="1">
        <f t="shared" si="116"/>
        <v>982</v>
      </c>
      <c r="AM86" s="1">
        <f t="shared" si="116"/>
        <v>1044</v>
      </c>
      <c r="AN86" s="1">
        <f t="shared" si="116"/>
        <v>1084</v>
      </c>
      <c r="AO86" s="1">
        <f t="shared" si="116"/>
        <v>1097</v>
      </c>
      <c r="AP86" s="1">
        <f t="shared" si="116"/>
        <v>1091</v>
      </c>
      <c r="AQ86" s="1">
        <f t="shared" si="116"/>
        <v>1170</v>
      </c>
      <c r="AR86" s="1">
        <f t="shared" si="116"/>
        <v>1174</v>
      </c>
      <c r="AS86" s="1">
        <f t="shared" si="116"/>
        <v>1184</v>
      </c>
      <c r="AT86" s="1">
        <f t="shared" si="116"/>
        <v>1184</v>
      </c>
      <c r="AU86" s="1">
        <f t="shared" si="116"/>
        <v>1213</v>
      </c>
      <c r="AV86" s="1">
        <f t="shared" si="116"/>
        <v>1216</v>
      </c>
      <c r="AW86" s="1">
        <f t="shared" si="116"/>
        <v>1214</v>
      </c>
      <c r="AX86" s="1">
        <f t="shared" si="116"/>
        <v>1213</v>
      </c>
      <c r="AY86" s="1">
        <f t="shared" si="116"/>
        <v>1393</v>
      </c>
      <c r="AZ86" s="1">
        <f t="shared" si="116"/>
        <v>1618</v>
      </c>
      <c r="BA86" s="1">
        <f t="shared" si="116"/>
        <v>1615</v>
      </c>
      <c r="BB86" s="1">
        <f t="shared" si="116"/>
        <v>1611</v>
      </c>
      <c r="BC86" s="1">
        <f t="shared" si="116"/>
        <v>1611</v>
      </c>
      <c r="BD86" s="1">
        <f t="shared" si="116"/>
        <v>1612</v>
      </c>
      <c r="BE86" s="1">
        <f t="shared" si="116"/>
        <v>1616</v>
      </c>
      <c r="BF86" s="1">
        <f t="shared" si="116"/>
        <v>1616</v>
      </c>
      <c r="BG86" s="1">
        <f t="shared" si="116"/>
        <v>1617</v>
      </c>
      <c r="BH86" s="1">
        <f t="shared" si="116"/>
        <v>1618</v>
      </c>
      <c r="BI86" s="1">
        <f t="shared" si="116"/>
        <v>1620</v>
      </c>
      <c r="BJ86" s="1">
        <f t="shared" si="116"/>
        <v>1620</v>
      </c>
      <c r="BK86" s="1">
        <f t="shared" si="116"/>
        <v>1620</v>
      </c>
      <c r="BL86" s="1">
        <f t="shared" si="116"/>
        <v>1623</v>
      </c>
      <c r="BM86" s="1">
        <f t="shared" si="116"/>
        <v>1626</v>
      </c>
      <c r="BW86" s="48">
        <f t="shared" ref="BW86:CK86" si="117">BW37</f>
        <v>710</v>
      </c>
      <c r="BX86" s="48">
        <f t="shared" si="117"/>
        <v>725</v>
      </c>
      <c r="BY86" s="48">
        <f t="shared" si="117"/>
        <v>739.75</v>
      </c>
      <c r="BZ86" s="48">
        <f t="shared" si="117"/>
        <v>753</v>
      </c>
      <c r="CA86" s="48">
        <f t="shared" si="117"/>
        <v>765.75</v>
      </c>
      <c r="CB86" s="48">
        <f t="shared" si="117"/>
        <v>780.75</v>
      </c>
      <c r="CC86" s="48">
        <f t="shared" si="117"/>
        <v>809.25</v>
      </c>
      <c r="CD86" s="48">
        <f t="shared" si="117"/>
        <v>948.25</v>
      </c>
      <c r="CE86" s="48">
        <f t="shared" si="117"/>
        <v>977.25</v>
      </c>
      <c r="CF86" s="48">
        <f t="shared" si="117"/>
        <v>1079</v>
      </c>
      <c r="CG86" s="48">
        <f t="shared" si="117"/>
        <v>1178</v>
      </c>
      <c r="CH86" s="48">
        <f t="shared" si="117"/>
        <v>1214</v>
      </c>
      <c r="CI86" s="48">
        <f t="shared" si="117"/>
        <v>1559.25</v>
      </c>
      <c r="CJ86" s="48">
        <f t="shared" si="117"/>
        <v>1613.75</v>
      </c>
      <c r="CK86" s="48">
        <f t="shared" si="117"/>
        <v>1618.75</v>
      </c>
    </row>
    <row r="87" spans="2:151">
      <c r="B87" s="1" t="s">
        <v>138</v>
      </c>
      <c r="C87" s="39">
        <f t="shared" ref="C87:BL87" si="118">C85/C86</f>
        <v>-3.536067892503536E-2</v>
      </c>
      <c r="D87" s="39">
        <f t="shared" si="118"/>
        <v>-0.18194640338504936</v>
      </c>
      <c r="E87" s="39">
        <f t="shared" si="118"/>
        <v>-0.21598877980364656</v>
      </c>
      <c r="F87" s="39">
        <f t="shared" si="118"/>
        <v>-0.3530239099859353</v>
      </c>
      <c r="G87" s="39">
        <f t="shared" si="118"/>
        <v>-0.28611111111111109</v>
      </c>
      <c r="H87" s="39">
        <f t="shared" si="118"/>
        <v>0.1477900552486188</v>
      </c>
      <c r="I87" s="39">
        <f t="shared" si="118"/>
        <v>0.20164609053497942</v>
      </c>
      <c r="J87" s="39">
        <f t="shared" si="118"/>
        <v>0.13755158184319119</v>
      </c>
      <c r="K87" s="39">
        <f t="shared" si="118"/>
        <v>9.128065395095368E-2</v>
      </c>
      <c r="L87" s="39">
        <f t="shared" si="118"/>
        <v>5.6833558863328824E-2</v>
      </c>
      <c r="M87" s="39">
        <f t="shared" si="118"/>
        <v>-0.21610738255033557</v>
      </c>
      <c r="N87" s="39">
        <f t="shared" si="118"/>
        <v>-0.56545209176788125</v>
      </c>
      <c r="O87" s="39">
        <f t="shared" si="118"/>
        <v>4.0053404539385851E-3</v>
      </c>
      <c r="P87" s="39">
        <f t="shared" si="118"/>
        <v>-7.9787234042553196E-2</v>
      </c>
      <c r="Q87" s="39">
        <f t="shared" si="118"/>
        <v>8.3223249669749005E-2</v>
      </c>
      <c r="R87" s="39">
        <f t="shared" si="118"/>
        <v>0</v>
      </c>
      <c r="S87" s="39">
        <f t="shared" si="118"/>
        <v>-0.29566360052562418</v>
      </c>
      <c r="T87" s="39">
        <f t="shared" si="118"/>
        <v>-6.6753926701570682E-2</v>
      </c>
      <c r="U87" s="39">
        <f t="shared" si="118"/>
        <v>-1.4285714285714285E-2</v>
      </c>
      <c r="V87" s="39">
        <f t="shared" si="118"/>
        <v>0.12239583333333333</v>
      </c>
      <c r="W87" s="39">
        <f t="shared" si="118"/>
        <v>-0.24967824967824967</v>
      </c>
      <c r="X87" s="39">
        <f t="shared" si="118"/>
        <v>-9.5115681233933158E-2</v>
      </c>
      <c r="Y87" s="39">
        <f t="shared" si="118"/>
        <v>-9.2993630573248401E-2</v>
      </c>
      <c r="Z87" s="39">
        <f t="shared" si="118"/>
        <v>3.4482758620689655E-2</v>
      </c>
      <c r="AA87" s="39">
        <f t="shared" si="118"/>
        <v>-8.5750315258511983E-2</v>
      </c>
      <c r="AB87" s="39">
        <f t="shared" si="118"/>
        <v>-0.13350125944584382</v>
      </c>
      <c r="AC87" s="39">
        <f t="shared" si="118"/>
        <v>2.4539877300613498E-2</v>
      </c>
      <c r="AD87" s="39">
        <f t="shared" si="118"/>
        <v>0.18922155688622755</v>
      </c>
      <c r="AE87" s="39">
        <f t="shared" si="118"/>
        <v>-0.34291799787007454</v>
      </c>
      <c r="AF87" s="39">
        <f t="shared" si="118"/>
        <v>-9.9470899470899474E-2</v>
      </c>
      <c r="AG87" s="39">
        <f t="shared" si="118"/>
        <v>3.657262277951933E-2</v>
      </c>
      <c r="AH87" s="39">
        <f t="shared" si="118"/>
        <v>0.29411764705882354</v>
      </c>
      <c r="AI87" s="39">
        <f t="shared" si="118"/>
        <v>-0.15805785123966942</v>
      </c>
      <c r="AJ87" s="39">
        <f t="shared" si="118"/>
        <v>-0.10082304526748971</v>
      </c>
      <c r="AK87" s="39">
        <f t="shared" si="118"/>
        <v>4.3566362715298887E-2</v>
      </c>
      <c r="AL87" s="39">
        <f t="shared" si="118"/>
        <v>8.044806517311609E-2</v>
      </c>
      <c r="AM87" s="39">
        <f t="shared" si="118"/>
        <v>-0.26340996168582376</v>
      </c>
      <c r="AN87" s="39">
        <f t="shared" si="118"/>
        <v>-2.5830258302583026E-2</v>
      </c>
      <c r="AO87" s="39">
        <f t="shared" si="118"/>
        <v>0.16317228805834094</v>
      </c>
      <c r="AP87" s="39">
        <f t="shared" si="118"/>
        <v>0.36663611365719523</v>
      </c>
      <c r="AQ87" s="39">
        <f t="shared" si="118"/>
        <v>-0.10256410256410256</v>
      </c>
      <c r="AR87" s="39">
        <f t="shared" si="118"/>
        <v>0.12947189097103917</v>
      </c>
      <c r="AS87" s="39">
        <f t="shared" si="118"/>
        <v>0.22381756756756757</v>
      </c>
      <c r="AT87" s="39">
        <f t="shared" si="118"/>
        <v>0.40540540540540543</v>
      </c>
      <c r="AU87" s="39">
        <f t="shared" si="118"/>
        <v>0.68590272052761747</v>
      </c>
      <c r="AV87" s="39">
        <f t="shared" si="118"/>
        <v>0.73026315789473684</v>
      </c>
      <c r="AW87" s="39">
        <f t="shared" si="118"/>
        <v>0.62932454695222406</v>
      </c>
      <c r="AX87" s="39">
        <f t="shared" si="118"/>
        <v>0.60676009892827698</v>
      </c>
      <c r="AY87" s="39">
        <f t="shared" si="118"/>
        <v>0.66331658291457285</v>
      </c>
      <c r="AZ87" s="39">
        <f t="shared" si="118"/>
        <v>0.55995055624227441</v>
      </c>
      <c r="BA87" s="39">
        <f t="shared" si="118"/>
        <v>0.52136222910216723</v>
      </c>
      <c r="BB87" s="39">
        <f t="shared" si="118"/>
        <v>0.27498448168839229</v>
      </c>
      <c r="BC87" s="39">
        <f t="shared" si="118"/>
        <v>0.20360024829298573</v>
      </c>
      <c r="BD87" s="39">
        <f t="shared" si="118"/>
        <v>0.15756823821339949</v>
      </c>
      <c r="BE87" s="39">
        <f t="shared" si="118"/>
        <v>0.18378712871287128</v>
      </c>
      <c r="BF87" s="39">
        <f t="shared" si="118"/>
        <v>0.14975247524752475</v>
      </c>
      <c r="BG87" s="39">
        <f t="shared" si="118"/>
        <v>0.23438466295609153</v>
      </c>
      <c r="BH87" s="39">
        <f t="shared" si="118"/>
        <v>0.27132262051915945</v>
      </c>
      <c r="BI87" s="39">
        <f t="shared" si="118"/>
        <v>0.30617283950617286</v>
      </c>
      <c r="BJ87" s="39">
        <f t="shared" si="118"/>
        <v>0.67345679012345683</v>
      </c>
      <c r="BK87" s="39">
        <f t="shared" si="118"/>
        <v>0.4487654320987654</v>
      </c>
      <c r="BL87" s="39">
        <f t="shared" si="118"/>
        <v>0.72704867529266792</v>
      </c>
      <c r="BM87" s="39">
        <f t="shared" ref="BM87" si="119">BM85/BM86</f>
        <v>0.94095940959409596</v>
      </c>
      <c r="BW87" s="39">
        <f t="shared" ref="BW87:CJ87" si="120">BW85/BW86</f>
        <v>-0.78732394366197178</v>
      </c>
      <c r="BX87" s="39">
        <f t="shared" si="120"/>
        <v>0.20413793103448277</v>
      </c>
      <c r="BY87" s="39">
        <f t="shared" si="120"/>
        <v>-0.63670158837445079</v>
      </c>
      <c r="BZ87" s="39">
        <f t="shared" si="120"/>
        <v>7.9681274900398405E-3</v>
      </c>
      <c r="CA87" s="39">
        <f t="shared" si="120"/>
        <v>-0.25204048318641853</v>
      </c>
      <c r="CB87" s="39">
        <f t="shared" si="120"/>
        <v>-0.40217739353186038</v>
      </c>
      <c r="CC87" s="39">
        <f t="shared" si="120"/>
        <v>4.9428483163422923E-3</v>
      </c>
      <c r="CD87" s="39">
        <f t="shared" si="120"/>
        <v>-0.10651199578170313</v>
      </c>
      <c r="CE87" s="39">
        <f t="shared" si="120"/>
        <v>-0.13200306983883345</v>
      </c>
      <c r="CF87" s="39">
        <f t="shared" si="120"/>
        <v>0.2557924003707136</v>
      </c>
      <c r="CG87" s="39">
        <f t="shared" si="120"/>
        <v>0.65959252971137516</v>
      </c>
      <c r="CH87" s="39">
        <f t="shared" si="120"/>
        <v>2.6523887973640856</v>
      </c>
      <c r="CI87" s="39">
        <f t="shared" si="120"/>
        <v>1.9977553310886644</v>
      </c>
      <c r="CJ87" s="39">
        <f t="shared" si="120"/>
        <v>0.69465530596436875</v>
      </c>
      <c r="CK87" s="39">
        <f>CK85/CK86</f>
        <v>1.4857142857142858</v>
      </c>
    </row>
  </sheetData>
  <mergeCells count="1">
    <mergeCell ref="CT61:CU61"/>
  </mergeCells>
  <conditionalFormatting sqref="CT61:CU61">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Sell",CT61)))</formula>
    </cfRule>
    <cfRule type="containsText" dxfId="3" priority="3" operator="containsText" text="Sell">
      <formula>NOT(ISERROR(SEARCH("Sell",CT61)))</formula>
    </cfRule>
    <cfRule type="containsText" dxfId="2" priority="4" operator="containsText" text="Hold">
      <formula>NOT(ISERROR(SEARCH("Hold",CT61)))</formula>
    </cfRule>
    <cfRule type="beginsWith" dxfId="1" priority="5" operator="beginsWith" text="Buy">
      <formula>LEFT(CT61,LEN("Buy"))="Buy"</formula>
    </cfRule>
    <cfRule type="beginsWith" dxfId="0" priority="6" operator="beginsWith" text="Strong">
      <formula>LEFT(CT61,LEN("Strong"))="Strong"</formula>
    </cfRule>
  </conditionalFormatting>
  <pageMargins left="0.7" right="0.7" top="0.75" bottom="0.75" header="0.3" footer="0.3"/>
  <ignoredErrors>
    <ignoredError sqref="BW22:CK36 BW38:CK38 BW83:CK84 AN74:AS80 AT22:AT35 BK7:BM7 AU7:BJ7 BK28 BM77:BM78 BM74 AT75:BM76 AT74:BL74 AT79:BM80 AT77:BL78 BM83:BM84" formulaRange="1"/>
    <ignoredError sqref="CV59" twoDigitTextYea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5"/>
  <sheetViews>
    <sheetView topLeftCell="H72" zoomScale="70" zoomScaleNormal="70" workbookViewId="0">
      <selection activeCell="Z154" sqref="Z154"/>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159</v>
      </c>
      <c r="AD2" s="2" t="s">
        <v>1760</v>
      </c>
    </row>
    <row r="28" spans="8:30">
      <c r="I28" s="1" t="s">
        <v>14</v>
      </c>
      <c r="J28" s="1" t="s">
        <v>15</v>
      </c>
    </row>
    <row r="29" spans="8:30">
      <c r="J29" s="1" t="s">
        <v>16</v>
      </c>
    </row>
    <row r="30" spans="8:30">
      <c r="J30" s="1" t="s">
        <v>17</v>
      </c>
    </row>
    <row r="31" spans="8:30" ht="15">
      <c r="AD31" s="2"/>
    </row>
    <row r="32" spans="8:30" ht="15">
      <c r="H32" s="2" t="s">
        <v>1445</v>
      </c>
      <c r="AD32" s="2" t="s">
        <v>1759</v>
      </c>
    </row>
    <row r="33" spans="30:30" ht="15">
      <c r="AD33" s="2" t="s">
        <v>139</v>
      </c>
    </row>
    <row r="59" spans="8:10">
      <c r="I59" s="1" t="s">
        <v>14</v>
      </c>
      <c r="J59" s="1" t="s">
        <v>15</v>
      </c>
    </row>
    <row r="60" spans="8:10">
      <c r="J60" s="1" t="s">
        <v>16</v>
      </c>
    </row>
    <row r="61" spans="8:10">
      <c r="J61" s="1" t="s">
        <v>17</v>
      </c>
    </row>
    <row r="63" spans="8:10" ht="15">
      <c r="H63" s="2" t="s">
        <v>13</v>
      </c>
    </row>
    <row r="79" spans="30:30" ht="15">
      <c r="AD79" s="2" t="s">
        <v>140</v>
      </c>
    </row>
    <row r="95" spans="9:10">
      <c r="I95" s="1" t="s">
        <v>14</v>
      </c>
      <c r="J95" s="1" t="s">
        <v>15</v>
      </c>
    </row>
    <row r="96" spans="9:10">
      <c r="J96" s="1" t="s">
        <v>16</v>
      </c>
    </row>
    <row r="97" spans="8:31">
      <c r="J97" s="1" t="s">
        <v>17</v>
      </c>
    </row>
    <row r="99" spans="8:31" ht="15">
      <c r="H99" s="2" t="s">
        <v>162</v>
      </c>
    </row>
    <row r="110" spans="8:31" ht="15">
      <c r="AE110" s="2"/>
    </row>
    <row r="111" spans="8:31" ht="15">
      <c r="AE111" s="2"/>
    </row>
    <row r="112" spans="8:31" ht="15">
      <c r="AE112" s="2"/>
    </row>
    <row r="113" spans="9:31" ht="15">
      <c r="AD113" s="2"/>
      <c r="AE113" s="2"/>
    </row>
    <row r="114" spans="9:31" ht="15">
      <c r="AD114" s="2"/>
      <c r="AE114" s="2"/>
    </row>
    <row r="115" spans="9:31" ht="15">
      <c r="AD115" s="2"/>
      <c r="AE115" s="2"/>
    </row>
    <row r="116" spans="9:31" ht="15">
      <c r="AD116" s="2"/>
      <c r="AE116" s="2"/>
    </row>
    <row r="117" spans="9:31" ht="15">
      <c r="AD117" s="2" t="s">
        <v>141</v>
      </c>
      <c r="AE117" s="2"/>
    </row>
    <row r="118" spans="9:31" ht="15">
      <c r="AE118" s="2"/>
    </row>
    <row r="119" spans="9:31" ht="15">
      <c r="AD119" s="2"/>
      <c r="AE119" s="2"/>
    </row>
    <row r="120" spans="9:31" ht="15">
      <c r="AD120" s="2"/>
      <c r="AE120" s="2"/>
    </row>
    <row r="121" spans="9:31" ht="15">
      <c r="AD121" s="2"/>
      <c r="AE121" s="2"/>
    </row>
    <row r="128" spans="9:31">
      <c r="I128" s="1" t="s">
        <v>14</v>
      </c>
      <c r="J128" s="1" t="s">
        <v>15</v>
      </c>
    </row>
    <row r="129" spans="8:10">
      <c r="J129" s="1" t="s">
        <v>16</v>
      </c>
    </row>
    <row r="130" spans="8:10">
      <c r="J130" s="1" t="s">
        <v>17</v>
      </c>
    </row>
    <row r="132" spans="8:10" ht="15">
      <c r="H132" s="2" t="s">
        <v>161</v>
      </c>
    </row>
    <row r="156" spans="30:30" ht="15">
      <c r="AD156" s="2" t="s">
        <v>142</v>
      </c>
    </row>
    <row r="161" spans="9:10">
      <c r="I161" s="1" t="s">
        <v>14</v>
      </c>
      <c r="J161" s="1" t="s">
        <v>15</v>
      </c>
    </row>
    <row r="162" spans="9:10">
      <c r="J162" s="1" t="s">
        <v>16</v>
      </c>
    </row>
    <row r="163" spans="9:10">
      <c r="J163" s="1" t="s">
        <v>17</v>
      </c>
    </row>
    <row r="179" spans="1:7">
      <c r="A179" s="1" t="s">
        <v>1444</v>
      </c>
    </row>
    <row r="180" spans="1:7">
      <c r="A180" s="24" t="s">
        <v>18</v>
      </c>
      <c r="B180" s="24" t="s">
        <v>19</v>
      </c>
      <c r="C180" s="24" t="s">
        <v>20</v>
      </c>
      <c r="D180" s="24" t="s">
        <v>21</v>
      </c>
      <c r="E180" s="24" t="s">
        <v>22</v>
      </c>
      <c r="F180" s="24" t="s">
        <v>23</v>
      </c>
      <c r="G180" s="24" t="s">
        <v>24</v>
      </c>
    </row>
    <row r="181" spans="1:7">
      <c r="A181" s="45">
        <v>156.99</v>
      </c>
      <c r="B181" s="45">
        <v>160.83000000000001</v>
      </c>
      <c r="C181" s="45">
        <v>155.81</v>
      </c>
      <c r="D181" s="45">
        <v>159.59</v>
      </c>
      <c r="E181" s="45">
        <v>48180236</v>
      </c>
      <c r="F181" s="45" t="s">
        <v>188</v>
      </c>
      <c r="G181" s="25">
        <f>A181/D181-1</f>
        <v>-1.6291747603233264E-2</v>
      </c>
    </row>
    <row r="182" spans="1:7">
      <c r="A182" s="45">
        <v>160.41</v>
      </c>
      <c r="B182" s="45">
        <v>161.96</v>
      </c>
      <c r="C182" s="45">
        <v>158.68</v>
      </c>
      <c r="D182" s="45">
        <v>161.81</v>
      </c>
      <c r="E182" s="45">
        <v>49923564</v>
      </c>
      <c r="F182" s="45" t="s">
        <v>189</v>
      </c>
      <c r="G182" s="25">
        <f t="shared" ref="G182:G245" si="0">A182/D182-1</f>
        <v>-8.6521228601446065E-3</v>
      </c>
    </row>
    <row r="183" spans="1:7">
      <c r="A183" s="45">
        <v>160.08000000000001</v>
      </c>
      <c r="B183" s="45">
        <v>160.36000000000001</v>
      </c>
      <c r="C183" s="45">
        <v>152.85</v>
      </c>
      <c r="D183" s="45">
        <v>155.31</v>
      </c>
      <c r="E183" s="45">
        <v>58878678</v>
      </c>
      <c r="F183" s="45" t="s">
        <v>190</v>
      </c>
      <c r="G183" s="25">
        <f t="shared" si="0"/>
        <v>3.0712768012362446E-2</v>
      </c>
    </row>
    <row r="184" spans="1:7">
      <c r="A184" s="45">
        <v>155.61000000000001</v>
      </c>
      <c r="B184" s="45">
        <v>158.68</v>
      </c>
      <c r="C184" s="45">
        <v>153.56</v>
      </c>
      <c r="D184" s="45">
        <v>153.75</v>
      </c>
      <c r="E184" s="45">
        <v>91772891</v>
      </c>
      <c r="F184" s="45" t="s">
        <v>191</v>
      </c>
      <c r="G184" s="25">
        <f t="shared" si="0"/>
        <v>1.2097560975609767E-2</v>
      </c>
    </row>
    <row r="185" spans="1:7">
      <c r="A185" s="45">
        <v>146.24</v>
      </c>
      <c r="B185" s="45">
        <v>147.58000000000001</v>
      </c>
      <c r="C185" s="45">
        <v>141.9</v>
      </c>
      <c r="D185" s="45">
        <v>145.09</v>
      </c>
      <c r="E185" s="45">
        <v>44547386</v>
      </c>
      <c r="F185" s="45" t="s">
        <v>192</v>
      </c>
      <c r="G185" s="25">
        <f t="shared" si="0"/>
        <v>7.9261148252809388E-3</v>
      </c>
    </row>
    <row r="186" spans="1:7">
      <c r="A186" s="45">
        <v>146.41999999999999</v>
      </c>
      <c r="B186" s="45">
        <v>147.4</v>
      </c>
      <c r="C186" s="45">
        <v>141.6</v>
      </c>
      <c r="D186" s="45">
        <v>142.6</v>
      </c>
      <c r="E186" s="45">
        <v>49749309</v>
      </c>
      <c r="F186" s="45" t="s">
        <v>193</v>
      </c>
      <c r="G186" s="25">
        <f t="shared" si="0"/>
        <v>2.6788218793828866E-2</v>
      </c>
    </row>
    <row r="187" spans="1:7">
      <c r="A187" s="45">
        <v>144.16</v>
      </c>
      <c r="B187" s="45">
        <v>145.82</v>
      </c>
      <c r="C187" s="45">
        <v>141.85</v>
      </c>
      <c r="D187" s="45">
        <v>143</v>
      </c>
      <c r="E187" s="45">
        <v>60742072</v>
      </c>
      <c r="F187" s="45" t="s">
        <v>194</v>
      </c>
      <c r="G187" s="25">
        <f t="shared" si="0"/>
        <v>8.1118881118880104E-3</v>
      </c>
    </row>
    <row r="188" spans="1:7">
      <c r="A188" s="45">
        <v>138.41</v>
      </c>
      <c r="B188" s="45">
        <v>140.65</v>
      </c>
      <c r="C188" s="45">
        <v>137.59</v>
      </c>
      <c r="D188" s="45">
        <v>138.69</v>
      </c>
      <c r="E188" s="45">
        <v>36809273</v>
      </c>
      <c r="F188" s="45" t="s">
        <v>195</v>
      </c>
      <c r="G188" s="25">
        <f t="shared" si="0"/>
        <v>-2.0188910519864933E-3</v>
      </c>
    </row>
    <row r="189" spans="1:7">
      <c r="A189" s="45">
        <v>137.82</v>
      </c>
      <c r="B189" s="45">
        <v>139.15</v>
      </c>
      <c r="C189" s="45">
        <v>135.91</v>
      </c>
      <c r="D189" s="45">
        <v>137.32</v>
      </c>
      <c r="E189" s="45">
        <v>35942848</v>
      </c>
      <c r="F189" s="45" t="s">
        <v>196</v>
      </c>
      <c r="G189" s="25">
        <f t="shared" si="0"/>
        <v>3.6411302068162232E-3</v>
      </c>
    </row>
    <row r="190" spans="1:7">
      <c r="A190" s="45">
        <v>134.80000000000001</v>
      </c>
      <c r="B190" s="45">
        <v>137.44</v>
      </c>
      <c r="C190" s="45">
        <v>133.5</v>
      </c>
      <c r="D190" s="45">
        <v>136.56</v>
      </c>
      <c r="E190" s="45">
        <v>36668781</v>
      </c>
      <c r="F190" s="45" t="s">
        <v>197</v>
      </c>
      <c r="G190" s="25">
        <f t="shared" si="0"/>
        <v>-1.288810779144689E-2</v>
      </c>
    </row>
    <row r="191" spans="1:7">
      <c r="A191" s="45">
        <v>137.91</v>
      </c>
      <c r="B191" s="45">
        <v>139.5</v>
      </c>
      <c r="C191" s="45">
        <v>137.32</v>
      </c>
      <c r="D191" s="45">
        <v>139.11000000000001</v>
      </c>
      <c r="E191" s="45">
        <v>28615625</v>
      </c>
      <c r="F191" s="45" t="s">
        <v>198</v>
      </c>
      <c r="G191" s="25">
        <f t="shared" si="0"/>
        <v>-8.6262669829632044E-3</v>
      </c>
    </row>
    <row r="192" spans="1:7">
      <c r="A192" s="45">
        <v>138.52000000000001</v>
      </c>
      <c r="B192" s="45">
        <v>139.78</v>
      </c>
      <c r="C192" s="45">
        <v>135.22</v>
      </c>
      <c r="D192" s="45">
        <v>135.53</v>
      </c>
      <c r="E192" s="45">
        <v>39049039</v>
      </c>
      <c r="F192" s="45" t="s">
        <v>199</v>
      </c>
      <c r="G192" s="25">
        <f t="shared" si="0"/>
        <v>2.2061536191249287E-2</v>
      </c>
    </row>
    <row r="193" spans="1:17">
      <c r="A193" s="45">
        <v>136.11000000000001</v>
      </c>
      <c r="B193" s="45">
        <v>140.22999999999999</v>
      </c>
      <c r="C193" s="45">
        <v>135.12020000000001</v>
      </c>
      <c r="D193" s="45">
        <v>138.77000000000001</v>
      </c>
      <c r="E193" s="45">
        <v>54953506</v>
      </c>
      <c r="F193" s="45" t="s">
        <v>200</v>
      </c>
      <c r="G193" s="25">
        <f t="shared" si="0"/>
        <v>-1.9168408157382744E-2</v>
      </c>
    </row>
    <row r="194" spans="1:17">
      <c r="A194" s="45">
        <v>141.9</v>
      </c>
      <c r="B194" s="45">
        <v>146</v>
      </c>
      <c r="C194" s="45">
        <v>141.01</v>
      </c>
      <c r="D194" s="45">
        <v>144</v>
      </c>
      <c r="E194" s="45">
        <v>42669636</v>
      </c>
      <c r="F194" s="45" t="s">
        <v>201</v>
      </c>
      <c r="G194" s="25">
        <f t="shared" si="0"/>
        <v>-1.4583333333333282E-2</v>
      </c>
    </row>
    <row r="195" spans="1:17">
      <c r="A195" s="45">
        <v>143.81</v>
      </c>
      <c r="B195" s="45">
        <v>147.75040000000001</v>
      </c>
      <c r="C195" s="45">
        <v>141.63</v>
      </c>
      <c r="D195" s="45">
        <v>144.18</v>
      </c>
      <c r="E195" s="45">
        <v>61937853</v>
      </c>
      <c r="F195" s="45" t="s">
        <v>202</v>
      </c>
      <c r="G195" s="25">
        <f t="shared" si="0"/>
        <v>-2.5662366486336463E-3</v>
      </c>
    </row>
    <row r="196" spans="1:17">
      <c r="A196" s="45">
        <v>143.68</v>
      </c>
      <c r="B196" s="45">
        <v>146</v>
      </c>
      <c r="C196" s="45">
        <v>141.91</v>
      </c>
      <c r="D196" s="45">
        <v>145.97</v>
      </c>
      <c r="E196" s="45">
        <v>58180081</v>
      </c>
      <c r="F196" s="45" t="s">
        <v>203</v>
      </c>
      <c r="G196" s="25">
        <f t="shared" si="0"/>
        <v>-1.5688155100363033E-2</v>
      </c>
    </row>
    <row r="197" spans="1:17">
      <c r="A197" s="45">
        <v>143.4</v>
      </c>
      <c r="B197" s="45">
        <v>144.18</v>
      </c>
      <c r="C197" s="45">
        <v>139.46</v>
      </c>
      <c r="D197" s="45">
        <v>140.94</v>
      </c>
      <c r="E197" s="45">
        <v>74607219</v>
      </c>
      <c r="F197" s="45" t="s">
        <v>204</v>
      </c>
      <c r="G197" s="25">
        <f t="shared" si="0"/>
        <v>1.7454235845040467E-2</v>
      </c>
      <c r="I197" s="26"/>
      <c r="J197" s="26" t="s">
        <v>25</v>
      </c>
      <c r="K197" s="27">
        <f>MIN(G181:G1436)</f>
        <v>-0.1027429839860472</v>
      </c>
    </row>
    <row r="198" spans="1:17">
      <c r="A198" s="45">
        <v>138.43</v>
      </c>
      <c r="B198" s="45">
        <v>138.79</v>
      </c>
      <c r="C198" s="45">
        <v>132.93</v>
      </c>
      <c r="D198" s="45">
        <v>133.43</v>
      </c>
      <c r="E198" s="45">
        <v>78571997</v>
      </c>
      <c r="F198" s="45" t="s">
        <v>205</v>
      </c>
      <c r="G198" s="25">
        <f t="shared" si="0"/>
        <v>3.7472832196657313E-2</v>
      </c>
      <c r="I198" s="26"/>
      <c r="J198" s="26" t="s">
        <v>26</v>
      </c>
      <c r="K198" s="27">
        <f>MAX(G181:G1436)</f>
        <v>0.22241858116637214</v>
      </c>
    </row>
    <row r="199" spans="1:17">
      <c r="A199" s="45">
        <v>129.58000000000001</v>
      </c>
      <c r="B199" s="45">
        <v>133.25</v>
      </c>
      <c r="C199" s="45">
        <v>126.82</v>
      </c>
      <c r="D199" s="45">
        <v>130.47</v>
      </c>
      <c r="E199" s="45">
        <v>64037516</v>
      </c>
      <c r="F199" s="45" t="s">
        <v>206</v>
      </c>
      <c r="G199" s="25">
        <f t="shared" si="0"/>
        <v>-6.8214915306199497E-3</v>
      </c>
      <c r="I199" s="26"/>
      <c r="J199" s="26" t="s">
        <v>27</v>
      </c>
      <c r="K199" s="27">
        <f>AVERAGE(G181:G1436)</f>
        <v>1.4972705403135315E-4</v>
      </c>
    </row>
    <row r="200" spans="1:17">
      <c r="A200" s="45">
        <v>128.24</v>
      </c>
      <c r="B200" s="45">
        <v>132.80500000000001</v>
      </c>
      <c r="C200" s="45">
        <v>127.55</v>
      </c>
      <c r="D200" s="45">
        <v>129</v>
      </c>
      <c r="E200" s="45">
        <v>79474017</v>
      </c>
      <c r="F200" s="45" t="s">
        <v>207</v>
      </c>
      <c r="G200" s="25">
        <f t="shared" si="0"/>
        <v>-5.891472868217007E-3</v>
      </c>
      <c r="I200" s="26"/>
      <c r="J200" s="26" t="s">
        <v>28</v>
      </c>
      <c r="K200" s="27">
        <f>MEDIAN(G181:G1436)</f>
        <v>-5.8167595749403223E-4</v>
      </c>
    </row>
    <row r="201" spans="1:17" ht="15">
      <c r="A201" s="45">
        <v>126.79</v>
      </c>
      <c r="B201" s="45">
        <v>129.21</v>
      </c>
      <c r="C201" s="45">
        <v>125.77</v>
      </c>
      <c r="D201" s="45">
        <v>128.01</v>
      </c>
      <c r="E201" s="45">
        <v>49627112</v>
      </c>
      <c r="F201" s="45" t="s">
        <v>208</v>
      </c>
      <c r="G201" s="25">
        <f t="shared" si="0"/>
        <v>-9.5305054292632585E-3</v>
      </c>
      <c r="I201" s="26"/>
      <c r="J201" s="26" t="s">
        <v>29</v>
      </c>
      <c r="K201" s="27">
        <f>_xlfn.STDEV.P(G181:G1436)</f>
        <v>2.7160651058255873E-2</v>
      </c>
      <c r="M201" s="2"/>
    </row>
    <row r="202" spans="1:17" ht="15">
      <c r="A202" s="45">
        <v>127.1</v>
      </c>
      <c r="B202" s="45">
        <v>130.69999999999999</v>
      </c>
      <c r="C202" s="45">
        <v>126.58</v>
      </c>
      <c r="D202" s="45">
        <v>127.93</v>
      </c>
      <c r="E202" s="45">
        <v>86623910</v>
      </c>
      <c r="F202" s="45" t="s">
        <v>209</v>
      </c>
      <c r="G202" s="25">
        <f t="shared" si="0"/>
        <v>-6.487923082936109E-3</v>
      </c>
      <c r="I202" s="26"/>
      <c r="J202" s="28" t="s">
        <v>30</v>
      </c>
      <c r="K202" s="27">
        <f>3*K201</f>
        <v>8.1481953174767613E-2</v>
      </c>
      <c r="L202" s="26"/>
      <c r="M202" s="2" t="s">
        <v>152</v>
      </c>
    </row>
    <row r="203" spans="1:17" ht="15">
      <c r="A203" s="45">
        <v>126.39</v>
      </c>
      <c r="B203" s="45">
        <v>128.13929999999999</v>
      </c>
      <c r="C203" s="45">
        <v>117.78</v>
      </c>
      <c r="D203" s="45">
        <v>118.63500000000001</v>
      </c>
      <c r="E203" s="45">
        <v>100968478</v>
      </c>
      <c r="F203" s="45" t="s">
        <v>210</v>
      </c>
      <c r="G203" s="25">
        <f t="shared" si="0"/>
        <v>6.5368567454798354E-2</v>
      </c>
      <c r="I203" s="26"/>
      <c r="J203" s="28" t="s">
        <v>31</v>
      </c>
      <c r="K203" s="26" t="s">
        <v>33</v>
      </c>
      <c r="L203" s="26"/>
      <c r="M203" s="2" t="s">
        <v>32</v>
      </c>
    </row>
    <row r="204" spans="1:17">
      <c r="A204" s="45">
        <v>116.16</v>
      </c>
      <c r="B204" s="45">
        <v>117.883</v>
      </c>
      <c r="C204" s="45">
        <v>115.06</v>
      </c>
      <c r="D204" s="45">
        <v>116.045</v>
      </c>
      <c r="E204" s="45">
        <v>39422560</v>
      </c>
      <c r="F204" s="45" t="s">
        <v>211</v>
      </c>
      <c r="G204" s="25">
        <f t="shared" si="0"/>
        <v>9.9099487267872988E-4</v>
      </c>
    </row>
    <row r="205" spans="1:17">
      <c r="A205" s="45">
        <v>118.5</v>
      </c>
      <c r="B205" s="45">
        <v>122.25</v>
      </c>
      <c r="C205" s="45">
        <v>118.03</v>
      </c>
      <c r="D205" s="45">
        <v>120.61499999999999</v>
      </c>
      <c r="E205" s="45">
        <v>44718365</v>
      </c>
      <c r="F205" s="45" t="s">
        <v>212</v>
      </c>
      <c r="G205" s="25">
        <f t="shared" si="0"/>
        <v>-1.7535132446213075E-2</v>
      </c>
    </row>
    <row r="206" spans="1:17">
      <c r="A206" s="45">
        <v>121.14</v>
      </c>
      <c r="B206" s="45">
        <v>124.47</v>
      </c>
      <c r="C206" s="45">
        <v>119.88</v>
      </c>
      <c r="D206" s="45">
        <v>124.44</v>
      </c>
      <c r="E206" s="45">
        <v>32261863</v>
      </c>
      <c r="F206" s="45" t="s">
        <v>213</v>
      </c>
      <c r="G206" s="25">
        <f t="shared" si="0"/>
        <v>-2.6518804243008676E-2</v>
      </c>
      <c r="I206" s="29" t="s">
        <v>34</v>
      </c>
      <c r="J206" s="30">
        <v>1256</v>
      </c>
    </row>
    <row r="207" spans="1:17" ht="15" thickBot="1">
      <c r="A207" s="45">
        <v>123.24</v>
      </c>
      <c r="B207" s="45">
        <v>124.09</v>
      </c>
      <c r="C207" s="45">
        <v>120.8</v>
      </c>
      <c r="D207" s="45">
        <v>121.105</v>
      </c>
      <c r="E207" s="45">
        <v>41352035</v>
      </c>
      <c r="F207" s="45" t="s">
        <v>214</v>
      </c>
      <c r="G207" s="25">
        <f t="shared" si="0"/>
        <v>1.7629329920316961E-2</v>
      </c>
      <c r="I207" s="1" t="s">
        <v>35</v>
      </c>
      <c r="L207" s="1" t="s">
        <v>36</v>
      </c>
      <c r="P207" s="1" t="s">
        <v>37</v>
      </c>
    </row>
    <row r="208" spans="1:17" ht="15" customHeight="1">
      <c r="A208" s="45">
        <v>121.73</v>
      </c>
      <c r="B208" s="45">
        <v>122.3699</v>
      </c>
      <c r="C208" s="45">
        <v>119.04</v>
      </c>
      <c r="D208" s="45">
        <v>119.18</v>
      </c>
      <c r="E208" s="45">
        <v>54652587</v>
      </c>
      <c r="F208" s="45" t="s">
        <v>215</v>
      </c>
      <c r="G208" s="25">
        <f t="shared" si="0"/>
        <v>2.1396207417351931E-2</v>
      </c>
      <c r="I208" s="51" t="s">
        <v>38</v>
      </c>
      <c r="J208" s="51" t="s">
        <v>39</v>
      </c>
      <c r="L208" s="31" t="s">
        <v>40</v>
      </c>
      <c r="M208" s="32" t="s">
        <v>41</v>
      </c>
      <c r="P208" s="31" t="s">
        <v>42</v>
      </c>
      <c r="Q208" s="32" t="s">
        <v>43</v>
      </c>
    </row>
    <row r="209" spans="1:17" ht="15">
      <c r="A209" s="45">
        <v>116.19</v>
      </c>
      <c r="B209" s="45">
        <v>118.38</v>
      </c>
      <c r="C209" s="45">
        <v>115.88</v>
      </c>
      <c r="D209" s="45">
        <v>117.685</v>
      </c>
      <c r="E209" s="45">
        <v>26909546</v>
      </c>
      <c r="F209" s="45" t="s">
        <v>216</v>
      </c>
      <c r="G209" s="25">
        <f t="shared" si="0"/>
        <v>-1.2703403152483417E-2</v>
      </c>
      <c r="I209" s="49">
        <v>-8.2500000000000004E-2</v>
      </c>
      <c r="J209">
        <v>1</v>
      </c>
      <c r="L209" s="49">
        <v>-8.5000000000000006E-2</v>
      </c>
      <c r="M209" s="1">
        <f>_xlfn.NORM.DIST(L209,$K$199,$K$201,FALSE)</f>
        <v>0.10783096920104651</v>
      </c>
      <c r="O209" s="1" t="s">
        <v>143</v>
      </c>
      <c r="P209" s="25">
        <f>K199</f>
        <v>1.4972705403135315E-4</v>
      </c>
      <c r="Q209" s="1">
        <v>0</v>
      </c>
    </row>
    <row r="210" spans="1:17" ht="15">
      <c r="A210" s="45">
        <v>115.69</v>
      </c>
      <c r="B210" s="45">
        <v>119.2448</v>
      </c>
      <c r="C210" s="45">
        <v>114.71</v>
      </c>
      <c r="D210" s="45">
        <v>118.95</v>
      </c>
      <c r="E210" s="45">
        <v>33764893</v>
      </c>
      <c r="F210" s="45" t="s">
        <v>217</v>
      </c>
      <c r="G210" s="25">
        <f t="shared" si="0"/>
        <v>-2.7406473308112744E-2</v>
      </c>
      <c r="I210" s="49">
        <v>-0.08</v>
      </c>
      <c r="J210">
        <v>0</v>
      </c>
      <c r="L210" s="49">
        <v>-8.2500000000000004E-2</v>
      </c>
      <c r="M210" s="1">
        <f t="shared" ref="M210:M273" si="1">_xlfn.NORM.DIST(L210,$K$199,$K$201,FALSE)</f>
        <v>0.14329325678808627</v>
      </c>
      <c r="P210" s="25">
        <f>K199</f>
        <v>1.4972705403135315E-4</v>
      </c>
      <c r="Q210" s="1">
        <v>15</v>
      </c>
    </row>
    <row r="211" spans="1:17" ht="15">
      <c r="A211" s="45">
        <v>118.58</v>
      </c>
      <c r="B211" s="45">
        <v>119.295</v>
      </c>
      <c r="C211" s="45">
        <v>115.73</v>
      </c>
      <c r="D211" s="45">
        <v>117.41</v>
      </c>
      <c r="E211" s="45">
        <v>30693243</v>
      </c>
      <c r="F211" s="45" t="s">
        <v>218</v>
      </c>
      <c r="G211" s="25">
        <f t="shared" si="0"/>
        <v>9.9650796354655569E-3</v>
      </c>
      <c r="I211" s="49">
        <v>-7.7499999999999999E-2</v>
      </c>
      <c r="J211">
        <v>0</v>
      </c>
      <c r="L211" s="49">
        <v>-0.08</v>
      </c>
      <c r="M211" s="1">
        <f t="shared" si="1"/>
        <v>0.18881154204233769</v>
      </c>
      <c r="O211" s="38" t="s">
        <v>144</v>
      </c>
      <c r="P211" s="25">
        <f>($K$201*-3)+$K$199</f>
        <v>-8.1332226120736262E-2</v>
      </c>
      <c r="Q211" s="1">
        <v>0</v>
      </c>
    </row>
    <row r="212" spans="1:17" ht="15" customHeight="1">
      <c r="A212" s="45">
        <v>117.31</v>
      </c>
      <c r="B212" s="45">
        <v>117.68</v>
      </c>
      <c r="C212" s="45">
        <v>113.28</v>
      </c>
      <c r="D212" s="45">
        <v>114.5</v>
      </c>
      <c r="E212" s="45">
        <v>36743619</v>
      </c>
      <c r="F212" s="45" t="s">
        <v>219</v>
      </c>
      <c r="G212" s="25">
        <f t="shared" si="0"/>
        <v>2.4541484716157136E-2</v>
      </c>
      <c r="I212" s="49">
        <v>-7.4999999999999997E-2</v>
      </c>
      <c r="J212">
        <v>0</v>
      </c>
      <c r="L212" s="49">
        <v>-7.7499999999999999E-2</v>
      </c>
      <c r="M212" s="1">
        <f t="shared" si="1"/>
        <v>0.24669018223056963</v>
      </c>
      <c r="O212" s="39"/>
      <c r="P212" s="25">
        <f>($K$201*-3)+$K$199</f>
        <v>-8.1332226120736262E-2</v>
      </c>
      <c r="Q212" s="1">
        <v>2</v>
      </c>
    </row>
    <row r="213" spans="1:17" ht="15">
      <c r="A213" s="45">
        <v>114.63</v>
      </c>
      <c r="B213" s="45">
        <v>114.86</v>
      </c>
      <c r="C213" s="45">
        <v>111.01</v>
      </c>
      <c r="D213" s="45">
        <v>111.06</v>
      </c>
      <c r="E213" s="45">
        <v>33921273</v>
      </c>
      <c r="F213" s="45" t="s">
        <v>220</v>
      </c>
      <c r="G213" s="25">
        <f t="shared" si="0"/>
        <v>3.2144786601836728E-2</v>
      </c>
      <c r="I213" s="49">
        <v>-7.2499999999999995E-2</v>
      </c>
      <c r="J213">
        <v>0</v>
      </c>
      <c r="L213" s="49">
        <v>-7.4999999999999997E-2</v>
      </c>
      <c r="M213" s="1">
        <f t="shared" si="1"/>
        <v>0.31959187768079544</v>
      </c>
      <c r="O213" s="38" t="s">
        <v>145</v>
      </c>
      <c r="P213" s="25">
        <f>($K$201*-2)+$K$199</f>
        <v>-5.4171575062480395E-2</v>
      </c>
      <c r="Q213" s="1">
        <v>0</v>
      </c>
    </row>
    <row r="214" spans="1:17" ht="15">
      <c r="A214" s="45">
        <v>110.73</v>
      </c>
      <c r="B214" s="45">
        <v>112.11</v>
      </c>
      <c r="C214" s="45">
        <v>108.61539999999999</v>
      </c>
      <c r="D214" s="45">
        <v>111.584</v>
      </c>
      <c r="E214" s="45">
        <v>35911560</v>
      </c>
      <c r="F214" s="45" t="s">
        <v>221</v>
      </c>
      <c r="G214" s="25">
        <f t="shared" si="0"/>
        <v>-7.653427014625791E-3</v>
      </c>
      <c r="I214" s="49">
        <v>-6.9999999999999993E-2</v>
      </c>
      <c r="J214">
        <v>2</v>
      </c>
      <c r="L214" s="49">
        <v>-7.2499999999999995E-2</v>
      </c>
      <c r="M214" s="1">
        <f t="shared" si="1"/>
        <v>0.41054440875320708</v>
      </c>
      <c r="O214" s="39"/>
      <c r="P214" s="25">
        <f>($K$201*-2)+$K$199</f>
        <v>-5.4171575062480395E-2</v>
      </c>
      <c r="Q214" s="1">
        <v>3</v>
      </c>
    </row>
    <row r="215" spans="1:17" ht="15">
      <c r="A215" s="45">
        <v>113.03</v>
      </c>
      <c r="B215" s="45">
        <v>115.54</v>
      </c>
      <c r="C215" s="45">
        <v>112.13</v>
      </c>
      <c r="D215" s="45">
        <v>115.485</v>
      </c>
      <c r="E215" s="45">
        <v>30572131</v>
      </c>
      <c r="F215" s="45" t="s">
        <v>222</v>
      </c>
      <c r="G215" s="25">
        <f t="shared" si="0"/>
        <v>-2.1258172056977109E-2</v>
      </c>
      <c r="I215" s="49">
        <v>-6.7499999999999991E-2</v>
      </c>
      <c r="J215">
        <v>2</v>
      </c>
      <c r="L215" s="49">
        <v>-6.9999999999999993E-2</v>
      </c>
      <c r="M215" s="1">
        <f t="shared" si="1"/>
        <v>0.52293184658839387</v>
      </c>
      <c r="O215" s="40" t="s">
        <v>146</v>
      </c>
      <c r="P215" s="25">
        <f>($K$201*-1)+$K$199</f>
        <v>-2.7010924004224519E-2</v>
      </c>
      <c r="Q215" s="1">
        <v>0</v>
      </c>
    </row>
    <row r="216" spans="1:17" ht="15">
      <c r="A216" s="45">
        <v>112.86</v>
      </c>
      <c r="B216" s="45">
        <v>114.94799999999999</v>
      </c>
      <c r="C216" s="45">
        <v>112.66</v>
      </c>
      <c r="D216" s="45">
        <v>114.91500000000001</v>
      </c>
      <c r="E216" s="45">
        <v>25823965</v>
      </c>
      <c r="F216" s="45" t="s">
        <v>223</v>
      </c>
      <c r="G216" s="25">
        <f t="shared" si="0"/>
        <v>-1.788278292651091E-2</v>
      </c>
      <c r="I216" s="49">
        <v>-6.4999999999999988E-2</v>
      </c>
      <c r="J216">
        <v>1</v>
      </c>
      <c r="L216" s="49">
        <v>-6.7499999999999991E-2</v>
      </c>
      <c r="M216" s="1">
        <f t="shared" si="1"/>
        <v>0.66046617634979532</v>
      </c>
      <c r="P216" s="25">
        <f>($K$201*-1)+$K$199</f>
        <v>-2.7010924004224519E-2</v>
      </c>
      <c r="Q216" s="1">
        <v>9</v>
      </c>
    </row>
    <row r="217" spans="1:17" ht="15">
      <c r="A217" s="45">
        <v>114.56</v>
      </c>
      <c r="B217" s="45">
        <v>115.395</v>
      </c>
      <c r="C217" s="45">
        <v>112.27</v>
      </c>
      <c r="D217" s="45">
        <v>113.175</v>
      </c>
      <c r="E217" s="45">
        <v>37172290</v>
      </c>
      <c r="F217" s="45" t="s">
        <v>224</v>
      </c>
      <c r="G217" s="25">
        <f t="shared" si="0"/>
        <v>1.2237685001104559E-2</v>
      </c>
      <c r="I217" s="49">
        <v>-6.2499999999999986E-2</v>
      </c>
      <c r="J217">
        <v>1</v>
      </c>
      <c r="L217" s="49">
        <v>-6.4999999999999988E-2</v>
      </c>
      <c r="M217" s="1">
        <f t="shared" si="1"/>
        <v>0.82713540853706069</v>
      </c>
      <c r="O217" s="1" t="s">
        <v>147</v>
      </c>
      <c r="P217" s="25">
        <f>($K$201*1)+$K$199</f>
        <v>2.7310378112287228E-2</v>
      </c>
      <c r="Q217" s="1">
        <v>0</v>
      </c>
    </row>
    <row r="218" spans="1:17" ht="15">
      <c r="A218" s="45">
        <v>110.31</v>
      </c>
      <c r="B218" s="45">
        <v>111.015</v>
      </c>
      <c r="C218" s="45">
        <v>107.6671</v>
      </c>
      <c r="D218" s="45">
        <v>108.08499999999999</v>
      </c>
      <c r="E218" s="45">
        <v>30867274</v>
      </c>
      <c r="F218" s="45" t="s">
        <v>225</v>
      </c>
      <c r="G218" s="25">
        <f t="shared" si="0"/>
        <v>2.0585650182726623E-2</v>
      </c>
      <c r="I218" s="49">
        <v>-5.9999999999999984E-2</v>
      </c>
      <c r="J218">
        <v>4</v>
      </c>
      <c r="L218" s="49">
        <v>-6.2499999999999986E-2</v>
      </c>
      <c r="M218" s="1">
        <f t="shared" si="1"/>
        <v>1.0271247279589943</v>
      </c>
      <c r="P218" s="25">
        <f>($K$201*1)+$K$199</f>
        <v>2.7310378112287228E-2</v>
      </c>
      <c r="Q218" s="1">
        <v>9</v>
      </c>
    </row>
    <row r="219" spans="1:17" ht="15">
      <c r="A219" s="45">
        <v>110.71</v>
      </c>
      <c r="B219" s="45">
        <v>112.64</v>
      </c>
      <c r="C219" s="45">
        <v>110.61</v>
      </c>
      <c r="D219" s="45">
        <v>111.9</v>
      </c>
      <c r="E219" s="45">
        <v>29251957</v>
      </c>
      <c r="F219" s="45" t="s">
        <v>226</v>
      </c>
      <c r="G219" s="25">
        <f t="shared" si="0"/>
        <v>-1.0634495084897333E-2</v>
      </c>
      <c r="I219" s="49">
        <v>-5.7499999999999982E-2</v>
      </c>
      <c r="J219">
        <v>4</v>
      </c>
      <c r="L219" s="49">
        <v>-5.9999999999999984E-2</v>
      </c>
      <c r="M219" s="1">
        <f t="shared" si="1"/>
        <v>1.264708094161523</v>
      </c>
      <c r="O219" s="41" t="s">
        <v>148</v>
      </c>
      <c r="P219" s="25">
        <f>($K$201*2)+$K$199</f>
        <v>5.4471029170543098E-2</v>
      </c>
      <c r="Q219" s="1">
        <v>0</v>
      </c>
    </row>
    <row r="220" spans="1:17" ht="15">
      <c r="A220" s="45">
        <v>112.06</v>
      </c>
      <c r="B220" s="45">
        <v>116.1</v>
      </c>
      <c r="C220" s="45">
        <v>111.09</v>
      </c>
      <c r="D220" s="45">
        <v>113.85</v>
      </c>
      <c r="E220" s="45">
        <v>43594606</v>
      </c>
      <c r="F220" s="45" t="s">
        <v>227</v>
      </c>
      <c r="G220" s="25">
        <f t="shared" si="0"/>
        <v>-1.5722441809398302E-2</v>
      </c>
      <c r="I220" s="49">
        <v>-5.4999999999999979E-2</v>
      </c>
      <c r="J220">
        <v>3</v>
      </c>
      <c r="L220" s="49">
        <v>-5.7499999999999982E-2</v>
      </c>
      <c r="M220" s="1">
        <f t="shared" si="1"/>
        <v>1.5441089921350657</v>
      </c>
      <c r="P220" s="25">
        <f>($K$201*2)+$K$199</f>
        <v>5.4471029170543098E-2</v>
      </c>
      <c r="Q220" s="1">
        <v>3</v>
      </c>
    </row>
    <row r="221" spans="1:17" ht="15">
      <c r="A221" s="45">
        <v>113.51</v>
      </c>
      <c r="B221" s="45">
        <v>114.51</v>
      </c>
      <c r="C221" s="45">
        <v>112.08</v>
      </c>
      <c r="D221" s="45">
        <v>114.35</v>
      </c>
      <c r="E221" s="45">
        <v>29030815</v>
      </c>
      <c r="F221" s="45" t="s">
        <v>228</v>
      </c>
      <c r="G221" s="25">
        <f t="shared" si="0"/>
        <v>-7.345867949278384E-3</v>
      </c>
      <c r="I221" s="49">
        <v>-5.2499999999999977E-2</v>
      </c>
      <c r="J221">
        <v>8</v>
      </c>
      <c r="L221" s="49">
        <v>-5.4999999999999979E-2</v>
      </c>
      <c r="M221" s="1">
        <f t="shared" si="1"/>
        <v>1.8693307370584344</v>
      </c>
      <c r="O221" s="41" t="s">
        <v>149</v>
      </c>
      <c r="P221" s="25">
        <f>($K$201*3)+$K$199</f>
        <v>8.1631680228798964E-2</v>
      </c>
      <c r="Q221" s="1">
        <v>0</v>
      </c>
    </row>
    <row r="222" spans="1:17" ht="15">
      <c r="A222" s="45">
        <v>114.74</v>
      </c>
      <c r="B222" s="45">
        <v>115.53</v>
      </c>
      <c r="C222" s="45">
        <v>114.06</v>
      </c>
      <c r="D222" s="45">
        <v>115.015</v>
      </c>
      <c r="E222" s="45">
        <v>37737373</v>
      </c>
      <c r="F222" s="45" t="s">
        <v>229</v>
      </c>
      <c r="G222" s="25">
        <f t="shared" si="0"/>
        <v>-2.3909924792419046E-3</v>
      </c>
      <c r="I222" s="49">
        <v>-4.9999999999999975E-2</v>
      </c>
      <c r="J222">
        <v>5</v>
      </c>
      <c r="L222" s="49">
        <v>-5.2499999999999977E-2</v>
      </c>
      <c r="M222" s="1">
        <f t="shared" si="1"/>
        <v>2.243958821245378</v>
      </c>
      <c r="O222" s="41"/>
      <c r="P222" s="25">
        <f>($K$201*3)+$K$199</f>
        <v>8.1631680228798964E-2</v>
      </c>
      <c r="Q222" s="1">
        <v>2</v>
      </c>
    </row>
    <row r="223" spans="1:17" ht="15">
      <c r="A223" s="45">
        <v>117.17</v>
      </c>
      <c r="B223" s="45">
        <v>118.24</v>
      </c>
      <c r="C223" s="45">
        <v>116.01</v>
      </c>
      <c r="D223" s="45">
        <v>118.07</v>
      </c>
      <c r="E223" s="45">
        <v>43419695</v>
      </c>
      <c r="F223" s="45" t="s">
        <v>230</v>
      </c>
      <c r="G223" s="25">
        <f t="shared" si="0"/>
        <v>-7.6225967646310622E-3</v>
      </c>
      <c r="I223" s="49">
        <v>-4.7499999999999973E-2</v>
      </c>
      <c r="J223">
        <v>10</v>
      </c>
      <c r="L223" s="49">
        <v>-4.9999999999999975E-2</v>
      </c>
      <c r="M223" s="1">
        <f t="shared" si="1"/>
        <v>2.6709401698756499</v>
      </c>
    </row>
    <row r="224" spans="1:17" ht="15">
      <c r="A224" s="45">
        <v>114.99</v>
      </c>
      <c r="B224" s="45">
        <v>117.5</v>
      </c>
      <c r="C224" s="45">
        <v>114.01</v>
      </c>
      <c r="D224" s="45">
        <v>117.02</v>
      </c>
      <c r="E224" s="45">
        <v>43843235</v>
      </c>
      <c r="F224" s="45" t="s">
        <v>231</v>
      </c>
      <c r="G224" s="25">
        <f t="shared" si="0"/>
        <v>-1.7347461972312406E-2</v>
      </c>
      <c r="I224" s="49">
        <v>-4.4999999999999971E-2</v>
      </c>
      <c r="J224">
        <v>7</v>
      </c>
      <c r="L224" s="49">
        <v>-4.7499999999999973E-2</v>
      </c>
      <c r="M224" s="1">
        <f t="shared" si="1"/>
        <v>3.1523467121660782</v>
      </c>
    </row>
    <row r="225" spans="1:13" ht="15">
      <c r="A225" s="45">
        <v>117.72</v>
      </c>
      <c r="B225" s="45">
        <v>122.52</v>
      </c>
      <c r="C225" s="45">
        <v>116.59</v>
      </c>
      <c r="D225" s="45">
        <v>119.83</v>
      </c>
      <c r="E225" s="45">
        <v>86743700</v>
      </c>
      <c r="F225" s="45" t="s">
        <v>232</v>
      </c>
      <c r="G225" s="25">
        <f t="shared" si="0"/>
        <v>-1.7608278394392052E-2</v>
      </c>
      <c r="I225" s="49">
        <v>-4.2499999999999968E-2</v>
      </c>
      <c r="J225">
        <v>8</v>
      </c>
      <c r="L225" s="49">
        <v>-4.4999999999999971E-2</v>
      </c>
      <c r="M225" s="1">
        <f t="shared" si="1"/>
        <v>3.6891332000813026</v>
      </c>
    </row>
    <row r="226" spans="1:13" ht="15">
      <c r="A226" s="45">
        <v>112.46</v>
      </c>
      <c r="B226" s="45">
        <v>113.1277</v>
      </c>
      <c r="C226" s="45">
        <v>109</v>
      </c>
      <c r="D226" s="45">
        <v>109.6</v>
      </c>
      <c r="E226" s="45">
        <v>55659513</v>
      </c>
      <c r="F226" s="45" t="s">
        <v>233</v>
      </c>
      <c r="G226" s="25">
        <f t="shared" si="0"/>
        <v>2.6094890510948821E-2</v>
      </c>
      <c r="I226" s="49">
        <v>-3.9999999999999966E-2</v>
      </c>
      <c r="J226">
        <v>10</v>
      </c>
      <c r="L226" s="49">
        <v>-4.2499999999999968E-2</v>
      </c>
      <c r="M226" s="1">
        <f t="shared" si="1"/>
        <v>4.2809015057134276</v>
      </c>
    </row>
    <row r="227" spans="1:13" ht="15">
      <c r="A227" s="45">
        <v>108.12</v>
      </c>
      <c r="B227" s="45">
        <v>110.667</v>
      </c>
      <c r="C227" s="45">
        <v>106.98</v>
      </c>
      <c r="D227" s="45">
        <v>110.41500000000001</v>
      </c>
      <c r="E227" s="45">
        <v>50543396</v>
      </c>
      <c r="F227" s="45" t="s">
        <v>234</v>
      </c>
      <c r="G227" s="25">
        <f t="shared" si="0"/>
        <v>-2.0785219399538146E-2</v>
      </c>
      <c r="I227" s="49">
        <v>-3.7499999999999964E-2</v>
      </c>
      <c r="J227">
        <v>11</v>
      </c>
      <c r="L227" s="49">
        <v>-3.9999999999999966E-2</v>
      </c>
      <c r="M227" s="1">
        <f t="shared" si="1"/>
        <v>4.9256854678964306</v>
      </c>
    </row>
    <row r="228" spans="1:13" ht="15">
      <c r="A228" s="45">
        <v>102.84</v>
      </c>
      <c r="B228" s="45">
        <v>103.54</v>
      </c>
      <c r="C228" s="45">
        <v>101.6</v>
      </c>
      <c r="D228" s="45">
        <v>102.58499999999999</v>
      </c>
      <c r="E228" s="45">
        <v>31704261</v>
      </c>
      <c r="F228" s="45" t="s">
        <v>235</v>
      </c>
      <c r="G228" s="25">
        <f t="shared" si="0"/>
        <v>2.485743529755835E-3</v>
      </c>
      <c r="I228" s="49">
        <v>-3.4999999999999962E-2</v>
      </c>
      <c r="J228">
        <v>12</v>
      </c>
      <c r="L228" s="49">
        <v>-3.7499999999999964E-2</v>
      </c>
      <c r="M228" s="1">
        <f t="shared" si="1"/>
        <v>5.6197715031423607</v>
      </c>
    </row>
    <row r="229" spans="1:13" ht="15">
      <c r="A229" s="45">
        <v>101.7</v>
      </c>
      <c r="B229" s="45">
        <v>105.44</v>
      </c>
      <c r="C229" s="45">
        <v>101.56</v>
      </c>
      <c r="D229" s="45">
        <v>101.92</v>
      </c>
      <c r="E229" s="45">
        <v>54231362</v>
      </c>
      <c r="F229" s="45" t="s">
        <v>236</v>
      </c>
      <c r="G229" s="25">
        <f t="shared" si="0"/>
        <v>-2.1585557299842462E-3</v>
      </c>
      <c r="I229" s="49">
        <v>-3.2499999999999959E-2</v>
      </c>
      <c r="J229">
        <v>22</v>
      </c>
      <c r="L229" s="49">
        <v>-3.4999999999999962E-2</v>
      </c>
      <c r="M229" s="1">
        <f t="shared" si="1"/>
        <v>6.3575704312377139</v>
      </c>
    </row>
    <row r="230" spans="1:13" ht="15">
      <c r="A230" s="45">
        <v>100.36</v>
      </c>
      <c r="B230" s="45">
        <v>103.42</v>
      </c>
      <c r="C230" s="45">
        <v>96.88</v>
      </c>
      <c r="D230" s="45">
        <v>100.75</v>
      </c>
      <c r="E230" s="45">
        <v>86648749</v>
      </c>
      <c r="F230" s="45" t="s">
        <v>237</v>
      </c>
      <c r="G230" s="25">
        <f t="shared" si="0"/>
        <v>-3.870967741935516E-3</v>
      </c>
      <c r="I230" s="49">
        <v>-2.9999999999999961E-2</v>
      </c>
      <c r="J230">
        <v>24</v>
      </c>
      <c r="L230" s="49">
        <v>-3.2499999999999959E-2</v>
      </c>
      <c r="M230" s="1">
        <f t="shared" si="1"/>
        <v>7.1315551233956826</v>
      </c>
    </row>
    <row r="231" spans="1:13" ht="15">
      <c r="A231" s="45">
        <v>98.62</v>
      </c>
      <c r="B231" s="45">
        <v>100.07</v>
      </c>
      <c r="C231" s="45">
        <v>97.44</v>
      </c>
      <c r="D231" s="45">
        <v>98.41</v>
      </c>
      <c r="E231" s="45">
        <v>54264254</v>
      </c>
      <c r="F231" s="45" t="s">
        <v>238</v>
      </c>
      <c r="G231" s="25">
        <f t="shared" si="0"/>
        <v>2.1339294787114937E-3</v>
      </c>
      <c r="I231" s="49">
        <v>-2.7499999999999962E-2</v>
      </c>
      <c r="J231">
        <v>22</v>
      </c>
      <c r="L231" s="49">
        <v>-2.9999999999999961E-2</v>
      </c>
      <c r="M231" s="1">
        <f t="shared" si="1"/>
        <v>7.9322765624393368</v>
      </c>
    </row>
    <row r="232" spans="1:13" ht="15">
      <c r="A232" s="45">
        <v>100.59</v>
      </c>
      <c r="B232" s="45">
        <v>102.05</v>
      </c>
      <c r="C232" s="45">
        <v>98.76</v>
      </c>
      <c r="D232" s="45">
        <v>99</v>
      </c>
      <c r="E232" s="45">
        <v>41268886</v>
      </c>
      <c r="F232" s="45" t="s">
        <v>239</v>
      </c>
      <c r="G232" s="25">
        <f t="shared" si="0"/>
        <v>1.6060606060606109E-2</v>
      </c>
      <c r="I232" s="49">
        <v>-2.4999999999999963E-2</v>
      </c>
      <c r="J232">
        <v>22</v>
      </c>
      <c r="L232" s="49">
        <v>-2.7499999999999962E-2</v>
      </c>
      <c r="M232" s="1">
        <f t="shared" si="1"/>
        <v>8.7484677024556117</v>
      </c>
    </row>
    <row r="233" spans="1:13" ht="15">
      <c r="A233" s="45">
        <v>98.8</v>
      </c>
      <c r="B233" s="45">
        <v>99.88</v>
      </c>
      <c r="C233" s="45">
        <v>98.3</v>
      </c>
      <c r="D233" s="45">
        <v>98.4</v>
      </c>
      <c r="E233" s="45">
        <v>29957888</v>
      </c>
      <c r="F233" s="45" t="s">
        <v>240</v>
      </c>
      <c r="G233" s="25">
        <f t="shared" si="0"/>
        <v>4.0650406504063596E-3</v>
      </c>
      <c r="I233" s="49">
        <v>-2.2499999999999964E-2</v>
      </c>
      <c r="J233">
        <v>23</v>
      </c>
      <c r="L233" s="49">
        <v>-2.4999999999999963E-2</v>
      </c>
      <c r="M233" s="1">
        <f t="shared" si="1"/>
        <v>9.5672402265739898</v>
      </c>
    </row>
    <row r="234" spans="1:13" ht="15">
      <c r="A234" s="45">
        <v>96.65</v>
      </c>
      <c r="B234" s="45">
        <v>100.1</v>
      </c>
      <c r="C234" s="45">
        <v>96.45</v>
      </c>
      <c r="D234" s="45">
        <v>99.265000000000001</v>
      </c>
      <c r="E234" s="45">
        <v>29591507</v>
      </c>
      <c r="F234" s="45" t="s">
        <v>241</v>
      </c>
      <c r="G234" s="25">
        <f t="shared" si="0"/>
        <v>-2.6343625648516555E-2</v>
      </c>
      <c r="I234" s="49">
        <v>-1.9999999999999966E-2</v>
      </c>
      <c r="J234">
        <v>28</v>
      </c>
      <c r="L234" s="49">
        <v>-2.2499999999999964E-2</v>
      </c>
      <c r="M234" s="1">
        <f t="shared" si="1"/>
        <v>10.374374131986306</v>
      </c>
    </row>
    <row r="235" spans="1:13" ht="15">
      <c r="A235" s="45">
        <v>97.35</v>
      </c>
      <c r="B235" s="45">
        <v>97.55</v>
      </c>
      <c r="C235" s="45">
        <v>91.87</v>
      </c>
      <c r="D235" s="45">
        <v>92.81</v>
      </c>
      <c r="E235" s="45">
        <v>29730729</v>
      </c>
      <c r="F235" s="45" t="s">
        <v>242</v>
      </c>
      <c r="G235" s="25">
        <f t="shared" si="0"/>
        <v>4.8917142549294246E-2</v>
      </c>
      <c r="I235" s="49">
        <v>-1.7499999999999967E-2</v>
      </c>
      <c r="J235">
        <v>39</v>
      </c>
      <c r="L235" s="49">
        <v>-1.9999999999999966E-2</v>
      </c>
      <c r="M235" s="1">
        <f t="shared" si="1"/>
        <v>11.154694329810187</v>
      </c>
    </row>
    <row r="236" spans="1:13" ht="15">
      <c r="A236" s="45">
        <v>96.06</v>
      </c>
      <c r="B236" s="45">
        <v>97.176699999999997</v>
      </c>
      <c r="C236" s="45">
        <v>95.33</v>
      </c>
      <c r="D236" s="45">
        <v>95.754999999999995</v>
      </c>
      <c r="E236" s="45">
        <v>20700637</v>
      </c>
      <c r="F236" s="45" t="s">
        <v>243</v>
      </c>
      <c r="G236" s="25">
        <f t="shared" si="0"/>
        <v>3.185212260456538E-3</v>
      </c>
      <c r="I236" s="49">
        <v>-1.4999999999999966E-2</v>
      </c>
      <c r="J236">
        <v>42</v>
      </c>
      <c r="L236" s="49">
        <v>-1.7499999999999967E-2</v>
      </c>
      <c r="M236" s="1">
        <f t="shared" si="1"/>
        <v>11.892522527458697</v>
      </c>
    </row>
    <row r="237" spans="1:13" ht="15">
      <c r="A237" s="45">
        <v>96.39</v>
      </c>
      <c r="B237" s="45">
        <v>97.486500000000007</v>
      </c>
      <c r="C237" s="45">
        <v>94.27</v>
      </c>
      <c r="D237" s="45">
        <v>95.575000000000003</v>
      </c>
      <c r="E237" s="45">
        <v>30456683</v>
      </c>
      <c r="F237" s="45" t="s">
        <v>244</v>
      </c>
      <c r="G237" s="25">
        <f t="shared" si="0"/>
        <v>8.5273345540151091E-3</v>
      </c>
      <c r="I237" s="49">
        <v>-1.2499999999999966E-2</v>
      </c>
      <c r="J237">
        <v>50</v>
      </c>
      <c r="L237" s="49">
        <v>-1.4999999999999966E-2</v>
      </c>
      <c r="M237" s="1">
        <f t="shared" si="1"/>
        <v>12.572187012202079</v>
      </c>
    </row>
    <row r="238" spans="1:13" ht="15">
      <c r="A238" s="45">
        <v>96.644999999999996</v>
      </c>
      <c r="B238" s="45">
        <v>97.1</v>
      </c>
      <c r="C238" s="45">
        <v>92.85</v>
      </c>
      <c r="D238" s="45">
        <v>93.275000000000006</v>
      </c>
      <c r="E238" s="45">
        <v>28575343</v>
      </c>
      <c r="F238" s="45" t="s">
        <v>245</v>
      </c>
      <c r="G238" s="25">
        <f t="shared" si="0"/>
        <v>3.6129723934601898E-2</v>
      </c>
      <c r="I238" s="49">
        <v>-9.9999999999999655E-3</v>
      </c>
      <c r="J238">
        <v>49</v>
      </c>
      <c r="L238" s="49">
        <v>-1.2499999999999966E-2</v>
      </c>
      <c r="M238" s="1">
        <f t="shared" si="1"/>
        <v>13.178568044076965</v>
      </c>
    </row>
    <row r="239" spans="1:13" ht="15">
      <c r="A239" s="45">
        <v>94.47</v>
      </c>
      <c r="B239" s="45">
        <v>94.75</v>
      </c>
      <c r="C239" s="45">
        <v>90.37</v>
      </c>
      <c r="D239" s="45">
        <v>91.59</v>
      </c>
      <c r="E239" s="45">
        <v>33681919</v>
      </c>
      <c r="F239" s="45" t="s">
        <v>246</v>
      </c>
      <c r="G239" s="25">
        <f t="shared" si="0"/>
        <v>3.1444480838519473E-2</v>
      </c>
      <c r="I239" s="49">
        <v>-7.499999999999965E-3</v>
      </c>
      <c r="J239">
        <v>54</v>
      </c>
      <c r="L239" s="49">
        <v>-9.9999999999999655E-3</v>
      </c>
      <c r="M239" s="1">
        <f t="shared" si="1"/>
        <v>13.697652836654569</v>
      </c>
    </row>
    <row r="240" spans="1:13" ht="15">
      <c r="A240" s="45">
        <v>90.39</v>
      </c>
      <c r="B240" s="45">
        <v>93.74</v>
      </c>
      <c r="C240" s="45">
        <v>90.12</v>
      </c>
      <c r="D240" s="45">
        <v>91.875</v>
      </c>
      <c r="E240" s="45">
        <v>41102589</v>
      </c>
      <c r="F240" s="45" t="s">
        <v>247</v>
      </c>
      <c r="G240" s="25">
        <f t="shared" si="0"/>
        <v>-1.6163265306122443E-2</v>
      </c>
      <c r="I240" s="49">
        <v>-4.9999999999999645E-3</v>
      </c>
      <c r="J240">
        <v>53</v>
      </c>
      <c r="L240" s="49">
        <v>-7.499999999999965E-3</v>
      </c>
      <c r="M240" s="1">
        <f t="shared" si="1"/>
        <v>14.117071928680522</v>
      </c>
    </row>
    <row r="241" spans="1:13" ht="15">
      <c r="A241" s="45">
        <v>86.26</v>
      </c>
      <c r="B241" s="45">
        <v>87.17</v>
      </c>
      <c r="C241" s="45">
        <v>85.17</v>
      </c>
      <c r="D241" s="45">
        <v>86.12</v>
      </c>
      <c r="E241" s="45">
        <v>35236735</v>
      </c>
      <c r="F241" s="45" t="s">
        <v>248</v>
      </c>
      <c r="G241" s="25">
        <f t="shared" si="0"/>
        <v>1.6256386437529802E-3</v>
      </c>
      <c r="I241" s="49">
        <v>-2.4999999999999645E-3</v>
      </c>
      <c r="J241">
        <v>60</v>
      </c>
      <c r="L241" s="49">
        <v>-4.9999999999999645E-3</v>
      </c>
      <c r="M241" s="1">
        <f t="shared" si="1"/>
        <v>14.426588392057482</v>
      </c>
    </row>
    <row r="242" spans="1:13" ht="15">
      <c r="A242" s="45">
        <v>85.56</v>
      </c>
      <c r="B242" s="45">
        <v>86.14</v>
      </c>
      <c r="C242" s="45">
        <v>83.75</v>
      </c>
      <c r="D242" s="45">
        <v>86.015000000000001</v>
      </c>
      <c r="E242" s="45">
        <v>33855392</v>
      </c>
      <c r="F242" s="45" t="s">
        <v>249</v>
      </c>
      <c r="G242" s="25">
        <f t="shared" si="0"/>
        <v>-5.2897750392373322E-3</v>
      </c>
      <c r="I242" s="49">
        <v>3.5561831257524545E-17</v>
      </c>
      <c r="J242">
        <v>59</v>
      </c>
      <c r="L242" s="49">
        <v>-2.4999999999999645E-3</v>
      </c>
      <c r="M242" s="1">
        <f t="shared" si="1"/>
        <v>14.618512904807442</v>
      </c>
    </row>
    <row r="243" spans="1:13" ht="15">
      <c r="A243" s="45">
        <v>87.5</v>
      </c>
      <c r="B243" s="45">
        <v>89.03</v>
      </c>
      <c r="C243" s="45">
        <v>86.515000000000001</v>
      </c>
      <c r="D243" s="45">
        <v>88.84</v>
      </c>
      <c r="E243" s="45">
        <v>34801437</v>
      </c>
      <c r="F243" s="45" t="s">
        <v>250</v>
      </c>
      <c r="G243" s="25">
        <f t="shared" si="0"/>
        <v>-1.5083295812697073E-2</v>
      </c>
      <c r="I243" s="49">
        <v>2.5000000000000356E-3</v>
      </c>
      <c r="J243">
        <v>54</v>
      </c>
      <c r="L243" s="49">
        <v>3.5561831257524545E-17</v>
      </c>
      <c r="M243" s="1">
        <f t="shared" si="1"/>
        <v>14.688021204290353</v>
      </c>
    </row>
    <row r="244" spans="1:13" ht="15">
      <c r="A244" s="45">
        <v>88.29</v>
      </c>
      <c r="B244" s="45">
        <v>90.47</v>
      </c>
      <c r="C244" s="45">
        <v>85.295000000000002</v>
      </c>
      <c r="D244" s="45">
        <v>87.61</v>
      </c>
      <c r="E244" s="45">
        <v>62109016</v>
      </c>
      <c r="F244" s="45" t="s">
        <v>251</v>
      </c>
      <c r="G244" s="25">
        <f t="shared" si="0"/>
        <v>7.7616710421186674E-3</v>
      </c>
      <c r="I244" s="49">
        <v>5.0000000000000357E-3</v>
      </c>
      <c r="J244">
        <v>55</v>
      </c>
      <c r="L244" s="49">
        <v>2.5000000000000356E-3</v>
      </c>
      <c r="M244" s="1">
        <f t="shared" si="1"/>
        <v>14.633355625389564</v>
      </c>
    </row>
    <row r="245" spans="1:13" ht="15">
      <c r="A245" s="45">
        <v>95.29</v>
      </c>
      <c r="B245" s="45">
        <v>96.85</v>
      </c>
      <c r="C245" s="45">
        <v>94.62</v>
      </c>
      <c r="D245" s="45">
        <v>94.66</v>
      </c>
      <c r="E245" s="45">
        <v>28116536</v>
      </c>
      <c r="F245" s="45" t="s">
        <v>252</v>
      </c>
      <c r="G245" s="25">
        <f t="shared" si="0"/>
        <v>6.6553982674837364E-3</v>
      </c>
      <c r="I245" s="49">
        <v>7.5000000000000362E-3</v>
      </c>
      <c r="J245">
        <v>56</v>
      </c>
      <c r="L245" s="49">
        <v>5.0000000000000357E-3</v>
      </c>
      <c r="M245" s="1">
        <f t="shared" si="1"/>
        <v>14.455898969520778</v>
      </c>
    </row>
    <row r="246" spans="1:13" ht="15">
      <c r="A246" s="45">
        <v>94.5</v>
      </c>
      <c r="B246" s="45">
        <v>97.369900000000001</v>
      </c>
      <c r="C246" s="45">
        <v>93.45</v>
      </c>
      <c r="D246" s="45">
        <v>97.11</v>
      </c>
      <c r="E246" s="45">
        <v>36002970</v>
      </c>
      <c r="F246" s="45" t="s">
        <v>253</v>
      </c>
      <c r="G246" s="25">
        <f t="shared" ref="G246:G309" si="2">A246/D246-1</f>
        <v>-2.6876737720111232E-2</v>
      </c>
      <c r="I246" s="49">
        <v>1.0000000000000037E-2</v>
      </c>
      <c r="J246">
        <v>48</v>
      </c>
      <c r="L246" s="49">
        <v>7.5000000000000362E-3</v>
      </c>
      <c r="M246" s="1">
        <f t="shared" si="1"/>
        <v>14.160116370389433</v>
      </c>
    </row>
    <row r="247" spans="1:13" ht="15">
      <c r="A247" s="45">
        <v>93.4</v>
      </c>
      <c r="B247" s="45">
        <v>94.76</v>
      </c>
      <c r="C247" s="45">
        <v>90.5</v>
      </c>
      <c r="D247" s="45">
        <v>90.51</v>
      </c>
      <c r="E247" s="45">
        <v>57892600</v>
      </c>
      <c r="F247" s="45" t="s">
        <v>254</v>
      </c>
      <c r="G247" s="25">
        <f t="shared" si="2"/>
        <v>3.193017346149607E-2</v>
      </c>
      <c r="I247" s="49">
        <v>1.2500000000000037E-2</v>
      </c>
      <c r="J247">
        <v>49</v>
      </c>
      <c r="L247" s="49">
        <v>1.0000000000000037E-2</v>
      </c>
      <c r="M247" s="1">
        <f t="shared" si="1"/>
        <v>13.753368568519184</v>
      </c>
    </row>
    <row r="248" spans="1:13" ht="15">
      <c r="A248" s="45">
        <v>88.7</v>
      </c>
      <c r="B248" s="45">
        <v>92.95</v>
      </c>
      <c r="C248" s="45">
        <v>85.06</v>
      </c>
      <c r="D248" s="45">
        <v>91</v>
      </c>
      <c r="E248" s="45">
        <v>65210565</v>
      </c>
      <c r="F248" s="45" t="s">
        <v>255</v>
      </c>
      <c r="G248" s="25">
        <f t="shared" si="2"/>
        <v>-2.5274725274725296E-2</v>
      </c>
      <c r="I248" s="49">
        <v>1.5000000000000038E-2</v>
      </c>
      <c r="J248">
        <v>41</v>
      </c>
      <c r="L248" s="49">
        <v>1.2500000000000037E-2</v>
      </c>
      <c r="M248" s="1">
        <f t="shared" si="1"/>
        <v>13.24560749591766</v>
      </c>
    </row>
    <row r="249" spans="1:13" ht="15">
      <c r="A249" s="45">
        <v>96.84</v>
      </c>
      <c r="B249" s="45">
        <v>97.91</v>
      </c>
      <c r="C249" s="45">
        <v>78.87</v>
      </c>
      <c r="D249" s="45">
        <v>79.22</v>
      </c>
      <c r="E249" s="45">
        <v>97827352</v>
      </c>
      <c r="F249" s="45" t="s">
        <v>256</v>
      </c>
      <c r="G249" s="25">
        <f t="shared" si="2"/>
        <v>0.22241858116637214</v>
      </c>
      <c r="I249" s="49">
        <v>1.7500000000000036E-2</v>
      </c>
      <c r="J249">
        <v>32</v>
      </c>
      <c r="L249" s="49">
        <v>1.5000000000000038E-2</v>
      </c>
      <c r="M249" s="1">
        <f t="shared" si="1"/>
        <v>12.64897174559864</v>
      </c>
    </row>
    <row r="250" spans="1:13" ht="15">
      <c r="A250" s="45">
        <v>78.209999999999994</v>
      </c>
      <c r="B250" s="45">
        <v>88.93</v>
      </c>
      <c r="C250" s="45">
        <v>76.48</v>
      </c>
      <c r="D250" s="45">
        <v>86.144999999999996</v>
      </c>
      <c r="E250" s="45">
        <v>69910233</v>
      </c>
      <c r="F250" s="45" t="s">
        <v>257</v>
      </c>
      <c r="G250" s="25">
        <f t="shared" si="2"/>
        <v>-9.2112136514017062E-2</v>
      </c>
      <c r="I250" s="49">
        <v>2.0000000000000035E-2</v>
      </c>
      <c r="J250">
        <v>30</v>
      </c>
      <c r="L250" s="49">
        <v>1.7500000000000036E-2</v>
      </c>
      <c r="M250" s="1">
        <f t="shared" si="1"/>
        <v>11.977304873249388</v>
      </c>
    </row>
    <row r="251" spans="1:13" ht="15">
      <c r="A251" s="45">
        <v>83.64</v>
      </c>
      <c r="B251" s="45">
        <v>89</v>
      </c>
      <c r="C251" s="45">
        <v>77.75</v>
      </c>
      <c r="D251" s="45">
        <v>80.680000000000007</v>
      </c>
      <c r="E251" s="45">
        <v>70515429</v>
      </c>
      <c r="F251" s="45" t="s">
        <v>258</v>
      </c>
      <c r="G251" s="25">
        <f t="shared" si="2"/>
        <v>3.6688150718889423E-2</v>
      </c>
      <c r="I251" s="49">
        <v>2.2500000000000034E-2</v>
      </c>
      <c r="J251">
        <v>37</v>
      </c>
      <c r="L251" s="49">
        <v>2.0000000000000035E-2</v>
      </c>
      <c r="M251" s="1">
        <f t="shared" si="1"/>
        <v>11.245623182659344</v>
      </c>
    </row>
    <row r="252" spans="1:13" ht="15">
      <c r="A252" s="45">
        <v>85.76</v>
      </c>
      <c r="B252" s="45">
        <v>91.08</v>
      </c>
      <c r="C252" s="45">
        <v>83.67</v>
      </c>
      <c r="D252" s="45">
        <v>90.1</v>
      </c>
      <c r="E252" s="45">
        <v>65847021</v>
      </c>
      <c r="F252" s="45" t="s">
        <v>259</v>
      </c>
      <c r="G252" s="25">
        <f t="shared" si="2"/>
        <v>-4.8168701442841133E-2</v>
      </c>
      <c r="I252" s="49">
        <v>2.5000000000000033E-2</v>
      </c>
      <c r="J252">
        <v>26</v>
      </c>
      <c r="L252" s="49">
        <v>2.2500000000000034E-2</v>
      </c>
      <c r="M252" s="1">
        <f t="shared" si="1"/>
        <v>10.469561462904419</v>
      </c>
    </row>
    <row r="253" spans="1:13" ht="15">
      <c r="A253" s="45">
        <v>93.8</v>
      </c>
      <c r="B253" s="45">
        <v>99.4499</v>
      </c>
      <c r="C253" s="45">
        <v>93.64</v>
      </c>
      <c r="D253" s="45">
        <v>97.79</v>
      </c>
      <c r="E253" s="45">
        <v>50472542</v>
      </c>
      <c r="F253" s="45" t="s">
        <v>260</v>
      </c>
      <c r="G253" s="25">
        <f t="shared" si="2"/>
        <v>-4.0801717967072437E-2</v>
      </c>
      <c r="I253" s="49">
        <v>2.7500000000000031E-2</v>
      </c>
      <c r="J253">
        <v>18</v>
      </c>
      <c r="L253" s="49">
        <v>2.5000000000000033E-2</v>
      </c>
      <c r="M253" s="1">
        <f t="shared" si="1"/>
        <v>9.6648250167595435</v>
      </c>
    </row>
    <row r="254" spans="1:13" ht="15">
      <c r="A254" s="45">
        <v>102.96</v>
      </c>
      <c r="B254" s="45">
        <v>104.185</v>
      </c>
      <c r="C254" s="45">
        <v>100.76</v>
      </c>
      <c r="D254" s="45">
        <v>101.52</v>
      </c>
      <c r="E254" s="45">
        <v>20793989</v>
      </c>
      <c r="F254" s="45" t="s">
        <v>261</v>
      </c>
      <c r="G254" s="25">
        <f t="shared" si="2"/>
        <v>1.4184397163120588E-2</v>
      </c>
      <c r="I254" s="49">
        <v>3.000000000000003E-2</v>
      </c>
      <c r="J254">
        <v>13</v>
      </c>
      <c r="L254" s="49">
        <v>2.7500000000000031E-2</v>
      </c>
      <c r="M254" s="1">
        <f t="shared" si="1"/>
        <v>8.8466743506901278</v>
      </c>
    </row>
    <row r="255" spans="1:13" ht="15">
      <c r="A255" s="45">
        <v>102.78</v>
      </c>
      <c r="B255" s="45">
        <v>102.83</v>
      </c>
      <c r="C255" s="45">
        <v>100.93</v>
      </c>
      <c r="D255" s="45">
        <v>102.16</v>
      </c>
      <c r="E255" s="45">
        <v>23523230</v>
      </c>
      <c r="F255" s="45" t="s">
        <v>262</v>
      </c>
      <c r="G255" s="25">
        <f t="shared" si="2"/>
        <v>6.068911511354802E-3</v>
      </c>
      <c r="I255" s="49">
        <v>3.2500000000000029E-2</v>
      </c>
      <c r="J255">
        <v>24</v>
      </c>
      <c r="L255" s="49">
        <v>3.000000000000003E-2</v>
      </c>
      <c r="M255" s="1">
        <f t="shared" si="1"/>
        <v>8.0294653354166119</v>
      </c>
    </row>
    <row r="256" spans="1:13" ht="15">
      <c r="A256" s="45">
        <v>102.74</v>
      </c>
      <c r="B256" s="45">
        <v>102.82</v>
      </c>
      <c r="C256" s="45">
        <v>98.8</v>
      </c>
      <c r="D256" s="45">
        <v>100.235</v>
      </c>
      <c r="E256" s="45">
        <v>30865342</v>
      </c>
      <c r="F256" s="45" t="s">
        <v>263</v>
      </c>
      <c r="G256" s="25">
        <f t="shared" si="2"/>
        <v>2.4991270514291397E-2</v>
      </c>
      <c r="I256" s="49">
        <v>3.5000000000000031E-2</v>
      </c>
      <c r="J256">
        <v>21</v>
      </c>
      <c r="L256" s="49">
        <v>3.2500000000000029E-2</v>
      </c>
      <c r="M256" s="1">
        <f t="shared" si="1"/>
        <v>7.2262628545991072</v>
      </c>
    </row>
    <row r="257" spans="1:13" ht="15">
      <c r="A257" s="45">
        <v>103.22</v>
      </c>
      <c r="B257" s="45">
        <v>106.51</v>
      </c>
      <c r="C257" s="45">
        <v>102.48</v>
      </c>
      <c r="D257" s="45">
        <v>105.52500000000001</v>
      </c>
      <c r="E257" s="45">
        <v>31069114</v>
      </c>
      <c r="F257" s="45" t="s">
        <v>264</v>
      </c>
      <c r="G257" s="25">
        <f t="shared" si="2"/>
        <v>-2.1843165126747333E-2</v>
      </c>
      <c r="I257" s="49">
        <v>3.7500000000000033E-2</v>
      </c>
      <c r="J257">
        <v>17</v>
      </c>
      <c r="L257" s="49">
        <v>3.5000000000000031E-2</v>
      </c>
      <c r="M257" s="1">
        <f t="shared" si="1"/>
        <v>6.4485403741014151</v>
      </c>
    </row>
    <row r="258" spans="1:13" ht="15">
      <c r="A258" s="45">
        <v>106.65</v>
      </c>
      <c r="B258" s="45">
        <v>107.62</v>
      </c>
      <c r="C258" s="45">
        <v>105.54989999999999</v>
      </c>
      <c r="D258" s="45">
        <v>106.11</v>
      </c>
      <c r="E258" s="45">
        <v>32773714</v>
      </c>
      <c r="F258" s="45" t="s">
        <v>265</v>
      </c>
      <c r="G258" s="25">
        <f t="shared" si="2"/>
        <v>5.0890585241731845E-3</v>
      </c>
      <c r="I258" s="49">
        <v>4.0000000000000036E-2</v>
      </c>
      <c r="J258">
        <v>13</v>
      </c>
      <c r="L258" s="49">
        <v>3.7500000000000033E-2</v>
      </c>
      <c r="M258" s="1">
        <f t="shared" si="1"/>
        <v>5.7059719523859451</v>
      </c>
    </row>
    <row r="259" spans="1:13" ht="15">
      <c r="A259" s="45">
        <v>110.19</v>
      </c>
      <c r="B259" s="45">
        <v>115.8999</v>
      </c>
      <c r="C259" s="45">
        <v>108.68</v>
      </c>
      <c r="D259" s="45">
        <v>114.11</v>
      </c>
      <c r="E259" s="45">
        <v>39976485</v>
      </c>
      <c r="F259" s="45" t="s">
        <v>266</v>
      </c>
      <c r="G259" s="25">
        <f t="shared" si="2"/>
        <v>-3.4352817456839935E-2</v>
      </c>
      <c r="I259" s="49">
        <v>4.2500000000000038E-2</v>
      </c>
      <c r="J259">
        <v>13</v>
      </c>
      <c r="L259" s="49">
        <v>4.0000000000000036E-2</v>
      </c>
      <c r="M259" s="1">
        <f t="shared" si="1"/>
        <v>5.0063174275522178</v>
      </c>
    </row>
    <row r="260" spans="1:13" ht="15">
      <c r="A260" s="45">
        <v>114.81</v>
      </c>
      <c r="B260" s="45">
        <v>114.95</v>
      </c>
      <c r="C260" s="45">
        <v>112.71</v>
      </c>
      <c r="D260" s="45">
        <v>113.265</v>
      </c>
      <c r="E260" s="45">
        <v>29077507</v>
      </c>
      <c r="F260" s="45" t="s">
        <v>267</v>
      </c>
      <c r="G260" s="25">
        <f t="shared" si="2"/>
        <v>1.3640577406965892E-2</v>
      </c>
      <c r="I260" s="49">
        <v>4.500000000000004E-2</v>
      </c>
      <c r="J260">
        <v>6</v>
      </c>
      <c r="L260" s="49">
        <v>4.2500000000000038E-2</v>
      </c>
      <c r="M260" s="1">
        <f t="shared" si="1"/>
        <v>4.3553962603240288</v>
      </c>
    </row>
    <row r="261" spans="1:13" ht="15">
      <c r="A261" s="45">
        <v>113.85</v>
      </c>
      <c r="B261" s="45">
        <v>114.85</v>
      </c>
      <c r="C261" s="45">
        <v>109.4</v>
      </c>
      <c r="D261" s="45">
        <v>109.73</v>
      </c>
      <c r="E261" s="45">
        <v>53342002</v>
      </c>
      <c r="F261" s="45" t="s">
        <v>268</v>
      </c>
      <c r="G261" s="25">
        <f t="shared" si="2"/>
        <v>3.7546705549986292E-2</v>
      </c>
      <c r="I261" s="49">
        <v>4.7500000000000042E-2</v>
      </c>
      <c r="J261">
        <v>11</v>
      </c>
      <c r="L261" s="49">
        <v>4.500000000000004E-2</v>
      </c>
      <c r="M261" s="1">
        <f t="shared" si="1"/>
        <v>3.7571411050202226</v>
      </c>
    </row>
    <row r="262" spans="1:13" ht="15">
      <c r="A262" s="45">
        <v>106.44</v>
      </c>
      <c r="B262" s="45">
        <v>107.25</v>
      </c>
      <c r="C262" s="45">
        <v>104.33</v>
      </c>
      <c r="D262" s="45">
        <v>105.33</v>
      </c>
      <c r="E262" s="45">
        <v>30767938</v>
      </c>
      <c r="F262" s="45" t="s">
        <v>269</v>
      </c>
      <c r="G262" s="25">
        <f t="shared" si="2"/>
        <v>1.0538308174309341E-2</v>
      </c>
      <c r="I262" s="49">
        <v>5.0000000000000044E-2</v>
      </c>
      <c r="J262">
        <v>14</v>
      </c>
      <c r="L262" s="49">
        <v>4.7500000000000042E-2</v>
      </c>
      <c r="M262" s="1">
        <f t="shared" si="1"/>
        <v>3.2137188410845217</v>
      </c>
    </row>
    <row r="263" spans="1:13" ht="15">
      <c r="A263" s="45">
        <v>107.14</v>
      </c>
      <c r="B263" s="45">
        <v>108.26</v>
      </c>
      <c r="C263" s="45">
        <v>105.12</v>
      </c>
      <c r="D263" s="45">
        <v>105.12</v>
      </c>
      <c r="E263" s="45">
        <v>26871839</v>
      </c>
      <c r="F263" s="45" t="s">
        <v>270</v>
      </c>
      <c r="G263" s="25">
        <f t="shared" si="2"/>
        <v>1.9216133942161262E-2</v>
      </c>
      <c r="I263" s="49">
        <v>5.2500000000000047E-2</v>
      </c>
      <c r="J263">
        <v>1</v>
      </c>
      <c r="L263" s="49">
        <v>5.0000000000000044E-2</v>
      </c>
      <c r="M263" s="1">
        <f t="shared" si="1"/>
        <v>2.725704635996435</v>
      </c>
    </row>
    <row r="264" spans="1:13" ht="15">
      <c r="A264" s="45">
        <v>106.23</v>
      </c>
      <c r="B264" s="45">
        <v>107.9</v>
      </c>
      <c r="C264" s="45">
        <v>101.96</v>
      </c>
      <c r="D264" s="45">
        <v>104.42</v>
      </c>
      <c r="E264" s="45">
        <v>32287496</v>
      </c>
      <c r="F264" s="45" t="s">
        <v>271</v>
      </c>
      <c r="G264" s="25">
        <f t="shared" si="2"/>
        <v>1.7333844091170336E-2</v>
      </c>
      <c r="I264" s="49">
        <v>5.5000000000000049E-2</v>
      </c>
      <c r="J264">
        <v>2</v>
      </c>
      <c r="L264" s="49">
        <v>5.2500000000000047E-2</v>
      </c>
      <c r="M264" s="1">
        <f t="shared" si="1"/>
        <v>2.2922936306486692</v>
      </c>
    </row>
    <row r="265" spans="1:13" ht="15">
      <c r="A265" s="45">
        <v>103.51</v>
      </c>
      <c r="B265" s="45">
        <v>104.55</v>
      </c>
      <c r="C265" s="45">
        <v>102.97</v>
      </c>
      <c r="D265" s="45">
        <v>103.85</v>
      </c>
      <c r="E265" s="45">
        <v>27152827</v>
      </c>
      <c r="F265" s="45" t="s">
        <v>272</v>
      </c>
      <c r="G265" s="25">
        <f t="shared" si="2"/>
        <v>-3.2739528165622866E-3</v>
      </c>
      <c r="I265" s="49">
        <v>5.7500000000000051E-2</v>
      </c>
      <c r="J265">
        <v>4</v>
      </c>
      <c r="L265" s="49">
        <v>5.5000000000000049E-2</v>
      </c>
      <c r="M265" s="1">
        <f t="shared" si="1"/>
        <v>1.9115349521535012</v>
      </c>
    </row>
    <row r="266" spans="1:13" ht="15">
      <c r="A266" s="45">
        <v>104.59</v>
      </c>
      <c r="B266" s="45">
        <v>106.15</v>
      </c>
      <c r="C266" s="45">
        <v>102.6</v>
      </c>
      <c r="D266" s="45">
        <v>102.6</v>
      </c>
      <c r="E266" s="45">
        <v>43689523</v>
      </c>
      <c r="F266" s="45" t="s">
        <v>273</v>
      </c>
      <c r="G266" s="25">
        <f t="shared" si="2"/>
        <v>1.9395711500974855E-2</v>
      </c>
      <c r="I266" s="49">
        <v>6.0000000000000053E-2</v>
      </c>
      <c r="J266">
        <v>3</v>
      </c>
      <c r="L266" s="49">
        <v>5.7500000000000051E-2</v>
      </c>
      <c r="M266" s="1">
        <f t="shared" si="1"/>
        <v>1.5805738052776042</v>
      </c>
    </row>
    <row r="267" spans="1:13" ht="15">
      <c r="A267" s="45">
        <v>100.97</v>
      </c>
      <c r="B267" s="45">
        <v>101.22</v>
      </c>
      <c r="C267" s="45">
        <v>99.58</v>
      </c>
      <c r="D267" s="45">
        <v>99.64</v>
      </c>
      <c r="E267" s="45">
        <v>24715265</v>
      </c>
      <c r="F267" s="45" t="s">
        <v>274</v>
      </c>
      <c r="G267" s="25">
        <f t="shared" si="2"/>
        <v>1.3348052990766801E-2</v>
      </c>
      <c r="I267" s="49">
        <v>6.2500000000000056E-2</v>
      </c>
      <c r="J267">
        <v>3</v>
      </c>
      <c r="L267" s="49">
        <v>6.0000000000000053E-2</v>
      </c>
      <c r="M267" s="1">
        <f t="shared" si="1"/>
        <v>1.2958891621215485</v>
      </c>
    </row>
    <row r="268" spans="1:13" ht="15">
      <c r="A268" s="45">
        <v>98.11</v>
      </c>
      <c r="B268" s="45">
        <v>100.07</v>
      </c>
      <c r="C268" s="45">
        <v>97.27</v>
      </c>
      <c r="D268" s="45">
        <v>99.715000000000003</v>
      </c>
      <c r="E268" s="45">
        <v>28575150</v>
      </c>
      <c r="F268" s="45" t="s">
        <v>275</v>
      </c>
      <c r="G268" s="25">
        <f t="shared" si="2"/>
        <v>-1.6095873238730407E-2</v>
      </c>
      <c r="I268" s="49">
        <v>6.5000000000000058E-2</v>
      </c>
      <c r="J268">
        <v>3</v>
      </c>
      <c r="L268" s="49">
        <v>6.2500000000000056E-2</v>
      </c>
      <c r="M268" s="1">
        <f t="shared" si="1"/>
        <v>1.0535168261699086</v>
      </c>
    </row>
    <row r="269" spans="1:13" ht="15">
      <c r="A269" s="45">
        <v>100.79</v>
      </c>
      <c r="B269" s="45">
        <v>101.715</v>
      </c>
      <c r="C269" s="45">
        <v>98.17</v>
      </c>
      <c r="D269" s="45">
        <v>99.045000000000002</v>
      </c>
      <c r="E269" s="45">
        <v>34241287</v>
      </c>
      <c r="F269" s="45" t="s">
        <v>276</v>
      </c>
      <c r="G269" s="25">
        <f t="shared" si="2"/>
        <v>1.7618254328840566E-2</v>
      </c>
      <c r="I269" s="49">
        <v>6.750000000000006E-2</v>
      </c>
      <c r="J269">
        <v>3</v>
      </c>
      <c r="L269" s="49">
        <v>6.5000000000000058E-2</v>
      </c>
      <c r="M269" s="1">
        <f t="shared" si="1"/>
        <v>0.84925015689962069</v>
      </c>
    </row>
    <row r="270" spans="1:13" ht="15">
      <c r="A270" s="45">
        <v>96.76</v>
      </c>
      <c r="B270" s="45">
        <v>98.159899999999993</v>
      </c>
      <c r="C270" s="45">
        <v>94.73</v>
      </c>
      <c r="D270" s="45">
        <v>96.79</v>
      </c>
      <c r="E270" s="45">
        <v>34078300</v>
      </c>
      <c r="F270" s="45" t="s">
        <v>277</v>
      </c>
      <c r="G270" s="25">
        <f t="shared" si="2"/>
        <v>-3.0994937493544761E-4</v>
      </c>
      <c r="I270" s="49">
        <v>7.0000000000000062E-2</v>
      </c>
      <c r="J270">
        <v>1</v>
      </c>
      <c r="L270" s="49">
        <v>6.750000000000006E-2</v>
      </c>
      <c r="M270" s="1">
        <f t="shared" si="1"/>
        <v>0.67881328954786535</v>
      </c>
    </row>
    <row r="271" spans="1:13" ht="15">
      <c r="A271" s="45">
        <v>96.63</v>
      </c>
      <c r="B271" s="45">
        <v>101.29</v>
      </c>
      <c r="C271" s="45">
        <v>95.83</v>
      </c>
      <c r="D271" s="45">
        <v>98.57</v>
      </c>
      <c r="E271" s="45">
        <v>38733186</v>
      </c>
      <c r="F271" s="45" t="s">
        <v>278</v>
      </c>
      <c r="G271" s="25">
        <f t="shared" si="2"/>
        <v>-1.9681444658618208E-2</v>
      </c>
      <c r="I271" s="49">
        <v>7.2500000000000064E-2</v>
      </c>
      <c r="J271">
        <v>1</v>
      </c>
      <c r="L271" s="49">
        <v>7.0000000000000062E-2</v>
      </c>
      <c r="M271" s="1">
        <f t="shared" si="1"/>
        <v>0.5380040903095723</v>
      </c>
    </row>
    <row r="272" spans="1:13" ht="15">
      <c r="A272" s="45">
        <v>100.31</v>
      </c>
      <c r="B272" s="45">
        <v>100.65</v>
      </c>
      <c r="C272" s="45">
        <v>96.39</v>
      </c>
      <c r="D272" s="45">
        <v>98.88</v>
      </c>
      <c r="E272" s="45">
        <v>33254367</v>
      </c>
      <c r="F272" s="45" t="s">
        <v>279</v>
      </c>
      <c r="G272" s="25">
        <f t="shared" si="2"/>
        <v>1.4461974110032472E-2</v>
      </c>
      <c r="I272" s="49">
        <v>7.5000000000000067E-2</v>
      </c>
      <c r="J272">
        <v>0</v>
      </c>
      <c r="L272" s="49">
        <v>7.2500000000000064E-2</v>
      </c>
      <c r="M272" s="1">
        <f t="shared" si="1"/>
        <v>0.42280621228831278</v>
      </c>
    </row>
    <row r="273" spans="1:13" ht="15">
      <c r="A273" s="45">
        <v>98.85</v>
      </c>
      <c r="B273" s="45">
        <v>101.08</v>
      </c>
      <c r="C273" s="45">
        <v>98.27</v>
      </c>
      <c r="D273" s="45">
        <v>99.05</v>
      </c>
      <c r="E273" s="45">
        <v>28984978</v>
      </c>
      <c r="F273" s="45" t="s">
        <v>280</v>
      </c>
      <c r="G273" s="25">
        <f t="shared" si="2"/>
        <v>-2.0191822311963481E-3</v>
      </c>
      <c r="I273" s="49">
        <v>7.7499999999999999E-2</v>
      </c>
      <c r="J273">
        <v>3</v>
      </c>
      <c r="L273" s="49">
        <v>7.5000000000000067E-2</v>
      </c>
      <c r="M273" s="1">
        <f t="shared" si="1"/>
        <v>0.32947137088992728</v>
      </c>
    </row>
    <row r="274" spans="1:13" ht="15">
      <c r="A274" s="45">
        <v>101.67</v>
      </c>
      <c r="B274" s="45">
        <v>101.84</v>
      </c>
      <c r="C274" s="45">
        <v>98.87</v>
      </c>
      <c r="D274" s="45">
        <v>100.36</v>
      </c>
      <c r="E274" s="45">
        <v>27855488</v>
      </c>
      <c r="F274" s="45" t="s">
        <v>281</v>
      </c>
      <c r="G274" s="25">
        <f t="shared" si="2"/>
        <v>1.3053009166998919E-2</v>
      </c>
      <c r="I274" s="49">
        <v>0.08</v>
      </c>
      <c r="J274">
        <v>1</v>
      </c>
      <c r="L274" s="49">
        <v>7.7499999999999999E-2</v>
      </c>
      <c r="M274" s="1">
        <f>_xlfn.NORM.DIST(L274,$K$199,$K$201,FALSE)</f>
        <v>0.25457429343321114</v>
      </c>
    </row>
    <row r="275" spans="1:13" ht="15">
      <c r="A275" s="45">
        <v>100.75</v>
      </c>
      <c r="B275" s="45">
        <v>103.18</v>
      </c>
      <c r="C275" s="45">
        <v>95.89</v>
      </c>
      <c r="D275" s="45">
        <v>96</v>
      </c>
      <c r="E275" s="45">
        <v>54156941</v>
      </c>
      <c r="F275" s="45" t="s">
        <v>282</v>
      </c>
      <c r="G275" s="25">
        <f t="shared" si="2"/>
        <v>4.9479166666666741E-2</v>
      </c>
      <c r="I275" s="49">
        <v>8.2500000000000004E-2</v>
      </c>
      <c r="J275">
        <v>2</v>
      </c>
      <c r="L275" s="49">
        <v>0.08</v>
      </c>
      <c r="M275" s="1">
        <f>_xlfn.NORM.DIST(L275,$K$199,$K$201,FALSE)</f>
        <v>0.19504371128949619</v>
      </c>
    </row>
    <row r="276" spans="1:13" ht="15.75" thickBot="1">
      <c r="A276" s="45">
        <v>98.23</v>
      </c>
      <c r="B276" s="45">
        <v>102.34</v>
      </c>
      <c r="C276" s="45">
        <v>97.09</v>
      </c>
      <c r="D276" s="45">
        <v>101.515</v>
      </c>
      <c r="E276" s="45">
        <v>38957988</v>
      </c>
      <c r="F276" s="45" t="s">
        <v>283</v>
      </c>
      <c r="G276" s="25">
        <f t="shared" si="2"/>
        <v>-3.2359749790671244E-2</v>
      </c>
      <c r="I276" s="50" t="s">
        <v>1493</v>
      </c>
      <c r="J276" s="50">
        <v>15</v>
      </c>
      <c r="L276" s="49">
        <v>8.2500000000000004E-2</v>
      </c>
      <c r="M276" s="1">
        <f>_xlfn.NORM.DIST(L276,$K$199,$K$201,FALSE)</f>
        <v>0.14817328117141351</v>
      </c>
    </row>
    <row r="277" spans="1:13" ht="15">
      <c r="A277" s="45">
        <v>99.86</v>
      </c>
      <c r="B277" s="45">
        <v>101.8</v>
      </c>
      <c r="C277" s="45">
        <v>98.69</v>
      </c>
      <c r="D277" s="45">
        <v>99.56</v>
      </c>
      <c r="E277" s="45">
        <v>45194576</v>
      </c>
      <c r="F277" s="45" t="s">
        <v>284</v>
      </c>
      <c r="G277" s="25">
        <f t="shared" si="2"/>
        <v>3.0132583366813126E-3</v>
      </c>
      <c r="L277" s="49">
        <v>8.5000000000000006E-2</v>
      </c>
      <c r="M277" s="1">
        <f>_xlfn.NORM.DIST(L277,$K$199,$K$201,FALSE)</f>
        <v>0.11161649611998654</v>
      </c>
    </row>
    <row r="278" spans="1:13" ht="15" customHeight="1">
      <c r="A278" s="45">
        <v>99.51</v>
      </c>
      <c r="B278" s="45">
        <v>105.76</v>
      </c>
      <c r="C278" s="45">
        <v>99.5</v>
      </c>
      <c r="D278" s="45">
        <v>105.08</v>
      </c>
      <c r="E278" s="45">
        <v>47263727</v>
      </c>
      <c r="F278" s="45" t="s">
        <v>285</v>
      </c>
      <c r="G278" s="25">
        <f t="shared" si="2"/>
        <v>-5.3007232584697306E-2</v>
      </c>
    </row>
    <row r="279" spans="1:13">
      <c r="A279" s="45">
        <v>104.74</v>
      </c>
      <c r="B279" s="45">
        <v>105.79989999999999</v>
      </c>
      <c r="C279" s="45">
        <v>103.99</v>
      </c>
      <c r="D279" s="45">
        <v>104.94499999999999</v>
      </c>
      <c r="E279" s="45">
        <v>29178213</v>
      </c>
      <c r="F279" s="45" t="s">
        <v>286</v>
      </c>
      <c r="G279" s="25">
        <f t="shared" si="2"/>
        <v>-1.953404164085959E-3</v>
      </c>
    </row>
    <row r="280" spans="1:13">
      <c r="A280" s="45">
        <v>103.96</v>
      </c>
      <c r="B280" s="45">
        <v>108.64</v>
      </c>
      <c r="C280" s="45">
        <v>103.62</v>
      </c>
      <c r="D280" s="45">
        <v>107.88500000000001</v>
      </c>
      <c r="E280" s="45">
        <v>39169161</v>
      </c>
      <c r="F280" s="45" t="s">
        <v>287</v>
      </c>
      <c r="G280" s="25">
        <f t="shared" si="2"/>
        <v>-3.6381331973861175E-2</v>
      </c>
    </row>
    <row r="281" spans="1:13">
      <c r="A281" s="45">
        <v>108.11</v>
      </c>
      <c r="B281" s="45">
        <v>111.6</v>
      </c>
      <c r="C281" s="45">
        <v>107.98</v>
      </c>
      <c r="D281" s="45">
        <v>111.49</v>
      </c>
      <c r="E281" s="45">
        <v>29072208</v>
      </c>
      <c r="F281" s="45" t="s">
        <v>288</v>
      </c>
      <c r="G281" s="25">
        <f t="shared" si="2"/>
        <v>-3.0316620324692733E-2</v>
      </c>
    </row>
    <row r="282" spans="1:13">
      <c r="A282" s="45">
        <v>110.84</v>
      </c>
      <c r="B282" s="45">
        <v>115.76</v>
      </c>
      <c r="C282" s="45">
        <v>110.43</v>
      </c>
      <c r="D282" s="45">
        <v>114.845</v>
      </c>
      <c r="E282" s="45">
        <v>41353683</v>
      </c>
      <c r="F282" s="45" t="s">
        <v>289</v>
      </c>
      <c r="G282" s="25">
        <f t="shared" si="2"/>
        <v>-3.4873089816709446E-2</v>
      </c>
    </row>
    <row r="283" spans="1:13">
      <c r="A283" s="45">
        <v>114.17</v>
      </c>
      <c r="B283" s="45">
        <v>116.55</v>
      </c>
      <c r="C283" s="45">
        <v>113.105</v>
      </c>
      <c r="D283" s="45">
        <v>115.01</v>
      </c>
      <c r="E283" s="45">
        <v>27219565</v>
      </c>
      <c r="F283" s="45" t="s">
        <v>290</v>
      </c>
      <c r="G283" s="25">
        <f t="shared" si="2"/>
        <v>-7.3037127206330155E-3</v>
      </c>
    </row>
    <row r="284" spans="1:13">
      <c r="A284" s="45">
        <v>114.69</v>
      </c>
      <c r="B284" s="45">
        <v>116.11</v>
      </c>
      <c r="C284" s="45">
        <v>113.14</v>
      </c>
      <c r="D284" s="45">
        <v>114.245</v>
      </c>
      <c r="E284" s="45">
        <v>28807709</v>
      </c>
      <c r="F284" s="45" t="s">
        <v>291</v>
      </c>
      <c r="G284" s="25">
        <f t="shared" si="2"/>
        <v>3.8951376427851514E-3</v>
      </c>
    </row>
    <row r="285" spans="1:13">
      <c r="A285" s="45">
        <v>114.28</v>
      </c>
      <c r="B285" s="45">
        <v>115.55</v>
      </c>
      <c r="C285" s="45">
        <v>113.45</v>
      </c>
      <c r="D285" s="45">
        <v>114.05</v>
      </c>
      <c r="E285" s="45">
        <v>31720307</v>
      </c>
      <c r="F285" s="45" t="s">
        <v>292</v>
      </c>
      <c r="G285" s="25">
        <f t="shared" si="2"/>
        <v>2.0166593599297844E-3</v>
      </c>
    </row>
    <row r="286" spans="1:13">
      <c r="A286" s="45">
        <v>113.1</v>
      </c>
      <c r="B286" s="45">
        <v>114.63</v>
      </c>
      <c r="C286" s="45">
        <v>111.7</v>
      </c>
      <c r="D286" s="45">
        <v>112.65</v>
      </c>
      <c r="E286" s="45">
        <v>32477159</v>
      </c>
      <c r="F286" s="45" t="s">
        <v>293</v>
      </c>
      <c r="G286" s="25">
        <f t="shared" si="2"/>
        <v>3.9946737683087541E-3</v>
      </c>
    </row>
    <row r="287" spans="1:13">
      <c r="A287" s="45">
        <v>111.81</v>
      </c>
      <c r="B287" s="45">
        <v>114.6</v>
      </c>
      <c r="C287" s="45">
        <v>110.4</v>
      </c>
      <c r="D287" s="45">
        <v>112</v>
      </c>
      <c r="E287" s="45">
        <v>40911804</v>
      </c>
      <c r="F287" s="45" t="s">
        <v>294</v>
      </c>
      <c r="G287" s="25">
        <f t="shared" si="2"/>
        <v>-1.6964285714285987E-3</v>
      </c>
    </row>
    <row r="288" spans="1:13">
      <c r="A288" s="45">
        <v>111.72</v>
      </c>
      <c r="B288" s="45">
        <v>111.8356</v>
      </c>
      <c r="C288" s="45">
        <v>109.06489999999999</v>
      </c>
      <c r="D288" s="45">
        <v>109.52</v>
      </c>
      <c r="E288" s="45">
        <v>25319729</v>
      </c>
      <c r="F288" s="45" t="s">
        <v>295</v>
      </c>
      <c r="G288" s="25">
        <f t="shared" si="2"/>
        <v>2.0087655222790435E-2</v>
      </c>
    </row>
    <row r="289" spans="1:7">
      <c r="A289" s="45">
        <v>111.1</v>
      </c>
      <c r="B289" s="45">
        <v>113.07</v>
      </c>
      <c r="C289" s="45">
        <v>108.94</v>
      </c>
      <c r="D289" s="45">
        <v>108.98</v>
      </c>
      <c r="E289" s="45">
        <v>35033759</v>
      </c>
      <c r="F289" s="45" t="s">
        <v>296</v>
      </c>
      <c r="G289" s="25">
        <f t="shared" si="2"/>
        <v>1.9453110662506878E-2</v>
      </c>
    </row>
    <row r="290" spans="1:7">
      <c r="A290" s="45">
        <v>110.48</v>
      </c>
      <c r="B290" s="45">
        <v>111.4</v>
      </c>
      <c r="C290" s="45">
        <v>108.15</v>
      </c>
      <c r="D290" s="45">
        <v>108.44</v>
      </c>
      <c r="E290" s="45">
        <v>34905359</v>
      </c>
      <c r="F290" s="45" t="s">
        <v>297</v>
      </c>
      <c r="G290" s="25">
        <f t="shared" si="2"/>
        <v>1.8812246403541177E-2</v>
      </c>
    </row>
    <row r="291" spans="1:7">
      <c r="A291" s="45">
        <v>107.56</v>
      </c>
      <c r="B291" s="45">
        <v>109.92</v>
      </c>
      <c r="C291" s="45">
        <v>106.79</v>
      </c>
      <c r="D291" s="45">
        <v>109.13</v>
      </c>
      <c r="E291" s="45">
        <v>46082499</v>
      </c>
      <c r="F291" s="45" t="s">
        <v>298</v>
      </c>
      <c r="G291" s="25">
        <f t="shared" si="2"/>
        <v>-1.4386511500045773E-2</v>
      </c>
    </row>
    <row r="292" spans="1:7">
      <c r="A292" s="45">
        <v>110.16</v>
      </c>
      <c r="B292" s="45">
        <v>112.56</v>
      </c>
      <c r="C292" s="45">
        <v>109.02</v>
      </c>
      <c r="D292" s="45">
        <v>110.93</v>
      </c>
      <c r="E292" s="45">
        <v>50426590</v>
      </c>
      <c r="F292" s="45" t="s">
        <v>299</v>
      </c>
      <c r="G292" s="25">
        <f t="shared" si="2"/>
        <v>-6.9413143423782131E-3</v>
      </c>
    </row>
    <row r="293" spans="1:7">
      <c r="A293" s="45">
        <v>112.01</v>
      </c>
      <c r="B293" s="45">
        <v>112.09</v>
      </c>
      <c r="C293" s="45">
        <v>106.5</v>
      </c>
      <c r="D293" s="45">
        <v>107.61</v>
      </c>
      <c r="E293" s="45">
        <v>110609343</v>
      </c>
      <c r="F293" s="45" t="s">
        <v>300</v>
      </c>
      <c r="G293" s="25">
        <f t="shared" si="2"/>
        <v>4.0888393272000778E-2</v>
      </c>
    </row>
    <row r="294" spans="1:7">
      <c r="A294" s="45">
        <v>119.5</v>
      </c>
      <c r="B294" s="45">
        <v>119.85</v>
      </c>
      <c r="C294" s="45">
        <v>114.79</v>
      </c>
      <c r="D294" s="45">
        <v>115.45</v>
      </c>
      <c r="E294" s="45">
        <v>69412094</v>
      </c>
      <c r="F294" s="45" t="s">
        <v>301</v>
      </c>
      <c r="G294" s="25">
        <f t="shared" si="2"/>
        <v>3.5080121264616793E-2</v>
      </c>
    </row>
    <row r="295" spans="1:7">
      <c r="A295" s="45">
        <v>114.27</v>
      </c>
      <c r="B295" s="45">
        <v>115.16</v>
      </c>
      <c r="C295" s="45">
        <v>112.98</v>
      </c>
      <c r="D295" s="45">
        <v>113.875</v>
      </c>
      <c r="E295" s="45">
        <v>34586051</v>
      </c>
      <c r="F295" s="45" t="s">
        <v>302</v>
      </c>
      <c r="G295" s="25">
        <f t="shared" si="2"/>
        <v>3.4687156970361066E-3</v>
      </c>
    </row>
    <row r="296" spans="1:7">
      <c r="A296" s="45">
        <v>115.95</v>
      </c>
      <c r="B296" s="45">
        <v>119.565</v>
      </c>
      <c r="C296" s="45">
        <v>115.33</v>
      </c>
      <c r="D296" s="45">
        <v>119.14</v>
      </c>
      <c r="E296" s="45">
        <v>40533565</v>
      </c>
      <c r="F296" s="45" t="s">
        <v>303</v>
      </c>
      <c r="G296" s="25">
        <f t="shared" si="2"/>
        <v>-2.6775222427396272E-2</v>
      </c>
    </row>
    <row r="297" spans="1:7">
      <c r="A297" s="45">
        <v>118.86</v>
      </c>
      <c r="B297" s="45">
        <v>120.44</v>
      </c>
      <c r="C297" s="45">
        <v>117.09</v>
      </c>
      <c r="D297" s="45">
        <v>118.53</v>
      </c>
      <c r="E297" s="45">
        <v>29788383</v>
      </c>
      <c r="F297" s="45" t="s">
        <v>304</v>
      </c>
      <c r="G297" s="25">
        <f t="shared" si="2"/>
        <v>2.7841052898001095E-3</v>
      </c>
    </row>
    <row r="298" spans="1:7">
      <c r="A298" s="45">
        <v>117.35</v>
      </c>
      <c r="B298" s="45">
        <v>118.52</v>
      </c>
      <c r="C298" s="45">
        <v>114.96</v>
      </c>
      <c r="D298" s="45">
        <v>115.77</v>
      </c>
      <c r="E298" s="45">
        <v>40199052</v>
      </c>
      <c r="F298" s="45" t="s">
        <v>305</v>
      </c>
      <c r="G298" s="25">
        <f t="shared" si="2"/>
        <v>1.3647749848838098E-2</v>
      </c>
    </row>
    <row r="299" spans="1:7">
      <c r="A299" s="45">
        <v>114.17</v>
      </c>
      <c r="B299" s="45">
        <v>116.15</v>
      </c>
      <c r="C299" s="45">
        <v>112.95</v>
      </c>
      <c r="D299" s="45">
        <v>115.175</v>
      </c>
      <c r="E299" s="45">
        <v>40554760</v>
      </c>
      <c r="F299" s="45" t="s">
        <v>306</v>
      </c>
      <c r="G299" s="25">
        <f t="shared" si="2"/>
        <v>-8.7258519644020094E-3</v>
      </c>
    </row>
    <row r="300" spans="1:7">
      <c r="A300" s="45">
        <v>115.01</v>
      </c>
      <c r="B300" s="45">
        <v>118.08</v>
      </c>
      <c r="C300" s="45">
        <v>112.8</v>
      </c>
      <c r="D300" s="45">
        <v>117.8</v>
      </c>
      <c r="E300" s="45">
        <v>61067888</v>
      </c>
      <c r="F300" s="45" t="s">
        <v>307</v>
      </c>
      <c r="G300" s="25">
        <f t="shared" si="2"/>
        <v>-2.3684210526315752E-2</v>
      </c>
    </row>
    <row r="301" spans="1:7">
      <c r="A301" s="45">
        <v>122.84</v>
      </c>
      <c r="B301" s="45">
        <v>125.25</v>
      </c>
      <c r="C301" s="45">
        <v>122.23</v>
      </c>
      <c r="D301" s="45">
        <v>124.55</v>
      </c>
      <c r="E301" s="45">
        <v>31570300</v>
      </c>
      <c r="F301" s="45" t="s">
        <v>308</v>
      </c>
      <c r="G301" s="25">
        <f t="shared" si="2"/>
        <v>-1.3729425933360018E-2</v>
      </c>
    </row>
    <row r="302" spans="1:7">
      <c r="A302" s="45">
        <v>123.04</v>
      </c>
      <c r="B302" s="45">
        <v>123.71</v>
      </c>
      <c r="C302" s="45">
        <v>120.63</v>
      </c>
      <c r="D302" s="45">
        <v>121.425</v>
      </c>
      <c r="E302" s="45">
        <v>24921108</v>
      </c>
      <c r="F302" s="45" t="s">
        <v>309</v>
      </c>
      <c r="G302" s="25">
        <f t="shared" si="2"/>
        <v>1.3300391187976102E-2</v>
      </c>
    </row>
    <row r="303" spans="1:7">
      <c r="A303" s="45">
        <v>123.75</v>
      </c>
      <c r="B303" s="45">
        <v>125.65</v>
      </c>
      <c r="C303" s="45">
        <v>121.91200000000001</v>
      </c>
      <c r="D303" s="45">
        <v>123.08</v>
      </c>
      <c r="E303" s="45">
        <v>35023842</v>
      </c>
      <c r="F303" s="45" t="s">
        <v>310</v>
      </c>
      <c r="G303" s="25">
        <f t="shared" si="2"/>
        <v>5.4436139096523117E-3</v>
      </c>
    </row>
    <row r="304" spans="1:7">
      <c r="A304" s="45">
        <v>122.28</v>
      </c>
      <c r="B304" s="45">
        <v>123.75</v>
      </c>
      <c r="C304" s="45">
        <v>121.12009999999999</v>
      </c>
      <c r="D304" s="45">
        <v>122.39</v>
      </c>
      <c r="E304" s="45">
        <v>31578832</v>
      </c>
      <c r="F304" s="45" t="s">
        <v>311</v>
      </c>
      <c r="G304" s="25">
        <f t="shared" si="2"/>
        <v>-8.9876623907181319E-4</v>
      </c>
    </row>
    <row r="305" spans="1:7">
      <c r="A305" s="45">
        <v>121.46</v>
      </c>
      <c r="B305" s="45">
        <v>122.74</v>
      </c>
      <c r="C305" s="45">
        <v>120.55</v>
      </c>
      <c r="D305" s="45">
        <v>120.78</v>
      </c>
      <c r="E305" s="45">
        <v>35765924</v>
      </c>
      <c r="F305" s="45" t="s">
        <v>312</v>
      </c>
      <c r="G305" s="25">
        <f t="shared" si="2"/>
        <v>5.6300712038417355E-3</v>
      </c>
    </row>
    <row r="306" spans="1:7">
      <c r="A306" s="45">
        <v>118.44</v>
      </c>
      <c r="B306" s="45">
        <v>121.09</v>
      </c>
      <c r="C306" s="45">
        <v>118.25</v>
      </c>
      <c r="D306" s="45">
        <v>120.24</v>
      </c>
      <c r="E306" s="45">
        <v>29414126</v>
      </c>
      <c r="F306" s="45" t="s">
        <v>313</v>
      </c>
      <c r="G306" s="25">
        <f t="shared" si="2"/>
        <v>-1.4970059880239472E-2</v>
      </c>
    </row>
    <row r="307" spans="1:7">
      <c r="A307" s="45">
        <v>119.96</v>
      </c>
      <c r="B307" s="45">
        <v>120.42</v>
      </c>
      <c r="C307" s="45">
        <v>117.46</v>
      </c>
      <c r="D307" s="45">
        <v>117.55</v>
      </c>
      <c r="E307" s="45">
        <v>38185819</v>
      </c>
      <c r="F307" s="45" t="s">
        <v>314</v>
      </c>
      <c r="G307" s="25">
        <f t="shared" si="2"/>
        <v>2.0501914079115169E-2</v>
      </c>
    </row>
    <row r="308" spans="1:7">
      <c r="A308" s="45">
        <v>116.09</v>
      </c>
      <c r="B308" s="45">
        <v>118.66</v>
      </c>
      <c r="C308" s="45">
        <v>114.5</v>
      </c>
      <c r="D308" s="45">
        <v>118</v>
      </c>
      <c r="E308" s="45">
        <v>37005279</v>
      </c>
      <c r="F308" s="45" t="s">
        <v>315</v>
      </c>
      <c r="G308" s="25">
        <f t="shared" si="2"/>
        <v>-1.6186440677966041E-2</v>
      </c>
    </row>
    <row r="309" spans="1:7">
      <c r="A309" s="45">
        <v>117.32</v>
      </c>
      <c r="B309" s="45">
        <v>117.48</v>
      </c>
      <c r="C309" s="45">
        <v>114.41</v>
      </c>
      <c r="D309" s="45">
        <v>115.28</v>
      </c>
      <c r="E309" s="45">
        <v>39128897</v>
      </c>
      <c r="F309" s="45" t="s">
        <v>316</v>
      </c>
      <c r="G309" s="25">
        <f t="shared" si="2"/>
        <v>1.7696044413601619E-2</v>
      </c>
    </row>
    <row r="310" spans="1:7">
      <c r="A310" s="45">
        <v>116.04</v>
      </c>
      <c r="B310" s="45">
        <v>118.71</v>
      </c>
      <c r="C310" s="45">
        <v>114.45010000000001</v>
      </c>
      <c r="D310" s="45">
        <v>118.18</v>
      </c>
      <c r="E310" s="45">
        <v>59415614</v>
      </c>
      <c r="F310" s="45" t="s">
        <v>317</v>
      </c>
      <c r="G310" s="25">
        <f t="shared" ref="G310:G373" si="3">A310/D310-1</f>
        <v>-1.8107970891859893E-2</v>
      </c>
    </row>
    <row r="311" spans="1:7">
      <c r="A311" s="45">
        <v>121.84</v>
      </c>
      <c r="B311" s="45">
        <v>125.3</v>
      </c>
      <c r="C311" s="45">
        <v>120.12009999999999</v>
      </c>
      <c r="D311" s="45">
        <v>124.51</v>
      </c>
      <c r="E311" s="45">
        <v>46723136</v>
      </c>
      <c r="F311" s="45" t="s">
        <v>318</v>
      </c>
      <c r="G311" s="25">
        <f t="shared" si="3"/>
        <v>-2.1444060718014635E-2</v>
      </c>
    </row>
    <row r="312" spans="1:7">
      <c r="A312" s="45">
        <v>127.33</v>
      </c>
      <c r="B312" s="45">
        <v>131.71</v>
      </c>
      <c r="C312" s="45">
        <v>126.8537</v>
      </c>
      <c r="D312" s="45">
        <v>130.51</v>
      </c>
      <c r="E312" s="45">
        <v>39220408</v>
      </c>
      <c r="F312" s="45" t="s">
        <v>319</v>
      </c>
      <c r="G312" s="25">
        <f t="shared" si="3"/>
        <v>-2.4365948969427564E-2</v>
      </c>
    </row>
    <row r="313" spans="1:7">
      <c r="A313" s="45">
        <v>129.55000000000001</v>
      </c>
      <c r="B313" s="45">
        <v>130.72999999999999</v>
      </c>
      <c r="C313" s="45">
        <v>127.36</v>
      </c>
      <c r="D313" s="45">
        <v>129.07</v>
      </c>
      <c r="E313" s="45">
        <v>48020190</v>
      </c>
      <c r="F313" s="45" t="s">
        <v>320</v>
      </c>
      <c r="G313" s="25">
        <f t="shared" si="3"/>
        <v>3.718912218176218E-3</v>
      </c>
    </row>
    <row r="314" spans="1:7">
      <c r="A314" s="45">
        <v>125.37</v>
      </c>
      <c r="B314" s="45">
        <v>125.56</v>
      </c>
      <c r="C314" s="45">
        <v>121.42</v>
      </c>
      <c r="D314" s="45">
        <v>121.65</v>
      </c>
      <c r="E314" s="45">
        <v>36785299</v>
      </c>
      <c r="F314" s="45" t="s">
        <v>321</v>
      </c>
      <c r="G314" s="25">
        <f t="shared" si="3"/>
        <v>3.0579531442663344E-2</v>
      </c>
    </row>
    <row r="315" spans="1:7">
      <c r="A315" s="45">
        <v>120.63</v>
      </c>
      <c r="B315" s="45">
        <v>123.14</v>
      </c>
      <c r="C315" s="45">
        <v>119.44</v>
      </c>
      <c r="D315" s="45">
        <v>122.29</v>
      </c>
      <c r="E315" s="45">
        <v>34256182</v>
      </c>
      <c r="F315" s="45" t="s">
        <v>322</v>
      </c>
      <c r="G315" s="25">
        <f t="shared" si="3"/>
        <v>-1.357429062065596E-2</v>
      </c>
    </row>
    <row r="316" spans="1:7">
      <c r="A316" s="45">
        <v>120.79</v>
      </c>
      <c r="B316" s="45">
        <v>123.55</v>
      </c>
      <c r="C316" s="45">
        <v>120.13800000000001</v>
      </c>
      <c r="D316" s="45">
        <v>123.1</v>
      </c>
      <c r="E316" s="45">
        <v>30203428</v>
      </c>
      <c r="F316" s="45" t="s">
        <v>323</v>
      </c>
      <c r="G316" s="25">
        <f t="shared" si="3"/>
        <v>-1.8765231519090042E-2</v>
      </c>
    </row>
    <row r="317" spans="1:7">
      <c r="A317" s="45">
        <v>122.44</v>
      </c>
      <c r="B317" s="45">
        <v>124.1</v>
      </c>
      <c r="C317" s="45">
        <v>122.35</v>
      </c>
      <c r="D317" s="45">
        <v>123.562</v>
      </c>
      <c r="E317" s="45">
        <v>30501637</v>
      </c>
      <c r="F317" s="45" t="s">
        <v>324</v>
      </c>
      <c r="G317" s="25">
        <f t="shared" si="3"/>
        <v>-9.080461630598391E-3</v>
      </c>
    </row>
    <row r="318" spans="1:7">
      <c r="A318" s="45">
        <v>125.19</v>
      </c>
      <c r="B318" s="45">
        <v>126.18</v>
      </c>
      <c r="C318" s="45">
        <v>122.26</v>
      </c>
      <c r="D318" s="45">
        <v>124.37</v>
      </c>
      <c r="E318" s="45">
        <v>32924011</v>
      </c>
      <c r="F318" s="45" t="s">
        <v>325</v>
      </c>
      <c r="G318" s="25">
        <f t="shared" si="3"/>
        <v>6.5932298785880139E-3</v>
      </c>
    </row>
    <row r="319" spans="1:7">
      <c r="A319" s="45">
        <v>125.06</v>
      </c>
      <c r="B319" s="45">
        <v>127.29989999999999</v>
      </c>
      <c r="C319" s="45">
        <v>125.05</v>
      </c>
      <c r="D319" s="45">
        <v>125.52</v>
      </c>
      <c r="E319" s="45">
        <v>25139138</v>
      </c>
      <c r="F319" s="45" t="s">
        <v>326</v>
      </c>
      <c r="G319" s="25">
        <f t="shared" si="3"/>
        <v>-3.6647546207775328E-3</v>
      </c>
    </row>
    <row r="320" spans="1:7">
      <c r="A320" s="45">
        <v>126.29</v>
      </c>
      <c r="B320" s="45">
        <v>127.51</v>
      </c>
      <c r="C320" s="45">
        <v>124.66</v>
      </c>
      <c r="D320" s="45">
        <v>127.51</v>
      </c>
      <c r="E320" s="45">
        <v>24829564</v>
      </c>
      <c r="F320" s="45" t="s">
        <v>327</v>
      </c>
      <c r="G320" s="25">
        <f t="shared" si="3"/>
        <v>-9.5678770292525472E-3</v>
      </c>
    </row>
    <row r="321" spans="1:7">
      <c r="A321" s="45">
        <v>124.6</v>
      </c>
      <c r="B321" s="45">
        <v>126.3387</v>
      </c>
      <c r="C321" s="45">
        <v>120.47</v>
      </c>
      <c r="D321" s="45">
        <v>120.71</v>
      </c>
      <c r="E321" s="45">
        <v>47777898</v>
      </c>
      <c r="F321" s="45" t="s">
        <v>328</v>
      </c>
      <c r="G321" s="25">
        <f t="shared" si="3"/>
        <v>3.2225996189213735E-2</v>
      </c>
    </row>
    <row r="322" spans="1:7">
      <c r="A322" s="45">
        <v>119.21</v>
      </c>
      <c r="B322" s="45">
        <v>121.86</v>
      </c>
      <c r="C322" s="45">
        <v>117.9</v>
      </c>
      <c r="D322" s="45">
        <v>118</v>
      </c>
      <c r="E322" s="45">
        <v>53591212</v>
      </c>
      <c r="F322" s="45" t="s">
        <v>329</v>
      </c>
      <c r="G322" s="25">
        <f t="shared" si="3"/>
        <v>1.025423728813557E-2</v>
      </c>
    </row>
    <row r="323" spans="1:7">
      <c r="A323" s="45">
        <v>118.88</v>
      </c>
      <c r="B323" s="45">
        <v>123.38</v>
      </c>
      <c r="C323" s="45">
        <v>118.45</v>
      </c>
      <c r="D323" s="45">
        <v>122.16</v>
      </c>
      <c r="E323" s="45">
        <v>46160667</v>
      </c>
      <c r="F323" s="45" t="s">
        <v>330</v>
      </c>
      <c r="G323" s="25">
        <f t="shared" si="3"/>
        <v>-2.6850032743942376E-2</v>
      </c>
    </row>
    <row r="324" spans="1:7">
      <c r="A324" s="45">
        <v>121.41</v>
      </c>
      <c r="B324" s="45">
        <v>127.75</v>
      </c>
      <c r="C324" s="45">
        <v>120.43</v>
      </c>
      <c r="D324" s="45">
        <v>125.43</v>
      </c>
      <c r="E324" s="45">
        <v>49724442</v>
      </c>
      <c r="F324" s="45" t="s">
        <v>331</v>
      </c>
      <c r="G324" s="25">
        <f t="shared" si="3"/>
        <v>-3.2049748863908212E-2</v>
      </c>
    </row>
    <row r="325" spans="1:7">
      <c r="A325" s="45">
        <v>125.02</v>
      </c>
      <c r="B325" s="45">
        <v>127.08</v>
      </c>
      <c r="C325" s="45">
        <v>123.15</v>
      </c>
      <c r="D325" s="45">
        <v>124.45</v>
      </c>
      <c r="E325" s="45">
        <v>43314939</v>
      </c>
      <c r="F325" s="45" t="s">
        <v>332</v>
      </c>
      <c r="G325" s="25">
        <f t="shared" si="3"/>
        <v>4.5801526717557106E-3</v>
      </c>
    </row>
    <row r="326" spans="1:7">
      <c r="A326" s="45">
        <v>126.69</v>
      </c>
      <c r="B326" s="45">
        <v>127.76</v>
      </c>
      <c r="C326" s="45">
        <v>123.12</v>
      </c>
      <c r="D326" s="45">
        <v>126.01</v>
      </c>
      <c r="E326" s="45">
        <v>42090277</v>
      </c>
      <c r="F326" s="45" t="s">
        <v>333</v>
      </c>
      <c r="G326" s="25">
        <f t="shared" si="3"/>
        <v>5.396397111340212E-3</v>
      </c>
    </row>
    <row r="327" spans="1:7">
      <c r="A327" s="45">
        <v>126.91</v>
      </c>
      <c r="B327" s="45">
        <v>131.30000000000001</v>
      </c>
      <c r="C327" s="45">
        <v>124.77</v>
      </c>
      <c r="D327" s="45">
        <v>131.30000000000001</v>
      </c>
      <c r="E327" s="45">
        <v>67544738</v>
      </c>
      <c r="F327" s="45" t="s">
        <v>334</v>
      </c>
      <c r="G327" s="25">
        <f t="shared" si="3"/>
        <v>-3.3434881949733541E-2</v>
      </c>
    </row>
    <row r="328" spans="1:7">
      <c r="A328" s="45">
        <v>130.6</v>
      </c>
      <c r="B328" s="45">
        <v>132.32</v>
      </c>
      <c r="C328" s="45">
        <v>129.07</v>
      </c>
      <c r="D328" s="45">
        <v>130</v>
      </c>
      <c r="E328" s="45">
        <v>34267091</v>
      </c>
      <c r="F328" s="45" t="s">
        <v>335</v>
      </c>
      <c r="G328" s="25">
        <f t="shared" si="3"/>
        <v>4.6153846153844658E-3</v>
      </c>
    </row>
    <row r="329" spans="1:7">
      <c r="A329" s="45">
        <v>130.15</v>
      </c>
      <c r="B329" s="45">
        <v>131.21</v>
      </c>
      <c r="C329" s="45">
        <v>126.2201</v>
      </c>
      <c r="D329" s="45">
        <v>128.52000000000001</v>
      </c>
      <c r="E329" s="45">
        <v>45588138</v>
      </c>
      <c r="F329" s="45" t="s">
        <v>336</v>
      </c>
      <c r="G329" s="25">
        <f t="shared" si="3"/>
        <v>1.2682850918144917E-2</v>
      </c>
    </row>
    <row r="330" spans="1:7">
      <c r="A330" s="45">
        <v>127.74</v>
      </c>
      <c r="B330" s="45">
        <v>131.56</v>
      </c>
      <c r="C330" s="45">
        <v>127.07</v>
      </c>
      <c r="D330" s="45">
        <v>131.56</v>
      </c>
      <c r="E330" s="45">
        <v>38907198</v>
      </c>
      <c r="F330" s="45" t="s">
        <v>337</v>
      </c>
      <c r="G330" s="25">
        <f t="shared" si="3"/>
        <v>-2.9036181210094325E-2</v>
      </c>
    </row>
    <row r="331" spans="1:7">
      <c r="A331" s="45">
        <v>130.87</v>
      </c>
      <c r="B331" s="45">
        <v>135.77000000000001</v>
      </c>
      <c r="C331" s="45">
        <v>130</v>
      </c>
      <c r="D331" s="45">
        <v>135.71</v>
      </c>
      <c r="E331" s="45">
        <v>57055558</v>
      </c>
      <c r="F331" s="45" t="s">
        <v>338</v>
      </c>
      <c r="G331" s="25">
        <f t="shared" si="3"/>
        <v>-3.5664284135288549E-2</v>
      </c>
    </row>
    <row r="332" spans="1:7">
      <c r="A332" s="45">
        <v>138.59</v>
      </c>
      <c r="B332" s="45">
        <v>142.7852</v>
      </c>
      <c r="C332" s="45">
        <v>137.4</v>
      </c>
      <c r="D332" s="45">
        <v>141.47999999999999</v>
      </c>
      <c r="E332" s="45">
        <v>33576839</v>
      </c>
      <c r="F332" s="45" t="s">
        <v>339</v>
      </c>
      <c r="G332" s="25">
        <f t="shared" si="3"/>
        <v>-2.0426915465083351E-2</v>
      </c>
    </row>
    <row r="333" spans="1:7">
      <c r="A333" s="45">
        <v>141.36000000000001</v>
      </c>
      <c r="B333" s="45">
        <v>143.94999999999999</v>
      </c>
      <c r="C333" s="45">
        <v>140.38</v>
      </c>
      <c r="D333" s="45">
        <v>143.68</v>
      </c>
      <c r="E333" s="45">
        <v>29576925</v>
      </c>
      <c r="F333" s="45" t="s">
        <v>340</v>
      </c>
      <c r="G333" s="25">
        <f t="shared" si="3"/>
        <v>-1.6146993318485459E-2</v>
      </c>
    </row>
    <row r="334" spans="1:7">
      <c r="A334" s="45">
        <v>143.99</v>
      </c>
      <c r="B334" s="45">
        <v>144.12</v>
      </c>
      <c r="C334" s="45">
        <v>141.18</v>
      </c>
      <c r="D334" s="45">
        <v>142.96</v>
      </c>
      <c r="E334" s="45">
        <v>25942650</v>
      </c>
      <c r="F334" s="45" t="s">
        <v>341</v>
      </c>
      <c r="G334" s="25">
        <f t="shared" si="3"/>
        <v>7.2048125349748471E-3</v>
      </c>
    </row>
    <row r="335" spans="1:7">
      <c r="A335" s="45">
        <v>141.97999999999999</v>
      </c>
      <c r="B335" s="45">
        <v>143.4495</v>
      </c>
      <c r="C335" s="45">
        <v>141.08009999999999</v>
      </c>
      <c r="D335" s="45">
        <v>142.58000000000001</v>
      </c>
      <c r="E335" s="45">
        <v>22665348</v>
      </c>
      <c r="F335" s="45" t="s">
        <v>342</v>
      </c>
      <c r="G335" s="25">
        <f t="shared" si="3"/>
        <v>-4.2081638378456132E-3</v>
      </c>
    </row>
    <row r="336" spans="1:7">
      <c r="A336" s="45">
        <v>142.06</v>
      </c>
      <c r="B336" s="45">
        <v>142.82</v>
      </c>
      <c r="C336" s="45">
        <v>137.80000000000001</v>
      </c>
      <c r="D336" s="45">
        <v>137.91499999999999</v>
      </c>
      <c r="E336" s="45">
        <v>33102438</v>
      </c>
      <c r="F336" s="45" t="s">
        <v>343</v>
      </c>
      <c r="G336" s="25">
        <f t="shared" si="3"/>
        <v>3.005474386397422E-2</v>
      </c>
    </row>
    <row r="337" spans="1:7">
      <c r="A337" s="45">
        <v>137.17500000000001</v>
      </c>
      <c r="B337" s="45">
        <v>138.58760000000001</v>
      </c>
      <c r="C337" s="45">
        <v>135.78</v>
      </c>
      <c r="D337" s="45">
        <v>136.24</v>
      </c>
      <c r="E337" s="45">
        <v>16085714</v>
      </c>
      <c r="F337" s="45" t="s">
        <v>344</v>
      </c>
      <c r="G337" s="25">
        <f t="shared" si="3"/>
        <v>6.8628890193775938E-3</v>
      </c>
    </row>
    <row r="338" spans="1:7">
      <c r="A338" s="45">
        <v>136.24</v>
      </c>
      <c r="B338" s="45">
        <v>137.94</v>
      </c>
      <c r="C338" s="45">
        <v>132.96</v>
      </c>
      <c r="D338" s="45">
        <v>137.19999999999999</v>
      </c>
      <c r="E338" s="45">
        <v>30175287</v>
      </c>
      <c r="F338" s="45" t="s">
        <v>345</v>
      </c>
      <c r="G338" s="25">
        <f t="shared" si="3"/>
        <v>-6.9970845481047705E-3</v>
      </c>
    </row>
    <row r="339" spans="1:7">
      <c r="A339" s="45">
        <v>137.72</v>
      </c>
      <c r="B339" s="45">
        <v>142.80000000000001</v>
      </c>
      <c r="C339" s="45">
        <v>136.62</v>
      </c>
      <c r="D339" s="45">
        <v>142.55000000000001</v>
      </c>
      <c r="E339" s="45">
        <v>32092378</v>
      </c>
      <c r="F339" s="45" t="s">
        <v>346</v>
      </c>
      <c r="G339" s="25">
        <f t="shared" si="3"/>
        <v>-3.3882848123465537E-2</v>
      </c>
    </row>
    <row r="340" spans="1:7">
      <c r="A340" s="45">
        <v>141.13</v>
      </c>
      <c r="B340" s="45">
        <v>142.35</v>
      </c>
      <c r="C340" s="45">
        <v>139.05000000000001</v>
      </c>
      <c r="D340" s="45">
        <v>140.49</v>
      </c>
      <c r="E340" s="45">
        <v>30923110</v>
      </c>
      <c r="F340" s="45" t="s">
        <v>347</v>
      </c>
      <c r="G340" s="25">
        <f t="shared" si="3"/>
        <v>4.5554843761119734E-3</v>
      </c>
    </row>
    <row r="341" spans="1:7">
      <c r="A341" s="45">
        <v>138.35</v>
      </c>
      <c r="B341" s="45">
        <v>139.13</v>
      </c>
      <c r="C341" s="45">
        <v>137.04</v>
      </c>
      <c r="D341" s="45">
        <v>137.35</v>
      </c>
      <c r="E341" s="45">
        <v>21784728</v>
      </c>
      <c r="F341" s="45" t="s">
        <v>348</v>
      </c>
      <c r="G341" s="25">
        <f t="shared" si="3"/>
        <v>7.2806698216236754E-3</v>
      </c>
    </row>
    <row r="342" spans="1:7">
      <c r="A342" s="45">
        <v>137.49</v>
      </c>
      <c r="B342" s="45">
        <v>140.2799</v>
      </c>
      <c r="C342" s="45">
        <v>134.93</v>
      </c>
      <c r="D342" s="45">
        <v>138.87</v>
      </c>
      <c r="E342" s="45">
        <v>29311442</v>
      </c>
      <c r="F342" s="45" t="s">
        <v>349</v>
      </c>
      <c r="G342" s="25">
        <f t="shared" si="3"/>
        <v>-9.9373514798012375E-3</v>
      </c>
    </row>
    <row r="343" spans="1:7">
      <c r="A343" s="45">
        <v>137.6</v>
      </c>
      <c r="B343" s="45">
        <v>140.77000000000001</v>
      </c>
      <c r="C343" s="45">
        <v>135.47999999999999</v>
      </c>
      <c r="D343" s="45">
        <v>138.96</v>
      </c>
      <c r="E343" s="45">
        <v>28843065</v>
      </c>
      <c r="F343" s="45" t="s">
        <v>350</v>
      </c>
      <c r="G343" s="25">
        <f t="shared" si="3"/>
        <v>-9.7869890616005817E-3</v>
      </c>
    </row>
    <row r="344" spans="1:7">
      <c r="A344" s="45">
        <v>139.38999999999999</v>
      </c>
      <c r="B344" s="45">
        <v>139.75</v>
      </c>
      <c r="C344" s="45">
        <v>137.13999999999999</v>
      </c>
      <c r="D344" s="45">
        <v>137.41</v>
      </c>
      <c r="E344" s="45">
        <v>23131352</v>
      </c>
      <c r="F344" s="45" t="s">
        <v>351</v>
      </c>
      <c r="G344" s="25">
        <f t="shared" si="3"/>
        <v>1.4409431627974589E-2</v>
      </c>
    </row>
    <row r="345" spans="1:7">
      <c r="A345" s="45">
        <v>138.93</v>
      </c>
      <c r="B345" s="45">
        <v>140.9</v>
      </c>
      <c r="C345" s="45">
        <v>137.21</v>
      </c>
      <c r="D345" s="45">
        <v>138.185</v>
      </c>
      <c r="E345" s="45">
        <v>38782434</v>
      </c>
      <c r="F345" s="45" t="s">
        <v>352</v>
      </c>
      <c r="G345" s="25">
        <f t="shared" si="3"/>
        <v>5.391323226110023E-3</v>
      </c>
    </row>
    <row r="346" spans="1:7">
      <c r="A346" s="45">
        <v>134.9</v>
      </c>
      <c r="B346" s="45">
        <v>137.35</v>
      </c>
      <c r="C346" s="45">
        <v>133.65</v>
      </c>
      <c r="D346" s="45">
        <v>136.57499999999999</v>
      </c>
      <c r="E346" s="45">
        <v>44217530</v>
      </c>
      <c r="F346" s="45" t="s">
        <v>353</v>
      </c>
      <c r="G346" s="25">
        <f t="shared" si="3"/>
        <v>-1.2264323631704044E-2</v>
      </c>
    </row>
    <row r="347" spans="1:7">
      <c r="A347" s="45">
        <v>138.84</v>
      </c>
      <c r="B347" s="45">
        <v>141.4</v>
      </c>
      <c r="C347" s="45">
        <v>138.56</v>
      </c>
      <c r="D347" s="45">
        <v>140.34</v>
      </c>
      <c r="E347" s="45">
        <v>31681410</v>
      </c>
      <c r="F347" s="45" t="s">
        <v>354</v>
      </c>
      <c r="G347" s="25">
        <f t="shared" si="3"/>
        <v>-1.0688328345446751E-2</v>
      </c>
    </row>
    <row r="348" spans="1:7">
      <c r="A348" s="45">
        <v>139.30000000000001</v>
      </c>
      <c r="B348" s="45">
        <v>144.49</v>
      </c>
      <c r="C348" s="45">
        <v>139.07</v>
      </c>
      <c r="D348" s="45">
        <v>142.86000000000001</v>
      </c>
      <c r="E348" s="45">
        <v>35146648</v>
      </c>
      <c r="F348" s="45" t="s">
        <v>355</v>
      </c>
      <c r="G348" s="25">
        <f t="shared" si="3"/>
        <v>-2.4919501609967809E-2</v>
      </c>
    </row>
    <row r="349" spans="1:7">
      <c r="A349" s="45">
        <v>143.63</v>
      </c>
      <c r="B349" s="45">
        <v>147.44999999999999</v>
      </c>
      <c r="C349" s="45">
        <v>141.55009999999999</v>
      </c>
      <c r="D349" s="45">
        <v>147</v>
      </c>
      <c r="E349" s="45">
        <v>33560287</v>
      </c>
      <c r="F349" s="45" t="s">
        <v>356</v>
      </c>
      <c r="G349" s="25">
        <f t="shared" si="3"/>
        <v>-2.292517006802719E-2</v>
      </c>
    </row>
    <row r="350" spans="1:7">
      <c r="A350" s="45">
        <v>147.35</v>
      </c>
      <c r="B350" s="45">
        <v>148.57</v>
      </c>
      <c r="C350" s="45">
        <v>144.91</v>
      </c>
      <c r="D350" s="45">
        <v>147.38</v>
      </c>
      <c r="E350" s="45">
        <v>29868125</v>
      </c>
      <c r="F350" s="45" t="s">
        <v>357</v>
      </c>
      <c r="G350" s="25">
        <f t="shared" si="3"/>
        <v>-2.0355543493011385E-4</v>
      </c>
    </row>
    <row r="351" spans="1:7">
      <c r="A351" s="45">
        <v>147.94999999999999</v>
      </c>
      <c r="B351" s="45">
        <v>150.71</v>
      </c>
      <c r="C351" s="45">
        <v>147.52500000000001</v>
      </c>
      <c r="D351" s="45">
        <v>149.38999999999999</v>
      </c>
      <c r="E351" s="45">
        <v>27560342</v>
      </c>
      <c r="F351" s="45" t="s">
        <v>358</v>
      </c>
      <c r="G351" s="25">
        <f t="shared" si="3"/>
        <v>-9.6391994109378265E-3</v>
      </c>
    </row>
    <row r="352" spans="1:7">
      <c r="A352" s="45">
        <v>149.82</v>
      </c>
      <c r="B352" s="45">
        <v>150.12</v>
      </c>
      <c r="C352" s="45">
        <v>145.66</v>
      </c>
      <c r="D352" s="45">
        <v>146.68</v>
      </c>
      <c r="E352" s="45">
        <v>30326430</v>
      </c>
      <c r="F352" s="45" t="s">
        <v>359</v>
      </c>
      <c r="G352" s="25">
        <f t="shared" si="3"/>
        <v>2.1407144805017708E-2</v>
      </c>
    </row>
    <row r="353" spans="1:7">
      <c r="A353" s="45">
        <v>145.1</v>
      </c>
      <c r="B353" s="45">
        <v>145.625</v>
      </c>
      <c r="C353" s="45">
        <v>141.52000000000001</v>
      </c>
      <c r="D353" s="45">
        <v>144.94999999999999</v>
      </c>
      <c r="E353" s="45">
        <v>32911499</v>
      </c>
      <c r="F353" s="45" t="s">
        <v>360</v>
      </c>
      <c r="G353" s="25">
        <f t="shared" si="3"/>
        <v>1.0348395998620585E-3</v>
      </c>
    </row>
    <row r="354" spans="1:7">
      <c r="A354" s="45">
        <v>141.66</v>
      </c>
      <c r="B354" s="45">
        <v>143.08000000000001</v>
      </c>
      <c r="C354" s="45">
        <v>140.80000000000001</v>
      </c>
      <c r="D354" s="45">
        <v>141.94</v>
      </c>
      <c r="E354" s="45">
        <v>27067330</v>
      </c>
      <c r="F354" s="45" t="s">
        <v>361</v>
      </c>
      <c r="G354" s="25">
        <f t="shared" si="3"/>
        <v>-1.972664506129318E-3</v>
      </c>
    </row>
    <row r="355" spans="1:7">
      <c r="A355" s="45">
        <v>140.71</v>
      </c>
      <c r="B355" s="45">
        <v>143.63999999999999</v>
      </c>
      <c r="C355" s="45">
        <v>139.72</v>
      </c>
      <c r="D355" s="45">
        <v>141.69999999999999</v>
      </c>
      <c r="E355" s="45">
        <v>29117421</v>
      </c>
      <c r="F355" s="45" t="s">
        <v>362</v>
      </c>
      <c r="G355" s="25">
        <f t="shared" si="3"/>
        <v>-6.9865913902610322E-3</v>
      </c>
    </row>
    <row r="356" spans="1:7">
      <c r="A356" s="45">
        <v>141.86000000000001</v>
      </c>
      <c r="B356" s="45">
        <v>144.54</v>
      </c>
      <c r="C356" s="45">
        <v>141.32</v>
      </c>
      <c r="D356" s="45">
        <v>144.44</v>
      </c>
      <c r="E356" s="45">
        <v>39027430</v>
      </c>
      <c r="F356" s="45" t="s">
        <v>363</v>
      </c>
      <c r="G356" s="25">
        <f t="shared" si="3"/>
        <v>-1.786208806424805E-2</v>
      </c>
    </row>
    <row r="357" spans="1:7">
      <c r="A357" s="45">
        <v>144.07</v>
      </c>
      <c r="B357" s="45">
        <v>148.68</v>
      </c>
      <c r="C357" s="45">
        <v>143.33000000000001</v>
      </c>
      <c r="D357" s="45">
        <v>147.80000000000001</v>
      </c>
      <c r="E357" s="45">
        <v>44386597</v>
      </c>
      <c r="F357" s="45" t="s">
        <v>364</v>
      </c>
      <c r="G357" s="25">
        <f t="shared" si="3"/>
        <v>-2.5236806495263941E-2</v>
      </c>
    </row>
    <row r="358" spans="1:7">
      <c r="A358" s="45">
        <v>148.6</v>
      </c>
      <c r="B358" s="45">
        <v>153.12</v>
      </c>
      <c r="C358" s="45">
        <v>148.1</v>
      </c>
      <c r="D358" s="45">
        <v>153.01</v>
      </c>
      <c r="E358" s="45">
        <v>87701674</v>
      </c>
      <c r="F358" s="45" t="s">
        <v>365</v>
      </c>
      <c r="G358" s="25">
        <f t="shared" si="3"/>
        <v>-2.8821645644075522E-2</v>
      </c>
    </row>
    <row r="359" spans="1:7">
      <c r="A359" s="45">
        <v>166.25</v>
      </c>
      <c r="B359" s="45">
        <v>167.50989999999999</v>
      </c>
      <c r="C359" s="45">
        <v>158.94</v>
      </c>
      <c r="D359" s="45">
        <v>161.1</v>
      </c>
      <c r="E359" s="45">
        <v>71896038</v>
      </c>
      <c r="F359" s="45" t="s">
        <v>366</v>
      </c>
      <c r="G359" s="25">
        <f t="shared" si="3"/>
        <v>3.1967721911855929E-2</v>
      </c>
    </row>
    <row r="360" spans="1:7">
      <c r="A360" s="45">
        <v>159.91999999999999</v>
      </c>
      <c r="B360" s="45">
        <v>160.28</v>
      </c>
      <c r="C360" s="45">
        <v>157.04499999999999</v>
      </c>
      <c r="D360" s="45">
        <v>158.5</v>
      </c>
      <c r="E360" s="45">
        <v>36010134</v>
      </c>
      <c r="F360" s="45" t="s">
        <v>367</v>
      </c>
      <c r="G360" s="25">
        <f t="shared" si="3"/>
        <v>8.9589905362774669E-3</v>
      </c>
    </row>
    <row r="361" spans="1:7">
      <c r="A361" s="45">
        <v>156.22999999999999</v>
      </c>
      <c r="B361" s="45">
        <v>158.91</v>
      </c>
      <c r="C361" s="45">
        <v>155.05000000000001</v>
      </c>
      <c r="D361" s="45">
        <v>155.4</v>
      </c>
      <c r="E361" s="45">
        <v>29758489</v>
      </c>
      <c r="F361" s="45" t="s">
        <v>368</v>
      </c>
      <c r="G361" s="25">
        <f t="shared" si="3"/>
        <v>5.3410553410553341E-3</v>
      </c>
    </row>
    <row r="362" spans="1:7">
      <c r="A362" s="45">
        <v>153.44</v>
      </c>
      <c r="B362" s="45">
        <v>155.19</v>
      </c>
      <c r="C362" s="45">
        <v>152.35</v>
      </c>
      <c r="D362" s="45">
        <v>154.74</v>
      </c>
      <c r="E362" s="45">
        <v>22877016</v>
      </c>
      <c r="F362" s="45" t="s">
        <v>369</v>
      </c>
      <c r="G362" s="25">
        <f t="shared" si="3"/>
        <v>-8.4011890913792131E-3</v>
      </c>
    </row>
    <row r="363" spans="1:7">
      <c r="A363" s="45">
        <v>152.91</v>
      </c>
      <c r="B363" s="45">
        <v>153.44499999999999</v>
      </c>
      <c r="C363" s="45">
        <v>150.52000000000001</v>
      </c>
      <c r="D363" s="45">
        <v>153</v>
      </c>
      <c r="E363" s="45">
        <v>26095933</v>
      </c>
      <c r="F363" s="45" t="s">
        <v>370</v>
      </c>
      <c r="G363" s="25">
        <f t="shared" si="3"/>
        <v>-5.8823529411766717E-4</v>
      </c>
    </row>
    <row r="364" spans="1:7">
      <c r="A364" s="45">
        <v>154.09</v>
      </c>
      <c r="B364" s="45">
        <v>156.74</v>
      </c>
      <c r="C364" s="45">
        <v>151.91</v>
      </c>
      <c r="D364" s="45">
        <v>156.6</v>
      </c>
      <c r="E364" s="45">
        <v>34997352</v>
      </c>
      <c r="F364" s="45" t="s">
        <v>371</v>
      </c>
      <c r="G364" s="25">
        <f t="shared" si="3"/>
        <v>-1.6028097062579794E-2</v>
      </c>
    </row>
    <row r="365" spans="1:7">
      <c r="A365" s="45">
        <v>157.9</v>
      </c>
      <c r="B365" s="45">
        <v>158</v>
      </c>
      <c r="C365" s="45">
        <v>154.15</v>
      </c>
      <c r="D365" s="45">
        <v>155.76</v>
      </c>
      <c r="E365" s="45">
        <v>25781212</v>
      </c>
      <c r="F365" s="45" t="s">
        <v>372</v>
      </c>
      <c r="G365" s="25">
        <f t="shared" si="3"/>
        <v>1.3739085772984216E-2</v>
      </c>
    </row>
    <row r="366" spans="1:7">
      <c r="A366" s="45">
        <v>155.97</v>
      </c>
      <c r="B366" s="45">
        <v>158.01</v>
      </c>
      <c r="C366" s="45">
        <v>155.56</v>
      </c>
      <c r="D366" s="45">
        <v>157.41</v>
      </c>
      <c r="E366" s="45">
        <v>23822985</v>
      </c>
      <c r="F366" s="45" t="s">
        <v>373</v>
      </c>
      <c r="G366" s="25">
        <f t="shared" si="3"/>
        <v>-9.1480846197826704E-3</v>
      </c>
    </row>
    <row r="367" spans="1:7">
      <c r="A367" s="45">
        <v>156.25</v>
      </c>
      <c r="B367" s="45">
        <v>160.44</v>
      </c>
      <c r="C367" s="45">
        <v>156.19999999999999</v>
      </c>
      <c r="D367" s="45">
        <v>160</v>
      </c>
      <c r="E367" s="45">
        <v>29491853</v>
      </c>
      <c r="F367" s="45" t="s">
        <v>374</v>
      </c>
      <c r="G367" s="25">
        <f t="shared" si="3"/>
        <v>-2.34375E-2</v>
      </c>
    </row>
    <row r="368" spans="1:7">
      <c r="A368" s="45">
        <v>156.13</v>
      </c>
      <c r="B368" s="45">
        <v>158.28</v>
      </c>
      <c r="C368" s="45">
        <v>154.91589999999999</v>
      </c>
      <c r="D368" s="45">
        <v>158.07499999999999</v>
      </c>
      <c r="E368" s="45">
        <v>30575773</v>
      </c>
      <c r="F368" s="45" t="s">
        <v>375</v>
      </c>
      <c r="G368" s="25">
        <f t="shared" si="3"/>
        <v>-1.2304285940218262E-2</v>
      </c>
    </row>
    <row r="369" spans="1:7">
      <c r="A369" s="45">
        <v>156.63999999999999</v>
      </c>
      <c r="B369" s="45">
        <v>164.13</v>
      </c>
      <c r="C369" s="45">
        <v>155.74</v>
      </c>
      <c r="D369" s="45">
        <v>163.21</v>
      </c>
      <c r="E369" s="45">
        <v>50768024</v>
      </c>
      <c r="F369" s="45" t="s">
        <v>376</v>
      </c>
      <c r="G369" s="25">
        <f t="shared" si="3"/>
        <v>-4.0254886342748764E-2</v>
      </c>
    </row>
    <row r="370" spans="1:7">
      <c r="A370" s="45">
        <v>165.27</v>
      </c>
      <c r="B370" s="45">
        <v>168.9</v>
      </c>
      <c r="C370" s="45">
        <v>165.15</v>
      </c>
      <c r="D370" s="45">
        <v>167.77</v>
      </c>
      <c r="E370" s="45">
        <v>31757205</v>
      </c>
      <c r="F370" s="45" t="s">
        <v>377</v>
      </c>
      <c r="G370" s="25">
        <f t="shared" si="3"/>
        <v>-1.4901353042856336E-2</v>
      </c>
    </row>
    <row r="371" spans="1:7">
      <c r="A371" s="45">
        <v>167.89</v>
      </c>
      <c r="B371" s="45">
        <v>169.35</v>
      </c>
      <c r="C371" s="45">
        <v>163.01009999999999</v>
      </c>
      <c r="D371" s="45">
        <v>164.185</v>
      </c>
      <c r="E371" s="45">
        <v>42136175</v>
      </c>
      <c r="F371" s="45" t="s">
        <v>378</v>
      </c>
      <c r="G371" s="25">
        <f t="shared" si="3"/>
        <v>2.2566007856990478E-2</v>
      </c>
    </row>
    <row r="372" spans="1:7">
      <c r="A372" s="45">
        <v>164.18</v>
      </c>
      <c r="B372" s="45">
        <v>172.01</v>
      </c>
      <c r="C372" s="45">
        <v>162</v>
      </c>
      <c r="D372" s="45">
        <v>169.76</v>
      </c>
      <c r="E372" s="45">
        <v>75113590</v>
      </c>
      <c r="F372" s="45" t="s">
        <v>379</v>
      </c>
      <c r="G372" s="25">
        <f t="shared" si="3"/>
        <v>-3.286993402450511E-2</v>
      </c>
    </row>
    <row r="373" spans="1:7">
      <c r="A373" s="45">
        <v>171.02</v>
      </c>
      <c r="B373" s="45">
        <v>174.05</v>
      </c>
      <c r="C373" s="45">
        <v>169.55</v>
      </c>
      <c r="D373" s="45">
        <v>174.05</v>
      </c>
      <c r="E373" s="45">
        <v>33890735</v>
      </c>
      <c r="F373" s="45" t="s">
        <v>380</v>
      </c>
      <c r="G373" s="25">
        <f t="shared" si="3"/>
        <v>-1.7408790577420286E-2</v>
      </c>
    </row>
    <row r="374" spans="1:7">
      <c r="A374" s="45">
        <v>172.8</v>
      </c>
      <c r="B374" s="45">
        <v>173.6</v>
      </c>
      <c r="C374" s="45">
        <v>170</v>
      </c>
      <c r="D374" s="45">
        <v>171.75</v>
      </c>
      <c r="E374" s="45">
        <v>34730152</v>
      </c>
      <c r="F374" s="45" t="s">
        <v>381</v>
      </c>
      <c r="G374" s="25">
        <f t="shared" ref="G374:G437" si="4">A374/D374-1</f>
        <v>6.1135371179039666E-3</v>
      </c>
    </row>
    <row r="375" spans="1:7">
      <c r="A375" s="45">
        <v>170.97</v>
      </c>
      <c r="B375" s="45">
        <v>172.41</v>
      </c>
      <c r="C375" s="45">
        <v>168.21</v>
      </c>
      <c r="D375" s="45">
        <v>171.08</v>
      </c>
      <c r="E375" s="45">
        <v>38379930</v>
      </c>
      <c r="F375" s="45" t="s">
        <v>382</v>
      </c>
      <c r="G375" s="25">
        <f t="shared" si="4"/>
        <v>-6.4297404722946094E-4</v>
      </c>
    </row>
    <row r="376" spans="1:7">
      <c r="A376" s="45">
        <v>170.9</v>
      </c>
      <c r="B376" s="45">
        <v>171.21</v>
      </c>
      <c r="C376" s="45">
        <v>164.42</v>
      </c>
      <c r="D376" s="45">
        <v>166.53299999999999</v>
      </c>
      <c r="E376" s="45">
        <v>44640296</v>
      </c>
      <c r="F376" s="45" t="s">
        <v>383</v>
      </c>
      <c r="G376" s="25">
        <f t="shared" si="4"/>
        <v>2.6223030870758501E-2</v>
      </c>
    </row>
    <row r="377" spans="1:7">
      <c r="A377" s="45">
        <v>162.85</v>
      </c>
      <c r="B377" s="45">
        <v>166.7894</v>
      </c>
      <c r="C377" s="45">
        <v>159.4</v>
      </c>
      <c r="D377" s="45">
        <v>159.71</v>
      </c>
      <c r="E377" s="45">
        <v>29598787</v>
      </c>
      <c r="F377" s="45" t="s">
        <v>384</v>
      </c>
      <c r="G377" s="25">
        <f t="shared" si="4"/>
        <v>1.9660634900757534E-2</v>
      </c>
    </row>
    <row r="378" spans="1:7">
      <c r="A378" s="45">
        <v>159.78</v>
      </c>
      <c r="B378" s="45">
        <v>163.1</v>
      </c>
      <c r="C378" s="45">
        <v>158.66890000000001</v>
      </c>
      <c r="D378" s="45">
        <v>159.31</v>
      </c>
      <c r="E378" s="45">
        <v>24630431</v>
      </c>
      <c r="F378" s="45" t="s">
        <v>385</v>
      </c>
      <c r="G378" s="25">
        <f t="shared" si="4"/>
        <v>2.9502228359801208E-3</v>
      </c>
    </row>
    <row r="379" spans="1:7">
      <c r="A379" s="45">
        <v>159.75</v>
      </c>
      <c r="B379" s="45">
        <v>165.4</v>
      </c>
      <c r="C379" s="45">
        <v>158.08000000000001</v>
      </c>
      <c r="D379" s="45">
        <v>164.48</v>
      </c>
      <c r="E379" s="45">
        <v>31831860</v>
      </c>
      <c r="F379" s="45" t="s">
        <v>386</v>
      </c>
      <c r="G379" s="25">
        <f t="shared" si="4"/>
        <v>-2.8757295719844311E-2</v>
      </c>
    </row>
    <row r="380" spans="1:7">
      <c r="A380" s="45">
        <v>164.08</v>
      </c>
      <c r="B380" s="45">
        <v>165.08</v>
      </c>
      <c r="C380" s="45">
        <v>162.18</v>
      </c>
      <c r="D380" s="45">
        <v>163.1</v>
      </c>
      <c r="E380" s="45">
        <v>21920300</v>
      </c>
      <c r="F380" s="45" t="s">
        <v>387</v>
      </c>
      <c r="G380" s="25">
        <f t="shared" si="4"/>
        <v>6.0085836909873347E-3</v>
      </c>
    </row>
    <row r="381" spans="1:7">
      <c r="A381" s="45">
        <v>164.35</v>
      </c>
      <c r="B381" s="45">
        <v>168.7286</v>
      </c>
      <c r="C381" s="45">
        <v>163.74</v>
      </c>
      <c r="D381" s="45">
        <v>167.48</v>
      </c>
      <c r="E381" s="45">
        <v>27876037</v>
      </c>
      <c r="F381" s="45" t="s">
        <v>388</v>
      </c>
      <c r="G381" s="25">
        <f t="shared" si="4"/>
        <v>-1.8688798662526818E-2</v>
      </c>
    </row>
    <row r="382" spans="1:7">
      <c r="A382" s="45">
        <v>167.49</v>
      </c>
      <c r="B382" s="45">
        <v>168.68</v>
      </c>
      <c r="C382" s="45">
        <v>164.05</v>
      </c>
      <c r="D382" s="45">
        <v>167.05500000000001</v>
      </c>
      <c r="E382" s="45">
        <v>38044919</v>
      </c>
      <c r="F382" s="45" t="s">
        <v>389</v>
      </c>
      <c r="G382" s="25">
        <f t="shared" si="4"/>
        <v>2.6039328364910741E-3</v>
      </c>
    </row>
    <row r="383" spans="1:7">
      <c r="A383" s="45">
        <v>162.02000000000001</v>
      </c>
      <c r="B383" s="45">
        <v>162.94999999999999</v>
      </c>
      <c r="C383" s="45">
        <v>158.18</v>
      </c>
      <c r="D383" s="45">
        <v>158.5</v>
      </c>
      <c r="E383" s="45">
        <v>35233264</v>
      </c>
      <c r="F383" s="45" t="s">
        <v>390</v>
      </c>
      <c r="G383" s="25">
        <f t="shared" si="4"/>
        <v>2.2208201892744528E-2</v>
      </c>
    </row>
    <row r="384" spans="1:7">
      <c r="A384" s="45">
        <v>158.32</v>
      </c>
      <c r="B384" s="45">
        <v>159.63999999999999</v>
      </c>
      <c r="C384" s="45">
        <v>154.58000000000001</v>
      </c>
      <c r="D384" s="45">
        <v>157.46</v>
      </c>
      <c r="E384" s="45">
        <v>27531200</v>
      </c>
      <c r="F384" s="45" t="s">
        <v>391</v>
      </c>
      <c r="G384" s="25">
        <f t="shared" si="4"/>
        <v>5.4617045598881475E-3</v>
      </c>
    </row>
    <row r="385" spans="1:7">
      <c r="A385" s="45">
        <v>156.75</v>
      </c>
      <c r="B385" s="45">
        <v>157.19</v>
      </c>
      <c r="C385" s="45">
        <v>154.97</v>
      </c>
      <c r="D385" s="45">
        <v>156.44499999999999</v>
      </c>
      <c r="E385" s="45">
        <v>21728542</v>
      </c>
      <c r="F385" s="45" t="s">
        <v>392</v>
      </c>
      <c r="G385" s="25">
        <f t="shared" si="4"/>
        <v>1.949566940458336E-3</v>
      </c>
    </row>
    <row r="386" spans="1:7">
      <c r="A386" s="45">
        <v>155.94999999999999</v>
      </c>
      <c r="B386" s="45">
        <v>157.44999999999999</v>
      </c>
      <c r="C386" s="45">
        <v>152.47</v>
      </c>
      <c r="D386" s="45">
        <v>156</v>
      </c>
      <c r="E386" s="45">
        <v>40248201</v>
      </c>
      <c r="F386" s="45" t="s">
        <v>393</v>
      </c>
      <c r="G386" s="25">
        <f t="shared" si="4"/>
        <v>-3.205128205129304E-4</v>
      </c>
    </row>
    <row r="387" spans="1:7">
      <c r="A387" s="45">
        <v>156.74</v>
      </c>
      <c r="B387" s="45">
        <v>159.25</v>
      </c>
      <c r="C387" s="45">
        <v>152.77000000000001</v>
      </c>
      <c r="D387" s="45">
        <v>153.81</v>
      </c>
      <c r="E387" s="45">
        <v>44499983</v>
      </c>
      <c r="F387" s="45" t="s">
        <v>394</v>
      </c>
      <c r="G387" s="25">
        <f t="shared" si="4"/>
        <v>1.9049476627007289E-2</v>
      </c>
    </row>
    <row r="388" spans="1:7">
      <c r="A388" s="45">
        <v>148.29</v>
      </c>
      <c r="B388" s="45">
        <v>152.82</v>
      </c>
      <c r="C388" s="45">
        <v>148.01</v>
      </c>
      <c r="D388" s="45">
        <v>150.9</v>
      </c>
      <c r="E388" s="45">
        <v>26320083</v>
      </c>
      <c r="F388" s="45" t="s">
        <v>395</v>
      </c>
      <c r="G388" s="25">
        <f t="shared" si="4"/>
        <v>-1.7296222664015981E-2</v>
      </c>
    </row>
    <row r="389" spans="1:7">
      <c r="A389" s="45">
        <v>150.82</v>
      </c>
      <c r="B389" s="45">
        <v>154.04499999999999</v>
      </c>
      <c r="C389" s="45">
        <v>149.22499999999999</v>
      </c>
      <c r="D389" s="45">
        <v>153.55000000000001</v>
      </c>
      <c r="E389" s="45">
        <v>29888994</v>
      </c>
      <c r="F389" s="45" t="s">
        <v>396</v>
      </c>
      <c r="G389" s="25">
        <f t="shared" si="4"/>
        <v>-1.7779225008140775E-2</v>
      </c>
    </row>
    <row r="390" spans="1:7">
      <c r="A390" s="45">
        <v>152.08000000000001</v>
      </c>
      <c r="B390" s="45">
        <v>154.44</v>
      </c>
      <c r="C390" s="45">
        <v>150.91200000000001</v>
      </c>
      <c r="D390" s="45">
        <v>151.69999999999999</v>
      </c>
      <c r="E390" s="45">
        <v>27677761</v>
      </c>
      <c r="F390" s="45" t="s">
        <v>397</v>
      </c>
      <c r="G390" s="25">
        <f t="shared" si="4"/>
        <v>2.5049439683586527E-3</v>
      </c>
    </row>
    <row r="391" spans="1:7">
      <c r="A391" s="45">
        <v>152.31</v>
      </c>
      <c r="B391" s="45">
        <v>153.03</v>
      </c>
      <c r="C391" s="45">
        <v>150.69999999999999</v>
      </c>
      <c r="D391" s="45">
        <v>152.32</v>
      </c>
      <c r="E391" s="45">
        <v>25117241</v>
      </c>
      <c r="F391" s="45" t="s">
        <v>398</v>
      </c>
      <c r="G391" s="25">
        <f t="shared" si="4"/>
        <v>-6.5651260504173692E-5</v>
      </c>
    </row>
    <row r="392" spans="1:7">
      <c r="A392" s="45">
        <v>150.77000000000001</v>
      </c>
      <c r="B392" s="45">
        <v>151.54</v>
      </c>
      <c r="C392" s="45">
        <v>147.65</v>
      </c>
      <c r="D392" s="45">
        <v>148.43</v>
      </c>
      <c r="E392" s="45">
        <v>29286166</v>
      </c>
      <c r="F392" s="45" t="s">
        <v>399</v>
      </c>
      <c r="G392" s="25">
        <f t="shared" si="4"/>
        <v>1.5765007074041604E-2</v>
      </c>
    </row>
    <row r="393" spans="1:7">
      <c r="A393" s="45">
        <v>149.86000000000001</v>
      </c>
      <c r="B393" s="45">
        <v>150.16</v>
      </c>
      <c r="C393" s="45">
        <v>140.71</v>
      </c>
      <c r="D393" s="45">
        <v>145.32499999999999</v>
      </c>
      <c r="E393" s="45">
        <v>50935390</v>
      </c>
      <c r="F393" s="45" t="s">
        <v>400</v>
      </c>
      <c r="G393" s="25">
        <f t="shared" si="4"/>
        <v>3.1205917770514624E-2</v>
      </c>
    </row>
    <row r="394" spans="1:7">
      <c r="A394" s="45">
        <v>142.84</v>
      </c>
      <c r="B394" s="45">
        <v>143.08000000000001</v>
      </c>
      <c r="C394" s="45">
        <v>137.25</v>
      </c>
      <c r="D394" s="45">
        <v>139.06</v>
      </c>
      <c r="E394" s="45">
        <v>37217528</v>
      </c>
      <c r="F394" s="45" t="s">
        <v>401</v>
      </c>
      <c r="G394" s="25">
        <f t="shared" si="4"/>
        <v>2.7182511146267796E-2</v>
      </c>
    </row>
    <row r="395" spans="1:7">
      <c r="A395" s="45">
        <v>138.15</v>
      </c>
      <c r="B395" s="45">
        <v>138.44499999999999</v>
      </c>
      <c r="C395" s="45">
        <v>134.86000000000001</v>
      </c>
      <c r="D395" s="45">
        <v>136.1</v>
      </c>
      <c r="E395" s="45">
        <v>27194508</v>
      </c>
      <c r="F395" s="45" t="s">
        <v>402</v>
      </c>
      <c r="G395" s="25">
        <f t="shared" si="4"/>
        <v>1.5062454077884091E-2</v>
      </c>
    </row>
    <row r="396" spans="1:7">
      <c r="A396" s="45">
        <v>134.35</v>
      </c>
      <c r="B396" s="45">
        <v>139.13</v>
      </c>
      <c r="C396" s="45">
        <v>132.11009999999999</v>
      </c>
      <c r="D396" s="45">
        <v>138.69999999999999</v>
      </c>
      <c r="E396" s="45">
        <v>39993507</v>
      </c>
      <c r="F396" s="45" t="s">
        <v>403</v>
      </c>
      <c r="G396" s="25">
        <f t="shared" si="4"/>
        <v>-3.1362653208363289E-2</v>
      </c>
    </row>
    <row r="397" spans="1:7">
      <c r="A397" s="45">
        <v>139.44</v>
      </c>
      <c r="B397" s="45">
        <v>141.71</v>
      </c>
      <c r="C397" s="45">
        <v>137.83000000000001</v>
      </c>
      <c r="D397" s="45">
        <v>138.19999999999999</v>
      </c>
      <c r="E397" s="45">
        <v>25023021</v>
      </c>
      <c r="F397" s="45" t="s">
        <v>404</v>
      </c>
      <c r="G397" s="25">
        <f t="shared" si="4"/>
        <v>8.9725036179451045E-3</v>
      </c>
    </row>
    <row r="398" spans="1:7">
      <c r="A398" s="45">
        <v>140.87</v>
      </c>
      <c r="B398" s="45">
        <v>143.37</v>
      </c>
      <c r="C398" s="45">
        <v>138.51</v>
      </c>
      <c r="D398" s="45">
        <v>140.505</v>
      </c>
      <c r="E398" s="45">
        <v>42130648</v>
      </c>
      <c r="F398" s="45" t="s">
        <v>405</v>
      </c>
      <c r="G398" s="25">
        <f t="shared" si="4"/>
        <v>2.5977723212697867E-3</v>
      </c>
    </row>
    <row r="399" spans="1:7">
      <c r="A399" s="45">
        <v>136.94</v>
      </c>
      <c r="B399" s="45">
        <v>146.49</v>
      </c>
      <c r="C399" s="45">
        <v>136.1</v>
      </c>
      <c r="D399" s="45">
        <v>146.41</v>
      </c>
      <c r="E399" s="45">
        <v>42172672</v>
      </c>
      <c r="F399" s="45" t="s">
        <v>406</v>
      </c>
      <c r="G399" s="25">
        <f t="shared" si="4"/>
        <v>-6.4681374223072186E-2</v>
      </c>
    </row>
    <row r="400" spans="1:7">
      <c r="A400" s="45">
        <v>148.56</v>
      </c>
      <c r="B400" s="45">
        <v>148.99</v>
      </c>
      <c r="C400" s="45">
        <v>145.25</v>
      </c>
      <c r="D400" s="45">
        <v>147.52000000000001</v>
      </c>
      <c r="E400" s="45">
        <v>31169069</v>
      </c>
      <c r="F400" s="45" t="s">
        <v>407</v>
      </c>
      <c r="G400" s="25">
        <f t="shared" si="4"/>
        <v>7.0498915401300266E-3</v>
      </c>
    </row>
    <row r="401" spans="1:7">
      <c r="A401" s="45">
        <v>145.49</v>
      </c>
      <c r="B401" s="45">
        <v>149.49</v>
      </c>
      <c r="C401" s="45">
        <v>144.47</v>
      </c>
      <c r="D401" s="45">
        <v>146.59</v>
      </c>
      <c r="E401" s="45">
        <v>31602113</v>
      </c>
      <c r="F401" s="45" t="s">
        <v>408</v>
      </c>
      <c r="G401" s="25">
        <f t="shared" si="4"/>
        <v>-7.5039225049456926E-3</v>
      </c>
    </row>
    <row r="402" spans="1:7">
      <c r="A402" s="45">
        <v>146.36000000000001</v>
      </c>
      <c r="B402" s="45">
        <v>150.43</v>
      </c>
      <c r="C402" s="45">
        <v>144.72</v>
      </c>
      <c r="D402" s="45">
        <v>149.4</v>
      </c>
      <c r="E402" s="45">
        <v>34075823</v>
      </c>
      <c r="F402" s="45" t="s">
        <v>409</v>
      </c>
      <c r="G402" s="25">
        <f t="shared" si="4"/>
        <v>-2.0348058902275756E-2</v>
      </c>
    </row>
    <row r="403" spans="1:7">
      <c r="A403" s="45">
        <v>150.5</v>
      </c>
      <c r="B403" s="45">
        <v>151.69999999999999</v>
      </c>
      <c r="C403" s="45">
        <v>148.44</v>
      </c>
      <c r="D403" s="45">
        <v>150.13</v>
      </c>
      <c r="E403" s="45">
        <v>35102650</v>
      </c>
      <c r="F403" s="45" t="s">
        <v>410</v>
      </c>
      <c r="G403" s="25">
        <f t="shared" si="4"/>
        <v>2.4645307400252836E-3</v>
      </c>
    </row>
    <row r="404" spans="1:7">
      <c r="A404" s="45">
        <v>149.99</v>
      </c>
      <c r="B404" s="45">
        <v>158.28</v>
      </c>
      <c r="C404" s="45">
        <v>148.9101</v>
      </c>
      <c r="D404" s="45">
        <v>154.69999999999999</v>
      </c>
      <c r="E404" s="45">
        <v>49893259</v>
      </c>
      <c r="F404" s="45" t="s">
        <v>411</v>
      </c>
      <c r="G404" s="25">
        <f t="shared" si="4"/>
        <v>-3.0446024563671514E-2</v>
      </c>
    </row>
    <row r="405" spans="1:7">
      <c r="A405" s="45">
        <v>154.97999999999999</v>
      </c>
      <c r="B405" s="45">
        <v>156.4</v>
      </c>
      <c r="C405" s="45">
        <v>151.83000000000001</v>
      </c>
      <c r="D405" s="45">
        <v>153.6</v>
      </c>
      <c r="E405" s="45">
        <v>43694642</v>
      </c>
      <c r="F405" s="45" t="s">
        <v>412</v>
      </c>
      <c r="G405" s="25">
        <f t="shared" si="4"/>
        <v>8.9843750000000444E-3</v>
      </c>
    </row>
    <row r="406" spans="1:7">
      <c r="A406" s="45">
        <v>151.69999999999999</v>
      </c>
      <c r="B406" s="45">
        <v>159.84</v>
      </c>
      <c r="C406" s="45">
        <v>151.01</v>
      </c>
      <c r="D406" s="45">
        <v>158.87</v>
      </c>
      <c r="E406" s="45">
        <v>45737257</v>
      </c>
      <c r="F406" s="45" t="s">
        <v>413</v>
      </c>
      <c r="G406" s="25">
        <f t="shared" si="4"/>
        <v>-4.5131239378108035E-2</v>
      </c>
    </row>
    <row r="407" spans="1:7">
      <c r="A407" s="45">
        <v>157.81</v>
      </c>
      <c r="B407" s="45">
        <v>158.65</v>
      </c>
      <c r="C407" s="45">
        <v>155.07</v>
      </c>
      <c r="D407" s="45">
        <v>156.12</v>
      </c>
      <c r="E407" s="45">
        <v>42791246</v>
      </c>
      <c r="F407" s="45" t="s">
        <v>414</v>
      </c>
      <c r="G407" s="25">
        <f t="shared" si="4"/>
        <v>1.0825006405329241E-2</v>
      </c>
    </row>
    <row r="408" spans="1:7">
      <c r="A408" s="45">
        <v>156.4</v>
      </c>
      <c r="B408" s="45">
        <v>162.04</v>
      </c>
      <c r="C408" s="45">
        <v>154.51</v>
      </c>
      <c r="D408" s="45">
        <v>156.49</v>
      </c>
      <c r="E408" s="45">
        <v>76851158</v>
      </c>
      <c r="F408" s="45" t="s">
        <v>415</v>
      </c>
      <c r="G408" s="25">
        <f t="shared" si="4"/>
        <v>-5.7511662087039728E-4</v>
      </c>
    </row>
    <row r="409" spans="1:7">
      <c r="A409" s="45">
        <v>155.28</v>
      </c>
      <c r="B409" s="45">
        <v>155.36500000000001</v>
      </c>
      <c r="C409" s="45">
        <v>147.72</v>
      </c>
      <c r="D409" s="45">
        <v>148.43</v>
      </c>
      <c r="E409" s="45">
        <v>60766854</v>
      </c>
      <c r="F409" s="45" t="s">
        <v>416</v>
      </c>
      <c r="G409" s="25">
        <f t="shared" si="4"/>
        <v>4.614970019537834E-2</v>
      </c>
    </row>
    <row r="410" spans="1:7">
      <c r="A410" s="45">
        <v>148.56</v>
      </c>
      <c r="B410" s="45">
        <v>149.36930000000001</v>
      </c>
      <c r="C410" s="45">
        <v>145.19999999999999</v>
      </c>
      <c r="D410" s="45">
        <v>145.69999999999999</v>
      </c>
      <c r="E410" s="45">
        <v>31123927</v>
      </c>
      <c r="F410" s="45" t="s">
        <v>417</v>
      </c>
      <c r="G410" s="25">
        <f t="shared" si="4"/>
        <v>1.9629375428963813E-2</v>
      </c>
    </row>
    <row r="411" spans="1:7">
      <c r="A411" s="45">
        <v>147.36000000000001</v>
      </c>
      <c r="B411" s="45">
        <v>147.96</v>
      </c>
      <c r="C411" s="45">
        <v>141.81</v>
      </c>
      <c r="D411" s="45">
        <v>143</v>
      </c>
      <c r="E411" s="45">
        <v>43582387</v>
      </c>
      <c r="F411" s="45" t="s">
        <v>418</v>
      </c>
      <c r="G411" s="25">
        <f t="shared" si="4"/>
        <v>3.0489510489510652E-2</v>
      </c>
    </row>
    <row r="412" spans="1:7">
      <c r="A412" s="45">
        <v>140.75</v>
      </c>
      <c r="B412" s="45">
        <v>143.25</v>
      </c>
      <c r="C412" s="45">
        <v>137.63999999999999</v>
      </c>
      <c r="D412" s="45">
        <v>143</v>
      </c>
      <c r="E412" s="45">
        <v>35506434</v>
      </c>
      <c r="F412" s="45" t="s">
        <v>419</v>
      </c>
      <c r="G412" s="25">
        <f t="shared" si="4"/>
        <v>-1.5734265734265729E-2</v>
      </c>
    </row>
    <row r="413" spans="1:7">
      <c r="A413" s="45">
        <v>141.13</v>
      </c>
      <c r="B413" s="45">
        <v>141.19</v>
      </c>
      <c r="C413" s="45">
        <v>137.52000000000001</v>
      </c>
      <c r="D413" s="45">
        <v>138.12</v>
      </c>
      <c r="E413" s="45">
        <v>42218019</v>
      </c>
      <c r="F413" s="45" t="s">
        <v>420</v>
      </c>
      <c r="G413" s="25">
        <f t="shared" si="4"/>
        <v>2.1792644077613499E-2</v>
      </c>
    </row>
    <row r="414" spans="1:7">
      <c r="A414" s="45">
        <v>136.77000000000001</v>
      </c>
      <c r="B414" s="45">
        <v>137.99</v>
      </c>
      <c r="C414" s="45">
        <v>133.22999999999999</v>
      </c>
      <c r="D414" s="45">
        <v>134.44</v>
      </c>
      <c r="E414" s="45">
        <v>39724343</v>
      </c>
      <c r="F414" s="45" t="s">
        <v>421</v>
      </c>
      <c r="G414" s="25">
        <f t="shared" si="4"/>
        <v>1.7331151443022996E-2</v>
      </c>
    </row>
    <row r="415" spans="1:7">
      <c r="A415" s="45">
        <v>134.27000000000001</v>
      </c>
      <c r="B415" s="45">
        <v>135.5</v>
      </c>
      <c r="C415" s="45">
        <v>132.44</v>
      </c>
      <c r="D415" s="45">
        <v>134.69</v>
      </c>
      <c r="E415" s="45">
        <v>40582992</v>
      </c>
      <c r="F415" s="45" t="s">
        <v>422</v>
      </c>
      <c r="G415" s="25">
        <f t="shared" si="4"/>
        <v>-3.1182715866061583E-3</v>
      </c>
    </row>
    <row r="416" spans="1:7">
      <c r="A416" s="45">
        <v>136.32</v>
      </c>
      <c r="B416" s="45">
        <v>136.47999999999999</v>
      </c>
      <c r="C416" s="45">
        <v>128.94</v>
      </c>
      <c r="D416" s="45">
        <v>131.97</v>
      </c>
      <c r="E416" s="45">
        <v>49037454</v>
      </c>
      <c r="F416" s="45" t="s">
        <v>423</v>
      </c>
      <c r="G416" s="25">
        <f t="shared" si="4"/>
        <v>3.2962036826551522E-2</v>
      </c>
    </row>
    <row r="417" spans="1:7">
      <c r="A417" s="45">
        <v>128.66999999999999</v>
      </c>
      <c r="B417" s="45">
        <v>136.24</v>
      </c>
      <c r="C417" s="45">
        <v>128.37</v>
      </c>
      <c r="D417" s="45">
        <v>133.75</v>
      </c>
      <c r="E417" s="45">
        <v>54676492</v>
      </c>
      <c r="F417" s="45" t="s">
        <v>424</v>
      </c>
      <c r="G417" s="25">
        <f t="shared" si="4"/>
        <v>-3.7981308411215053E-2</v>
      </c>
    </row>
    <row r="418" spans="1:7">
      <c r="A418" s="45">
        <v>130.18</v>
      </c>
      <c r="B418" s="45">
        <v>136.44</v>
      </c>
      <c r="C418" s="45">
        <v>129.1</v>
      </c>
      <c r="D418" s="45">
        <v>135.15</v>
      </c>
      <c r="E418" s="45">
        <v>64455613</v>
      </c>
      <c r="F418" s="45" t="s">
        <v>425</v>
      </c>
      <c r="G418" s="25">
        <f t="shared" si="4"/>
        <v>-3.677395486496482E-2</v>
      </c>
    </row>
    <row r="419" spans="1:7">
      <c r="A419" s="45">
        <v>134.82</v>
      </c>
      <c r="B419" s="45">
        <v>139.13999999999999</v>
      </c>
      <c r="C419" s="45">
        <v>121.825</v>
      </c>
      <c r="D419" s="45">
        <v>122.16</v>
      </c>
      <c r="E419" s="45">
        <v>76089361</v>
      </c>
      <c r="F419" s="45" t="s">
        <v>426</v>
      </c>
      <c r="G419" s="25">
        <f t="shared" si="4"/>
        <v>0.10363457760314332</v>
      </c>
    </row>
    <row r="420" spans="1:7">
      <c r="A420" s="45">
        <v>132.5</v>
      </c>
      <c r="B420" s="45">
        <v>137.1</v>
      </c>
      <c r="C420" s="45">
        <v>131.33000000000001</v>
      </c>
      <c r="D420" s="45">
        <v>133.5</v>
      </c>
      <c r="E420" s="45">
        <v>78561997</v>
      </c>
      <c r="F420" s="45" t="s">
        <v>427</v>
      </c>
      <c r="G420" s="25">
        <f t="shared" si="4"/>
        <v>-7.4906367041198685E-3</v>
      </c>
    </row>
    <row r="421" spans="1:7">
      <c r="A421" s="45">
        <v>132.54</v>
      </c>
      <c r="B421" s="45">
        <v>147.29</v>
      </c>
      <c r="C421" s="45">
        <v>130.24</v>
      </c>
      <c r="D421" s="45">
        <v>145</v>
      </c>
      <c r="E421" s="45">
        <v>94731931</v>
      </c>
      <c r="F421" s="45" t="s">
        <v>428</v>
      </c>
      <c r="G421" s="25">
        <f t="shared" si="4"/>
        <v>-8.5931034482758628E-2</v>
      </c>
    </row>
    <row r="422" spans="1:7">
      <c r="A422" s="45">
        <v>144.47999999999999</v>
      </c>
      <c r="B422" s="45">
        <v>153.60300000000001</v>
      </c>
      <c r="C422" s="45">
        <v>140.03</v>
      </c>
      <c r="D422" s="45">
        <v>150.72999999999999</v>
      </c>
      <c r="E422" s="45">
        <v>114306763</v>
      </c>
      <c r="F422" s="45" t="s">
        <v>429</v>
      </c>
      <c r="G422" s="25">
        <f t="shared" si="4"/>
        <v>-4.1464870961321565E-2</v>
      </c>
    </row>
    <row r="423" spans="1:7">
      <c r="A423" s="45">
        <v>138.44</v>
      </c>
      <c r="B423" s="45">
        <v>141.69999999999999</v>
      </c>
      <c r="C423" s="45">
        <v>134.05000000000001</v>
      </c>
      <c r="D423" s="45">
        <v>139.88</v>
      </c>
      <c r="E423" s="45">
        <v>68801709</v>
      </c>
      <c r="F423" s="45" t="s">
        <v>430</v>
      </c>
      <c r="G423" s="25">
        <f t="shared" si="4"/>
        <v>-1.0294538175579016E-2</v>
      </c>
    </row>
    <row r="424" spans="1:7">
      <c r="A424" s="45">
        <v>139.75</v>
      </c>
      <c r="B424" s="45">
        <v>144.58500000000001</v>
      </c>
      <c r="C424" s="45">
        <v>138.75</v>
      </c>
      <c r="D424" s="45">
        <v>141.19</v>
      </c>
      <c r="E424" s="45">
        <v>47447194</v>
      </c>
      <c r="F424" s="45" t="s">
        <v>431</v>
      </c>
      <c r="G424" s="25">
        <f t="shared" si="4"/>
        <v>-1.0199022593668117E-2</v>
      </c>
    </row>
    <row r="425" spans="1:7">
      <c r="A425" s="45">
        <v>139.99</v>
      </c>
      <c r="B425" s="45">
        <v>141.29</v>
      </c>
      <c r="C425" s="45">
        <v>138.27000000000001</v>
      </c>
      <c r="D425" s="45">
        <v>140.32</v>
      </c>
      <c r="E425" s="45">
        <v>49435825</v>
      </c>
      <c r="F425" s="45" t="s">
        <v>432</v>
      </c>
      <c r="G425" s="25">
        <f t="shared" si="4"/>
        <v>-2.3517673888254764E-3</v>
      </c>
    </row>
    <row r="426" spans="1:7">
      <c r="A426" s="45">
        <v>138.32</v>
      </c>
      <c r="B426" s="45">
        <v>144.75</v>
      </c>
      <c r="C426" s="45">
        <v>136.81</v>
      </c>
      <c r="D426" s="45">
        <v>144.07</v>
      </c>
      <c r="E426" s="45">
        <v>60578529</v>
      </c>
      <c r="F426" s="45" t="s">
        <v>433</v>
      </c>
      <c r="G426" s="25">
        <f t="shared" si="4"/>
        <v>-3.9911154299993035E-2</v>
      </c>
    </row>
    <row r="427" spans="1:7">
      <c r="A427" s="45">
        <v>144.63</v>
      </c>
      <c r="B427" s="45">
        <v>153.68</v>
      </c>
      <c r="C427" s="45">
        <v>144.53</v>
      </c>
      <c r="D427" s="45">
        <v>152.72</v>
      </c>
      <c r="E427" s="45">
        <v>49203120</v>
      </c>
      <c r="F427" s="45" t="s">
        <v>434</v>
      </c>
      <c r="G427" s="25">
        <f t="shared" si="4"/>
        <v>-5.2972760607647995E-2</v>
      </c>
    </row>
    <row r="428" spans="1:7">
      <c r="A428" s="45">
        <v>154</v>
      </c>
      <c r="B428" s="45">
        <v>157.05000000000001</v>
      </c>
      <c r="C428" s="45">
        <v>153.80000000000001</v>
      </c>
      <c r="D428" s="45">
        <v>154.94999999999999</v>
      </c>
      <c r="E428" s="45">
        <v>31950579</v>
      </c>
      <c r="F428" s="45" t="s">
        <v>435</v>
      </c>
      <c r="G428" s="25">
        <f t="shared" si="4"/>
        <v>-6.1310100032268E-3</v>
      </c>
    </row>
    <row r="429" spans="1:7">
      <c r="A429" s="45">
        <v>155.87</v>
      </c>
      <c r="B429" s="45">
        <v>156.69999999999999</v>
      </c>
      <c r="C429" s="45">
        <v>152.54499999999999</v>
      </c>
      <c r="D429" s="45">
        <v>154.22999999999999</v>
      </c>
      <c r="E429" s="45">
        <v>43912459</v>
      </c>
      <c r="F429" s="45" t="s">
        <v>436</v>
      </c>
      <c r="G429" s="25">
        <f t="shared" si="4"/>
        <v>1.0633469493613434E-2</v>
      </c>
    </row>
    <row r="430" spans="1:7">
      <c r="A430" s="45">
        <v>151.58000000000001</v>
      </c>
      <c r="B430" s="45">
        <v>155.81</v>
      </c>
      <c r="C430" s="45">
        <v>150.62</v>
      </c>
      <c r="D430" s="45">
        <v>154.86000000000001</v>
      </c>
      <c r="E430" s="45">
        <v>47513063</v>
      </c>
      <c r="F430" s="45" t="s">
        <v>437</v>
      </c>
      <c r="G430" s="25">
        <f t="shared" si="4"/>
        <v>-2.1180421025442375E-2</v>
      </c>
    </row>
    <row r="431" spans="1:7">
      <c r="A431" s="45">
        <v>155.77000000000001</v>
      </c>
      <c r="B431" s="45">
        <v>163.41</v>
      </c>
      <c r="C431" s="45">
        <v>153.19999999999999</v>
      </c>
      <c r="D431" s="45">
        <v>163.41</v>
      </c>
      <c r="E431" s="45">
        <v>69420335</v>
      </c>
      <c r="F431" s="45" t="s">
        <v>438</v>
      </c>
      <c r="G431" s="25">
        <f t="shared" si="4"/>
        <v>-4.6753564653325919E-2</v>
      </c>
    </row>
    <row r="432" spans="1:7">
      <c r="A432" s="45">
        <v>159.43</v>
      </c>
      <c r="B432" s="45">
        <v>169.8</v>
      </c>
      <c r="C432" s="45">
        <v>159.37</v>
      </c>
      <c r="D432" s="45">
        <v>169.8</v>
      </c>
      <c r="E432" s="45">
        <v>76954198</v>
      </c>
      <c r="F432" s="45" t="s">
        <v>439</v>
      </c>
      <c r="G432" s="25">
        <f t="shared" si="4"/>
        <v>-6.107184923439346E-2</v>
      </c>
    </row>
    <row r="433" spans="1:7">
      <c r="A433" s="45">
        <v>177.55</v>
      </c>
      <c r="B433" s="45">
        <v>179.75</v>
      </c>
      <c r="C433" s="45">
        <v>174.53</v>
      </c>
      <c r="D433" s="45">
        <v>179.69</v>
      </c>
      <c r="E433" s="45">
        <v>40633058</v>
      </c>
      <c r="F433" s="45" t="s">
        <v>440</v>
      </c>
      <c r="G433" s="25">
        <f t="shared" si="4"/>
        <v>-1.1909399521397912E-2</v>
      </c>
    </row>
    <row r="434" spans="1:7">
      <c r="A434" s="45">
        <v>179.83</v>
      </c>
      <c r="B434" s="45">
        <v>185.5</v>
      </c>
      <c r="C434" s="45">
        <v>178.54</v>
      </c>
      <c r="D434" s="45">
        <v>184.45</v>
      </c>
      <c r="E434" s="45">
        <v>42202726</v>
      </c>
      <c r="F434" s="45" t="s">
        <v>441</v>
      </c>
      <c r="G434" s="25">
        <f t="shared" si="4"/>
        <v>-2.5047438330170646E-2</v>
      </c>
    </row>
    <row r="435" spans="1:7">
      <c r="A435" s="45">
        <v>181.61</v>
      </c>
      <c r="B435" s="45">
        <v>186.99</v>
      </c>
      <c r="C435" s="45">
        <v>179.69</v>
      </c>
      <c r="D435" s="45">
        <v>182.01499999999999</v>
      </c>
      <c r="E435" s="45">
        <v>50827368</v>
      </c>
      <c r="F435" s="45" t="s">
        <v>442</v>
      </c>
      <c r="G435" s="25">
        <f t="shared" si="4"/>
        <v>-2.2250913386258064E-3</v>
      </c>
    </row>
    <row r="436" spans="1:7">
      <c r="A436" s="45">
        <v>181.94</v>
      </c>
      <c r="B436" s="45">
        <v>187.11</v>
      </c>
      <c r="C436" s="45">
        <v>177.25</v>
      </c>
      <c r="D436" s="45">
        <v>184.07</v>
      </c>
      <c r="E436" s="45">
        <v>59231412</v>
      </c>
      <c r="F436" s="45" t="s">
        <v>443</v>
      </c>
      <c r="G436" s="25">
        <f t="shared" si="4"/>
        <v>-1.1571684685174111E-2</v>
      </c>
    </row>
    <row r="437" spans="1:7">
      <c r="A437" s="45">
        <v>183.96</v>
      </c>
      <c r="B437" s="45">
        <v>187.28</v>
      </c>
      <c r="C437" s="45">
        <v>177.8</v>
      </c>
      <c r="D437" s="45">
        <v>179.99</v>
      </c>
      <c r="E437" s="45">
        <v>90246965</v>
      </c>
      <c r="F437" s="45" t="s">
        <v>444</v>
      </c>
      <c r="G437" s="25">
        <f t="shared" si="4"/>
        <v>2.2056780932274034E-2</v>
      </c>
    </row>
    <row r="438" spans="1:7">
      <c r="A438" s="45">
        <v>177.1</v>
      </c>
      <c r="B438" s="45">
        <v>180.41</v>
      </c>
      <c r="C438" s="45">
        <v>174.7</v>
      </c>
      <c r="D438" s="45">
        <v>177.97</v>
      </c>
      <c r="E438" s="45">
        <v>43471169</v>
      </c>
      <c r="F438" s="45" t="s">
        <v>445</v>
      </c>
      <c r="G438" s="25">
        <f t="shared" ref="G438:G501" si="5">A438/D438-1</f>
        <v>-4.8884643479237821E-3</v>
      </c>
    </row>
    <row r="439" spans="1:7">
      <c r="A439" s="45">
        <v>178.69</v>
      </c>
      <c r="B439" s="45">
        <v>178.95</v>
      </c>
      <c r="C439" s="45">
        <v>173.22</v>
      </c>
      <c r="D439" s="45">
        <v>174.9</v>
      </c>
      <c r="E439" s="45">
        <v>60223422</v>
      </c>
      <c r="F439" s="45" t="s">
        <v>446</v>
      </c>
      <c r="G439" s="25">
        <f t="shared" si="5"/>
        <v>2.1669525443110293E-2</v>
      </c>
    </row>
    <row r="440" spans="1:7">
      <c r="A440" s="45">
        <v>171.9</v>
      </c>
      <c r="B440" s="45">
        <v>174.03960000000001</v>
      </c>
      <c r="C440" s="45">
        <v>165.68</v>
      </c>
      <c r="D440" s="45">
        <v>165.97</v>
      </c>
      <c r="E440" s="45">
        <v>61857052</v>
      </c>
      <c r="F440" s="45" t="s">
        <v>447</v>
      </c>
      <c r="G440" s="25">
        <f t="shared" si="5"/>
        <v>3.5729348677471906E-2</v>
      </c>
    </row>
    <row r="441" spans="1:7">
      <c r="A441" s="45">
        <v>163.9</v>
      </c>
      <c r="B441" s="45">
        <v>165.26</v>
      </c>
      <c r="C441" s="45">
        <v>162.51</v>
      </c>
      <c r="D441" s="45">
        <v>164.2</v>
      </c>
      <c r="E441" s="45">
        <v>26980906</v>
      </c>
      <c r="F441" s="45" t="s">
        <v>448</v>
      </c>
      <c r="G441" s="25">
        <f t="shared" si="5"/>
        <v>-1.8270401948842219E-3</v>
      </c>
    </row>
    <row r="442" spans="1:7">
      <c r="A442" s="45">
        <v>164.31</v>
      </c>
      <c r="B442" s="45">
        <v>164.58</v>
      </c>
      <c r="C442" s="45">
        <v>156.69999999999999</v>
      </c>
      <c r="D442" s="45">
        <v>157.04</v>
      </c>
      <c r="E442" s="45">
        <v>57838610</v>
      </c>
      <c r="F442" s="45" t="s">
        <v>449</v>
      </c>
      <c r="G442" s="25">
        <f t="shared" si="5"/>
        <v>4.6293937850229394E-2</v>
      </c>
    </row>
    <row r="443" spans="1:7">
      <c r="A443" s="45">
        <v>157.69</v>
      </c>
      <c r="B443" s="45">
        <v>161.5068</v>
      </c>
      <c r="C443" s="45">
        <v>153.63999999999999</v>
      </c>
      <c r="D443" s="45">
        <v>161.25</v>
      </c>
      <c r="E443" s="45">
        <v>50436691</v>
      </c>
      <c r="F443" s="45" t="s">
        <v>450</v>
      </c>
      <c r="G443" s="25">
        <f t="shared" si="5"/>
        <v>-2.2077519379844923E-2</v>
      </c>
    </row>
    <row r="444" spans="1:7">
      <c r="A444" s="45">
        <v>162.21</v>
      </c>
      <c r="B444" s="45">
        <v>166.45</v>
      </c>
      <c r="C444" s="45">
        <v>159.41</v>
      </c>
      <c r="D444" s="45">
        <v>160.22999999999999</v>
      </c>
      <c r="E444" s="45">
        <v>56204617</v>
      </c>
      <c r="F444" s="45" t="s">
        <v>451</v>
      </c>
      <c r="G444" s="25">
        <f t="shared" si="5"/>
        <v>1.2357236472570809E-2</v>
      </c>
    </row>
    <row r="445" spans="1:7">
      <c r="A445" s="45">
        <v>159.47</v>
      </c>
      <c r="B445" s="45">
        <v>160.61000000000001</v>
      </c>
      <c r="C445" s="45">
        <v>156.81</v>
      </c>
      <c r="D445" s="45">
        <v>157.18</v>
      </c>
      <c r="E445" s="45">
        <v>34018216</v>
      </c>
      <c r="F445" s="45" t="s">
        <v>452</v>
      </c>
      <c r="G445" s="25">
        <f t="shared" si="5"/>
        <v>1.4569283623870666E-2</v>
      </c>
    </row>
    <row r="446" spans="1:7">
      <c r="A446" s="45">
        <v>157.54</v>
      </c>
      <c r="B446" s="45">
        <v>160.74</v>
      </c>
      <c r="C446" s="45">
        <v>156</v>
      </c>
      <c r="D446" s="45">
        <v>160.6</v>
      </c>
      <c r="E446" s="45">
        <v>36973440</v>
      </c>
      <c r="F446" s="45" t="s">
        <v>453</v>
      </c>
      <c r="G446" s="25">
        <f t="shared" si="5"/>
        <v>-1.9053549190535479E-2</v>
      </c>
    </row>
    <row r="447" spans="1:7">
      <c r="A447" s="45">
        <v>160.25</v>
      </c>
      <c r="B447" s="45">
        <v>161</v>
      </c>
      <c r="C447" s="45">
        <v>156.44999999999999</v>
      </c>
      <c r="D447" s="45">
        <v>160.72999999999999</v>
      </c>
      <c r="E447" s="45">
        <v>40975277</v>
      </c>
      <c r="F447" s="45" t="s">
        <v>454</v>
      </c>
      <c r="G447" s="25">
        <f t="shared" si="5"/>
        <v>-2.986374665588154E-3</v>
      </c>
    </row>
    <row r="448" spans="1:7">
      <c r="A448" s="45">
        <v>160.25</v>
      </c>
      <c r="B448" s="45">
        <v>163.4</v>
      </c>
      <c r="C448" s="45">
        <v>158.19</v>
      </c>
      <c r="D448" s="45">
        <v>159.75</v>
      </c>
      <c r="E448" s="45">
        <v>45954054</v>
      </c>
      <c r="F448" s="45" t="s">
        <v>455</v>
      </c>
      <c r="G448" s="25">
        <f t="shared" si="5"/>
        <v>3.129890453834161E-3</v>
      </c>
    </row>
    <row r="449" spans="1:7">
      <c r="A449" s="45">
        <v>161.22999999999999</v>
      </c>
      <c r="B449" s="45">
        <v>163.19999999999999</v>
      </c>
      <c r="C449" s="45">
        <v>157.88999999999999</v>
      </c>
      <c r="D449" s="45">
        <v>161.75</v>
      </c>
      <c r="E449" s="45">
        <v>61334699</v>
      </c>
      <c r="F449" s="45" t="s">
        <v>456</v>
      </c>
      <c r="G449" s="25">
        <f t="shared" si="5"/>
        <v>-3.2148377125194028E-3</v>
      </c>
    </row>
    <row r="450" spans="1:7">
      <c r="A450" s="45">
        <v>161.78</v>
      </c>
      <c r="B450" s="45">
        <v>166.82</v>
      </c>
      <c r="C450" s="45">
        <v>155.5</v>
      </c>
      <c r="D450" s="45">
        <v>155.82499999999999</v>
      </c>
      <c r="E450" s="45">
        <v>93245732</v>
      </c>
      <c r="F450" s="45" t="s">
        <v>457</v>
      </c>
      <c r="G450" s="25">
        <f t="shared" si="5"/>
        <v>3.8215947376865067E-2</v>
      </c>
    </row>
    <row r="451" spans="1:7">
      <c r="A451" s="45">
        <v>154.63</v>
      </c>
      <c r="B451" s="45">
        <v>157.24</v>
      </c>
      <c r="C451" s="45">
        <v>153.34</v>
      </c>
      <c r="D451" s="45">
        <v>156.99</v>
      </c>
      <c r="E451" s="45">
        <v>51852033</v>
      </c>
      <c r="F451" s="45" t="s">
        <v>458</v>
      </c>
      <c r="G451" s="25">
        <f t="shared" si="5"/>
        <v>-1.5032804637238106E-2</v>
      </c>
    </row>
    <row r="452" spans="1:7">
      <c r="A452" s="45">
        <v>158.4</v>
      </c>
      <c r="B452" s="45">
        <v>159.22999999999999</v>
      </c>
      <c r="C452" s="45">
        <v>154.13499999999999</v>
      </c>
      <c r="D452" s="45">
        <v>158</v>
      </c>
      <c r="E452" s="45">
        <v>44507742</v>
      </c>
      <c r="F452" s="45" t="s">
        <v>459</v>
      </c>
      <c r="G452" s="25">
        <f t="shared" si="5"/>
        <v>2.5316455696202667E-3</v>
      </c>
    </row>
    <row r="453" spans="1:7">
      <c r="A453" s="45">
        <v>159.63</v>
      </c>
      <c r="B453" s="45">
        <v>161.3399</v>
      </c>
      <c r="C453" s="45">
        <v>157.61000000000001</v>
      </c>
      <c r="D453" s="45">
        <v>158.5</v>
      </c>
      <c r="E453" s="45">
        <v>34054023</v>
      </c>
      <c r="F453" s="45" t="s">
        <v>460</v>
      </c>
      <c r="G453" s="25">
        <f t="shared" si="5"/>
        <v>7.1293375394321234E-3</v>
      </c>
    </row>
    <row r="454" spans="1:7">
      <c r="A454" s="45">
        <v>159.9</v>
      </c>
      <c r="B454" s="45">
        <v>162.66</v>
      </c>
      <c r="C454" s="45">
        <v>157.31</v>
      </c>
      <c r="D454" s="45">
        <v>160.4</v>
      </c>
      <c r="E454" s="45">
        <v>44442511</v>
      </c>
      <c r="F454" s="45" t="s">
        <v>461</v>
      </c>
      <c r="G454" s="25">
        <f t="shared" si="5"/>
        <v>-3.1172069825435855E-3</v>
      </c>
    </row>
    <row r="455" spans="1:7">
      <c r="A455" s="45">
        <v>160.24</v>
      </c>
      <c r="B455" s="45">
        <v>162.24</v>
      </c>
      <c r="C455" s="45">
        <v>158.62</v>
      </c>
      <c r="D455" s="45">
        <v>160.32</v>
      </c>
      <c r="E455" s="45">
        <v>48325813</v>
      </c>
      <c r="F455" s="45" t="s">
        <v>462</v>
      </c>
      <c r="G455" s="25">
        <f t="shared" si="5"/>
        <v>-4.9900199600783068E-4</v>
      </c>
    </row>
    <row r="456" spans="1:7">
      <c r="A456" s="45">
        <v>158.96</v>
      </c>
      <c r="B456" s="45">
        <v>161.54</v>
      </c>
      <c r="C456" s="45">
        <v>156.91999999999999</v>
      </c>
      <c r="D456" s="45">
        <v>160.5</v>
      </c>
      <c r="E456" s="45">
        <v>40497092</v>
      </c>
      <c r="F456" s="45" t="s">
        <v>463</v>
      </c>
      <c r="G456" s="25">
        <f t="shared" si="5"/>
        <v>-9.5950155763239175E-3</v>
      </c>
    </row>
    <row r="457" spans="1:7">
      <c r="A457" s="45">
        <v>160.34</v>
      </c>
      <c r="B457" s="45">
        <v>165.55</v>
      </c>
      <c r="C457" s="45">
        <v>159.61000000000001</v>
      </c>
      <c r="D457" s="45">
        <v>162.47999999999999</v>
      </c>
      <c r="E457" s="45">
        <v>67575627</v>
      </c>
      <c r="F457" s="45" t="s">
        <v>464</v>
      </c>
      <c r="G457" s="25">
        <f t="shared" si="5"/>
        <v>-1.3170851797144167E-2</v>
      </c>
    </row>
    <row r="458" spans="1:7">
      <c r="A458" s="45">
        <v>167.87</v>
      </c>
      <c r="B458" s="45">
        <v>169.45</v>
      </c>
      <c r="C458" s="45">
        <v>165.86</v>
      </c>
      <c r="D458" s="45">
        <v>166.59</v>
      </c>
      <c r="E458" s="45">
        <v>44795998</v>
      </c>
      <c r="F458" s="45" t="s">
        <v>465</v>
      </c>
      <c r="G458" s="25">
        <f t="shared" si="5"/>
        <v>7.683534425835914E-3</v>
      </c>
    </row>
    <row r="459" spans="1:7">
      <c r="A459" s="45">
        <v>166.78</v>
      </c>
      <c r="B459" s="45">
        <v>169.51</v>
      </c>
      <c r="C459" s="45">
        <v>163.86</v>
      </c>
      <c r="D459" s="45">
        <v>165.46</v>
      </c>
      <c r="E459" s="45">
        <v>47153676</v>
      </c>
      <c r="F459" s="45" t="s">
        <v>466</v>
      </c>
      <c r="G459" s="25">
        <f t="shared" si="5"/>
        <v>7.9777589749787658E-3</v>
      </c>
    </row>
    <row r="460" spans="1:7">
      <c r="A460" s="45">
        <v>166.17</v>
      </c>
      <c r="B460" s="45">
        <v>167.12</v>
      </c>
      <c r="C460" s="45">
        <v>161.38</v>
      </c>
      <c r="D460" s="45">
        <v>162.07</v>
      </c>
      <c r="E460" s="45">
        <v>60507494</v>
      </c>
      <c r="F460" s="45" t="s">
        <v>467</v>
      </c>
      <c r="G460" s="25">
        <f t="shared" si="5"/>
        <v>2.5297710865675338E-2</v>
      </c>
    </row>
    <row r="461" spans="1:7">
      <c r="A461" s="45">
        <v>159.99</v>
      </c>
      <c r="B461" s="45">
        <v>164.83</v>
      </c>
      <c r="C461" s="45">
        <v>158.87289999999999</v>
      </c>
      <c r="D461" s="45">
        <v>162.84</v>
      </c>
      <c r="E461" s="45">
        <v>48157209</v>
      </c>
      <c r="F461" s="45" t="s">
        <v>468</v>
      </c>
      <c r="G461" s="25">
        <f t="shared" si="5"/>
        <v>-1.7501842299189385E-2</v>
      </c>
    </row>
    <row r="462" spans="1:7">
      <c r="A462" s="45">
        <v>163.55000000000001</v>
      </c>
      <c r="B462" s="45">
        <v>171.08</v>
      </c>
      <c r="C462" s="45">
        <v>160.9101</v>
      </c>
      <c r="D462" s="45">
        <v>170.82</v>
      </c>
      <c r="E462" s="45">
        <v>59157590</v>
      </c>
      <c r="F462" s="45" t="s">
        <v>469</v>
      </c>
      <c r="G462" s="25">
        <f t="shared" si="5"/>
        <v>-4.2559419271747889E-2</v>
      </c>
    </row>
    <row r="463" spans="1:7">
      <c r="A463" s="45">
        <v>166.9</v>
      </c>
      <c r="B463" s="45">
        <v>169.5</v>
      </c>
      <c r="C463" s="45">
        <v>160.07</v>
      </c>
      <c r="D463" s="45">
        <v>166.65</v>
      </c>
      <c r="E463" s="45">
        <v>64331946</v>
      </c>
      <c r="F463" s="45" t="s">
        <v>470</v>
      </c>
      <c r="G463" s="25">
        <f t="shared" si="5"/>
        <v>1.500150015001589E-3</v>
      </c>
    </row>
    <row r="464" spans="1:7">
      <c r="A464" s="45">
        <v>166.75</v>
      </c>
      <c r="B464" s="45">
        <v>168.74690000000001</v>
      </c>
      <c r="C464" s="45">
        <v>163.80000000000001</v>
      </c>
      <c r="D464" s="45">
        <v>167.9</v>
      </c>
      <c r="E464" s="45">
        <v>46479934</v>
      </c>
      <c r="F464" s="45" t="s">
        <v>471</v>
      </c>
      <c r="G464" s="25">
        <f t="shared" si="5"/>
        <v>-6.8493150684931781E-3</v>
      </c>
    </row>
    <row r="465" spans="1:7">
      <c r="A465" s="45">
        <v>165.14</v>
      </c>
      <c r="B465" s="45">
        <v>168.48</v>
      </c>
      <c r="C465" s="45">
        <v>162.91</v>
      </c>
      <c r="D465" s="45">
        <v>167.46</v>
      </c>
      <c r="E465" s="45">
        <v>56537503</v>
      </c>
      <c r="F465" s="45" t="s">
        <v>472</v>
      </c>
      <c r="G465" s="25">
        <f t="shared" si="5"/>
        <v>-1.3854054699629859E-2</v>
      </c>
    </row>
    <row r="466" spans="1:7">
      <c r="A466" s="45">
        <v>171.61</v>
      </c>
      <c r="B466" s="45">
        <v>174.55</v>
      </c>
      <c r="C466" s="45">
        <v>164.96</v>
      </c>
      <c r="D466" s="45">
        <v>169.42</v>
      </c>
      <c r="E466" s="45">
        <v>66495414</v>
      </c>
      <c r="F466" s="45" t="s">
        <v>473</v>
      </c>
      <c r="G466" s="25">
        <f t="shared" si="5"/>
        <v>1.2926454963994916E-2</v>
      </c>
    </row>
    <row r="467" spans="1:7">
      <c r="A467" s="45">
        <v>166.36</v>
      </c>
      <c r="B467" s="45">
        <v>167.66</v>
      </c>
      <c r="C467" s="45">
        <v>160.25</v>
      </c>
      <c r="D467" s="45">
        <v>161.41200000000001</v>
      </c>
      <c r="E467" s="45">
        <v>54868646</v>
      </c>
      <c r="F467" s="45" t="s">
        <v>474</v>
      </c>
      <c r="G467" s="25">
        <f t="shared" si="5"/>
        <v>3.0654474264614873E-2</v>
      </c>
    </row>
    <row r="468" spans="1:7">
      <c r="A468" s="45">
        <v>160.43</v>
      </c>
      <c r="B468" s="45">
        <v>173.14</v>
      </c>
      <c r="C468" s="45">
        <v>158.27000000000001</v>
      </c>
      <c r="D468" s="45">
        <v>170.18</v>
      </c>
      <c r="E468" s="45">
        <v>91888841</v>
      </c>
      <c r="F468" s="45" t="s">
        <v>475</v>
      </c>
      <c r="G468" s="25">
        <f t="shared" si="5"/>
        <v>-5.7292278763662052E-2</v>
      </c>
    </row>
    <row r="469" spans="1:7">
      <c r="A469" s="45">
        <v>165.52</v>
      </c>
      <c r="B469" s="45">
        <v>169.81479999999999</v>
      </c>
      <c r="C469" s="45">
        <v>163.86</v>
      </c>
      <c r="D469" s="45">
        <v>167.41</v>
      </c>
      <c r="E469" s="45">
        <v>47426719</v>
      </c>
      <c r="F469" s="45" t="s">
        <v>476</v>
      </c>
      <c r="G469" s="25">
        <f t="shared" si="5"/>
        <v>-1.1289648169165445E-2</v>
      </c>
    </row>
    <row r="470" spans="1:7">
      <c r="A470" s="45">
        <v>164.66</v>
      </c>
      <c r="B470" s="45">
        <v>165.83</v>
      </c>
      <c r="C470" s="45">
        <v>163.1</v>
      </c>
      <c r="D470" s="45">
        <v>164</v>
      </c>
      <c r="E470" s="45">
        <v>30005478</v>
      </c>
      <c r="F470" s="45" t="s">
        <v>477</v>
      </c>
      <c r="G470" s="25">
        <f t="shared" si="5"/>
        <v>4.0243902439023316E-3</v>
      </c>
    </row>
    <row r="471" spans="1:7">
      <c r="A471" s="45">
        <v>166.33</v>
      </c>
      <c r="B471" s="45">
        <v>168.49</v>
      </c>
      <c r="C471" s="45">
        <v>164.47</v>
      </c>
      <c r="D471" s="45">
        <v>165.55</v>
      </c>
      <c r="E471" s="45">
        <v>45618044</v>
      </c>
      <c r="F471" s="45" t="s">
        <v>478</v>
      </c>
      <c r="G471" s="25">
        <f t="shared" si="5"/>
        <v>4.7115675022650905E-3</v>
      </c>
    </row>
    <row r="472" spans="1:7">
      <c r="A472" s="45">
        <v>164.47</v>
      </c>
      <c r="B472" s="45">
        <v>169.72</v>
      </c>
      <c r="C472" s="45">
        <v>162.32</v>
      </c>
      <c r="D472" s="45">
        <v>168.43</v>
      </c>
      <c r="E472" s="45">
        <v>65944362</v>
      </c>
      <c r="F472" s="45" t="s">
        <v>479</v>
      </c>
      <c r="G472" s="25">
        <f t="shared" si="5"/>
        <v>-2.3511250964792563E-2</v>
      </c>
    </row>
    <row r="473" spans="1:7">
      <c r="A473" s="45">
        <v>162.62</v>
      </c>
      <c r="B473" s="45">
        <v>168.06</v>
      </c>
      <c r="C473" s="45">
        <v>159.9</v>
      </c>
      <c r="D473" s="45">
        <v>160.91999999999999</v>
      </c>
      <c r="E473" s="45">
        <v>76726728</v>
      </c>
      <c r="F473" s="45" t="s">
        <v>480</v>
      </c>
      <c r="G473" s="25">
        <f t="shared" si="5"/>
        <v>1.0564255530698619E-2</v>
      </c>
    </row>
    <row r="474" spans="1:7">
      <c r="A474" s="45">
        <v>159.66999999999999</v>
      </c>
      <c r="B474" s="45">
        <v>159.69</v>
      </c>
      <c r="C474" s="45">
        <v>154.69999999999999</v>
      </c>
      <c r="D474" s="45">
        <v>155.58799999999999</v>
      </c>
      <c r="E474" s="45">
        <v>43195901</v>
      </c>
      <c r="F474" s="45" t="s">
        <v>481</v>
      </c>
      <c r="G474" s="25">
        <f t="shared" si="5"/>
        <v>2.6235956500501256E-2</v>
      </c>
    </row>
    <row r="475" spans="1:7">
      <c r="A475" s="45">
        <v>153.16</v>
      </c>
      <c r="B475" s="45">
        <v>153.4879</v>
      </c>
      <c r="C475" s="45">
        <v>148.78</v>
      </c>
      <c r="D475" s="45">
        <v>150.43</v>
      </c>
      <c r="E475" s="45">
        <v>31938277</v>
      </c>
      <c r="F475" s="45" t="s">
        <v>482</v>
      </c>
      <c r="G475" s="25">
        <f t="shared" si="5"/>
        <v>1.8147975802698779E-2</v>
      </c>
    </row>
    <row r="476" spans="1:7">
      <c r="A476" s="45">
        <v>150.56</v>
      </c>
      <c r="B476" s="45">
        <v>153.33000000000001</v>
      </c>
      <c r="C476" s="45">
        <v>150.4</v>
      </c>
      <c r="D476" s="45">
        <v>151.28</v>
      </c>
      <c r="E476" s="45">
        <v>27859183</v>
      </c>
      <c r="F476" s="45" t="s">
        <v>483</v>
      </c>
      <c r="G476" s="25">
        <f t="shared" si="5"/>
        <v>-4.7593865679534941E-3</v>
      </c>
    </row>
    <row r="477" spans="1:7">
      <c r="A477" s="45">
        <v>151.91999999999999</v>
      </c>
      <c r="B477" s="45">
        <v>156.37</v>
      </c>
      <c r="C477" s="45">
        <v>151.31</v>
      </c>
      <c r="D477" s="45">
        <v>154.28739999999999</v>
      </c>
      <c r="E477" s="45">
        <v>37652770</v>
      </c>
      <c r="F477" s="45" t="s">
        <v>484</v>
      </c>
      <c r="G477" s="25">
        <f t="shared" si="5"/>
        <v>-1.534409161085093E-2</v>
      </c>
    </row>
    <row r="478" spans="1:7">
      <c r="A478" s="45">
        <v>152.38999999999999</v>
      </c>
      <c r="B478" s="45">
        <v>154.09200000000001</v>
      </c>
      <c r="C478" s="45">
        <v>150.61000000000001</v>
      </c>
      <c r="D478" s="45">
        <v>153.13</v>
      </c>
      <c r="E478" s="45">
        <v>33017962</v>
      </c>
      <c r="F478" s="45" t="s">
        <v>485</v>
      </c>
      <c r="G478" s="25">
        <f t="shared" si="5"/>
        <v>-4.8324952654608122E-3</v>
      </c>
    </row>
    <row r="479" spans="1:7">
      <c r="A479" s="45">
        <v>153.62</v>
      </c>
      <c r="B479" s="45">
        <v>155.33000000000001</v>
      </c>
      <c r="C479" s="45">
        <v>152.52000000000001</v>
      </c>
      <c r="D479" s="45">
        <v>153.4</v>
      </c>
      <c r="E479" s="45">
        <v>28727963</v>
      </c>
      <c r="F479" s="45" t="s">
        <v>486</v>
      </c>
      <c r="G479" s="25">
        <f t="shared" si="5"/>
        <v>1.43415906127764E-3</v>
      </c>
    </row>
    <row r="480" spans="1:7">
      <c r="A480" s="45">
        <v>154.43</v>
      </c>
      <c r="B480" s="45">
        <v>157.69999999999999</v>
      </c>
      <c r="C480" s="45">
        <v>153.66</v>
      </c>
      <c r="D480" s="45">
        <v>156.32</v>
      </c>
      <c r="E480" s="45">
        <v>37374906</v>
      </c>
      <c r="F480" s="45" t="s">
        <v>487</v>
      </c>
      <c r="G480" s="25">
        <f t="shared" si="5"/>
        <v>-1.2090583418628342E-2</v>
      </c>
    </row>
    <row r="481" spans="1:7">
      <c r="A481" s="45">
        <v>155.78</v>
      </c>
      <c r="B481" s="45">
        <v>156.65</v>
      </c>
      <c r="C481" s="45">
        <v>151.26</v>
      </c>
      <c r="D481" s="45">
        <v>153.1</v>
      </c>
      <c r="E481" s="45">
        <v>44624546</v>
      </c>
      <c r="F481" s="45" t="s">
        <v>488</v>
      </c>
      <c r="G481" s="25">
        <f t="shared" si="5"/>
        <v>1.7504898758981202E-2</v>
      </c>
    </row>
    <row r="482" spans="1:7">
      <c r="A482" s="45">
        <v>150.6</v>
      </c>
      <c r="B482" s="45">
        <v>150.79</v>
      </c>
      <c r="C482" s="45">
        <v>147.23840000000001</v>
      </c>
      <c r="D482" s="45">
        <v>148.75</v>
      </c>
      <c r="E482" s="45">
        <v>49361081</v>
      </c>
      <c r="F482" s="45" t="s">
        <v>489</v>
      </c>
      <c r="G482" s="25">
        <f t="shared" si="5"/>
        <v>1.2436974789916011E-2</v>
      </c>
    </row>
    <row r="483" spans="1:7">
      <c r="A483" s="45">
        <v>146.16</v>
      </c>
      <c r="B483" s="45">
        <v>147.62</v>
      </c>
      <c r="C483" s="45">
        <v>141.155</v>
      </c>
      <c r="D483" s="45">
        <v>145.51</v>
      </c>
      <c r="E483" s="45">
        <v>50034730</v>
      </c>
      <c r="F483" s="45" t="s">
        <v>490</v>
      </c>
      <c r="G483" s="25">
        <f t="shared" si="5"/>
        <v>4.4670469383547573E-3</v>
      </c>
    </row>
    <row r="484" spans="1:7">
      <c r="A484" s="45">
        <v>144.27000000000001</v>
      </c>
      <c r="B484" s="45">
        <v>151.37</v>
      </c>
      <c r="C484" s="45">
        <v>142.13999999999999</v>
      </c>
      <c r="D484" s="45">
        <v>148.11000000000001</v>
      </c>
      <c r="E484" s="45">
        <v>89413168</v>
      </c>
      <c r="F484" s="45" t="s">
        <v>491</v>
      </c>
      <c r="G484" s="25">
        <f t="shared" si="5"/>
        <v>-2.5926676119100711E-2</v>
      </c>
    </row>
    <row r="485" spans="1:7">
      <c r="A485" s="45">
        <v>158.38</v>
      </c>
      <c r="B485" s="45">
        <v>162.29</v>
      </c>
      <c r="C485" s="45">
        <v>158.35</v>
      </c>
      <c r="D485" s="45">
        <v>160.63</v>
      </c>
      <c r="E485" s="45">
        <v>60742834</v>
      </c>
      <c r="F485" s="45" t="s">
        <v>492</v>
      </c>
      <c r="G485" s="25">
        <f t="shared" si="5"/>
        <v>-1.400734607483034E-2</v>
      </c>
    </row>
    <row r="486" spans="1:7">
      <c r="A486" s="45">
        <v>160.19999999999999</v>
      </c>
      <c r="B486" s="45">
        <v>160.77000000000001</v>
      </c>
      <c r="C486" s="45">
        <v>156.26</v>
      </c>
      <c r="D486" s="45">
        <v>159.08000000000001</v>
      </c>
      <c r="E486" s="45">
        <v>43478221</v>
      </c>
      <c r="F486" s="45" t="s">
        <v>493</v>
      </c>
      <c r="G486" s="25">
        <f t="shared" si="5"/>
        <v>7.0404827759615873E-3</v>
      </c>
    </row>
    <row r="487" spans="1:7">
      <c r="A487" s="45">
        <v>157.4</v>
      </c>
      <c r="B487" s="45">
        <v>158.63</v>
      </c>
      <c r="C487" s="45">
        <v>153.42519999999999</v>
      </c>
      <c r="D487" s="45">
        <v>154.24</v>
      </c>
      <c r="E487" s="45">
        <v>42510708</v>
      </c>
      <c r="F487" s="45" t="s">
        <v>494</v>
      </c>
      <c r="G487" s="25">
        <f t="shared" si="5"/>
        <v>2.0487551867219844E-2</v>
      </c>
    </row>
    <row r="488" spans="1:7">
      <c r="A488" s="45">
        <v>153.76</v>
      </c>
      <c r="B488" s="45">
        <v>155.13999999999999</v>
      </c>
      <c r="C488" s="45">
        <v>146.75</v>
      </c>
      <c r="D488" s="45">
        <v>149.15</v>
      </c>
      <c r="E488" s="45">
        <v>41471423</v>
      </c>
      <c r="F488" s="45" t="s">
        <v>495</v>
      </c>
      <c r="G488" s="25">
        <f t="shared" si="5"/>
        <v>3.0908481394569032E-2</v>
      </c>
    </row>
    <row r="489" spans="1:7">
      <c r="A489" s="45">
        <v>151.74</v>
      </c>
      <c r="B489" s="45">
        <v>157.65979999999999</v>
      </c>
      <c r="C489" s="45">
        <v>150.63</v>
      </c>
      <c r="D489" s="45">
        <v>156.56</v>
      </c>
      <c r="E489" s="45">
        <v>43412550</v>
      </c>
      <c r="F489" s="45" t="s">
        <v>496</v>
      </c>
      <c r="G489" s="25">
        <f t="shared" si="5"/>
        <v>-3.0786918753193615E-2</v>
      </c>
    </row>
    <row r="490" spans="1:7">
      <c r="A490" s="45">
        <v>152.27000000000001</v>
      </c>
      <c r="B490" s="45">
        <v>153.495</v>
      </c>
      <c r="C490" s="45">
        <v>150.35</v>
      </c>
      <c r="D490" s="45">
        <v>151.65</v>
      </c>
      <c r="E490" s="45">
        <v>46051911</v>
      </c>
      <c r="F490" s="45" t="s">
        <v>497</v>
      </c>
      <c r="G490" s="25">
        <f t="shared" si="5"/>
        <v>4.0883613583910794E-3</v>
      </c>
    </row>
    <row r="491" spans="1:7">
      <c r="A491" s="45">
        <v>148.63999999999999</v>
      </c>
      <c r="B491" s="45">
        <v>149.88999999999999</v>
      </c>
      <c r="C491" s="45">
        <v>145.63</v>
      </c>
      <c r="D491" s="45">
        <v>148.15</v>
      </c>
      <c r="E491" s="45">
        <v>49397032</v>
      </c>
      <c r="F491" s="45" t="s">
        <v>498</v>
      </c>
      <c r="G491" s="25">
        <f t="shared" si="5"/>
        <v>3.3074586567667374E-3</v>
      </c>
    </row>
    <row r="492" spans="1:7">
      <c r="A492" s="45">
        <v>146.63999999999999</v>
      </c>
      <c r="B492" s="45">
        <v>154.25</v>
      </c>
      <c r="C492" s="45">
        <v>145.29</v>
      </c>
      <c r="D492" s="45">
        <v>151.59</v>
      </c>
      <c r="E492" s="45">
        <v>71618197</v>
      </c>
      <c r="F492" s="45" t="s">
        <v>499</v>
      </c>
      <c r="G492" s="25">
        <f t="shared" si="5"/>
        <v>-3.2653868988719692E-2</v>
      </c>
    </row>
    <row r="493" spans="1:7">
      <c r="A493" s="45">
        <v>155.08000000000001</v>
      </c>
      <c r="B493" s="45">
        <v>156.96</v>
      </c>
      <c r="C493" s="45">
        <v>152.32</v>
      </c>
      <c r="D493" s="45">
        <v>155.51</v>
      </c>
      <c r="E493" s="45">
        <v>52669816</v>
      </c>
      <c r="F493" s="45" t="s">
        <v>500</v>
      </c>
      <c r="G493" s="25">
        <f t="shared" si="5"/>
        <v>-2.7650954922511239E-3</v>
      </c>
    </row>
    <row r="494" spans="1:7">
      <c r="A494" s="45">
        <v>154.02000000000001</v>
      </c>
      <c r="B494" s="45">
        <v>164.45</v>
      </c>
      <c r="C494" s="45">
        <v>153.88</v>
      </c>
      <c r="D494" s="45">
        <v>163.97</v>
      </c>
      <c r="E494" s="45">
        <v>75908969</v>
      </c>
      <c r="F494" s="45" t="s">
        <v>501</v>
      </c>
      <c r="G494" s="25">
        <f t="shared" si="5"/>
        <v>-6.0681832042446704E-2</v>
      </c>
    </row>
    <row r="495" spans="1:7">
      <c r="A495" s="45">
        <v>163.46</v>
      </c>
      <c r="B495" s="45">
        <v>164.87989999999999</v>
      </c>
      <c r="C495" s="45">
        <v>161.66999999999999</v>
      </c>
      <c r="D495" s="45">
        <v>162.28</v>
      </c>
      <c r="E495" s="45">
        <v>55302100</v>
      </c>
      <c r="F495" s="45" t="s">
        <v>502</v>
      </c>
      <c r="G495" s="25">
        <f t="shared" si="5"/>
        <v>7.2713827951689236E-3</v>
      </c>
    </row>
    <row r="496" spans="1:7">
      <c r="A496" s="45">
        <v>160.32</v>
      </c>
      <c r="B496" s="45">
        <v>164.44</v>
      </c>
      <c r="C496" s="45">
        <v>158.76</v>
      </c>
      <c r="D496" s="45">
        <v>164.43</v>
      </c>
      <c r="E496" s="45">
        <v>61461150</v>
      </c>
      <c r="F496" s="45" t="s">
        <v>503</v>
      </c>
      <c r="G496" s="25">
        <f t="shared" si="5"/>
        <v>-2.4995438788542268E-2</v>
      </c>
    </row>
    <row r="497" spans="1:7">
      <c r="A497" s="45">
        <v>163.28</v>
      </c>
      <c r="B497" s="45">
        <v>165.7</v>
      </c>
      <c r="C497" s="45">
        <v>161.82499999999999</v>
      </c>
      <c r="D497" s="45">
        <v>164.53</v>
      </c>
      <c r="E497" s="45">
        <v>63519643</v>
      </c>
      <c r="F497" s="45" t="s">
        <v>504</v>
      </c>
      <c r="G497" s="25">
        <f t="shared" si="5"/>
        <v>-7.5973986507019697E-3</v>
      </c>
    </row>
    <row r="498" spans="1:7">
      <c r="A498" s="45">
        <v>170.5</v>
      </c>
      <c r="B498" s="45">
        <v>170.94990000000001</v>
      </c>
      <c r="C498" s="45">
        <v>166.54920000000001</v>
      </c>
      <c r="D498" s="45">
        <v>167.54499999999999</v>
      </c>
      <c r="E498" s="45">
        <v>48994531</v>
      </c>
      <c r="F498" s="45" t="s">
        <v>505</v>
      </c>
      <c r="G498" s="25">
        <f t="shared" si="5"/>
        <v>1.7637052732101921E-2</v>
      </c>
    </row>
    <row r="499" spans="1:7">
      <c r="A499" s="45">
        <v>167.14</v>
      </c>
      <c r="B499" s="45">
        <v>169.77520000000001</v>
      </c>
      <c r="C499" s="45">
        <v>164</v>
      </c>
      <c r="D499" s="45">
        <v>166.71</v>
      </c>
      <c r="E499" s="45">
        <v>59599958</v>
      </c>
      <c r="F499" s="45" t="s">
        <v>506</v>
      </c>
      <c r="G499" s="25">
        <f t="shared" si="5"/>
        <v>2.57932937436256E-3</v>
      </c>
    </row>
    <row r="500" spans="1:7">
      <c r="A500" s="45">
        <v>170.78</v>
      </c>
      <c r="B500" s="45">
        <v>171.6</v>
      </c>
      <c r="C500" s="45">
        <v>167.29</v>
      </c>
      <c r="D500" s="45">
        <v>170.21</v>
      </c>
      <c r="E500" s="45">
        <v>42927985</v>
      </c>
      <c r="F500" s="45" t="s">
        <v>507</v>
      </c>
      <c r="G500" s="25">
        <f t="shared" si="5"/>
        <v>3.3488044180718379E-3</v>
      </c>
    </row>
    <row r="501" spans="1:7">
      <c r="A501" s="45">
        <v>169.9</v>
      </c>
      <c r="B501" s="45">
        <v>171.65989999999999</v>
      </c>
      <c r="C501" s="45">
        <v>166.82</v>
      </c>
      <c r="D501" s="45">
        <v>168.2</v>
      </c>
      <c r="E501" s="45">
        <v>43997546</v>
      </c>
      <c r="F501" s="45" t="s">
        <v>508</v>
      </c>
      <c r="G501" s="25">
        <f t="shared" si="5"/>
        <v>1.0107015457788471E-2</v>
      </c>
    </row>
    <row r="502" spans="1:7">
      <c r="A502" s="45">
        <v>170.42</v>
      </c>
      <c r="B502" s="45">
        <v>172.69</v>
      </c>
      <c r="C502" s="45">
        <v>165.58</v>
      </c>
      <c r="D502" s="45">
        <v>168.1</v>
      </c>
      <c r="E502" s="45">
        <v>66080261</v>
      </c>
      <c r="F502" s="45" t="s">
        <v>509</v>
      </c>
      <c r="G502" s="25">
        <f t="shared" ref="G502:G565" si="6">A502/D502-1</f>
        <v>1.3801308744794794E-2</v>
      </c>
    </row>
    <row r="503" spans="1:7">
      <c r="A503" s="45">
        <v>165.83</v>
      </c>
      <c r="B503" s="45">
        <v>183.02</v>
      </c>
      <c r="C503" s="45">
        <v>165.65</v>
      </c>
      <c r="D503" s="45">
        <v>182.92</v>
      </c>
      <c r="E503" s="45">
        <v>88279957</v>
      </c>
      <c r="F503" s="45" t="s">
        <v>510</v>
      </c>
      <c r="G503" s="25">
        <f t="shared" si="6"/>
        <v>-9.3428821342663282E-2</v>
      </c>
    </row>
    <row r="504" spans="1:7">
      <c r="A504" s="45">
        <v>180.77</v>
      </c>
      <c r="B504" s="45">
        <v>182.05</v>
      </c>
      <c r="C504" s="45">
        <v>176.7</v>
      </c>
      <c r="D504" s="45">
        <v>177.54</v>
      </c>
      <c r="E504" s="45">
        <v>49835064</v>
      </c>
      <c r="F504" s="45" t="s">
        <v>511</v>
      </c>
      <c r="G504" s="25">
        <f t="shared" si="6"/>
        <v>1.8193083248845499E-2</v>
      </c>
    </row>
    <row r="505" spans="1:7">
      <c r="A505" s="45">
        <v>178.7</v>
      </c>
      <c r="B505" s="45">
        <v>180.1</v>
      </c>
      <c r="C505" s="45">
        <v>174.83</v>
      </c>
      <c r="D505" s="45">
        <v>179.47</v>
      </c>
      <c r="E505" s="45">
        <v>61598817</v>
      </c>
      <c r="F505" s="45" t="s">
        <v>512</v>
      </c>
      <c r="G505" s="25">
        <f t="shared" si="6"/>
        <v>-4.2904106535911479E-3</v>
      </c>
    </row>
    <row r="506" spans="1:7">
      <c r="A506" s="45">
        <v>183.34</v>
      </c>
      <c r="B506" s="45">
        <v>187.24</v>
      </c>
      <c r="C506" s="45">
        <v>179.9</v>
      </c>
      <c r="D506" s="45">
        <v>180.1</v>
      </c>
      <c r="E506" s="45">
        <v>74299905</v>
      </c>
      <c r="F506" s="45" t="s">
        <v>513</v>
      </c>
      <c r="G506" s="25">
        <f t="shared" si="6"/>
        <v>1.7990005552470878E-2</v>
      </c>
    </row>
    <row r="507" spans="1:7">
      <c r="A507" s="45">
        <v>180.49</v>
      </c>
      <c r="B507" s="45">
        <v>183.4</v>
      </c>
      <c r="C507" s="45">
        <v>178.3</v>
      </c>
      <c r="D507" s="45">
        <v>179.47</v>
      </c>
      <c r="E507" s="45">
        <v>57628614</v>
      </c>
      <c r="F507" s="45" t="s">
        <v>514</v>
      </c>
      <c r="G507" s="25">
        <f t="shared" si="6"/>
        <v>5.6834011255364469E-3</v>
      </c>
    </row>
    <row r="508" spans="1:7">
      <c r="A508" s="45">
        <v>179.59</v>
      </c>
      <c r="B508" s="45">
        <v>181.23</v>
      </c>
      <c r="C508" s="45">
        <v>175.4</v>
      </c>
      <c r="D508" s="45">
        <v>179.96</v>
      </c>
      <c r="E508" s="45">
        <v>55685645</v>
      </c>
      <c r="F508" s="45" t="s">
        <v>515</v>
      </c>
      <c r="G508" s="25">
        <f t="shared" si="6"/>
        <v>-2.0560124472105423E-3</v>
      </c>
    </row>
    <row r="509" spans="1:7">
      <c r="A509" s="45">
        <v>177.87</v>
      </c>
      <c r="B509" s="45">
        <v>182.59829999999999</v>
      </c>
      <c r="C509" s="45">
        <v>176.33</v>
      </c>
      <c r="D509" s="45">
        <v>179.54</v>
      </c>
      <c r="E509" s="45">
        <v>65322445</v>
      </c>
      <c r="F509" s="45" t="s">
        <v>516</v>
      </c>
      <c r="G509" s="25">
        <f t="shared" si="6"/>
        <v>-9.3015484014703498E-3</v>
      </c>
    </row>
    <row r="510" spans="1:7">
      <c r="A510" s="45">
        <v>178.63</v>
      </c>
      <c r="B510" s="45">
        <v>182.8</v>
      </c>
      <c r="C510" s="45">
        <v>172</v>
      </c>
      <c r="D510" s="45">
        <v>172.9</v>
      </c>
      <c r="E510" s="45">
        <v>71935313</v>
      </c>
      <c r="F510" s="45" t="s">
        <v>517</v>
      </c>
      <c r="G510" s="25">
        <f t="shared" si="6"/>
        <v>3.3140543666859479E-2</v>
      </c>
    </row>
    <row r="511" spans="1:7">
      <c r="A511" s="45">
        <v>179.65</v>
      </c>
      <c r="B511" s="45">
        <v>180.76</v>
      </c>
      <c r="C511" s="45">
        <v>175.05</v>
      </c>
      <c r="D511" s="45">
        <v>177.21</v>
      </c>
      <c r="E511" s="45">
        <v>57899071</v>
      </c>
      <c r="F511" s="45" t="s">
        <v>518</v>
      </c>
      <c r="G511" s="25">
        <f t="shared" si="6"/>
        <v>1.3768974662829336E-2</v>
      </c>
    </row>
    <row r="512" spans="1:7">
      <c r="A512" s="45">
        <v>178.68</v>
      </c>
      <c r="B512" s="45">
        <v>187.69</v>
      </c>
      <c r="C512" s="45">
        <v>177.66</v>
      </c>
      <c r="D512" s="45">
        <v>185.97</v>
      </c>
      <c r="E512" s="45">
        <v>75265596</v>
      </c>
      <c r="F512" s="45" t="s">
        <v>519</v>
      </c>
      <c r="G512" s="25">
        <f t="shared" si="6"/>
        <v>-3.9199870946926896E-2</v>
      </c>
    </row>
    <row r="513" spans="1:7">
      <c r="A513" s="45">
        <v>179.73</v>
      </c>
      <c r="B513" s="45">
        <v>182.68</v>
      </c>
      <c r="C513" s="45">
        <v>174</v>
      </c>
      <c r="D513" s="45">
        <v>182.03</v>
      </c>
      <c r="E513" s="45">
        <v>81773114</v>
      </c>
      <c r="F513" s="45" t="s">
        <v>520</v>
      </c>
      <c r="G513" s="25">
        <f t="shared" si="6"/>
        <v>-1.2635279898917773E-2</v>
      </c>
    </row>
    <row r="514" spans="1:7">
      <c r="A514" s="45">
        <v>181.42</v>
      </c>
      <c r="B514" s="45">
        <v>185.61269999999999</v>
      </c>
      <c r="C514" s="45">
        <v>177.36019999999999</v>
      </c>
      <c r="D514" s="45">
        <v>183.16</v>
      </c>
      <c r="E514" s="45">
        <v>83509459</v>
      </c>
      <c r="F514" s="45" t="s">
        <v>521</v>
      </c>
      <c r="G514" s="25">
        <f t="shared" si="6"/>
        <v>-9.4998908058528952E-3</v>
      </c>
    </row>
    <row r="515" spans="1:7">
      <c r="A515" s="45">
        <v>190.65</v>
      </c>
      <c r="B515" s="45">
        <v>193.5</v>
      </c>
      <c r="C515" s="45">
        <v>188.05</v>
      </c>
      <c r="D515" s="45">
        <v>193.285</v>
      </c>
      <c r="E515" s="45">
        <v>59306865</v>
      </c>
      <c r="F515" s="45" t="s">
        <v>522</v>
      </c>
      <c r="G515" s="25">
        <f t="shared" si="6"/>
        <v>-1.3632718524458687E-2</v>
      </c>
    </row>
    <row r="516" spans="1:7">
      <c r="A516" s="45">
        <v>191.06</v>
      </c>
      <c r="B516" s="45">
        <v>193.79990000000001</v>
      </c>
      <c r="C516" s="45">
        <v>184.48</v>
      </c>
      <c r="D516" s="45">
        <v>184.83</v>
      </c>
      <c r="E516" s="45">
        <v>95289509</v>
      </c>
      <c r="F516" s="45" t="s">
        <v>523</v>
      </c>
      <c r="G516" s="25">
        <f t="shared" si="6"/>
        <v>3.3706649353459905E-2</v>
      </c>
    </row>
    <row r="517" spans="1:7">
      <c r="A517" s="45">
        <v>187.06</v>
      </c>
      <c r="B517" s="45">
        <v>196.93</v>
      </c>
      <c r="C517" s="45">
        <v>184.03</v>
      </c>
      <c r="D517" s="45">
        <v>192.92</v>
      </c>
      <c r="E517" s="45">
        <v>84490526</v>
      </c>
      <c r="F517" s="45" t="s">
        <v>524</v>
      </c>
      <c r="G517" s="25">
        <f t="shared" si="6"/>
        <v>-3.0375285092266169E-2</v>
      </c>
    </row>
    <row r="518" spans="1:7">
      <c r="A518" s="45">
        <v>194.79</v>
      </c>
      <c r="B518" s="45">
        <v>198.83</v>
      </c>
      <c r="C518" s="45">
        <v>192.70009999999999</v>
      </c>
      <c r="D518" s="45">
        <v>198.73</v>
      </c>
      <c r="E518" s="45">
        <v>70526879</v>
      </c>
      <c r="F518" s="45" t="s">
        <v>525</v>
      </c>
      <c r="G518" s="25">
        <f t="shared" si="6"/>
        <v>-1.9825894429628121E-2</v>
      </c>
    </row>
    <row r="519" spans="1:7">
      <c r="A519" s="45">
        <v>202.76</v>
      </c>
      <c r="B519" s="45">
        <v>202.84989999999999</v>
      </c>
      <c r="C519" s="45">
        <v>194.27</v>
      </c>
      <c r="D519" s="45">
        <v>200.52</v>
      </c>
      <c r="E519" s="45">
        <v>68951657</v>
      </c>
      <c r="F519" s="45" t="s">
        <v>526</v>
      </c>
      <c r="G519" s="25">
        <f t="shared" si="6"/>
        <v>1.1170955515659164E-2</v>
      </c>
    </row>
    <row r="520" spans="1:7">
      <c r="A520" s="45">
        <v>198.39</v>
      </c>
      <c r="B520" s="45">
        <v>203.55</v>
      </c>
      <c r="C520" s="45">
        <v>196.70099999999999</v>
      </c>
      <c r="D520" s="45">
        <v>203.01</v>
      </c>
      <c r="E520" s="45">
        <v>73098616</v>
      </c>
      <c r="F520" s="45" t="s">
        <v>527</v>
      </c>
      <c r="G520" s="25">
        <f t="shared" si="6"/>
        <v>-2.2757499630560063E-2</v>
      </c>
    </row>
    <row r="521" spans="1:7">
      <c r="A521" s="45">
        <v>207.39</v>
      </c>
      <c r="B521" s="45">
        <v>227.3</v>
      </c>
      <c r="C521" s="45">
        <v>205.6</v>
      </c>
      <c r="D521" s="45">
        <v>213.41</v>
      </c>
      <c r="E521" s="45">
        <v>120815222</v>
      </c>
      <c r="F521" s="45" t="s">
        <v>528</v>
      </c>
      <c r="G521" s="25">
        <f t="shared" si="6"/>
        <v>-2.8208612529872168E-2</v>
      </c>
    </row>
    <row r="522" spans="1:7">
      <c r="A522" s="45">
        <v>211.38</v>
      </c>
      <c r="B522" s="45">
        <v>213.83</v>
      </c>
      <c r="C522" s="45">
        <v>208.22</v>
      </c>
      <c r="D522" s="45">
        <v>212.52</v>
      </c>
      <c r="E522" s="45">
        <v>63869038</v>
      </c>
      <c r="F522" s="45" t="s">
        <v>529</v>
      </c>
      <c r="G522" s="25">
        <f t="shared" si="6"/>
        <v>-5.3642010163750253E-3</v>
      </c>
    </row>
    <row r="523" spans="1:7">
      <c r="A523" s="45">
        <v>210.63</v>
      </c>
      <c r="B523" s="45">
        <v>214.8109</v>
      </c>
      <c r="C523" s="45">
        <v>207.32</v>
      </c>
      <c r="D523" s="45">
        <v>210.43</v>
      </c>
      <c r="E523" s="45">
        <v>86686987</v>
      </c>
      <c r="F523" s="45" t="s">
        <v>530</v>
      </c>
      <c r="G523" s="25">
        <f t="shared" si="6"/>
        <v>9.504348239319782E-4</v>
      </c>
    </row>
    <row r="524" spans="1:7">
      <c r="A524" s="45">
        <v>205.13</v>
      </c>
      <c r="B524" s="45">
        <v>205.33</v>
      </c>
      <c r="C524" s="45">
        <v>199.15</v>
      </c>
      <c r="D524" s="45">
        <v>200.5</v>
      </c>
      <c r="E524" s="45">
        <v>65407112</v>
      </c>
      <c r="F524" s="45" t="s">
        <v>531</v>
      </c>
      <c r="G524" s="25">
        <f t="shared" si="6"/>
        <v>2.309226932668329E-2</v>
      </c>
    </row>
    <row r="525" spans="1:7">
      <c r="A525" s="45">
        <v>205.36</v>
      </c>
      <c r="B525" s="45">
        <v>211.01</v>
      </c>
      <c r="C525" s="45">
        <v>203.5</v>
      </c>
      <c r="D525" s="45">
        <v>205.16</v>
      </c>
      <c r="E525" s="45">
        <v>86835338</v>
      </c>
      <c r="F525" s="45" t="s">
        <v>532</v>
      </c>
      <c r="G525" s="25">
        <f t="shared" si="6"/>
        <v>9.7484889842092137E-4</v>
      </c>
    </row>
    <row r="526" spans="1:7">
      <c r="A526" s="45">
        <v>202.64</v>
      </c>
      <c r="B526" s="45">
        <v>202.72</v>
      </c>
      <c r="C526" s="45">
        <v>195.42</v>
      </c>
      <c r="D526" s="45">
        <v>197.91</v>
      </c>
      <c r="E526" s="45">
        <v>103820773</v>
      </c>
      <c r="F526" s="45" t="s">
        <v>533</v>
      </c>
      <c r="G526" s="25">
        <f t="shared" si="6"/>
        <v>2.3899752412712694E-2</v>
      </c>
    </row>
    <row r="527" spans="1:7">
      <c r="A527" s="45">
        <v>192.53</v>
      </c>
      <c r="B527" s="45">
        <v>193</v>
      </c>
      <c r="C527" s="45">
        <v>179.82</v>
      </c>
      <c r="D527" s="45">
        <v>179.82</v>
      </c>
      <c r="E527" s="45">
        <v>105538483</v>
      </c>
      <c r="F527" s="45" t="s">
        <v>534</v>
      </c>
      <c r="G527" s="25">
        <f t="shared" si="6"/>
        <v>7.0681792904015106E-2</v>
      </c>
    </row>
    <row r="528" spans="1:7">
      <c r="A528" s="45">
        <v>176.54</v>
      </c>
      <c r="B528" s="45">
        <v>176.84</v>
      </c>
      <c r="C528" s="45">
        <v>173.59</v>
      </c>
      <c r="D528" s="45">
        <v>176.25</v>
      </c>
      <c r="E528" s="45">
        <v>35914414</v>
      </c>
      <c r="F528" s="45" t="s">
        <v>535</v>
      </c>
      <c r="G528" s="25">
        <f t="shared" si="6"/>
        <v>1.6453900709219038E-3</v>
      </c>
    </row>
    <row r="529" spans="1:7">
      <c r="A529" s="45">
        <v>178</v>
      </c>
      <c r="B529" s="45">
        <v>178.46</v>
      </c>
      <c r="C529" s="45">
        <v>172.49</v>
      </c>
      <c r="D529" s="45">
        <v>175.92</v>
      </c>
      <c r="E529" s="45">
        <v>43665241</v>
      </c>
      <c r="F529" s="45" t="s">
        <v>536</v>
      </c>
      <c r="G529" s="25">
        <f t="shared" si="6"/>
        <v>1.1823556161891791E-2</v>
      </c>
    </row>
    <row r="530" spans="1:7">
      <c r="A530" s="45">
        <v>176.01</v>
      </c>
      <c r="B530" s="45">
        <v>179.84</v>
      </c>
      <c r="C530" s="45">
        <v>174.81</v>
      </c>
      <c r="D530" s="45">
        <v>178.78</v>
      </c>
      <c r="E530" s="45">
        <v>45435093</v>
      </c>
      <c r="F530" s="45" t="s">
        <v>537</v>
      </c>
      <c r="G530" s="25">
        <f t="shared" si="6"/>
        <v>-1.5493903121154506E-2</v>
      </c>
    </row>
    <row r="531" spans="1:7">
      <c r="A531" s="45">
        <v>176.52</v>
      </c>
      <c r="B531" s="45">
        <v>183.8</v>
      </c>
      <c r="C531" s="45">
        <v>174.55</v>
      </c>
      <c r="D531" s="45">
        <v>181.86</v>
      </c>
      <c r="E531" s="45">
        <v>69207367</v>
      </c>
      <c r="F531" s="45" t="s">
        <v>538</v>
      </c>
      <c r="G531" s="25">
        <f t="shared" si="6"/>
        <v>-2.9363246453315783E-2</v>
      </c>
    </row>
    <row r="532" spans="1:7">
      <c r="A532" s="45">
        <v>181.86</v>
      </c>
      <c r="B532" s="45">
        <v>183.83</v>
      </c>
      <c r="C532" s="45">
        <v>172</v>
      </c>
      <c r="D532" s="45">
        <v>173.2</v>
      </c>
      <c r="E532" s="45">
        <v>100684733</v>
      </c>
      <c r="F532" s="45" t="s">
        <v>539</v>
      </c>
      <c r="G532" s="25">
        <f t="shared" si="6"/>
        <v>5.0000000000000044E-2</v>
      </c>
    </row>
    <row r="533" spans="1:7">
      <c r="A533" s="45">
        <v>164.29</v>
      </c>
      <c r="B533" s="45">
        <v>164.9</v>
      </c>
      <c r="C533" s="45">
        <v>161.81</v>
      </c>
      <c r="D533" s="45">
        <v>162.74</v>
      </c>
      <c r="E533" s="45">
        <v>48774556</v>
      </c>
      <c r="F533" s="45" t="s">
        <v>540</v>
      </c>
      <c r="G533" s="25">
        <f t="shared" si="6"/>
        <v>9.5243947400760476E-3</v>
      </c>
    </row>
    <row r="534" spans="1:7">
      <c r="A534" s="45">
        <v>165.69</v>
      </c>
      <c r="B534" s="45">
        <v>171.81</v>
      </c>
      <c r="C534" s="45">
        <v>162</v>
      </c>
      <c r="D534" s="45">
        <v>171.14</v>
      </c>
      <c r="E534" s="45">
        <v>66549992</v>
      </c>
      <c r="F534" s="45" t="s">
        <v>541</v>
      </c>
      <c r="G534" s="25">
        <f t="shared" si="6"/>
        <v>-3.1845272876007913E-2</v>
      </c>
    </row>
    <row r="535" spans="1:7">
      <c r="A535" s="45">
        <v>173.87</v>
      </c>
      <c r="B535" s="45">
        <v>180.33009999999999</v>
      </c>
      <c r="C535" s="45">
        <v>173.25</v>
      </c>
      <c r="D535" s="45">
        <v>177.45</v>
      </c>
      <c r="E535" s="45">
        <v>53940342</v>
      </c>
      <c r="F535" s="45" t="s">
        <v>542</v>
      </c>
      <c r="G535" s="25">
        <f t="shared" si="6"/>
        <v>-2.0174697097773975E-2</v>
      </c>
    </row>
    <row r="536" spans="1:7">
      <c r="A536" s="45">
        <v>176.76</v>
      </c>
      <c r="B536" s="45">
        <v>180.5</v>
      </c>
      <c r="C536" s="45">
        <v>175.26</v>
      </c>
      <c r="D536" s="45">
        <v>179.14</v>
      </c>
      <c r="E536" s="45">
        <v>51126437</v>
      </c>
      <c r="F536" s="45" t="s">
        <v>543</v>
      </c>
      <c r="G536" s="25">
        <f t="shared" si="6"/>
        <v>-1.3285698336496621E-2</v>
      </c>
    </row>
    <row r="537" spans="1:7">
      <c r="A537" s="45">
        <v>178.7</v>
      </c>
      <c r="B537" s="45">
        <v>178.74</v>
      </c>
      <c r="C537" s="45">
        <v>172.88</v>
      </c>
      <c r="D537" s="45">
        <v>173.47</v>
      </c>
      <c r="E537" s="45">
        <v>57402522</v>
      </c>
      <c r="F537" s="45" t="s">
        <v>544</v>
      </c>
      <c r="G537" s="25">
        <f t="shared" si="6"/>
        <v>3.014930535539273E-2</v>
      </c>
    </row>
    <row r="538" spans="1:7">
      <c r="A538" s="45">
        <v>171.54</v>
      </c>
      <c r="B538" s="45">
        <v>173.17</v>
      </c>
      <c r="C538" s="45">
        <v>164.3</v>
      </c>
      <c r="D538" s="45">
        <v>167.94</v>
      </c>
      <c r="E538" s="45">
        <v>63071311</v>
      </c>
      <c r="F538" s="45" t="s">
        <v>545</v>
      </c>
      <c r="G538" s="25">
        <f t="shared" si="6"/>
        <v>2.1436227224008508E-2</v>
      </c>
    </row>
    <row r="539" spans="1:7">
      <c r="A539" s="45">
        <v>171.91</v>
      </c>
      <c r="B539" s="45">
        <v>177.405</v>
      </c>
      <c r="C539" s="45">
        <v>170.67</v>
      </c>
      <c r="D539" s="45">
        <v>172.68</v>
      </c>
      <c r="E539" s="45">
        <v>58177053</v>
      </c>
      <c r="F539" s="45" t="s">
        <v>546</v>
      </c>
      <c r="G539" s="25">
        <f t="shared" si="6"/>
        <v>-4.4591151262450834E-3</v>
      </c>
    </row>
    <row r="540" spans="1:7">
      <c r="A540" s="45">
        <v>172.48</v>
      </c>
      <c r="B540" s="45">
        <v>175.1</v>
      </c>
      <c r="C540" s="45">
        <v>168.6601</v>
      </c>
      <c r="D540" s="45">
        <v>171</v>
      </c>
      <c r="E540" s="45">
        <v>56375713</v>
      </c>
      <c r="F540" s="45" t="s">
        <v>547</v>
      </c>
      <c r="G540" s="25">
        <f t="shared" si="6"/>
        <v>8.6549707602339154E-3</v>
      </c>
    </row>
    <row r="541" spans="1:7">
      <c r="A541" s="45">
        <v>169.35</v>
      </c>
      <c r="B541" s="45">
        <v>172.17</v>
      </c>
      <c r="C541" s="45">
        <v>168.6</v>
      </c>
      <c r="D541" s="45">
        <v>170.33</v>
      </c>
      <c r="E541" s="45">
        <v>43385275</v>
      </c>
      <c r="F541" s="45" t="s">
        <v>548</v>
      </c>
      <c r="G541" s="25">
        <f t="shared" si="6"/>
        <v>-5.7535372512182992E-3</v>
      </c>
    </row>
    <row r="542" spans="1:7">
      <c r="A542" s="45">
        <v>170.94</v>
      </c>
      <c r="B542" s="45">
        <v>172.97</v>
      </c>
      <c r="C542" s="45">
        <v>168.2</v>
      </c>
      <c r="D542" s="45">
        <v>169.47</v>
      </c>
      <c r="E542" s="45">
        <v>53665418</v>
      </c>
      <c r="F542" s="45" t="s">
        <v>549</v>
      </c>
      <c r="G542" s="25">
        <f t="shared" si="6"/>
        <v>8.6741016109046498E-3</v>
      </c>
    </row>
    <row r="543" spans="1:7">
      <c r="A543" s="45">
        <v>167.88</v>
      </c>
      <c r="B543" s="45">
        <v>173.88</v>
      </c>
      <c r="C543" s="45">
        <v>165.5</v>
      </c>
      <c r="D543" s="45">
        <v>173.15</v>
      </c>
      <c r="E543" s="45">
        <v>68854127</v>
      </c>
      <c r="F543" s="45" t="s">
        <v>550</v>
      </c>
      <c r="G543" s="25">
        <f t="shared" si="6"/>
        <v>-3.0436038117239494E-2</v>
      </c>
    </row>
    <row r="544" spans="1:7">
      <c r="A544" s="45">
        <v>174.23</v>
      </c>
      <c r="B544" s="45">
        <v>180.01</v>
      </c>
      <c r="C544" s="45">
        <v>171.11</v>
      </c>
      <c r="D544" s="45">
        <v>179.09</v>
      </c>
      <c r="E544" s="45">
        <v>76349244</v>
      </c>
      <c r="F544" s="45" t="s">
        <v>551</v>
      </c>
      <c r="G544" s="25">
        <f t="shared" si="6"/>
        <v>-2.7137193589815256E-2</v>
      </c>
    </row>
    <row r="545" spans="1:7">
      <c r="A545" s="45">
        <v>177.66</v>
      </c>
      <c r="B545" s="45">
        <v>179</v>
      </c>
      <c r="C545" s="45">
        <v>173.05</v>
      </c>
      <c r="D545" s="45">
        <v>173.79</v>
      </c>
      <c r="E545" s="45">
        <v>82134266</v>
      </c>
      <c r="F545" s="45" t="s">
        <v>552</v>
      </c>
      <c r="G545" s="25">
        <f t="shared" si="6"/>
        <v>2.2268254790264175E-2</v>
      </c>
    </row>
    <row r="546" spans="1:7">
      <c r="A546" s="45">
        <v>170.48</v>
      </c>
      <c r="B546" s="45">
        <v>171.14</v>
      </c>
      <c r="C546" s="45">
        <v>165.86</v>
      </c>
      <c r="D546" s="45">
        <v>169.27</v>
      </c>
      <c r="E546" s="45">
        <v>91576685</v>
      </c>
      <c r="F546" s="45" t="s">
        <v>553</v>
      </c>
      <c r="G546" s="25">
        <f t="shared" si="6"/>
        <v>7.1483428841494501E-3</v>
      </c>
    </row>
    <row r="547" spans="1:7">
      <c r="A547" s="45">
        <v>167.69</v>
      </c>
      <c r="B547" s="45">
        <v>171.3</v>
      </c>
      <c r="C547" s="45">
        <v>162.56020000000001</v>
      </c>
      <c r="D547" s="45">
        <v>165.74</v>
      </c>
      <c r="E547" s="45">
        <v>133157264</v>
      </c>
      <c r="F547" s="45" t="s">
        <v>554</v>
      </c>
      <c r="G547" s="25">
        <f t="shared" si="6"/>
        <v>1.1765415711355143E-2</v>
      </c>
    </row>
    <row r="548" spans="1:7">
      <c r="A548" s="45">
        <v>172.06</v>
      </c>
      <c r="B548" s="45">
        <v>178.48</v>
      </c>
      <c r="C548" s="45">
        <v>169.52</v>
      </c>
      <c r="D548" s="45">
        <v>176.13</v>
      </c>
      <c r="E548" s="45">
        <v>122265677</v>
      </c>
      <c r="F548" s="45" t="s">
        <v>555</v>
      </c>
      <c r="G548" s="25">
        <f t="shared" si="6"/>
        <v>-2.3107931641401236E-2</v>
      </c>
    </row>
    <row r="549" spans="1:7">
      <c r="A549" s="45">
        <v>177.83</v>
      </c>
      <c r="B549" s="45">
        <v>178.88499999999999</v>
      </c>
      <c r="C549" s="45">
        <v>174.4</v>
      </c>
      <c r="D549" s="45">
        <v>178.77</v>
      </c>
      <c r="E549" s="45">
        <v>89384452</v>
      </c>
      <c r="F549" s="45" t="s">
        <v>556</v>
      </c>
      <c r="G549" s="25">
        <f t="shared" si="6"/>
        <v>-5.2581529339374988E-3</v>
      </c>
    </row>
    <row r="550" spans="1:7">
      <c r="A550" s="45">
        <v>177.25</v>
      </c>
      <c r="B550" s="45">
        <v>181.23</v>
      </c>
      <c r="C550" s="45">
        <v>174.15</v>
      </c>
      <c r="D550" s="45">
        <v>175.29</v>
      </c>
      <c r="E550" s="45">
        <v>107381172</v>
      </c>
      <c r="F550" s="45" t="s">
        <v>557</v>
      </c>
      <c r="G550" s="25">
        <f t="shared" si="6"/>
        <v>1.1181470705687868E-2</v>
      </c>
    </row>
    <row r="551" spans="1:7">
      <c r="A551" s="45">
        <v>180.33</v>
      </c>
      <c r="B551" s="45">
        <v>184.92</v>
      </c>
      <c r="C551" s="45">
        <v>177.63</v>
      </c>
      <c r="D551" s="45">
        <v>183.41</v>
      </c>
      <c r="E551" s="45">
        <v>127171448</v>
      </c>
      <c r="F551" s="45" t="s">
        <v>558</v>
      </c>
      <c r="G551" s="25">
        <f t="shared" si="6"/>
        <v>-1.6792977482143701E-2</v>
      </c>
    </row>
    <row r="552" spans="1:7">
      <c r="A552" s="45">
        <v>178.29</v>
      </c>
      <c r="B552" s="45">
        <v>180.58</v>
      </c>
      <c r="C552" s="45">
        <v>170.56</v>
      </c>
      <c r="D552" s="45">
        <v>172.55</v>
      </c>
      <c r="E552" s="45">
        <v>125516387</v>
      </c>
      <c r="F552" s="45" t="s">
        <v>559</v>
      </c>
      <c r="G552" s="25">
        <f t="shared" si="6"/>
        <v>3.3265720081135708E-2</v>
      </c>
    </row>
    <row r="553" spans="1:7">
      <c r="A553" s="45">
        <v>168.42</v>
      </c>
      <c r="B553" s="45">
        <v>169.62989999999999</v>
      </c>
      <c r="C553" s="45">
        <v>164.27</v>
      </c>
      <c r="D553" s="45">
        <v>166.5</v>
      </c>
      <c r="E553" s="45">
        <v>76830455</v>
      </c>
      <c r="F553" s="45" t="s">
        <v>560</v>
      </c>
      <c r="G553" s="25">
        <f t="shared" si="6"/>
        <v>1.1531531531531414E-2</v>
      </c>
    </row>
    <row r="554" spans="1:7">
      <c r="A554" s="45">
        <v>168.18</v>
      </c>
      <c r="B554" s="45">
        <v>174.72</v>
      </c>
      <c r="C554" s="45">
        <v>164.15</v>
      </c>
      <c r="D554" s="45">
        <v>174.39</v>
      </c>
      <c r="E554" s="45">
        <v>122973822</v>
      </c>
      <c r="F554" s="45" t="s">
        <v>561</v>
      </c>
      <c r="G554" s="25">
        <f t="shared" si="6"/>
        <v>-3.5609840013762106E-2</v>
      </c>
    </row>
    <row r="555" spans="1:7">
      <c r="A555" s="45">
        <v>174.23</v>
      </c>
      <c r="B555" s="45">
        <v>174.25</v>
      </c>
      <c r="C555" s="45">
        <v>162.19999999999999</v>
      </c>
      <c r="D555" s="45">
        <v>165.8</v>
      </c>
      <c r="E555" s="45">
        <v>140367915</v>
      </c>
      <c r="F555" s="45" t="s">
        <v>562</v>
      </c>
      <c r="G555" s="25">
        <f t="shared" si="6"/>
        <v>5.0844390832327946E-2</v>
      </c>
    </row>
    <row r="556" spans="1:7">
      <c r="A556" s="45">
        <v>162.66999999999999</v>
      </c>
      <c r="B556" s="45">
        <v>168.6</v>
      </c>
      <c r="C556" s="45">
        <v>158.22</v>
      </c>
      <c r="D556" s="45">
        <v>166.2</v>
      </c>
      <c r="E556" s="45">
        <v>131864888</v>
      </c>
      <c r="F556" s="45" t="s">
        <v>563</v>
      </c>
      <c r="G556" s="25">
        <f t="shared" si="6"/>
        <v>-2.12394705174489E-2</v>
      </c>
    </row>
    <row r="557" spans="1:7">
      <c r="A557" s="45">
        <v>160.16999999999999</v>
      </c>
      <c r="B557" s="45">
        <v>160.63999999999999</v>
      </c>
      <c r="C557" s="45">
        <v>154.4</v>
      </c>
      <c r="D557" s="45">
        <v>158.44999999999999</v>
      </c>
      <c r="E557" s="45">
        <v>104084985</v>
      </c>
      <c r="F557" s="45" t="s">
        <v>564</v>
      </c>
      <c r="G557" s="25">
        <f t="shared" si="6"/>
        <v>1.0855159356263799E-2</v>
      </c>
    </row>
    <row r="558" spans="1:7">
      <c r="A558" s="45">
        <v>158.74</v>
      </c>
      <c r="B558" s="45">
        <v>159.715</v>
      </c>
      <c r="C558" s="45">
        <v>149.97999999999999</v>
      </c>
      <c r="D558" s="45">
        <v>150.36000000000001</v>
      </c>
      <c r="E558" s="45">
        <v>112711434</v>
      </c>
      <c r="F558" s="45" t="s">
        <v>565</v>
      </c>
      <c r="G558" s="25">
        <f t="shared" si="6"/>
        <v>5.5732907688214928E-2</v>
      </c>
    </row>
    <row r="559" spans="1:7">
      <c r="A559" s="45">
        <v>146.56</v>
      </c>
      <c r="B559" s="45">
        <v>148.75</v>
      </c>
      <c r="C559" s="45">
        <v>145</v>
      </c>
      <c r="D559" s="45">
        <v>148.04</v>
      </c>
      <c r="E559" s="45">
        <v>48293089</v>
      </c>
      <c r="F559" s="45" t="s">
        <v>566</v>
      </c>
      <c r="G559" s="25">
        <f t="shared" si="6"/>
        <v>-9.9972980275599976E-3</v>
      </c>
    </row>
    <row r="560" spans="1:7">
      <c r="A560" s="45">
        <v>148.02000000000001</v>
      </c>
      <c r="B560" s="45">
        <v>150.38</v>
      </c>
      <c r="C560" s="45">
        <v>143.69</v>
      </c>
      <c r="D560" s="45">
        <v>148.52000000000001</v>
      </c>
      <c r="E560" s="45">
        <v>62764597</v>
      </c>
      <c r="F560" s="45" t="s">
        <v>567</v>
      </c>
      <c r="G560" s="25">
        <f t="shared" si="6"/>
        <v>-3.3665499596013948E-3</v>
      </c>
    </row>
    <row r="561" spans="1:7">
      <c r="A561" s="45">
        <v>148.54</v>
      </c>
      <c r="B561" s="45">
        <v>150.88</v>
      </c>
      <c r="C561" s="45">
        <v>146.65</v>
      </c>
      <c r="D561" s="45">
        <v>150.07</v>
      </c>
      <c r="E561" s="45">
        <v>56951243</v>
      </c>
      <c r="F561" s="45" t="s">
        <v>568</v>
      </c>
      <c r="G561" s="25">
        <f t="shared" si="6"/>
        <v>-1.0195242220297218E-2</v>
      </c>
    </row>
    <row r="562" spans="1:7">
      <c r="A562" s="45">
        <v>149.26</v>
      </c>
      <c r="B562" s="45">
        <v>149.86000000000001</v>
      </c>
      <c r="C562" s="45">
        <v>145.08000000000001</v>
      </c>
      <c r="D562" s="45">
        <v>145.94999999999999</v>
      </c>
      <c r="E562" s="45">
        <v>67875666</v>
      </c>
      <c r="F562" s="45" t="s">
        <v>569</v>
      </c>
      <c r="G562" s="25">
        <f t="shared" si="6"/>
        <v>2.2678999657417043E-2</v>
      </c>
    </row>
    <row r="563" spans="1:7">
      <c r="A563" s="45">
        <v>146.18</v>
      </c>
      <c r="B563" s="45">
        <v>147.15</v>
      </c>
      <c r="C563" s="45">
        <v>140.15</v>
      </c>
      <c r="D563" s="45">
        <v>140.36000000000001</v>
      </c>
      <c r="E563" s="45">
        <v>71756913</v>
      </c>
      <c r="F563" s="45" t="s">
        <v>570</v>
      </c>
      <c r="G563" s="25">
        <f t="shared" si="6"/>
        <v>4.1464804787688658E-2</v>
      </c>
    </row>
    <row r="564" spans="1:7">
      <c r="A564" s="45">
        <v>138.58000000000001</v>
      </c>
      <c r="B564" s="45">
        <v>141.01</v>
      </c>
      <c r="C564" s="45">
        <v>136.43770000000001</v>
      </c>
      <c r="D564" s="45">
        <v>136.78</v>
      </c>
      <c r="E564" s="45">
        <v>69657676</v>
      </c>
      <c r="F564" s="45" t="s">
        <v>571</v>
      </c>
      <c r="G564" s="25">
        <f t="shared" si="6"/>
        <v>1.3159818686942604E-2</v>
      </c>
    </row>
    <row r="565" spans="1:7">
      <c r="A565" s="45">
        <v>136.01</v>
      </c>
      <c r="B565" s="45">
        <v>137.69999999999999</v>
      </c>
      <c r="C565" s="45">
        <v>134</v>
      </c>
      <c r="D565" s="45">
        <v>134.30000000000001</v>
      </c>
      <c r="E565" s="45">
        <v>58610286</v>
      </c>
      <c r="F565" s="45" t="s">
        <v>572</v>
      </c>
      <c r="G565" s="25">
        <f t="shared" si="6"/>
        <v>1.2732688011913407E-2</v>
      </c>
    </row>
    <row r="566" spans="1:7">
      <c r="A566" s="45">
        <v>135.32</v>
      </c>
      <c r="B566" s="45">
        <v>137.43</v>
      </c>
      <c r="C566" s="45">
        <v>133.7413</v>
      </c>
      <c r="D566" s="45">
        <v>135.71</v>
      </c>
      <c r="E566" s="45">
        <v>61988583</v>
      </c>
      <c r="F566" s="45" t="s">
        <v>573</v>
      </c>
      <c r="G566" s="25">
        <f t="shared" ref="G566:G629" si="7">A566/D566-1</f>
        <v>-2.8737749613146901E-3</v>
      </c>
    </row>
    <row r="567" spans="1:7">
      <c r="A567" s="45">
        <v>138.58000000000001</v>
      </c>
      <c r="B567" s="45">
        <v>144.4</v>
      </c>
      <c r="C567" s="45">
        <v>137.43</v>
      </c>
      <c r="D567" s="45">
        <v>144.28</v>
      </c>
      <c r="E567" s="45">
        <v>64902029</v>
      </c>
      <c r="F567" s="45" t="s">
        <v>574</v>
      </c>
      <c r="G567" s="25">
        <f t="shared" si="7"/>
        <v>-3.9506515109509199E-2</v>
      </c>
    </row>
    <row r="568" spans="1:7">
      <c r="A568" s="45">
        <v>147.41</v>
      </c>
      <c r="B568" s="45">
        <v>151.05000000000001</v>
      </c>
      <c r="C568" s="45">
        <v>147.19999999999999</v>
      </c>
      <c r="D568" s="45">
        <v>149.5</v>
      </c>
      <c r="E568" s="45">
        <v>62079185</v>
      </c>
      <c r="F568" s="45" t="s">
        <v>575</v>
      </c>
      <c r="G568" s="25">
        <f t="shared" si="7"/>
        <v>-1.3979933110367937E-2</v>
      </c>
    </row>
    <row r="569" spans="1:7">
      <c r="A569" s="45">
        <v>148.76</v>
      </c>
      <c r="B569" s="45">
        <v>150.41</v>
      </c>
      <c r="C569" s="45">
        <v>145.95060000000001</v>
      </c>
      <c r="D569" s="45">
        <v>146.80000000000001</v>
      </c>
      <c r="E569" s="45">
        <v>63800680</v>
      </c>
      <c r="F569" s="45" t="s">
        <v>576</v>
      </c>
      <c r="G569" s="25">
        <f t="shared" si="7"/>
        <v>1.3351498637601988E-2</v>
      </c>
    </row>
    <row r="570" spans="1:7">
      <c r="A570" s="45">
        <v>146.07</v>
      </c>
      <c r="B570" s="45">
        <v>146.25</v>
      </c>
      <c r="C570" s="45">
        <v>143.18</v>
      </c>
      <c r="D570" s="45">
        <v>144.72</v>
      </c>
      <c r="E570" s="45">
        <v>49033420</v>
      </c>
      <c r="F570" s="45" t="s">
        <v>577</v>
      </c>
      <c r="G570" s="25">
        <f t="shared" si="7"/>
        <v>9.3283582089551675E-3</v>
      </c>
    </row>
    <row r="571" spans="1:7">
      <c r="A571" s="45">
        <v>143.41</v>
      </c>
      <c r="B571" s="45">
        <v>143.85</v>
      </c>
      <c r="C571" s="45">
        <v>139.91999999999999</v>
      </c>
      <c r="D571" s="45">
        <v>140.07</v>
      </c>
      <c r="E571" s="45">
        <v>47157430</v>
      </c>
      <c r="F571" s="45" t="s">
        <v>578</v>
      </c>
      <c r="G571" s="25">
        <f t="shared" si="7"/>
        <v>2.3845220247019405E-2</v>
      </c>
    </row>
    <row r="572" spans="1:7">
      <c r="A572" s="45">
        <v>139.6</v>
      </c>
      <c r="B572" s="45">
        <v>140.69999999999999</v>
      </c>
      <c r="C572" s="45">
        <v>138.31</v>
      </c>
      <c r="D572" s="45">
        <v>140.47999999999999</v>
      </c>
      <c r="E572" s="45">
        <v>35396582</v>
      </c>
      <c r="F572" s="45" t="s">
        <v>579</v>
      </c>
      <c r="G572" s="25">
        <f t="shared" si="7"/>
        <v>-6.2642369020501354E-3</v>
      </c>
    </row>
    <row r="573" spans="1:7">
      <c r="A573" s="45">
        <v>139.91</v>
      </c>
      <c r="B573" s="45">
        <v>139.97999999999999</v>
      </c>
      <c r="C573" s="45">
        <v>137.38</v>
      </c>
      <c r="D573" s="45">
        <v>138.13999999999999</v>
      </c>
      <c r="E573" s="45">
        <v>47179362</v>
      </c>
      <c r="F573" s="45" t="s">
        <v>580</v>
      </c>
      <c r="G573" s="25">
        <f t="shared" si="7"/>
        <v>1.281308817142035E-2</v>
      </c>
    </row>
    <row r="574" spans="1:7">
      <c r="A574" s="45">
        <v>135.47</v>
      </c>
      <c r="B574" s="45">
        <v>139.58000000000001</v>
      </c>
      <c r="C574" s="45">
        <v>135.37</v>
      </c>
      <c r="D574" s="45">
        <v>139</v>
      </c>
      <c r="E574" s="45">
        <v>54671715</v>
      </c>
      <c r="F574" s="45" t="s">
        <v>581</v>
      </c>
      <c r="G574" s="25">
        <f t="shared" si="7"/>
        <v>-2.5395683453237394E-2</v>
      </c>
    </row>
    <row r="575" spans="1:7">
      <c r="A575" s="45">
        <v>140.15</v>
      </c>
      <c r="B575" s="45">
        <v>143.47</v>
      </c>
      <c r="C575" s="45">
        <v>138.55500000000001</v>
      </c>
      <c r="D575" s="45">
        <v>138.57</v>
      </c>
      <c r="E575" s="45">
        <v>63739781</v>
      </c>
      <c r="F575" s="45" t="s">
        <v>582</v>
      </c>
      <c r="G575" s="25">
        <f t="shared" si="7"/>
        <v>1.1402179403911417E-2</v>
      </c>
    </row>
    <row r="576" spans="1:7">
      <c r="A576" s="45">
        <v>138.9</v>
      </c>
      <c r="B576" s="45">
        <v>139.79</v>
      </c>
      <c r="C576" s="45">
        <v>137.65</v>
      </c>
      <c r="D576" s="45">
        <v>139.15</v>
      </c>
      <c r="E576" s="45">
        <v>45199453</v>
      </c>
      <c r="F576" s="45" t="s">
        <v>583</v>
      </c>
      <c r="G576" s="25">
        <f t="shared" si="7"/>
        <v>-1.7966223499820133E-3</v>
      </c>
    </row>
    <row r="577" spans="1:7">
      <c r="A577" s="45">
        <v>139.15</v>
      </c>
      <c r="B577" s="45">
        <v>140.88999999999999</v>
      </c>
      <c r="C577" s="45">
        <v>137.25</v>
      </c>
      <c r="D577" s="45">
        <v>139.52000000000001</v>
      </c>
      <c r="E577" s="45">
        <v>70211795</v>
      </c>
      <c r="F577" s="45" t="s">
        <v>584</v>
      </c>
      <c r="G577" s="25">
        <f t="shared" si="7"/>
        <v>-2.6519495412844485E-3</v>
      </c>
    </row>
    <row r="578" spans="1:7">
      <c r="A578" s="45">
        <v>138</v>
      </c>
      <c r="B578" s="45">
        <v>141.82</v>
      </c>
      <c r="C578" s="45">
        <v>135.72499999999999</v>
      </c>
      <c r="D578" s="45">
        <v>138.88999999999999</v>
      </c>
      <c r="E578" s="45">
        <v>76115174</v>
      </c>
      <c r="F578" s="45" t="s">
        <v>585</v>
      </c>
      <c r="G578" s="25">
        <f t="shared" si="7"/>
        <v>-6.4079487364100407E-3</v>
      </c>
    </row>
    <row r="579" spans="1:7">
      <c r="A579" s="45">
        <v>138.19</v>
      </c>
      <c r="B579" s="45">
        <v>139.24</v>
      </c>
      <c r="C579" s="45">
        <v>136.03030000000001</v>
      </c>
      <c r="D579" s="45">
        <v>137.97</v>
      </c>
      <c r="E579" s="45">
        <v>70651603</v>
      </c>
      <c r="F579" s="45" t="s">
        <v>586</v>
      </c>
      <c r="G579" s="25">
        <f t="shared" si="7"/>
        <v>1.5945495397549081E-3</v>
      </c>
    </row>
    <row r="580" spans="1:7">
      <c r="A580" s="45">
        <v>137.61000000000001</v>
      </c>
      <c r="B580" s="45">
        <v>139.88999999999999</v>
      </c>
      <c r="C580" s="45">
        <v>131.9</v>
      </c>
      <c r="D580" s="45">
        <v>132.25</v>
      </c>
      <c r="E580" s="45">
        <v>111677821</v>
      </c>
      <c r="F580" s="45" t="s">
        <v>587</v>
      </c>
      <c r="G580" s="25">
        <f t="shared" si="7"/>
        <v>4.0529300567107907E-2</v>
      </c>
    </row>
    <row r="581" spans="1:7">
      <c r="A581" s="45">
        <v>134.41</v>
      </c>
      <c r="B581" s="45">
        <v>135.04</v>
      </c>
      <c r="C581" s="45">
        <v>128.25</v>
      </c>
      <c r="D581" s="45">
        <v>130.56</v>
      </c>
      <c r="E581" s="45">
        <v>98668281</v>
      </c>
      <c r="F581" s="45" t="s">
        <v>588</v>
      </c>
      <c r="G581" s="25">
        <f t="shared" si="7"/>
        <v>2.9488357843137303E-2</v>
      </c>
    </row>
    <row r="582" spans="1:7">
      <c r="A582" s="45">
        <v>128.91999999999999</v>
      </c>
      <c r="B582" s="45">
        <v>131</v>
      </c>
      <c r="C582" s="45">
        <v>126.89</v>
      </c>
      <c r="D582" s="45">
        <v>129.54</v>
      </c>
      <c r="E582" s="45">
        <v>89341014</v>
      </c>
      <c r="F582" s="45" t="s">
        <v>589</v>
      </c>
      <c r="G582" s="25">
        <f t="shared" si="7"/>
        <v>-4.7861664350780098E-3</v>
      </c>
    </row>
    <row r="583" spans="1:7">
      <c r="A583" s="45">
        <v>128.37</v>
      </c>
      <c r="B583" s="45">
        <v>128.68</v>
      </c>
      <c r="C583" s="45">
        <v>119.56</v>
      </c>
      <c r="D583" s="45">
        <v>120.785</v>
      </c>
      <c r="E583" s="45">
        <v>118579097</v>
      </c>
      <c r="F583" s="45" t="s">
        <v>590</v>
      </c>
      <c r="G583" s="25">
        <f t="shared" si="7"/>
        <v>6.279753280622602E-2</v>
      </c>
    </row>
    <row r="584" spans="1:7">
      <c r="A584" s="45">
        <v>116.82</v>
      </c>
      <c r="B584" s="45">
        <v>122.8313</v>
      </c>
      <c r="C584" s="45">
        <v>116.38</v>
      </c>
      <c r="D584" s="45">
        <v>120.69</v>
      </c>
      <c r="E584" s="45">
        <v>60599029</v>
      </c>
      <c r="F584" s="45" t="s">
        <v>591</v>
      </c>
      <c r="G584" s="25">
        <f t="shared" si="7"/>
        <v>-3.2065622669649518E-2</v>
      </c>
    </row>
    <row r="585" spans="1:7">
      <c r="A585" s="45">
        <v>118.38</v>
      </c>
      <c r="B585" s="45">
        <v>118.49</v>
      </c>
      <c r="C585" s="45">
        <v>116.45</v>
      </c>
      <c r="D585" s="45">
        <v>117.43</v>
      </c>
      <c r="E585" s="45">
        <v>39191565</v>
      </c>
      <c r="F585" s="45" t="s">
        <v>592</v>
      </c>
      <c r="G585" s="25">
        <f t="shared" si="7"/>
        <v>8.0899259133100365E-3</v>
      </c>
    </row>
    <row r="586" spans="1:7">
      <c r="A586" s="45">
        <v>118.57</v>
      </c>
      <c r="B586" s="45">
        <v>119.9</v>
      </c>
      <c r="C586" s="45">
        <v>116.37</v>
      </c>
      <c r="D586" s="45">
        <v>119.75</v>
      </c>
      <c r="E586" s="45">
        <v>39854418</v>
      </c>
      <c r="F586" s="45" t="s">
        <v>593</v>
      </c>
      <c r="G586" s="25">
        <f t="shared" si="7"/>
        <v>-9.8538622129437092E-3</v>
      </c>
    </row>
    <row r="587" spans="1:7">
      <c r="A587" s="45">
        <v>121.39</v>
      </c>
      <c r="B587" s="45">
        <v>121.40009999999999</v>
      </c>
      <c r="C587" s="45">
        <v>118.645</v>
      </c>
      <c r="D587" s="45">
        <v>119.88</v>
      </c>
      <c r="E587" s="45">
        <v>37048002</v>
      </c>
      <c r="F587" s="45" t="s">
        <v>594</v>
      </c>
      <c r="G587" s="25">
        <f t="shared" si="7"/>
        <v>1.2595929262595895E-2</v>
      </c>
    </row>
    <row r="588" spans="1:7">
      <c r="A588" s="45">
        <v>121.16</v>
      </c>
      <c r="B588" s="45">
        <v>124.05</v>
      </c>
      <c r="C588" s="45">
        <v>119.65</v>
      </c>
      <c r="D588" s="45">
        <v>123.61</v>
      </c>
      <c r="E588" s="45">
        <v>44494211</v>
      </c>
      <c r="F588" s="45" t="s">
        <v>595</v>
      </c>
      <c r="G588" s="25">
        <f t="shared" si="7"/>
        <v>-1.9820402880025956E-2</v>
      </c>
    </row>
    <row r="589" spans="1:7">
      <c r="A589" s="45">
        <v>123.85</v>
      </c>
      <c r="B589" s="45">
        <v>125.72499999999999</v>
      </c>
      <c r="C589" s="45">
        <v>123.48</v>
      </c>
      <c r="D589" s="45">
        <v>123.98</v>
      </c>
      <c r="E589" s="45">
        <v>37876317</v>
      </c>
      <c r="F589" s="45" t="s">
        <v>596</v>
      </c>
      <c r="G589" s="25">
        <f t="shared" si="7"/>
        <v>-1.0485562187450004E-3</v>
      </c>
    </row>
    <row r="590" spans="1:7">
      <c r="A590" s="45">
        <v>122.01</v>
      </c>
      <c r="B590" s="45">
        <v>122.54</v>
      </c>
      <c r="C590" s="45">
        <v>120.79</v>
      </c>
      <c r="D590" s="45">
        <v>121.98</v>
      </c>
      <c r="E590" s="45">
        <v>32047063</v>
      </c>
      <c r="F590" s="45" t="s">
        <v>597</v>
      </c>
      <c r="G590" s="25">
        <f t="shared" si="7"/>
        <v>2.4594195769789273E-4</v>
      </c>
    </row>
    <row r="591" spans="1:7">
      <c r="A591" s="45">
        <v>122.65</v>
      </c>
      <c r="B591" s="45">
        <v>123.89</v>
      </c>
      <c r="C591" s="45">
        <v>121.77200000000001</v>
      </c>
      <c r="D591" s="45">
        <v>122.07</v>
      </c>
      <c r="E591" s="45">
        <v>32743006</v>
      </c>
      <c r="F591" s="45" t="s">
        <v>598</v>
      </c>
      <c r="G591" s="25">
        <f t="shared" si="7"/>
        <v>4.7513721635128459E-3</v>
      </c>
    </row>
    <row r="592" spans="1:7">
      <c r="A592" s="45">
        <v>122.31</v>
      </c>
      <c r="B592" s="45">
        <v>123.25</v>
      </c>
      <c r="C592" s="45">
        <v>121.54</v>
      </c>
      <c r="D592" s="45">
        <v>122.03</v>
      </c>
      <c r="E592" s="45">
        <v>19001007</v>
      </c>
      <c r="F592" s="45" t="s">
        <v>599</v>
      </c>
      <c r="G592" s="25">
        <f t="shared" si="7"/>
        <v>2.2945177415389928E-3</v>
      </c>
    </row>
    <row r="593" spans="1:7">
      <c r="A593" s="45">
        <v>122.51</v>
      </c>
      <c r="B593" s="45">
        <v>124.7623</v>
      </c>
      <c r="C593" s="45">
        <v>119.9516</v>
      </c>
      <c r="D593" s="45">
        <v>120</v>
      </c>
      <c r="E593" s="45">
        <v>56894486</v>
      </c>
      <c r="F593" s="45" t="s">
        <v>600</v>
      </c>
      <c r="G593" s="25">
        <f t="shared" si="7"/>
        <v>2.0916666666666694E-2</v>
      </c>
    </row>
    <row r="594" spans="1:7">
      <c r="A594" s="45">
        <v>119.16</v>
      </c>
      <c r="B594" s="45">
        <v>120.65</v>
      </c>
      <c r="C594" s="45">
        <v>117.94</v>
      </c>
      <c r="D594" s="45">
        <v>120.54</v>
      </c>
      <c r="E594" s="45">
        <v>41064750</v>
      </c>
      <c r="F594" s="45" t="s">
        <v>601</v>
      </c>
      <c r="G594" s="25">
        <f t="shared" si="7"/>
        <v>-1.1448481831757173E-2</v>
      </c>
    </row>
    <row r="595" spans="1:7">
      <c r="A595" s="45">
        <v>121.53</v>
      </c>
      <c r="B595" s="45">
        <v>121.93</v>
      </c>
      <c r="C595" s="45">
        <v>120.07</v>
      </c>
      <c r="D595" s="45">
        <v>120.7</v>
      </c>
      <c r="E595" s="45">
        <v>43173925</v>
      </c>
      <c r="F595" s="45" t="s">
        <v>602</v>
      </c>
      <c r="G595" s="25">
        <f t="shared" si="7"/>
        <v>6.8765534382766447E-3</v>
      </c>
    </row>
    <row r="596" spans="1:7">
      <c r="A596" s="45">
        <v>120.62</v>
      </c>
      <c r="B596" s="45">
        <v>121.49</v>
      </c>
      <c r="C596" s="45">
        <v>118.82</v>
      </c>
      <c r="D596" s="45">
        <v>119.64</v>
      </c>
      <c r="E596" s="45">
        <v>38538695</v>
      </c>
      <c r="F596" s="45" t="s">
        <v>603</v>
      </c>
      <c r="G596" s="25">
        <f t="shared" si="7"/>
        <v>8.1912403878301454E-3</v>
      </c>
    </row>
    <row r="597" spans="1:7">
      <c r="A597" s="45">
        <v>119.83</v>
      </c>
      <c r="B597" s="45">
        <v>120.726</v>
      </c>
      <c r="C597" s="45">
        <v>116.41</v>
      </c>
      <c r="D597" s="45">
        <v>117.2</v>
      </c>
      <c r="E597" s="45">
        <v>49661870</v>
      </c>
      <c r="F597" s="45" t="s">
        <v>604</v>
      </c>
      <c r="G597" s="25">
        <f t="shared" si="7"/>
        <v>2.2440273037542591E-2</v>
      </c>
    </row>
    <row r="598" spans="1:7">
      <c r="A598" s="45">
        <v>118</v>
      </c>
      <c r="B598" s="45">
        <v>120.59</v>
      </c>
      <c r="C598" s="45">
        <v>116.87009999999999</v>
      </c>
      <c r="D598" s="45">
        <v>120.54</v>
      </c>
      <c r="E598" s="45">
        <v>59555593</v>
      </c>
      <c r="F598" s="45" t="s">
        <v>605</v>
      </c>
      <c r="G598" s="25">
        <f t="shared" si="7"/>
        <v>-2.1071843371495036E-2</v>
      </c>
    </row>
    <row r="599" spans="1:7">
      <c r="A599" s="45">
        <v>119.88</v>
      </c>
      <c r="B599" s="45">
        <v>122.11</v>
      </c>
      <c r="C599" s="45">
        <v>119.22</v>
      </c>
      <c r="D599" s="45">
        <v>119.7</v>
      </c>
      <c r="E599" s="45">
        <v>61017449</v>
      </c>
      <c r="F599" s="45" t="s">
        <v>606</v>
      </c>
      <c r="G599" s="25">
        <f t="shared" si="7"/>
        <v>1.5037593984961184E-3</v>
      </c>
    </row>
    <row r="600" spans="1:7">
      <c r="A600" s="45">
        <v>116.79</v>
      </c>
      <c r="B600" s="45">
        <v>118.68</v>
      </c>
      <c r="C600" s="45">
        <v>116</v>
      </c>
      <c r="D600" s="45">
        <v>118.34</v>
      </c>
      <c r="E600" s="45">
        <v>46741889</v>
      </c>
      <c r="F600" s="45" t="s">
        <v>607</v>
      </c>
      <c r="G600" s="25">
        <f t="shared" si="7"/>
        <v>-1.3097853642048296E-2</v>
      </c>
    </row>
    <row r="601" spans="1:7">
      <c r="A601" s="45">
        <v>118.59</v>
      </c>
      <c r="B601" s="45">
        <v>119.7</v>
      </c>
      <c r="C601" s="45">
        <v>114.03</v>
      </c>
      <c r="D601" s="45">
        <v>114.35</v>
      </c>
      <c r="E601" s="45">
        <v>75204072</v>
      </c>
      <c r="F601" s="45" t="s">
        <v>608</v>
      </c>
      <c r="G601" s="25">
        <f t="shared" si="7"/>
        <v>3.707914298207271E-2</v>
      </c>
    </row>
    <row r="602" spans="1:7">
      <c r="A602" s="45">
        <v>113.49</v>
      </c>
      <c r="B602" s="45">
        <v>115.81</v>
      </c>
      <c r="C602" s="45">
        <v>113.06</v>
      </c>
      <c r="D602" s="45">
        <v>114.095</v>
      </c>
      <c r="E602" s="45">
        <v>61146862</v>
      </c>
      <c r="F602" s="45" t="s">
        <v>609</v>
      </c>
      <c r="G602" s="25">
        <f t="shared" si="7"/>
        <v>-5.3025987115999929E-3</v>
      </c>
    </row>
    <row r="603" spans="1:7">
      <c r="A603" s="45">
        <v>113.59</v>
      </c>
      <c r="B603" s="45">
        <v>115.31659999999999</v>
      </c>
      <c r="C603" s="45">
        <v>112.88</v>
      </c>
      <c r="D603" s="45">
        <v>113.55</v>
      </c>
      <c r="E603" s="45">
        <v>41880606</v>
      </c>
      <c r="F603" s="45" t="s">
        <v>610</v>
      </c>
      <c r="G603" s="25">
        <f t="shared" si="7"/>
        <v>3.5226772346996782E-4</v>
      </c>
    </row>
    <row r="604" spans="1:7">
      <c r="A604" s="45">
        <v>113.45</v>
      </c>
      <c r="B604" s="45">
        <v>114.65</v>
      </c>
      <c r="C604" s="45">
        <v>111.22</v>
      </c>
      <c r="D604" s="45">
        <v>111.86</v>
      </c>
      <c r="E604" s="45">
        <v>50550151</v>
      </c>
      <c r="F604" s="45" t="s">
        <v>611</v>
      </c>
      <c r="G604" s="25">
        <f t="shared" si="7"/>
        <v>1.4214196316824523E-2</v>
      </c>
    </row>
    <row r="605" spans="1:7">
      <c r="A605" s="45">
        <v>111.75</v>
      </c>
      <c r="B605" s="45">
        <v>113.08</v>
      </c>
      <c r="C605" s="45">
        <v>110.22</v>
      </c>
      <c r="D605" s="45">
        <v>112.6</v>
      </c>
      <c r="E605" s="45">
        <v>49270370</v>
      </c>
      <c r="F605" s="45" t="s">
        <v>612</v>
      </c>
      <c r="G605" s="25">
        <f t="shared" si="7"/>
        <v>-7.5488454706926778E-3</v>
      </c>
    </row>
    <row r="606" spans="1:7">
      <c r="A606" s="45">
        <v>112.25</v>
      </c>
      <c r="B606" s="45">
        <v>113.39</v>
      </c>
      <c r="C606" s="45">
        <v>107.86</v>
      </c>
      <c r="D606" s="45">
        <v>109.05</v>
      </c>
      <c r="E606" s="45">
        <v>65632202</v>
      </c>
      <c r="F606" s="45" t="s">
        <v>613</v>
      </c>
      <c r="G606" s="25">
        <f t="shared" si="7"/>
        <v>2.9344337459880743E-2</v>
      </c>
    </row>
    <row r="607" spans="1:7">
      <c r="A607" s="45">
        <v>107.83</v>
      </c>
      <c r="B607" s="45">
        <v>109.405</v>
      </c>
      <c r="C607" s="45">
        <v>105.91</v>
      </c>
      <c r="D607" s="45">
        <v>107.96</v>
      </c>
      <c r="E607" s="45">
        <v>71376954</v>
      </c>
      <c r="F607" s="45" t="s">
        <v>614</v>
      </c>
      <c r="G607" s="25">
        <f t="shared" si="7"/>
        <v>-1.2041496850685451E-3</v>
      </c>
    </row>
    <row r="608" spans="1:7">
      <c r="A608" s="45">
        <v>108.04</v>
      </c>
      <c r="B608" s="45">
        <v>108.15</v>
      </c>
      <c r="C608" s="45">
        <v>98.5</v>
      </c>
      <c r="D608" s="45">
        <v>98.58</v>
      </c>
      <c r="E608" s="45">
        <v>138641522</v>
      </c>
      <c r="F608" s="45" t="s">
        <v>615</v>
      </c>
      <c r="G608" s="25">
        <f t="shared" si="7"/>
        <v>9.5962669912761367E-2</v>
      </c>
    </row>
    <row r="609" spans="1:7">
      <c r="A609" s="45">
        <v>98.5</v>
      </c>
      <c r="B609" s="45">
        <v>98.818799999999996</v>
      </c>
      <c r="C609" s="45">
        <v>94.07</v>
      </c>
      <c r="D609" s="45">
        <v>96.234999999999999</v>
      </c>
      <c r="E609" s="45">
        <v>79547126</v>
      </c>
      <c r="F609" s="45" t="s">
        <v>616</v>
      </c>
      <c r="G609" s="25">
        <f t="shared" si="7"/>
        <v>2.3536135501636579E-2</v>
      </c>
    </row>
    <row r="610" spans="1:7">
      <c r="A610" s="45">
        <v>96.18</v>
      </c>
      <c r="B610" s="45">
        <v>97.04</v>
      </c>
      <c r="C610" s="45">
        <v>94.7</v>
      </c>
      <c r="D610" s="45">
        <v>96.14</v>
      </c>
      <c r="E610" s="45">
        <v>43716642</v>
      </c>
      <c r="F610" s="45" t="s">
        <v>617</v>
      </c>
      <c r="G610" s="25">
        <f t="shared" si="7"/>
        <v>4.1605991262749775E-4</v>
      </c>
    </row>
    <row r="611" spans="1:7">
      <c r="A611" s="45">
        <v>96.43</v>
      </c>
      <c r="B611" s="45">
        <v>97.35</v>
      </c>
      <c r="C611" s="45">
        <v>94.59</v>
      </c>
      <c r="D611" s="45">
        <v>95.8</v>
      </c>
      <c r="E611" s="45">
        <v>52458653</v>
      </c>
      <c r="F611" s="45" t="s">
        <v>618</v>
      </c>
      <c r="G611" s="25">
        <f t="shared" si="7"/>
        <v>6.5762004175367039E-3</v>
      </c>
    </row>
    <row r="612" spans="1:7">
      <c r="A612" s="45">
        <v>93.67</v>
      </c>
      <c r="B612" s="45">
        <v>97.52</v>
      </c>
      <c r="C612" s="45">
        <v>93.114999999999995</v>
      </c>
      <c r="D612" s="45">
        <v>95.99</v>
      </c>
      <c r="E612" s="45">
        <v>49896360</v>
      </c>
      <c r="F612" s="45" t="s">
        <v>619</v>
      </c>
      <c r="G612" s="25">
        <f t="shared" si="7"/>
        <v>-2.4169184290030121E-2</v>
      </c>
    </row>
    <row r="613" spans="1:7">
      <c r="A613" s="45">
        <v>96.055000000000007</v>
      </c>
      <c r="B613" s="45">
        <v>101.03</v>
      </c>
      <c r="C613" s="45">
        <v>95.23</v>
      </c>
      <c r="D613" s="45">
        <v>100.42</v>
      </c>
      <c r="E613" s="45">
        <v>53424477</v>
      </c>
      <c r="F613" s="45" t="s">
        <v>620</v>
      </c>
      <c r="G613" s="25">
        <f t="shared" si="7"/>
        <v>-4.3467436765584511E-2</v>
      </c>
    </row>
    <row r="614" spans="1:7">
      <c r="A614" s="45">
        <v>101.67</v>
      </c>
      <c r="B614" s="45">
        <v>101.7899</v>
      </c>
      <c r="C614" s="45">
        <v>99.38</v>
      </c>
      <c r="D614" s="45">
        <v>100.97</v>
      </c>
      <c r="E614" s="45">
        <v>51982918</v>
      </c>
      <c r="F614" s="45" t="s">
        <v>621</v>
      </c>
      <c r="G614" s="25">
        <f t="shared" si="7"/>
        <v>6.9327523026641025E-3</v>
      </c>
    </row>
    <row r="615" spans="1:7">
      <c r="A615" s="45">
        <v>100.01</v>
      </c>
      <c r="B615" s="45">
        <v>102.42</v>
      </c>
      <c r="C615" s="45">
        <v>99.314999999999998</v>
      </c>
      <c r="D615" s="45">
        <v>100.812</v>
      </c>
      <c r="E615" s="45">
        <v>50817440</v>
      </c>
      <c r="F615" s="45" t="s">
        <v>622</v>
      </c>
      <c r="G615" s="25">
        <f t="shared" si="7"/>
        <v>-7.9554021346663895E-3</v>
      </c>
    </row>
    <row r="616" spans="1:7">
      <c r="A616" s="45">
        <v>101.81</v>
      </c>
      <c r="B616" s="45">
        <v>104.34</v>
      </c>
      <c r="C616" s="45">
        <v>101.44</v>
      </c>
      <c r="D616" s="45">
        <v>102.28</v>
      </c>
      <c r="E616" s="45">
        <v>61317927</v>
      </c>
      <c r="F616" s="45" t="s">
        <v>623</v>
      </c>
      <c r="G616" s="25">
        <f t="shared" si="7"/>
        <v>-4.5952287837309758E-3</v>
      </c>
    </row>
    <row r="617" spans="1:7">
      <c r="A617" s="45">
        <v>102.4</v>
      </c>
      <c r="B617" s="45">
        <v>105.6</v>
      </c>
      <c r="C617" s="45">
        <v>101.84</v>
      </c>
      <c r="D617" s="45">
        <v>103.81</v>
      </c>
      <c r="E617" s="45">
        <v>52734201</v>
      </c>
      <c r="F617" s="45" t="s">
        <v>624</v>
      </c>
      <c r="G617" s="25">
        <f t="shared" si="7"/>
        <v>-1.3582506502263669E-2</v>
      </c>
    </row>
    <row r="618" spans="1:7">
      <c r="A618" s="45">
        <v>102.17</v>
      </c>
      <c r="B618" s="45">
        <v>104.78</v>
      </c>
      <c r="C618" s="45">
        <v>101.74</v>
      </c>
      <c r="D618" s="45">
        <v>103.38</v>
      </c>
      <c r="E618" s="45">
        <v>50449952</v>
      </c>
      <c r="F618" s="45" t="s">
        <v>625</v>
      </c>
      <c r="G618" s="25">
        <f t="shared" si="7"/>
        <v>-1.1704391565099614E-2</v>
      </c>
    </row>
    <row r="619" spans="1:7">
      <c r="A619" s="45">
        <v>105.14</v>
      </c>
      <c r="B619" s="45">
        <v>106.29</v>
      </c>
      <c r="C619" s="45">
        <v>101.6601</v>
      </c>
      <c r="D619" s="45">
        <v>103.54</v>
      </c>
      <c r="E619" s="45">
        <v>49642114</v>
      </c>
      <c r="F619" s="45" t="s">
        <v>626</v>
      </c>
      <c r="G619" s="25">
        <f t="shared" si="7"/>
        <v>1.5452965037666466E-2</v>
      </c>
    </row>
    <row r="620" spans="1:7">
      <c r="A620" s="45">
        <v>106.46</v>
      </c>
      <c r="B620" s="45">
        <v>107.48</v>
      </c>
      <c r="C620" s="45">
        <v>105.03</v>
      </c>
      <c r="D620" s="45">
        <v>105.42</v>
      </c>
      <c r="E620" s="45">
        <v>42464511</v>
      </c>
      <c r="F620" s="45" t="s">
        <v>627</v>
      </c>
      <c r="G620" s="25">
        <f t="shared" si="7"/>
        <v>9.8653007019540162E-3</v>
      </c>
    </row>
    <row r="621" spans="1:7">
      <c r="A621" s="45">
        <v>105.09</v>
      </c>
      <c r="B621" s="45">
        <v>108.97</v>
      </c>
      <c r="C621" s="45">
        <v>104.75</v>
      </c>
      <c r="D621" s="45">
        <v>108.65</v>
      </c>
      <c r="E621" s="45">
        <v>52925932</v>
      </c>
      <c r="F621" s="45" t="s">
        <v>628</v>
      </c>
      <c r="G621" s="25">
        <f t="shared" si="7"/>
        <v>-3.2765761619880318E-2</v>
      </c>
    </row>
    <row r="622" spans="1:7">
      <c r="A622" s="45">
        <v>108.79</v>
      </c>
      <c r="B622" s="45">
        <v>111.31</v>
      </c>
      <c r="C622" s="45">
        <v>107.51009999999999</v>
      </c>
      <c r="D622" s="45">
        <v>108.4</v>
      </c>
      <c r="E622" s="45">
        <v>60959430</v>
      </c>
      <c r="F622" s="45" t="s">
        <v>629</v>
      </c>
      <c r="G622" s="25">
        <f t="shared" si="7"/>
        <v>3.5977859778597576E-3</v>
      </c>
    </row>
    <row r="623" spans="1:7">
      <c r="A623" s="45">
        <v>108.31</v>
      </c>
      <c r="B623" s="45">
        <v>110.1</v>
      </c>
      <c r="C623" s="45">
        <v>106.93</v>
      </c>
      <c r="D623" s="45">
        <v>109.14</v>
      </c>
      <c r="E623" s="45">
        <v>51085635</v>
      </c>
      <c r="F623" s="45" t="s">
        <v>630</v>
      </c>
      <c r="G623" s="25">
        <f t="shared" si="7"/>
        <v>-7.6049111233278399E-3</v>
      </c>
    </row>
    <row r="624" spans="1:7">
      <c r="A624" s="45">
        <v>109.01</v>
      </c>
      <c r="B624" s="45">
        <v>110.12</v>
      </c>
      <c r="C624" s="45">
        <v>106.4</v>
      </c>
      <c r="D624" s="45">
        <v>107.49</v>
      </c>
      <c r="E624" s="45">
        <v>57105529</v>
      </c>
      <c r="F624" s="45" t="s">
        <v>631</v>
      </c>
      <c r="G624" s="25">
        <f t="shared" si="7"/>
        <v>1.4140850311656905E-2</v>
      </c>
    </row>
    <row r="625" spans="1:7">
      <c r="A625" s="45">
        <v>106.97</v>
      </c>
      <c r="B625" s="45">
        <v>107.31</v>
      </c>
      <c r="C625" s="45">
        <v>104.79</v>
      </c>
      <c r="D625" s="45">
        <v>106.01</v>
      </c>
      <c r="E625" s="45">
        <v>39593192</v>
      </c>
      <c r="F625" s="45" t="s">
        <v>632</v>
      </c>
      <c r="G625" s="25">
        <f t="shared" si="7"/>
        <v>9.0557494575982389E-3</v>
      </c>
    </row>
    <row r="626" spans="1:7">
      <c r="A626" s="45">
        <v>107.24</v>
      </c>
      <c r="B626" s="45">
        <v>107.87</v>
      </c>
      <c r="C626" s="45">
        <v>102.03</v>
      </c>
      <c r="D626" s="45">
        <v>102.16</v>
      </c>
      <c r="E626" s="45">
        <v>64864077</v>
      </c>
      <c r="F626" s="45" t="s">
        <v>633</v>
      </c>
      <c r="G626" s="25">
        <f t="shared" si="7"/>
        <v>4.9725920125293532E-2</v>
      </c>
    </row>
    <row r="627" spans="1:7">
      <c r="A627" s="45">
        <v>102.91</v>
      </c>
      <c r="B627" s="45">
        <v>103.74</v>
      </c>
      <c r="C627" s="45">
        <v>100.27</v>
      </c>
      <c r="D627" s="45">
        <v>103.405</v>
      </c>
      <c r="E627" s="45">
        <v>51789731</v>
      </c>
      <c r="F627" s="45" t="s">
        <v>634</v>
      </c>
      <c r="G627" s="25">
        <f t="shared" si="7"/>
        <v>-4.7870025627387847E-3</v>
      </c>
    </row>
    <row r="628" spans="1:7">
      <c r="A628" s="45">
        <v>104.07</v>
      </c>
      <c r="B628" s="45">
        <v>104.4</v>
      </c>
      <c r="C628" s="45">
        <v>100.34</v>
      </c>
      <c r="D628" s="45">
        <v>100.65</v>
      </c>
      <c r="E628" s="45">
        <v>51023246</v>
      </c>
      <c r="F628" s="45" t="s">
        <v>635</v>
      </c>
      <c r="G628" s="25">
        <f t="shared" si="7"/>
        <v>3.3979135618479761E-2</v>
      </c>
    </row>
    <row r="629" spans="1:7">
      <c r="A629" s="45">
        <v>100.08</v>
      </c>
      <c r="B629" s="45">
        <v>103.29</v>
      </c>
      <c r="C629" s="45">
        <v>99.17</v>
      </c>
      <c r="D629" s="45">
        <v>101.7963</v>
      </c>
      <c r="E629" s="45">
        <v>48116980</v>
      </c>
      <c r="F629" s="45" t="s">
        <v>636</v>
      </c>
      <c r="G629" s="25">
        <f t="shared" si="7"/>
        <v>-1.6860141282148855E-2</v>
      </c>
    </row>
    <row r="630" spans="1:7">
      <c r="A630" s="45">
        <v>103.27</v>
      </c>
      <c r="B630" s="45">
        <v>103.71</v>
      </c>
      <c r="C630" s="45">
        <v>101.7</v>
      </c>
      <c r="D630" s="45">
        <v>102.21</v>
      </c>
      <c r="E630" s="45">
        <v>45118574</v>
      </c>
      <c r="F630" s="45" t="s">
        <v>637</v>
      </c>
      <c r="G630" s="25">
        <f t="shared" ref="G630:G693" si="8">A630/D630-1</f>
        <v>1.0370805204970246E-2</v>
      </c>
    </row>
    <row r="631" spans="1:7">
      <c r="A631" s="45">
        <v>102.82</v>
      </c>
      <c r="B631" s="45">
        <v>104.94</v>
      </c>
      <c r="C631" s="45">
        <v>102.56</v>
      </c>
      <c r="D631" s="45">
        <v>104.69</v>
      </c>
      <c r="E631" s="45">
        <v>56078641</v>
      </c>
      <c r="F631" s="45" t="s">
        <v>638</v>
      </c>
      <c r="G631" s="25">
        <f t="shared" si="8"/>
        <v>-1.7862260005731212E-2</v>
      </c>
    </row>
    <row r="632" spans="1:7">
      <c r="A632" s="45">
        <v>102.76</v>
      </c>
      <c r="B632" s="45">
        <v>104.2</v>
      </c>
      <c r="C632" s="45">
        <v>97.76</v>
      </c>
      <c r="D632" s="45">
        <v>97.94</v>
      </c>
      <c r="E632" s="45">
        <v>72542056</v>
      </c>
      <c r="F632" s="45" t="s">
        <v>639</v>
      </c>
      <c r="G632" s="25">
        <f t="shared" si="8"/>
        <v>4.921380437002254E-2</v>
      </c>
    </row>
    <row r="633" spans="1:7">
      <c r="A633" s="45">
        <v>98.07</v>
      </c>
      <c r="B633" s="45">
        <v>99.23</v>
      </c>
      <c r="C633" s="45">
        <v>96.35</v>
      </c>
      <c r="D633" s="45">
        <v>96.82</v>
      </c>
      <c r="E633" s="45">
        <v>51261502</v>
      </c>
      <c r="F633" s="45" t="s">
        <v>640</v>
      </c>
      <c r="G633" s="25">
        <f t="shared" si="8"/>
        <v>1.291055567031596E-2</v>
      </c>
    </row>
    <row r="634" spans="1:7">
      <c r="A634" s="45">
        <v>95.96</v>
      </c>
      <c r="B634" s="45">
        <v>97.83</v>
      </c>
      <c r="C634" s="45">
        <v>95.27</v>
      </c>
      <c r="D634" s="45">
        <v>96.5</v>
      </c>
      <c r="E634" s="45">
        <v>42866460</v>
      </c>
      <c r="F634" s="45" t="s">
        <v>641</v>
      </c>
      <c r="G634" s="25">
        <f t="shared" si="8"/>
        <v>-5.5958549222798748E-3</v>
      </c>
    </row>
    <row r="635" spans="1:7">
      <c r="A635" s="45">
        <v>97.38</v>
      </c>
      <c r="B635" s="45">
        <v>97.45</v>
      </c>
      <c r="C635" s="45">
        <v>94.46</v>
      </c>
      <c r="D635" s="45">
        <v>95.95</v>
      </c>
      <c r="E635" s="45">
        <v>43223749</v>
      </c>
      <c r="F635" s="45" t="s">
        <v>642</v>
      </c>
      <c r="G635" s="25">
        <f t="shared" si="8"/>
        <v>1.4903595622720145E-2</v>
      </c>
    </row>
    <row r="636" spans="1:7">
      <c r="A636" s="45">
        <v>96.2</v>
      </c>
      <c r="B636" s="45">
        <v>98.42</v>
      </c>
      <c r="C636" s="45">
        <v>95.61</v>
      </c>
      <c r="D636" s="45">
        <v>96.92</v>
      </c>
      <c r="E636" s="45">
        <v>52169395</v>
      </c>
      <c r="F636" s="45" t="s">
        <v>643</v>
      </c>
      <c r="G636" s="25">
        <f t="shared" si="8"/>
        <v>-7.4288072637226366E-3</v>
      </c>
    </row>
    <row r="637" spans="1:7">
      <c r="A637" s="45">
        <v>96.11</v>
      </c>
      <c r="B637" s="45">
        <v>98.87</v>
      </c>
      <c r="C637" s="45">
        <v>95.84</v>
      </c>
      <c r="D637" s="45">
        <v>98.6</v>
      </c>
      <c r="E637" s="45">
        <v>59704335</v>
      </c>
      <c r="F637" s="45" t="s">
        <v>644</v>
      </c>
      <c r="G637" s="25">
        <f t="shared" si="8"/>
        <v>-2.525354969574034E-2</v>
      </c>
    </row>
    <row r="638" spans="1:7">
      <c r="A638" s="45">
        <v>100.34</v>
      </c>
      <c r="B638" s="45">
        <v>103.94</v>
      </c>
      <c r="C638" s="45">
        <v>100.28</v>
      </c>
      <c r="D638" s="45">
        <v>102.36</v>
      </c>
      <c r="E638" s="45">
        <v>55180576</v>
      </c>
      <c r="F638" s="45" t="s">
        <v>645</v>
      </c>
      <c r="G638" s="25">
        <f t="shared" si="8"/>
        <v>-1.9734271199687292E-2</v>
      </c>
    </row>
    <row r="639" spans="1:7">
      <c r="A639" s="45">
        <v>101.61</v>
      </c>
      <c r="B639" s="45">
        <v>102.8582</v>
      </c>
      <c r="C639" s="45">
        <v>100.7</v>
      </c>
      <c r="D639" s="45">
        <v>101.75</v>
      </c>
      <c r="E639" s="45">
        <v>41704110</v>
      </c>
      <c r="F639" s="45" t="s">
        <v>646</v>
      </c>
      <c r="G639" s="25">
        <f t="shared" si="8"/>
        <v>-1.3759213759213518E-3</v>
      </c>
    </row>
    <row r="640" spans="1:7">
      <c r="A640" s="45">
        <v>102.37</v>
      </c>
      <c r="B640" s="45">
        <v>102.99</v>
      </c>
      <c r="C640" s="45">
        <v>99.45</v>
      </c>
      <c r="D640" s="45">
        <v>100.815</v>
      </c>
      <c r="E640" s="45">
        <v>49061310</v>
      </c>
      <c r="F640" s="45" t="s">
        <v>647</v>
      </c>
      <c r="G640" s="25">
        <f t="shared" si="8"/>
        <v>1.5424292020036701E-2</v>
      </c>
    </row>
    <row r="641" spans="1:7">
      <c r="A641" s="45">
        <v>101.49</v>
      </c>
      <c r="B641" s="45">
        <v>106.76</v>
      </c>
      <c r="C641" s="45">
        <v>101.28</v>
      </c>
      <c r="D641" s="45">
        <v>106.07</v>
      </c>
      <c r="E641" s="45">
        <v>71103616</v>
      </c>
      <c r="F641" s="45" t="s">
        <v>648</v>
      </c>
      <c r="G641" s="25">
        <f t="shared" si="8"/>
        <v>-4.317903271424528E-2</v>
      </c>
    </row>
    <row r="642" spans="1:7">
      <c r="A642" s="45">
        <v>106.63</v>
      </c>
      <c r="B642" s="45">
        <v>109.1494</v>
      </c>
      <c r="C642" s="45">
        <v>106.2212</v>
      </c>
      <c r="D642" s="45">
        <v>108.43</v>
      </c>
      <c r="E642" s="45">
        <v>45920612</v>
      </c>
      <c r="F642" s="45" t="s">
        <v>649</v>
      </c>
      <c r="G642" s="25">
        <f t="shared" si="8"/>
        <v>-1.6600571797473096E-2</v>
      </c>
    </row>
    <row r="643" spans="1:7">
      <c r="A643" s="45">
        <v>107.71</v>
      </c>
      <c r="B643" s="45">
        <v>108.74</v>
      </c>
      <c r="C643" s="45">
        <v>104.83</v>
      </c>
      <c r="D643" s="45">
        <v>105.1</v>
      </c>
      <c r="E643" s="45">
        <v>44702254</v>
      </c>
      <c r="F643" s="45" t="s">
        <v>650</v>
      </c>
      <c r="G643" s="25">
        <f t="shared" si="8"/>
        <v>2.4833491912464423E-2</v>
      </c>
    </row>
    <row r="644" spans="1:7">
      <c r="A644" s="45">
        <v>105.31</v>
      </c>
      <c r="B644" s="45">
        <v>106.74</v>
      </c>
      <c r="C644" s="45">
        <v>103.18</v>
      </c>
      <c r="D644" s="45">
        <v>104.2</v>
      </c>
      <c r="E644" s="45">
        <v>44413572</v>
      </c>
      <c r="F644" s="45" t="s">
        <v>651</v>
      </c>
      <c r="G644" s="25">
        <f t="shared" si="8"/>
        <v>1.0652591170825287E-2</v>
      </c>
    </row>
    <row r="645" spans="1:7">
      <c r="A645" s="45">
        <v>105.32</v>
      </c>
      <c r="B645" s="45">
        <v>107.51</v>
      </c>
      <c r="C645" s="45">
        <v>103</v>
      </c>
      <c r="D645" s="45">
        <v>107.315</v>
      </c>
      <c r="E645" s="45">
        <v>50611285</v>
      </c>
      <c r="F645" s="45" t="s">
        <v>652</v>
      </c>
      <c r="G645" s="25">
        <f t="shared" si="8"/>
        <v>-1.8590131854819947E-2</v>
      </c>
    </row>
    <row r="646" spans="1:7">
      <c r="A646" s="45">
        <v>106.09</v>
      </c>
      <c r="B646" s="45">
        <v>109.73699999999999</v>
      </c>
      <c r="C646" s="45">
        <v>105.75</v>
      </c>
      <c r="D646" s="45">
        <v>107.02</v>
      </c>
      <c r="E646" s="45">
        <v>46271558</v>
      </c>
      <c r="F646" s="45" t="s">
        <v>653</v>
      </c>
      <c r="G646" s="25">
        <f t="shared" si="8"/>
        <v>-8.689964492618163E-3</v>
      </c>
    </row>
    <row r="647" spans="1:7">
      <c r="A647" s="45">
        <v>106.59</v>
      </c>
      <c r="B647" s="45">
        <v>107.69</v>
      </c>
      <c r="C647" s="45">
        <v>105.09</v>
      </c>
      <c r="D647" s="45">
        <v>106.14</v>
      </c>
      <c r="E647" s="45">
        <v>49080149</v>
      </c>
      <c r="F647" s="45" t="s">
        <v>654</v>
      </c>
      <c r="G647" s="25">
        <f t="shared" si="8"/>
        <v>4.2396834369700098E-3</v>
      </c>
    </row>
    <row r="648" spans="1:7">
      <c r="A648" s="45">
        <v>109.28</v>
      </c>
      <c r="B648" s="45">
        <v>111.33</v>
      </c>
      <c r="C648" s="45">
        <v>108.22</v>
      </c>
      <c r="D648" s="45">
        <v>110.56</v>
      </c>
      <c r="E648" s="45">
        <v>47736701</v>
      </c>
      <c r="F648" s="45" t="s">
        <v>655</v>
      </c>
      <c r="G648" s="25">
        <f t="shared" si="8"/>
        <v>-1.157742402315487E-2</v>
      </c>
    </row>
    <row r="649" spans="1:7">
      <c r="A649" s="45">
        <v>110.78</v>
      </c>
      <c r="B649" s="45">
        <v>111.82</v>
      </c>
      <c r="C649" s="45">
        <v>106.3</v>
      </c>
      <c r="D649" s="45">
        <v>109</v>
      </c>
      <c r="E649" s="45">
        <v>66042191</v>
      </c>
      <c r="F649" s="45" t="s">
        <v>656</v>
      </c>
      <c r="G649" s="25">
        <f t="shared" si="8"/>
        <v>1.6330275229357705E-2</v>
      </c>
    </row>
    <row r="650" spans="1:7">
      <c r="A650" s="45">
        <v>109.45</v>
      </c>
      <c r="B650" s="45">
        <v>110.06</v>
      </c>
      <c r="C650" s="45">
        <v>106.61</v>
      </c>
      <c r="D650" s="45">
        <v>107</v>
      </c>
      <c r="E650" s="45">
        <v>54856148</v>
      </c>
      <c r="F650" s="45" t="s">
        <v>657</v>
      </c>
      <c r="G650" s="25">
        <f t="shared" si="8"/>
        <v>2.2897196261682184E-2</v>
      </c>
    </row>
    <row r="651" spans="1:7">
      <c r="A651" s="45">
        <v>105.72</v>
      </c>
      <c r="B651" s="45">
        <v>108.06</v>
      </c>
      <c r="C651" s="45">
        <v>104.86</v>
      </c>
      <c r="D651" s="45">
        <v>106.19</v>
      </c>
      <c r="E651" s="45">
        <v>58918970</v>
      </c>
      <c r="F651" s="45" t="s">
        <v>658</v>
      </c>
      <c r="G651" s="25">
        <f t="shared" si="8"/>
        <v>-4.4260288162727424E-3</v>
      </c>
    </row>
    <row r="652" spans="1:7">
      <c r="A652" s="45">
        <v>106.59</v>
      </c>
      <c r="B652" s="45">
        <v>107.67</v>
      </c>
      <c r="C652" s="45">
        <v>104.5</v>
      </c>
      <c r="D652" s="45">
        <v>105.402</v>
      </c>
      <c r="E652" s="45">
        <v>54847348</v>
      </c>
      <c r="F652" s="45" t="s">
        <v>659</v>
      </c>
      <c r="G652" s="25">
        <f t="shared" si="8"/>
        <v>1.1271133375078346E-2</v>
      </c>
    </row>
    <row r="653" spans="1:7">
      <c r="A653" s="45">
        <v>105.92</v>
      </c>
      <c r="B653" s="45">
        <v>106.57</v>
      </c>
      <c r="C653" s="45">
        <v>101.79</v>
      </c>
      <c r="D653" s="45">
        <v>102.11</v>
      </c>
      <c r="E653" s="45">
        <v>50850289</v>
      </c>
      <c r="F653" s="45" t="s">
        <v>660</v>
      </c>
      <c r="G653" s="25">
        <f t="shared" si="8"/>
        <v>3.7312701988052144E-2</v>
      </c>
    </row>
    <row r="654" spans="1:7">
      <c r="A654" s="45">
        <v>102.61</v>
      </c>
      <c r="B654" s="45">
        <v>104.07</v>
      </c>
      <c r="C654" s="45">
        <v>100.8944</v>
      </c>
      <c r="D654" s="45">
        <v>103.47</v>
      </c>
      <c r="E654" s="45">
        <v>55386803</v>
      </c>
      <c r="F654" s="45" t="s">
        <v>661</v>
      </c>
      <c r="G654" s="25">
        <f t="shared" si="8"/>
        <v>-8.3115878998744064E-3</v>
      </c>
    </row>
    <row r="655" spans="1:7">
      <c r="A655" s="45">
        <v>102.25</v>
      </c>
      <c r="B655" s="45">
        <v>104.12</v>
      </c>
      <c r="C655" s="45">
        <v>99.58</v>
      </c>
      <c r="D655" s="45">
        <v>101.16500000000001</v>
      </c>
      <c r="E655" s="45">
        <v>74793086</v>
      </c>
      <c r="F655" s="45" t="s">
        <v>662</v>
      </c>
      <c r="G655" s="25">
        <f t="shared" si="8"/>
        <v>1.0725053131023454E-2</v>
      </c>
    </row>
    <row r="656" spans="1:7">
      <c r="A656" s="45">
        <v>101.8</v>
      </c>
      <c r="B656" s="45">
        <v>111.64</v>
      </c>
      <c r="C656" s="45">
        <v>100.871</v>
      </c>
      <c r="D656" s="45">
        <v>111.06</v>
      </c>
      <c r="E656" s="45">
        <v>109179129</v>
      </c>
      <c r="F656" s="45" t="s">
        <v>663</v>
      </c>
      <c r="G656" s="25">
        <f t="shared" si="8"/>
        <v>-8.3378354042859759E-2</v>
      </c>
    </row>
    <row r="657" spans="1:7">
      <c r="A657" s="45">
        <v>109.43</v>
      </c>
      <c r="B657" s="45">
        <v>110.08</v>
      </c>
      <c r="C657" s="45">
        <v>105</v>
      </c>
      <c r="D657" s="45">
        <v>105.65</v>
      </c>
      <c r="E657" s="45">
        <v>54656329</v>
      </c>
      <c r="F657" s="45" t="s">
        <v>664</v>
      </c>
      <c r="G657" s="25">
        <f t="shared" si="8"/>
        <v>3.5778513961192582E-2</v>
      </c>
    </row>
    <row r="658" spans="1:7">
      <c r="A658" s="45">
        <v>105.66</v>
      </c>
      <c r="B658" s="45">
        <v>109.72</v>
      </c>
      <c r="C658" s="45">
        <v>104.85</v>
      </c>
      <c r="D658" s="45">
        <v>109.4</v>
      </c>
      <c r="E658" s="45">
        <v>47335086</v>
      </c>
      <c r="F658" s="45" t="s">
        <v>665</v>
      </c>
      <c r="G658" s="25">
        <f t="shared" si="8"/>
        <v>-3.4186471663619877E-2</v>
      </c>
    </row>
    <row r="659" spans="1:7">
      <c r="A659" s="45">
        <v>108.22</v>
      </c>
      <c r="B659" s="45">
        <v>108.54</v>
      </c>
      <c r="C659" s="45">
        <v>105.67</v>
      </c>
      <c r="D659" s="45">
        <v>106.2</v>
      </c>
      <c r="E659" s="45">
        <v>49319240</v>
      </c>
      <c r="F659" s="45" t="s">
        <v>666</v>
      </c>
      <c r="G659" s="25">
        <f t="shared" si="8"/>
        <v>1.9020715630885032E-2</v>
      </c>
    </row>
    <row r="660" spans="1:7">
      <c r="A660" s="45">
        <v>105.45</v>
      </c>
      <c r="B660" s="45">
        <v>106.07</v>
      </c>
      <c r="C660" s="45">
        <v>101.68</v>
      </c>
      <c r="D660" s="45">
        <v>102.4</v>
      </c>
      <c r="E660" s="45">
        <v>59916675</v>
      </c>
      <c r="F660" s="45" t="s">
        <v>667</v>
      </c>
      <c r="G660" s="25">
        <f t="shared" si="8"/>
        <v>2.978515625E-2</v>
      </c>
    </row>
    <row r="661" spans="1:7">
      <c r="A661" s="45">
        <v>104.44</v>
      </c>
      <c r="B661" s="45">
        <v>107.85</v>
      </c>
      <c r="C661" s="45">
        <v>104.1</v>
      </c>
      <c r="D661" s="45">
        <v>107.62</v>
      </c>
      <c r="E661" s="45">
        <v>59064275</v>
      </c>
      <c r="F661" s="45" t="s">
        <v>668</v>
      </c>
      <c r="G661" s="25">
        <f t="shared" si="8"/>
        <v>-2.9548411076008252E-2</v>
      </c>
    </row>
    <row r="662" spans="1:7">
      <c r="A662" s="45">
        <v>107.19</v>
      </c>
      <c r="B662" s="45">
        <v>110.4388</v>
      </c>
      <c r="C662" s="45">
        <v>106.98</v>
      </c>
      <c r="D662" s="45">
        <v>110.08629999999999</v>
      </c>
      <c r="E662" s="45">
        <v>54327298</v>
      </c>
      <c r="F662" s="45" t="s">
        <v>669</v>
      </c>
      <c r="G662" s="25">
        <f t="shared" si="8"/>
        <v>-2.6309359111896691E-2</v>
      </c>
    </row>
    <row r="663" spans="1:7">
      <c r="A663" s="45">
        <v>111.35</v>
      </c>
      <c r="B663" s="45">
        <v>113.18</v>
      </c>
      <c r="C663" s="45">
        <v>110.17</v>
      </c>
      <c r="D663" s="45">
        <v>111.99</v>
      </c>
      <c r="E663" s="45">
        <v>53816569</v>
      </c>
      <c r="F663" s="45" t="s">
        <v>670</v>
      </c>
      <c r="G663" s="25">
        <f t="shared" si="8"/>
        <v>-5.7147959639253232E-3</v>
      </c>
    </row>
    <row r="664" spans="1:7">
      <c r="A664" s="45">
        <v>111.98</v>
      </c>
      <c r="B664" s="45">
        <v>111.99</v>
      </c>
      <c r="C664" s="45">
        <v>105.42</v>
      </c>
      <c r="D664" s="45">
        <v>106.75</v>
      </c>
      <c r="E664" s="45">
        <v>57421820</v>
      </c>
      <c r="F664" s="45" t="s">
        <v>671</v>
      </c>
      <c r="G664" s="25">
        <f t="shared" si="8"/>
        <v>4.8992974238875941E-2</v>
      </c>
    </row>
    <row r="665" spans="1:7">
      <c r="A665" s="45">
        <v>107.57</v>
      </c>
      <c r="B665" s="45">
        <v>109.07</v>
      </c>
      <c r="C665" s="45">
        <v>106.48</v>
      </c>
      <c r="D665" s="45">
        <v>108.85</v>
      </c>
      <c r="E665" s="45">
        <v>55667745</v>
      </c>
      <c r="F665" s="45" t="s">
        <v>672</v>
      </c>
      <c r="G665" s="25">
        <f t="shared" si="8"/>
        <v>-1.1759301791456123E-2</v>
      </c>
    </row>
    <row r="666" spans="1:7">
      <c r="A666" s="45">
        <v>110.23</v>
      </c>
      <c r="B666" s="45">
        <v>113.89</v>
      </c>
      <c r="C666" s="45">
        <v>109.47</v>
      </c>
      <c r="D666" s="45">
        <v>111.3</v>
      </c>
      <c r="E666" s="45">
        <v>57297792</v>
      </c>
      <c r="F666" s="45" t="s">
        <v>673</v>
      </c>
      <c r="G666" s="25">
        <f t="shared" si="8"/>
        <v>-9.6136567834680386E-3</v>
      </c>
    </row>
    <row r="667" spans="1:7">
      <c r="A667" s="45">
        <v>110.47</v>
      </c>
      <c r="B667" s="45">
        <v>113.15</v>
      </c>
      <c r="C667" s="45">
        <v>108.78</v>
      </c>
      <c r="D667" s="45">
        <v>112.89</v>
      </c>
      <c r="E667" s="45">
        <v>56257067</v>
      </c>
      <c r="F667" s="45" t="s">
        <v>674</v>
      </c>
      <c r="G667" s="25">
        <f t="shared" si="8"/>
        <v>-2.1436796881920461E-2</v>
      </c>
    </row>
    <row r="668" spans="1:7">
      <c r="A668" s="45">
        <v>113.23</v>
      </c>
      <c r="B668" s="45">
        <v>115.46</v>
      </c>
      <c r="C668" s="45">
        <v>111.41</v>
      </c>
      <c r="D668" s="45">
        <v>114.94</v>
      </c>
      <c r="E668" s="45">
        <v>54141829</v>
      </c>
      <c r="F668" s="45" t="s">
        <v>675</v>
      </c>
      <c r="G668" s="25">
        <f t="shared" si="8"/>
        <v>-1.4877327301200616E-2</v>
      </c>
    </row>
    <row r="669" spans="1:7">
      <c r="A669" s="45">
        <v>116.81</v>
      </c>
      <c r="B669" s="45">
        <v>119.08</v>
      </c>
      <c r="C669" s="45">
        <v>115.49</v>
      </c>
      <c r="D669" s="45">
        <v>116.36</v>
      </c>
      <c r="E669" s="45">
        <v>65854765</v>
      </c>
      <c r="F669" s="45" t="s">
        <v>676</v>
      </c>
      <c r="G669" s="25">
        <f t="shared" si="8"/>
        <v>3.8673083533860009E-3</v>
      </c>
    </row>
    <row r="670" spans="1:7">
      <c r="A670" s="45">
        <v>115.82</v>
      </c>
      <c r="B670" s="45">
        <v>118.85</v>
      </c>
      <c r="C670" s="45">
        <v>113.96</v>
      </c>
      <c r="D670" s="45">
        <v>114.48</v>
      </c>
      <c r="E670" s="45">
        <v>83169686</v>
      </c>
      <c r="F670" s="45" t="s">
        <v>677</v>
      </c>
      <c r="G670" s="25">
        <f t="shared" si="8"/>
        <v>1.1705101327742717E-2</v>
      </c>
    </row>
    <row r="671" spans="1:7">
      <c r="A671" s="45">
        <v>113.15</v>
      </c>
      <c r="B671" s="45">
        <v>114.96</v>
      </c>
      <c r="C671" s="45">
        <v>108.95</v>
      </c>
      <c r="D671" s="45">
        <v>108.95</v>
      </c>
      <c r="E671" s="45">
        <v>90811558</v>
      </c>
      <c r="F671" s="45" t="s">
        <v>678</v>
      </c>
      <c r="G671" s="25">
        <f t="shared" si="8"/>
        <v>3.8549793483249273E-2</v>
      </c>
    </row>
    <row r="672" spans="1:7">
      <c r="A672" s="45">
        <v>109.35</v>
      </c>
      <c r="B672" s="45">
        <v>119.5</v>
      </c>
      <c r="C672" s="45">
        <v>107.38</v>
      </c>
      <c r="D672" s="45">
        <v>119.49</v>
      </c>
      <c r="E672" s="45">
        <v>173372010</v>
      </c>
      <c r="F672" s="45" t="s">
        <v>679</v>
      </c>
      <c r="G672" s="25">
        <f t="shared" si="8"/>
        <v>-8.4860657795631456E-2</v>
      </c>
    </row>
    <row r="673" spans="1:7">
      <c r="A673" s="45">
        <v>117.6</v>
      </c>
      <c r="B673" s="45">
        <v>118.19</v>
      </c>
      <c r="C673" s="45">
        <v>113.16</v>
      </c>
      <c r="D673" s="45">
        <v>114.26</v>
      </c>
      <c r="E673" s="45">
        <v>97284727</v>
      </c>
      <c r="F673" s="45" t="s">
        <v>680</v>
      </c>
      <c r="G673" s="25">
        <f t="shared" si="8"/>
        <v>2.9231577104848583E-2</v>
      </c>
    </row>
    <row r="674" spans="1:7">
      <c r="A674" s="45">
        <v>114.4</v>
      </c>
      <c r="B674" s="45">
        <v>114.68</v>
      </c>
      <c r="C674" s="45">
        <v>112.35</v>
      </c>
      <c r="D674" s="45">
        <v>114.16</v>
      </c>
      <c r="E674" s="45">
        <v>54187286</v>
      </c>
      <c r="F674" s="45" t="s">
        <v>681</v>
      </c>
      <c r="G674" s="25">
        <f t="shared" si="8"/>
        <v>2.1023125437982237E-3</v>
      </c>
    </row>
    <row r="675" spans="1:7">
      <c r="A675" s="45">
        <v>112.96</v>
      </c>
      <c r="B675" s="45">
        <v>114.86</v>
      </c>
      <c r="C675" s="45">
        <v>112.44</v>
      </c>
      <c r="D675" s="45">
        <v>113.38</v>
      </c>
      <c r="E675" s="45">
        <v>55525965</v>
      </c>
      <c r="F675" s="45" t="s">
        <v>682</v>
      </c>
      <c r="G675" s="25">
        <f t="shared" si="8"/>
        <v>-3.7043570294584827E-3</v>
      </c>
    </row>
    <row r="676" spans="1:7">
      <c r="A676" s="45">
        <v>111.1</v>
      </c>
      <c r="B676" s="45">
        <v>115.08</v>
      </c>
      <c r="C676" s="45">
        <v>110.51</v>
      </c>
      <c r="D676" s="45">
        <v>111.79</v>
      </c>
      <c r="E676" s="45">
        <v>70677972</v>
      </c>
      <c r="F676" s="45" t="s">
        <v>683</v>
      </c>
      <c r="G676" s="25">
        <f t="shared" si="8"/>
        <v>-6.172287324447745E-3</v>
      </c>
    </row>
    <row r="677" spans="1:7">
      <c r="A677" s="45">
        <v>110.09</v>
      </c>
      <c r="B677" s="45">
        <v>112.36</v>
      </c>
      <c r="C677" s="45">
        <v>109.3</v>
      </c>
      <c r="D677" s="45">
        <v>111.91</v>
      </c>
      <c r="E677" s="45">
        <v>51721689</v>
      </c>
      <c r="F677" s="45" t="s">
        <v>684</v>
      </c>
      <c r="G677" s="25">
        <f t="shared" si="8"/>
        <v>-1.6263068537217373E-2</v>
      </c>
    </row>
    <row r="678" spans="1:7">
      <c r="A678" s="45">
        <v>113</v>
      </c>
      <c r="B678" s="45">
        <v>114.05</v>
      </c>
      <c r="C678" s="45">
        <v>111</v>
      </c>
      <c r="D678" s="45">
        <v>111.14</v>
      </c>
      <c r="E678" s="45">
        <v>44916262</v>
      </c>
      <c r="F678" s="45" t="s">
        <v>685</v>
      </c>
      <c r="G678" s="25">
        <f t="shared" si="8"/>
        <v>1.6735648731329933E-2</v>
      </c>
    </row>
    <row r="679" spans="1:7">
      <c r="A679" s="45">
        <v>110.61</v>
      </c>
      <c r="B679" s="45">
        <v>111.31</v>
      </c>
      <c r="C679" s="45">
        <v>108.55</v>
      </c>
      <c r="D679" s="45">
        <v>110.617</v>
      </c>
      <c r="E679" s="45">
        <v>45637998</v>
      </c>
      <c r="F679" s="45" t="s">
        <v>686</v>
      </c>
      <c r="G679" s="25">
        <f t="shared" si="8"/>
        <v>-6.3281412441162921E-5</v>
      </c>
    </row>
    <row r="680" spans="1:7">
      <c r="A680" s="45">
        <v>110.95</v>
      </c>
      <c r="B680" s="45">
        <v>112.3</v>
      </c>
      <c r="C680" s="45">
        <v>109.54</v>
      </c>
      <c r="D680" s="45">
        <v>110.97</v>
      </c>
      <c r="E680" s="45">
        <v>76815378</v>
      </c>
      <c r="F680" s="45" t="s">
        <v>687</v>
      </c>
      <c r="G680" s="25">
        <f t="shared" si="8"/>
        <v>-1.8022889069113646E-4</v>
      </c>
    </row>
    <row r="681" spans="1:7">
      <c r="A681" s="45">
        <v>110.25</v>
      </c>
      <c r="B681" s="45">
        <v>115.05</v>
      </c>
      <c r="C681" s="45">
        <v>109.24</v>
      </c>
      <c r="D681" s="45">
        <v>114.96</v>
      </c>
      <c r="E681" s="45">
        <v>76340398</v>
      </c>
      <c r="F681" s="45" t="s">
        <v>688</v>
      </c>
      <c r="G681" s="25">
        <f t="shared" si="8"/>
        <v>-4.0970772442588621E-2</v>
      </c>
    </row>
    <row r="682" spans="1:7">
      <c r="A682" s="45">
        <v>116.43</v>
      </c>
      <c r="B682" s="45">
        <v>121.6699</v>
      </c>
      <c r="C682" s="45">
        <v>115.55</v>
      </c>
      <c r="D682" s="45">
        <v>121.3</v>
      </c>
      <c r="E682" s="45">
        <v>70363051</v>
      </c>
      <c r="F682" s="45" t="s">
        <v>689</v>
      </c>
      <c r="G682" s="25">
        <f t="shared" si="8"/>
        <v>-4.0148392415498724E-2</v>
      </c>
    </row>
    <row r="683" spans="1:7">
      <c r="A683" s="45">
        <v>117.93</v>
      </c>
      <c r="B683" s="45">
        <v>118.43</v>
      </c>
      <c r="C683" s="45">
        <v>115.19199999999999</v>
      </c>
      <c r="D683" s="45">
        <v>117.55</v>
      </c>
      <c r="E683" s="45">
        <v>57980077</v>
      </c>
      <c r="F683" s="45" t="s">
        <v>690</v>
      </c>
      <c r="G683" s="25">
        <f t="shared" si="8"/>
        <v>3.2326669502340533E-3</v>
      </c>
    </row>
    <row r="684" spans="1:7">
      <c r="A684" s="45">
        <v>118.32</v>
      </c>
      <c r="B684" s="45">
        <v>118.8399</v>
      </c>
      <c r="C684" s="45">
        <v>112.73</v>
      </c>
      <c r="D684" s="45">
        <v>115.95</v>
      </c>
      <c r="E684" s="45">
        <v>68593288</v>
      </c>
      <c r="F684" s="45" t="s">
        <v>691</v>
      </c>
      <c r="G684" s="25">
        <f t="shared" si="8"/>
        <v>2.0439844760672621E-2</v>
      </c>
    </row>
    <row r="685" spans="1:7">
      <c r="A685" s="45">
        <v>115.94</v>
      </c>
      <c r="B685" s="45">
        <v>122.12</v>
      </c>
      <c r="C685" s="45">
        <v>115.25</v>
      </c>
      <c r="D685" s="45">
        <v>116.17</v>
      </c>
      <c r="E685" s="45">
        <v>91927197</v>
      </c>
      <c r="F685" s="45" t="s">
        <v>692</v>
      </c>
      <c r="G685" s="25">
        <f t="shared" si="8"/>
        <v>-1.9798571059653769E-3</v>
      </c>
    </row>
    <row r="686" spans="1:7">
      <c r="A686" s="45">
        <v>115.92</v>
      </c>
      <c r="B686" s="45">
        <v>116.16</v>
      </c>
      <c r="C686" s="45">
        <v>113.575</v>
      </c>
      <c r="D686" s="45">
        <v>115.76</v>
      </c>
      <c r="E686" s="45">
        <v>49206695</v>
      </c>
      <c r="F686" s="45" t="s">
        <v>693</v>
      </c>
      <c r="G686" s="25">
        <f t="shared" si="8"/>
        <v>1.3821700069107656E-3</v>
      </c>
    </row>
    <row r="687" spans="1:7">
      <c r="A687" s="45">
        <v>114.58</v>
      </c>
      <c r="B687" s="45">
        <v>115.3999</v>
      </c>
      <c r="C687" s="45">
        <v>112.31010000000001</v>
      </c>
      <c r="D687" s="45">
        <v>112.89</v>
      </c>
      <c r="E687" s="45">
        <v>57993090</v>
      </c>
      <c r="F687" s="45" t="s">
        <v>694</v>
      </c>
      <c r="G687" s="25">
        <f t="shared" si="8"/>
        <v>1.4970325095225334E-2</v>
      </c>
    </row>
    <row r="688" spans="1:7">
      <c r="A688" s="45">
        <v>111.32</v>
      </c>
      <c r="B688" s="45">
        <v>113.27</v>
      </c>
      <c r="C688" s="45">
        <v>109.5</v>
      </c>
      <c r="D688" s="45">
        <v>111.66</v>
      </c>
      <c r="E688" s="45">
        <v>59899536</v>
      </c>
      <c r="F688" s="45" t="s">
        <v>695</v>
      </c>
      <c r="G688" s="25">
        <f t="shared" si="8"/>
        <v>-3.0449579079347977E-3</v>
      </c>
    </row>
    <row r="689" spans="1:7">
      <c r="A689" s="45">
        <v>113.58</v>
      </c>
      <c r="B689" s="45">
        <v>113.61</v>
      </c>
      <c r="C689" s="45">
        <v>109.88</v>
      </c>
      <c r="D689" s="45">
        <v>113</v>
      </c>
      <c r="E689" s="45">
        <v>49330204</v>
      </c>
      <c r="F689" s="45" t="s">
        <v>696</v>
      </c>
      <c r="G689" s="25">
        <f t="shared" si="8"/>
        <v>5.1327433628318708E-3</v>
      </c>
    </row>
    <row r="690" spans="1:7">
      <c r="A690" s="45">
        <v>113.17</v>
      </c>
      <c r="B690" s="45">
        <v>115.33</v>
      </c>
      <c r="C690" s="45">
        <v>113.04</v>
      </c>
      <c r="D690" s="45">
        <v>114.16</v>
      </c>
      <c r="E690" s="45">
        <v>37211287</v>
      </c>
      <c r="F690" s="45" t="s">
        <v>697</v>
      </c>
      <c r="G690" s="25">
        <f t="shared" si="8"/>
        <v>-8.6720392431673954E-3</v>
      </c>
    </row>
    <row r="691" spans="1:7">
      <c r="A691" s="45">
        <v>113.48</v>
      </c>
      <c r="B691" s="45">
        <v>113.79</v>
      </c>
      <c r="C691" s="45">
        <v>110.31</v>
      </c>
      <c r="D691" s="45">
        <v>112.07</v>
      </c>
      <c r="E691" s="45">
        <v>42411840</v>
      </c>
      <c r="F691" s="45" t="s">
        <v>698</v>
      </c>
      <c r="G691" s="25">
        <f t="shared" si="8"/>
        <v>1.2581422325332436E-2</v>
      </c>
    </row>
    <row r="692" spans="1:7">
      <c r="A692" s="45">
        <v>113.95</v>
      </c>
      <c r="B692" s="45">
        <v>117.66200000000001</v>
      </c>
      <c r="C692" s="45">
        <v>113.855</v>
      </c>
      <c r="D692" s="45">
        <v>116.1</v>
      </c>
      <c r="E692" s="45">
        <v>49501584</v>
      </c>
      <c r="F692" s="45" t="s">
        <v>699</v>
      </c>
      <c r="G692" s="25">
        <f t="shared" si="8"/>
        <v>-1.851851851851849E-2</v>
      </c>
    </row>
    <row r="693" spans="1:7">
      <c r="A693" s="45">
        <v>115.82</v>
      </c>
      <c r="B693" s="45">
        <v>116.73</v>
      </c>
      <c r="C693" s="45">
        <v>114.51</v>
      </c>
      <c r="D693" s="45">
        <v>115.16</v>
      </c>
      <c r="E693" s="45">
        <v>31859976</v>
      </c>
      <c r="F693" s="45" t="s">
        <v>700</v>
      </c>
      <c r="G693" s="25">
        <f t="shared" si="8"/>
        <v>5.7311566516151657E-3</v>
      </c>
    </row>
    <row r="694" spans="1:7">
      <c r="A694" s="45">
        <v>113.91</v>
      </c>
      <c r="B694" s="45">
        <v>114.69</v>
      </c>
      <c r="C694" s="45">
        <v>112.41</v>
      </c>
      <c r="D694" s="45">
        <v>113.03</v>
      </c>
      <c r="E694" s="45">
        <v>53378774</v>
      </c>
      <c r="F694" s="45" t="s">
        <v>701</v>
      </c>
      <c r="G694" s="25">
        <f t="shared" ref="G694:G757" si="9">A694/D694-1</f>
        <v>7.7855436609748363E-3</v>
      </c>
    </row>
    <row r="695" spans="1:7">
      <c r="A695" s="45">
        <v>111.24</v>
      </c>
      <c r="B695" s="45">
        <v>112.7599</v>
      </c>
      <c r="C695" s="45">
        <v>109.84</v>
      </c>
      <c r="D695" s="45">
        <v>112.065</v>
      </c>
      <c r="E695" s="45">
        <v>58347174</v>
      </c>
      <c r="F695" s="45" t="s">
        <v>702</v>
      </c>
      <c r="G695" s="25">
        <f t="shared" si="9"/>
        <v>-7.361798955963117E-3</v>
      </c>
    </row>
    <row r="696" spans="1:7">
      <c r="A696" s="45">
        <v>110.17</v>
      </c>
      <c r="B696" s="45">
        <v>111.78</v>
      </c>
      <c r="C696" s="45">
        <v>107.63</v>
      </c>
      <c r="D696" s="45">
        <v>108.21</v>
      </c>
      <c r="E696" s="45">
        <v>67534134</v>
      </c>
      <c r="F696" s="45" t="s">
        <v>703</v>
      </c>
      <c r="G696" s="25">
        <f t="shared" si="9"/>
        <v>1.8112928564827824E-2</v>
      </c>
    </row>
    <row r="697" spans="1:7">
      <c r="A697" s="45">
        <v>110.39</v>
      </c>
      <c r="B697" s="45">
        <v>110.97</v>
      </c>
      <c r="C697" s="45">
        <v>107.08</v>
      </c>
      <c r="D697" s="45">
        <v>108.565</v>
      </c>
      <c r="E697" s="45">
        <v>59381646</v>
      </c>
      <c r="F697" s="45" t="s">
        <v>704</v>
      </c>
      <c r="G697" s="25">
        <f t="shared" si="9"/>
        <v>1.6810205867452632E-2</v>
      </c>
    </row>
    <row r="698" spans="1:7">
      <c r="A698" s="45">
        <v>107.51</v>
      </c>
      <c r="B698" s="45">
        <v>112.55</v>
      </c>
      <c r="C698" s="45">
        <v>107.2</v>
      </c>
      <c r="D698" s="45">
        <v>110.95</v>
      </c>
      <c r="E698" s="45">
        <v>68556976</v>
      </c>
      <c r="F698" s="45" t="s">
        <v>705</v>
      </c>
      <c r="G698" s="25">
        <f t="shared" si="9"/>
        <v>-3.1004957187922511E-2</v>
      </c>
    </row>
    <row r="699" spans="1:7">
      <c r="A699" s="45">
        <v>110.01</v>
      </c>
      <c r="B699" s="45">
        <v>111.09569999999999</v>
      </c>
      <c r="C699" s="45">
        <v>107.46</v>
      </c>
      <c r="D699" s="45">
        <v>109.31</v>
      </c>
      <c r="E699" s="45">
        <v>73621951</v>
      </c>
      <c r="F699" s="45" t="s">
        <v>706</v>
      </c>
      <c r="G699" s="25">
        <f t="shared" si="9"/>
        <v>6.4038056902389062E-3</v>
      </c>
    </row>
    <row r="700" spans="1:7">
      <c r="A700" s="45">
        <v>110.7</v>
      </c>
      <c r="B700" s="45">
        <v>114</v>
      </c>
      <c r="C700" s="45">
        <v>109.85</v>
      </c>
      <c r="D700" s="45">
        <v>112.24</v>
      </c>
      <c r="E700" s="45">
        <v>70754783</v>
      </c>
      <c r="F700" s="45" t="s">
        <v>707</v>
      </c>
      <c r="G700" s="25">
        <f t="shared" si="9"/>
        <v>-1.3720598717034904E-2</v>
      </c>
    </row>
    <row r="701" spans="1:7">
      <c r="A701" s="45">
        <v>112.11</v>
      </c>
      <c r="B701" s="45">
        <v>119.1888</v>
      </c>
      <c r="C701" s="45">
        <v>111.67</v>
      </c>
      <c r="D701" s="45">
        <v>118.485</v>
      </c>
      <c r="E701" s="45">
        <v>82835622</v>
      </c>
      <c r="F701" s="45" t="s">
        <v>708</v>
      </c>
      <c r="G701" s="25">
        <f t="shared" si="9"/>
        <v>-5.380427902266105E-2</v>
      </c>
    </row>
    <row r="702" spans="1:7">
      <c r="A702" s="45">
        <v>118.93</v>
      </c>
      <c r="B702" s="45">
        <v>121.75</v>
      </c>
      <c r="C702" s="45">
        <v>117.7</v>
      </c>
      <c r="D702" s="45">
        <v>119.08499999999999</v>
      </c>
      <c r="E702" s="45">
        <v>58851777</v>
      </c>
      <c r="F702" s="45" t="s">
        <v>709</v>
      </c>
      <c r="G702" s="25">
        <f t="shared" si="9"/>
        <v>-1.3015913003315838E-3</v>
      </c>
    </row>
    <row r="703" spans="1:7">
      <c r="A703" s="45">
        <v>120.08</v>
      </c>
      <c r="B703" s="45">
        <v>125.85</v>
      </c>
      <c r="C703" s="45">
        <v>119.9</v>
      </c>
      <c r="D703" s="45">
        <v>125.82</v>
      </c>
      <c r="E703" s="45">
        <v>82007083</v>
      </c>
      <c r="F703" s="45" t="s">
        <v>710</v>
      </c>
      <c r="G703" s="25">
        <f t="shared" si="9"/>
        <v>-4.5620728024161505E-2</v>
      </c>
    </row>
    <row r="704" spans="1:7">
      <c r="A704" s="45">
        <v>124.24</v>
      </c>
      <c r="B704" s="45">
        <v>125.7</v>
      </c>
      <c r="C704" s="45">
        <v>122.26</v>
      </c>
      <c r="D704" s="45">
        <v>125.39</v>
      </c>
      <c r="E704" s="45">
        <v>85587115</v>
      </c>
      <c r="F704" s="45" t="s">
        <v>711</v>
      </c>
      <c r="G704" s="25">
        <f t="shared" si="9"/>
        <v>-9.1713852779329308E-3</v>
      </c>
    </row>
    <row r="705" spans="1:7">
      <c r="A705" s="45">
        <v>127.33</v>
      </c>
      <c r="B705" s="45">
        <v>127.72499999999999</v>
      </c>
      <c r="C705" s="45">
        <v>123.81</v>
      </c>
      <c r="D705" s="45">
        <v>126.52500000000001</v>
      </c>
      <c r="E705" s="45">
        <v>95888117</v>
      </c>
      <c r="F705" s="45" t="s">
        <v>712</v>
      </c>
      <c r="G705" s="25">
        <f t="shared" si="9"/>
        <v>6.3623789764868377E-3</v>
      </c>
    </row>
    <row r="706" spans="1:7">
      <c r="A706" s="45">
        <v>124.53</v>
      </c>
      <c r="B706" s="45">
        <v>132.83000000000001</v>
      </c>
      <c r="C706" s="45">
        <v>122.45</v>
      </c>
      <c r="D706" s="45">
        <v>132.32</v>
      </c>
      <c r="E706" s="45">
        <v>132461926</v>
      </c>
      <c r="F706" s="45" t="s">
        <v>713</v>
      </c>
      <c r="G706" s="25">
        <f t="shared" si="9"/>
        <v>-5.887243047158397E-2</v>
      </c>
    </row>
    <row r="707" spans="1:7">
      <c r="A707" s="45">
        <v>129.19</v>
      </c>
      <c r="B707" s="45">
        <v>130.47999999999999</v>
      </c>
      <c r="C707" s="45">
        <v>126.4</v>
      </c>
      <c r="D707" s="45">
        <v>128.52000000000001</v>
      </c>
      <c r="E707" s="45">
        <v>85673077</v>
      </c>
      <c r="F707" s="45" t="s">
        <v>714</v>
      </c>
      <c r="G707" s="25">
        <f t="shared" si="9"/>
        <v>5.2131963896668854E-3</v>
      </c>
    </row>
    <row r="708" spans="1:7">
      <c r="A708" s="45">
        <v>124.92</v>
      </c>
      <c r="B708" s="45">
        <v>127.25</v>
      </c>
      <c r="C708" s="45">
        <v>123.55</v>
      </c>
      <c r="D708" s="45">
        <v>123.57</v>
      </c>
      <c r="E708" s="45">
        <v>75105039</v>
      </c>
      <c r="F708" s="45" t="s">
        <v>715</v>
      </c>
      <c r="G708" s="25">
        <f t="shared" si="9"/>
        <v>1.0924981791696986E-2</v>
      </c>
    </row>
    <row r="709" spans="1:7">
      <c r="A709" s="45">
        <v>121.05</v>
      </c>
      <c r="B709" s="45">
        <v>122.21</v>
      </c>
      <c r="C709" s="45">
        <v>117.05</v>
      </c>
      <c r="D709" s="45">
        <v>118.295</v>
      </c>
      <c r="E709" s="45">
        <v>65246930</v>
      </c>
      <c r="F709" s="45" t="s">
        <v>716</v>
      </c>
      <c r="G709" s="25">
        <f t="shared" si="9"/>
        <v>2.3289234540766701E-2</v>
      </c>
    </row>
    <row r="710" spans="1:7">
      <c r="A710" s="45">
        <v>117.83</v>
      </c>
      <c r="B710" s="45">
        <v>125.34</v>
      </c>
      <c r="C710" s="45">
        <v>117.07</v>
      </c>
      <c r="D710" s="45">
        <v>124.02500000000001</v>
      </c>
      <c r="E710" s="45">
        <v>81755152</v>
      </c>
      <c r="F710" s="45" t="s">
        <v>717</v>
      </c>
      <c r="G710" s="25">
        <f t="shared" si="9"/>
        <v>-4.9949606934085899E-2</v>
      </c>
    </row>
    <row r="711" spans="1:7">
      <c r="A711" s="45">
        <v>124.23</v>
      </c>
      <c r="B711" s="45">
        <v>124.42</v>
      </c>
      <c r="C711" s="45">
        <v>117.74</v>
      </c>
      <c r="D711" s="45">
        <v>117.91</v>
      </c>
      <c r="E711" s="45">
        <v>75257497</v>
      </c>
      <c r="F711" s="45" t="s">
        <v>718</v>
      </c>
      <c r="G711" s="25">
        <f t="shared" si="9"/>
        <v>5.3600203545076885E-2</v>
      </c>
    </row>
    <row r="712" spans="1:7">
      <c r="A712" s="45">
        <v>117.93</v>
      </c>
      <c r="B712" s="45">
        <v>119.32</v>
      </c>
      <c r="C712" s="45">
        <v>116.42</v>
      </c>
      <c r="D712" s="45">
        <v>116.59</v>
      </c>
      <c r="E712" s="45">
        <v>52602861</v>
      </c>
      <c r="F712" s="45" t="s">
        <v>719</v>
      </c>
      <c r="G712" s="25">
        <f t="shared" si="9"/>
        <v>1.1493267004031305E-2</v>
      </c>
    </row>
    <row r="713" spans="1:7">
      <c r="A713" s="45">
        <v>117.86</v>
      </c>
      <c r="B713" s="45">
        <v>121.66</v>
      </c>
      <c r="C713" s="45">
        <v>117.675</v>
      </c>
      <c r="D713" s="45">
        <v>120.75</v>
      </c>
      <c r="E713" s="45">
        <v>52382424</v>
      </c>
      <c r="F713" s="45" t="s">
        <v>720</v>
      </c>
      <c r="G713" s="25">
        <f t="shared" si="9"/>
        <v>-2.3933747412008266E-2</v>
      </c>
    </row>
    <row r="714" spans="1:7">
      <c r="A714" s="45">
        <v>119.47</v>
      </c>
      <c r="B714" s="45">
        <v>121.28</v>
      </c>
      <c r="C714" s="45">
        <v>116.6</v>
      </c>
      <c r="D714" s="45">
        <v>117.29</v>
      </c>
      <c r="E714" s="45">
        <v>66032924</v>
      </c>
      <c r="F714" s="45" t="s">
        <v>721</v>
      </c>
      <c r="G714" s="25">
        <f t="shared" si="9"/>
        <v>1.8586409753602151E-2</v>
      </c>
    </row>
    <row r="715" spans="1:7">
      <c r="A715" s="45">
        <v>118.21</v>
      </c>
      <c r="B715" s="45">
        <v>123.96</v>
      </c>
      <c r="C715" s="45">
        <v>117.86</v>
      </c>
      <c r="D715" s="45">
        <v>122.42</v>
      </c>
      <c r="E715" s="45">
        <v>87552221</v>
      </c>
      <c r="F715" s="45" t="s">
        <v>722</v>
      </c>
      <c r="G715" s="25">
        <f t="shared" si="9"/>
        <v>-3.4389805587322408E-2</v>
      </c>
    </row>
    <row r="716" spans="1:7">
      <c r="A716" s="45">
        <v>125.27</v>
      </c>
      <c r="B716" s="45">
        <v>130.79</v>
      </c>
      <c r="C716" s="45">
        <v>123.51</v>
      </c>
      <c r="D716" s="45">
        <v>130.41499999999999</v>
      </c>
      <c r="E716" s="45">
        <v>98902282</v>
      </c>
      <c r="F716" s="45" t="s">
        <v>723</v>
      </c>
      <c r="G716" s="25">
        <f t="shared" si="9"/>
        <v>-3.9450983399148876E-2</v>
      </c>
    </row>
    <row r="717" spans="1:7">
      <c r="A717" s="45">
        <v>127.03</v>
      </c>
      <c r="B717" s="45">
        <v>127.43</v>
      </c>
      <c r="C717" s="45">
        <v>120.89</v>
      </c>
      <c r="D717" s="45">
        <v>122.46</v>
      </c>
      <c r="E717" s="45">
        <v>92922750</v>
      </c>
      <c r="F717" s="45" t="s">
        <v>724</v>
      </c>
      <c r="G717" s="25">
        <f t="shared" si="9"/>
        <v>3.7318308018944979E-2</v>
      </c>
    </row>
    <row r="718" spans="1:7">
      <c r="A718" s="45">
        <v>120.35</v>
      </c>
      <c r="B718" s="45">
        <v>120.69</v>
      </c>
      <c r="C718" s="45">
        <v>115.8</v>
      </c>
      <c r="D718" s="45">
        <v>117.30500000000001</v>
      </c>
      <c r="E718" s="45">
        <v>108514669</v>
      </c>
      <c r="F718" s="45" t="s">
        <v>725</v>
      </c>
      <c r="G718" s="25">
        <f t="shared" si="9"/>
        <v>2.5957972805933149E-2</v>
      </c>
    </row>
    <row r="719" spans="1:7">
      <c r="A719" s="45">
        <v>108.27</v>
      </c>
      <c r="B719" s="45">
        <v>108.91</v>
      </c>
      <c r="C719" s="45">
        <v>105.64</v>
      </c>
      <c r="D719" s="45">
        <v>105.98</v>
      </c>
      <c r="E719" s="45">
        <v>65910464</v>
      </c>
      <c r="F719" s="45" t="s">
        <v>726</v>
      </c>
      <c r="G719" s="25">
        <f t="shared" si="9"/>
        <v>2.1607850537837203E-2</v>
      </c>
    </row>
    <row r="720" spans="1:7">
      <c r="A720" s="45">
        <v>108.12</v>
      </c>
      <c r="B720" s="45">
        <v>110.99</v>
      </c>
      <c r="C720" s="45">
        <v>107.19</v>
      </c>
      <c r="D720" s="45">
        <v>107.25</v>
      </c>
      <c r="E720" s="45">
        <v>73099114</v>
      </c>
      <c r="F720" s="45" t="s">
        <v>727</v>
      </c>
      <c r="G720" s="25">
        <f t="shared" si="9"/>
        <v>8.1118881118882324E-3</v>
      </c>
    </row>
    <row r="721" spans="1:7">
      <c r="A721" s="45">
        <v>108</v>
      </c>
      <c r="B721" s="45">
        <v>108.79</v>
      </c>
      <c r="C721" s="45">
        <v>103.4923</v>
      </c>
      <c r="D721" s="45">
        <v>104.68</v>
      </c>
      <c r="E721" s="45">
        <v>65424234</v>
      </c>
      <c r="F721" s="45" t="s">
        <v>728</v>
      </c>
      <c r="G721" s="25">
        <f t="shared" si="9"/>
        <v>3.1715705005731731E-2</v>
      </c>
    </row>
    <row r="722" spans="1:7">
      <c r="A722" s="45">
        <v>105.82</v>
      </c>
      <c r="B722" s="45">
        <v>107.29</v>
      </c>
      <c r="C722" s="45">
        <v>104.62009999999999</v>
      </c>
      <c r="D722" s="45">
        <v>106.36</v>
      </c>
      <c r="E722" s="45">
        <v>67880217</v>
      </c>
      <c r="F722" s="45" t="s">
        <v>729</v>
      </c>
      <c r="G722" s="25">
        <f t="shared" si="9"/>
        <v>-5.0770966528770334E-3</v>
      </c>
    </row>
    <row r="723" spans="1:7">
      <c r="A723" s="45">
        <v>107.93</v>
      </c>
      <c r="B723" s="45">
        <v>108.1</v>
      </c>
      <c r="C723" s="45">
        <v>103.93</v>
      </c>
      <c r="D723" s="45">
        <v>103.98</v>
      </c>
      <c r="E723" s="45">
        <v>74338722</v>
      </c>
      <c r="F723" s="45" t="s">
        <v>730</v>
      </c>
      <c r="G723" s="25">
        <f t="shared" si="9"/>
        <v>3.7988074629736523E-2</v>
      </c>
    </row>
    <row r="724" spans="1:7">
      <c r="A724" s="45">
        <v>103.75</v>
      </c>
      <c r="B724" s="45">
        <v>104.14</v>
      </c>
      <c r="C724" s="45">
        <v>100.05</v>
      </c>
      <c r="D724" s="45">
        <v>101.79</v>
      </c>
      <c r="E724" s="45">
        <v>75240894</v>
      </c>
      <c r="F724" s="45" t="s">
        <v>731</v>
      </c>
      <c r="G724" s="25">
        <f t="shared" si="9"/>
        <v>1.9255329600157189E-2</v>
      </c>
    </row>
    <row r="725" spans="1:7">
      <c r="A725" s="45">
        <v>101.48</v>
      </c>
      <c r="B725" s="45">
        <v>103.28</v>
      </c>
      <c r="C725" s="45">
        <v>97.31</v>
      </c>
      <c r="D725" s="45">
        <v>97.39</v>
      </c>
      <c r="E725" s="45">
        <v>90622884</v>
      </c>
      <c r="F725" s="45" t="s">
        <v>732</v>
      </c>
      <c r="G725" s="25">
        <f t="shared" si="9"/>
        <v>4.1996098162029094E-2</v>
      </c>
    </row>
    <row r="726" spans="1:7">
      <c r="A726" s="45">
        <v>97.4</v>
      </c>
      <c r="B726" s="45">
        <v>97.43</v>
      </c>
      <c r="C726" s="45">
        <v>93.45</v>
      </c>
      <c r="D726" s="45">
        <v>95.2</v>
      </c>
      <c r="E726" s="45">
        <v>51749212</v>
      </c>
      <c r="F726" s="45" t="s">
        <v>733</v>
      </c>
      <c r="G726" s="25">
        <f t="shared" si="9"/>
        <v>2.3109243697479132E-2</v>
      </c>
    </row>
    <row r="727" spans="1:7">
      <c r="A727" s="45">
        <v>95.26</v>
      </c>
      <c r="B727" s="45">
        <v>97.45</v>
      </c>
      <c r="C727" s="45">
        <v>93.68</v>
      </c>
      <c r="D727" s="45">
        <v>96.83</v>
      </c>
      <c r="E727" s="45">
        <v>53829709</v>
      </c>
      <c r="F727" s="45" t="s">
        <v>734</v>
      </c>
      <c r="G727" s="25">
        <f t="shared" si="9"/>
        <v>-1.6213983269647736E-2</v>
      </c>
    </row>
    <row r="728" spans="1:7">
      <c r="A728" s="45">
        <v>97.1</v>
      </c>
      <c r="B728" s="45">
        <v>99.19</v>
      </c>
      <c r="C728" s="45">
        <v>96.14</v>
      </c>
      <c r="D728" s="45">
        <v>98.155000000000001</v>
      </c>
      <c r="E728" s="45">
        <v>57061034</v>
      </c>
      <c r="F728" s="45" t="s">
        <v>735</v>
      </c>
      <c r="G728" s="25">
        <f t="shared" si="9"/>
        <v>-1.0748306250318418E-2</v>
      </c>
    </row>
    <row r="729" spans="1:7">
      <c r="A729" s="45">
        <v>97.02</v>
      </c>
      <c r="B729" s="45">
        <v>99.94</v>
      </c>
      <c r="C729" s="45">
        <v>96.12</v>
      </c>
      <c r="D729" s="45">
        <v>96.42</v>
      </c>
      <c r="E729" s="45">
        <v>95619496</v>
      </c>
      <c r="F729" s="45" t="s">
        <v>736</v>
      </c>
      <c r="G729" s="25">
        <f t="shared" si="9"/>
        <v>6.2227753578094624E-3</v>
      </c>
    </row>
    <row r="730" spans="1:7">
      <c r="A730" s="45">
        <v>95.06</v>
      </c>
      <c r="B730" s="45">
        <v>96.16</v>
      </c>
      <c r="C730" s="45">
        <v>93.428100000000001</v>
      </c>
      <c r="D730" s="45">
        <v>94.89</v>
      </c>
      <c r="E730" s="45">
        <v>68674788</v>
      </c>
      <c r="F730" s="45" t="s">
        <v>737</v>
      </c>
      <c r="G730" s="25">
        <f t="shared" si="9"/>
        <v>1.7915481083359275E-3</v>
      </c>
    </row>
    <row r="731" spans="1:7">
      <c r="A731" s="45">
        <v>95.04</v>
      </c>
      <c r="B731" s="45">
        <v>95.655000000000001</v>
      </c>
      <c r="C731" s="45">
        <v>89.17</v>
      </c>
      <c r="D731" s="45">
        <v>89.99</v>
      </c>
      <c r="E731" s="45">
        <v>95503215</v>
      </c>
      <c r="F731" s="45" t="s">
        <v>738</v>
      </c>
      <c r="G731" s="25">
        <f t="shared" si="9"/>
        <v>5.6117346371819199E-2</v>
      </c>
    </row>
    <row r="732" spans="1:7">
      <c r="A732" s="45">
        <v>89.84</v>
      </c>
      <c r="B732" s="45">
        <v>90.424999999999997</v>
      </c>
      <c r="C732" s="45">
        <v>84.72</v>
      </c>
      <c r="D732" s="45">
        <v>84.99</v>
      </c>
      <c r="E732" s="45">
        <v>78491108</v>
      </c>
      <c r="F732" s="45" t="s">
        <v>739</v>
      </c>
      <c r="G732" s="25">
        <f t="shared" si="9"/>
        <v>5.7065537122014565E-2</v>
      </c>
    </row>
    <row r="733" spans="1:7">
      <c r="A733" s="45">
        <v>86.61</v>
      </c>
      <c r="B733" s="45">
        <v>91.64</v>
      </c>
      <c r="C733" s="45">
        <v>81.11</v>
      </c>
      <c r="D733" s="45">
        <v>81.569999999999993</v>
      </c>
      <c r="E733" s="45">
        <v>122840488</v>
      </c>
      <c r="F733" s="45" t="s">
        <v>740</v>
      </c>
      <c r="G733" s="25">
        <f t="shared" si="9"/>
        <v>6.1787421846267065E-2</v>
      </c>
    </row>
    <row r="734" spans="1:7">
      <c r="A734" s="45">
        <v>81.62</v>
      </c>
      <c r="B734" s="45">
        <v>85.48</v>
      </c>
      <c r="C734" s="45">
        <v>81.02</v>
      </c>
      <c r="D734" s="45">
        <v>83.54</v>
      </c>
      <c r="E734" s="45">
        <v>109482172</v>
      </c>
      <c r="F734" s="45" t="s">
        <v>741</v>
      </c>
      <c r="G734" s="25">
        <f t="shared" si="9"/>
        <v>-2.2983002154656429E-2</v>
      </c>
    </row>
    <row r="735" spans="1:7">
      <c r="A735" s="45">
        <v>89.91</v>
      </c>
      <c r="B735" s="45">
        <v>90.454999999999998</v>
      </c>
      <c r="C735" s="45">
        <v>88.12</v>
      </c>
      <c r="D735" s="45">
        <v>89.32</v>
      </c>
      <c r="E735" s="45">
        <v>70483508</v>
      </c>
      <c r="F735" s="45" t="s">
        <v>742</v>
      </c>
      <c r="G735" s="25">
        <f t="shared" si="9"/>
        <v>6.6054635020151853E-3</v>
      </c>
    </row>
    <row r="736" spans="1:7">
      <c r="A736" s="45">
        <v>89.69</v>
      </c>
      <c r="B736" s="45">
        <v>91.04</v>
      </c>
      <c r="C736" s="45">
        <v>88.61</v>
      </c>
      <c r="D736" s="45">
        <v>91.03</v>
      </c>
      <c r="E736" s="45">
        <v>59358710</v>
      </c>
      <c r="F736" s="45" t="s">
        <v>743</v>
      </c>
      <c r="G736" s="25">
        <f t="shared" si="9"/>
        <v>-1.4720421838954278E-2</v>
      </c>
    </row>
    <row r="737" spans="1:7">
      <c r="A737" s="45">
        <v>89.37</v>
      </c>
      <c r="B737" s="45">
        <v>89.75</v>
      </c>
      <c r="C737" s="45">
        <v>86.44</v>
      </c>
      <c r="D737" s="45">
        <v>87.02</v>
      </c>
      <c r="E737" s="45">
        <v>50686053</v>
      </c>
      <c r="F737" s="45" t="s">
        <v>744</v>
      </c>
      <c r="G737" s="25">
        <f t="shared" si="9"/>
        <v>2.7005286141117191E-2</v>
      </c>
    </row>
    <row r="738" spans="1:7">
      <c r="A738" s="45">
        <v>87.44</v>
      </c>
      <c r="B738" s="45">
        <v>87.564999999999998</v>
      </c>
      <c r="C738" s="45">
        <v>84.09</v>
      </c>
      <c r="D738" s="45">
        <v>86.41</v>
      </c>
      <c r="E738" s="45">
        <v>53087213</v>
      </c>
      <c r="F738" s="45" t="s">
        <v>745</v>
      </c>
      <c r="G738" s="25">
        <f t="shared" si="9"/>
        <v>1.1919916676310649E-2</v>
      </c>
    </row>
    <row r="739" spans="1:7">
      <c r="A739" s="45">
        <v>85.94</v>
      </c>
      <c r="B739" s="45">
        <v>87.35</v>
      </c>
      <c r="C739" s="45">
        <v>85.32</v>
      </c>
      <c r="D739" s="45">
        <v>86.51</v>
      </c>
      <c r="E739" s="45">
        <v>47786564</v>
      </c>
      <c r="F739" s="45" t="s">
        <v>746</v>
      </c>
      <c r="G739" s="25">
        <f t="shared" si="9"/>
        <v>-6.5888336608485032E-3</v>
      </c>
    </row>
    <row r="740" spans="1:7">
      <c r="A740" s="45">
        <v>83.8</v>
      </c>
      <c r="B740" s="45">
        <v>87.06</v>
      </c>
      <c r="C740" s="45">
        <v>83.76</v>
      </c>
      <c r="D740" s="45">
        <v>86.9</v>
      </c>
      <c r="E740" s="45">
        <v>52771477</v>
      </c>
      <c r="F740" s="45" t="s">
        <v>747</v>
      </c>
      <c r="G740" s="25">
        <f t="shared" si="9"/>
        <v>-3.5673187571921838E-2</v>
      </c>
    </row>
    <row r="741" spans="1:7">
      <c r="A741" s="45">
        <v>87.57</v>
      </c>
      <c r="B741" s="45">
        <v>88.64</v>
      </c>
      <c r="C741" s="45">
        <v>86.34</v>
      </c>
      <c r="D741" s="45">
        <v>88.11</v>
      </c>
      <c r="E741" s="45">
        <v>40423789</v>
      </c>
      <c r="F741" s="45" t="s">
        <v>748</v>
      </c>
      <c r="G741" s="25">
        <f t="shared" si="9"/>
        <v>-6.1287027579163267E-3</v>
      </c>
    </row>
    <row r="742" spans="1:7">
      <c r="A742" s="45">
        <v>88.43</v>
      </c>
      <c r="B742" s="45">
        <v>89.8</v>
      </c>
      <c r="C742" s="45">
        <v>88.055000000000007</v>
      </c>
      <c r="D742" s="45">
        <v>89.8</v>
      </c>
      <c r="E742" s="45">
        <v>41118264</v>
      </c>
      <c r="F742" s="45" t="s">
        <v>749</v>
      </c>
      <c r="G742" s="25">
        <f t="shared" si="9"/>
        <v>-1.5256124721603426E-2</v>
      </c>
    </row>
    <row r="743" spans="1:7">
      <c r="A743" s="45">
        <v>90.11</v>
      </c>
      <c r="B743" s="45">
        <v>91.579499999999996</v>
      </c>
      <c r="C743" s="45">
        <v>88.73</v>
      </c>
      <c r="D743" s="45">
        <v>88.825000000000003</v>
      </c>
      <c r="E743" s="45">
        <v>47082684</v>
      </c>
      <c r="F743" s="45" t="s">
        <v>750</v>
      </c>
      <c r="G743" s="25">
        <f t="shared" si="9"/>
        <v>1.4466647903180307E-2</v>
      </c>
    </row>
    <row r="744" spans="1:7">
      <c r="A744" s="45">
        <v>89.94</v>
      </c>
      <c r="B744" s="45">
        <v>90.54</v>
      </c>
      <c r="C744" s="45">
        <v>88.22</v>
      </c>
      <c r="D744" s="45">
        <v>88.51</v>
      </c>
      <c r="E744" s="45">
        <v>37344502</v>
      </c>
      <c r="F744" s="45" t="s">
        <v>751</v>
      </c>
      <c r="G744" s="25">
        <f t="shared" si="9"/>
        <v>1.615636651225838E-2</v>
      </c>
    </row>
    <row r="745" spans="1:7">
      <c r="A745" s="45">
        <v>89.78</v>
      </c>
      <c r="B745" s="45">
        <v>92.16</v>
      </c>
      <c r="C745" s="45">
        <v>89.33</v>
      </c>
      <c r="D745" s="45">
        <v>91.61</v>
      </c>
      <c r="E745" s="45">
        <v>46246286</v>
      </c>
      <c r="F745" s="45" t="s">
        <v>752</v>
      </c>
      <c r="G745" s="25">
        <f t="shared" si="9"/>
        <v>-1.9975985154459086E-2</v>
      </c>
    </row>
    <row r="746" spans="1:7">
      <c r="A746" s="45">
        <v>89.87</v>
      </c>
      <c r="B746" s="45">
        <v>90.69</v>
      </c>
      <c r="C746" s="45">
        <v>88.3</v>
      </c>
      <c r="D746" s="45">
        <v>90.23</v>
      </c>
      <c r="E746" s="45">
        <v>47250782</v>
      </c>
      <c r="F746" s="45" t="s">
        <v>753</v>
      </c>
      <c r="G746" s="25">
        <f t="shared" si="9"/>
        <v>-3.9898038346447562E-3</v>
      </c>
    </row>
    <row r="747" spans="1:7">
      <c r="A747" s="45">
        <v>91.75</v>
      </c>
      <c r="B747" s="45">
        <v>92.97</v>
      </c>
      <c r="C747" s="45">
        <v>90.5</v>
      </c>
      <c r="D747" s="45">
        <v>91.82</v>
      </c>
      <c r="E747" s="45">
        <v>38734794</v>
      </c>
      <c r="F747" s="45" t="s">
        <v>754</v>
      </c>
      <c r="G747" s="25">
        <f t="shared" si="9"/>
        <v>-7.6236114136341016E-4</v>
      </c>
    </row>
    <row r="748" spans="1:7">
      <c r="A748" s="45">
        <v>92.09</v>
      </c>
      <c r="B748" s="45">
        <v>93.16</v>
      </c>
      <c r="C748" s="45">
        <v>91.83</v>
      </c>
      <c r="D748" s="45">
        <v>92.79</v>
      </c>
      <c r="E748" s="45">
        <v>40572482</v>
      </c>
      <c r="F748" s="45" t="s">
        <v>755</v>
      </c>
      <c r="G748" s="25">
        <f t="shared" si="9"/>
        <v>-7.543916370298609E-3</v>
      </c>
    </row>
    <row r="749" spans="1:7">
      <c r="A749" s="45">
        <v>92.33</v>
      </c>
      <c r="B749" s="45">
        <v>95</v>
      </c>
      <c r="C749" s="45">
        <v>91.74</v>
      </c>
      <c r="D749" s="45">
        <v>94.97</v>
      </c>
      <c r="E749" s="45">
        <v>53383124</v>
      </c>
      <c r="F749" s="45" t="s">
        <v>756</v>
      </c>
      <c r="G749" s="25">
        <f t="shared" si="9"/>
        <v>-2.7798252079604069E-2</v>
      </c>
    </row>
    <row r="750" spans="1:7">
      <c r="A750" s="45">
        <v>94.03</v>
      </c>
      <c r="B750" s="45">
        <v>96.07</v>
      </c>
      <c r="C750" s="45">
        <v>92.69</v>
      </c>
      <c r="D750" s="45">
        <v>96.06</v>
      </c>
      <c r="E750" s="45">
        <v>51935800</v>
      </c>
      <c r="F750" s="45" t="s">
        <v>757</v>
      </c>
      <c r="G750" s="25">
        <f t="shared" si="9"/>
        <v>-2.1132625442431774E-2</v>
      </c>
    </row>
    <row r="751" spans="1:7">
      <c r="A751" s="45">
        <v>95.48</v>
      </c>
      <c r="B751" s="45">
        <v>95.795000000000002</v>
      </c>
      <c r="C751" s="45">
        <v>91.02</v>
      </c>
      <c r="D751" s="45">
        <v>91.32</v>
      </c>
      <c r="E751" s="45">
        <v>52536324</v>
      </c>
      <c r="F751" s="45" t="s">
        <v>758</v>
      </c>
      <c r="G751" s="25">
        <f t="shared" si="9"/>
        <v>4.5554095488392621E-2</v>
      </c>
    </row>
    <row r="752" spans="1:7">
      <c r="A752" s="45">
        <v>92.47</v>
      </c>
      <c r="B752" s="45">
        <v>92.9148</v>
      </c>
      <c r="C752" s="45">
        <v>90.62</v>
      </c>
      <c r="D752" s="45">
        <v>91.47</v>
      </c>
      <c r="E752" s="45">
        <v>47778378</v>
      </c>
      <c r="F752" s="45" t="s">
        <v>759</v>
      </c>
      <c r="G752" s="25">
        <f t="shared" si="9"/>
        <v>1.0932546190007608E-2</v>
      </c>
    </row>
    <row r="753" spans="1:7">
      <c r="A753" s="45">
        <v>92.56</v>
      </c>
      <c r="B753" s="45">
        <v>94.5</v>
      </c>
      <c r="C753" s="45">
        <v>91.36</v>
      </c>
      <c r="D753" s="45">
        <v>94.35</v>
      </c>
      <c r="E753" s="45">
        <v>52979281</v>
      </c>
      <c r="F753" s="45" t="s">
        <v>760</v>
      </c>
      <c r="G753" s="25">
        <f t="shared" si="9"/>
        <v>-1.8971913089560033E-2</v>
      </c>
    </row>
    <row r="754" spans="1:7">
      <c r="A754" s="45">
        <v>95.87</v>
      </c>
      <c r="B754" s="45">
        <v>97.27</v>
      </c>
      <c r="C754" s="45">
        <v>95.21</v>
      </c>
      <c r="D754" s="45">
        <v>97.037999999999997</v>
      </c>
      <c r="E754" s="45">
        <v>43195876</v>
      </c>
      <c r="F754" s="45" t="s">
        <v>761</v>
      </c>
      <c r="G754" s="25">
        <f t="shared" si="9"/>
        <v>-1.2036521774974718E-2</v>
      </c>
    </row>
    <row r="755" spans="1:7">
      <c r="A755" s="45">
        <v>96.56</v>
      </c>
      <c r="B755" s="45">
        <v>96.79</v>
      </c>
      <c r="C755" s="45">
        <v>94.81</v>
      </c>
      <c r="D755" s="45">
        <v>96.694999999999993</v>
      </c>
      <c r="E755" s="45">
        <v>50655332</v>
      </c>
      <c r="F755" s="45" t="s">
        <v>762</v>
      </c>
      <c r="G755" s="25">
        <f t="shared" si="9"/>
        <v>-1.3961425099539015E-3</v>
      </c>
    </row>
    <row r="756" spans="1:7">
      <c r="A756" s="45">
        <v>98.01</v>
      </c>
      <c r="B756" s="45">
        <v>98.36</v>
      </c>
      <c r="C756" s="45">
        <v>95.27</v>
      </c>
      <c r="D756" s="45">
        <v>96.34</v>
      </c>
      <c r="E756" s="45">
        <v>55861066</v>
      </c>
      <c r="F756" s="45" t="s">
        <v>763</v>
      </c>
      <c r="G756" s="25">
        <f t="shared" si="9"/>
        <v>1.7334440523147254E-2</v>
      </c>
    </row>
    <row r="757" spans="1:7">
      <c r="A757" s="45">
        <v>97.88</v>
      </c>
      <c r="B757" s="45">
        <v>99.53</v>
      </c>
      <c r="C757" s="45">
        <v>97.25</v>
      </c>
      <c r="D757" s="45">
        <v>98</v>
      </c>
      <c r="E757" s="45">
        <v>59678531</v>
      </c>
      <c r="F757" s="45" t="s">
        <v>764</v>
      </c>
      <c r="G757" s="25">
        <f t="shared" si="9"/>
        <v>-1.224489795918382E-3</v>
      </c>
    </row>
    <row r="758" spans="1:7">
      <c r="A758" s="45">
        <v>96.09</v>
      </c>
      <c r="B758" s="45">
        <v>96.91</v>
      </c>
      <c r="C758" s="45">
        <v>94.87</v>
      </c>
      <c r="D758" s="45">
        <v>96.07</v>
      </c>
      <c r="E758" s="45">
        <v>55325974</v>
      </c>
      <c r="F758" s="45" t="s">
        <v>765</v>
      </c>
      <c r="G758" s="25">
        <f t="shared" ref="G758:G821" si="10">A758/D758-1</f>
        <v>2.0818153429802422E-4</v>
      </c>
    </row>
    <row r="759" spans="1:7">
      <c r="A759" s="45">
        <v>94.56</v>
      </c>
      <c r="B759" s="45">
        <v>96.94</v>
      </c>
      <c r="C759" s="45">
        <v>92.87</v>
      </c>
      <c r="D759" s="45">
        <v>96.77</v>
      </c>
      <c r="E759" s="45">
        <v>59150100</v>
      </c>
      <c r="F759" s="45" t="s">
        <v>766</v>
      </c>
      <c r="G759" s="25">
        <f t="shared" si="10"/>
        <v>-2.283765629843959E-2</v>
      </c>
    </row>
    <row r="760" spans="1:7">
      <c r="A760" s="45">
        <v>96.61</v>
      </c>
      <c r="B760" s="45">
        <v>98.93</v>
      </c>
      <c r="C760" s="45">
        <v>95.424999999999997</v>
      </c>
      <c r="D760" s="45">
        <v>98.02</v>
      </c>
      <c r="E760" s="45">
        <v>57461354</v>
      </c>
      <c r="F760" s="45" t="s">
        <v>767</v>
      </c>
      <c r="G760" s="25">
        <f t="shared" si="10"/>
        <v>-1.4384819424607231E-2</v>
      </c>
    </row>
    <row r="761" spans="1:7">
      <c r="A761" s="45">
        <v>97.95</v>
      </c>
      <c r="B761" s="45">
        <v>99.52</v>
      </c>
      <c r="C761" s="45">
        <v>96.74</v>
      </c>
      <c r="D761" s="45">
        <v>99.18</v>
      </c>
      <c r="E761" s="45">
        <v>64743698</v>
      </c>
      <c r="F761" s="45" t="s">
        <v>768</v>
      </c>
      <c r="G761" s="25">
        <f t="shared" si="10"/>
        <v>-1.2401693889897203E-2</v>
      </c>
    </row>
    <row r="762" spans="1:7">
      <c r="A762" s="45">
        <v>100.28</v>
      </c>
      <c r="B762" s="45">
        <v>102.43</v>
      </c>
      <c r="C762" s="45">
        <v>98.671000000000006</v>
      </c>
      <c r="D762" s="45">
        <v>100.05</v>
      </c>
      <c r="E762" s="45">
        <v>84088899</v>
      </c>
      <c r="F762" s="45" t="s">
        <v>769</v>
      </c>
      <c r="G762" s="25">
        <f t="shared" si="10"/>
        <v>2.2988505747125743E-3</v>
      </c>
    </row>
    <row r="763" spans="1:7">
      <c r="A763" s="45">
        <v>97.58</v>
      </c>
      <c r="B763" s="45">
        <v>101.7</v>
      </c>
      <c r="C763" s="45">
        <v>95.64</v>
      </c>
      <c r="D763" s="45">
        <v>95.65</v>
      </c>
      <c r="E763" s="45">
        <v>110816317</v>
      </c>
      <c r="F763" s="45" t="s">
        <v>770</v>
      </c>
      <c r="G763" s="25">
        <f t="shared" si="10"/>
        <v>2.0177731312075231E-2</v>
      </c>
    </row>
    <row r="764" spans="1:7">
      <c r="A764" s="45">
        <v>95.93</v>
      </c>
      <c r="B764" s="45">
        <v>99.464600000000004</v>
      </c>
      <c r="C764" s="45">
        <v>93.64</v>
      </c>
      <c r="D764" s="45">
        <v>97</v>
      </c>
      <c r="E764" s="45">
        <v>85285333</v>
      </c>
      <c r="F764" s="45" t="s">
        <v>771</v>
      </c>
      <c r="G764" s="25">
        <f t="shared" si="10"/>
        <v>-1.1030927835051441E-2</v>
      </c>
    </row>
    <row r="765" spans="1:7">
      <c r="A765" s="45">
        <v>96.81</v>
      </c>
      <c r="B765" s="45">
        <v>96.94</v>
      </c>
      <c r="C765" s="45">
        <v>92.9</v>
      </c>
      <c r="D765" s="45">
        <v>96.3</v>
      </c>
      <c r="E765" s="45">
        <v>92008949</v>
      </c>
      <c r="F765" s="45" t="s">
        <v>772</v>
      </c>
      <c r="G765" s="25">
        <f t="shared" si="10"/>
        <v>5.2959501557632294E-3</v>
      </c>
    </row>
    <row r="766" spans="1:7">
      <c r="A766" s="45">
        <v>97.84</v>
      </c>
      <c r="B766" s="45">
        <v>98.75</v>
      </c>
      <c r="C766" s="45">
        <v>95.936400000000006</v>
      </c>
      <c r="D766" s="45">
        <v>96.66</v>
      </c>
      <c r="E766" s="45">
        <v>94080842</v>
      </c>
      <c r="F766" s="45" t="s">
        <v>773</v>
      </c>
      <c r="G766" s="25">
        <f t="shared" si="10"/>
        <v>1.2207738464721674E-2</v>
      </c>
    </row>
    <row r="767" spans="1:7">
      <c r="A767" s="45">
        <v>96.6</v>
      </c>
      <c r="B767" s="45">
        <v>96.69</v>
      </c>
      <c r="C767" s="45">
        <v>89.02</v>
      </c>
      <c r="D767" s="45">
        <v>89.72</v>
      </c>
      <c r="E767" s="45">
        <v>115980649</v>
      </c>
      <c r="F767" s="45" t="s">
        <v>774</v>
      </c>
      <c r="G767" s="25">
        <f t="shared" si="10"/>
        <v>7.6683013820775692E-2</v>
      </c>
    </row>
    <row r="768" spans="1:7">
      <c r="A768" s="45">
        <v>89.68</v>
      </c>
      <c r="B768" s="45">
        <v>90.42</v>
      </c>
      <c r="C768" s="45">
        <v>86.215000000000003</v>
      </c>
      <c r="D768" s="45">
        <v>86.77</v>
      </c>
      <c r="E768" s="45">
        <v>86177424</v>
      </c>
      <c r="F768" s="45" t="s">
        <v>775</v>
      </c>
      <c r="G768" s="25">
        <f t="shared" si="10"/>
        <v>3.3536936729284372E-2</v>
      </c>
    </row>
    <row r="769" spans="1:7">
      <c r="A769" s="45">
        <v>87.45</v>
      </c>
      <c r="B769" s="45">
        <v>88.3</v>
      </c>
      <c r="C769" s="45">
        <v>83.59</v>
      </c>
      <c r="D769" s="45">
        <v>83.67</v>
      </c>
      <c r="E769" s="45">
        <v>66616320</v>
      </c>
      <c r="F769" s="45" t="s">
        <v>776</v>
      </c>
      <c r="G769" s="25">
        <f t="shared" si="10"/>
        <v>4.5177482968806082E-2</v>
      </c>
    </row>
    <row r="770" spans="1:7">
      <c r="A770" s="45">
        <v>82.01</v>
      </c>
      <c r="B770" s="45">
        <v>83.83</v>
      </c>
      <c r="C770" s="45">
        <v>78.515000000000001</v>
      </c>
      <c r="D770" s="45">
        <v>81.39</v>
      </c>
      <c r="E770" s="45">
        <v>65269120</v>
      </c>
      <c r="F770" s="45" t="s">
        <v>777</v>
      </c>
      <c r="G770" s="25">
        <f t="shared" si="10"/>
        <v>7.6176434451407093E-3</v>
      </c>
    </row>
    <row r="771" spans="1:7">
      <c r="A771" s="45">
        <v>82.67</v>
      </c>
      <c r="B771" s="45">
        <v>85.45</v>
      </c>
      <c r="C771" s="45">
        <v>81.63</v>
      </c>
      <c r="D771" s="45">
        <v>84.47</v>
      </c>
      <c r="E771" s="45">
        <v>70273562</v>
      </c>
      <c r="F771" s="45" t="s">
        <v>778</v>
      </c>
      <c r="G771" s="25">
        <f t="shared" si="10"/>
        <v>-2.1309340594293791E-2</v>
      </c>
    </row>
    <row r="772" spans="1:7">
      <c r="A772" s="45">
        <v>84.03</v>
      </c>
      <c r="B772" s="45">
        <v>87.81</v>
      </c>
      <c r="C772" s="45">
        <v>83.59</v>
      </c>
      <c r="D772" s="45">
        <v>85.29</v>
      </c>
      <c r="E772" s="45">
        <v>79496691</v>
      </c>
      <c r="F772" s="45" t="s">
        <v>779</v>
      </c>
      <c r="G772" s="25">
        <f t="shared" si="10"/>
        <v>-1.4773126978543827E-2</v>
      </c>
    </row>
    <row r="773" spans="1:7">
      <c r="A773" s="45">
        <v>85.37</v>
      </c>
      <c r="B773" s="45">
        <v>85.77</v>
      </c>
      <c r="C773" s="45">
        <v>82.28</v>
      </c>
      <c r="D773" s="45">
        <v>82.79</v>
      </c>
      <c r="E773" s="45">
        <v>69529838</v>
      </c>
      <c r="F773" s="45" t="s">
        <v>780</v>
      </c>
      <c r="G773" s="25">
        <f t="shared" si="10"/>
        <v>3.1163183959415308E-2</v>
      </c>
    </row>
    <row r="774" spans="1:7">
      <c r="A774" s="45">
        <v>82.11</v>
      </c>
      <c r="B774" s="45">
        <v>84.85</v>
      </c>
      <c r="C774" s="45">
        <v>80.665000000000006</v>
      </c>
      <c r="D774" s="45">
        <v>81.069999999999993</v>
      </c>
      <c r="E774" s="45">
        <v>70959009</v>
      </c>
      <c r="F774" s="45" t="s">
        <v>781</v>
      </c>
      <c r="G774" s="25">
        <f t="shared" si="10"/>
        <v>1.2828419884050923E-2</v>
      </c>
    </row>
    <row r="775" spans="1:7">
      <c r="A775" s="45">
        <v>81.16</v>
      </c>
      <c r="B775" s="45">
        <v>83.298599999999993</v>
      </c>
      <c r="C775" s="45">
        <v>81.040000000000006</v>
      </c>
      <c r="D775" s="45">
        <v>82.03</v>
      </c>
      <c r="E775" s="45">
        <v>54541281</v>
      </c>
      <c r="F775" s="45" t="s">
        <v>782</v>
      </c>
      <c r="G775" s="25">
        <f t="shared" si="10"/>
        <v>-1.0605875899061368E-2</v>
      </c>
    </row>
    <row r="776" spans="1:7">
      <c r="A776" s="45">
        <v>81.52</v>
      </c>
      <c r="B776" s="45">
        <v>81.63</v>
      </c>
      <c r="C776" s="45">
        <v>79.34</v>
      </c>
      <c r="D776" s="45">
        <v>80.400000000000006</v>
      </c>
      <c r="E776" s="45">
        <v>54536217</v>
      </c>
      <c r="F776" s="45" t="s">
        <v>783</v>
      </c>
      <c r="G776" s="25">
        <f t="shared" si="10"/>
        <v>1.3930348258706315E-2</v>
      </c>
    </row>
    <row r="777" spans="1:7">
      <c r="A777" s="45">
        <v>80.44</v>
      </c>
      <c r="B777" s="45">
        <v>80.92</v>
      </c>
      <c r="C777" s="45">
        <v>76.650000000000006</v>
      </c>
      <c r="D777" s="45">
        <v>77.569999999999993</v>
      </c>
      <c r="E777" s="45">
        <v>60185875</v>
      </c>
      <c r="F777" s="45" t="s">
        <v>784</v>
      </c>
      <c r="G777" s="25">
        <f t="shared" si="10"/>
        <v>3.6998839757638402E-2</v>
      </c>
    </row>
    <row r="778" spans="1:7">
      <c r="A778" s="45">
        <v>78.290000000000006</v>
      </c>
      <c r="B778" s="45">
        <v>80.286900000000003</v>
      </c>
      <c r="C778" s="45">
        <v>77.881299999999996</v>
      </c>
      <c r="D778" s="45">
        <v>78.55</v>
      </c>
      <c r="E778" s="45">
        <v>44265984</v>
      </c>
      <c r="F778" s="45" t="s">
        <v>785</v>
      </c>
      <c r="G778" s="25">
        <f t="shared" si="10"/>
        <v>-3.3099936346274728E-3</v>
      </c>
    </row>
    <row r="779" spans="1:7">
      <c r="A779" s="45">
        <v>78.58</v>
      </c>
      <c r="B779" s="45">
        <v>80.14</v>
      </c>
      <c r="C779" s="45">
        <v>77.42</v>
      </c>
      <c r="D779" s="45">
        <v>77.872</v>
      </c>
      <c r="E779" s="45">
        <v>44220135</v>
      </c>
      <c r="F779" s="45" t="s">
        <v>786</v>
      </c>
      <c r="G779" s="25">
        <f t="shared" si="10"/>
        <v>9.09184302445043E-3</v>
      </c>
    </row>
    <row r="780" spans="1:7">
      <c r="A780" s="45">
        <v>78.77</v>
      </c>
      <c r="B780" s="45">
        <v>80.12</v>
      </c>
      <c r="C780" s="45">
        <v>78.53</v>
      </c>
      <c r="D780" s="45">
        <v>79.64</v>
      </c>
      <c r="E780" s="45">
        <v>45617297</v>
      </c>
      <c r="F780" s="45" t="s">
        <v>787</v>
      </c>
      <c r="G780" s="25">
        <f t="shared" si="10"/>
        <v>-1.0924158714214038E-2</v>
      </c>
    </row>
    <row r="781" spans="1:7">
      <c r="A781" s="45">
        <v>78.09</v>
      </c>
      <c r="B781" s="45">
        <v>78.81</v>
      </c>
      <c r="C781" s="45">
        <v>76.94</v>
      </c>
      <c r="D781" s="45">
        <v>77.75</v>
      </c>
      <c r="E781" s="45">
        <v>46700007</v>
      </c>
      <c r="F781" s="45" t="s">
        <v>788</v>
      </c>
      <c r="G781" s="25">
        <f t="shared" si="10"/>
        <v>4.3729903536977588E-3</v>
      </c>
    </row>
    <row r="782" spans="1:7">
      <c r="A782" s="45">
        <v>79.75</v>
      </c>
      <c r="B782" s="45">
        <v>81.790000000000006</v>
      </c>
      <c r="C782" s="45">
        <v>77.965000000000003</v>
      </c>
      <c r="D782" s="45">
        <v>80.63</v>
      </c>
      <c r="E782" s="45">
        <v>76391342</v>
      </c>
      <c r="F782" s="45" t="s">
        <v>789</v>
      </c>
      <c r="G782" s="25">
        <f t="shared" si="10"/>
        <v>-1.0914051841746208E-2</v>
      </c>
    </row>
    <row r="783" spans="1:7">
      <c r="A783" s="45">
        <v>76.61</v>
      </c>
      <c r="B783" s="45">
        <v>78.129900000000006</v>
      </c>
      <c r="C783" s="45">
        <v>75.920100000000005</v>
      </c>
      <c r="D783" s="45">
        <v>76.930000000000007</v>
      </c>
      <c r="E783" s="45">
        <v>50286804</v>
      </c>
      <c r="F783" s="45" t="s">
        <v>790</v>
      </c>
      <c r="G783" s="25">
        <f t="shared" si="10"/>
        <v>-4.1596256336930981E-3</v>
      </c>
    </row>
    <row r="784" spans="1:7">
      <c r="A784" s="45">
        <v>76.77</v>
      </c>
      <c r="B784" s="45">
        <v>78.454999999999998</v>
      </c>
      <c r="C784" s="45">
        <v>76.45</v>
      </c>
      <c r="D784" s="45">
        <v>77.150000000000006</v>
      </c>
      <c r="E784" s="45">
        <v>44045643</v>
      </c>
      <c r="F784" s="45" t="s">
        <v>791</v>
      </c>
      <c r="G784" s="25">
        <f t="shared" si="10"/>
        <v>-4.9254698639016326E-3</v>
      </c>
    </row>
    <row r="785" spans="1:7">
      <c r="A785" s="45">
        <v>78.5</v>
      </c>
      <c r="B785" s="45">
        <v>79.649799999999999</v>
      </c>
      <c r="C785" s="45">
        <v>77.37</v>
      </c>
      <c r="D785" s="45">
        <v>79.599999999999994</v>
      </c>
      <c r="E785" s="45">
        <v>47826602</v>
      </c>
      <c r="F785" s="45" t="s">
        <v>792</v>
      </c>
      <c r="G785" s="25">
        <f t="shared" si="10"/>
        <v>-1.3819095477386911E-2</v>
      </c>
    </row>
    <row r="786" spans="1:7">
      <c r="A786" s="45">
        <v>80.08</v>
      </c>
      <c r="B786" s="45">
        <v>83.35</v>
      </c>
      <c r="C786" s="45">
        <v>80.05</v>
      </c>
      <c r="D786" s="45">
        <v>82.98</v>
      </c>
      <c r="E786" s="45">
        <v>57755166</v>
      </c>
      <c r="F786" s="45" t="s">
        <v>793</v>
      </c>
      <c r="G786" s="25">
        <f t="shared" si="10"/>
        <v>-3.4948180284405939E-2</v>
      </c>
    </row>
    <row r="787" spans="1:7">
      <c r="A787" s="45">
        <v>85.18</v>
      </c>
      <c r="B787" s="45">
        <v>85.89</v>
      </c>
      <c r="C787" s="45">
        <v>83.32</v>
      </c>
      <c r="D787" s="45">
        <v>85.1</v>
      </c>
      <c r="E787" s="45">
        <v>46483152</v>
      </c>
      <c r="F787" s="45" t="s">
        <v>794</v>
      </c>
      <c r="G787" s="25">
        <f t="shared" si="10"/>
        <v>9.4007050528799319E-4</v>
      </c>
    </row>
    <row r="788" spans="1:7">
      <c r="A788" s="45">
        <v>85.95</v>
      </c>
      <c r="B788" s="45">
        <v>86.185000000000002</v>
      </c>
      <c r="C788" s="45">
        <v>81.767200000000003</v>
      </c>
      <c r="D788" s="45">
        <v>82.7</v>
      </c>
      <c r="E788" s="45">
        <v>55979653</v>
      </c>
      <c r="F788" s="45" t="s">
        <v>795</v>
      </c>
      <c r="G788" s="25">
        <f t="shared" si="10"/>
        <v>3.9298669891172811E-2</v>
      </c>
    </row>
    <row r="789" spans="1:7">
      <c r="A789" s="45">
        <v>83.13</v>
      </c>
      <c r="B789" s="45">
        <v>84.15</v>
      </c>
      <c r="C789" s="45">
        <v>80.900000000000006</v>
      </c>
      <c r="D789" s="45">
        <v>81.569999999999993</v>
      </c>
      <c r="E789" s="45">
        <v>45400008</v>
      </c>
      <c r="F789" s="45" t="s">
        <v>796</v>
      </c>
      <c r="G789" s="25">
        <f t="shared" si="10"/>
        <v>1.9124678190511224E-2</v>
      </c>
    </row>
    <row r="790" spans="1:7">
      <c r="A790" s="45">
        <v>81.48</v>
      </c>
      <c r="B790" s="45">
        <v>82.71</v>
      </c>
      <c r="C790" s="45">
        <v>80.47</v>
      </c>
      <c r="D790" s="45">
        <v>82.29</v>
      </c>
      <c r="E790" s="45">
        <v>49332598</v>
      </c>
      <c r="F790" s="45" t="s">
        <v>797</v>
      </c>
      <c r="G790" s="25">
        <f t="shared" si="10"/>
        <v>-9.843237331389032E-3</v>
      </c>
    </row>
    <row r="791" spans="1:7">
      <c r="A791" s="45">
        <v>83.21</v>
      </c>
      <c r="B791" s="45">
        <v>86.67</v>
      </c>
      <c r="C791" s="45">
        <v>82.76</v>
      </c>
      <c r="D791" s="45">
        <v>85.88</v>
      </c>
      <c r="E791" s="45">
        <v>46525397</v>
      </c>
      <c r="F791" s="45" t="s">
        <v>798</v>
      </c>
      <c r="G791" s="25">
        <f t="shared" si="10"/>
        <v>-3.1089892873777392E-2</v>
      </c>
    </row>
    <row r="792" spans="1:7">
      <c r="A792" s="45">
        <v>84.69</v>
      </c>
      <c r="B792" s="45">
        <v>88</v>
      </c>
      <c r="C792" s="45">
        <v>84.54</v>
      </c>
      <c r="D792" s="45">
        <v>85.88</v>
      </c>
      <c r="E792" s="45">
        <v>54140448</v>
      </c>
      <c r="F792" s="45" t="s">
        <v>799</v>
      </c>
      <c r="G792" s="25">
        <f t="shared" si="10"/>
        <v>-1.3856544014904437E-2</v>
      </c>
    </row>
    <row r="793" spans="1:7">
      <c r="A793" s="45">
        <v>85.91</v>
      </c>
      <c r="B793" s="45">
        <v>86.25</v>
      </c>
      <c r="C793" s="45">
        <v>82.52</v>
      </c>
      <c r="D793" s="45">
        <v>84.32</v>
      </c>
      <c r="E793" s="45">
        <v>65291914</v>
      </c>
      <c r="F793" s="45" t="s">
        <v>800</v>
      </c>
      <c r="G793" s="25">
        <f t="shared" si="10"/>
        <v>1.8856736242884198E-2</v>
      </c>
    </row>
    <row r="794" spans="1:7">
      <c r="A794" s="45">
        <v>83.68</v>
      </c>
      <c r="B794" s="45">
        <v>86.28</v>
      </c>
      <c r="C794" s="45">
        <v>83.224000000000004</v>
      </c>
      <c r="D794" s="45">
        <v>84.63</v>
      </c>
      <c r="E794" s="45">
        <v>53008890</v>
      </c>
      <c r="F794" s="45" t="s">
        <v>801</v>
      </c>
      <c r="G794" s="25">
        <f t="shared" si="10"/>
        <v>-1.1225333805978788E-2</v>
      </c>
    </row>
    <row r="795" spans="1:7">
      <c r="A795" s="45">
        <v>86.09</v>
      </c>
      <c r="B795" s="45">
        <v>88.801400000000001</v>
      </c>
      <c r="C795" s="45">
        <v>85.83</v>
      </c>
      <c r="D795" s="45">
        <v>86.655000000000001</v>
      </c>
      <c r="E795" s="45">
        <v>66557818</v>
      </c>
      <c r="F795" s="45" t="s">
        <v>802</v>
      </c>
      <c r="G795" s="25">
        <f t="shared" si="10"/>
        <v>-6.5201084761410399E-3</v>
      </c>
    </row>
    <row r="796" spans="1:7">
      <c r="A796" s="45">
        <v>88.31</v>
      </c>
      <c r="B796" s="45">
        <v>88.938800000000001</v>
      </c>
      <c r="C796" s="45">
        <v>83.2</v>
      </c>
      <c r="D796" s="45">
        <v>84.29</v>
      </c>
      <c r="E796" s="45">
        <v>97762091</v>
      </c>
      <c r="F796" s="45" t="s">
        <v>803</v>
      </c>
      <c r="G796" s="25">
        <f t="shared" si="10"/>
        <v>4.7692490212362104E-2</v>
      </c>
    </row>
    <row r="797" spans="1:7">
      <c r="A797" s="45">
        <v>84.64</v>
      </c>
      <c r="B797" s="45">
        <v>85.48</v>
      </c>
      <c r="C797" s="45">
        <v>77.88</v>
      </c>
      <c r="D797" s="45">
        <v>78.47</v>
      </c>
      <c r="E797" s="45">
        <v>152548240</v>
      </c>
      <c r="F797" s="45" t="s">
        <v>804</v>
      </c>
      <c r="G797" s="25">
        <f t="shared" si="10"/>
        <v>7.8628775328150935E-2</v>
      </c>
    </row>
    <row r="798" spans="1:7">
      <c r="A798" s="45">
        <v>75.150000000000006</v>
      </c>
      <c r="B798" s="45">
        <v>75.2</v>
      </c>
      <c r="C798" s="45">
        <v>72.03</v>
      </c>
      <c r="D798" s="45">
        <v>72.260000000000005</v>
      </c>
      <c r="E798" s="45">
        <v>71669107</v>
      </c>
      <c r="F798" s="45" t="s">
        <v>805</v>
      </c>
      <c r="G798" s="25">
        <f t="shared" si="10"/>
        <v>3.9994464433988464E-2</v>
      </c>
    </row>
    <row r="799" spans="1:7">
      <c r="A799" s="45">
        <v>72.45</v>
      </c>
      <c r="B799" s="45">
        <v>74.64</v>
      </c>
      <c r="C799" s="45">
        <v>72.400000000000006</v>
      </c>
      <c r="D799" s="45">
        <v>74.23</v>
      </c>
      <c r="E799" s="45">
        <v>48105243</v>
      </c>
      <c r="F799" s="45" t="s">
        <v>806</v>
      </c>
      <c r="G799" s="25">
        <f t="shared" si="10"/>
        <v>-2.3979523103866418E-2</v>
      </c>
    </row>
    <row r="800" spans="1:7">
      <c r="A800" s="45">
        <v>75.400000000000006</v>
      </c>
      <c r="B800" s="45">
        <v>76.739999999999995</v>
      </c>
      <c r="C800" s="45">
        <v>73.489999999999995</v>
      </c>
      <c r="D800" s="45">
        <v>73.7</v>
      </c>
      <c r="E800" s="45">
        <v>58118610</v>
      </c>
      <c r="F800" s="45" t="s">
        <v>807</v>
      </c>
      <c r="G800" s="25">
        <f t="shared" si="10"/>
        <v>2.3066485753052923E-2</v>
      </c>
    </row>
    <row r="801" spans="1:7">
      <c r="A801" s="45">
        <v>75.16</v>
      </c>
      <c r="B801" s="45">
        <v>77.079800000000006</v>
      </c>
      <c r="C801" s="45">
        <v>74.28</v>
      </c>
      <c r="D801" s="45">
        <v>76.5</v>
      </c>
      <c r="E801" s="45">
        <v>49583948</v>
      </c>
      <c r="F801" s="45" t="s">
        <v>808</v>
      </c>
      <c r="G801" s="25">
        <f t="shared" si="10"/>
        <v>-1.7516339869281139E-2</v>
      </c>
    </row>
    <row r="802" spans="1:7">
      <c r="A802" s="45">
        <v>74.91</v>
      </c>
      <c r="B802" s="45">
        <v>75.12</v>
      </c>
      <c r="C802" s="45">
        <v>72.09</v>
      </c>
      <c r="D802" s="45">
        <v>72.900000000000006</v>
      </c>
      <c r="E802" s="45">
        <v>49932595</v>
      </c>
      <c r="F802" s="45" t="s">
        <v>809</v>
      </c>
      <c r="G802" s="25">
        <f t="shared" si="10"/>
        <v>2.7572016460905235E-2</v>
      </c>
    </row>
    <row r="803" spans="1:7">
      <c r="A803" s="45">
        <v>74.7</v>
      </c>
      <c r="B803" s="45">
        <v>75.641199999999998</v>
      </c>
      <c r="C803" s="45">
        <v>73.42</v>
      </c>
      <c r="D803" s="45">
        <v>73.75</v>
      </c>
      <c r="E803" s="45">
        <v>60822606</v>
      </c>
      <c r="F803" s="45" t="s">
        <v>810</v>
      </c>
      <c r="G803" s="25">
        <f t="shared" si="10"/>
        <v>1.2881355932203409E-2</v>
      </c>
    </row>
    <row r="804" spans="1:7">
      <c r="A804" s="45">
        <v>76.53</v>
      </c>
      <c r="B804" s="45">
        <v>76.59</v>
      </c>
      <c r="C804" s="45">
        <v>71.540000000000006</v>
      </c>
      <c r="D804" s="45">
        <v>72.224999999999994</v>
      </c>
      <c r="E804" s="45">
        <v>84293199</v>
      </c>
      <c r="F804" s="45" t="s">
        <v>811</v>
      </c>
      <c r="G804" s="25">
        <f t="shared" si="10"/>
        <v>5.9605399792315827E-2</v>
      </c>
    </row>
    <row r="805" spans="1:7">
      <c r="A805" s="45">
        <v>70.069999999999993</v>
      </c>
      <c r="B805" s="45">
        <v>70.13</v>
      </c>
      <c r="C805" s="45">
        <v>67.45</v>
      </c>
      <c r="D805" s="45">
        <v>68.010000000000005</v>
      </c>
      <c r="E805" s="45">
        <v>47757593</v>
      </c>
      <c r="F805" s="45" t="s">
        <v>812</v>
      </c>
      <c r="G805" s="25">
        <f t="shared" si="10"/>
        <v>3.0289663284810864E-2</v>
      </c>
    </row>
    <row r="806" spans="1:7">
      <c r="A806" s="45">
        <v>67.709999999999994</v>
      </c>
      <c r="B806" s="45">
        <v>69.253600000000006</v>
      </c>
      <c r="C806" s="45">
        <v>67.265000000000001</v>
      </c>
      <c r="D806" s="45">
        <v>68.974999999999994</v>
      </c>
      <c r="E806" s="45">
        <v>47189852</v>
      </c>
      <c r="F806" s="45" t="s">
        <v>813</v>
      </c>
      <c r="G806" s="25">
        <f t="shared" si="10"/>
        <v>-1.8339978252990274E-2</v>
      </c>
    </row>
    <row r="807" spans="1:7">
      <c r="A807" s="45">
        <v>70.53</v>
      </c>
      <c r="B807" s="45">
        <v>72.78</v>
      </c>
      <c r="C807" s="45">
        <v>70.5</v>
      </c>
      <c r="D807" s="45">
        <v>71.87</v>
      </c>
      <c r="E807" s="45">
        <v>39538725</v>
      </c>
      <c r="F807" s="45" t="s">
        <v>814</v>
      </c>
      <c r="G807" s="25">
        <f t="shared" si="10"/>
        <v>-1.8644775288715776E-2</v>
      </c>
    </row>
    <row r="808" spans="1:7">
      <c r="A808" s="45">
        <v>71.59</v>
      </c>
      <c r="B808" s="45">
        <v>72.66</v>
      </c>
      <c r="C808" s="45">
        <v>70.653000000000006</v>
      </c>
      <c r="D808" s="45">
        <v>70.87</v>
      </c>
      <c r="E808" s="45">
        <v>42621340</v>
      </c>
      <c r="F808" s="45" t="s">
        <v>815</v>
      </c>
      <c r="G808" s="25">
        <f t="shared" si="10"/>
        <v>1.0159446874558942E-2</v>
      </c>
    </row>
    <row r="809" spans="1:7">
      <c r="A809" s="45">
        <v>71</v>
      </c>
      <c r="B809" s="45">
        <v>71.099999999999994</v>
      </c>
      <c r="C809" s="45">
        <v>69.23</v>
      </c>
      <c r="D809" s="45">
        <v>69.84</v>
      </c>
      <c r="E809" s="45">
        <v>45757358</v>
      </c>
      <c r="F809" s="45" t="s">
        <v>816</v>
      </c>
      <c r="G809" s="25">
        <f t="shared" si="10"/>
        <v>1.6609392898052633E-2</v>
      </c>
    </row>
    <row r="810" spans="1:7">
      <c r="A810" s="45">
        <v>70.8</v>
      </c>
      <c r="B810" s="45">
        <v>71.650000000000006</v>
      </c>
      <c r="C810" s="45">
        <v>67.180000000000007</v>
      </c>
      <c r="D810" s="45">
        <v>70.069999999999993</v>
      </c>
      <c r="E810" s="45">
        <v>70066161</v>
      </c>
      <c r="F810" s="45" t="s">
        <v>817</v>
      </c>
      <c r="G810" s="25">
        <f t="shared" si="10"/>
        <v>1.0418153275296271E-2</v>
      </c>
    </row>
    <row r="811" spans="1:7">
      <c r="A811" s="45">
        <v>69.06</v>
      </c>
      <c r="B811" s="45">
        <v>69.13</v>
      </c>
      <c r="C811" s="45">
        <v>67.220100000000002</v>
      </c>
      <c r="D811" s="45">
        <v>68.39</v>
      </c>
      <c r="E811" s="45">
        <v>44470060</v>
      </c>
      <c r="F811" s="45" t="s">
        <v>818</v>
      </c>
      <c r="G811" s="25">
        <f t="shared" si="10"/>
        <v>9.7967539113905655E-3</v>
      </c>
    </row>
    <row r="812" spans="1:7">
      <c r="A812" s="45">
        <v>68.05</v>
      </c>
      <c r="B812" s="45">
        <v>68.150000000000006</v>
      </c>
      <c r="C812" s="45">
        <v>66.56</v>
      </c>
      <c r="D812" s="45">
        <v>66.67</v>
      </c>
      <c r="E812" s="45">
        <v>41149630</v>
      </c>
      <c r="F812" s="45" t="s">
        <v>819</v>
      </c>
      <c r="G812" s="25">
        <f t="shared" si="10"/>
        <v>2.0698965051747287E-2</v>
      </c>
    </row>
    <row r="813" spans="1:7">
      <c r="A813" s="45">
        <v>67.239999999999995</v>
      </c>
      <c r="B813" s="45">
        <v>69.319999999999993</v>
      </c>
      <c r="C813" s="45">
        <v>65.67</v>
      </c>
      <c r="D813" s="45">
        <v>66.22</v>
      </c>
      <c r="E813" s="45">
        <v>69741257</v>
      </c>
      <c r="F813" s="45" t="s">
        <v>820</v>
      </c>
      <c r="G813" s="25">
        <f t="shared" si="10"/>
        <v>1.5403201449712967E-2</v>
      </c>
    </row>
    <row r="814" spans="1:7">
      <c r="A814" s="45">
        <v>63.96</v>
      </c>
      <c r="B814" s="45">
        <v>64.3</v>
      </c>
      <c r="C814" s="45">
        <v>60.05</v>
      </c>
      <c r="D814" s="45">
        <v>63.145000000000003</v>
      </c>
      <c r="E814" s="45">
        <v>70161340</v>
      </c>
      <c r="F814" s="45" t="s">
        <v>821</v>
      </c>
      <c r="G814" s="25">
        <f t="shared" si="10"/>
        <v>1.2906801805368628E-2</v>
      </c>
    </row>
    <row r="815" spans="1:7">
      <c r="A815" s="45">
        <v>62.33</v>
      </c>
      <c r="B815" s="45">
        <v>64.349999999999994</v>
      </c>
      <c r="C815" s="45">
        <v>62.3</v>
      </c>
      <c r="D815" s="45">
        <v>64.150000000000006</v>
      </c>
      <c r="E815" s="45">
        <v>46159549</v>
      </c>
      <c r="F815" s="45" t="s">
        <v>822</v>
      </c>
      <c r="G815" s="25">
        <f t="shared" si="10"/>
        <v>-2.8371005455962717E-2</v>
      </c>
    </row>
    <row r="816" spans="1:7">
      <c r="A816" s="45">
        <v>64.66</v>
      </c>
      <c r="B816" s="45">
        <v>65.790000000000006</v>
      </c>
      <c r="C816" s="45">
        <v>63.31</v>
      </c>
      <c r="D816" s="45">
        <v>65</v>
      </c>
      <c r="E816" s="45">
        <v>47477139</v>
      </c>
      <c r="F816" s="45" t="s">
        <v>823</v>
      </c>
      <c r="G816" s="25">
        <f t="shared" si="10"/>
        <v>-5.230769230769261E-3</v>
      </c>
    </row>
    <row r="817" spans="1:7">
      <c r="A817" s="45">
        <v>64.02</v>
      </c>
      <c r="B817" s="45">
        <v>66.88</v>
      </c>
      <c r="C817" s="45">
        <v>63.59</v>
      </c>
      <c r="D817" s="45">
        <v>65.998000000000005</v>
      </c>
      <c r="E817" s="45">
        <v>46851844</v>
      </c>
      <c r="F817" s="45" t="s">
        <v>824</v>
      </c>
      <c r="G817" s="25">
        <f t="shared" si="10"/>
        <v>-2.9970605169853726E-2</v>
      </c>
    </row>
    <row r="818" spans="1:7">
      <c r="A818" s="45">
        <v>64.77</v>
      </c>
      <c r="B818" s="45">
        <v>64.819999999999993</v>
      </c>
      <c r="C818" s="45">
        <v>63.143700000000003</v>
      </c>
      <c r="D818" s="45">
        <v>63.77</v>
      </c>
      <c r="E818" s="45">
        <v>37126975</v>
      </c>
      <c r="F818" s="45" t="s">
        <v>825</v>
      </c>
      <c r="G818" s="25">
        <f t="shared" si="10"/>
        <v>1.5681354869060637E-2</v>
      </c>
    </row>
    <row r="819" spans="1:7">
      <c r="A819" s="45">
        <v>64.819999999999993</v>
      </c>
      <c r="B819" s="45">
        <v>65.180000000000007</v>
      </c>
      <c r="C819" s="45">
        <v>63.06</v>
      </c>
      <c r="D819" s="45">
        <v>63.634999999999998</v>
      </c>
      <c r="E819" s="45">
        <v>41428481</v>
      </c>
      <c r="F819" s="45" t="s">
        <v>826</v>
      </c>
      <c r="G819" s="25">
        <f t="shared" si="10"/>
        <v>1.8621827610591613E-2</v>
      </c>
    </row>
    <row r="820" spans="1:7">
      <c r="A820" s="45">
        <v>62.57</v>
      </c>
      <c r="B820" s="45">
        <v>63.54</v>
      </c>
      <c r="C820" s="45">
        <v>61.96</v>
      </c>
      <c r="D820" s="45">
        <v>62.54</v>
      </c>
      <c r="E820" s="45">
        <v>39526483</v>
      </c>
      <c r="F820" s="45" t="s">
        <v>827</v>
      </c>
      <c r="G820" s="25">
        <f t="shared" si="10"/>
        <v>4.7969299648231711E-4</v>
      </c>
    </row>
    <row r="821" spans="1:7">
      <c r="A821" s="45">
        <v>63.27</v>
      </c>
      <c r="B821" s="45">
        <v>64.28</v>
      </c>
      <c r="C821" s="45">
        <v>62.97</v>
      </c>
      <c r="D821" s="45">
        <v>63.87</v>
      </c>
      <c r="E821" s="45">
        <v>36085981</v>
      </c>
      <c r="F821" s="45" t="s">
        <v>828</v>
      </c>
      <c r="G821" s="25">
        <f t="shared" si="10"/>
        <v>-9.3940817285109723E-3</v>
      </c>
    </row>
    <row r="822" spans="1:7">
      <c r="A822" s="45">
        <v>64.52</v>
      </c>
      <c r="B822" s="45">
        <v>64.66</v>
      </c>
      <c r="C822" s="45">
        <v>62.72</v>
      </c>
      <c r="D822" s="45">
        <v>63.11</v>
      </c>
      <c r="E822" s="45">
        <v>45923000</v>
      </c>
      <c r="F822" s="45" t="s">
        <v>829</v>
      </c>
      <c r="G822" s="25">
        <f t="shared" ref="G822:G885" si="11">A822/D822-1</f>
        <v>2.2341942639835244E-2</v>
      </c>
    </row>
    <row r="823" spans="1:7">
      <c r="A823" s="45">
        <v>63.86</v>
      </c>
      <c r="B823" s="45">
        <v>66.31</v>
      </c>
      <c r="C823" s="45">
        <v>62.260100000000001</v>
      </c>
      <c r="D823" s="45">
        <v>66.08</v>
      </c>
      <c r="E823" s="45">
        <v>73917667</v>
      </c>
      <c r="F823" s="45" t="s">
        <v>830</v>
      </c>
      <c r="G823" s="25">
        <f t="shared" si="11"/>
        <v>-3.3595641646489094E-2</v>
      </c>
    </row>
    <row r="824" spans="1:7">
      <c r="A824" s="45">
        <v>67.680000000000007</v>
      </c>
      <c r="B824" s="45">
        <v>67.844999999999999</v>
      </c>
      <c r="C824" s="45">
        <v>65.209999999999994</v>
      </c>
      <c r="D824" s="45">
        <v>65.430000000000007</v>
      </c>
      <c r="E824" s="45">
        <v>44167575</v>
      </c>
      <c r="F824" s="45" t="s">
        <v>831</v>
      </c>
      <c r="G824" s="25">
        <f t="shared" si="11"/>
        <v>3.4387895460797901E-2</v>
      </c>
    </row>
    <row r="825" spans="1:7">
      <c r="A825" s="45">
        <v>65.05</v>
      </c>
      <c r="B825" s="45">
        <v>66.06</v>
      </c>
      <c r="C825" s="45">
        <v>63.52</v>
      </c>
      <c r="D825" s="45">
        <v>63.76</v>
      </c>
      <c r="E825" s="45">
        <v>52431257</v>
      </c>
      <c r="F825" s="45" t="s">
        <v>832</v>
      </c>
      <c r="G825" s="25">
        <f t="shared" si="11"/>
        <v>2.0232120451693758E-2</v>
      </c>
    </row>
    <row r="826" spans="1:7">
      <c r="A826" s="45">
        <v>64.59</v>
      </c>
      <c r="B826" s="45">
        <v>65.59</v>
      </c>
      <c r="C826" s="45">
        <v>63.71</v>
      </c>
      <c r="D826" s="45">
        <v>65.12</v>
      </c>
      <c r="E826" s="45">
        <v>46246911</v>
      </c>
      <c r="F826" s="45" t="s">
        <v>833</v>
      </c>
      <c r="G826" s="25">
        <f t="shared" si="11"/>
        <v>-8.1388206388206541E-3</v>
      </c>
    </row>
    <row r="827" spans="1:7">
      <c r="A827" s="45">
        <v>65.41</v>
      </c>
      <c r="B827" s="45">
        <v>67.19</v>
      </c>
      <c r="C827" s="45">
        <v>64.8</v>
      </c>
      <c r="D827" s="45">
        <v>66.25</v>
      </c>
      <c r="E827" s="45">
        <v>62438574</v>
      </c>
      <c r="F827" s="45" t="s">
        <v>834</v>
      </c>
      <c r="G827" s="25">
        <f t="shared" si="11"/>
        <v>-1.2679245283018892E-2</v>
      </c>
    </row>
    <row r="828" spans="1:7">
      <c r="A828" s="45">
        <v>66.53</v>
      </c>
      <c r="B828" s="45">
        <v>68.209999999999994</v>
      </c>
      <c r="C828" s="45">
        <v>66.12</v>
      </c>
      <c r="D828" s="45">
        <v>67.603999999999999</v>
      </c>
      <c r="E828" s="45">
        <v>58557045</v>
      </c>
      <c r="F828" s="45" t="s">
        <v>835</v>
      </c>
      <c r="G828" s="25">
        <f t="shared" si="11"/>
        <v>-1.5886633926986526E-2</v>
      </c>
    </row>
    <row r="829" spans="1:7">
      <c r="A829" s="45">
        <v>68.930000000000007</v>
      </c>
      <c r="B829" s="45">
        <v>72</v>
      </c>
      <c r="C829" s="45">
        <v>68.319999999999993</v>
      </c>
      <c r="D829" s="45">
        <v>70.930000000000007</v>
      </c>
      <c r="E829" s="45">
        <v>67277981</v>
      </c>
      <c r="F829" s="45" t="s">
        <v>836</v>
      </c>
      <c r="G829" s="25">
        <f t="shared" si="11"/>
        <v>-2.8196813760045125E-2</v>
      </c>
    </row>
    <row r="830" spans="1:7">
      <c r="A830" s="45">
        <v>71.650000000000006</v>
      </c>
      <c r="B830" s="45">
        <v>75.209999999999994</v>
      </c>
      <c r="C830" s="45">
        <v>70.66</v>
      </c>
      <c r="D830" s="45">
        <v>74.87</v>
      </c>
      <c r="E830" s="45">
        <v>72458043</v>
      </c>
      <c r="F830" s="45" t="s">
        <v>837</v>
      </c>
      <c r="G830" s="25">
        <f t="shared" si="11"/>
        <v>-4.3007880325898196E-2</v>
      </c>
    </row>
    <row r="831" spans="1:7">
      <c r="A831" s="45">
        <v>70.67</v>
      </c>
      <c r="B831" s="45">
        <v>70.67</v>
      </c>
      <c r="C831" s="45">
        <v>67.53</v>
      </c>
      <c r="D831" s="45">
        <v>68.540000000000006</v>
      </c>
      <c r="E831" s="45">
        <v>60968341</v>
      </c>
      <c r="F831" s="45" t="s">
        <v>838</v>
      </c>
      <c r="G831" s="25">
        <f t="shared" si="11"/>
        <v>3.1076743507440829E-2</v>
      </c>
    </row>
    <row r="832" spans="1:7">
      <c r="A832" s="45">
        <v>68.59</v>
      </c>
      <c r="B832" s="45">
        <v>70.67</v>
      </c>
      <c r="C832" s="45">
        <v>68.52</v>
      </c>
      <c r="D832" s="45">
        <v>69.489999999999995</v>
      </c>
      <c r="E832" s="45">
        <v>59058319</v>
      </c>
      <c r="F832" s="45" t="s">
        <v>839</v>
      </c>
      <c r="G832" s="25">
        <f t="shared" si="11"/>
        <v>-1.2951503813498189E-2</v>
      </c>
    </row>
    <row r="833" spans="1:7">
      <c r="A833" s="45">
        <v>70.47</v>
      </c>
      <c r="B833" s="45">
        <v>71.224999999999994</v>
      </c>
      <c r="C833" s="45">
        <v>69</v>
      </c>
      <c r="D833" s="45">
        <v>70.14</v>
      </c>
      <c r="E833" s="45">
        <v>56734096</v>
      </c>
      <c r="F833" s="45" t="s">
        <v>840</v>
      </c>
      <c r="G833" s="25">
        <f t="shared" si="11"/>
        <v>4.7048759623609104E-3</v>
      </c>
    </row>
    <row r="834" spans="1:7">
      <c r="A834" s="45">
        <v>70.14</v>
      </c>
      <c r="B834" s="45">
        <v>71.37</v>
      </c>
      <c r="C834" s="45">
        <v>69.28</v>
      </c>
      <c r="D834" s="45">
        <v>69.53</v>
      </c>
      <c r="E834" s="45">
        <v>59180109</v>
      </c>
      <c r="F834" s="45" t="s">
        <v>841</v>
      </c>
      <c r="G834" s="25">
        <f t="shared" si="11"/>
        <v>8.7731914281605761E-3</v>
      </c>
    </row>
    <row r="835" spans="1:7">
      <c r="A835" s="45">
        <v>70.27</v>
      </c>
      <c r="B835" s="45">
        <v>73.391099999999994</v>
      </c>
      <c r="C835" s="45">
        <v>69.400000000000006</v>
      </c>
      <c r="D835" s="45">
        <v>73.08</v>
      </c>
      <c r="E835" s="45">
        <v>64965235</v>
      </c>
      <c r="F835" s="45" t="s">
        <v>842</v>
      </c>
      <c r="G835" s="25">
        <f t="shared" si="11"/>
        <v>-3.8451012588943678E-2</v>
      </c>
    </row>
    <row r="836" spans="1:7">
      <c r="A836" s="45">
        <v>73.62</v>
      </c>
      <c r="B836" s="45">
        <v>75.17</v>
      </c>
      <c r="C836" s="45">
        <v>72.819999999999993</v>
      </c>
      <c r="D836" s="45">
        <v>74.540000000000006</v>
      </c>
      <c r="E836" s="45">
        <v>47022185</v>
      </c>
      <c r="F836" s="45" t="s">
        <v>843</v>
      </c>
      <c r="G836" s="25">
        <f t="shared" si="11"/>
        <v>-1.234236651462306E-2</v>
      </c>
    </row>
    <row r="837" spans="1:7">
      <c r="A837" s="45">
        <v>74.98</v>
      </c>
      <c r="B837" s="45">
        <v>76.28</v>
      </c>
      <c r="C837" s="45">
        <v>73.650000000000006</v>
      </c>
      <c r="D837" s="45">
        <v>75.05</v>
      </c>
      <c r="E837" s="45">
        <v>64377175</v>
      </c>
      <c r="F837" s="45" t="s">
        <v>844</v>
      </c>
      <c r="G837" s="25">
        <f t="shared" si="11"/>
        <v>-9.3271152564944337E-4</v>
      </c>
    </row>
    <row r="838" spans="1:7">
      <c r="A838" s="45">
        <v>77.48</v>
      </c>
      <c r="B838" s="45">
        <v>79.23</v>
      </c>
      <c r="C838" s="45">
        <v>76.44</v>
      </c>
      <c r="D838" s="45">
        <v>78.31</v>
      </c>
      <c r="E838" s="45">
        <v>59833354</v>
      </c>
      <c r="F838" s="45" t="s">
        <v>845</v>
      </c>
      <c r="G838" s="25">
        <f t="shared" si="11"/>
        <v>-1.0598901800536353E-2</v>
      </c>
    </row>
    <row r="839" spans="1:7">
      <c r="A839" s="45">
        <v>77.63</v>
      </c>
      <c r="B839" s="45">
        <v>77.7</v>
      </c>
      <c r="C839" s="45">
        <v>72.813100000000006</v>
      </c>
      <c r="D839" s="45">
        <v>73.38</v>
      </c>
      <c r="E839" s="45">
        <v>88468439</v>
      </c>
      <c r="F839" s="45" t="s">
        <v>846</v>
      </c>
      <c r="G839" s="25">
        <f t="shared" si="11"/>
        <v>5.7917688743526874E-2</v>
      </c>
    </row>
    <row r="840" spans="1:7">
      <c r="A840" s="45">
        <v>73.39</v>
      </c>
      <c r="B840" s="45">
        <v>74.489900000000006</v>
      </c>
      <c r="C840" s="45">
        <v>72.78</v>
      </c>
      <c r="D840" s="45">
        <v>73.62</v>
      </c>
      <c r="E840" s="45">
        <v>51846449</v>
      </c>
      <c r="F840" s="45" t="s">
        <v>847</v>
      </c>
      <c r="G840" s="25">
        <f t="shared" si="11"/>
        <v>-3.1241510459114608E-3</v>
      </c>
    </row>
    <row r="841" spans="1:7">
      <c r="A841" s="45">
        <v>73.19</v>
      </c>
      <c r="B841" s="45">
        <v>75.469899999999996</v>
      </c>
      <c r="C841" s="45">
        <v>72.569999999999993</v>
      </c>
      <c r="D841" s="45">
        <v>73.81</v>
      </c>
      <c r="E841" s="45">
        <v>45448323</v>
      </c>
      <c r="F841" s="45" t="s">
        <v>848</v>
      </c>
      <c r="G841" s="25">
        <f t="shared" si="11"/>
        <v>-8.3999458068012567E-3</v>
      </c>
    </row>
    <row r="842" spans="1:7">
      <c r="A842" s="45">
        <v>75.14</v>
      </c>
      <c r="B842" s="45">
        <v>76.039299999999997</v>
      </c>
      <c r="C842" s="45">
        <v>74.749499999999998</v>
      </c>
      <c r="D842" s="45">
        <v>75.67</v>
      </c>
      <c r="E842" s="45">
        <v>26018911</v>
      </c>
      <c r="F842" s="45" t="s">
        <v>849</v>
      </c>
      <c r="G842" s="25">
        <f t="shared" si="11"/>
        <v>-7.0040967358265815E-3</v>
      </c>
    </row>
    <row r="843" spans="1:7">
      <c r="A843" s="45">
        <v>76.400000000000006</v>
      </c>
      <c r="B843" s="45">
        <v>78.22</v>
      </c>
      <c r="C843" s="45">
        <v>75.3</v>
      </c>
      <c r="D843" s="45">
        <v>75.489999999999995</v>
      </c>
      <c r="E843" s="45">
        <v>81623628</v>
      </c>
      <c r="F843" s="45" t="s">
        <v>850</v>
      </c>
      <c r="G843" s="25">
        <f t="shared" si="11"/>
        <v>1.205457676513455E-2</v>
      </c>
    </row>
    <row r="844" spans="1:7">
      <c r="A844" s="45">
        <v>75.25</v>
      </c>
      <c r="B844" s="45">
        <v>75.33</v>
      </c>
      <c r="C844" s="45">
        <v>72.109099999999998</v>
      </c>
      <c r="D844" s="45">
        <v>72.72</v>
      </c>
      <c r="E844" s="45">
        <v>55450160</v>
      </c>
      <c r="F844" s="45" t="s">
        <v>851</v>
      </c>
      <c r="G844" s="25">
        <f t="shared" si="11"/>
        <v>3.4790979097909736E-2</v>
      </c>
    </row>
    <row r="845" spans="1:7">
      <c r="A845" s="45">
        <v>72.459999999999994</v>
      </c>
      <c r="B845" s="45">
        <v>72.98</v>
      </c>
      <c r="C845" s="45">
        <v>71.569999999999993</v>
      </c>
      <c r="D845" s="45">
        <v>72.209999999999994</v>
      </c>
      <c r="E845" s="45">
        <v>51536349</v>
      </c>
      <c r="F845" s="45" t="s">
        <v>852</v>
      </c>
      <c r="G845" s="25">
        <f t="shared" si="11"/>
        <v>3.4621243595069906E-3</v>
      </c>
    </row>
    <row r="846" spans="1:7">
      <c r="A846" s="45">
        <v>73.569999999999993</v>
      </c>
      <c r="B846" s="45">
        <v>75.349900000000005</v>
      </c>
      <c r="C846" s="45">
        <v>72.180000000000007</v>
      </c>
      <c r="D846" s="45">
        <v>75.069999999999993</v>
      </c>
      <c r="E846" s="45">
        <v>73223214</v>
      </c>
      <c r="F846" s="45" t="s">
        <v>853</v>
      </c>
      <c r="G846" s="25">
        <f t="shared" si="11"/>
        <v>-1.9981350739309955E-2</v>
      </c>
    </row>
    <row r="847" spans="1:7">
      <c r="A847" s="45">
        <v>73.900000000000006</v>
      </c>
      <c r="B847" s="45">
        <v>74.38</v>
      </c>
      <c r="C847" s="45">
        <v>70.16</v>
      </c>
      <c r="D847" s="45">
        <v>70.56</v>
      </c>
      <c r="E847" s="45">
        <v>82320829</v>
      </c>
      <c r="F847" s="45" t="s">
        <v>854</v>
      </c>
      <c r="G847" s="25">
        <f t="shared" si="11"/>
        <v>4.7335600907029596E-2</v>
      </c>
    </row>
    <row r="848" spans="1:7">
      <c r="A848" s="45">
        <v>72.7</v>
      </c>
      <c r="B848" s="45">
        <v>74.826800000000006</v>
      </c>
      <c r="C848" s="45">
        <v>71.924999999999997</v>
      </c>
      <c r="D848" s="45">
        <v>73.655000000000001</v>
      </c>
      <c r="E848" s="45">
        <v>79967998</v>
      </c>
      <c r="F848" s="45" t="s">
        <v>855</v>
      </c>
      <c r="G848" s="25">
        <f t="shared" si="11"/>
        <v>-1.2965854320819981E-2</v>
      </c>
    </row>
    <row r="849" spans="1:7">
      <c r="A849" s="45">
        <v>76.37</v>
      </c>
      <c r="B849" s="45">
        <v>79.16</v>
      </c>
      <c r="C849" s="45">
        <v>75.39</v>
      </c>
      <c r="D849" s="45">
        <v>77.260000000000005</v>
      </c>
      <c r="E849" s="45">
        <v>108946318</v>
      </c>
      <c r="F849" s="45" t="s">
        <v>856</v>
      </c>
      <c r="G849" s="25">
        <f t="shared" si="11"/>
        <v>-1.1519544395547476E-2</v>
      </c>
    </row>
    <row r="850" spans="1:7">
      <c r="A850" s="45">
        <v>73.53</v>
      </c>
      <c r="B850" s="45">
        <v>75.25</v>
      </c>
      <c r="C850" s="45">
        <v>72.67</v>
      </c>
      <c r="D850" s="45">
        <v>75.22</v>
      </c>
      <c r="E850" s="45">
        <v>108892750</v>
      </c>
      <c r="F850" s="45" t="s">
        <v>857</v>
      </c>
      <c r="G850" s="25">
        <f t="shared" si="11"/>
        <v>-2.2467428875299067E-2</v>
      </c>
    </row>
    <row r="851" spans="1:7">
      <c r="A851" s="45">
        <v>72.37</v>
      </c>
      <c r="B851" s="45">
        <v>73.319999999999993</v>
      </c>
      <c r="C851" s="45">
        <v>68.290000000000006</v>
      </c>
      <c r="D851" s="45">
        <v>69.58</v>
      </c>
      <c r="E851" s="45">
        <v>111709462</v>
      </c>
      <c r="F851" s="45" t="s">
        <v>858</v>
      </c>
      <c r="G851" s="25">
        <f t="shared" si="11"/>
        <v>4.0097729232538182E-2</v>
      </c>
    </row>
    <row r="852" spans="1:7">
      <c r="A852" s="45">
        <v>68.47</v>
      </c>
      <c r="B852" s="45">
        <v>68.8</v>
      </c>
      <c r="C852" s="45">
        <v>63.62</v>
      </c>
      <c r="D852" s="45">
        <v>64.3</v>
      </c>
      <c r="E852" s="45">
        <v>107996331</v>
      </c>
      <c r="F852" s="45" t="s">
        <v>859</v>
      </c>
      <c r="G852" s="25">
        <f t="shared" si="11"/>
        <v>6.4852255054432373E-2</v>
      </c>
    </row>
    <row r="853" spans="1:7">
      <c r="A853" s="45">
        <v>59.92</v>
      </c>
      <c r="B853" s="45">
        <v>63.05</v>
      </c>
      <c r="C853" s="45">
        <v>59.8</v>
      </c>
      <c r="D853" s="45">
        <v>62.28</v>
      </c>
      <c r="E853" s="45">
        <v>62940338</v>
      </c>
      <c r="F853" s="45" t="s">
        <v>860</v>
      </c>
      <c r="G853" s="25">
        <f t="shared" si="11"/>
        <v>-3.7893384714193901E-2</v>
      </c>
    </row>
    <row r="854" spans="1:7">
      <c r="A854" s="45">
        <v>63.85</v>
      </c>
      <c r="B854" s="45">
        <v>64.959999999999994</v>
      </c>
      <c r="C854" s="45">
        <v>62.367800000000003</v>
      </c>
      <c r="D854" s="45">
        <v>64.09</v>
      </c>
      <c r="E854" s="45">
        <v>75938045</v>
      </c>
      <c r="F854" s="45" t="s">
        <v>861</v>
      </c>
      <c r="G854" s="25">
        <f t="shared" si="11"/>
        <v>-3.744733967857683E-3</v>
      </c>
    </row>
    <row r="855" spans="1:7">
      <c r="A855" s="45">
        <v>63.08</v>
      </c>
      <c r="B855" s="45">
        <v>63.53</v>
      </c>
      <c r="C855" s="45">
        <v>61.4</v>
      </c>
      <c r="D855" s="45">
        <v>62.93</v>
      </c>
      <c r="E855" s="45">
        <v>62722498</v>
      </c>
      <c r="F855" s="45" t="s">
        <v>862</v>
      </c>
      <c r="G855" s="25">
        <f t="shared" si="11"/>
        <v>2.3836008263149466E-3</v>
      </c>
    </row>
    <row r="856" spans="1:7">
      <c r="A856" s="45">
        <v>62.19</v>
      </c>
      <c r="B856" s="45">
        <v>63</v>
      </c>
      <c r="C856" s="45">
        <v>60.53</v>
      </c>
      <c r="D856" s="45">
        <v>62.5</v>
      </c>
      <c r="E856" s="45">
        <v>84791349</v>
      </c>
      <c r="F856" s="45" t="s">
        <v>863</v>
      </c>
      <c r="G856" s="25">
        <f t="shared" si="11"/>
        <v>-4.9600000000000755E-3</v>
      </c>
    </row>
    <row r="857" spans="1:7">
      <c r="A857" s="45">
        <v>60.11</v>
      </c>
      <c r="B857" s="45">
        <v>62.28</v>
      </c>
      <c r="C857" s="45">
        <v>58.03</v>
      </c>
      <c r="D857" s="45">
        <v>58.11</v>
      </c>
      <c r="E857" s="45">
        <v>95279891</v>
      </c>
      <c r="F857" s="45" t="s">
        <v>864</v>
      </c>
      <c r="G857" s="25">
        <f t="shared" si="11"/>
        <v>3.4417484081913585E-2</v>
      </c>
    </row>
    <row r="858" spans="1:7">
      <c r="A858" s="45">
        <v>58.63</v>
      </c>
      <c r="B858" s="45">
        <v>63.93</v>
      </c>
      <c r="C858" s="45">
        <v>58.57</v>
      </c>
      <c r="D858" s="45">
        <v>62.999899999999997</v>
      </c>
      <c r="E858" s="45">
        <v>142669440</v>
      </c>
      <c r="F858" s="45" t="s">
        <v>865</v>
      </c>
      <c r="G858" s="25">
        <f t="shared" si="11"/>
        <v>-6.9363602164447813E-2</v>
      </c>
    </row>
    <row r="859" spans="1:7">
      <c r="A859" s="45">
        <v>59.66</v>
      </c>
      <c r="B859" s="45">
        <v>61.99</v>
      </c>
      <c r="C859" s="45">
        <v>59.424999999999997</v>
      </c>
      <c r="D859" s="45">
        <v>61.484999999999999</v>
      </c>
      <c r="E859" s="45">
        <v>83806667</v>
      </c>
      <c r="F859" s="45" t="s">
        <v>866</v>
      </c>
      <c r="G859" s="25">
        <f t="shared" si="11"/>
        <v>-2.9682036269008782E-2</v>
      </c>
    </row>
    <row r="860" spans="1:7">
      <c r="A860" s="45">
        <v>60.06</v>
      </c>
      <c r="B860" s="45">
        <v>61.86</v>
      </c>
      <c r="C860" s="45">
        <v>59.524999999999999</v>
      </c>
      <c r="D860" s="45">
        <v>60.75</v>
      </c>
      <c r="E860" s="45">
        <v>73274137</v>
      </c>
      <c r="F860" s="45" t="s">
        <v>867</v>
      </c>
      <c r="G860" s="25">
        <f t="shared" si="11"/>
        <v>-1.1358024691357937E-2</v>
      </c>
    </row>
    <row r="861" spans="1:7">
      <c r="A861" s="45">
        <v>62.01</v>
      </c>
      <c r="B861" s="45">
        <v>62.35</v>
      </c>
      <c r="C861" s="45">
        <v>58.92</v>
      </c>
      <c r="D861" s="45">
        <v>59.1</v>
      </c>
      <c r="E861" s="45">
        <v>78198605</v>
      </c>
      <c r="F861" s="45" t="s">
        <v>868</v>
      </c>
      <c r="G861" s="25">
        <f t="shared" si="11"/>
        <v>4.9238578680202982E-2</v>
      </c>
    </row>
    <row r="862" spans="1:7">
      <c r="A862" s="45">
        <v>58.6</v>
      </c>
      <c r="B862" s="45">
        <v>62.72</v>
      </c>
      <c r="C862" s="45">
        <v>58.51</v>
      </c>
      <c r="D862" s="45">
        <v>61.6</v>
      </c>
      <c r="E862" s="45">
        <v>83871440</v>
      </c>
      <c r="F862" s="45" t="s">
        <v>869</v>
      </c>
      <c r="G862" s="25">
        <f t="shared" si="11"/>
        <v>-4.870129870129869E-2</v>
      </c>
    </row>
    <row r="863" spans="1:7">
      <c r="A863" s="45">
        <v>59.73</v>
      </c>
      <c r="B863" s="45">
        <v>61.77</v>
      </c>
      <c r="C863" s="45">
        <v>59.15</v>
      </c>
      <c r="D863" s="45">
        <v>59.69</v>
      </c>
      <c r="E863" s="45">
        <v>79915891</v>
      </c>
      <c r="F863" s="45" t="s">
        <v>870</v>
      </c>
      <c r="G863" s="25">
        <f t="shared" si="11"/>
        <v>6.7012899983254215E-4</v>
      </c>
    </row>
    <row r="864" spans="1:7">
      <c r="A864" s="45">
        <v>61.47</v>
      </c>
      <c r="B864" s="45">
        <v>61.975000000000001</v>
      </c>
      <c r="C864" s="45">
        <v>58.69</v>
      </c>
      <c r="D864" s="45">
        <v>58.765000000000001</v>
      </c>
      <c r="E864" s="45">
        <v>85501881</v>
      </c>
      <c r="F864" s="45" t="s">
        <v>871</v>
      </c>
      <c r="G864" s="25">
        <f t="shared" si="11"/>
        <v>4.6030800646643444E-2</v>
      </c>
    </row>
    <row r="865" spans="1:7">
      <c r="A865" s="45">
        <v>58.7</v>
      </c>
      <c r="B865" s="45">
        <v>59</v>
      </c>
      <c r="C865" s="45">
        <v>56.66</v>
      </c>
      <c r="D865" s="45">
        <v>58.57</v>
      </c>
      <c r="E865" s="45">
        <v>76305381</v>
      </c>
      <c r="F865" s="45" t="s">
        <v>872</v>
      </c>
      <c r="G865" s="25">
        <f t="shared" si="11"/>
        <v>2.219566330886158E-3</v>
      </c>
    </row>
    <row r="866" spans="1:7">
      <c r="A866" s="45">
        <v>58.82</v>
      </c>
      <c r="B866" s="45">
        <v>58.91</v>
      </c>
      <c r="C866" s="45">
        <v>55.71</v>
      </c>
      <c r="D866" s="45">
        <v>57.215000000000003</v>
      </c>
      <c r="E866" s="45">
        <v>95366369</v>
      </c>
      <c r="F866" s="45" t="s">
        <v>873</v>
      </c>
      <c r="G866" s="25">
        <f t="shared" si="11"/>
        <v>2.805208424364225E-2</v>
      </c>
    </row>
    <row r="867" spans="1:7">
      <c r="A867" s="45">
        <v>57.77</v>
      </c>
      <c r="B867" s="45">
        <v>60.2</v>
      </c>
      <c r="C867" s="45">
        <v>57.4</v>
      </c>
      <c r="D867" s="45">
        <v>57.47</v>
      </c>
      <c r="E867" s="45">
        <v>79552604</v>
      </c>
      <c r="F867" s="45" t="s">
        <v>874</v>
      </c>
      <c r="G867" s="25">
        <f t="shared" si="11"/>
        <v>5.220114842526602E-3</v>
      </c>
    </row>
    <row r="868" spans="1:7">
      <c r="A868" s="45">
        <v>57.23</v>
      </c>
      <c r="B868" s="45">
        <v>59.037599999999998</v>
      </c>
      <c r="C868" s="45">
        <v>56.57</v>
      </c>
      <c r="D868" s="45">
        <v>57.325000000000003</v>
      </c>
      <c r="E868" s="45">
        <v>75704837</v>
      </c>
      <c r="F868" s="45" t="s">
        <v>875</v>
      </c>
      <c r="G868" s="25">
        <f t="shared" si="11"/>
        <v>-1.6572176188400789E-3</v>
      </c>
    </row>
    <row r="869" spans="1:7">
      <c r="A869" s="45">
        <v>57.92</v>
      </c>
      <c r="B869" s="45">
        <v>60.49</v>
      </c>
      <c r="C869" s="45">
        <v>56.4</v>
      </c>
      <c r="D869" s="45">
        <v>59.91</v>
      </c>
      <c r="E869" s="45">
        <v>103064529</v>
      </c>
      <c r="F869" s="45" t="s">
        <v>876</v>
      </c>
      <c r="G869" s="25">
        <f t="shared" si="11"/>
        <v>-3.3216491403772253E-2</v>
      </c>
    </row>
    <row r="870" spans="1:7">
      <c r="A870" s="45">
        <v>57.96</v>
      </c>
      <c r="B870" s="45">
        <v>58.51</v>
      </c>
      <c r="C870" s="45">
        <v>57.1</v>
      </c>
      <c r="D870" s="45">
        <v>57.35</v>
      </c>
      <c r="E870" s="45">
        <v>76977604</v>
      </c>
      <c r="F870" s="45" t="s">
        <v>877</v>
      </c>
      <c r="G870" s="25">
        <f t="shared" si="11"/>
        <v>1.0636442894507381E-2</v>
      </c>
    </row>
    <row r="871" spans="1:7">
      <c r="A871" s="45">
        <v>55.94</v>
      </c>
      <c r="B871" s="45">
        <v>59.94</v>
      </c>
      <c r="C871" s="45">
        <v>55.835000000000001</v>
      </c>
      <c r="D871" s="45">
        <v>59.6</v>
      </c>
      <c r="E871" s="45">
        <v>96959299</v>
      </c>
      <c r="F871" s="45" t="s">
        <v>878</v>
      </c>
      <c r="G871" s="25">
        <f t="shared" si="11"/>
        <v>-6.1409395973154424E-2</v>
      </c>
    </row>
    <row r="872" spans="1:7">
      <c r="A872" s="45">
        <v>58.94</v>
      </c>
      <c r="B872" s="45">
        <v>60.14</v>
      </c>
      <c r="C872" s="45">
        <v>54.57</v>
      </c>
      <c r="D872" s="45">
        <v>55.52</v>
      </c>
      <c r="E872" s="45">
        <v>131159784</v>
      </c>
      <c r="F872" s="45" t="s">
        <v>879</v>
      </c>
      <c r="G872" s="25">
        <f t="shared" si="11"/>
        <v>6.1599423631123917E-2</v>
      </c>
    </row>
    <row r="873" spans="1:7">
      <c r="A873" s="45">
        <v>57.85</v>
      </c>
      <c r="B873" s="45">
        <v>58.32</v>
      </c>
      <c r="C873" s="45">
        <v>56.32</v>
      </c>
      <c r="D873" s="45">
        <v>57.45</v>
      </c>
      <c r="E873" s="45">
        <v>89264184</v>
      </c>
      <c r="F873" s="45" t="s">
        <v>880</v>
      </c>
      <c r="G873" s="25">
        <f t="shared" si="11"/>
        <v>6.9625761531766361E-3</v>
      </c>
    </row>
    <row r="874" spans="1:7">
      <c r="A874" s="45">
        <v>57.63</v>
      </c>
      <c r="B874" s="45">
        <v>58.914999999999999</v>
      </c>
      <c r="C874" s="45">
        <v>56.05</v>
      </c>
      <c r="D874" s="45">
        <v>57.21</v>
      </c>
      <c r="E874" s="45">
        <v>114054838</v>
      </c>
      <c r="F874" s="45" t="s">
        <v>881</v>
      </c>
      <c r="G874" s="25">
        <f t="shared" si="11"/>
        <v>7.3413738856844546E-3</v>
      </c>
    </row>
    <row r="875" spans="1:7">
      <c r="A875" s="45">
        <v>57.81</v>
      </c>
      <c r="B875" s="45">
        <v>58.79</v>
      </c>
      <c r="C875" s="45">
        <v>56.3</v>
      </c>
      <c r="D875" s="45">
        <v>57.31</v>
      </c>
      <c r="E875" s="45">
        <v>112241785</v>
      </c>
      <c r="F875" s="45" t="s">
        <v>882</v>
      </c>
      <c r="G875" s="25">
        <f t="shared" si="11"/>
        <v>8.7244808933868434E-3</v>
      </c>
    </row>
    <row r="876" spans="1:7">
      <c r="A876" s="45">
        <v>58.44</v>
      </c>
      <c r="B876" s="45">
        <v>64.03</v>
      </c>
      <c r="C876" s="45">
        <v>58.22</v>
      </c>
      <c r="D876" s="45">
        <v>64.010099999999994</v>
      </c>
      <c r="E876" s="45">
        <v>163786265</v>
      </c>
      <c r="F876" s="45" t="s">
        <v>883</v>
      </c>
      <c r="G876" s="25">
        <f t="shared" si="11"/>
        <v>-8.7019079801468835E-2</v>
      </c>
    </row>
    <row r="877" spans="1:7">
      <c r="A877" s="45">
        <v>67.849999999999994</v>
      </c>
      <c r="B877" s="45">
        <v>70.290000000000006</v>
      </c>
      <c r="C877" s="45">
        <v>67.661000000000001</v>
      </c>
      <c r="D877" s="45">
        <v>67.819999999999993</v>
      </c>
      <c r="E877" s="45">
        <v>98325917</v>
      </c>
      <c r="F877" s="45" t="s">
        <v>884</v>
      </c>
      <c r="G877" s="25">
        <f t="shared" si="11"/>
        <v>4.4234739015047708E-4</v>
      </c>
    </row>
    <row r="878" spans="1:7">
      <c r="A878" s="45">
        <v>67.94</v>
      </c>
      <c r="B878" s="45">
        <v>68.69</v>
      </c>
      <c r="C878" s="45">
        <v>64.515000000000001</v>
      </c>
      <c r="D878" s="45">
        <v>66.59</v>
      </c>
      <c r="E878" s="45">
        <v>87127384</v>
      </c>
      <c r="F878" s="45" t="s">
        <v>885</v>
      </c>
      <c r="G878" s="25">
        <f t="shared" si="11"/>
        <v>2.0273314311458179E-2</v>
      </c>
    </row>
    <row r="879" spans="1:7">
      <c r="A879" s="45">
        <v>67.900000000000006</v>
      </c>
      <c r="B879" s="45">
        <v>69.180000000000007</v>
      </c>
      <c r="C879" s="45">
        <v>67.33</v>
      </c>
      <c r="D879" s="45">
        <v>68.27</v>
      </c>
      <c r="E879" s="45">
        <v>77160479</v>
      </c>
      <c r="F879" s="45" t="s">
        <v>886</v>
      </c>
      <c r="G879" s="25">
        <f t="shared" si="11"/>
        <v>-5.4196572432985146E-3</v>
      </c>
    </row>
    <row r="880" spans="1:7">
      <c r="A880" s="45">
        <v>66.11</v>
      </c>
      <c r="B880" s="45">
        <v>66.91</v>
      </c>
      <c r="C880" s="45">
        <v>63.39</v>
      </c>
      <c r="D880" s="45">
        <v>64.459999999999994</v>
      </c>
      <c r="E880" s="45">
        <v>83841632</v>
      </c>
      <c r="F880" s="45" t="s">
        <v>887</v>
      </c>
      <c r="G880" s="25">
        <f t="shared" si="11"/>
        <v>2.5597269624573427E-2</v>
      </c>
    </row>
    <row r="881" spans="1:7">
      <c r="A881" s="45">
        <v>63.36</v>
      </c>
      <c r="B881" s="45">
        <v>65.91</v>
      </c>
      <c r="C881" s="45">
        <v>63.34</v>
      </c>
      <c r="D881" s="45">
        <v>63.615000000000002</v>
      </c>
      <c r="E881" s="45">
        <v>81664125</v>
      </c>
      <c r="F881" s="45" t="s">
        <v>888</v>
      </c>
      <c r="G881" s="25">
        <f t="shared" si="11"/>
        <v>-4.0084885640179202E-3</v>
      </c>
    </row>
    <row r="882" spans="1:7">
      <c r="A882" s="45">
        <v>64.14</v>
      </c>
      <c r="B882" s="45">
        <v>67.2</v>
      </c>
      <c r="C882" s="45">
        <v>62.830100000000002</v>
      </c>
      <c r="D882" s="45">
        <v>67.150000000000006</v>
      </c>
      <c r="E882" s="45">
        <v>102552389</v>
      </c>
      <c r="F882" s="45" t="s">
        <v>889</v>
      </c>
      <c r="G882" s="25">
        <f t="shared" si="11"/>
        <v>-4.4825018615041068E-2</v>
      </c>
    </row>
    <row r="883" spans="1:7">
      <c r="A883" s="45">
        <v>68.36</v>
      </c>
      <c r="B883" s="45">
        <v>68.797899999999998</v>
      </c>
      <c r="C883" s="45">
        <v>66.56</v>
      </c>
      <c r="D883" s="45">
        <v>67.11</v>
      </c>
      <c r="E883" s="45">
        <v>72389462</v>
      </c>
      <c r="F883" s="45" t="s">
        <v>890</v>
      </c>
      <c r="G883" s="25">
        <f t="shared" si="11"/>
        <v>1.8626136194307863E-2</v>
      </c>
    </row>
    <row r="884" spans="1:7">
      <c r="A884" s="45">
        <v>67.17</v>
      </c>
      <c r="B884" s="45">
        <v>68.78</v>
      </c>
      <c r="C884" s="45">
        <v>66</v>
      </c>
      <c r="D884" s="45">
        <v>67.900000000000006</v>
      </c>
      <c r="E884" s="45">
        <v>94871793</v>
      </c>
      <c r="F884" s="45" t="s">
        <v>891</v>
      </c>
      <c r="G884" s="25">
        <f t="shared" si="11"/>
        <v>-1.0751104565537628E-2</v>
      </c>
    </row>
    <row r="885" spans="1:7">
      <c r="A885" s="45">
        <v>66.3</v>
      </c>
      <c r="B885" s="45">
        <v>68.739999999999995</v>
      </c>
      <c r="C885" s="45">
        <v>66.25</v>
      </c>
      <c r="D885" s="45">
        <v>67.87</v>
      </c>
      <c r="E885" s="45">
        <v>82898693</v>
      </c>
      <c r="F885" s="45" t="s">
        <v>892</v>
      </c>
      <c r="G885" s="25">
        <f t="shared" si="11"/>
        <v>-2.3132459113010317E-2</v>
      </c>
    </row>
    <row r="886" spans="1:7">
      <c r="A886" s="45">
        <v>67.959999999999994</v>
      </c>
      <c r="B886" s="45">
        <v>69.080100000000002</v>
      </c>
      <c r="C886" s="45">
        <v>66.821600000000004</v>
      </c>
      <c r="D886" s="45">
        <v>68</v>
      </c>
      <c r="E886" s="45">
        <v>87689951</v>
      </c>
      <c r="F886" s="45" t="s">
        <v>893</v>
      </c>
      <c r="G886" s="25">
        <f t="shared" ref="G886:G949" si="12">A886/D886-1</f>
        <v>-5.882352941177782E-4</v>
      </c>
    </row>
    <row r="887" spans="1:7">
      <c r="A887" s="45">
        <v>69.5</v>
      </c>
      <c r="B887" s="45">
        <v>74.290000000000006</v>
      </c>
      <c r="C887" s="45">
        <v>69.17</v>
      </c>
      <c r="D887" s="45">
        <v>73.89</v>
      </c>
      <c r="E887" s="45">
        <v>101436851</v>
      </c>
      <c r="F887" s="45" t="s">
        <v>894</v>
      </c>
      <c r="G887" s="25">
        <f t="shared" si="12"/>
        <v>-5.9412640411422357E-2</v>
      </c>
    </row>
    <row r="888" spans="1:7">
      <c r="A888" s="45">
        <v>74.48</v>
      </c>
      <c r="B888" s="45">
        <v>78.41</v>
      </c>
      <c r="C888" s="45">
        <v>74.45</v>
      </c>
      <c r="D888" s="45">
        <v>75.435000000000002</v>
      </c>
      <c r="E888" s="45">
        <v>82069703</v>
      </c>
      <c r="F888" s="45" t="s">
        <v>895</v>
      </c>
      <c r="G888" s="25">
        <f t="shared" si="12"/>
        <v>-1.2659905879233713E-2</v>
      </c>
    </row>
    <row r="889" spans="1:7">
      <c r="A889" s="45">
        <v>75.25</v>
      </c>
      <c r="B889" s="45">
        <v>76.58</v>
      </c>
      <c r="C889" s="45">
        <v>74.731200000000001</v>
      </c>
      <c r="D889" s="45">
        <v>76.08</v>
      </c>
      <c r="E889" s="45">
        <v>51129084</v>
      </c>
      <c r="F889" s="45" t="s">
        <v>896</v>
      </c>
      <c r="G889" s="25">
        <f t="shared" si="12"/>
        <v>-1.0909568874868492E-2</v>
      </c>
    </row>
    <row r="890" spans="1:7">
      <c r="A890" s="45">
        <v>76.77</v>
      </c>
      <c r="B890" s="45">
        <v>77.34</v>
      </c>
      <c r="C890" s="45">
        <v>75.349999999999994</v>
      </c>
      <c r="D890" s="45">
        <v>75.39</v>
      </c>
      <c r="E890" s="45">
        <v>64966909</v>
      </c>
      <c r="F890" s="45" t="s">
        <v>897</v>
      </c>
      <c r="G890" s="25">
        <f t="shared" si="12"/>
        <v>1.8304814962196492E-2</v>
      </c>
    </row>
    <row r="891" spans="1:7">
      <c r="A891" s="45">
        <v>76.510000000000005</v>
      </c>
      <c r="B891" s="45">
        <v>76.819999999999993</v>
      </c>
      <c r="C891" s="45">
        <v>74.680000000000007</v>
      </c>
      <c r="D891" s="45">
        <v>75.62</v>
      </c>
      <c r="E891" s="45">
        <v>75300178</v>
      </c>
      <c r="F891" s="45" t="s">
        <v>898</v>
      </c>
      <c r="G891" s="25">
        <f t="shared" si="12"/>
        <v>1.1769373181697906E-2</v>
      </c>
    </row>
    <row r="892" spans="1:7">
      <c r="A892" s="45">
        <v>76.66</v>
      </c>
      <c r="B892" s="45">
        <v>77.97</v>
      </c>
      <c r="C892" s="45">
        <v>74.905000000000001</v>
      </c>
      <c r="D892" s="45">
        <v>76.64</v>
      </c>
      <c r="E892" s="45">
        <v>81817966</v>
      </c>
      <c r="F892" s="45" t="s">
        <v>899</v>
      </c>
      <c r="G892" s="25">
        <f t="shared" si="12"/>
        <v>2.6096033402911445E-4</v>
      </c>
    </row>
    <row r="893" spans="1:7">
      <c r="A893" s="45">
        <v>77.45</v>
      </c>
      <c r="B893" s="45">
        <v>78.08</v>
      </c>
      <c r="C893" s="45">
        <v>75.87</v>
      </c>
      <c r="D893" s="45">
        <v>77.099999999999994</v>
      </c>
      <c r="E893" s="45">
        <v>71482997</v>
      </c>
      <c r="F893" s="45" t="s">
        <v>900</v>
      </c>
      <c r="G893" s="25">
        <f t="shared" si="12"/>
        <v>4.5395590142673914E-3</v>
      </c>
    </row>
    <row r="894" spans="1:7">
      <c r="A894" s="45">
        <v>77.03</v>
      </c>
      <c r="B894" s="45">
        <v>81.47</v>
      </c>
      <c r="C894" s="45">
        <v>76.8</v>
      </c>
      <c r="D894" s="45">
        <v>80.954999999999998</v>
      </c>
      <c r="E894" s="45">
        <v>80921218</v>
      </c>
      <c r="F894" s="45" t="s">
        <v>901</v>
      </c>
      <c r="G894" s="25">
        <f t="shared" si="12"/>
        <v>-4.8483725526527022E-2</v>
      </c>
    </row>
    <row r="895" spans="1:7">
      <c r="A895" s="45">
        <v>84.64</v>
      </c>
      <c r="B895" s="45">
        <v>85.348799999999997</v>
      </c>
      <c r="C895" s="45">
        <v>83.46</v>
      </c>
      <c r="D895" s="45">
        <v>84.89</v>
      </c>
      <c r="E895" s="45">
        <v>71922542</v>
      </c>
      <c r="F895" s="45" t="s">
        <v>902</v>
      </c>
      <c r="G895" s="25">
        <f t="shared" si="12"/>
        <v>-2.9449876310519985E-3</v>
      </c>
    </row>
    <row r="896" spans="1:7">
      <c r="A896" s="45">
        <v>85.45</v>
      </c>
      <c r="B896" s="45">
        <v>85.68</v>
      </c>
      <c r="C896" s="45">
        <v>83.84</v>
      </c>
      <c r="D896" s="45">
        <v>84.03</v>
      </c>
      <c r="E896" s="45">
        <v>68936919</v>
      </c>
      <c r="F896" s="45" t="s">
        <v>903</v>
      </c>
      <c r="G896" s="25">
        <f t="shared" si="12"/>
        <v>1.6898726645245832E-2</v>
      </c>
    </row>
    <row r="897" spans="1:7">
      <c r="A897" s="45">
        <v>82.78</v>
      </c>
      <c r="B897" s="45">
        <v>83.45</v>
      </c>
      <c r="C897" s="45">
        <v>79.239999999999995</v>
      </c>
      <c r="D897" s="45">
        <v>80.03</v>
      </c>
      <c r="E897" s="45">
        <v>89089304</v>
      </c>
      <c r="F897" s="45" t="s">
        <v>904</v>
      </c>
      <c r="G897" s="25">
        <f t="shared" si="12"/>
        <v>3.436211420717239E-2</v>
      </c>
    </row>
    <row r="898" spans="1:7">
      <c r="A898" s="45">
        <v>79.61</v>
      </c>
      <c r="B898" s="45">
        <v>80.25</v>
      </c>
      <c r="C898" s="45">
        <v>77.739999999999995</v>
      </c>
      <c r="D898" s="45">
        <v>79.239999999999995</v>
      </c>
      <c r="E898" s="45">
        <v>67891169</v>
      </c>
      <c r="F898" s="45" t="s">
        <v>905</v>
      </c>
      <c r="G898" s="25">
        <f t="shared" si="12"/>
        <v>4.6693589096415966E-3</v>
      </c>
    </row>
    <row r="899" spans="1:7">
      <c r="A899" s="45">
        <v>78.72</v>
      </c>
      <c r="B899" s="45">
        <v>80.89</v>
      </c>
      <c r="C899" s="45">
        <v>78.372399999999999</v>
      </c>
      <c r="D899" s="45">
        <v>80.41</v>
      </c>
      <c r="E899" s="45">
        <v>68727299</v>
      </c>
      <c r="F899" s="45" t="s">
        <v>906</v>
      </c>
      <c r="G899" s="25">
        <f t="shared" si="12"/>
        <v>-2.1017286407163271E-2</v>
      </c>
    </row>
    <row r="900" spans="1:7">
      <c r="A900" s="45">
        <v>80.239999999999995</v>
      </c>
      <c r="B900" s="45">
        <v>83.65</v>
      </c>
      <c r="C900" s="45">
        <v>79.805000000000007</v>
      </c>
      <c r="D900" s="45">
        <v>83.314999999999998</v>
      </c>
      <c r="E900" s="45">
        <v>84924445</v>
      </c>
      <c r="F900" s="45" t="s">
        <v>907</v>
      </c>
      <c r="G900" s="25">
        <f t="shared" si="12"/>
        <v>-3.6908119786353E-2</v>
      </c>
    </row>
    <row r="901" spans="1:7">
      <c r="A901" s="45">
        <v>82.33</v>
      </c>
      <c r="B901" s="45">
        <v>82.754999999999995</v>
      </c>
      <c r="C901" s="45">
        <v>78.52</v>
      </c>
      <c r="D901" s="45">
        <v>82.344999999999999</v>
      </c>
      <c r="E901" s="45">
        <v>94854710</v>
      </c>
      <c r="F901" s="45" t="s">
        <v>908</v>
      </c>
      <c r="G901" s="25">
        <f t="shared" si="12"/>
        <v>-1.8216042261220977E-4</v>
      </c>
    </row>
    <row r="902" spans="1:7">
      <c r="A902" s="45">
        <v>84.87</v>
      </c>
      <c r="B902" s="45">
        <v>86.72</v>
      </c>
      <c r="C902" s="45">
        <v>83.72</v>
      </c>
      <c r="D902" s="45">
        <v>86.28</v>
      </c>
      <c r="E902" s="45">
        <v>64991720</v>
      </c>
      <c r="F902" s="45" t="s">
        <v>909</v>
      </c>
      <c r="G902" s="25">
        <f t="shared" si="12"/>
        <v>-1.6342141863699533E-2</v>
      </c>
    </row>
    <row r="903" spans="1:7">
      <c r="A903" s="45">
        <v>86.94</v>
      </c>
      <c r="B903" s="45">
        <v>90.15</v>
      </c>
      <c r="C903" s="45">
        <v>85.34</v>
      </c>
      <c r="D903" s="45">
        <v>90.055000000000007</v>
      </c>
      <c r="E903" s="45">
        <v>69087118</v>
      </c>
      <c r="F903" s="45" t="s">
        <v>910</v>
      </c>
      <c r="G903" s="25">
        <f t="shared" si="12"/>
        <v>-3.4589972794403567E-2</v>
      </c>
    </row>
    <row r="904" spans="1:7">
      <c r="A904" s="45">
        <v>88.49</v>
      </c>
      <c r="B904" s="45">
        <v>91.19</v>
      </c>
      <c r="C904" s="45">
        <v>88.26</v>
      </c>
      <c r="D904" s="45">
        <v>90.05</v>
      </c>
      <c r="E904" s="45">
        <v>61142538</v>
      </c>
      <c r="F904" s="45" t="s">
        <v>911</v>
      </c>
      <c r="G904" s="25">
        <f t="shared" si="12"/>
        <v>-1.7323709050527492E-2</v>
      </c>
    </row>
    <row r="905" spans="1:7">
      <c r="A905" s="45">
        <v>91.18</v>
      </c>
      <c r="B905" s="45">
        <v>97.599900000000005</v>
      </c>
      <c r="C905" s="45">
        <v>91.12</v>
      </c>
      <c r="D905" s="45">
        <v>96.29</v>
      </c>
      <c r="E905" s="45">
        <v>65552540</v>
      </c>
      <c r="F905" s="45" t="s">
        <v>912</v>
      </c>
      <c r="G905" s="25">
        <f t="shared" si="12"/>
        <v>-5.3068854502025142E-2</v>
      </c>
    </row>
    <row r="906" spans="1:7">
      <c r="A906" s="45">
        <v>97.18</v>
      </c>
      <c r="B906" s="45">
        <v>97.57</v>
      </c>
      <c r="C906" s="45">
        <v>93.14</v>
      </c>
      <c r="D906" s="45">
        <v>93.14</v>
      </c>
      <c r="E906" s="45">
        <v>61016201</v>
      </c>
      <c r="F906" s="45" t="s">
        <v>913</v>
      </c>
      <c r="G906" s="25">
        <f t="shared" si="12"/>
        <v>4.3375563667597206E-2</v>
      </c>
    </row>
    <row r="907" spans="1:7">
      <c r="A907" s="45">
        <v>92.73</v>
      </c>
      <c r="B907" s="45">
        <v>93.38</v>
      </c>
      <c r="C907" s="45">
        <v>90.9</v>
      </c>
      <c r="D907" s="45">
        <v>92.21</v>
      </c>
      <c r="E907" s="45">
        <v>56520431</v>
      </c>
      <c r="F907" s="45" t="s">
        <v>914</v>
      </c>
      <c r="G907" s="25">
        <f t="shared" si="12"/>
        <v>5.6393015941873514E-3</v>
      </c>
    </row>
    <row r="908" spans="1:7">
      <c r="A908" s="45">
        <v>92.49</v>
      </c>
      <c r="B908" s="45">
        <v>94.44</v>
      </c>
      <c r="C908" s="45">
        <v>92.11</v>
      </c>
      <c r="D908" s="45">
        <v>92.39</v>
      </c>
      <c r="E908" s="45">
        <v>52590673</v>
      </c>
      <c r="F908" s="45" t="s">
        <v>915</v>
      </c>
      <c r="G908" s="25">
        <f t="shared" si="12"/>
        <v>1.0823682216689612E-3</v>
      </c>
    </row>
    <row r="909" spans="1:7">
      <c r="A909" s="45">
        <v>92.84</v>
      </c>
      <c r="B909" s="45">
        <v>95.02</v>
      </c>
      <c r="C909" s="45">
        <v>92.36</v>
      </c>
      <c r="D909" s="45">
        <v>94.4</v>
      </c>
      <c r="E909" s="45">
        <v>61837284</v>
      </c>
      <c r="F909" s="45" t="s">
        <v>916</v>
      </c>
      <c r="G909" s="25">
        <f t="shared" si="12"/>
        <v>-1.6525423728813604E-2</v>
      </c>
    </row>
    <row r="910" spans="1:7">
      <c r="A910" s="45">
        <v>95.95</v>
      </c>
      <c r="B910" s="45">
        <v>99.245000000000005</v>
      </c>
      <c r="C910" s="45">
        <v>94.59</v>
      </c>
      <c r="D910" s="45">
        <v>98.67</v>
      </c>
      <c r="E910" s="45">
        <v>67221693</v>
      </c>
      <c r="F910" s="45" t="s">
        <v>917</v>
      </c>
      <c r="G910" s="25">
        <f t="shared" si="12"/>
        <v>-2.7566636262288391E-2</v>
      </c>
    </row>
    <row r="911" spans="1:7">
      <c r="A911" s="45">
        <v>100.44</v>
      </c>
      <c r="B911" s="45">
        <v>101.07</v>
      </c>
      <c r="C911" s="45">
        <v>96.734200000000001</v>
      </c>
      <c r="D911" s="45">
        <v>97.74</v>
      </c>
      <c r="E911" s="45">
        <v>76059523</v>
      </c>
      <c r="F911" s="45" t="s">
        <v>918</v>
      </c>
      <c r="G911" s="25">
        <f t="shared" si="12"/>
        <v>2.7624309392265234E-2</v>
      </c>
    </row>
    <row r="912" spans="1:7">
      <c r="A912" s="45">
        <v>98.27</v>
      </c>
      <c r="B912" s="45">
        <v>99.64</v>
      </c>
      <c r="C912" s="45">
        <v>96.724999999999994</v>
      </c>
      <c r="D912" s="45">
        <v>99.26</v>
      </c>
      <c r="E912" s="45">
        <v>63735583</v>
      </c>
      <c r="F912" s="45" t="s">
        <v>919</v>
      </c>
      <c r="G912" s="25">
        <f t="shared" si="12"/>
        <v>-9.9738061656257093E-3</v>
      </c>
    </row>
    <row r="913" spans="1:7">
      <c r="A913" s="45">
        <v>100.2</v>
      </c>
      <c r="B913" s="45">
        <v>101.45</v>
      </c>
      <c r="C913" s="45">
        <v>98.320099999999996</v>
      </c>
      <c r="D913" s="45">
        <v>100.84</v>
      </c>
      <c r="E913" s="45">
        <v>60220671</v>
      </c>
      <c r="F913" s="45" t="s">
        <v>920</v>
      </c>
      <c r="G913" s="25">
        <f t="shared" si="12"/>
        <v>-6.3466878222927514E-3</v>
      </c>
    </row>
    <row r="914" spans="1:7">
      <c r="A914" s="45">
        <v>101.01</v>
      </c>
      <c r="B914" s="45">
        <v>101.85</v>
      </c>
      <c r="C914" s="45">
        <v>99.800200000000004</v>
      </c>
      <c r="D914" s="45">
        <v>100.505</v>
      </c>
      <c r="E914" s="45">
        <v>61327142</v>
      </c>
      <c r="F914" s="45" t="s">
        <v>921</v>
      </c>
      <c r="G914" s="25">
        <f t="shared" si="12"/>
        <v>5.0246256405155343E-3</v>
      </c>
    </row>
    <row r="915" spans="1:7">
      <c r="A915" s="45">
        <v>100.83</v>
      </c>
      <c r="B915" s="45">
        <v>101.4</v>
      </c>
      <c r="C915" s="45">
        <v>98.48</v>
      </c>
      <c r="D915" s="45">
        <v>99.2</v>
      </c>
      <c r="E915" s="45">
        <v>72316345</v>
      </c>
      <c r="F915" s="45" t="s">
        <v>922</v>
      </c>
      <c r="G915" s="25">
        <f t="shared" si="12"/>
        <v>1.6431451612903158E-2</v>
      </c>
    </row>
    <row r="916" spans="1:7">
      <c r="A916" s="45">
        <v>98.12</v>
      </c>
      <c r="B916" s="45">
        <v>102.37</v>
      </c>
      <c r="C916" s="45">
        <v>98</v>
      </c>
      <c r="D916" s="45">
        <v>99.93</v>
      </c>
      <c r="E916" s="45">
        <v>77516860</v>
      </c>
      <c r="F916" s="45" t="s">
        <v>923</v>
      </c>
      <c r="G916" s="25">
        <f t="shared" si="12"/>
        <v>-1.8112678875212618E-2</v>
      </c>
    </row>
    <row r="917" spans="1:7">
      <c r="A917" s="45">
        <v>99.05</v>
      </c>
      <c r="B917" s="45">
        <v>99.35</v>
      </c>
      <c r="C917" s="45">
        <v>95.61</v>
      </c>
      <c r="D917" s="45">
        <v>98.45</v>
      </c>
      <c r="E917" s="45">
        <v>83416119</v>
      </c>
      <c r="F917" s="45" t="s">
        <v>924</v>
      </c>
      <c r="G917" s="25">
        <f t="shared" si="12"/>
        <v>6.0944641950226863E-3</v>
      </c>
    </row>
    <row r="918" spans="1:7">
      <c r="A918" s="45">
        <v>95.54</v>
      </c>
      <c r="B918" s="45">
        <v>98.046099999999996</v>
      </c>
      <c r="C918" s="45">
        <v>93.67</v>
      </c>
      <c r="D918" s="45">
        <v>97.95</v>
      </c>
      <c r="E918" s="45">
        <v>89473663</v>
      </c>
      <c r="F918" s="45" t="s">
        <v>925</v>
      </c>
      <c r="G918" s="25">
        <f t="shared" si="12"/>
        <v>-2.4604389994895337E-2</v>
      </c>
    </row>
    <row r="919" spans="1:7">
      <c r="A919" s="45">
        <v>100.07</v>
      </c>
      <c r="B919" s="45">
        <v>101.8</v>
      </c>
      <c r="C919" s="45">
        <v>97.99</v>
      </c>
      <c r="D919" s="45">
        <v>100.06</v>
      </c>
      <c r="E919" s="45">
        <v>92692592</v>
      </c>
      <c r="F919" s="45" t="s">
        <v>926</v>
      </c>
      <c r="G919" s="25">
        <f t="shared" si="12"/>
        <v>9.9940035978240971E-5</v>
      </c>
    </row>
    <row r="920" spans="1:7">
      <c r="A920" s="45">
        <v>102.31</v>
      </c>
      <c r="B920" s="45">
        <v>103.86</v>
      </c>
      <c r="C920" s="45">
        <v>100.98</v>
      </c>
      <c r="D920" s="45">
        <v>101.05</v>
      </c>
      <c r="E920" s="45">
        <v>93859876</v>
      </c>
      <c r="F920" s="45" t="s">
        <v>927</v>
      </c>
      <c r="G920" s="25">
        <f t="shared" si="12"/>
        <v>1.2469074715487416E-2</v>
      </c>
    </row>
    <row r="921" spans="1:7">
      <c r="A921" s="45">
        <v>103.91</v>
      </c>
      <c r="B921" s="45">
        <v>104.59</v>
      </c>
      <c r="C921" s="45">
        <v>97.26</v>
      </c>
      <c r="D921" s="45">
        <v>97.5</v>
      </c>
      <c r="E921" s="45">
        <v>125855773</v>
      </c>
      <c r="F921" s="45" t="s">
        <v>928</v>
      </c>
      <c r="G921" s="25">
        <f t="shared" si="12"/>
        <v>6.5743589743589625E-2</v>
      </c>
    </row>
    <row r="922" spans="1:7">
      <c r="A922" s="45">
        <v>98.09</v>
      </c>
      <c r="B922" s="45">
        <v>98.769300000000001</v>
      </c>
      <c r="C922" s="45">
        <v>93.62</v>
      </c>
      <c r="D922" s="45">
        <v>94.83</v>
      </c>
      <c r="E922" s="45">
        <v>131142046</v>
      </c>
      <c r="F922" s="45" t="s">
        <v>929</v>
      </c>
      <c r="G922" s="25">
        <f t="shared" si="12"/>
        <v>3.4377306759464377E-2</v>
      </c>
    </row>
    <row r="923" spans="1:7">
      <c r="A923" s="45">
        <v>99.29</v>
      </c>
      <c r="B923" s="45">
        <v>100.91500000000001</v>
      </c>
      <c r="C923" s="45">
        <v>95.36</v>
      </c>
      <c r="D923" s="45">
        <v>95.71</v>
      </c>
      <c r="E923" s="45">
        <v>116734097</v>
      </c>
      <c r="F923" s="45" t="s">
        <v>930</v>
      </c>
      <c r="G923" s="25">
        <f t="shared" si="12"/>
        <v>3.740465991014541E-2</v>
      </c>
    </row>
    <row r="924" spans="1:7">
      <c r="A924" s="45">
        <v>96.78</v>
      </c>
      <c r="B924" s="45">
        <v>98.39</v>
      </c>
      <c r="C924" s="45">
        <v>93.96</v>
      </c>
      <c r="D924" s="45">
        <v>95.59</v>
      </c>
      <c r="E924" s="45">
        <v>96477499</v>
      </c>
      <c r="F924" s="45" t="s">
        <v>931</v>
      </c>
      <c r="G924" s="25">
        <f t="shared" si="12"/>
        <v>1.2449000941521016E-2</v>
      </c>
    </row>
    <row r="925" spans="1:7">
      <c r="A925" s="45">
        <v>94.47</v>
      </c>
      <c r="B925" s="45">
        <v>94.81</v>
      </c>
      <c r="C925" s="45">
        <v>90.56</v>
      </c>
      <c r="D925" s="45">
        <v>90.7</v>
      </c>
      <c r="E925" s="45">
        <v>76630707</v>
      </c>
      <c r="F925" s="45" t="s">
        <v>932</v>
      </c>
      <c r="G925" s="25">
        <f t="shared" si="12"/>
        <v>4.1565600882028653E-2</v>
      </c>
    </row>
    <row r="926" spans="1:7">
      <c r="A926" s="45">
        <v>91.67</v>
      </c>
      <c r="B926" s="45">
        <v>92.22</v>
      </c>
      <c r="C926" s="45">
        <v>88.590900000000005</v>
      </c>
      <c r="D926" s="45">
        <v>90.415000000000006</v>
      </c>
      <c r="E926" s="45">
        <v>79009185</v>
      </c>
      <c r="F926" s="45" t="s">
        <v>933</v>
      </c>
      <c r="G926" s="25">
        <f t="shared" si="12"/>
        <v>1.3880440192445942E-2</v>
      </c>
    </row>
    <row r="927" spans="1:7">
      <c r="A927" s="45">
        <v>89.82</v>
      </c>
      <c r="B927" s="45">
        <v>90.62</v>
      </c>
      <c r="C927" s="45">
        <v>86.29</v>
      </c>
      <c r="D927" s="45">
        <v>86.94</v>
      </c>
      <c r="E927" s="45">
        <v>78301564</v>
      </c>
      <c r="F927" s="45" t="s">
        <v>934</v>
      </c>
      <c r="G927" s="25">
        <f t="shared" si="12"/>
        <v>3.3126293995859202E-2</v>
      </c>
    </row>
    <row r="928" spans="1:7">
      <c r="A928" s="45">
        <v>85.25</v>
      </c>
      <c r="B928" s="45">
        <v>87.748999999999995</v>
      </c>
      <c r="C928" s="45">
        <v>84.71</v>
      </c>
      <c r="D928" s="45">
        <v>87</v>
      </c>
      <c r="E928" s="45">
        <v>69180367</v>
      </c>
      <c r="F928" s="45" t="s">
        <v>935</v>
      </c>
      <c r="G928" s="25">
        <f t="shared" si="12"/>
        <v>-2.011494252873558E-2</v>
      </c>
    </row>
    <row r="929" spans="1:7">
      <c r="A929" s="45">
        <v>87.54</v>
      </c>
      <c r="B929" s="45">
        <v>87.6</v>
      </c>
      <c r="C929" s="45">
        <v>85.12</v>
      </c>
      <c r="D929" s="45">
        <v>86.57</v>
      </c>
      <c r="E929" s="45">
        <v>70083006</v>
      </c>
      <c r="F929" s="45" t="s">
        <v>936</v>
      </c>
      <c r="G929" s="25">
        <f t="shared" si="12"/>
        <v>1.1204805359824599E-2</v>
      </c>
    </row>
    <row r="930" spans="1:7">
      <c r="A930" s="45">
        <v>88.1</v>
      </c>
      <c r="B930" s="45">
        <v>90.69</v>
      </c>
      <c r="C930" s="45">
        <v>87.04</v>
      </c>
      <c r="D930" s="45">
        <v>90.2</v>
      </c>
      <c r="E930" s="45">
        <v>76989702</v>
      </c>
      <c r="F930" s="45" t="s">
        <v>937</v>
      </c>
      <c r="G930" s="25">
        <f t="shared" si="12"/>
        <v>-2.3281596452328301E-2</v>
      </c>
    </row>
    <row r="931" spans="1:7">
      <c r="A931" s="45">
        <v>91.09</v>
      </c>
      <c r="B931" s="45">
        <v>91.58</v>
      </c>
      <c r="C931" s="45">
        <v>88.22</v>
      </c>
      <c r="D931" s="45">
        <v>89.6</v>
      </c>
      <c r="E931" s="45">
        <v>90449338</v>
      </c>
      <c r="F931" s="45" t="s">
        <v>938</v>
      </c>
      <c r="G931" s="25">
        <f t="shared" si="12"/>
        <v>1.6629464285714324E-2</v>
      </c>
    </row>
    <row r="932" spans="1:7">
      <c r="A932" s="45">
        <v>89.43</v>
      </c>
      <c r="B932" s="45">
        <v>89.919799999999995</v>
      </c>
      <c r="C932" s="45">
        <v>85.08</v>
      </c>
      <c r="D932" s="45">
        <v>85.39</v>
      </c>
      <c r="E932" s="45">
        <v>88348558</v>
      </c>
      <c r="F932" s="45" t="s">
        <v>939</v>
      </c>
      <c r="G932" s="25">
        <f t="shared" si="12"/>
        <v>4.7312331654760564E-2</v>
      </c>
    </row>
    <row r="933" spans="1:7">
      <c r="A933" s="45">
        <v>85.88</v>
      </c>
      <c r="B933" s="45">
        <v>86.41</v>
      </c>
      <c r="C933" s="45">
        <v>82.19</v>
      </c>
      <c r="D933" s="45">
        <v>82.76</v>
      </c>
      <c r="E933" s="45">
        <v>85047506</v>
      </c>
      <c r="F933" s="45" t="s">
        <v>940</v>
      </c>
      <c r="G933" s="25">
        <f t="shared" si="12"/>
        <v>3.7699371677138549E-2</v>
      </c>
    </row>
    <row r="934" spans="1:7">
      <c r="A934" s="45">
        <v>81.430000000000007</v>
      </c>
      <c r="B934" s="45">
        <v>84.47</v>
      </c>
      <c r="C934" s="45">
        <v>80.94</v>
      </c>
      <c r="D934" s="45">
        <v>82.21</v>
      </c>
      <c r="E934" s="45">
        <v>90464334</v>
      </c>
      <c r="F934" s="45" t="s">
        <v>941</v>
      </c>
      <c r="G934" s="25">
        <f t="shared" si="12"/>
        <v>-9.4878968495315519E-3</v>
      </c>
    </row>
    <row r="935" spans="1:7">
      <c r="A935" s="45">
        <v>81.11</v>
      </c>
      <c r="B935" s="45">
        <v>81.2</v>
      </c>
      <c r="C935" s="45">
        <v>77.900000000000006</v>
      </c>
      <c r="D935" s="45">
        <v>79.36</v>
      </c>
      <c r="E935" s="45">
        <v>76050597</v>
      </c>
      <c r="F935" s="45" t="s">
        <v>942</v>
      </c>
      <c r="G935" s="25">
        <f t="shared" si="12"/>
        <v>2.2051411290322509E-2</v>
      </c>
    </row>
    <row r="936" spans="1:7">
      <c r="A936" s="45">
        <v>78.599999999999994</v>
      </c>
      <c r="B936" s="45">
        <v>79.25</v>
      </c>
      <c r="C936" s="45">
        <v>76</v>
      </c>
      <c r="D936" s="45">
        <v>78.23</v>
      </c>
      <c r="E936" s="45">
        <v>83493646</v>
      </c>
      <c r="F936" s="45" t="s">
        <v>943</v>
      </c>
      <c r="G936" s="25">
        <f t="shared" si="12"/>
        <v>4.7296433593249088E-3</v>
      </c>
    </row>
    <row r="937" spans="1:7">
      <c r="A937" s="45">
        <v>77.52</v>
      </c>
      <c r="B937" s="45">
        <v>79.11</v>
      </c>
      <c r="C937" s="45">
        <v>74.48</v>
      </c>
      <c r="D937" s="45">
        <v>74.94</v>
      </c>
      <c r="E937" s="45">
        <v>79354976</v>
      </c>
      <c r="F937" s="45" t="s">
        <v>944</v>
      </c>
      <c r="G937" s="25">
        <f t="shared" si="12"/>
        <v>3.4427542033626857E-2</v>
      </c>
    </row>
    <row r="938" spans="1:7">
      <c r="A938" s="45">
        <v>76.36</v>
      </c>
      <c r="B938" s="45">
        <v>77.44</v>
      </c>
      <c r="C938" s="45">
        <v>74.430000000000007</v>
      </c>
      <c r="D938" s="45">
        <v>76.98</v>
      </c>
      <c r="E938" s="45">
        <v>77873214</v>
      </c>
      <c r="F938" s="45" t="s">
        <v>945</v>
      </c>
      <c r="G938" s="25">
        <f t="shared" si="12"/>
        <v>-8.0540400103923382E-3</v>
      </c>
    </row>
    <row r="939" spans="1:7">
      <c r="A939" s="45">
        <v>76.95</v>
      </c>
      <c r="B939" s="45">
        <v>78.290000000000006</v>
      </c>
      <c r="C939" s="45">
        <v>75.841700000000003</v>
      </c>
      <c r="D939" s="45">
        <v>77.844999999999999</v>
      </c>
      <c r="E939" s="45">
        <v>76247536</v>
      </c>
      <c r="F939" s="45" t="s">
        <v>946</v>
      </c>
      <c r="G939" s="25">
        <f t="shared" si="12"/>
        <v>-1.1497205986254699E-2</v>
      </c>
    </row>
    <row r="940" spans="1:7">
      <c r="A940" s="45">
        <v>79.349999999999994</v>
      </c>
      <c r="B940" s="45">
        <v>80.47</v>
      </c>
      <c r="C940" s="45">
        <v>77.400000000000006</v>
      </c>
      <c r="D940" s="45">
        <v>78.31</v>
      </c>
      <c r="E940" s="45">
        <v>83405931</v>
      </c>
      <c r="F940" s="45" t="s">
        <v>947</v>
      </c>
      <c r="G940" s="25">
        <f t="shared" si="12"/>
        <v>1.3280551653684025E-2</v>
      </c>
    </row>
    <row r="941" spans="1:7">
      <c r="A941" s="45">
        <v>79.3</v>
      </c>
      <c r="B941" s="45">
        <v>79.989999999999995</v>
      </c>
      <c r="C941" s="45">
        <v>76.900000000000006</v>
      </c>
      <c r="D941" s="45">
        <v>77.194999999999993</v>
      </c>
      <c r="E941" s="45">
        <v>83640945</v>
      </c>
      <c r="F941" s="45" t="s">
        <v>948</v>
      </c>
      <c r="G941" s="25">
        <f t="shared" si="12"/>
        <v>2.7268605479629615E-2</v>
      </c>
    </row>
    <row r="942" spans="1:7">
      <c r="A942" s="45">
        <v>75.349999999999994</v>
      </c>
      <c r="B942" s="45">
        <v>76.28</v>
      </c>
      <c r="C942" s="45">
        <v>73.55</v>
      </c>
      <c r="D942" s="45">
        <v>75.17</v>
      </c>
      <c r="E942" s="45">
        <v>85458857</v>
      </c>
      <c r="F942" s="45" t="s">
        <v>949</v>
      </c>
      <c r="G942" s="25">
        <f t="shared" si="12"/>
        <v>2.3945723027802845E-3</v>
      </c>
    </row>
    <row r="943" spans="1:7">
      <c r="A943" s="45">
        <v>75.2</v>
      </c>
      <c r="B943" s="45">
        <v>75.209999999999994</v>
      </c>
      <c r="C943" s="45">
        <v>71.599999999999994</v>
      </c>
      <c r="D943" s="45">
        <v>71.98</v>
      </c>
      <c r="E943" s="45">
        <v>95685751</v>
      </c>
      <c r="F943" s="45" t="s">
        <v>950</v>
      </c>
      <c r="G943" s="25">
        <f t="shared" si="12"/>
        <v>4.4734648513475861E-2</v>
      </c>
    </row>
    <row r="944" spans="1:7">
      <c r="A944" s="45">
        <v>73.67</v>
      </c>
      <c r="B944" s="45">
        <v>75.45</v>
      </c>
      <c r="C944" s="45">
        <v>72.69</v>
      </c>
      <c r="D944" s="45">
        <v>75.185000000000002</v>
      </c>
      <c r="E944" s="45">
        <v>87734237</v>
      </c>
      <c r="F944" s="45" t="s">
        <v>951</v>
      </c>
      <c r="G944" s="25">
        <f t="shared" si="12"/>
        <v>-2.0150295936689488E-2</v>
      </c>
    </row>
    <row r="945" spans="1:7">
      <c r="A945" s="45">
        <v>76.47</v>
      </c>
      <c r="B945" s="45">
        <v>78.91</v>
      </c>
      <c r="C945" s="45">
        <v>75.48</v>
      </c>
      <c r="D945" s="45">
        <v>77.73</v>
      </c>
      <c r="E945" s="45">
        <v>105368616</v>
      </c>
      <c r="F945" s="45" t="s">
        <v>952</v>
      </c>
      <c r="G945" s="25">
        <f t="shared" si="12"/>
        <v>-1.6209957545349374E-2</v>
      </c>
    </row>
    <row r="946" spans="1:7">
      <c r="A946" s="45">
        <v>77.989999999999995</v>
      </c>
      <c r="B946" s="45">
        <v>79.75</v>
      </c>
      <c r="C946" s="45">
        <v>76.510000000000005</v>
      </c>
      <c r="D946" s="45">
        <v>79.55</v>
      </c>
      <c r="E946" s="45">
        <v>104140895</v>
      </c>
      <c r="F946" s="45" t="s">
        <v>953</v>
      </c>
      <c r="G946" s="25">
        <f t="shared" si="12"/>
        <v>-1.9610307982401043E-2</v>
      </c>
    </row>
    <row r="947" spans="1:7">
      <c r="A947" s="45">
        <v>80.78</v>
      </c>
      <c r="B947" s="45">
        <v>86.73</v>
      </c>
      <c r="C947" s="45">
        <v>80.430000000000007</v>
      </c>
      <c r="D947" s="45">
        <v>85.71</v>
      </c>
      <c r="E947" s="45">
        <v>95752533</v>
      </c>
      <c r="F947" s="45" t="s">
        <v>954</v>
      </c>
      <c r="G947" s="25">
        <f t="shared" si="12"/>
        <v>-5.7519542643798771E-2</v>
      </c>
    </row>
    <row r="948" spans="1:7">
      <c r="A948" s="45">
        <v>86.16</v>
      </c>
      <c r="B948" s="45">
        <v>88.22</v>
      </c>
      <c r="C948" s="45">
        <v>85.25</v>
      </c>
      <c r="D948" s="45">
        <v>87.355000000000004</v>
      </c>
      <c r="E948" s="45">
        <v>74663487</v>
      </c>
      <c r="F948" s="45" t="s">
        <v>955</v>
      </c>
      <c r="G948" s="25">
        <f t="shared" si="12"/>
        <v>-1.3679812260317226E-2</v>
      </c>
    </row>
    <row r="949" spans="1:7">
      <c r="A949" s="45">
        <v>87.08</v>
      </c>
      <c r="B949" s="45">
        <v>87.53</v>
      </c>
      <c r="C949" s="45">
        <v>83.080100000000002</v>
      </c>
      <c r="D949" s="45">
        <v>83.56</v>
      </c>
      <c r="E949" s="45">
        <v>88553886</v>
      </c>
      <c r="F949" s="45" t="s">
        <v>956</v>
      </c>
      <c r="G949" s="25">
        <f t="shared" si="12"/>
        <v>4.212541886069876E-2</v>
      </c>
    </row>
    <row r="950" spans="1:7">
      <c r="A950" s="45">
        <v>82.43</v>
      </c>
      <c r="B950" s="45">
        <v>84.41</v>
      </c>
      <c r="C950" s="45">
        <v>80.225099999999998</v>
      </c>
      <c r="D950" s="45">
        <v>84.314999999999998</v>
      </c>
      <c r="E950" s="45">
        <v>100614559</v>
      </c>
      <c r="F950" s="45" t="s">
        <v>957</v>
      </c>
      <c r="G950" s="25">
        <f t="shared" ref="G950:G1013" si="13">A950/D950-1</f>
        <v>-2.2356638794994832E-2</v>
      </c>
    </row>
    <row r="951" spans="1:7">
      <c r="A951" s="45">
        <v>83.75</v>
      </c>
      <c r="B951" s="45">
        <v>86.375</v>
      </c>
      <c r="C951" s="45">
        <v>83.3001</v>
      </c>
      <c r="D951" s="45">
        <v>84.4</v>
      </c>
      <c r="E951" s="45">
        <v>86634716</v>
      </c>
      <c r="F951" s="45" t="s">
        <v>958</v>
      </c>
      <c r="G951" s="25">
        <f t="shared" si="13"/>
        <v>-7.7014218009479052E-3</v>
      </c>
    </row>
    <row r="952" spans="1:7">
      <c r="A952" s="45">
        <v>83.79</v>
      </c>
      <c r="B952" s="45">
        <v>85.81</v>
      </c>
      <c r="C952" s="45">
        <v>82.6</v>
      </c>
      <c r="D952" s="45">
        <v>84.17</v>
      </c>
      <c r="E952" s="45">
        <v>87780567</v>
      </c>
      <c r="F952" s="45" t="s">
        <v>959</v>
      </c>
      <c r="G952" s="25">
        <f t="shared" si="13"/>
        <v>-4.5146726862301811E-3</v>
      </c>
    </row>
    <row r="953" spans="1:7">
      <c r="A953" s="45">
        <v>81.569999999999993</v>
      </c>
      <c r="B953" s="45">
        <v>82.94</v>
      </c>
      <c r="C953" s="45">
        <v>79.430000000000007</v>
      </c>
      <c r="D953" s="45">
        <v>82.19</v>
      </c>
      <c r="E953" s="45">
        <v>105212293</v>
      </c>
      <c r="F953" s="45" t="s">
        <v>960</v>
      </c>
      <c r="G953" s="25">
        <f t="shared" si="13"/>
        <v>-7.5434967757634919E-3</v>
      </c>
    </row>
    <row r="954" spans="1:7">
      <c r="A954" s="45">
        <v>82.05</v>
      </c>
      <c r="B954" s="45">
        <v>86.73</v>
      </c>
      <c r="C954" s="45">
        <v>80.64</v>
      </c>
      <c r="D954" s="45">
        <v>86.63</v>
      </c>
      <c r="E954" s="45">
        <v>102433342</v>
      </c>
      <c r="F954" s="45" t="s">
        <v>961</v>
      </c>
      <c r="G954" s="25">
        <f t="shared" si="13"/>
        <v>-5.2868521297471993E-2</v>
      </c>
    </row>
    <row r="955" spans="1:7">
      <c r="A955" s="45">
        <v>89.3</v>
      </c>
      <c r="B955" s="45">
        <v>90.86</v>
      </c>
      <c r="C955" s="45">
        <v>86.19</v>
      </c>
      <c r="D955" s="45">
        <v>87.9</v>
      </c>
      <c r="E955" s="45">
        <v>95774807</v>
      </c>
      <c r="F955" s="45" t="s">
        <v>962</v>
      </c>
      <c r="G955" s="25">
        <f t="shared" si="13"/>
        <v>1.5927189988623303E-2</v>
      </c>
    </row>
    <row r="956" spans="1:7">
      <c r="A956" s="45">
        <v>86.99</v>
      </c>
      <c r="B956" s="45">
        <v>88.3</v>
      </c>
      <c r="C956" s="45">
        <v>85.820099999999996</v>
      </c>
      <c r="D956" s="45">
        <v>87.41</v>
      </c>
      <c r="E956" s="45">
        <v>84066567</v>
      </c>
      <c r="F956" s="45" t="s">
        <v>963</v>
      </c>
      <c r="G956" s="25">
        <f t="shared" si="13"/>
        <v>-4.80494222628991E-3</v>
      </c>
    </row>
    <row r="957" spans="1:7">
      <c r="A957" s="45">
        <v>86.99</v>
      </c>
      <c r="B957" s="45">
        <v>92.03</v>
      </c>
      <c r="C957" s="45">
        <v>86.64</v>
      </c>
      <c r="D957" s="45">
        <v>91.26</v>
      </c>
      <c r="E957" s="45">
        <v>98148812</v>
      </c>
      <c r="F957" s="45" t="s">
        <v>964</v>
      </c>
      <c r="G957" s="25">
        <f t="shared" si="13"/>
        <v>-4.678939294323925E-2</v>
      </c>
    </row>
    <row r="958" spans="1:7">
      <c r="A958" s="45">
        <v>94.82</v>
      </c>
      <c r="B958" s="45">
        <v>99.927999999999997</v>
      </c>
      <c r="C958" s="45">
        <v>94.25</v>
      </c>
      <c r="D958" s="45">
        <v>98.82</v>
      </c>
      <c r="E958" s="45">
        <v>102212244</v>
      </c>
      <c r="F958" s="45" t="s">
        <v>965</v>
      </c>
      <c r="G958" s="25">
        <f t="shared" si="13"/>
        <v>-4.0477636106051373E-2</v>
      </c>
    </row>
    <row r="959" spans="1:7">
      <c r="A959" s="45">
        <v>98.8</v>
      </c>
      <c r="B959" s="45">
        <v>103.94</v>
      </c>
      <c r="C959" s="45">
        <v>98.74</v>
      </c>
      <c r="D959" s="45">
        <v>101.57</v>
      </c>
      <c r="E959" s="45">
        <v>95298975</v>
      </c>
      <c r="F959" s="45" t="s">
        <v>966</v>
      </c>
      <c r="G959" s="25">
        <f t="shared" si="13"/>
        <v>-2.7271832233927262E-2</v>
      </c>
    </row>
    <row r="960" spans="1:7">
      <c r="A960" s="45">
        <v>101.9</v>
      </c>
      <c r="B960" s="45">
        <v>105.848</v>
      </c>
      <c r="C960" s="45">
        <v>100.41</v>
      </c>
      <c r="D960" s="45">
        <v>104.57</v>
      </c>
      <c r="E960" s="45">
        <v>97641865</v>
      </c>
      <c r="F960" s="45" t="s">
        <v>967</v>
      </c>
      <c r="G960" s="25">
        <f t="shared" si="13"/>
        <v>-2.553313569857496E-2</v>
      </c>
    </row>
    <row r="961" spans="1:7">
      <c r="A961" s="45">
        <v>105.28</v>
      </c>
      <c r="B961" s="45">
        <v>106.24</v>
      </c>
      <c r="C961" s="45">
        <v>102.61</v>
      </c>
      <c r="D961" s="45">
        <v>104.24</v>
      </c>
      <c r="E961" s="45">
        <v>79022851</v>
      </c>
      <c r="F961" s="45" t="s">
        <v>968</v>
      </c>
      <c r="G961" s="25">
        <f t="shared" si="13"/>
        <v>9.9769762087491554E-3</v>
      </c>
    </row>
    <row r="962" spans="1:7">
      <c r="A962" s="45">
        <v>105.65</v>
      </c>
      <c r="B962" s="45">
        <v>109.57</v>
      </c>
      <c r="C962" s="45">
        <v>104.22499999999999</v>
      </c>
      <c r="D962" s="45">
        <v>108.27</v>
      </c>
      <c r="E962" s="45">
        <v>96726891</v>
      </c>
      <c r="F962" s="45" t="s">
        <v>969</v>
      </c>
      <c r="G962" s="25">
        <f t="shared" si="13"/>
        <v>-2.4198762353375702E-2</v>
      </c>
    </row>
    <row r="963" spans="1:7">
      <c r="A963" s="45">
        <v>106.3</v>
      </c>
      <c r="B963" s="45">
        <v>109.39</v>
      </c>
      <c r="C963" s="45">
        <v>104.65</v>
      </c>
      <c r="D963" s="45">
        <v>105.8</v>
      </c>
      <c r="E963" s="45">
        <v>110844697</v>
      </c>
      <c r="F963" s="45" t="s">
        <v>970</v>
      </c>
      <c r="G963" s="25">
        <f t="shared" si="13"/>
        <v>4.725897920604849E-3</v>
      </c>
    </row>
    <row r="964" spans="1:7">
      <c r="A964" s="45">
        <v>108.59</v>
      </c>
      <c r="B964" s="45">
        <v>109.5</v>
      </c>
      <c r="C964" s="45">
        <v>100.78</v>
      </c>
      <c r="D964" s="45">
        <v>100.78</v>
      </c>
      <c r="E964" s="45">
        <v>120953796</v>
      </c>
      <c r="F964" s="45" t="s">
        <v>971</v>
      </c>
      <c r="G964" s="25">
        <f t="shared" si="13"/>
        <v>7.7495534828339041E-2</v>
      </c>
    </row>
    <row r="965" spans="1:7">
      <c r="A965" s="45">
        <v>101.22</v>
      </c>
      <c r="B965" s="45">
        <v>103.57</v>
      </c>
      <c r="C965" s="45">
        <v>99.55</v>
      </c>
      <c r="D965" s="45">
        <v>102.13</v>
      </c>
      <c r="E965" s="45">
        <v>99351389</v>
      </c>
      <c r="F965" s="45" t="s">
        <v>972</v>
      </c>
      <c r="G965" s="25">
        <f t="shared" si="13"/>
        <v>-8.9102124742974631E-3</v>
      </c>
    </row>
    <row r="966" spans="1:7">
      <c r="A966" s="45">
        <v>101.86</v>
      </c>
      <c r="B966" s="45">
        <v>104.55</v>
      </c>
      <c r="C966" s="45">
        <v>100.04</v>
      </c>
      <c r="D966" s="45">
        <v>102.43</v>
      </c>
      <c r="E966" s="45">
        <v>125102894</v>
      </c>
      <c r="F966" s="45" t="s">
        <v>973</v>
      </c>
      <c r="G966" s="25">
        <f t="shared" si="13"/>
        <v>-5.5647759445475176E-3</v>
      </c>
    </row>
    <row r="967" spans="1:7">
      <c r="A967" s="45">
        <v>102.26</v>
      </c>
      <c r="B967" s="45">
        <v>102.4</v>
      </c>
      <c r="C967" s="45">
        <v>99.38</v>
      </c>
      <c r="D967" s="45">
        <v>100.14</v>
      </c>
      <c r="E967" s="45">
        <v>104348440</v>
      </c>
      <c r="F967" s="45" t="s">
        <v>974</v>
      </c>
      <c r="G967" s="25">
        <f t="shared" si="13"/>
        <v>2.1170361493908496E-2</v>
      </c>
    </row>
    <row r="968" spans="1:7">
      <c r="A968" s="45">
        <v>98.75</v>
      </c>
      <c r="B968" s="45">
        <v>100.33</v>
      </c>
      <c r="C968" s="45">
        <v>90.74</v>
      </c>
      <c r="D968" s="45">
        <v>91.34</v>
      </c>
      <c r="E968" s="45">
        <v>128792745</v>
      </c>
      <c r="F968" s="45" t="s">
        <v>975</v>
      </c>
      <c r="G968" s="25">
        <f t="shared" si="13"/>
        <v>8.1125465294503929E-2</v>
      </c>
    </row>
    <row r="969" spans="1:7">
      <c r="A969" s="45">
        <v>92.65</v>
      </c>
      <c r="B969" s="45">
        <v>93.89</v>
      </c>
      <c r="C969" s="45">
        <v>89.52</v>
      </c>
      <c r="D969" s="45">
        <v>90.424999999999997</v>
      </c>
      <c r="E969" s="45">
        <v>111771116</v>
      </c>
      <c r="F969" s="45" t="s">
        <v>976</v>
      </c>
      <c r="G969" s="25">
        <f t="shared" si="13"/>
        <v>2.4606027094277172E-2</v>
      </c>
    </row>
    <row r="970" spans="1:7">
      <c r="A970" s="45">
        <v>91.16</v>
      </c>
      <c r="B970" s="45">
        <v>93.42</v>
      </c>
      <c r="C970" s="45">
        <v>89.62</v>
      </c>
      <c r="D970" s="45">
        <v>92.54</v>
      </c>
      <c r="E970" s="45">
        <v>123341410</v>
      </c>
      <c r="F970" s="45" t="s">
        <v>977</v>
      </c>
      <c r="G970" s="25">
        <f t="shared" si="13"/>
        <v>-1.4912470283120927E-2</v>
      </c>
    </row>
    <row r="971" spans="1:7">
      <c r="A971" s="45">
        <v>95.07</v>
      </c>
      <c r="B971" s="45">
        <v>95.19</v>
      </c>
      <c r="C971" s="45">
        <v>90.92</v>
      </c>
      <c r="D971" s="45">
        <v>91.66</v>
      </c>
      <c r="E971" s="45">
        <v>128773040</v>
      </c>
      <c r="F971" s="45" t="s">
        <v>978</v>
      </c>
      <c r="G971" s="25">
        <f t="shared" si="13"/>
        <v>3.7202705651320001E-2</v>
      </c>
    </row>
    <row r="972" spans="1:7">
      <c r="A972" s="45">
        <v>93.5</v>
      </c>
      <c r="B972" s="45">
        <v>98.64</v>
      </c>
      <c r="C972" s="45">
        <v>88.26</v>
      </c>
      <c r="D972" s="45">
        <v>98.385000000000005</v>
      </c>
      <c r="E972" s="45">
        <v>164126807</v>
      </c>
      <c r="F972" s="45" t="s">
        <v>979</v>
      </c>
      <c r="G972" s="25">
        <f t="shared" si="13"/>
        <v>-4.9651877826904611E-2</v>
      </c>
    </row>
    <row r="973" spans="1:7">
      <c r="A973" s="45">
        <v>96.67</v>
      </c>
      <c r="B973" s="45">
        <v>100.69</v>
      </c>
      <c r="C973" s="45">
        <v>95.09</v>
      </c>
      <c r="D973" s="45">
        <v>96.69</v>
      </c>
      <c r="E973" s="45">
        <v>141506169</v>
      </c>
      <c r="F973" s="45" t="s">
        <v>980</v>
      </c>
      <c r="G973" s="25">
        <f t="shared" si="13"/>
        <v>-2.0684662322878467E-4</v>
      </c>
    </row>
    <row r="974" spans="1:7">
      <c r="A974" s="45">
        <v>96.28</v>
      </c>
      <c r="B974" s="45">
        <v>104.22</v>
      </c>
      <c r="C974" s="45">
        <v>95.71</v>
      </c>
      <c r="D974" s="45">
        <v>100</v>
      </c>
      <c r="E974" s="45">
        <v>142603246</v>
      </c>
      <c r="F974" s="45" t="s">
        <v>981</v>
      </c>
      <c r="G974" s="25">
        <f t="shared" si="13"/>
        <v>-3.7200000000000011E-2</v>
      </c>
    </row>
    <row r="975" spans="1:7">
      <c r="A975" s="45">
        <v>102.47</v>
      </c>
      <c r="B975" s="45">
        <v>103.2</v>
      </c>
      <c r="C975" s="45">
        <v>97.54</v>
      </c>
      <c r="D975" s="45">
        <v>97.88</v>
      </c>
      <c r="E975" s="45">
        <v>164227181</v>
      </c>
      <c r="F975" s="45" t="s">
        <v>982</v>
      </c>
      <c r="G975" s="25">
        <f t="shared" si="13"/>
        <v>4.6894156109521967E-2</v>
      </c>
    </row>
    <row r="976" spans="1:7">
      <c r="A976" s="45">
        <v>94.24</v>
      </c>
      <c r="B976" s="45">
        <v>98.168999999999997</v>
      </c>
      <c r="C976" s="45">
        <v>93.080100000000002</v>
      </c>
      <c r="D976" s="45">
        <v>93.86</v>
      </c>
      <c r="E976" s="45">
        <v>131065665</v>
      </c>
      <c r="F976" s="45" t="s">
        <v>983</v>
      </c>
      <c r="G976" s="25">
        <f t="shared" si="13"/>
        <v>4.0485829959513442E-3</v>
      </c>
    </row>
    <row r="977" spans="1:7">
      <c r="A977" s="45">
        <v>95.12</v>
      </c>
      <c r="B977" s="45">
        <v>96.57</v>
      </c>
      <c r="C977" s="45">
        <v>88.22</v>
      </c>
      <c r="D977" s="45">
        <v>88.3</v>
      </c>
      <c r="E977" s="45">
        <v>138068073</v>
      </c>
      <c r="F977" s="45" t="s">
        <v>984</v>
      </c>
      <c r="G977" s="25">
        <f t="shared" si="13"/>
        <v>7.7236693091732755E-2</v>
      </c>
    </row>
    <row r="978" spans="1:7">
      <c r="A978" s="45">
        <v>87.06</v>
      </c>
      <c r="B978" s="45">
        <v>88.55</v>
      </c>
      <c r="C978" s="45">
        <v>83.27</v>
      </c>
      <c r="D978" s="45">
        <v>86.6</v>
      </c>
      <c r="E978" s="45">
        <v>129214223</v>
      </c>
      <c r="F978" s="45" t="s">
        <v>985</v>
      </c>
      <c r="G978" s="25">
        <f t="shared" si="13"/>
        <v>5.3117782909932743E-3</v>
      </c>
    </row>
    <row r="979" spans="1:7">
      <c r="A979" s="45">
        <v>87.92</v>
      </c>
      <c r="B979" s="45">
        <v>93.46</v>
      </c>
      <c r="C979" s="45">
        <v>86.53</v>
      </c>
      <c r="D979" s="45">
        <v>87.84</v>
      </c>
      <c r="E979" s="45">
        <v>136137858</v>
      </c>
      <c r="F979" s="45" t="s">
        <v>986</v>
      </c>
      <c r="G979" s="25">
        <f t="shared" si="13"/>
        <v>9.1074681238612065E-4</v>
      </c>
    </row>
    <row r="980" spans="1:7">
      <c r="A980" s="45">
        <v>88.73</v>
      </c>
      <c r="B980" s="45">
        <v>90.772099999999995</v>
      </c>
      <c r="C980" s="45">
        <v>85.41</v>
      </c>
      <c r="D980" s="45">
        <v>89.18</v>
      </c>
      <c r="E980" s="45">
        <v>137235451</v>
      </c>
      <c r="F980" s="45" t="s">
        <v>987</v>
      </c>
      <c r="G980" s="25">
        <f t="shared" si="13"/>
        <v>-5.0459744337295609E-3</v>
      </c>
    </row>
    <row r="981" spans="1:7">
      <c r="A981" s="45">
        <v>86.36</v>
      </c>
      <c r="B981" s="45">
        <v>93.74</v>
      </c>
      <c r="C981" s="45">
        <v>85.38</v>
      </c>
      <c r="D981" s="45">
        <v>92.864999999999995</v>
      </c>
      <c r="E981" s="45">
        <v>144523668</v>
      </c>
      <c r="F981" s="45" t="s">
        <v>988</v>
      </c>
      <c r="G981" s="25">
        <f t="shared" si="13"/>
        <v>-7.0047919022236504E-2</v>
      </c>
    </row>
    <row r="982" spans="1:7">
      <c r="A982" s="45">
        <v>95.34</v>
      </c>
      <c r="B982" s="45">
        <v>98.18</v>
      </c>
      <c r="C982" s="45">
        <v>92.65</v>
      </c>
      <c r="D982" s="45">
        <v>94.34</v>
      </c>
      <c r="E982" s="45">
        <v>144286560</v>
      </c>
      <c r="F982" s="45" t="s">
        <v>989</v>
      </c>
      <c r="G982" s="25">
        <f t="shared" si="13"/>
        <v>1.0599957600169629E-2</v>
      </c>
    </row>
    <row r="983" spans="1:7">
      <c r="A983" s="45">
        <v>93.87</v>
      </c>
      <c r="B983" s="45">
        <v>97.84</v>
      </c>
      <c r="C983" s="45">
        <v>92.17</v>
      </c>
      <c r="D983" s="45">
        <v>97.65</v>
      </c>
      <c r="E983" s="45">
        <v>153129770</v>
      </c>
      <c r="F983" s="45" t="s">
        <v>990</v>
      </c>
      <c r="G983" s="25">
        <f t="shared" si="13"/>
        <v>-3.8709677419354827E-2</v>
      </c>
    </row>
    <row r="984" spans="1:7">
      <c r="A984" s="45">
        <v>99.42</v>
      </c>
      <c r="B984" s="45">
        <v>99.69</v>
      </c>
      <c r="C984" s="45">
        <v>91.7</v>
      </c>
      <c r="D984" s="45">
        <v>98.18</v>
      </c>
      <c r="E984" s="45">
        <v>225394075</v>
      </c>
      <c r="F984" s="45" t="s">
        <v>991</v>
      </c>
      <c r="G984" s="25">
        <f t="shared" si="13"/>
        <v>1.2629863515990936E-2</v>
      </c>
    </row>
    <row r="985" spans="1:7">
      <c r="A985" s="45">
        <v>91.13</v>
      </c>
      <c r="B985" s="45">
        <v>92.21</v>
      </c>
      <c r="C985" s="45">
        <v>89.01</v>
      </c>
      <c r="D985" s="45">
        <v>89.85</v>
      </c>
      <c r="E985" s="45">
        <v>126381846</v>
      </c>
      <c r="F985" s="45" t="s">
        <v>992</v>
      </c>
      <c r="G985" s="25">
        <f t="shared" si="13"/>
        <v>1.4245965498052238E-2</v>
      </c>
    </row>
    <row r="986" spans="1:7">
      <c r="A986" s="45">
        <v>89.84</v>
      </c>
      <c r="B986" s="45">
        <v>90.37</v>
      </c>
      <c r="C986" s="45">
        <v>85.320099999999996</v>
      </c>
      <c r="D986" s="45">
        <v>85.655000000000001</v>
      </c>
      <c r="E986" s="45">
        <v>98304091</v>
      </c>
      <c r="F986" s="45" t="s">
        <v>993</v>
      </c>
      <c r="G986" s="25">
        <f t="shared" si="13"/>
        <v>4.8858793999182693E-2</v>
      </c>
    </row>
    <row r="987" spans="1:7">
      <c r="A987" s="45">
        <v>85.52</v>
      </c>
      <c r="B987" s="45">
        <v>91.79</v>
      </c>
      <c r="C987" s="45">
        <v>85.38</v>
      </c>
      <c r="D987" s="45">
        <v>88.05</v>
      </c>
      <c r="E987" s="45">
        <v>82647701</v>
      </c>
      <c r="F987" s="45" t="s">
        <v>994</v>
      </c>
      <c r="G987" s="25">
        <f t="shared" si="13"/>
        <v>-2.8733674048835867E-2</v>
      </c>
    </row>
    <row r="988" spans="1:7">
      <c r="A988" s="45">
        <v>89.64</v>
      </c>
      <c r="B988" s="45">
        <v>90.58</v>
      </c>
      <c r="C988" s="45">
        <v>84.78</v>
      </c>
      <c r="D988" s="45">
        <v>86.67</v>
      </c>
      <c r="E988" s="45">
        <v>91495449</v>
      </c>
      <c r="F988" s="45" t="s">
        <v>995</v>
      </c>
      <c r="G988" s="25">
        <f t="shared" si="13"/>
        <v>3.4267912772585563E-2</v>
      </c>
    </row>
    <row r="989" spans="1:7">
      <c r="A989" s="45">
        <v>84.91</v>
      </c>
      <c r="B989" s="45">
        <v>87.9</v>
      </c>
      <c r="C989" s="45">
        <v>84.02</v>
      </c>
      <c r="D989" s="45">
        <v>84.25</v>
      </c>
      <c r="E989" s="45">
        <v>83125054</v>
      </c>
      <c r="F989" s="45" t="s">
        <v>996</v>
      </c>
      <c r="G989" s="25">
        <f t="shared" si="13"/>
        <v>7.8338278931751049E-3</v>
      </c>
    </row>
    <row r="990" spans="1:7">
      <c r="A990" s="45">
        <v>85.16</v>
      </c>
      <c r="B990" s="45">
        <v>90.12</v>
      </c>
      <c r="C990" s="45">
        <v>85.08</v>
      </c>
      <c r="D990" s="45">
        <v>89.74</v>
      </c>
      <c r="E990" s="45">
        <v>89127399</v>
      </c>
      <c r="F990" s="45" t="s">
        <v>997</v>
      </c>
      <c r="G990" s="25">
        <f t="shared" si="13"/>
        <v>-5.1036327167372386E-2</v>
      </c>
    </row>
    <row r="991" spans="1:7">
      <c r="A991" s="45">
        <v>90.69</v>
      </c>
      <c r="B991" s="45">
        <v>91.37</v>
      </c>
      <c r="C991" s="45">
        <v>88.61</v>
      </c>
      <c r="D991" s="45">
        <v>89.86</v>
      </c>
      <c r="E991" s="45">
        <v>93481042</v>
      </c>
      <c r="F991" s="45" t="s">
        <v>998</v>
      </c>
      <c r="G991" s="25">
        <f t="shared" si="13"/>
        <v>9.2365902515023635E-3</v>
      </c>
    </row>
    <row r="992" spans="1:7">
      <c r="A992" s="45">
        <v>88.14</v>
      </c>
      <c r="B992" s="45">
        <v>91.46</v>
      </c>
      <c r="C992" s="45">
        <v>87.935000000000002</v>
      </c>
      <c r="D992" s="45">
        <v>90.03</v>
      </c>
      <c r="E992" s="45">
        <v>75017652</v>
      </c>
      <c r="F992" s="45" t="s">
        <v>999</v>
      </c>
      <c r="G992" s="25">
        <f t="shared" si="13"/>
        <v>-2.0993002332555855E-2</v>
      </c>
    </row>
    <row r="993" spans="1:7">
      <c r="A993" s="45">
        <v>89.85</v>
      </c>
      <c r="B993" s="45">
        <v>96.23</v>
      </c>
      <c r="C993" s="45">
        <v>89.24</v>
      </c>
      <c r="D993" s="45">
        <v>95.16</v>
      </c>
      <c r="E993" s="45">
        <v>76680635</v>
      </c>
      <c r="F993" s="45" t="s">
        <v>1000</v>
      </c>
      <c r="G993" s="25">
        <f t="shared" si="13"/>
        <v>-5.5800756620428826E-2</v>
      </c>
    </row>
    <row r="994" spans="1:7">
      <c r="A994" s="45">
        <v>94.02</v>
      </c>
      <c r="B994" s="45">
        <v>97.91</v>
      </c>
      <c r="C994" s="45">
        <v>93.2</v>
      </c>
      <c r="D994" s="45">
        <v>97.84</v>
      </c>
      <c r="E994" s="45">
        <v>62489047</v>
      </c>
      <c r="F994" s="45" t="s">
        <v>1001</v>
      </c>
      <c r="G994" s="25">
        <f t="shared" si="13"/>
        <v>-3.9043336058871669E-2</v>
      </c>
    </row>
    <row r="995" spans="1:7">
      <c r="A995" s="45">
        <v>96.93</v>
      </c>
      <c r="B995" s="45">
        <v>97.07</v>
      </c>
      <c r="C995" s="45">
        <v>92.84</v>
      </c>
      <c r="D995" s="45">
        <v>93.385000000000005</v>
      </c>
      <c r="E995" s="45">
        <v>77069496</v>
      </c>
      <c r="F995" s="45" t="s">
        <v>1002</v>
      </c>
      <c r="G995" s="25">
        <f t="shared" si="13"/>
        <v>3.796112866091983E-2</v>
      </c>
    </row>
    <row r="996" spans="1:7">
      <c r="A996" s="45">
        <v>93.89</v>
      </c>
      <c r="B996" s="45">
        <v>95.16</v>
      </c>
      <c r="C996" s="45">
        <v>91.64</v>
      </c>
      <c r="D996" s="45">
        <v>92.03</v>
      </c>
      <c r="E996" s="45">
        <v>80605752</v>
      </c>
      <c r="F996" s="45" t="s">
        <v>1003</v>
      </c>
      <c r="G996" s="25">
        <f t="shared" si="13"/>
        <v>2.0210800825817721E-2</v>
      </c>
    </row>
    <row r="997" spans="1:7">
      <c r="A997" s="45">
        <v>93.06</v>
      </c>
      <c r="B997" s="45">
        <v>98.39</v>
      </c>
      <c r="C997" s="45">
        <v>92.92</v>
      </c>
      <c r="D997" s="45">
        <v>98.37</v>
      </c>
      <c r="E997" s="45">
        <v>73354367</v>
      </c>
      <c r="F997" s="45" t="s">
        <v>1004</v>
      </c>
      <c r="G997" s="25">
        <f t="shared" si="13"/>
        <v>-5.3979871912168353E-2</v>
      </c>
    </row>
    <row r="998" spans="1:7">
      <c r="A998" s="45">
        <v>97.74</v>
      </c>
      <c r="B998" s="45">
        <v>98.33</v>
      </c>
      <c r="C998" s="45">
        <v>94.71</v>
      </c>
      <c r="D998" s="45">
        <v>95.3</v>
      </c>
      <c r="E998" s="45">
        <v>77728418</v>
      </c>
      <c r="F998" s="45" t="s">
        <v>1005</v>
      </c>
      <c r="G998" s="25">
        <f t="shared" si="13"/>
        <v>2.5603357817418626E-2</v>
      </c>
    </row>
    <row r="999" spans="1:7">
      <c r="A999" s="45">
        <v>95.1</v>
      </c>
      <c r="B999" s="45">
        <v>99.59</v>
      </c>
      <c r="C999" s="45">
        <v>94.6</v>
      </c>
      <c r="D999" s="45">
        <v>98.78</v>
      </c>
      <c r="E999" s="45">
        <v>89246449</v>
      </c>
      <c r="F999" s="45" t="s">
        <v>1006</v>
      </c>
      <c r="G999" s="25">
        <f t="shared" si="13"/>
        <v>-3.7254504960518409E-2</v>
      </c>
    </row>
    <row r="1000" spans="1:7">
      <c r="A1000" s="45">
        <v>97.37</v>
      </c>
      <c r="B1000" s="45">
        <v>98.67</v>
      </c>
      <c r="C1000" s="45">
        <v>95.94</v>
      </c>
      <c r="D1000" s="45">
        <v>98.6</v>
      </c>
      <c r="E1000" s="45">
        <v>95527655</v>
      </c>
      <c r="F1000" s="45" t="s">
        <v>1007</v>
      </c>
      <c r="G1000" s="25">
        <f t="shared" si="13"/>
        <v>-1.2474645030425835E-2</v>
      </c>
    </row>
    <row r="1001" spans="1:7">
      <c r="A1001" s="45">
        <v>101</v>
      </c>
      <c r="B1001" s="45">
        <v>102.99</v>
      </c>
      <c r="C1001" s="45">
        <v>100.4205</v>
      </c>
      <c r="D1001" s="45">
        <v>102.51</v>
      </c>
      <c r="E1001" s="45">
        <v>92746663</v>
      </c>
      <c r="F1001" s="45" t="s">
        <v>1008</v>
      </c>
      <c r="G1001" s="25">
        <f t="shared" si="13"/>
        <v>-1.4730270217539809E-2</v>
      </c>
    </row>
    <row r="1002" spans="1:7">
      <c r="A1002" s="45">
        <v>103.72</v>
      </c>
      <c r="B1002" s="45">
        <v>105.24</v>
      </c>
      <c r="C1002" s="45">
        <v>100.91</v>
      </c>
      <c r="D1002" s="45">
        <v>103.92</v>
      </c>
      <c r="E1002" s="45">
        <v>91895526</v>
      </c>
      <c r="F1002" s="45" t="s">
        <v>1009</v>
      </c>
      <c r="G1002" s="25">
        <f t="shared" si="13"/>
        <v>-1.9245573518090753E-3</v>
      </c>
    </row>
    <row r="1003" spans="1:7">
      <c r="A1003" s="45">
        <v>103.67</v>
      </c>
      <c r="B1003" s="45">
        <v>105.744</v>
      </c>
      <c r="C1003" s="45">
        <v>101.7106</v>
      </c>
      <c r="D1003" s="45">
        <v>104.45</v>
      </c>
      <c r="E1003" s="45">
        <v>105256602</v>
      </c>
      <c r="F1003" s="45" t="s">
        <v>1010</v>
      </c>
      <c r="G1003" s="25">
        <f t="shared" si="13"/>
        <v>-7.4676878889421427E-3</v>
      </c>
    </row>
    <row r="1004" spans="1:7">
      <c r="A1004" s="45">
        <v>106.82</v>
      </c>
      <c r="B1004" s="45">
        <v>110.48</v>
      </c>
      <c r="C1004" s="45">
        <v>106.05</v>
      </c>
      <c r="D1004" s="45">
        <v>109.685</v>
      </c>
      <c r="E1004" s="45">
        <v>79531959</v>
      </c>
      <c r="F1004" s="45" t="s">
        <v>1011</v>
      </c>
      <c r="G1004" s="25">
        <f t="shared" si="13"/>
        <v>-2.612025345307023E-2</v>
      </c>
    </row>
    <row r="1005" spans="1:7">
      <c r="A1005" s="45">
        <v>110.53</v>
      </c>
      <c r="B1005" s="45">
        <v>110.9391</v>
      </c>
      <c r="C1005" s="45">
        <v>107.03</v>
      </c>
      <c r="D1005" s="45">
        <v>109.97</v>
      </c>
      <c r="E1005" s="45">
        <v>90220034</v>
      </c>
      <c r="F1005" s="45" t="s">
        <v>1012</v>
      </c>
      <c r="G1005" s="25">
        <f t="shared" si="13"/>
        <v>5.0922978994272228E-3</v>
      </c>
    </row>
    <row r="1006" spans="1:7">
      <c r="A1006" s="45">
        <v>108.19</v>
      </c>
      <c r="B1006" s="45">
        <v>111.42</v>
      </c>
      <c r="C1006" s="45">
        <v>106.102</v>
      </c>
      <c r="D1006" s="45">
        <v>110.48</v>
      </c>
      <c r="E1006" s="45">
        <v>111867074</v>
      </c>
      <c r="F1006" s="45" t="s">
        <v>1013</v>
      </c>
      <c r="G1006" s="25">
        <f t="shared" si="13"/>
        <v>-2.0727733526430203E-2</v>
      </c>
    </row>
    <row r="1007" spans="1:7">
      <c r="A1007" s="45">
        <v>109.34</v>
      </c>
      <c r="B1007" s="45">
        <v>116.38</v>
      </c>
      <c r="C1007" s="45">
        <v>109.02</v>
      </c>
      <c r="D1007" s="45">
        <v>116.31</v>
      </c>
      <c r="E1007" s="45">
        <v>147004790</v>
      </c>
      <c r="F1007" s="45" t="s">
        <v>1014</v>
      </c>
      <c r="G1007" s="25">
        <f t="shared" si="13"/>
        <v>-5.9926059668128251E-2</v>
      </c>
    </row>
    <row r="1008" spans="1:7">
      <c r="A1008" s="45">
        <v>119.22</v>
      </c>
      <c r="B1008" s="45">
        <v>125.67</v>
      </c>
      <c r="C1008" s="45">
        <v>118.59</v>
      </c>
      <c r="D1008" s="45">
        <v>123.04</v>
      </c>
      <c r="E1008" s="45">
        <v>99476946</v>
      </c>
      <c r="F1008" s="45" t="s">
        <v>1015</v>
      </c>
      <c r="G1008" s="25">
        <f t="shared" si="13"/>
        <v>-3.1046814044213278E-2</v>
      </c>
    </row>
    <row r="1009" spans="1:7">
      <c r="A1009" s="45">
        <v>123.23</v>
      </c>
      <c r="B1009" s="45">
        <v>123.71</v>
      </c>
      <c r="C1009" s="45">
        <v>119.59</v>
      </c>
      <c r="D1009" s="45">
        <v>122.28</v>
      </c>
      <c r="E1009" s="45">
        <v>94143028</v>
      </c>
      <c r="F1009" s="45" t="s">
        <v>1016</v>
      </c>
      <c r="G1009" s="25">
        <f t="shared" si="13"/>
        <v>7.7690546287210172E-3</v>
      </c>
    </row>
    <row r="1010" spans="1:7">
      <c r="A1010" s="45">
        <v>120.24</v>
      </c>
      <c r="B1010" s="45">
        <v>120.41</v>
      </c>
      <c r="C1010" s="45">
        <v>116.71</v>
      </c>
      <c r="D1010" s="45">
        <v>117.7</v>
      </c>
      <c r="E1010" s="45">
        <v>92966149</v>
      </c>
      <c r="F1010" s="45" t="s">
        <v>1017</v>
      </c>
      <c r="G1010" s="25">
        <f t="shared" si="13"/>
        <v>2.1580288870008513E-2</v>
      </c>
    </row>
    <row r="1011" spans="1:7">
      <c r="A1011" s="45">
        <v>119.67</v>
      </c>
      <c r="B1011" s="45">
        <v>121.4</v>
      </c>
      <c r="C1011" s="45">
        <v>117.2533</v>
      </c>
      <c r="D1011" s="45">
        <v>119.91500000000001</v>
      </c>
      <c r="E1011" s="45">
        <v>95852381</v>
      </c>
      <c r="F1011" s="45" t="s">
        <v>1018</v>
      </c>
      <c r="G1011" s="25">
        <f t="shared" si="13"/>
        <v>-2.0431138723262521E-3</v>
      </c>
    </row>
    <row r="1012" spans="1:7">
      <c r="A1012" s="45">
        <v>120.53</v>
      </c>
      <c r="B1012" s="45">
        <v>120.55</v>
      </c>
      <c r="C1012" s="45">
        <v>113.71</v>
      </c>
      <c r="D1012" s="45">
        <v>114.96</v>
      </c>
      <c r="E1012" s="45">
        <v>121961329</v>
      </c>
      <c r="F1012" s="45" t="s">
        <v>1019</v>
      </c>
      <c r="G1012" s="25">
        <f t="shared" si="13"/>
        <v>4.8451635351426603E-2</v>
      </c>
    </row>
    <row r="1013" spans="1:7">
      <c r="A1013" s="45">
        <v>113.92</v>
      </c>
      <c r="B1013" s="45">
        <v>117.55</v>
      </c>
      <c r="C1013" s="45">
        <v>112.21</v>
      </c>
      <c r="D1013" s="45">
        <v>114.29</v>
      </c>
      <c r="E1013" s="45">
        <v>90579150</v>
      </c>
      <c r="F1013" s="45" t="s">
        <v>1020</v>
      </c>
      <c r="G1013" s="25">
        <f t="shared" si="13"/>
        <v>-3.2373785983026426E-3</v>
      </c>
    </row>
    <row r="1014" spans="1:7">
      <c r="A1014" s="45">
        <v>114.78</v>
      </c>
      <c r="B1014" s="45">
        <v>117.95</v>
      </c>
      <c r="C1014" s="45">
        <v>113.81</v>
      </c>
      <c r="D1014" s="45">
        <v>115.43</v>
      </c>
      <c r="E1014" s="45">
        <v>101672560</v>
      </c>
      <c r="F1014" s="45" t="s">
        <v>1021</v>
      </c>
      <c r="G1014" s="25">
        <f t="shared" ref="G1014:G1077" si="14">A1014/D1014-1</f>
        <v>-5.6311184267522352E-3</v>
      </c>
    </row>
    <row r="1015" spans="1:7">
      <c r="A1015" s="45">
        <v>115.92</v>
      </c>
      <c r="B1015" s="45">
        <v>117.57</v>
      </c>
      <c r="C1015" s="45">
        <v>112.54</v>
      </c>
      <c r="D1015" s="45">
        <v>113.73</v>
      </c>
      <c r="E1015" s="45">
        <v>101905850</v>
      </c>
      <c r="F1015" s="45" t="s">
        <v>1022</v>
      </c>
      <c r="G1015" s="25">
        <f t="shared" si="14"/>
        <v>1.9256132946452009E-2</v>
      </c>
    </row>
    <row r="1016" spans="1:7">
      <c r="A1016" s="45">
        <v>113.46</v>
      </c>
      <c r="B1016" s="45">
        <v>114.93</v>
      </c>
      <c r="C1016" s="45">
        <v>110.55</v>
      </c>
      <c r="D1016" s="45">
        <v>111.28</v>
      </c>
      <c r="E1016" s="45">
        <v>105834793</v>
      </c>
      <c r="F1016" s="45" t="s">
        <v>1023</v>
      </c>
      <c r="G1016" s="25">
        <f t="shared" si="14"/>
        <v>1.9590222861250783E-2</v>
      </c>
    </row>
    <row r="1017" spans="1:7">
      <c r="A1017" s="45">
        <v>111.69</v>
      </c>
      <c r="B1017" s="45">
        <v>114.27</v>
      </c>
      <c r="C1017" s="45">
        <v>109.71</v>
      </c>
      <c r="D1017" s="45">
        <v>112.14</v>
      </c>
      <c r="E1017" s="45">
        <v>103201695</v>
      </c>
      <c r="F1017" s="45" t="s">
        <v>1024</v>
      </c>
      <c r="G1017" s="25">
        <f t="shared" si="14"/>
        <v>-4.0128410914928025E-3</v>
      </c>
    </row>
    <row r="1018" spans="1:7">
      <c r="A1018" s="45">
        <v>115.37</v>
      </c>
      <c r="B1018" s="45">
        <v>115.42</v>
      </c>
      <c r="C1018" s="45">
        <v>109.89</v>
      </c>
      <c r="D1018" s="45">
        <v>111.6</v>
      </c>
      <c r="E1018" s="45">
        <v>113689804</v>
      </c>
      <c r="F1018" s="45" t="s">
        <v>1025</v>
      </c>
      <c r="G1018" s="25">
        <f t="shared" si="14"/>
        <v>3.3781362007168525E-2</v>
      </c>
    </row>
    <row r="1019" spans="1:7">
      <c r="A1019" s="45">
        <v>109.33</v>
      </c>
      <c r="B1019" s="45">
        <v>109.69</v>
      </c>
      <c r="C1019" s="45">
        <v>101.79</v>
      </c>
      <c r="D1019" s="45">
        <v>102.66</v>
      </c>
      <c r="E1019" s="45">
        <v>112425543</v>
      </c>
      <c r="F1019" s="45" t="s">
        <v>1026</v>
      </c>
      <c r="G1019" s="25">
        <f t="shared" si="14"/>
        <v>6.4971751412429501E-2</v>
      </c>
    </row>
    <row r="1020" spans="1:7">
      <c r="A1020" s="45">
        <v>102.25</v>
      </c>
      <c r="B1020" s="45">
        <v>105.2397</v>
      </c>
      <c r="C1020" s="45">
        <v>101.04</v>
      </c>
      <c r="D1020" s="45">
        <v>102.99</v>
      </c>
      <c r="E1020" s="45">
        <v>89731676</v>
      </c>
      <c r="F1020" s="45" t="s">
        <v>1027</v>
      </c>
      <c r="G1020" s="25">
        <f t="shared" si="14"/>
        <v>-7.1851636081172732E-3</v>
      </c>
    </row>
    <row r="1021" spans="1:7">
      <c r="A1021" s="45">
        <v>104.29</v>
      </c>
      <c r="B1021" s="45">
        <v>108.19</v>
      </c>
      <c r="C1021" s="45">
        <v>104.08</v>
      </c>
      <c r="D1021" s="45">
        <v>108.13</v>
      </c>
      <c r="E1021" s="45">
        <v>87584432</v>
      </c>
      <c r="F1021" s="45" t="s">
        <v>1028</v>
      </c>
      <c r="G1021" s="25">
        <f t="shared" si="14"/>
        <v>-3.5512808656247064E-2</v>
      </c>
    </row>
    <row r="1022" spans="1:7">
      <c r="A1022" s="45">
        <v>106.46</v>
      </c>
      <c r="B1022" s="45">
        <v>109.07</v>
      </c>
      <c r="C1022" s="45">
        <v>103.07</v>
      </c>
      <c r="D1022" s="45">
        <v>108.89</v>
      </c>
      <c r="E1022" s="45">
        <v>102557375</v>
      </c>
      <c r="F1022" s="45" t="s">
        <v>1029</v>
      </c>
      <c r="G1022" s="25">
        <f t="shared" si="14"/>
        <v>-2.2316098815318264E-2</v>
      </c>
    </row>
    <row r="1023" spans="1:7">
      <c r="A1023" s="45">
        <v>111.05</v>
      </c>
      <c r="B1023" s="45">
        <v>111.71</v>
      </c>
      <c r="C1023" s="45">
        <v>106.85</v>
      </c>
      <c r="D1023" s="45">
        <v>108.41</v>
      </c>
      <c r="E1023" s="45">
        <v>102310329</v>
      </c>
      <c r="F1023" s="45" t="s">
        <v>1030</v>
      </c>
      <c r="G1023" s="25">
        <f t="shared" si="14"/>
        <v>2.4351997048242868E-2</v>
      </c>
    </row>
    <row r="1024" spans="1:7">
      <c r="A1024" s="45">
        <v>105.53</v>
      </c>
      <c r="B1024" s="45">
        <v>109.9</v>
      </c>
      <c r="C1024" s="45">
        <v>100.08</v>
      </c>
      <c r="D1024" s="45">
        <v>102.81</v>
      </c>
      <c r="E1024" s="45">
        <v>135348316</v>
      </c>
      <c r="F1024" s="45" t="s">
        <v>1031</v>
      </c>
      <c r="G1024" s="25">
        <f t="shared" si="14"/>
        <v>2.6456570372531907E-2</v>
      </c>
    </row>
    <row r="1025" spans="1:7">
      <c r="A1025" s="45">
        <v>102.95</v>
      </c>
      <c r="B1025" s="45">
        <v>109.53</v>
      </c>
      <c r="C1025" s="45">
        <v>102.82</v>
      </c>
      <c r="D1025" s="45">
        <v>108.53</v>
      </c>
      <c r="E1025" s="45">
        <v>92599972</v>
      </c>
      <c r="F1025" s="45" t="s">
        <v>1032</v>
      </c>
      <c r="G1025" s="25">
        <f t="shared" si="14"/>
        <v>-5.1414355477748086E-2</v>
      </c>
    </row>
    <row r="1026" spans="1:7">
      <c r="A1026" s="45">
        <v>108.41</v>
      </c>
      <c r="B1026" s="45">
        <v>113</v>
      </c>
      <c r="C1026" s="45">
        <v>106.81</v>
      </c>
      <c r="D1026" s="45">
        <v>112</v>
      </c>
      <c r="E1026" s="45">
        <v>100671339</v>
      </c>
      <c r="F1026" s="45" t="s">
        <v>1033</v>
      </c>
      <c r="G1026" s="25">
        <f t="shared" si="14"/>
        <v>-3.2053571428571459E-2</v>
      </c>
    </row>
    <row r="1027" spans="1:7">
      <c r="A1027" s="45">
        <v>111.98</v>
      </c>
      <c r="B1027" s="45">
        <v>118.26</v>
      </c>
      <c r="C1027" s="45">
        <v>111.05</v>
      </c>
      <c r="D1027" s="45">
        <v>118.13</v>
      </c>
      <c r="E1027" s="45">
        <v>123916721</v>
      </c>
      <c r="F1027" s="45" t="s">
        <v>1034</v>
      </c>
      <c r="G1027" s="25">
        <f t="shared" si="14"/>
        <v>-5.2061288411072493E-2</v>
      </c>
    </row>
    <row r="1028" spans="1:7">
      <c r="A1028" s="45">
        <v>118.28</v>
      </c>
      <c r="B1028" s="45">
        <v>119.48</v>
      </c>
      <c r="C1028" s="45">
        <v>113.31</v>
      </c>
      <c r="D1028" s="45">
        <v>115.47</v>
      </c>
      <c r="E1028" s="45">
        <v>118354509</v>
      </c>
      <c r="F1028" s="45" t="s">
        <v>1035</v>
      </c>
      <c r="G1028" s="25">
        <f t="shared" si="14"/>
        <v>2.4335325192690771E-2</v>
      </c>
    </row>
    <row r="1029" spans="1:7">
      <c r="A1029" s="45">
        <v>113.83</v>
      </c>
      <c r="B1029" s="45">
        <v>122.43</v>
      </c>
      <c r="C1029" s="45">
        <v>112.8</v>
      </c>
      <c r="D1029" s="45">
        <v>122.33</v>
      </c>
      <c r="E1029" s="45">
        <v>126552244</v>
      </c>
      <c r="F1029" s="45" t="s">
        <v>1036</v>
      </c>
      <c r="G1029" s="25">
        <f t="shared" si="14"/>
        <v>-6.9484182130303274E-2</v>
      </c>
    </row>
    <row r="1030" spans="1:7">
      <c r="A1030" s="45">
        <v>123.34</v>
      </c>
      <c r="B1030" s="45">
        <v>124.61</v>
      </c>
      <c r="C1030" s="45">
        <v>119.2</v>
      </c>
      <c r="D1030" s="45">
        <v>120.31</v>
      </c>
      <c r="E1030" s="45">
        <v>124666142</v>
      </c>
      <c r="F1030" s="45" t="s">
        <v>1037</v>
      </c>
      <c r="G1030" s="25">
        <f t="shared" si="14"/>
        <v>2.5184938907821364E-2</v>
      </c>
    </row>
    <row r="1031" spans="1:7">
      <c r="A1031" s="45">
        <v>121.06</v>
      </c>
      <c r="B1031" s="45">
        <v>121.23</v>
      </c>
      <c r="C1031" s="45">
        <v>116.0421</v>
      </c>
      <c r="D1031" s="45">
        <v>117.16</v>
      </c>
      <c r="E1031" s="45">
        <v>127820983</v>
      </c>
      <c r="F1031" s="45" t="s">
        <v>1038</v>
      </c>
      <c r="G1031" s="25">
        <f t="shared" si="14"/>
        <v>3.3287811539774781E-2</v>
      </c>
    </row>
    <row r="1032" spans="1:7">
      <c r="A1032" s="45">
        <v>116.61</v>
      </c>
      <c r="B1032" s="45">
        <v>116.96</v>
      </c>
      <c r="C1032" s="45">
        <v>104.26</v>
      </c>
      <c r="D1032" s="45">
        <v>104.56</v>
      </c>
      <c r="E1032" s="45">
        <v>142956572</v>
      </c>
      <c r="F1032" s="45" t="s">
        <v>1039</v>
      </c>
      <c r="G1032" s="25">
        <f t="shared" si="14"/>
        <v>0.11524483550114772</v>
      </c>
    </row>
    <row r="1033" spans="1:7">
      <c r="A1033" s="45">
        <v>109.76</v>
      </c>
      <c r="B1033" s="45">
        <v>118.65</v>
      </c>
      <c r="C1033" s="45">
        <v>109.04</v>
      </c>
      <c r="D1033" s="45">
        <v>117.4</v>
      </c>
      <c r="E1033" s="45">
        <v>120299433</v>
      </c>
      <c r="F1033" s="45" t="s">
        <v>1040</v>
      </c>
      <c r="G1033" s="25">
        <f t="shared" si="14"/>
        <v>-6.5076660988074964E-2</v>
      </c>
    </row>
    <row r="1034" spans="1:7">
      <c r="A1034" s="45">
        <v>115.65</v>
      </c>
      <c r="B1034" s="45">
        <v>119.2</v>
      </c>
      <c r="C1034" s="45">
        <v>113.61</v>
      </c>
      <c r="D1034" s="45">
        <v>115.27</v>
      </c>
      <c r="E1034" s="45">
        <v>141648454</v>
      </c>
      <c r="F1034" s="45" t="s">
        <v>1041</v>
      </c>
      <c r="G1034" s="25">
        <f t="shared" si="14"/>
        <v>3.296607963910958E-3</v>
      </c>
    </row>
    <row r="1035" spans="1:7">
      <c r="A1035" s="45">
        <v>113.83</v>
      </c>
      <c r="B1035" s="45">
        <v>115.63500000000001</v>
      </c>
      <c r="C1035" s="45">
        <v>109.89</v>
      </c>
      <c r="D1035" s="45">
        <v>113.9</v>
      </c>
      <c r="E1035" s="45">
        <v>114321231</v>
      </c>
      <c r="F1035" s="45" t="s">
        <v>1042</v>
      </c>
      <c r="G1035" s="25">
        <f t="shared" si="14"/>
        <v>-6.1457418788413154E-4</v>
      </c>
    </row>
    <row r="1036" spans="1:7">
      <c r="A1036" s="45">
        <v>112.37</v>
      </c>
      <c r="B1036" s="45">
        <v>116.98</v>
      </c>
      <c r="C1036" s="45">
        <v>112.26</v>
      </c>
      <c r="D1036" s="45">
        <v>116.26</v>
      </c>
      <c r="E1036" s="45">
        <v>98179641</v>
      </c>
      <c r="F1036" s="45" t="s">
        <v>1043</v>
      </c>
      <c r="G1036" s="25">
        <f t="shared" si="14"/>
        <v>-3.3459487355926409E-2</v>
      </c>
    </row>
    <row r="1037" spans="1:7">
      <c r="A1037" s="45">
        <v>117.69</v>
      </c>
      <c r="B1037" s="45">
        <v>119.54</v>
      </c>
      <c r="C1037" s="45">
        <v>114.22</v>
      </c>
      <c r="D1037" s="45">
        <v>119.05</v>
      </c>
      <c r="E1037" s="45">
        <v>119109631</v>
      </c>
      <c r="F1037" s="45" t="s">
        <v>1044</v>
      </c>
      <c r="G1037" s="25">
        <f t="shared" si="14"/>
        <v>-1.1423771524569526E-2</v>
      </c>
    </row>
    <row r="1038" spans="1:7">
      <c r="A1038" s="45">
        <v>121.47</v>
      </c>
      <c r="B1038" s="45">
        <v>121.88</v>
      </c>
      <c r="C1038" s="45">
        <v>114.36</v>
      </c>
      <c r="D1038" s="45">
        <v>117.19</v>
      </c>
      <c r="E1038" s="45">
        <v>144139671</v>
      </c>
      <c r="F1038" s="45" t="s">
        <v>1045</v>
      </c>
      <c r="G1038" s="25">
        <f t="shared" si="14"/>
        <v>3.6521887533065955E-2</v>
      </c>
    </row>
    <row r="1039" spans="1:7">
      <c r="A1039" s="45">
        <v>114.27</v>
      </c>
      <c r="B1039" s="45">
        <v>118.37</v>
      </c>
      <c r="C1039" s="45">
        <v>113.46</v>
      </c>
      <c r="D1039" s="45">
        <v>115.51</v>
      </c>
      <c r="E1039" s="45">
        <v>135146410</v>
      </c>
      <c r="F1039" s="45" t="s">
        <v>1046</v>
      </c>
      <c r="G1039" s="25">
        <f t="shared" si="14"/>
        <v>-1.0735001298588953E-2</v>
      </c>
    </row>
    <row r="1040" spans="1:7">
      <c r="A1040" s="45">
        <v>113.18</v>
      </c>
      <c r="B1040" s="45">
        <v>127.1699</v>
      </c>
      <c r="C1040" s="45">
        <v>111.81</v>
      </c>
      <c r="D1040" s="45">
        <v>126.14</v>
      </c>
      <c r="E1040" s="45">
        <v>164723241</v>
      </c>
      <c r="F1040" s="45" t="s">
        <v>1047</v>
      </c>
      <c r="G1040" s="25">
        <f t="shared" si="14"/>
        <v>-0.1027429839860472</v>
      </c>
    </row>
    <row r="1041" spans="1:7">
      <c r="A1041" s="45">
        <v>125.77</v>
      </c>
      <c r="B1041" s="45">
        <v>131.75890000000001</v>
      </c>
      <c r="C1041" s="45">
        <v>124.61</v>
      </c>
      <c r="D1041" s="45">
        <v>128.84</v>
      </c>
      <c r="E1041" s="45">
        <v>108939859</v>
      </c>
      <c r="F1041" s="45" t="s">
        <v>1048</v>
      </c>
      <c r="G1041" s="25">
        <f t="shared" si="14"/>
        <v>-2.3828003725551161E-2</v>
      </c>
    </row>
    <row r="1042" spans="1:7">
      <c r="A1042" s="45">
        <v>132.85</v>
      </c>
      <c r="B1042" s="45">
        <v>132.96</v>
      </c>
      <c r="C1042" s="45">
        <v>127.65</v>
      </c>
      <c r="D1042" s="45">
        <v>129.6</v>
      </c>
      <c r="E1042" s="45">
        <v>92948862</v>
      </c>
      <c r="F1042" s="45" t="s">
        <v>1049</v>
      </c>
      <c r="G1042" s="25">
        <f t="shared" si="14"/>
        <v>2.5077160493827133E-2</v>
      </c>
    </row>
    <row r="1043" spans="1:7">
      <c r="A1043" s="45">
        <v>128.22999999999999</v>
      </c>
      <c r="B1043" s="45">
        <v>128.70500000000001</v>
      </c>
      <c r="C1043" s="45">
        <v>122.05</v>
      </c>
      <c r="D1043" s="45">
        <v>122.38</v>
      </c>
      <c r="E1043" s="45">
        <v>84902753</v>
      </c>
      <c r="F1043" s="45" t="s">
        <v>1050</v>
      </c>
      <c r="G1043" s="25">
        <f t="shared" si="14"/>
        <v>4.7801928419676454E-2</v>
      </c>
    </row>
    <row r="1044" spans="1:7">
      <c r="A1044" s="45">
        <v>123.67</v>
      </c>
      <c r="B1044" s="45">
        <v>127.63</v>
      </c>
      <c r="C1044" s="45">
        <v>122.785</v>
      </c>
      <c r="D1044" s="45">
        <v>123.56</v>
      </c>
      <c r="E1044" s="45">
        <v>81672504</v>
      </c>
      <c r="F1044" s="45" t="s">
        <v>1051</v>
      </c>
      <c r="G1044" s="25">
        <f t="shared" si="14"/>
        <v>8.902557461962779E-4</v>
      </c>
    </row>
    <row r="1045" spans="1:7">
      <c r="A1045" s="45">
        <v>123.6</v>
      </c>
      <c r="B1045" s="45">
        <v>124.96</v>
      </c>
      <c r="C1045" s="45">
        <v>118.58</v>
      </c>
      <c r="D1045" s="45">
        <v>120.34</v>
      </c>
      <c r="E1045" s="45">
        <v>86212008</v>
      </c>
      <c r="F1045" s="45" t="s">
        <v>1052</v>
      </c>
      <c r="G1045" s="25">
        <f t="shared" si="14"/>
        <v>2.708991191623733E-2</v>
      </c>
    </row>
    <row r="1046" spans="1:7">
      <c r="A1046" s="45">
        <v>120.08</v>
      </c>
      <c r="B1046" s="45">
        <v>125.37</v>
      </c>
      <c r="C1046" s="45">
        <v>118.816</v>
      </c>
      <c r="D1046" s="45">
        <v>120.32</v>
      </c>
      <c r="E1046" s="45">
        <v>103599467</v>
      </c>
      <c r="F1046" s="45" t="s">
        <v>1053</v>
      </c>
      <c r="G1046" s="25">
        <f t="shared" si="14"/>
        <v>-1.9946808510638014E-3</v>
      </c>
    </row>
    <row r="1047" spans="1:7">
      <c r="A1047" s="45">
        <v>122.76</v>
      </c>
      <c r="B1047" s="45">
        <v>130.06</v>
      </c>
      <c r="C1047" s="45">
        <v>120.64</v>
      </c>
      <c r="D1047" s="45">
        <v>129.88999999999999</v>
      </c>
      <c r="E1047" s="45">
        <v>180064993</v>
      </c>
      <c r="F1047" s="45" t="s">
        <v>1054</v>
      </c>
      <c r="G1047" s="25">
        <f t="shared" si="14"/>
        <v>-5.4892601431980714E-2</v>
      </c>
    </row>
    <row r="1048" spans="1:7">
      <c r="A1048" s="45">
        <v>116.78</v>
      </c>
      <c r="B1048" s="45">
        <v>117.26</v>
      </c>
      <c r="C1048" s="45">
        <v>112.73</v>
      </c>
      <c r="D1048" s="45">
        <v>116.75</v>
      </c>
      <c r="E1048" s="45">
        <v>122467874</v>
      </c>
      <c r="F1048" s="45" t="s">
        <v>1055</v>
      </c>
      <c r="G1048" s="25">
        <f t="shared" si="14"/>
        <v>2.5695931477520695E-4</v>
      </c>
    </row>
    <row r="1049" spans="1:7">
      <c r="A1049" s="45">
        <v>114.25</v>
      </c>
      <c r="B1049" s="45">
        <v>114.31</v>
      </c>
      <c r="C1049" s="45">
        <v>106.9</v>
      </c>
      <c r="D1049" s="45">
        <v>107.93</v>
      </c>
      <c r="E1049" s="45">
        <v>97205994</v>
      </c>
      <c r="F1049" s="45" t="s">
        <v>1056</v>
      </c>
      <c r="G1049" s="25">
        <f t="shared" si="14"/>
        <v>5.8556471787269526E-2</v>
      </c>
    </row>
    <row r="1050" spans="1:7">
      <c r="A1050" s="45">
        <v>105.24</v>
      </c>
      <c r="B1050" s="45">
        <v>105.4</v>
      </c>
      <c r="C1050" s="45">
        <v>99.35</v>
      </c>
      <c r="D1050" s="45">
        <v>101.55</v>
      </c>
      <c r="E1050" s="45">
        <v>98749521</v>
      </c>
      <c r="F1050" s="45" t="s">
        <v>1057</v>
      </c>
      <c r="G1050" s="25">
        <f t="shared" si="14"/>
        <v>3.6336779911373629E-2</v>
      </c>
    </row>
    <row r="1051" spans="1:7">
      <c r="A1051" s="45">
        <v>102.6</v>
      </c>
      <c r="B1051" s="45">
        <v>112.75</v>
      </c>
      <c r="C1051" s="45">
        <v>101.94</v>
      </c>
      <c r="D1051" s="45">
        <v>111.96</v>
      </c>
      <c r="E1051" s="45">
        <v>125954124</v>
      </c>
      <c r="F1051" s="45" t="s">
        <v>1058</v>
      </c>
      <c r="G1051" s="25">
        <f t="shared" si="14"/>
        <v>-8.3601286173633493E-2</v>
      </c>
    </row>
    <row r="1052" spans="1:7">
      <c r="A1052" s="45">
        <v>110.71</v>
      </c>
      <c r="B1052" s="45">
        <v>117.16</v>
      </c>
      <c r="C1052" s="45">
        <v>108.63</v>
      </c>
      <c r="D1052" s="45">
        <v>114.55</v>
      </c>
      <c r="E1052" s="45">
        <v>94752613</v>
      </c>
      <c r="F1052" s="45" t="s">
        <v>1059</v>
      </c>
      <c r="G1052" s="25">
        <f t="shared" si="14"/>
        <v>-3.3522479266695826E-2</v>
      </c>
    </row>
    <row r="1053" spans="1:7">
      <c r="A1053" s="45">
        <v>111.13</v>
      </c>
      <c r="B1053" s="45">
        <v>114.82</v>
      </c>
      <c r="C1053" s="45">
        <v>109.86</v>
      </c>
      <c r="D1053" s="45">
        <v>114.1</v>
      </c>
      <c r="E1053" s="45">
        <v>85102907</v>
      </c>
      <c r="F1053" s="45" t="s">
        <v>1060</v>
      </c>
      <c r="G1053" s="25">
        <f t="shared" si="14"/>
        <v>-2.6029798422436468E-2</v>
      </c>
    </row>
    <row r="1054" spans="1:7">
      <c r="A1054" s="45">
        <v>116.53</v>
      </c>
      <c r="B1054" s="45">
        <v>116.77</v>
      </c>
      <c r="C1054" s="45">
        <v>107.5</v>
      </c>
      <c r="D1054" s="45">
        <v>115.4</v>
      </c>
      <c r="E1054" s="45">
        <v>116301816</v>
      </c>
      <c r="F1054" s="45" t="s">
        <v>1061</v>
      </c>
      <c r="G1054" s="25">
        <f t="shared" si="14"/>
        <v>9.7920277296359437E-3</v>
      </c>
    </row>
    <row r="1055" spans="1:7">
      <c r="A1055" s="45">
        <v>118.81</v>
      </c>
      <c r="B1055" s="45">
        <v>125.02</v>
      </c>
      <c r="C1055" s="45">
        <v>118.39</v>
      </c>
      <c r="D1055" s="45">
        <v>120.14</v>
      </c>
      <c r="E1055" s="45">
        <v>95685268</v>
      </c>
      <c r="F1055" s="45" t="s">
        <v>1062</v>
      </c>
      <c r="G1055" s="25">
        <f t="shared" si="14"/>
        <v>-1.1070417845846503E-2</v>
      </c>
    </row>
    <row r="1056" spans="1:7">
      <c r="A1056" s="45">
        <v>121.89</v>
      </c>
      <c r="B1056" s="45">
        <v>128.51</v>
      </c>
      <c r="C1056" s="45">
        <v>121.41</v>
      </c>
      <c r="D1056" s="45">
        <v>126.04</v>
      </c>
      <c r="E1056" s="45">
        <v>91157293</v>
      </c>
      <c r="F1056" s="45" t="s">
        <v>1063</v>
      </c>
      <c r="G1056" s="25">
        <f t="shared" si="14"/>
        <v>-3.2926055220564909E-2</v>
      </c>
    </row>
    <row r="1057" spans="1:7">
      <c r="A1057" s="45">
        <v>128.27000000000001</v>
      </c>
      <c r="B1057" s="45">
        <v>134.57</v>
      </c>
      <c r="C1057" s="45">
        <v>128.02000000000001</v>
      </c>
      <c r="D1057" s="45">
        <v>133.55000000000001</v>
      </c>
      <c r="E1057" s="45">
        <v>69831849</v>
      </c>
      <c r="F1057" s="45" t="s">
        <v>1064</v>
      </c>
      <c r="G1057" s="25">
        <f t="shared" si="14"/>
        <v>-3.9535754399101508E-2</v>
      </c>
    </row>
    <row r="1058" spans="1:7">
      <c r="A1058" s="45">
        <v>131.93</v>
      </c>
      <c r="B1058" s="45">
        <v>136.38929999999999</v>
      </c>
      <c r="C1058" s="45">
        <v>131.59</v>
      </c>
      <c r="D1058" s="45">
        <v>134.5</v>
      </c>
      <c r="E1058" s="45">
        <v>56589456</v>
      </c>
      <c r="F1058" s="45" t="s">
        <v>1065</v>
      </c>
      <c r="G1058" s="25">
        <f t="shared" si="14"/>
        <v>-1.9107806691449736E-2</v>
      </c>
    </row>
    <row r="1059" spans="1:7">
      <c r="A1059" s="45">
        <v>136.88</v>
      </c>
      <c r="B1059" s="45">
        <v>137</v>
      </c>
      <c r="C1059" s="45">
        <v>131.43</v>
      </c>
      <c r="D1059" s="45">
        <v>131.68</v>
      </c>
      <c r="E1059" s="45">
        <v>71078438</v>
      </c>
      <c r="F1059" s="45" t="s">
        <v>1066</v>
      </c>
      <c r="G1059" s="25">
        <f t="shared" si="14"/>
        <v>3.9489671931956183E-2</v>
      </c>
    </row>
    <row r="1060" spans="1:7">
      <c r="A1060" s="45">
        <v>132.74</v>
      </c>
      <c r="B1060" s="45">
        <v>141.25</v>
      </c>
      <c r="C1060" s="45">
        <v>131.81</v>
      </c>
      <c r="D1060" s="45">
        <v>139.44</v>
      </c>
      <c r="E1060" s="45">
        <v>76618059</v>
      </c>
      <c r="F1060" s="45" t="s">
        <v>1067</v>
      </c>
      <c r="G1060" s="25">
        <f t="shared" si="14"/>
        <v>-4.804934021801488E-2</v>
      </c>
    </row>
    <row r="1061" spans="1:7">
      <c r="A1061" s="45">
        <v>137.47</v>
      </c>
      <c r="B1061" s="45">
        <v>140.57</v>
      </c>
      <c r="C1061" s="45">
        <v>135.77000000000001</v>
      </c>
      <c r="D1061" s="45">
        <v>138.58500000000001</v>
      </c>
      <c r="E1061" s="45">
        <v>69669598</v>
      </c>
      <c r="F1061" s="45" t="s">
        <v>1068</v>
      </c>
      <c r="G1061" s="25">
        <f t="shared" si="14"/>
        <v>-8.0456037810731074E-3</v>
      </c>
    </row>
    <row r="1062" spans="1:7">
      <c r="A1062" s="45">
        <v>137.31</v>
      </c>
      <c r="B1062" s="45">
        <v>138.99</v>
      </c>
      <c r="C1062" s="45">
        <v>131.59</v>
      </c>
      <c r="D1062" s="45">
        <v>133.44999999999999</v>
      </c>
      <c r="E1062" s="45">
        <v>77153906</v>
      </c>
      <c r="F1062" s="45" t="s">
        <v>1069</v>
      </c>
      <c r="G1062" s="25">
        <f t="shared" si="14"/>
        <v>2.8924690895466565E-2</v>
      </c>
    </row>
    <row r="1063" spans="1:7">
      <c r="A1063" s="45">
        <v>132</v>
      </c>
      <c r="B1063" s="45">
        <v>132.41999999999999</v>
      </c>
      <c r="C1063" s="45">
        <v>125.03</v>
      </c>
      <c r="D1063" s="45">
        <v>129.08000000000001</v>
      </c>
      <c r="E1063" s="45">
        <v>84671336</v>
      </c>
      <c r="F1063" s="45" t="s">
        <v>1070</v>
      </c>
      <c r="G1063" s="25">
        <f t="shared" si="14"/>
        <v>2.2621629996901094E-2</v>
      </c>
    </row>
    <row r="1064" spans="1:7">
      <c r="A1064" s="45">
        <v>132</v>
      </c>
      <c r="B1064" s="45">
        <v>137.44</v>
      </c>
      <c r="C1064" s="45">
        <v>131.13</v>
      </c>
      <c r="D1064" s="45">
        <v>136.28</v>
      </c>
      <c r="E1064" s="45">
        <v>58441104</v>
      </c>
      <c r="F1064" s="45" t="s">
        <v>1071</v>
      </c>
      <c r="G1064" s="25">
        <f t="shared" si="14"/>
        <v>-3.1405928969768127E-2</v>
      </c>
    </row>
    <row r="1065" spans="1:7">
      <c r="A1065" s="45">
        <v>136.22999999999999</v>
      </c>
      <c r="B1065" s="45">
        <v>138</v>
      </c>
      <c r="C1065" s="45">
        <v>131.77000000000001</v>
      </c>
      <c r="D1065" s="45">
        <v>136.19</v>
      </c>
      <c r="E1065" s="45">
        <v>64802937</v>
      </c>
      <c r="F1065" s="45" t="s">
        <v>1072</v>
      </c>
      <c r="G1065" s="25">
        <f t="shared" si="14"/>
        <v>2.9370732065481242E-4</v>
      </c>
    </row>
    <row r="1066" spans="1:7">
      <c r="A1066" s="45">
        <v>136.15</v>
      </c>
      <c r="B1066" s="45">
        <v>143.76</v>
      </c>
      <c r="C1066" s="45">
        <v>135.29</v>
      </c>
      <c r="D1066" s="45">
        <v>142.815</v>
      </c>
      <c r="E1066" s="45">
        <v>65403174</v>
      </c>
      <c r="F1066" s="45" t="s">
        <v>1073</v>
      </c>
      <c r="G1066" s="25">
        <f t="shared" si="14"/>
        <v>-4.6668767286349389E-2</v>
      </c>
    </row>
    <row r="1067" spans="1:7">
      <c r="A1067" s="45">
        <v>144.41999999999999</v>
      </c>
      <c r="B1067" s="45">
        <v>152.41999999999999</v>
      </c>
      <c r="C1067" s="45">
        <v>140.69999999999999</v>
      </c>
      <c r="D1067" s="45">
        <v>151.01</v>
      </c>
      <c r="E1067" s="45">
        <v>80200455</v>
      </c>
      <c r="F1067" s="45" t="s">
        <v>1074</v>
      </c>
      <c r="G1067" s="25">
        <f t="shared" si="14"/>
        <v>-4.3639494073240193E-2</v>
      </c>
    </row>
    <row r="1068" spans="1:7">
      <c r="A1068" s="45">
        <v>150.24</v>
      </c>
      <c r="B1068" s="45">
        <v>151.65</v>
      </c>
      <c r="C1068" s="45">
        <v>145.02000000000001</v>
      </c>
      <c r="D1068" s="45">
        <v>145.13499999999999</v>
      </c>
      <c r="E1068" s="45">
        <v>59477667</v>
      </c>
      <c r="F1068" s="45" t="s">
        <v>1075</v>
      </c>
      <c r="G1068" s="25">
        <f t="shared" si="14"/>
        <v>3.5174148206841949E-2</v>
      </c>
    </row>
    <row r="1069" spans="1:7">
      <c r="A1069" s="45">
        <v>143.9</v>
      </c>
      <c r="B1069" s="45">
        <v>148.61000000000001</v>
      </c>
      <c r="C1069" s="45">
        <v>143.55000000000001</v>
      </c>
      <c r="D1069" s="45">
        <v>146.16</v>
      </c>
      <c r="E1069" s="45">
        <v>49448144</v>
      </c>
      <c r="F1069" s="45" t="s">
        <v>1076</v>
      </c>
      <c r="G1069" s="25">
        <f t="shared" si="14"/>
        <v>-1.5462506841817159E-2</v>
      </c>
    </row>
    <row r="1070" spans="1:7">
      <c r="A1070" s="45">
        <v>145.15</v>
      </c>
      <c r="B1070" s="45">
        <v>148.85</v>
      </c>
      <c r="C1070" s="45">
        <v>144.85</v>
      </c>
      <c r="D1070" s="45">
        <v>147.44</v>
      </c>
      <c r="E1070" s="45">
        <v>44357997</v>
      </c>
      <c r="F1070" s="45" t="s">
        <v>1077</v>
      </c>
      <c r="G1070" s="25">
        <f t="shared" si="14"/>
        <v>-1.5531741725447579E-2</v>
      </c>
    </row>
    <row r="1071" spans="1:7">
      <c r="A1071" s="45">
        <v>148.26</v>
      </c>
      <c r="B1071" s="45">
        <v>154.3399</v>
      </c>
      <c r="C1071" s="45">
        <v>147.29</v>
      </c>
      <c r="D1071" s="45">
        <v>152.82</v>
      </c>
      <c r="E1071" s="45">
        <v>51300205</v>
      </c>
      <c r="F1071" s="45" t="s">
        <v>1078</v>
      </c>
      <c r="G1071" s="25">
        <f t="shared" si="14"/>
        <v>-2.9839026305457428E-2</v>
      </c>
    </row>
    <row r="1072" spans="1:7">
      <c r="A1072" s="45">
        <v>153.15</v>
      </c>
      <c r="B1072" s="45">
        <v>156.72999999999999</v>
      </c>
      <c r="C1072" s="45">
        <v>151.38</v>
      </c>
      <c r="D1072" s="45">
        <v>155.88</v>
      </c>
      <c r="E1072" s="45">
        <v>58699069</v>
      </c>
      <c r="F1072" s="45" t="s">
        <v>1079</v>
      </c>
      <c r="G1072" s="25">
        <f t="shared" si="14"/>
        <v>-1.7513471901462574E-2</v>
      </c>
    </row>
    <row r="1073" spans="1:7">
      <c r="A1073" s="45">
        <v>154.36000000000001</v>
      </c>
      <c r="B1073" s="45">
        <v>154.88999999999999</v>
      </c>
      <c r="C1073" s="45">
        <v>147.25</v>
      </c>
      <c r="D1073" s="45">
        <v>147.51</v>
      </c>
      <c r="E1073" s="45">
        <v>53296375</v>
      </c>
      <c r="F1073" s="45" t="s">
        <v>1080</v>
      </c>
      <c r="G1073" s="25">
        <f t="shared" si="14"/>
        <v>4.6437529659006271E-2</v>
      </c>
    </row>
    <row r="1074" spans="1:7">
      <c r="A1074" s="45">
        <v>146.13999999999999</v>
      </c>
      <c r="B1074" s="45">
        <v>149.018</v>
      </c>
      <c r="C1074" s="45">
        <v>143.85</v>
      </c>
      <c r="D1074" s="45">
        <v>143.88999999999999</v>
      </c>
      <c r="E1074" s="45">
        <v>48653789</v>
      </c>
      <c r="F1074" s="45" t="s">
        <v>1081</v>
      </c>
      <c r="G1074" s="25">
        <f t="shared" si="14"/>
        <v>1.5636944888456572E-2</v>
      </c>
    </row>
    <row r="1075" spans="1:7">
      <c r="A1075" s="45">
        <v>143.88</v>
      </c>
      <c r="B1075" s="45">
        <v>144.5</v>
      </c>
      <c r="C1075" s="45">
        <v>140.27000000000001</v>
      </c>
      <c r="D1075" s="45">
        <v>142.65</v>
      </c>
      <c r="E1075" s="45">
        <v>46923682</v>
      </c>
      <c r="F1075" s="45" t="s">
        <v>1082</v>
      </c>
      <c r="G1075" s="25">
        <f t="shared" si="14"/>
        <v>8.6225026288118123E-3</v>
      </c>
    </row>
    <row r="1076" spans="1:7">
      <c r="A1076" s="45">
        <v>144.25</v>
      </c>
      <c r="B1076" s="45">
        <v>144.5</v>
      </c>
      <c r="C1076" s="45">
        <v>135.15</v>
      </c>
      <c r="D1076" s="45">
        <v>138.185</v>
      </c>
      <c r="E1076" s="45">
        <v>57785243</v>
      </c>
      <c r="F1076" s="45" t="s">
        <v>1083</v>
      </c>
      <c r="G1076" s="25">
        <f t="shared" si="14"/>
        <v>4.3890436733364568E-2</v>
      </c>
    </row>
    <row r="1077" spans="1:7">
      <c r="A1077" s="45">
        <v>135.80000000000001</v>
      </c>
      <c r="B1077" s="45">
        <v>138.26</v>
      </c>
      <c r="C1077" s="45">
        <v>133.52000000000001</v>
      </c>
      <c r="D1077" s="45">
        <v>135.97</v>
      </c>
      <c r="E1077" s="45">
        <v>38195396</v>
      </c>
      <c r="F1077" s="45" t="s">
        <v>1084</v>
      </c>
      <c r="G1077" s="25">
        <f t="shared" si="14"/>
        <v>-1.2502757961314614E-3</v>
      </c>
    </row>
    <row r="1078" spans="1:7">
      <c r="A1078" s="45">
        <v>137.75</v>
      </c>
      <c r="B1078" s="45">
        <v>142.04</v>
      </c>
      <c r="C1078" s="45">
        <v>136.11000000000001</v>
      </c>
      <c r="D1078" s="45">
        <v>136.30000000000001</v>
      </c>
      <c r="E1078" s="45">
        <v>55692280</v>
      </c>
      <c r="F1078" s="45" t="s">
        <v>1085</v>
      </c>
      <c r="G1078" s="25">
        <f t="shared" ref="G1078:G1141" si="15">A1078/D1078-1</f>
        <v>1.0638297872340274E-2</v>
      </c>
    </row>
    <row r="1079" spans="1:7">
      <c r="A1079" s="45">
        <v>138.63999999999999</v>
      </c>
      <c r="B1079" s="45">
        <v>147.93</v>
      </c>
      <c r="C1079" s="45">
        <v>137.02000000000001</v>
      </c>
      <c r="D1079" s="45">
        <v>147</v>
      </c>
      <c r="E1079" s="45">
        <v>63369550</v>
      </c>
      <c r="F1079" s="45" t="s">
        <v>1086</v>
      </c>
      <c r="G1079" s="25">
        <f t="shared" si="15"/>
        <v>-5.6870748299319818E-2</v>
      </c>
    </row>
    <row r="1080" spans="1:7">
      <c r="A1080" s="45">
        <v>146.5</v>
      </c>
      <c r="B1080" s="45">
        <v>146.69</v>
      </c>
      <c r="C1080" s="45">
        <v>133.81</v>
      </c>
      <c r="D1080" s="45">
        <v>135.11000000000001</v>
      </c>
      <c r="E1080" s="45">
        <v>72425783</v>
      </c>
      <c r="F1080" s="45" t="s">
        <v>1087</v>
      </c>
      <c r="G1080" s="25">
        <f t="shared" si="15"/>
        <v>8.4301680112500721E-2</v>
      </c>
    </row>
    <row r="1081" spans="1:7">
      <c r="A1081" s="45">
        <v>135.6</v>
      </c>
      <c r="B1081" s="45">
        <v>137.24</v>
      </c>
      <c r="C1081" s="45">
        <v>130.6</v>
      </c>
      <c r="D1081" s="45">
        <v>131.66999999999999</v>
      </c>
      <c r="E1081" s="45">
        <v>50754642</v>
      </c>
      <c r="F1081" s="45" t="s">
        <v>1088</v>
      </c>
      <c r="G1081" s="25">
        <f t="shared" si="15"/>
        <v>2.9847345636819345E-2</v>
      </c>
    </row>
    <row r="1082" spans="1:7">
      <c r="A1082" s="45">
        <v>133.80000000000001</v>
      </c>
      <c r="B1082" s="45">
        <v>139.4</v>
      </c>
      <c r="C1082" s="45">
        <v>133.41499999999999</v>
      </c>
      <c r="D1082" s="45">
        <v>138.25</v>
      </c>
      <c r="E1082" s="45">
        <v>42173963</v>
      </c>
      <c r="F1082" s="45" t="s">
        <v>1089</v>
      </c>
      <c r="G1082" s="25">
        <f t="shared" si="15"/>
        <v>-3.2188065099457375E-2</v>
      </c>
    </row>
    <row r="1083" spans="1:7">
      <c r="A1083" s="45">
        <v>138.55000000000001</v>
      </c>
      <c r="B1083" s="45">
        <v>141.36500000000001</v>
      </c>
      <c r="C1083" s="45">
        <v>135.82</v>
      </c>
      <c r="D1083" s="45">
        <v>141.29</v>
      </c>
      <c r="E1083" s="45">
        <v>42224275</v>
      </c>
      <c r="F1083" s="45" t="s">
        <v>1090</v>
      </c>
      <c r="G1083" s="25">
        <f t="shared" si="15"/>
        <v>-1.9392738339585103E-2</v>
      </c>
    </row>
    <row r="1084" spans="1:7">
      <c r="A1084" s="45">
        <v>138.1</v>
      </c>
      <c r="B1084" s="45">
        <v>146.69</v>
      </c>
      <c r="C1084" s="45">
        <v>137.80000000000001</v>
      </c>
      <c r="D1084" s="45">
        <v>145.16</v>
      </c>
      <c r="E1084" s="45">
        <v>53019926</v>
      </c>
      <c r="F1084" s="45" t="s">
        <v>1091</v>
      </c>
      <c r="G1084" s="25">
        <f t="shared" si="15"/>
        <v>-4.8635987875447761E-2</v>
      </c>
    </row>
    <row r="1085" spans="1:7">
      <c r="A1085" s="45">
        <v>145.24</v>
      </c>
      <c r="B1085" s="45">
        <v>147.04</v>
      </c>
      <c r="C1085" s="45">
        <v>142.69999999999999</v>
      </c>
      <c r="D1085" s="45">
        <v>144.96</v>
      </c>
      <c r="E1085" s="45">
        <v>40977478</v>
      </c>
      <c r="F1085" s="45" t="s">
        <v>1092</v>
      </c>
      <c r="G1085" s="25">
        <f t="shared" si="15"/>
        <v>1.9315673289184154E-3</v>
      </c>
    </row>
    <row r="1086" spans="1:7">
      <c r="A1086" s="45">
        <v>144.85</v>
      </c>
      <c r="B1086" s="45">
        <v>145.76</v>
      </c>
      <c r="C1086" s="45">
        <v>141.0001</v>
      </c>
      <c r="D1086" s="45">
        <v>143.9</v>
      </c>
      <c r="E1086" s="45">
        <v>53359432</v>
      </c>
      <c r="F1086" s="45" t="s">
        <v>1093</v>
      </c>
      <c r="G1086" s="25">
        <f t="shared" si="15"/>
        <v>6.6018068102848826E-3</v>
      </c>
    </row>
    <row r="1087" spans="1:7">
      <c r="A1087" s="45">
        <v>139.06</v>
      </c>
      <c r="B1087" s="45">
        <v>141.31</v>
      </c>
      <c r="C1087" s="45">
        <v>134.19999999999999</v>
      </c>
      <c r="D1087" s="45">
        <v>141.13499999999999</v>
      </c>
      <c r="E1087" s="45">
        <v>66776493</v>
      </c>
      <c r="F1087" s="45" t="s">
        <v>1094</v>
      </c>
      <c r="G1087" s="25">
        <f t="shared" si="15"/>
        <v>-1.4702235448329493E-2</v>
      </c>
    </row>
    <row r="1088" spans="1:7">
      <c r="A1088" s="45">
        <v>144.01</v>
      </c>
      <c r="B1088" s="45">
        <v>152.38</v>
      </c>
      <c r="C1088" s="45">
        <v>140.72</v>
      </c>
      <c r="D1088" s="45">
        <v>151.64500000000001</v>
      </c>
      <c r="E1088" s="45">
        <v>65910028</v>
      </c>
      <c r="F1088" s="45" t="s">
        <v>1095</v>
      </c>
      <c r="G1088" s="25">
        <f t="shared" si="15"/>
        <v>-5.0347851890929607E-2</v>
      </c>
    </row>
    <row r="1089" spans="1:7">
      <c r="A1089" s="45">
        <v>150.68</v>
      </c>
      <c r="B1089" s="45">
        <v>152.53</v>
      </c>
      <c r="C1089" s="45">
        <v>146.47</v>
      </c>
      <c r="D1089" s="45">
        <v>147.67500000000001</v>
      </c>
      <c r="E1089" s="45">
        <v>56161216</v>
      </c>
      <c r="F1089" s="45" t="s">
        <v>1096</v>
      </c>
      <c r="G1089" s="25">
        <f t="shared" si="15"/>
        <v>2.0348738784492948E-2</v>
      </c>
    </row>
    <row r="1090" spans="1:7">
      <c r="A1090" s="45">
        <v>149.11000000000001</v>
      </c>
      <c r="B1090" s="45">
        <v>160.88</v>
      </c>
      <c r="C1090" s="45">
        <v>148.91999999999999</v>
      </c>
      <c r="D1090" s="45">
        <v>160.37</v>
      </c>
      <c r="E1090" s="45">
        <v>64185119</v>
      </c>
      <c r="F1090" s="45" t="s">
        <v>1097</v>
      </c>
      <c r="G1090" s="25">
        <f t="shared" si="15"/>
        <v>-7.0212633285527182E-2</v>
      </c>
    </row>
    <row r="1091" spans="1:7">
      <c r="A1091" s="45">
        <v>158.37</v>
      </c>
      <c r="B1091" s="45">
        <v>164.4599</v>
      </c>
      <c r="C1091" s="45">
        <v>155.68010000000001</v>
      </c>
      <c r="D1091" s="45">
        <v>163.28</v>
      </c>
      <c r="E1091" s="45">
        <v>75182545</v>
      </c>
      <c r="F1091" s="45" t="s">
        <v>1098</v>
      </c>
      <c r="G1091" s="25">
        <f t="shared" si="15"/>
        <v>-3.0071043606075487E-2</v>
      </c>
    </row>
    <row r="1092" spans="1:7">
      <c r="A1092" s="45">
        <v>161.91</v>
      </c>
      <c r="B1092" s="45">
        <v>162.505</v>
      </c>
      <c r="C1092" s="45">
        <v>156.1</v>
      </c>
      <c r="D1092" s="45">
        <v>157.5</v>
      </c>
      <c r="E1092" s="45">
        <v>57438867</v>
      </c>
      <c r="F1092" s="45" t="s">
        <v>1099</v>
      </c>
      <c r="G1092" s="25">
        <f t="shared" si="15"/>
        <v>2.8000000000000025E-2</v>
      </c>
    </row>
    <row r="1093" spans="1:7">
      <c r="A1093" s="45">
        <v>154.81</v>
      </c>
      <c r="B1093" s="45">
        <v>158.1</v>
      </c>
      <c r="C1093" s="45">
        <v>152.81</v>
      </c>
      <c r="D1093" s="45">
        <v>155.80000000000001</v>
      </c>
      <c r="E1093" s="45">
        <v>36245068</v>
      </c>
      <c r="F1093" s="45" t="s">
        <v>1100</v>
      </c>
      <c r="G1093" s="25">
        <f t="shared" si="15"/>
        <v>-6.3543003851092017E-3</v>
      </c>
    </row>
    <row r="1094" spans="1:7">
      <c r="A1094" s="45">
        <v>157.80000000000001</v>
      </c>
      <c r="B1094" s="45">
        <v>157.93</v>
      </c>
      <c r="C1094" s="45">
        <v>147.19</v>
      </c>
      <c r="D1094" s="45">
        <v>149.46</v>
      </c>
      <c r="E1094" s="45">
        <v>60677062</v>
      </c>
      <c r="F1094" s="45" t="s">
        <v>1101</v>
      </c>
      <c r="G1094" s="25">
        <f t="shared" si="15"/>
        <v>5.5800883179446092E-2</v>
      </c>
    </row>
    <row r="1095" spans="1:7">
      <c r="A1095" s="45">
        <v>149.91999999999999</v>
      </c>
      <c r="B1095" s="45">
        <v>152.66</v>
      </c>
      <c r="C1095" s="45">
        <v>145.2996</v>
      </c>
      <c r="D1095" s="45">
        <v>150.41</v>
      </c>
      <c r="E1095" s="45">
        <v>62852705</v>
      </c>
      <c r="F1095" s="45" t="s">
        <v>1102</v>
      </c>
      <c r="G1095" s="25">
        <f t="shared" si="15"/>
        <v>-3.2577621168805582E-3</v>
      </c>
    </row>
    <row r="1096" spans="1:7">
      <c r="A1096" s="45">
        <v>152.52000000000001</v>
      </c>
      <c r="B1096" s="45">
        <v>161.87989999999999</v>
      </c>
      <c r="C1096" s="45">
        <v>152.38999999999999</v>
      </c>
      <c r="D1096" s="45">
        <v>157.13999999999999</v>
      </c>
      <c r="E1096" s="45">
        <v>58674078</v>
      </c>
      <c r="F1096" s="45" t="s">
        <v>1103</v>
      </c>
      <c r="G1096" s="25">
        <f t="shared" si="15"/>
        <v>-2.9400534555173552E-2</v>
      </c>
    </row>
    <row r="1097" spans="1:7">
      <c r="A1097" s="45">
        <v>155.41</v>
      </c>
      <c r="B1097" s="45">
        <v>156.91999999999999</v>
      </c>
      <c r="C1097" s="45">
        <v>153.44499999999999</v>
      </c>
      <c r="D1097" s="45">
        <v>155.76</v>
      </c>
      <c r="E1097" s="45">
        <v>41668862</v>
      </c>
      <c r="F1097" s="45" t="s">
        <v>1104</v>
      </c>
      <c r="G1097" s="25">
        <f t="shared" si="15"/>
        <v>-2.2470467385721227E-3</v>
      </c>
    </row>
    <row r="1098" spans="1:7">
      <c r="A1098" s="45">
        <v>155.02000000000001</v>
      </c>
      <c r="B1098" s="45">
        <v>158.88999999999999</v>
      </c>
      <c r="C1098" s="45">
        <v>152.56</v>
      </c>
      <c r="D1098" s="45">
        <v>157.07</v>
      </c>
      <c r="E1098" s="45">
        <v>60612733</v>
      </c>
      <c r="F1098" s="45" t="s">
        <v>1105</v>
      </c>
      <c r="G1098" s="25">
        <f t="shared" si="15"/>
        <v>-1.3051505698096322E-2</v>
      </c>
    </row>
    <row r="1099" spans="1:7">
      <c r="A1099" s="45">
        <v>151.34</v>
      </c>
      <c r="B1099" s="45">
        <v>154.65989999999999</v>
      </c>
      <c r="C1099" s="45">
        <v>149.69</v>
      </c>
      <c r="D1099" s="45">
        <v>151.97999999999999</v>
      </c>
      <c r="E1099" s="45">
        <v>54527482</v>
      </c>
      <c r="F1099" s="45" t="s">
        <v>1106</v>
      </c>
      <c r="G1099" s="25">
        <f t="shared" si="15"/>
        <v>-4.2110804053163697E-3</v>
      </c>
    </row>
    <row r="1100" spans="1:7">
      <c r="A1100" s="45">
        <v>152.44999999999999</v>
      </c>
      <c r="B1100" s="45">
        <v>153.08000000000001</v>
      </c>
      <c r="C1100" s="45">
        <v>145.34</v>
      </c>
      <c r="D1100" s="45">
        <v>145.93</v>
      </c>
      <c r="E1100" s="45">
        <v>53100810</v>
      </c>
      <c r="F1100" s="45" t="s">
        <v>1107</v>
      </c>
      <c r="G1100" s="25">
        <f t="shared" si="15"/>
        <v>4.4678955663674191E-2</v>
      </c>
    </row>
    <row r="1101" spans="1:7">
      <c r="A1101" s="45">
        <v>146.49</v>
      </c>
      <c r="B1101" s="45">
        <v>148.97999999999999</v>
      </c>
      <c r="C1101" s="45">
        <v>142.86000000000001</v>
      </c>
      <c r="D1101" s="45">
        <v>148</v>
      </c>
      <c r="E1101" s="45">
        <v>52271271</v>
      </c>
      <c r="F1101" s="45" t="s">
        <v>1108</v>
      </c>
      <c r="G1101" s="25">
        <f t="shared" si="15"/>
        <v>-1.0202702702702626E-2</v>
      </c>
    </row>
    <row r="1102" spans="1:7">
      <c r="A1102" s="45">
        <v>147.88999999999999</v>
      </c>
      <c r="B1102" s="45">
        <v>148.59</v>
      </c>
      <c r="C1102" s="45">
        <v>144.25</v>
      </c>
      <c r="D1102" s="45">
        <v>146.02500000000001</v>
      </c>
      <c r="E1102" s="45">
        <v>52162136</v>
      </c>
      <c r="F1102" s="45" t="s">
        <v>1109</v>
      </c>
      <c r="G1102" s="25">
        <f t="shared" si="15"/>
        <v>1.2771785653141521E-2</v>
      </c>
    </row>
    <row r="1103" spans="1:7">
      <c r="A1103" s="45">
        <v>146.01</v>
      </c>
      <c r="B1103" s="45">
        <v>146.47</v>
      </c>
      <c r="C1103" s="45">
        <v>140.84</v>
      </c>
      <c r="D1103" s="45">
        <v>142.95500000000001</v>
      </c>
      <c r="E1103" s="45">
        <v>67934845</v>
      </c>
      <c r="F1103" s="45" t="s">
        <v>1110</v>
      </c>
      <c r="G1103" s="25">
        <f t="shared" si="15"/>
        <v>2.1370361302507579E-2</v>
      </c>
    </row>
    <row r="1104" spans="1:7">
      <c r="A1104" s="45">
        <v>139.87</v>
      </c>
      <c r="B1104" s="45">
        <v>146.30000000000001</v>
      </c>
      <c r="C1104" s="45">
        <v>138.52000000000001</v>
      </c>
      <c r="D1104" s="45">
        <v>143.93</v>
      </c>
      <c r="E1104" s="45">
        <v>82989151</v>
      </c>
      <c r="F1104" s="45" t="s">
        <v>1111</v>
      </c>
      <c r="G1104" s="25">
        <f t="shared" si="15"/>
        <v>-2.8208156742861146E-2</v>
      </c>
    </row>
    <row r="1105" spans="1:7">
      <c r="A1105" s="45">
        <v>148.91999999999999</v>
      </c>
      <c r="B1105" s="45">
        <v>155.65</v>
      </c>
      <c r="C1105" s="45">
        <v>143.88999999999999</v>
      </c>
      <c r="D1105" s="45">
        <v>154.01</v>
      </c>
      <c r="E1105" s="45">
        <v>98442597</v>
      </c>
      <c r="F1105" s="45" t="s">
        <v>1112</v>
      </c>
      <c r="G1105" s="25">
        <f t="shared" si="15"/>
        <v>-3.3049801960911673E-2</v>
      </c>
    </row>
    <row r="1106" spans="1:7">
      <c r="A1106" s="45">
        <v>150.16</v>
      </c>
      <c r="B1106" s="45">
        <v>153.6</v>
      </c>
      <c r="C1106" s="45">
        <v>137.69999999999999</v>
      </c>
      <c r="D1106" s="45">
        <v>137.69999999999999</v>
      </c>
      <c r="E1106" s="45">
        <v>141493842</v>
      </c>
      <c r="F1106" s="45" t="s">
        <v>1113</v>
      </c>
      <c r="G1106" s="25">
        <f t="shared" si="15"/>
        <v>9.048656499636909E-2</v>
      </c>
    </row>
    <row r="1107" spans="1:7">
      <c r="A1107" s="45">
        <v>136.34</v>
      </c>
      <c r="B1107" s="45">
        <v>141.22</v>
      </c>
      <c r="C1107" s="45">
        <v>134.41999999999999</v>
      </c>
      <c r="D1107" s="45">
        <v>139.185</v>
      </c>
      <c r="E1107" s="45">
        <v>64920597</v>
      </c>
      <c r="F1107" s="45" t="s">
        <v>1114</v>
      </c>
      <c r="G1107" s="25">
        <f t="shared" si="15"/>
        <v>-2.0440421022380306E-2</v>
      </c>
    </row>
    <row r="1108" spans="1:7">
      <c r="A1108" s="45">
        <v>137.5</v>
      </c>
      <c r="B1108" s="45">
        <v>139</v>
      </c>
      <c r="C1108" s="45">
        <v>130.77000000000001</v>
      </c>
      <c r="D1108" s="45">
        <v>132.01</v>
      </c>
      <c r="E1108" s="45">
        <v>84825156</v>
      </c>
      <c r="F1108" s="45" t="s">
        <v>1115</v>
      </c>
      <c r="G1108" s="25">
        <f t="shared" si="15"/>
        <v>4.1587758503143668E-2</v>
      </c>
    </row>
    <row r="1109" spans="1:7">
      <c r="A1109" s="45">
        <v>130.53</v>
      </c>
      <c r="B1109" s="45">
        <v>130.6</v>
      </c>
      <c r="C1109" s="45">
        <v>126.7901</v>
      </c>
      <c r="D1109" s="45">
        <v>127.75</v>
      </c>
      <c r="E1109" s="45">
        <v>59537815</v>
      </c>
      <c r="F1109" s="45" t="s">
        <v>1116</v>
      </c>
      <c r="G1109" s="25">
        <f t="shared" si="15"/>
        <v>2.1761252446183876E-2</v>
      </c>
    </row>
    <row r="1110" spans="1:7">
      <c r="A1110" s="45">
        <v>127.63</v>
      </c>
      <c r="B1110" s="45">
        <v>128.45500000000001</v>
      </c>
      <c r="C1110" s="45">
        <v>124.2</v>
      </c>
      <c r="D1110" s="45">
        <v>124.98</v>
      </c>
      <c r="E1110" s="45">
        <v>53491937</v>
      </c>
      <c r="F1110" s="45" t="s">
        <v>1117</v>
      </c>
      <c r="G1110" s="25">
        <f t="shared" si="15"/>
        <v>2.1203392542806787E-2</v>
      </c>
    </row>
    <row r="1111" spans="1:7">
      <c r="A1111" s="45">
        <v>125.23</v>
      </c>
      <c r="B1111" s="45">
        <v>125.67</v>
      </c>
      <c r="C1111" s="45">
        <v>118.1301</v>
      </c>
      <c r="D1111" s="45">
        <v>119.45</v>
      </c>
      <c r="E1111" s="45">
        <v>54559780</v>
      </c>
      <c r="F1111" s="45" t="s">
        <v>1118</v>
      </c>
      <c r="G1111" s="25">
        <f t="shared" si="15"/>
        <v>4.8388447048974381E-2</v>
      </c>
    </row>
    <row r="1112" spans="1:7">
      <c r="A1112" s="45">
        <v>120.23</v>
      </c>
      <c r="B1112" s="45">
        <v>122.57</v>
      </c>
      <c r="C1112" s="45">
        <v>119.88</v>
      </c>
      <c r="D1112" s="45">
        <v>120.95</v>
      </c>
      <c r="E1112" s="45">
        <v>43320125</v>
      </c>
      <c r="F1112" s="45" t="s">
        <v>1119</v>
      </c>
      <c r="G1112" s="25">
        <f t="shared" si="15"/>
        <v>-5.9528730880529235E-3</v>
      </c>
    </row>
    <row r="1113" spans="1:7">
      <c r="A1113" s="45">
        <v>121.16</v>
      </c>
      <c r="B1113" s="45">
        <v>123.5</v>
      </c>
      <c r="C1113" s="45">
        <v>120.26</v>
      </c>
      <c r="D1113" s="45">
        <v>122.855</v>
      </c>
      <c r="E1113" s="45">
        <v>58002459</v>
      </c>
      <c r="F1113" s="45" t="s">
        <v>1120</v>
      </c>
      <c r="G1113" s="25">
        <f t="shared" si="15"/>
        <v>-1.3796752268934953E-2</v>
      </c>
    </row>
    <row r="1114" spans="1:7">
      <c r="A1114" s="45">
        <v>122.28</v>
      </c>
      <c r="B1114" s="45">
        <v>128.08000000000001</v>
      </c>
      <c r="C1114" s="45">
        <v>121.05</v>
      </c>
      <c r="D1114" s="45">
        <v>121.63</v>
      </c>
      <c r="E1114" s="45">
        <v>98245324</v>
      </c>
      <c r="F1114" s="45" t="s">
        <v>1121</v>
      </c>
      <c r="G1114" s="25">
        <f t="shared" si="15"/>
        <v>5.3440762969663158E-3</v>
      </c>
    </row>
    <row r="1115" spans="1:7">
      <c r="A1115" s="45">
        <v>122.93</v>
      </c>
      <c r="B1115" s="45">
        <v>127.2</v>
      </c>
      <c r="C1115" s="45">
        <v>122.5782</v>
      </c>
      <c r="D1115" s="45">
        <v>122.99</v>
      </c>
      <c r="E1115" s="45">
        <v>59458928</v>
      </c>
      <c r="F1115" s="45" t="s">
        <v>1122</v>
      </c>
      <c r="G1115" s="25">
        <f t="shared" si="15"/>
        <v>-4.8784454020645018E-4</v>
      </c>
    </row>
    <row r="1116" spans="1:7">
      <c r="A1116" s="45">
        <v>122.36</v>
      </c>
      <c r="B1116" s="45">
        <v>123.4599</v>
      </c>
      <c r="C1116" s="45">
        <v>118.6</v>
      </c>
      <c r="D1116" s="45">
        <v>120.515</v>
      </c>
      <c r="E1116" s="45">
        <v>47834118</v>
      </c>
      <c r="F1116" s="45" t="s">
        <v>1123</v>
      </c>
      <c r="G1116" s="25">
        <f t="shared" si="15"/>
        <v>1.5309297597809302E-2</v>
      </c>
    </row>
    <row r="1117" spans="1:7">
      <c r="A1117" s="45">
        <v>119.82</v>
      </c>
      <c r="B1117" s="45">
        <v>121.56</v>
      </c>
      <c r="C1117" s="45">
        <v>118.37</v>
      </c>
      <c r="D1117" s="45">
        <v>120.825</v>
      </c>
      <c r="E1117" s="45">
        <v>38992694</v>
      </c>
      <c r="F1117" s="45" t="s">
        <v>1124</v>
      </c>
      <c r="G1117" s="25">
        <f t="shared" si="15"/>
        <v>-8.317815021725683E-3</v>
      </c>
    </row>
    <row r="1118" spans="1:7">
      <c r="A1118" s="45">
        <v>119.33</v>
      </c>
      <c r="B1118" s="45">
        <v>119.68</v>
      </c>
      <c r="C1118" s="45">
        <v>116.26</v>
      </c>
      <c r="D1118" s="45">
        <v>116.5</v>
      </c>
      <c r="E1118" s="45">
        <v>34794945</v>
      </c>
      <c r="F1118" s="45" t="s">
        <v>1125</v>
      </c>
      <c r="G1118" s="25">
        <f t="shared" si="15"/>
        <v>2.4291845493562114E-2</v>
      </c>
    </row>
    <row r="1119" spans="1:7">
      <c r="A1119" s="45">
        <v>116.39</v>
      </c>
      <c r="B1119" s="45">
        <v>118.3001</v>
      </c>
      <c r="C1119" s="45">
        <v>115.42100000000001</v>
      </c>
      <c r="D1119" s="45">
        <v>116.29</v>
      </c>
      <c r="E1119" s="45">
        <v>34244811</v>
      </c>
      <c r="F1119" s="45" t="s">
        <v>1126</v>
      </c>
      <c r="G1119" s="25">
        <f t="shared" si="15"/>
        <v>8.5991916759819986E-4</v>
      </c>
    </row>
    <row r="1120" spans="1:7">
      <c r="A1120" s="45">
        <v>116.33</v>
      </c>
      <c r="B1120" s="45">
        <v>117.17</v>
      </c>
      <c r="C1120" s="45">
        <v>114.47</v>
      </c>
      <c r="D1120" s="45">
        <v>116.16</v>
      </c>
      <c r="E1120" s="45">
        <v>39593938</v>
      </c>
      <c r="F1120" s="45" t="s">
        <v>1127</v>
      </c>
      <c r="G1120" s="25">
        <f t="shared" si="15"/>
        <v>1.463498622589654E-3</v>
      </c>
    </row>
    <row r="1121" spans="1:7">
      <c r="A1121" s="45">
        <v>116.43</v>
      </c>
      <c r="B1121" s="45">
        <v>116.88</v>
      </c>
      <c r="C1121" s="45">
        <v>111.37</v>
      </c>
      <c r="D1121" s="45">
        <v>111.9</v>
      </c>
      <c r="E1121" s="45">
        <v>47537763</v>
      </c>
      <c r="F1121" s="45" t="s">
        <v>1128</v>
      </c>
      <c r="G1121" s="25">
        <f t="shared" si="15"/>
        <v>4.0482573726541515E-2</v>
      </c>
    </row>
    <row r="1122" spans="1:7">
      <c r="A1122" s="45">
        <v>112.12</v>
      </c>
      <c r="B1122" s="45">
        <v>112.83499999999999</v>
      </c>
      <c r="C1122" s="45">
        <v>111.11</v>
      </c>
      <c r="D1122" s="45">
        <v>112.505</v>
      </c>
      <c r="E1122" s="45">
        <v>34203008</v>
      </c>
      <c r="F1122" s="45" t="s">
        <v>1129</v>
      </c>
      <c r="G1122" s="25">
        <f t="shared" si="15"/>
        <v>-3.422070130216337E-3</v>
      </c>
    </row>
    <row r="1123" spans="1:7">
      <c r="A1123" s="45">
        <v>111.99</v>
      </c>
      <c r="B1123" s="45">
        <v>112.22</v>
      </c>
      <c r="C1123" s="45">
        <v>109.6301</v>
      </c>
      <c r="D1123" s="45">
        <v>110.5</v>
      </c>
      <c r="E1123" s="45">
        <v>46900157</v>
      </c>
      <c r="F1123" s="45" t="s">
        <v>1130</v>
      </c>
      <c r="G1123" s="25">
        <f t="shared" si="15"/>
        <v>1.3484162895927465E-2</v>
      </c>
    </row>
    <row r="1124" spans="1:7">
      <c r="A1124" s="45">
        <v>109.16</v>
      </c>
      <c r="B1124" s="45">
        <v>109.88</v>
      </c>
      <c r="C1124" s="45">
        <v>106.25</v>
      </c>
      <c r="D1124" s="45">
        <v>106.27500000000001</v>
      </c>
      <c r="E1124" s="45">
        <v>55631917</v>
      </c>
      <c r="F1124" s="45" t="s">
        <v>1131</v>
      </c>
      <c r="G1124" s="25">
        <f t="shared" si="15"/>
        <v>2.7146553752058322E-2</v>
      </c>
    </row>
    <row r="1125" spans="1:7">
      <c r="A1125" s="45">
        <v>105.04</v>
      </c>
      <c r="B1125" s="45">
        <v>106.04</v>
      </c>
      <c r="C1125" s="45">
        <v>104.34</v>
      </c>
      <c r="D1125" s="45">
        <v>105.16500000000001</v>
      </c>
      <c r="E1125" s="45">
        <v>34039906</v>
      </c>
      <c r="F1125" s="45" t="s">
        <v>1132</v>
      </c>
      <c r="G1125" s="25">
        <f t="shared" si="15"/>
        <v>-1.1886083773118283E-3</v>
      </c>
    </row>
    <row r="1126" spans="1:7">
      <c r="A1126" s="45">
        <v>104.68</v>
      </c>
      <c r="B1126" s="45">
        <v>107.2</v>
      </c>
      <c r="C1126" s="45">
        <v>104.02200000000001</v>
      </c>
      <c r="D1126" s="45">
        <v>104.62</v>
      </c>
      <c r="E1126" s="45">
        <v>31284389</v>
      </c>
      <c r="F1126" s="45" t="s">
        <v>1133</v>
      </c>
      <c r="G1126" s="25">
        <f t="shared" si="15"/>
        <v>5.7350411011292124E-4</v>
      </c>
    </row>
    <row r="1127" spans="1:7">
      <c r="A1127" s="45">
        <v>105.06</v>
      </c>
      <c r="B1127" s="45">
        <v>107.28</v>
      </c>
      <c r="C1127" s="45">
        <v>104.89</v>
      </c>
      <c r="D1127" s="45">
        <v>106.55</v>
      </c>
      <c r="E1127" s="45">
        <v>30623047</v>
      </c>
      <c r="F1127" s="45" t="s">
        <v>1134</v>
      </c>
      <c r="G1127" s="25">
        <f t="shared" si="15"/>
        <v>-1.3984045049272642E-2</v>
      </c>
    </row>
    <row r="1128" spans="1:7">
      <c r="A1128" s="45">
        <v>106.45</v>
      </c>
      <c r="B1128" s="45">
        <v>107.95</v>
      </c>
      <c r="C1128" s="45">
        <v>104.46</v>
      </c>
      <c r="D1128" s="45">
        <v>104.6</v>
      </c>
      <c r="E1128" s="45">
        <v>41543109</v>
      </c>
      <c r="F1128" s="45" t="s">
        <v>1135</v>
      </c>
      <c r="G1128" s="25">
        <f t="shared" si="15"/>
        <v>1.7686424474187445E-2</v>
      </c>
    </row>
    <row r="1129" spans="1:7">
      <c r="A1129" s="45">
        <v>103.64</v>
      </c>
      <c r="B1129" s="45">
        <v>103.72</v>
      </c>
      <c r="C1129" s="45">
        <v>100.35</v>
      </c>
      <c r="D1129" s="45">
        <v>100.44499999999999</v>
      </c>
      <c r="E1129" s="45">
        <v>39071703</v>
      </c>
      <c r="F1129" s="45" t="s">
        <v>1136</v>
      </c>
      <c r="G1129" s="25">
        <f t="shared" si="15"/>
        <v>3.1808452386878461E-2</v>
      </c>
    </row>
    <row r="1130" spans="1:7">
      <c r="A1130" s="45">
        <v>101.81</v>
      </c>
      <c r="B1130" s="45">
        <v>102.8699</v>
      </c>
      <c r="C1130" s="45">
        <v>100.6101</v>
      </c>
      <c r="D1130" s="45">
        <v>100.92</v>
      </c>
      <c r="E1130" s="45">
        <v>31455249</v>
      </c>
      <c r="F1130" s="45" t="s">
        <v>1137</v>
      </c>
      <c r="G1130" s="25">
        <f t="shared" si="15"/>
        <v>8.8188664288546548E-3</v>
      </c>
    </row>
    <row r="1131" spans="1:7">
      <c r="A1131" s="45">
        <v>100.34</v>
      </c>
      <c r="B1131" s="45">
        <v>101.85</v>
      </c>
      <c r="C1131" s="45">
        <v>99.82</v>
      </c>
      <c r="D1131" s="45">
        <v>101.742</v>
      </c>
      <c r="E1131" s="45">
        <v>41967149</v>
      </c>
      <c r="F1131" s="45" t="s">
        <v>1138</v>
      </c>
      <c r="G1131" s="25">
        <f t="shared" si="15"/>
        <v>-1.3779953214994811E-2</v>
      </c>
    </row>
    <row r="1132" spans="1:7">
      <c r="A1132" s="45">
        <v>102.45</v>
      </c>
      <c r="B1132" s="45">
        <v>103</v>
      </c>
      <c r="C1132" s="45">
        <v>100.64</v>
      </c>
      <c r="D1132" s="45">
        <v>102.6</v>
      </c>
      <c r="E1132" s="45">
        <v>41491585</v>
      </c>
      <c r="F1132" s="45" t="s">
        <v>1139</v>
      </c>
      <c r="G1132" s="25">
        <f t="shared" si="15"/>
        <v>-1.4619883040934978E-3</v>
      </c>
    </row>
    <row r="1133" spans="1:7">
      <c r="A1133" s="45">
        <v>102.9</v>
      </c>
      <c r="B1133" s="45">
        <v>104.44</v>
      </c>
      <c r="C1133" s="45">
        <v>101.99</v>
      </c>
      <c r="D1133" s="45">
        <v>102.08</v>
      </c>
      <c r="E1133" s="45">
        <v>57636700</v>
      </c>
      <c r="F1133" s="45" t="s">
        <v>1140</v>
      </c>
      <c r="G1133" s="25">
        <f t="shared" si="15"/>
        <v>8.0329153605016579E-3</v>
      </c>
    </row>
    <row r="1134" spans="1:7">
      <c r="A1134" s="45">
        <v>100.35</v>
      </c>
      <c r="B1134" s="45">
        <v>102.66</v>
      </c>
      <c r="C1134" s="45">
        <v>99.81</v>
      </c>
      <c r="D1134" s="45">
        <v>102.295</v>
      </c>
      <c r="E1134" s="45">
        <v>52224721</v>
      </c>
      <c r="F1134" s="45" t="s">
        <v>1141</v>
      </c>
      <c r="G1134" s="25">
        <f t="shared" si="15"/>
        <v>-1.9013637030157904E-2</v>
      </c>
    </row>
    <row r="1135" spans="1:7">
      <c r="A1135" s="45">
        <v>101.52</v>
      </c>
      <c r="B1135" s="45">
        <v>107.65</v>
      </c>
      <c r="C1135" s="45">
        <v>101.42</v>
      </c>
      <c r="D1135" s="45">
        <v>106.83499999999999</v>
      </c>
      <c r="E1135" s="45">
        <v>74468968</v>
      </c>
      <c r="F1135" s="45" t="s">
        <v>1142</v>
      </c>
      <c r="G1135" s="25">
        <f t="shared" si="15"/>
        <v>-4.9749613890578859E-2</v>
      </c>
    </row>
    <row r="1136" spans="1:7">
      <c r="A1136" s="45">
        <v>108.16</v>
      </c>
      <c r="B1136" s="45">
        <v>108.44</v>
      </c>
      <c r="C1136" s="45">
        <v>103.44</v>
      </c>
      <c r="D1136" s="45">
        <v>105.065</v>
      </c>
      <c r="E1136" s="45">
        <v>51944349</v>
      </c>
      <c r="F1136" s="45" t="s">
        <v>1143</v>
      </c>
      <c r="G1136" s="25">
        <f t="shared" si="15"/>
        <v>2.9457954599533709E-2</v>
      </c>
    </row>
    <row r="1137" spans="1:7">
      <c r="A1137" s="45">
        <v>105.8</v>
      </c>
      <c r="B1137" s="45">
        <v>106.04989999999999</v>
      </c>
      <c r="C1137" s="45">
        <v>104.68</v>
      </c>
      <c r="D1137" s="45">
        <v>105.185</v>
      </c>
      <c r="E1137" s="45">
        <v>26482610</v>
      </c>
      <c r="F1137" s="45" t="s">
        <v>1144</v>
      </c>
      <c r="G1137" s="25">
        <f t="shared" si="15"/>
        <v>5.8468412796501834E-3</v>
      </c>
    </row>
    <row r="1138" spans="1:7">
      <c r="A1138" s="45">
        <v>106.15</v>
      </c>
      <c r="B1138" s="45">
        <v>106.86</v>
      </c>
      <c r="C1138" s="45">
        <v>103.89</v>
      </c>
      <c r="D1138" s="45">
        <v>104.89</v>
      </c>
      <c r="E1138" s="45">
        <v>32816657</v>
      </c>
      <c r="F1138" s="45" t="s">
        <v>1145</v>
      </c>
      <c r="G1138" s="25">
        <f t="shared" si="15"/>
        <v>1.2012584612451249E-2</v>
      </c>
    </row>
    <row r="1139" spans="1:7">
      <c r="A1139" s="45">
        <v>104.38</v>
      </c>
      <c r="B1139" s="45">
        <v>104.56</v>
      </c>
      <c r="C1139" s="45">
        <v>102.21</v>
      </c>
      <c r="D1139" s="45">
        <v>102.815</v>
      </c>
      <c r="E1139" s="45">
        <v>34126280</v>
      </c>
      <c r="F1139" s="45" t="s">
        <v>1146</v>
      </c>
      <c r="G1139" s="25">
        <f t="shared" si="15"/>
        <v>1.5221514370471256E-2</v>
      </c>
    </row>
    <row r="1140" spans="1:7">
      <c r="A1140" s="45">
        <v>102.82</v>
      </c>
      <c r="B1140" s="45">
        <v>103.4299</v>
      </c>
      <c r="C1140" s="45">
        <v>101.18</v>
      </c>
      <c r="D1140" s="45">
        <v>102.15</v>
      </c>
      <c r="E1140" s="45">
        <v>35481501</v>
      </c>
      <c r="F1140" s="45" t="s">
        <v>1147</v>
      </c>
      <c r="G1140" s="25">
        <f t="shared" si="15"/>
        <v>6.5589818893783125E-3</v>
      </c>
    </row>
    <row r="1141" spans="1:7">
      <c r="A1141" s="45">
        <v>101.55</v>
      </c>
      <c r="B1141" s="45">
        <v>102.51</v>
      </c>
      <c r="C1141" s="45">
        <v>99.51</v>
      </c>
      <c r="D1141" s="45">
        <v>101.58</v>
      </c>
      <c r="E1141" s="45">
        <v>45228411</v>
      </c>
      <c r="F1141" s="45" t="s">
        <v>1148</v>
      </c>
      <c r="G1141" s="25">
        <f t="shared" si="15"/>
        <v>-2.953337271116574E-4</v>
      </c>
    </row>
    <row r="1142" spans="1:7">
      <c r="A1142" s="45">
        <v>103.88</v>
      </c>
      <c r="B1142" s="45">
        <v>105.98</v>
      </c>
      <c r="C1142" s="45">
        <v>103.71</v>
      </c>
      <c r="D1142" s="45">
        <v>105.55500000000001</v>
      </c>
      <c r="E1142" s="45">
        <v>44528337</v>
      </c>
      <c r="F1142" s="45" t="s">
        <v>1149</v>
      </c>
      <c r="G1142" s="25">
        <f t="shared" ref="G1142:G1205" si="16">A1142/D1142-1</f>
        <v>-1.5868504571076802E-2</v>
      </c>
    </row>
    <row r="1143" spans="1:7">
      <c r="A1143" s="45">
        <v>106.22</v>
      </c>
      <c r="B1143" s="45">
        <v>106.75</v>
      </c>
      <c r="C1143" s="45">
        <v>103.76</v>
      </c>
      <c r="D1143" s="45">
        <v>104.91500000000001</v>
      </c>
      <c r="E1143" s="45">
        <v>38150269</v>
      </c>
      <c r="F1143" s="45" t="s">
        <v>1150</v>
      </c>
      <c r="G1143" s="25">
        <f t="shared" si="16"/>
        <v>1.2438640804460777E-2</v>
      </c>
    </row>
    <row r="1144" spans="1:7">
      <c r="A1144" s="45">
        <v>105.6</v>
      </c>
      <c r="B1144" s="45">
        <v>106.32</v>
      </c>
      <c r="C1144" s="45">
        <v>104.03</v>
      </c>
      <c r="D1144" s="45">
        <v>106</v>
      </c>
      <c r="E1144" s="45">
        <v>37998941</v>
      </c>
      <c r="F1144" s="45" t="s">
        <v>1151</v>
      </c>
      <c r="G1144" s="25">
        <f t="shared" si="16"/>
        <v>-3.7735849056603765E-3</v>
      </c>
    </row>
    <row r="1145" spans="1:7">
      <c r="A1145" s="45">
        <v>105.73</v>
      </c>
      <c r="B1145" s="45">
        <v>106.82</v>
      </c>
      <c r="C1145" s="45">
        <v>104.42</v>
      </c>
      <c r="D1145" s="45">
        <v>105.52</v>
      </c>
      <c r="E1145" s="45">
        <v>40629527</v>
      </c>
      <c r="F1145" s="45" t="s">
        <v>1152</v>
      </c>
      <c r="G1145" s="25">
        <f t="shared" si="16"/>
        <v>1.9901440485217137E-3</v>
      </c>
    </row>
    <row r="1146" spans="1:7">
      <c r="A1146" s="45">
        <v>104.8</v>
      </c>
      <c r="B1146" s="45">
        <v>105.28</v>
      </c>
      <c r="C1146" s="45">
        <v>102.63</v>
      </c>
      <c r="D1146" s="45">
        <v>105.26</v>
      </c>
      <c r="E1146" s="45">
        <v>37767787</v>
      </c>
      <c r="F1146" s="45" t="s">
        <v>1153</v>
      </c>
      <c r="G1146" s="25">
        <f t="shared" si="16"/>
        <v>-4.3701311039331392E-3</v>
      </c>
    </row>
    <row r="1147" spans="1:7">
      <c r="A1147" s="45">
        <v>105.2</v>
      </c>
      <c r="B1147" s="45">
        <v>106.9913</v>
      </c>
      <c r="C1147" s="45">
        <v>104.98</v>
      </c>
      <c r="D1147" s="45">
        <v>106.99</v>
      </c>
      <c r="E1147" s="45">
        <v>32602293</v>
      </c>
      <c r="F1147" s="45" t="s">
        <v>1154</v>
      </c>
      <c r="G1147" s="25">
        <f t="shared" si="16"/>
        <v>-1.6730535564071336E-2</v>
      </c>
    </row>
    <row r="1148" spans="1:7">
      <c r="A1148" s="45">
        <v>106.15</v>
      </c>
      <c r="B1148" s="45">
        <v>107.2953</v>
      </c>
      <c r="C1148" s="45">
        <v>105.84</v>
      </c>
      <c r="D1148" s="45">
        <v>106.56</v>
      </c>
      <c r="E1148" s="45">
        <v>31857873</v>
      </c>
      <c r="F1148" s="45" t="s">
        <v>1155</v>
      </c>
      <c r="G1148" s="25">
        <f t="shared" si="16"/>
        <v>-3.8475975975975629E-3</v>
      </c>
    </row>
    <row r="1149" spans="1:7">
      <c r="A1149" s="45">
        <v>106.17</v>
      </c>
      <c r="B1149" s="45">
        <v>109.3</v>
      </c>
      <c r="C1149" s="45">
        <v>105.52</v>
      </c>
      <c r="D1149" s="45">
        <v>108.88</v>
      </c>
      <c r="E1149" s="45">
        <v>43067911</v>
      </c>
      <c r="F1149" s="45" t="s">
        <v>1156</v>
      </c>
      <c r="G1149" s="25">
        <f t="shared" si="16"/>
        <v>-2.4889786921381329E-2</v>
      </c>
    </row>
    <row r="1150" spans="1:7">
      <c r="A1150" s="45">
        <v>109.15</v>
      </c>
      <c r="B1150" s="45">
        <v>110.58</v>
      </c>
      <c r="C1150" s="45">
        <v>108.66</v>
      </c>
      <c r="D1150" s="45">
        <v>109.955</v>
      </c>
      <c r="E1150" s="45">
        <v>28815232</v>
      </c>
      <c r="F1150" s="45" t="s">
        <v>1157</v>
      </c>
      <c r="G1150" s="25">
        <f t="shared" si="16"/>
        <v>-7.3211768450729409E-3</v>
      </c>
    </row>
    <row r="1151" spans="1:7">
      <c r="A1151" s="45">
        <v>109.92</v>
      </c>
      <c r="B1151" s="45">
        <v>111.17</v>
      </c>
      <c r="C1151" s="45">
        <v>108.5</v>
      </c>
      <c r="D1151" s="45">
        <v>108.85</v>
      </c>
      <c r="E1151" s="45">
        <v>42623780</v>
      </c>
      <c r="F1151" s="45" t="s">
        <v>1158</v>
      </c>
      <c r="G1151" s="25">
        <f t="shared" si="16"/>
        <v>9.8300413412955034E-3</v>
      </c>
    </row>
    <row r="1152" spans="1:7">
      <c r="A1152" s="45">
        <v>109.2</v>
      </c>
      <c r="B1152" s="45">
        <v>110.88</v>
      </c>
      <c r="C1152" s="45">
        <v>108.77</v>
      </c>
      <c r="D1152" s="45">
        <v>110.32</v>
      </c>
      <c r="E1152" s="45">
        <v>40108763</v>
      </c>
      <c r="F1152" s="45" t="s">
        <v>1159</v>
      </c>
      <c r="G1152" s="25">
        <f t="shared" si="16"/>
        <v>-1.015228426395931E-2</v>
      </c>
    </row>
    <row r="1153" spans="1:7">
      <c r="A1153" s="45">
        <v>109.99</v>
      </c>
      <c r="B1153" s="45">
        <v>111.85</v>
      </c>
      <c r="C1153" s="45">
        <v>109.85</v>
      </c>
      <c r="D1153" s="45">
        <v>111.3</v>
      </c>
      <c r="E1153" s="45">
        <v>38579559</v>
      </c>
      <c r="F1153" s="45" t="s">
        <v>1160</v>
      </c>
      <c r="G1153" s="25">
        <f t="shared" si="16"/>
        <v>-1.1769991015274095E-2</v>
      </c>
    </row>
    <row r="1154" spans="1:7">
      <c r="A1154" s="45">
        <v>110.72</v>
      </c>
      <c r="B1154" s="45">
        <v>111.26</v>
      </c>
      <c r="C1154" s="45">
        <v>109.0343</v>
      </c>
      <c r="D1154" s="45">
        <v>111.26</v>
      </c>
      <c r="E1154" s="45">
        <v>49338955</v>
      </c>
      <c r="F1154" s="45" t="s">
        <v>1161</v>
      </c>
      <c r="G1154" s="25">
        <f t="shared" si="16"/>
        <v>-4.8534963149380328E-3</v>
      </c>
    </row>
    <row r="1155" spans="1:7">
      <c r="A1155" s="45">
        <v>111.32</v>
      </c>
      <c r="B1155" s="45">
        <v>114.48990000000001</v>
      </c>
      <c r="C1155" s="45">
        <v>111.26</v>
      </c>
      <c r="D1155" s="45">
        <v>112.61</v>
      </c>
      <c r="E1155" s="45">
        <v>56130467</v>
      </c>
      <c r="F1155" s="45" t="s">
        <v>1162</v>
      </c>
      <c r="G1155" s="25">
        <f t="shared" si="16"/>
        <v>-1.1455465766805895E-2</v>
      </c>
    </row>
    <row r="1156" spans="1:7">
      <c r="A1156" s="45">
        <v>111.4</v>
      </c>
      <c r="B1156" s="45">
        <v>111.78</v>
      </c>
      <c r="C1156" s="45">
        <v>107.8</v>
      </c>
      <c r="D1156" s="45">
        <v>108.01</v>
      </c>
      <c r="E1156" s="45">
        <v>61030014</v>
      </c>
      <c r="F1156" s="45" t="s">
        <v>1163</v>
      </c>
      <c r="G1156" s="25">
        <f t="shared" si="16"/>
        <v>3.1385982779372323E-2</v>
      </c>
    </row>
    <row r="1157" spans="1:7">
      <c r="A1157" s="45">
        <v>107.27</v>
      </c>
      <c r="B1157" s="45">
        <v>109.2299</v>
      </c>
      <c r="C1157" s="45">
        <v>106.84</v>
      </c>
      <c r="D1157" s="45">
        <v>108.57</v>
      </c>
      <c r="E1157" s="45">
        <v>51442548</v>
      </c>
      <c r="F1157" s="45" t="s">
        <v>1164</v>
      </c>
      <c r="G1157" s="25">
        <f t="shared" si="16"/>
        <v>-1.1973841761075743E-2</v>
      </c>
    </row>
    <row r="1158" spans="1:7">
      <c r="A1158" s="45">
        <v>108.3</v>
      </c>
      <c r="B1158" s="45">
        <v>109.91</v>
      </c>
      <c r="C1158" s="45">
        <v>107.45</v>
      </c>
      <c r="D1158" s="45">
        <v>108.13</v>
      </c>
      <c r="E1158" s="45">
        <v>45485504</v>
      </c>
      <c r="F1158" s="45" t="s">
        <v>1165</v>
      </c>
      <c r="G1158" s="25">
        <f t="shared" si="16"/>
        <v>1.5721816332192606E-3</v>
      </c>
    </row>
    <row r="1159" spans="1:7">
      <c r="A1159" s="45">
        <v>107.65</v>
      </c>
      <c r="B1159" s="45">
        <v>109.61</v>
      </c>
      <c r="C1159" s="45">
        <v>107.28</v>
      </c>
      <c r="D1159" s="45">
        <v>109.45</v>
      </c>
      <c r="E1159" s="45">
        <v>51239297</v>
      </c>
      <c r="F1159" s="45" t="s">
        <v>1166</v>
      </c>
      <c r="G1159" s="25">
        <f t="shared" si="16"/>
        <v>-1.6445865692096828E-2</v>
      </c>
    </row>
    <row r="1160" spans="1:7">
      <c r="A1160" s="45">
        <v>108.77</v>
      </c>
      <c r="B1160" s="45">
        <v>109.02</v>
      </c>
      <c r="C1160" s="45">
        <v>104.86</v>
      </c>
      <c r="D1160" s="45">
        <v>105.295</v>
      </c>
      <c r="E1160" s="45">
        <v>68835281</v>
      </c>
      <c r="F1160" s="45" t="s">
        <v>1167</v>
      </c>
      <c r="G1160" s="25">
        <f t="shared" si="16"/>
        <v>3.3002516738686483E-2</v>
      </c>
    </row>
    <row r="1161" spans="1:7">
      <c r="A1161" s="45">
        <v>104.65</v>
      </c>
      <c r="B1161" s="45">
        <v>105.98</v>
      </c>
      <c r="C1161" s="45">
        <v>103.99</v>
      </c>
      <c r="D1161" s="45">
        <v>104.32</v>
      </c>
      <c r="E1161" s="45">
        <v>55227562</v>
      </c>
      <c r="F1161" s="45" t="s">
        <v>1168</v>
      </c>
      <c r="G1161" s="25">
        <f t="shared" si="16"/>
        <v>3.1633435582822944E-3</v>
      </c>
    </row>
    <row r="1162" spans="1:7">
      <c r="A1162" s="45">
        <v>103.7</v>
      </c>
      <c r="B1162" s="45">
        <v>106.18</v>
      </c>
      <c r="C1162" s="45">
        <v>101.97499999999999</v>
      </c>
      <c r="D1162" s="45">
        <v>103.315</v>
      </c>
      <c r="E1162" s="45">
        <v>71117494</v>
      </c>
      <c r="F1162" s="45" t="s">
        <v>1169</v>
      </c>
      <c r="G1162" s="25">
        <f t="shared" si="16"/>
        <v>3.726467599090233E-3</v>
      </c>
    </row>
    <row r="1163" spans="1:7">
      <c r="A1163" s="45">
        <v>103.44</v>
      </c>
      <c r="B1163" s="45">
        <v>108.07</v>
      </c>
      <c r="C1163" s="45">
        <v>103.27</v>
      </c>
      <c r="D1163" s="45">
        <v>107.35</v>
      </c>
      <c r="E1163" s="45">
        <v>79387943</v>
      </c>
      <c r="F1163" s="45" t="s">
        <v>1170</v>
      </c>
      <c r="G1163" s="25">
        <f t="shared" si="16"/>
        <v>-3.642291569632039E-2</v>
      </c>
    </row>
    <row r="1164" spans="1:7">
      <c r="A1164" s="45">
        <v>107.56</v>
      </c>
      <c r="B1164" s="45">
        <v>108.7</v>
      </c>
      <c r="C1164" s="45">
        <v>105.35</v>
      </c>
      <c r="D1164" s="45">
        <v>106.6435</v>
      </c>
      <c r="E1164" s="45">
        <v>74053905</v>
      </c>
      <c r="F1164" s="45" t="s">
        <v>1171</v>
      </c>
      <c r="G1164" s="25">
        <f t="shared" si="16"/>
        <v>8.5940540211077998E-3</v>
      </c>
    </row>
    <row r="1165" spans="1:7">
      <c r="A1165" s="45">
        <v>107.48</v>
      </c>
      <c r="B1165" s="45">
        <v>111.58</v>
      </c>
      <c r="C1165" s="45">
        <v>105.86499999999999</v>
      </c>
      <c r="D1165" s="45">
        <v>110.2</v>
      </c>
      <c r="E1165" s="45">
        <v>73398938</v>
      </c>
      <c r="F1165" s="45" t="s">
        <v>1172</v>
      </c>
      <c r="G1165" s="25">
        <f t="shared" si="16"/>
        <v>-2.4682395644283095E-2</v>
      </c>
    </row>
    <row r="1166" spans="1:7">
      <c r="A1166" s="45">
        <v>110.55</v>
      </c>
      <c r="B1166" s="45">
        <v>111.71</v>
      </c>
      <c r="C1166" s="45">
        <v>106.57</v>
      </c>
      <c r="D1166" s="45">
        <v>107.17</v>
      </c>
      <c r="E1166" s="45">
        <v>100135745</v>
      </c>
      <c r="F1166" s="45" t="s">
        <v>1173</v>
      </c>
      <c r="G1166" s="25">
        <f t="shared" si="16"/>
        <v>3.1538676868526627E-2</v>
      </c>
    </row>
    <row r="1167" spans="1:7">
      <c r="A1167" s="45">
        <v>106.5</v>
      </c>
      <c r="B1167" s="45">
        <v>108.44</v>
      </c>
      <c r="C1167" s="45">
        <v>105.86</v>
      </c>
      <c r="D1167" s="45">
        <v>107.39</v>
      </c>
      <c r="E1167" s="45">
        <v>60625725</v>
      </c>
      <c r="F1167" s="45" t="s">
        <v>1174</v>
      </c>
      <c r="G1167" s="25">
        <f t="shared" si="16"/>
        <v>-8.2875500512151756E-3</v>
      </c>
    </row>
    <row r="1168" spans="1:7">
      <c r="A1168" s="45">
        <v>107.68</v>
      </c>
      <c r="B1168" s="45">
        <v>109.79</v>
      </c>
      <c r="C1168" s="45">
        <v>105.62</v>
      </c>
      <c r="D1168" s="45">
        <v>107.6</v>
      </c>
      <c r="E1168" s="45">
        <v>91788289</v>
      </c>
      <c r="F1168" s="45" t="s">
        <v>1175</v>
      </c>
      <c r="G1168" s="25">
        <f t="shared" si="16"/>
        <v>7.4349442379184616E-4</v>
      </c>
    </row>
    <row r="1169" spans="1:7">
      <c r="A1169" s="45">
        <v>106.48</v>
      </c>
      <c r="B1169" s="45">
        <v>109.17</v>
      </c>
      <c r="C1169" s="45">
        <v>104.36</v>
      </c>
      <c r="D1169" s="45">
        <v>107.895</v>
      </c>
      <c r="E1169" s="45">
        <v>113012297</v>
      </c>
      <c r="F1169" s="45" t="s">
        <v>1176</v>
      </c>
      <c r="G1169" s="25">
        <f t="shared" si="16"/>
        <v>-1.3114602159506883E-2</v>
      </c>
    </row>
    <row r="1170" spans="1:7">
      <c r="A1170" s="45">
        <v>107.58</v>
      </c>
      <c r="B1170" s="45">
        <v>112.33</v>
      </c>
      <c r="C1170" s="45">
        <v>107.06</v>
      </c>
      <c r="D1170" s="45">
        <v>111.31</v>
      </c>
      <c r="E1170" s="45">
        <v>115749943</v>
      </c>
      <c r="F1170" s="45" t="s">
        <v>1177</v>
      </c>
      <c r="G1170" s="25">
        <f t="shared" si="16"/>
        <v>-3.3510017069445674E-2</v>
      </c>
    </row>
    <row r="1171" spans="1:7">
      <c r="A1171" s="45">
        <v>110.11</v>
      </c>
      <c r="B1171" s="45">
        <v>116.2599</v>
      </c>
      <c r="C1171" s="45">
        <v>109.7</v>
      </c>
      <c r="D1171" s="45">
        <v>110.55</v>
      </c>
      <c r="E1171" s="45">
        <v>143899026</v>
      </c>
      <c r="F1171" s="45" t="s">
        <v>1178</v>
      </c>
      <c r="G1171" s="25">
        <f t="shared" si="16"/>
        <v>-3.9800995024875663E-3</v>
      </c>
    </row>
    <row r="1172" spans="1:7">
      <c r="A1172" s="45">
        <v>112.35</v>
      </c>
      <c r="B1172" s="45">
        <v>117.68</v>
      </c>
      <c r="C1172" s="45">
        <v>111.59</v>
      </c>
      <c r="D1172" s="45">
        <v>116.63</v>
      </c>
      <c r="E1172" s="45">
        <v>137860865</v>
      </c>
      <c r="F1172" s="45" t="s">
        <v>1179</v>
      </c>
      <c r="G1172" s="25">
        <f t="shared" si="16"/>
        <v>-3.669724770642202E-2</v>
      </c>
    </row>
    <row r="1173" spans="1:7">
      <c r="A1173" s="45">
        <v>118.77</v>
      </c>
      <c r="B1173" s="45">
        <v>122.49</v>
      </c>
      <c r="C1173" s="45">
        <v>114.16</v>
      </c>
      <c r="D1173" s="45">
        <v>114.36</v>
      </c>
      <c r="E1173" s="45">
        <v>225368699</v>
      </c>
      <c r="F1173" s="45" t="s">
        <v>1180</v>
      </c>
      <c r="G1173" s="25">
        <f t="shared" si="16"/>
        <v>3.8562434417628522E-2</v>
      </c>
    </row>
    <row r="1174" spans="1:7">
      <c r="A1174" s="45">
        <v>112.56</v>
      </c>
      <c r="B1174" s="45">
        <v>114.85</v>
      </c>
      <c r="C1174" s="45">
        <v>107.66</v>
      </c>
      <c r="D1174" s="45">
        <v>108.15</v>
      </c>
      <c r="E1174" s="45">
        <v>157723142</v>
      </c>
      <c r="F1174" s="45" t="s">
        <v>1181</v>
      </c>
      <c r="G1174" s="25">
        <f t="shared" si="16"/>
        <v>4.0776699029126284E-2</v>
      </c>
    </row>
    <row r="1175" spans="1:7">
      <c r="A1175" s="45">
        <v>108.63</v>
      </c>
      <c r="B1175" s="45">
        <v>110.33</v>
      </c>
      <c r="C1175" s="45">
        <v>103.83</v>
      </c>
      <c r="D1175" s="45">
        <v>105.93</v>
      </c>
      <c r="E1175" s="45">
        <v>115581854</v>
      </c>
      <c r="F1175" s="45" t="s">
        <v>1182</v>
      </c>
      <c r="G1175" s="25">
        <f t="shared" si="16"/>
        <v>2.5488530161427159E-2</v>
      </c>
    </row>
    <row r="1176" spans="1:7">
      <c r="A1176" s="45">
        <v>106.19</v>
      </c>
      <c r="B1176" s="45">
        <v>106.97</v>
      </c>
      <c r="C1176" s="45">
        <v>101.38</v>
      </c>
      <c r="D1176" s="45">
        <v>101.6</v>
      </c>
      <c r="E1176" s="45">
        <v>125632018</v>
      </c>
      <c r="F1176" s="45" t="s">
        <v>1183</v>
      </c>
      <c r="G1176" s="25">
        <f t="shared" si="16"/>
        <v>4.5177165354330695E-2</v>
      </c>
    </row>
    <row r="1177" spans="1:7">
      <c r="A1177" s="45">
        <v>102.95</v>
      </c>
      <c r="B1177" s="45">
        <v>105.74</v>
      </c>
      <c r="C1177" s="45">
        <v>96.58</v>
      </c>
      <c r="D1177" s="45">
        <v>96.58</v>
      </c>
      <c r="E1177" s="45">
        <v>164091761</v>
      </c>
      <c r="F1177" s="45" t="s">
        <v>1184</v>
      </c>
      <c r="G1177" s="25">
        <f t="shared" si="16"/>
        <v>6.5955684406709514E-2</v>
      </c>
    </row>
    <row r="1178" spans="1:7">
      <c r="A1178" s="45">
        <v>97.93</v>
      </c>
      <c r="B1178" s="45">
        <v>98.71</v>
      </c>
      <c r="C1178" s="45">
        <v>89.65</v>
      </c>
      <c r="D1178" s="45">
        <v>93.44</v>
      </c>
      <c r="E1178" s="45">
        <v>140561028</v>
      </c>
      <c r="F1178" s="45" t="s">
        <v>1185</v>
      </c>
      <c r="G1178" s="25">
        <f t="shared" si="16"/>
        <v>4.8052226027397449E-2</v>
      </c>
    </row>
    <row r="1179" spans="1:7">
      <c r="A1179" s="45">
        <v>91.03</v>
      </c>
      <c r="B1179" s="45">
        <v>94.1</v>
      </c>
      <c r="C1179" s="45">
        <v>89.1</v>
      </c>
      <c r="D1179" s="45">
        <v>92.94</v>
      </c>
      <c r="E1179" s="45">
        <v>69427021</v>
      </c>
      <c r="F1179" s="45" t="s">
        <v>1186</v>
      </c>
      <c r="G1179" s="25">
        <f t="shared" si="16"/>
        <v>-2.055089304927904E-2</v>
      </c>
    </row>
    <row r="1180" spans="1:7">
      <c r="A1180" s="45">
        <v>91.82</v>
      </c>
      <c r="B1180" s="45">
        <v>92.75</v>
      </c>
      <c r="C1180" s="45">
        <v>91.12</v>
      </c>
      <c r="D1180" s="45">
        <v>92.01</v>
      </c>
      <c r="E1180" s="45">
        <v>27668459</v>
      </c>
      <c r="F1180" s="45" t="s">
        <v>1187</v>
      </c>
      <c r="G1180" s="25">
        <f t="shared" si="16"/>
        <v>-2.0649929355506247E-3</v>
      </c>
    </row>
    <row r="1181" spans="1:7">
      <c r="A1181" s="45">
        <v>92.15</v>
      </c>
      <c r="B1181" s="45">
        <v>92.37</v>
      </c>
      <c r="C1181" s="45">
        <v>90.19</v>
      </c>
      <c r="D1181" s="45">
        <v>91.348399999999998</v>
      </c>
      <c r="E1181" s="45">
        <v>31708899</v>
      </c>
      <c r="F1181" s="45" t="s">
        <v>1188</v>
      </c>
      <c r="G1181" s="25">
        <f t="shared" si="16"/>
        <v>8.7751947488954318E-3</v>
      </c>
    </row>
    <row r="1182" spans="1:7">
      <c r="A1182" s="45">
        <v>91.21</v>
      </c>
      <c r="B1182" s="45">
        <v>91.36</v>
      </c>
      <c r="C1182" s="45">
        <v>89.08</v>
      </c>
      <c r="D1182" s="45">
        <v>89.4</v>
      </c>
      <c r="E1182" s="45">
        <v>33730078</v>
      </c>
      <c r="F1182" s="45" t="s">
        <v>1189</v>
      </c>
      <c r="G1182" s="25">
        <f t="shared" si="16"/>
        <v>2.0246085011185633E-2</v>
      </c>
    </row>
    <row r="1183" spans="1:7">
      <c r="A1183" s="45">
        <v>89.41</v>
      </c>
      <c r="B1183" s="45">
        <v>89.49</v>
      </c>
      <c r="C1183" s="45">
        <v>86.9</v>
      </c>
      <c r="D1183" s="45">
        <v>87.25</v>
      </c>
      <c r="E1183" s="45">
        <v>29469864</v>
      </c>
      <c r="F1183" s="45" t="s">
        <v>1190</v>
      </c>
      <c r="G1183" s="25">
        <f t="shared" si="16"/>
        <v>2.4756446991403891E-2</v>
      </c>
    </row>
    <row r="1184" spans="1:7">
      <c r="A1184" s="45">
        <v>87.11</v>
      </c>
      <c r="B1184" s="45">
        <v>87.77</v>
      </c>
      <c r="C1184" s="45">
        <v>85.165000000000006</v>
      </c>
      <c r="D1184" s="45">
        <v>87.09</v>
      </c>
      <c r="E1184" s="45">
        <v>28088956</v>
      </c>
      <c r="F1184" s="45" t="s">
        <v>1191</v>
      </c>
      <c r="G1184" s="25">
        <f t="shared" si="16"/>
        <v>2.2964749110121474E-4</v>
      </c>
    </row>
    <row r="1185" spans="1:7">
      <c r="A1185" s="45">
        <v>86.58</v>
      </c>
      <c r="B1185" s="45">
        <v>87.229399999999998</v>
      </c>
      <c r="C1185" s="45">
        <v>84.24</v>
      </c>
      <c r="D1185" s="45">
        <v>84.99</v>
      </c>
      <c r="E1185" s="45">
        <v>39244796</v>
      </c>
      <c r="F1185" s="45" t="s">
        <v>1192</v>
      </c>
      <c r="G1185" s="25">
        <f t="shared" si="16"/>
        <v>1.8708083303918155E-2</v>
      </c>
    </row>
    <row r="1186" spans="1:7">
      <c r="A1186" s="45">
        <v>85.89</v>
      </c>
      <c r="B1186" s="45">
        <v>88.03</v>
      </c>
      <c r="C1186" s="45">
        <v>85.68</v>
      </c>
      <c r="D1186" s="45">
        <v>87.32</v>
      </c>
      <c r="E1186" s="45">
        <v>35860740</v>
      </c>
      <c r="F1186" s="45" t="s">
        <v>1193</v>
      </c>
      <c r="G1186" s="25">
        <f t="shared" si="16"/>
        <v>-1.6376546037562889E-2</v>
      </c>
    </row>
    <row r="1187" spans="1:7">
      <c r="A1187" s="45">
        <v>86.93</v>
      </c>
      <c r="B1187" s="45">
        <v>89.78</v>
      </c>
      <c r="C1187" s="45">
        <v>86.180099999999996</v>
      </c>
      <c r="D1187" s="45">
        <v>89.78</v>
      </c>
      <c r="E1187" s="45">
        <v>38944741</v>
      </c>
      <c r="F1187" s="45" t="s">
        <v>1194</v>
      </c>
      <c r="G1187" s="25">
        <f t="shared" si="16"/>
        <v>-3.1744263755847602E-2</v>
      </c>
    </row>
    <row r="1188" spans="1:7">
      <c r="A1188" s="45">
        <v>89.05</v>
      </c>
      <c r="B1188" s="45">
        <v>91.394999999999996</v>
      </c>
      <c r="C1188" s="45">
        <v>88.94</v>
      </c>
      <c r="D1188" s="45">
        <v>90.76</v>
      </c>
      <c r="E1188" s="45">
        <v>28108505</v>
      </c>
      <c r="F1188" s="45" t="s">
        <v>1195</v>
      </c>
      <c r="G1188" s="25">
        <f t="shared" si="16"/>
        <v>-1.8840899074482276E-2</v>
      </c>
    </row>
    <row r="1189" spans="1:7">
      <c r="A1189" s="45">
        <v>90.26</v>
      </c>
      <c r="B1189" s="45">
        <v>91.41</v>
      </c>
      <c r="C1189" s="45">
        <v>89.829899999999995</v>
      </c>
      <c r="D1189" s="45">
        <v>90.48</v>
      </c>
      <c r="E1189" s="45">
        <v>30367595</v>
      </c>
      <c r="F1189" s="45" t="s">
        <v>1196</v>
      </c>
      <c r="G1189" s="25">
        <f t="shared" si="16"/>
        <v>-2.4314765694075646E-3</v>
      </c>
    </row>
    <row r="1190" spans="1:7">
      <c r="A1190" s="45">
        <v>90.81</v>
      </c>
      <c r="B1190" s="45">
        <v>91.9</v>
      </c>
      <c r="C1190" s="45">
        <v>89.65</v>
      </c>
      <c r="D1190" s="45">
        <v>91.22</v>
      </c>
      <c r="E1190" s="45">
        <v>28526559</v>
      </c>
      <c r="F1190" s="45" t="s">
        <v>1197</v>
      </c>
      <c r="G1190" s="25">
        <f t="shared" si="16"/>
        <v>-4.4946283709712542E-3</v>
      </c>
    </row>
    <row r="1191" spans="1:7">
      <c r="A1191" s="45">
        <v>90.9</v>
      </c>
      <c r="B1191" s="45">
        <v>91.26</v>
      </c>
      <c r="C1191" s="45">
        <v>88.53</v>
      </c>
      <c r="D1191" s="45">
        <v>90.04</v>
      </c>
      <c r="E1191" s="45">
        <v>35278416</v>
      </c>
      <c r="F1191" s="45" t="s">
        <v>1198</v>
      </c>
      <c r="G1191" s="25">
        <f t="shared" si="16"/>
        <v>9.551310528653989E-3</v>
      </c>
    </row>
    <row r="1192" spans="1:7">
      <c r="A1192" s="45">
        <v>89.74</v>
      </c>
      <c r="B1192" s="45">
        <v>90.3399</v>
      </c>
      <c r="C1192" s="45">
        <v>87.45</v>
      </c>
      <c r="D1192" s="45">
        <v>87.86</v>
      </c>
      <c r="E1192" s="45">
        <v>45673454</v>
      </c>
      <c r="F1192" s="45" t="s">
        <v>1199</v>
      </c>
      <c r="G1192" s="25">
        <f t="shared" si="16"/>
        <v>2.139767812428861E-2</v>
      </c>
    </row>
    <row r="1193" spans="1:7">
      <c r="A1193" s="45">
        <v>90.54</v>
      </c>
      <c r="B1193" s="45">
        <v>95.44</v>
      </c>
      <c r="C1193" s="45">
        <v>90.31</v>
      </c>
      <c r="D1193" s="45">
        <v>95.02</v>
      </c>
      <c r="E1193" s="45">
        <v>51498481</v>
      </c>
      <c r="F1193" s="45" t="s">
        <v>1200</v>
      </c>
      <c r="G1193" s="25">
        <f t="shared" si="16"/>
        <v>-4.7147968848663346E-2</v>
      </c>
    </row>
    <row r="1194" spans="1:7">
      <c r="A1194" s="45">
        <v>94.47</v>
      </c>
      <c r="B1194" s="45">
        <v>95.41</v>
      </c>
      <c r="C1194" s="45">
        <v>93.32</v>
      </c>
      <c r="D1194" s="45">
        <v>94.875</v>
      </c>
      <c r="E1194" s="45">
        <v>44930119</v>
      </c>
      <c r="F1194" s="45" t="s">
        <v>1201</v>
      </c>
      <c r="G1194" s="25">
        <f t="shared" si="16"/>
        <v>-4.2687747035573542E-3</v>
      </c>
    </row>
    <row r="1195" spans="1:7">
      <c r="A1195" s="45">
        <v>94.7</v>
      </c>
      <c r="B1195" s="45">
        <v>95.27</v>
      </c>
      <c r="C1195" s="45">
        <v>92.204999999999998</v>
      </c>
      <c r="D1195" s="45">
        <v>93.28</v>
      </c>
      <c r="E1195" s="45">
        <v>51342975</v>
      </c>
      <c r="F1195" s="45" t="s">
        <v>1202</v>
      </c>
      <c r="G1195" s="25">
        <f t="shared" si="16"/>
        <v>1.5222984562607289E-2</v>
      </c>
    </row>
    <row r="1196" spans="1:7">
      <c r="A1196" s="45">
        <v>93.31</v>
      </c>
      <c r="B1196" s="45">
        <v>94.174999999999997</v>
      </c>
      <c r="C1196" s="45">
        <v>91.7</v>
      </c>
      <c r="D1196" s="45">
        <v>94.04</v>
      </c>
      <c r="E1196" s="45">
        <v>58059019</v>
      </c>
      <c r="F1196" s="45" t="s">
        <v>1203</v>
      </c>
      <c r="G1196" s="25">
        <f t="shared" si="16"/>
        <v>-7.7626541897065637E-3</v>
      </c>
    </row>
    <row r="1197" spans="1:7">
      <c r="A1197" s="45">
        <v>93.93</v>
      </c>
      <c r="B1197" s="45">
        <v>94.334999999999994</v>
      </c>
      <c r="C1197" s="45">
        <v>90.6</v>
      </c>
      <c r="D1197" s="45">
        <v>90.82</v>
      </c>
      <c r="E1197" s="45">
        <v>70721525</v>
      </c>
      <c r="F1197" s="45" t="s">
        <v>1204</v>
      </c>
      <c r="G1197" s="25">
        <f t="shared" si="16"/>
        <v>3.4243558687513831E-2</v>
      </c>
    </row>
    <row r="1198" spans="1:7">
      <c r="A1198" s="45">
        <v>89.52</v>
      </c>
      <c r="B1198" s="45">
        <v>90.3</v>
      </c>
      <c r="C1198" s="45">
        <v>86.66</v>
      </c>
      <c r="D1198" s="45">
        <v>87.41</v>
      </c>
      <c r="E1198" s="45">
        <v>46181000</v>
      </c>
      <c r="F1198" s="45" t="s">
        <v>1205</v>
      </c>
      <c r="G1198" s="25">
        <f t="shared" si="16"/>
        <v>2.4139114517789828E-2</v>
      </c>
    </row>
    <row r="1199" spans="1:7">
      <c r="A1199" s="45">
        <v>87.08</v>
      </c>
      <c r="B1199" s="45">
        <v>88</v>
      </c>
      <c r="C1199" s="45">
        <v>86.15</v>
      </c>
      <c r="D1199" s="45">
        <v>86.38</v>
      </c>
      <c r="E1199" s="45">
        <v>30262042</v>
      </c>
      <c r="F1199" s="45" t="s">
        <v>1206</v>
      </c>
      <c r="G1199" s="25">
        <f t="shared" si="16"/>
        <v>8.1037277147488762E-3</v>
      </c>
    </row>
    <row r="1200" spans="1:7">
      <c r="A1200" s="45">
        <v>85.62</v>
      </c>
      <c r="B1200" s="45">
        <v>86.36</v>
      </c>
      <c r="C1200" s="45">
        <v>85.1</v>
      </c>
      <c r="D1200" s="45">
        <v>86.34</v>
      </c>
      <c r="E1200" s="45">
        <v>27804535</v>
      </c>
      <c r="F1200" s="45" t="s">
        <v>1207</v>
      </c>
      <c r="G1200" s="25">
        <f t="shared" si="16"/>
        <v>-8.3391243919388458E-3</v>
      </c>
    </row>
    <row r="1201" spans="1:7">
      <c r="A1201" s="45">
        <v>86.1</v>
      </c>
      <c r="B1201" s="45">
        <v>87.139899999999997</v>
      </c>
      <c r="C1201" s="45">
        <v>84.364999999999995</v>
      </c>
      <c r="D1201" s="45">
        <v>84.39</v>
      </c>
      <c r="E1201" s="45">
        <v>42217665</v>
      </c>
      <c r="F1201" s="45" t="s">
        <v>1208</v>
      </c>
      <c r="G1201" s="25">
        <f t="shared" si="16"/>
        <v>2.0263064344116621E-2</v>
      </c>
    </row>
    <row r="1202" spans="1:7">
      <c r="A1202" s="45">
        <v>83.82</v>
      </c>
      <c r="B1202" s="45">
        <v>84.484999999999999</v>
      </c>
      <c r="C1202" s="45">
        <v>83.160300000000007</v>
      </c>
      <c r="D1202" s="45">
        <v>83.83</v>
      </c>
      <c r="E1202" s="45">
        <v>25992435</v>
      </c>
      <c r="F1202" s="45" t="s">
        <v>1209</v>
      </c>
      <c r="G1202" s="25">
        <f t="shared" si="16"/>
        <v>-1.1928903733748886E-4</v>
      </c>
    </row>
    <row r="1203" spans="1:7">
      <c r="A1203" s="45">
        <v>83.58</v>
      </c>
      <c r="B1203" s="45">
        <v>84.04</v>
      </c>
      <c r="C1203" s="45">
        <v>82.48</v>
      </c>
      <c r="D1203" s="45">
        <v>82.9</v>
      </c>
      <c r="E1203" s="45">
        <v>32107700</v>
      </c>
      <c r="F1203" s="45" t="s">
        <v>1210</v>
      </c>
      <c r="G1203" s="25">
        <f t="shared" si="16"/>
        <v>8.2026537997585969E-3</v>
      </c>
    </row>
    <row r="1204" spans="1:7">
      <c r="A1204" s="45">
        <v>82.59</v>
      </c>
      <c r="B1204" s="45">
        <v>84.19</v>
      </c>
      <c r="C1204" s="45">
        <v>82.21</v>
      </c>
      <c r="D1204" s="45">
        <v>83.49</v>
      </c>
      <c r="E1204" s="45">
        <v>44417112</v>
      </c>
      <c r="F1204" s="45" t="s">
        <v>1211</v>
      </c>
      <c r="G1204" s="25">
        <f t="shared" si="16"/>
        <v>-1.077973409989208E-2</v>
      </c>
    </row>
    <row r="1205" spans="1:7">
      <c r="A1205" s="45">
        <v>84.65</v>
      </c>
      <c r="B1205" s="45">
        <v>85.77</v>
      </c>
      <c r="C1205" s="45">
        <v>83.48</v>
      </c>
      <c r="D1205" s="45">
        <v>84.28</v>
      </c>
      <c r="E1205" s="45">
        <v>58736805</v>
      </c>
      <c r="F1205" s="45" t="s">
        <v>1212</v>
      </c>
      <c r="G1205" s="25">
        <f t="shared" si="16"/>
        <v>4.3901281442810802E-3</v>
      </c>
    </row>
    <row r="1206" spans="1:7">
      <c r="A1206" s="45">
        <v>84.56</v>
      </c>
      <c r="B1206" s="45">
        <v>85.37</v>
      </c>
      <c r="C1206" s="45">
        <v>80.569999999999993</v>
      </c>
      <c r="D1206" s="45">
        <v>80.77</v>
      </c>
      <c r="E1206" s="45">
        <v>77822823</v>
      </c>
      <c r="F1206" s="45" t="s">
        <v>1213</v>
      </c>
      <c r="G1206" s="25">
        <f t="shared" ref="G1206:G1269" si="17">A1206/D1206-1</f>
        <v>4.6923362634641697E-2</v>
      </c>
    </row>
    <row r="1207" spans="1:7">
      <c r="A1207" s="45">
        <v>80.11</v>
      </c>
      <c r="B1207" s="45">
        <v>81.45</v>
      </c>
      <c r="C1207" s="45">
        <v>78.959999999999994</v>
      </c>
      <c r="D1207" s="45">
        <v>80.75</v>
      </c>
      <c r="E1207" s="45">
        <v>29598309</v>
      </c>
      <c r="F1207" s="45" t="s">
        <v>1214</v>
      </c>
      <c r="G1207" s="25">
        <f t="shared" si="17"/>
        <v>-7.9256965944272117E-3</v>
      </c>
    </row>
    <row r="1208" spans="1:7">
      <c r="A1208" s="45">
        <v>80.47</v>
      </c>
      <c r="B1208" s="45">
        <v>81.680000000000007</v>
      </c>
      <c r="C1208" s="45">
        <v>80.224999999999994</v>
      </c>
      <c r="D1208" s="45">
        <v>81.59</v>
      </c>
      <c r="E1208" s="45">
        <v>26194342</v>
      </c>
      <c r="F1208" s="45" t="s">
        <v>1215</v>
      </c>
      <c r="G1208" s="25">
        <f t="shared" si="17"/>
        <v>-1.3727172447603908E-2</v>
      </c>
    </row>
    <row r="1209" spans="1:7">
      <c r="A1209" s="45">
        <v>81.55</v>
      </c>
      <c r="B1209" s="45">
        <v>81.55</v>
      </c>
      <c r="C1209" s="45">
        <v>80.2</v>
      </c>
      <c r="D1209" s="45">
        <v>81.510000000000005</v>
      </c>
      <c r="E1209" s="45">
        <v>27830243</v>
      </c>
      <c r="F1209" s="45" t="s">
        <v>1216</v>
      </c>
      <c r="G1209" s="25">
        <f t="shared" si="17"/>
        <v>4.9073733284243914E-4</v>
      </c>
    </row>
    <row r="1210" spans="1:7">
      <c r="A1210" s="45">
        <v>81.31</v>
      </c>
      <c r="B1210" s="45">
        <v>82.33</v>
      </c>
      <c r="C1210" s="45">
        <v>80.7</v>
      </c>
      <c r="D1210" s="45">
        <v>81.61</v>
      </c>
      <c r="E1210" s="45">
        <v>24310894</v>
      </c>
      <c r="F1210" s="45" t="s">
        <v>1217</v>
      </c>
      <c r="G1210" s="25">
        <f t="shared" si="17"/>
        <v>-3.6760200955764377E-3</v>
      </c>
    </row>
    <row r="1211" spans="1:7">
      <c r="A1211" s="45">
        <v>81.56</v>
      </c>
      <c r="B1211" s="45">
        <v>81.709999999999994</v>
      </c>
      <c r="C1211" s="45">
        <v>79.7</v>
      </c>
      <c r="D1211" s="45">
        <v>80.02</v>
      </c>
      <c r="E1211" s="45">
        <v>28606356</v>
      </c>
      <c r="F1211" s="45" t="s">
        <v>1218</v>
      </c>
      <c r="G1211" s="25">
        <f t="shared" si="17"/>
        <v>1.9245188702824434E-2</v>
      </c>
    </row>
    <row r="1212" spans="1:7">
      <c r="A1212" s="45">
        <v>79.959999999999994</v>
      </c>
      <c r="B1212" s="45">
        <v>81.677000000000007</v>
      </c>
      <c r="C1212" s="45">
        <v>79.8</v>
      </c>
      <c r="D1212" s="45">
        <v>81.09</v>
      </c>
      <c r="E1212" s="45">
        <v>28454646</v>
      </c>
      <c r="F1212" s="45" t="s">
        <v>1219</v>
      </c>
      <c r="G1212" s="25">
        <f t="shared" si="17"/>
        <v>-1.3935133801948552E-2</v>
      </c>
    </row>
    <row r="1213" spans="1:7">
      <c r="A1213" s="45">
        <v>80.89</v>
      </c>
      <c r="B1213" s="45">
        <v>82.644999999999996</v>
      </c>
      <c r="C1213" s="45">
        <v>80.45</v>
      </c>
      <c r="D1213" s="45">
        <v>81.87</v>
      </c>
      <c r="E1213" s="45">
        <v>26956625</v>
      </c>
      <c r="F1213" s="45" t="s">
        <v>1220</v>
      </c>
      <c r="G1213" s="25">
        <f t="shared" si="17"/>
        <v>-1.1970196653230736E-2</v>
      </c>
    </row>
    <row r="1214" spans="1:7">
      <c r="A1214" s="45">
        <v>81.349999999999994</v>
      </c>
      <c r="B1214" s="45">
        <v>81.680000000000007</v>
      </c>
      <c r="C1214" s="45">
        <v>80.38</v>
      </c>
      <c r="D1214" s="45">
        <v>81.400000000000006</v>
      </c>
      <c r="E1214" s="45">
        <v>29006782</v>
      </c>
      <c r="F1214" s="45" t="s">
        <v>1221</v>
      </c>
      <c r="G1214" s="25">
        <f t="shared" si="17"/>
        <v>-6.1425061425079974E-4</v>
      </c>
    </row>
    <row r="1215" spans="1:7">
      <c r="A1215" s="45">
        <v>81.58</v>
      </c>
      <c r="B1215" s="45">
        <v>82.19</v>
      </c>
      <c r="C1215" s="45">
        <v>80.81</v>
      </c>
      <c r="D1215" s="45">
        <v>80.92</v>
      </c>
      <c r="E1215" s="45">
        <v>26387799</v>
      </c>
      <c r="F1215" s="45" t="s">
        <v>1222</v>
      </c>
      <c r="G1215" s="25">
        <f t="shared" si="17"/>
        <v>8.1562036579336805E-3</v>
      </c>
    </row>
    <row r="1216" spans="1:7">
      <c r="A1216" s="45">
        <v>80.28</v>
      </c>
      <c r="B1216" s="45">
        <v>81.89</v>
      </c>
      <c r="C1216" s="45">
        <v>80.260000000000005</v>
      </c>
      <c r="D1216" s="45">
        <v>81.13</v>
      </c>
      <c r="E1216" s="45">
        <v>29811969</v>
      </c>
      <c r="F1216" s="45" t="s">
        <v>1223</v>
      </c>
      <c r="G1216" s="25">
        <f t="shared" si="17"/>
        <v>-1.0477012202637637E-2</v>
      </c>
    </row>
    <row r="1217" spans="1:7">
      <c r="A1217" s="45">
        <v>81.97</v>
      </c>
      <c r="B1217" s="45">
        <v>82.6</v>
      </c>
      <c r="C1217" s="45">
        <v>80.66</v>
      </c>
      <c r="D1217" s="45">
        <v>81</v>
      </c>
      <c r="E1217" s="45">
        <v>35203224</v>
      </c>
      <c r="F1217" s="45" t="s">
        <v>1224</v>
      </c>
      <c r="G1217" s="25">
        <f t="shared" si="17"/>
        <v>1.197530864197538E-2</v>
      </c>
    </row>
    <row r="1218" spans="1:7">
      <c r="A1218" s="45">
        <v>80.81</v>
      </c>
      <c r="B1218" s="45">
        <v>82.91</v>
      </c>
      <c r="C1218" s="45">
        <v>80.66</v>
      </c>
      <c r="D1218" s="45">
        <v>81.010000000000005</v>
      </c>
      <c r="E1218" s="45">
        <v>43433042</v>
      </c>
      <c r="F1218" s="45" t="s">
        <v>1225</v>
      </c>
      <c r="G1218" s="25">
        <f t="shared" si="17"/>
        <v>-2.4688310085174692E-3</v>
      </c>
    </row>
    <row r="1219" spans="1:7">
      <c r="A1219" s="45">
        <v>80.08</v>
      </c>
      <c r="B1219" s="45">
        <v>81.09</v>
      </c>
      <c r="C1219" s="45">
        <v>78.66</v>
      </c>
      <c r="D1219" s="45">
        <v>78.66</v>
      </c>
      <c r="E1219" s="45">
        <v>40952663</v>
      </c>
      <c r="F1219" s="45" t="s">
        <v>1226</v>
      </c>
      <c r="G1219" s="25">
        <f t="shared" si="17"/>
        <v>1.8052377320112001E-2</v>
      </c>
    </row>
    <row r="1220" spans="1:7">
      <c r="A1220" s="45">
        <v>78.42</v>
      </c>
      <c r="B1220" s="45">
        <v>78.430000000000007</v>
      </c>
      <c r="C1220" s="45">
        <v>77.47</v>
      </c>
      <c r="D1220" s="45">
        <v>78.11</v>
      </c>
      <c r="E1220" s="45">
        <v>35883219</v>
      </c>
      <c r="F1220" s="45" t="s">
        <v>1227</v>
      </c>
      <c r="G1220" s="25">
        <f t="shared" si="17"/>
        <v>3.96876200230456E-3</v>
      </c>
    </row>
    <row r="1221" spans="1:7">
      <c r="A1221" s="45">
        <v>78.34</v>
      </c>
      <c r="B1221" s="45">
        <v>78.59</v>
      </c>
      <c r="C1221" s="45">
        <v>77.59</v>
      </c>
      <c r="D1221" s="45">
        <v>77.83</v>
      </c>
      <c r="E1221" s="45">
        <v>30353997</v>
      </c>
      <c r="F1221" s="45" t="s">
        <v>1228</v>
      </c>
      <c r="G1221" s="25">
        <f t="shared" si="17"/>
        <v>6.5527431581653417E-3</v>
      </c>
    </row>
    <row r="1222" spans="1:7">
      <c r="A1222" s="45">
        <v>77.86</v>
      </c>
      <c r="B1222" s="45">
        <v>78.77</v>
      </c>
      <c r="C1222" s="45">
        <v>76.836500000000001</v>
      </c>
      <c r="D1222" s="45">
        <v>77.33</v>
      </c>
      <c r="E1222" s="45">
        <v>47353101</v>
      </c>
      <c r="F1222" s="45" t="s">
        <v>1229</v>
      </c>
      <c r="G1222" s="25">
        <f t="shared" si="17"/>
        <v>6.8537436958489018E-3</v>
      </c>
    </row>
    <row r="1223" spans="1:7">
      <c r="A1223" s="45">
        <v>77.44</v>
      </c>
      <c r="B1223" s="45">
        <v>78.010000000000005</v>
      </c>
      <c r="C1223" s="45">
        <v>76.8</v>
      </c>
      <c r="D1223" s="45">
        <v>77.260000000000005</v>
      </c>
      <c r="E1223" s="45">
        <v>33194287</v>
      </c>
      <c r="F1223" s="45" t="s">
        <v>1230</v>
      </c>
      <c r="G1223" s="25">
        <f t="shared" si="17"/>
        <v>2.3297954957286482E-3</v>
      </c>
    </row>
    <row r="1224" spans="1:7">
      <c r="A1224" s="45">
        <v>77.17</v>
      </c>
      <c r="B1224" s="45">
        <v>78.81</v>
      </c>
      <c r="C1224" s="45">
        <v>77.040000000000006</v>
      </c>
      <c r="D1224" s="45">
        <v>78.55</v>
      </c>
      <c r="E1224" s="45">
        <v>40201088</v>
      </c>
      <c r="F1224" s="45" t="s">
        <v>1231</v>
      </c>
      <c r="G1224" s="25">
        <f t="shared" si="17"/>
        <v>-1.7568427753023474E-2</v>
      </c>
    </row>
    <row r="1225" spans="1:7">
      <c r="A1225" s="45">
        <v>78.06</v>
      </c>
      <c r="B1225" s="45">
        <v>78.27</v>
      </c>
      <c r="C1225" s="45">
        <v>76.25</v>
      </c>
      <c r="D1225" s="45">
        <v>76.81</v>
      </c>
      <c r="E1225" s="45">
        <v>49135012</v>
      </c>
      <c r="F1225" s="45" t="s">
        <v>1232</v>
      </c>
      <c r="G1225" s="25">
        <f t="shared" si="17"/>
        <v>1.6273922666319551E-2</v>
      </c>
    </row>
    <row r="1226" spans="1:7">
      <c r="A1226" s="45">
        <v>76.23</v>
      </c>
      <c r="B1226" s="45">
        <v>76.97</v>
      </c>
      <c r="C1226" s="45">
        <v>72.760000000000005</v>
      </c>
      <c r="D1226" s="45">
        <v>73.16</v>
      </c>
      <c r="E1226" s="45">
        <v>73966162</v>
      </c>
      <c r="F1226" s="45" t="s">
        <v>1233</v>
      </c>
      <c r="G1226" s="25">
        <f t="shared" si="17"/>
        <v>4.1962821213778145E-2</v>
      </c>
    </row>
    <row r="1227" spans="1:7">
      <c r="A1227" s="45">
        <v>74.44</v>
      </c>
      <c r="B1227" s="45">
        <v>75.769900000000007</v>
      </c>
      <c r="C1227" s="45">
        <v>74.239999999999995</v>
      </c>
      <c r="D1227" s="45">
        <v>74.739999999999995</v>
      </c>
      <c r="E1227" s="45">
        <v>31982482</v>
      </c>
      <c r="F1227" s="45" t="s">
        <v>1234</v>
      </c>
      <c r="G1227" s="25">
        <f t="shared" si="17"/>
        <v>-4.0139149050040235E-3</v>
      </c>
    </row>
    <row r="1228" spans="1:7">
      <c r="A1228" s="45">
        <v>74.650000000000006</v>
      </c>
      <c r="B1228" s="45">
        <v>75.52</v>
      </c>
      <c r="C1228" s="45">
        <v>73.41</v>
      </c>
      <c r="D1228" s="45">
        <v>74.215000000000003</v>
      </c>
      <c r="E1228" s="45">
        <v>40779244</v>
      </c>
      <c r="F1228" s="45" t="s">
        <v>1235</v>
      </c>
      <c r="G1228" s="25">
        <f t="shared" si="17"/>
        <v>5.8613487839385137E-3</v>
      </c>
    </row>
    <row r="1229" spans="1:7">
      <c r="A1229" s="45">
        <v>74.59</v>
      </c>
      <c r="B1229" s="45">
        <v>75.0274</v>
      </c>
      <c r="C1229" s="45">
        <v>72.72</v>
      </c>
      <c r="D1229" s="45">
        <v>74.02</v>
      </c>
      <c r="E1229" s="45">
        <v>38355787</v>
      </c>
      <c r="F1229" s="45" t="s">
        <v>1236</v>
      </c>
      <c r="G1229" s="25">
        <f t="shared" si="17"/>
        <v>7.7006214536612383E-3</v>
      </c>
    </row>
    <row r="1230" spans="1:7">
      <c r="A1230" s="45">
        <v>73.09</v>
      </c>
      <c r="B1230" s="45">
        <v>75.7</v>
      </c>
      <c r="C1230" s="45">
        <v>72.5</v>
      </c>
      <c r="D1230" s="45">
        <v>75.209999999999994</v>
      </c>
      <c r="E1230" s="45">
        <v>48646754</v>
      </c>
      <c r="F1230" s="45" t="s">
        <v>1237</v>
      </c>
      <c r="G1230" s="25">
        <f t="shared" si="17"/>
        <v>-2.8187740991889254E-2</v>
      </c>
    </row>
    <row r="1231" spans="1:7">
      <c r="A1231" s="45">
        <v>74.64</v>
      </c>
      <c r="B1231" s="45">
        <v>76.13</v>
      </c>
      <c r="C1231" s="45">
        <v>74.16</v>
      </c>
      <c r="D1231" s="45">
        <v>75.09</v>
      </c>
      <c r="E1231" s="45">
        <v>42531423</v>
      </c>
      <c r="F1231" s="45" t="s">
        <v>1238</v>
      </c>
      <c r="G1231" s="25">
        <f t="shared" si="17"/>
        <v>-5.9928086296444638E-3</v>
      </c>
    </row>
    <row r="1232" spans="1:7">
      <c r="A1232" s="45">
        <v>76.83</v>
      </c>
      <c r="B1232" s="45">
        <v>76.930000000000007</v>
      </c>
      <c r="C1232" s="45">
        <v>72.75</v>
      </c>
      <c r="D1232" s="45">
        <v>73.569999999999993</v>
      </c>
      <c r="E1232" s="45">
        <v>51008239</v>
      </c>
      <c r="F1232" s="45" t="s">
        <v>1239</v>
      </c>
      <c r="G1232" s="25">
        <f t="shared" si="17"/>
        <v>4.4311540029903673E-2</v>
      </c>
    </row>
    <row r="1233" spans="1:7">
      <c r="A1233" s="45">
        <v>75.989999999999995</v>
      </c>
      <c r="B1233" s="45">
        <v>78.3</v>
      </c>
      <c r="C1233" s="45">
        <v>75.92</v>
      </c>
      <c r="D1233" s="45">
        <v>78.2</v>
      </c>
      <c r="E1233" s="45">
        <v>45134490</v>
      </c>
      <c r="F1233" s="45" t="s">
        <v>1240</v>
      </c>
      <c r="G1233" s="25">
        <f t="shared" si="17"/>
        <v>-2.826086956521745E-2</v>
      </c>
    </row>
    <row r="1234" spans="1:7">
      <c r="A1234" s="45">
        <v>78.81</v>
      </c>
      <c r="B1234" s="45">
        <v>79.571799999999996</v>
      </c>
      <c r="C1234" s="45">
        <v>78.22</v>
      </c>
      <c r="D1234" s="45">
        <v>78.75</v>
      </c>
      <c r="E1234" s="45">
        <v>36954179</v>
      </c>
      <c r="F1234" s="45" t="s">
        <v>1241</v>
      </c>
      <c r="G1234" s="25">
        <f t="shared" si="17"/>
        <v>7.6190476190474143E-4</v>
      </c>
    </row>
    <row r="1235" spans="1:7">
      <c r="A1235" s="45">
        <v>77.89</v>
      </c>
      <c r="B1235" s="45">
        <v>78.059899999999999</v>
      </c>
      <c r="C1235" s="45">
        <v>76.47</v>
      </c>
      <c r="D1235" s="45">
        <v>77.63</v>
      </c>
      <c r="E1235" s="45">
        <v>38661325</v>
      </c>
      <c r="F1235" s="45" t="s">
        <v>1242</v>
      </c>
      <c r="G1235" s="25">
        <f t="shared" si="17"/>
        <v>3.3492206621152931E-3</v>
      </c>
    </row>
    <row r="1236" spans="1:7">
      <c r="A1236" s="45">
        <v>77.83</v>
      </c>
      <c r="B1236" s="45">
        <v>79.3</v>
      </c>
      <c r="C1236" s="45">
        <v>77.36</v>
      </c>
      <c r="D1236" s="45">
        <v>79.05</v>
      </c>
      <c r="E1236" s="45">
        <v>42310154</v>
      </c>
      <c r="F1236" s="45" t="s">
        <v>1243</v>
      </c>
      <c r="G1236" s="25">
        <f t="shared" si="17"/>
        <v>-1.5433270082226391E-2</v>
      </c>
    </row>
    <row r="1237" spans="1:7">
      <c r="A1237" s="45">
        <v>78.61</v>
      </c>
      <c r="B1237" s="45">
        <v>78.67</v>
      </c>
      <c r="C1237" s="45">
        <v>77.040000000000006</v>
      </c>
      <c r="D1237" s="45">
        <v>77.95</v>
      </c>
      <c r="E1237" s="45">
        <v>59194328</v>
      </c>
      <c r="F1237" s="45" t="s">
        <v>1244</v>
      </c>
      <c r="G1237" s="25">
        <f t="shared" si="17"/>
        <v>8.4669660038485528E-3</v>
      </c>
    </row>
    <row r="1238" spans="1:7">
      <c r="A1238" s="45">
        <v>78.55</v>
      </c>
      <c r="B1238" s="45">
        <v>82</v>
      </c>
      <c r="C1238" s="45">
        <v>78.459999999999994</v>
      </c>
      <c r="D1238" s="45">
        <v>81.97</v>
      </c>
      <c r="E1238" s="45">
        <v>66323268</v>
      </c>
      <c r="F1238" s="45" t="s">
        <v>1245</v>
      </c>
      <c r="G1238" s="25">
        <f t="shared" si="17"/>
        <v>-4.1722581432231287E-2</v>
      </c>
    </row>
    <row r="1239" spans="1:7">
      <c r="A1239" s="45">
        <v>81.62</v>
      </c>
      <c r="B1239" s="45">
        <v>84.1</v>
      </c>
      <c r="C1239" s="45">
        <v>81.415000000000006</v>
      </c>
      <c r="D1239" s="45">
        <v>82.97</v>
      </c>
      <c r="E1239" s="45">
        <v>46601858</v>
      </c>
      <c r="F1239" s="45" t="s">
        <v>1246</v>
      </c>
      <c r="G1239" s="25">
        <f t="shared" si="17"/>
        <v>-1.6270941304085795E-2</v>
      </c>
    </row>
    <row r="1240" spans="1:7">
      <c r="A1240" s="45">
        <v>83.91</v>
      </c>
      <c r="B1240" s="45">
        <v>85.27</v>
      </c>
      <c r="C1240" s="45">
        <v>82.63</v>
      </c>
      <c r="D1240" s="45">
        <v>84.7</v>
      </c>
      <c r="E1240" s="45">
        <v>51294528</v>
      </c>
      <c r="F1240" s="45" t="s">
        <v>1247</v>
      </c>
      <c r="G1240" s="25">
        <f t="shared" si="17"/>
        <v>-9.3270365997639715E-3</v>
      </c>
    </row>
    <row r="1241" spans="1:7">
      <c r="A1241" s="45">
        <v>84.02</v>
      </c>
      <c r="B1241" s="45">
        <v>89.2</v>
      </c>
      <c r="C1241" s="45">
        <v>83.92</v>
      </c>
      <c r="D1241" s="45">
        <v>88.85</v>
      </c>
      <c r="E1241" s="45">
        <v>108920306</v>
      </c>
      <c r="F1241" s="45" t="s">
        <v>1248</v>
      </c>
      <c r="G1241" s="25">
        <f t="shared" si="17"/>
        <v>-5.4361283061339361E-2</v>
      </c>
    </row>
    <row r="1242" spans="1:7">
      <c r="A1242" s="45">
        <v>85.21</v>
      </c>
      <c r="B1242" s="45">
        <v>87.15</v>
      </c>
      <c r="C1242" s="45">
        <v>85.13</v>
      </c>
      <c r="D1242" s="45">
        <v>85.67</v>
      </c>
      <c r="E1242" s="45">
        <v>61909865</v>
      </c>
      <c r="F1242" s="45" t="s">
        <v>1249</v>
      </c>
      <c r="G1242" s="25">
        <f t="shared" si="17"/>
        <v>-5.3694408777869018E-3</v>
      </c>
    </row>
    <row r="1243" spans="1:7">
      <c r="A1243" s="45">
        <v>85.41</v>
      </c>
      <c r="B1243" s="45">
        <v>85.9</v>
      </c>
      <c r="C1243" s="45">
        <v>82.7</v>
      </c>
      <c r="D1243" s="45">
        <v>83.35</v>
      </c>
      <c r="E1243" s="45">
        <v>57594535</v>
      </c>
      <c r="F1243" s="45" t="s">
        <v>1250</v>
      </c>
      <c r="G1243" s="25">
        <f t="shared" si="17"/>
        <v>2.4715056988602324E-2</v>
      </c>
    </row>
    <row r="1244" spans="1:7">
      <c r="A1244" s="45">
        <v>82.76</v>
      </c>
      <c r="B1244" s="45">
        <v>83.3</v>
      </c>
      <c r="C1244" s="45">
        <v>79.959999999999994</v>
      </c>
      <c r="D1244" s="45">
        <v>80.209999999999994</v>
      </c>
      <c r="E1244" s="45">
        <v>49267281</v>
      </c>
      <c r="F1244" s="45" t="s">
        <v>1251</v>
      </c>
      <c r="G1244" s="25">
        <f t="shared" si="17"/>
        <v>3.1791547188630087E-2</v>
      </c>
    </row>
    <row r="1245" spans="1:7">
      <c r="A1245" s="45">
        <v>79.06</v>
      </c>
      <c r="B1245" s="45">
        <v>81.790000000000006</v>
      </c>
      <c r="C1245" s="45">
        <v>78.59</v>
      </c>
      <c r="D1245" s="45">
        <v>81.61</v>
      </c>
      <c r="E1245" s="45">
        <v>38846050</v>
      </c>
      <c r="F1245" s="45" t="s">
        <v>1252</v>
      </c>
      <c r="G1245" s="25">
        <f t="shared" si="17"/>
        <v>-3.1246170812400442E-2</v>
      </c>
    </row>
    <row r="1246" spans="1:7">
      <c r="A1246" s="45">
        <v>81.61</v>
      </c>
      <c r="B1246" s="45">
        <v>81.66</v>
      </c>
      <c r="C1246" s="45">
        <v>78.86</v>
      </c>
      <c r="D1246" s="45">
        <v>78.989999999999995</v>
      </c>
      <c r="E1246" s="45">
        <v>35068955</v>
      </c>
      <c r="F1246" s="45" t="s">
        <v>1253</v>
      </c>
      <c r="G1246" s="25">
        <f t="shared" si="17"/>
        <v>3.3168755538675931E-2</v>
      </c>
    </row>
    <row r="1247" spans="1:7">
      <c r="A1247" s="45">
        <v>79.27</v>
      </c>
      <c r="B1247" s="45">
        <v>81.11</v>
      </c>
      <c r="C1247" s="45">
        <v>78.510000000000005</v>
      </c>
      <c r="D1247" s="45">
        <v>80.819999999999993</v>
      </c>
      <c r="E1247" s="45">
        <v>34977750</v>
      </c>
      <c r="F1247" s="45" t="s">
        <v>1254</v>
      </c>
      <c r="G1247" s="25">
        <f t="shared" si="17"/>
        <v>-1.9178421182875494E-2</v>
      </c>
    </row>
    <row r="1248" spans="1:7">
      <c r="A1248" s="45">
        <v>81.11</v>
      </c>
      <c r="B1248" s="45">
        <v>83.18</v>
      </c>
      <c r="C1248" s="45">
        <v>80.39</v>
      </c>
      <c r="D1248" s="45">
        <v>82.13</v>
      </c>
      <c r="E1248" s="45">
        <v>39115461</v>
      </c>
      <c r="F1248" s="45" t="s">
        <v>1255</v>
      </c>
      <c r="G1248" s="25">
        <f t="shared" si="17"/>
        <v>-1.2419335200292148E-2</v>
      </c>
    </row>
    <row r="1249" spans="1:7">
      <c r="A1249" s="45">
        <v>82.15</v>
      </c>
      <c r="B1249" s="45">
        <v>83.59</v>
      </c>
      <c r="C1249" s="45">
        <v>81.53</v>
      </c>
      <c r="D1249" s="45">
        <v>83.3</v>
      </c>
      <c r="E1249" s="45">
        <v>47280570</v>
      </c>
      <c r="F1249" s="45" t="s">
        <v>1256</v>
      </c>
      <c r="G1249" s="25">
        <f t="shared" si="17"/>
        <v>-1.3805522208883425E-2</v>
      </c>
    </row>
    <row r="1250" spans="1:7">
      <c r="A1250" s="45">
        <v>83.01</v>
      </c>
      <c r="B1250" s="45">
        <v>83.95</v>
      </c>
      <c r="C1250" s="45">
        <v>79.97</v>
      </c>
      <c r="D1250" s="45">
        <v>80.319999999999993</v>
      </c>
      <c r="E1250" s="45">
        <v>68942819</v>
      </c>
      <c r="F1250" s="45" t="s">
        <v>1257</v>
      </c>
      <c r="G1250" s="25">
        <f t="shared" si="17"/>
        <v>3.349103585657387E-2</v>
      </c>
    </row>
    <row r="1251" spans="1:7">
      <c r="A1251" s="45">
        <v>78.55</v>
      </c>
      <c r="B1251" s="45">
        <v>80.13</v>
      </c>
      <c r="C1251" s="45">
        <v>77.935000000000002</v>
      </c>
      <c r="D1251" s="45">
        <v>79.88</v>
      </c>
      <c r="E1251" s="45">
        <v>34263832</v>
      </c>
      <c r="F1251" s="45" t="s">
        <v>1258</v>
      </c>
      <c r="G1251" s="25">
        <f t="shared" si="17"/>
        <v>-1.6649974962443692E-2</v>
      </c>
    </row>
    <row r="1252" spans="1:7">
      <c r="A1252" s="45">
        <v>80.19</v>
      </c>
      <c r="B1252" s="45">
        <v>80.72</v>
      </c>
      <c r="C1252" s="45">
        <v>78.98</v>
      </c>
      <c r="D1252" s="45">
        <v>79.67</v>
      </c>
      <c r="E1252" s="45">
        <v>37767257</v>
      </c>
      <c r="F1252" s="45" t="s">
        <v>1259</v>
      </c>
      <c r="G1252" s="25">
        <f t="shared" si="17"/>
        <v>6.5269235596836506E-3</v>
      </c>
    </row>
    <row r="1253" spans="1:7">
      <c r="A1253" s="45">
        <v>78.58</v>
      </c>
      <c r="B1253" s="45">
        <v>82.18</v>
      </c>
      <c r="C1253" s="45">
        <v>78.03</v>
      </c>
      <c r="D1253" s="45">
        <v>82.055000000000007</v>
      </c>
      <c r="E1253" s="45">
        <v>62098804</v>
      </c>
      <c r="F1253" s="45" t="s">
        <v>1260</v>
      </c>
      <c r="G1253" s="25">
        <f t="shared" si="17"/>
        <v>-4.2349643531777614E-2</v>
      </c>
    </row>
    <row r="1254" spans="1:7">
      <c r="A1254" s="45">
        <v>82.76</v>
      </c>
      <c r="B1254" s="45">
        <v>83.59</v>
      </c>
      <c r="C1254" s="45">
        <v>82.16</v>
      </c>
      <c r="D1254" s="45">
        <v>82.8</v>
      </c>
      <c r="E1254" s="45">
        <v>32759867</v>
      </c>
      <c r="F1254" s="45" t="s">
        <v>1261</v>
      </c>
      <c r="G1254" s="25">
        <f t="shared" si="17"/>
        <v>-4.8309178743954906E-4</v>
      </c>
    </row>
    <row r="1255" spans="1:7">
      <c r="A1255" s="45">
        <v>83.35</v>
      </c>
      <c r="B1255" s="45">
        <v>83.79</v>
      </c>
      <c r="C1255" s="45">
        <v>82.435000000000002</v>
      </c>
      <c r="D1255" s="45">
        <v>83.32</v>
      </c>
      <c r="E1255" s="45">
        <v>41925284</v>
      </c>
      <c r="F1255" s="45" t="s">
        <v>1262</v>
      </c>
      <c r="G1255" s="25">
        <f t="shared" si="17"/>
        <v>3.6005760921753449E-4</v>
      </c>
    </row>
    <row r="1256" spans="1:7">
      <c r="A1256" s="45">
        <v>82.2</v>
      </c>
      <c r="B1256" s="45">
        <v>83.1</v>
      </c>
      <c r="C1256" s="45">
        <v>80.349999999999994</v>
      </c>
      <c r="D1256" s="45">
        <v>81.319999999999993</v>
      </c>
      <c r="E1256" s="45">
        <v>35590925</v>
      </c>
      <c r="F1256" s="45" t="s">
        <v>1263</v>
      </c>
      <c r="G1256" s="25">
        <f t="shared" si="17"/>
        <v>1.0821446138711277E-2</v>
      </c>
    </row>
    <row r="1257" spans="1:7">
      <c r="A1257" s="45">
        <v>81.44</v>
      </c>
      <c r="B1257" s="45">
        <v>82.454999999999998</v>
      </c>
      <c r="C1257" s="45">
        <v>80.88</v>
      </c>
      <c r="D1257" s="45">
        <v>81.209999999999994</v>
      </c>
      <c r="E1257" s="45">
        <v>29327948</v>
      </c>
      <c r="F1257" s="45" t="s">
        <v>1264</v>
      </c>
      <c r="G1257" s="25">
        <f t="shared" si="17"/>
        <v>2.8321635266592704E-3</v>
      </c>
    </row>
    <row r="1258" spans="1:7">
      <c r="A1258" s="45">
        <v>81.430000000000007</v>
      </c>
      <c r="B1258" s="45">
        <v>81.900000000000006</v>
      </c>
      <c r="C1258" s="45">
        <v>80.39</v>
      </c>
      <c r="D1258" s="45">
        <v>81.739999999999995</v>
      </c>
      <c r="E1258" s="45">
        <v>32610554</v>
      </c>
      <c r="F1258" s="45" t="s">
        <v>1265</v>
      </c>
      <c r="G1258" s="25">
        <f t="shared" si="17"/>
        <v>-3.7925128456078872E-3</v>
      </c>
    </row>
    <row r="1259" spans="1:7">
      <c r="A1259" s="45">
        <v>81.09</v>
      </c>
      <c r="B1259" s="45">
        <v>81.31</v>
      </c>
      <c r="C1259" s="45">
        <v>79.48</v>
      </c>
      <c r="D1259" s="45">
        <v>80.155000000000001</v>
      </c>
      <c r="E1259" s="45">
        <v>40182380</v>
      </c>
      <c r="F1259" s="45" t="s">
        <v>1266</v>
      </c>
      <c r="G1259" s="25">
        <f t="shared" si="17"/>
        <v>1.166489925768821E-2</v>
      </c>
    </row>
    <row r="1260" spans="1:7">
      <c r="A1260" s="45">
        <v>78.5</v>
      </c>
      <c r="B1260" s="45">
        <v>79.13</v>
      </c>
      <c r="C1260" s="45">
        <v>76.52</v>
      </c>
      <c r="D1260" s="45">
        <v>76.569999999999993</v>
      </c>
      <c r="E1260" s="45">
        <v>43659455</v>
      </c>
      <c r="F1260" s="45" t="s">
        <v>1267</v>
      </c>
      <c r="G1260" s="25">
        <f t="shared" si="17"/>
        <v>2.5205694136084755E-2</v>
      </c>
    </row>
    <row r="1261" spans="1:7">
      <c r="A1261" s="45">
        <v>76</v>
      </c>
      <c r="B1261" s="45">
        <v>76.56</v>
      </c>
      <c r="C1261" s="45">
        <v>74.849999999999994</v>
      </c>
      <c r="D1261" s="45">
        <v>76.47</v>
      </c>
      <c r="E1261" s="45">
        <v>39169250</v>
      </c>
      <c r="F1261" s="45" t="s">
        <v>1268</v>
      </c>
      <c r="G1261" s="25">
        <f t="shared" si="17"/>
        <v>-6.1462011246240511E-3</v>
      </c>
    </row>
    <row r="1262" spans="1:7">
      <c r="A1262" s="45">
        <v>77.14</v>
      </c>
      <c r="B1262" s="45">
        <v>78.02</v>
      </c>
      <c r="C1262" s="45">
        <v>76.260000000000005</v>
      </c>
      <c r="D1262" s="45">
        <v>77.03</v>
      </c>
      <c r="E1262" s="45">
        <v>37144298</v>
      </c>
      <c r="F1262" s="45" t="s">
        <v>1269</v>
      </c>
      <c r="G1262" s="25">
        <f t="shared" si="17"/>
        <v>1.4280150590679774E-3</v>
      </c>
    </row>
    <row r="1263" spans="1:7">
      <c r="A1263" s="45">
        <v>77.41</v>
      </c>
      <c r="B1263" s="45">
        <v>77.499499999999998</v>
      </c>
      <c r="C1263" s="45">
        <v>75.03</v>
      </c>
      <c r="D1263" s="45">
        <v>76.62</v>
      </c>
      <c r="E1263" s="45">
        <v>49148659</v>
      </c>
      <c r="F1263" s="45" t="s">
        <v>1270</v>
      </c>
      <c r="G1263" s="25">
        <f t="shared" si="17"/>
        <v>1.0310623858000412E-2</v>
      </c>
    </row>
    <row r="1264" spans="1:7">
      <c r="A1264" s="45">
        <v>76.22</v>
      </c>
      <c r="B1264" s="45">
        <v>76.95</v>
      </c>
      <c r="C1264" s="45">
        <v>74.959999999999994</v>
      </c>
      <c r="D1264" s="45">
        <v>75.849999999999994</v>
      </c>
      <c r="E1264" s="45">
        <v>44735103</v>
      </c>
      <c r="F1264" s="45" t="s">
        <v>1271</v>
      </c>
      <c r="G1264" s="25">
        <f t="shared" si="17"/>
        <v>4.8780487804878092E-3</v>
      </c>
    </row>
    <row r="1265" spans="1:7">
      <c r="A1265" s="45">
        <v>76.48</v>
      </c>
      <c r="B1265" s="45">
        <v>78.8</v>
      </c>
      <c r="C1265" s="45">
        <v>76.400000000000006</v>
      </c>
      <c r="D1265" s="45">
        <v>77.55</v>
      </c>
      <c r="E1265" s="45">
        <v>43753642</v>
      </c>
      <c r="F1265" s="45" t="s">
        <v>1272</v>
      </c>
      <c r="G1265" s="25">
        <f t="shared" si="17"/>
        <v>-1.3797549967762612E-2</v>
      </c>
    </row>
    <row r="1266" spans="1:7">
      <c r="A1266" s="45">
        <v>78.38</v>
      </c>
      <c r="B1266" s="45">
        <v>80.34</v>
      </c>
      <c r="C1266" s="45">
        <v>77.95</v>
      </c>
      <c r="D1266" s="45">
        <v>80.13</v>
      </c>
      <c r="E1266" s="45">
        <v>40466635</v>
      </c>
      <c r="F1266" s="45" t="s">
        <v>1273</v>
      </c>
      <c r="G1266" s="25">
        <f t="shared" si="17"/>
        <v>-2.1839510794958161E-2</v>
      </c>
    </row>
    <row r="1267" spans="1:7">
      <c r="A1267" s="45">
        <v>80.3</v>
      </c>
      <c r="B1267" s="45">
        <v>81.265000000000001</v>
      </c>
      <c r="C1267" s="45">
        <v>79.22</v>
      </c>
      <c r="D1267" s="45">
        <v>79.989999999999995</v>
      </c>
      <c r="E1267" s="45">
        <v>39648614</v>
      </c>
      <c r="F1267" s="45" t="s">
        <v>1274</v>
      </c>
      <c r="G1267" s="25">
        <f t="shared" si="17"/>
        <v>3.8754844355544105E-3</v>
      </c>
    </row>
    <row r="1268" spans="1:7">
      <c r="A1268" s="45">
        <v>79.06</v>
      </c>
      <c r="B1268" s="45">
        <v>79.34</v>
      </c>
      <c r="C1268" s="45">
        <v>77.59</v>
      </c>
      <c r="D1268" s="45">
        <v>78.489999999999995</v>
      </c>
      <c r="E1268" s="45">
        <v>42283391</v>
      </c>
      <c r="F1268" s="45" t="s">
        <v>1275</v>
      </c>
      <c r="G1268" s="25">
        <f t="shared" si="17"/>
        <v>7.2620716014779596E-3</v>
      </c>
    </row>
    <row r="1269" spans="1:7">
      <c r="A1269" s="45">
        <v>78.12</v>
      </c>
      <c r="B1269" s="45">
        <v>81.62</v>
      </c>
      <c r="C1269" s="45">
        <v>78.010000000000005</v>
      </c>
      <c r="D1269" s="45">
        <v>81.055000000000007</v>
      </c>
      <c r="E1269" s="45">
        <v>51036502</v>
      </c>
      <c r="F1269" s="45" t="s">
        <v>1276</v>
      </c>
      <c r="G1269" s="25">
        <f t="shared" si="17"/>
        <v>-3.6209980877182191E-2</v>
      </c>
    </row>
    <row r="1270" spans="1:7">
      <c r="A1270" s="45">
        <v>82.63</v>
      </c>
      <c r="B1270" s="45">
        <v>83.25</v>
      </c>
      <c r="C1270" s="45">
        <v>80.411000000000001</v>
      </c>
      <c r="D1270" s="45">
        <v>81.75</v>
      </c>
      <c r="E1270" s="45">
        <v>43320573</v>
      </c>
      <c r="F1270" s="45" t="s">
        <v>1277</v>
      </c>
      <c r="G1270" s="25">
        <f t="shared" ref="G1270:G1333" si="18">A1270/D1270-1</f>
        <v>1.0764525993883778E-2</v>
      </c>
    </row>
    <row r="1271" spans="1:7">
      <c r="A1271" s="45">
        <v>82.75</v>
      </c>
      <c r="B1271" s="45">
        <v>84.75</v>
      </c>
      <c r="C1271" s="45">
        <v>82.254999999999995</v>
      </c>
      <c r="D1271" s="45">
        <v>83.66</v>
      </c>
      <c r="E1271" s="45">
        <v>42971552</v>
      </c>
      <c r="F1271" s="45" t="s">
        <v>1278</v>
      </c>
      <c r="G1271" s="25">
        <f t="shared" si="18"/>
        <v>-1.0877360745876086E-2</v>
      </c>
    </row>
    <row r="1272" spans="1:7">
      <c r="A1272" s="45">
        <v>82.5</v>
      </c>
      <c r="B1272" s="45">
        <v>83.39</v>
      </c>
      <c r="C1272" s="45">
        <v>81.2</v>
      </c>
      <c r="D1272" s="45">
        <v>81.91</v>
      </c>
      <c r="E1272" s="45">
        <v>39365424</v>
      </c>
      <c r="F1272" s="45" t="s">
        <v>1279</v>
      </c>
      <c r="G1272" s="25">
        <f t="shared" si="18"/>
        <v>7.2030277133439125E-3</v>
      </c>
    </row>
    <row r="1273" spans="1:7">
      <c r="A1273" s="45">
        <v>81.05</v>
      </c>
      <c r="B1273" s="45">
        <v>81.19</v>
      </c>
      <c r="C1273" s="45">
        <v>79.23</v>
      </c>
      <c r="D1273" s="45">
        <v>79.73</v>
      </c>
      <c r="E1273" s="45">
        <v>32937950</v>
      </c>
      <c r="F1273" s="45" t="s">
        <v>1280</v>
      </c>
      <c r="G1273" s="25">
        <f t="shared" si="18"/>
        <v>1.6555876081775889E-2</v>
      </c>
    </row>
    <row r="1274" spans="1:7">
      <c r="A1274" s="45">
        <v>81.23</v>
      </c>
      <c r="B1274" s="45">
        <v>81.89</v>
      </c>
      <c r="C1274" s="45">
        <v>79.37</v>
      </c>
      <c r="D1274" s="45">
        <v>79.400000000000006</v>
      </c>
      <c r="E1274" s="45">
        <v>43583719</v>
      </c>
      <c r="F1274" s="45" t="s">
        <v>1281</v>
      </c>
      <c r="G1274" s="25">
        <f t="shared" si="18"/>
        <v>2.3047858942065513E-2</v>
      </c>
    </row>
    <row r="1275" spans="1:7">
      <c r="A1275" s="45">
        <v>77.52</v>
      </c>
      <c r="B1275" s="45">
        <v>80.040000000000006</v>
      </c>
      <c r="C1275" s="45">
        <v>77.41</v>
      </c>
      <c r="D1275" s="45">
        <v>79.75</v>
      </c>
      <c r="E1275" s="45">
        <v>45416616</v>
      </c>
      <c r="F1275" s="45" t="s">
        <v>1282</v>
      </c>
      <c r="G1275" s="25">
        <f t="shared" si="18"/>
        <v>-2.7962382445141154E-2</v>
      </c>
    </row>
    <row r="1276" spans="1:7">
      <c r="A1276" s="45">
        <v>78.53</v>
      </c>
      <c r="B1276" s="45">
        <v>79.215000000000003</v>
      </c>
      <c r="C1276" s="45">
        <v>75.77</v>
      </c>
      <c r="D1276" s="45">
        <v>76.73</v>
      </c>
      <c r="E1276" s="45">
        <v>45088336</v>
      </c>
      <c r="F1276" s="45" t="s">
        <v>1283</v>
      </c>
      <c r="G1276" s="25">
        <f t="shared" si="18"/>
        <v>2.3458881793301245E-2</v>
      </c>
    </row>
    <row r="1277" spans="1:7">
      <c r="A1277" s="45">
        <v>73.959999999999994</v>
      </c>
      <c r="B1277" s="45">
        <v>79</v>
      </c>
      <c r="C1277" s="45">
        <v>73.86</v>
      </c>
      <c r="D1277" s="45">
        <v>78.03</v>
      </c>
      <c r="E1277" s="45">
        <v>54563874</v>
      </c>
      <c r="F1277" s="45" t="s">
        <v>1284</v>
      </c>
      <c r="G1277" s="25">
        <f t="shared" si="18"/>
        <v>-5.2159425861848074E-2</v>
      </c>
    </row>
    <row r="1278" spans="1:7">
      <c r="A1278" s="45">
        <v>78.52</v>
      </c>
      <c r="B1278" s="45">
        <v>79.48</v>
      </c>
      <c r="C1278" s="45">
        <v>74.2</v>
      </c>
      <c r="D1278" s="45">
        <v>79</v>
      </c>
      <c r="E1278" s="45">
        <v>58548912</v>
      </c>
      <c r="F1278" s="45" t="s">
        <v>1285</v>
      </c>
      <c r="G1278" s="25">
        <f t="shared" si="18"/>
        <v>-6.0759493670886622E-3</v>
      </c>
    </row>
    <row r="1279" spans="1:7">
      <c r="A1279" s="45">
        <v>77.75</v>
      </c>
      <c r="B1279" s="45">
        <v>81.806700000000006</v>
      </c>
      <c r="C1279" s="45">
        <v>76.78</v>
      </c>
      <c r="D1279" s="45">
        <v>80.23</v>
      </c>
      <c r="E1279" s="45">
        <v>60549371</v>
      </c>
      <c r="F1279" s="45" t="s">
        <v>1286</v>
      </c>
      <c r="G1279" s="25">
        <f t="shared" si="18"/>
        <v>-3.0911130499813089E-2</v>
      </c>
    </row>
    <row r="1280" spans="1:7">
      <c r="A1280" s="45">
        <v>80.86</v>
      </c>
      <c r="B1280" s="45">
        <v>84.38</v>
      </c>
      <c r="C1280" s="45">
        <v>80.849999999999994</v>
      </c>
      <c r="D1280" s="45">
        <v>84.28</v>
      </c>
      <c r="E1280" s="45">
        <v>43541041</v>
      </c>
      <c r="F1280" s="45" t="s">
        <v>1287</v>
      </c>
      <c r="G1280" s="25">
        <f t="shared" si="18"/>
        <v>-4.0579022306597046E-2</v>
      </c>
    </row>
    <row r="1281" spans="1:7">
      <c r="A1281" s="45">
        <v>84.13</v>
      </c>
      <c r="B1281" s="45">
        <v>86.95</v>
      </c>
      <c r="C1281" s="45">
        <v>84.04</v>
      </c>
      <c r="D1281" s="45">
        <v>86.92</v>
      </c>
      <c r="E1281" s="45">
        <v>34828157</v>
      </c>
      <c r="F1281" s="45" t="s">
        <v>1288</v>
      </c>
      <c r="G1281" s="25">
        <f t="shared" si="18"/>
        <v>-3.2098481362172193E-2</v>
      </c>
    </row>
    <row r="1282" spans="1:7">
      <c r="A1282" s="45">
        <v>86.39</v>
      </c>
      <c r="B1282" s="45">
        <v>86.5</v>
      </c>
      <c r="C1282" s="45">
        <v>83.97</v>
      </c>
      <c r="D1282" s="45">
        <v>85.364999999999995</v>
      </c>
      <c r="E1282" s="45">
        <v>32746181</v>
      </c>
      <c r="F1282" s="45" t="s">
        <v>1289</v>
      </c>
      <c r="G1282" s="25">
        <f t="shared" si="18"/>
        <v>1.2007262929772278E-2</v>
      </c>
    </row>
    <row r="1283" spans="1:7">
      <c r="A1283" s="45">
        <v>84.51</v>
      </c>
      <c r="B1283" s="45">
        <v>85.59</v>
      </c>
      <c r="C1283" s="45">
        <v>82.91</v>
      </c>
      <c r="D1283" s="45">
        <v>83.564999999999998</v>
      </c>
      <c r="E1283" s="45">
        <v>48962907</v>
      </c>
      <c r="F1283" s="45" t="s">
        <v>1290</v>
      </c>
      <c r="G1283" s="25">
        <f t="shared" si="18"/>
        <v>1.1308562197092087E-2</v>
      </c>
    </row>
    <row r="1284" spans="1:7">
      <c r="A1284" s="45">
        <v>82.42</v>
      </c>
      <c r="B1284" s="45">
        <v>87.09</v>
      </c>
      <c r="C1284" s="45">
        <v>81.92</v>
      </c>
      <c r="D1284" s="45">
        <v>86.17</v>
      </c>
      <c r="E1284" s="45">
        <v>54625140</v>
      </c>
      <c r="F1284" s="45" t="s">
        <v>1291</v>
      </c>
      <c r="G1284" s="25">
        <f t="shared" si="18"/>
        <v>-4.3518625971916025E-2</v>
      </c>
    </row>
    <row r="1285" spans="1:7">
      <c r="A1285" s="45">
        <v>86.94</v>
      </c>
      <c r="B1285" s="45">
        <v>87.09</v>
      </c>
      <c r="C1285" s="45">
        <v>82.81</v>
      </c>
      <c r="D1285" s="45">
        <v>84.33</v>
      </c>
      <c r="E1285" s="45">
        <v>40821150</v>
      </c>
      <c r="F1285" s="45" t="s">
        <v>1292</v>
      </c>
      <c r="G1285" s="25">
        <f t="shared" si="18"/>
        <v>3.094983991462108E-2</v>
      </c>
    </row>
    <row r="1286" spans="1:7">
      <c r="A1286" s="45">
        <v>84.74</v>
      </c>
      <c r="B1286" s="45">
        <v>85.11</v>
      </c>
      <c r="C1286" s="45">
        <v>79.36</v>
      </c>
      <c r="D1286" s="45">
        <v>83.4</v>
      </c>
      <c r="E1286" s="45">
        <v>49720914</v>
      </c>
      <c r="F1286" s="45" t="s">
        <v>1293</v>
      </c>
      <c r="G1286" s="25">
        <f t="shared" si="18"/>
        <v>1.6067146282973566E-2</v>
      </c>
    </row>
    <row r="1287" spans="1:7">
      <c r="A1287" s="45">
        <v>85.37</v>
      </c>
      <c r="B1287" s="45">
        <v>88.3</v>
      </c>
      <c r="C1287" s="45">
        <v>85.21</v>
      </c>
      <c r="D1287" s="45">
        <v>88.15</v>
      </c>
      <c r="E1287" s="45">
        <v>36930182</v>
      </c>
      <c r="F1287" s="45" t="s">
        <v>1294</v>
      </c>
      <c r="G1287" s="25">
        <f t="shared" si="18"/>
        <v>-3.1537152580828121E-2</v>
      </c>
    </row>
    <row r="1288" spans="1:7">
      <c r="A1288" s="45">
        <v>89.58</v>
      </c>
      <c r="B1288" s="45">
        <v>90.416300000000007</v>
      </c>
      <c r="C1288" s="45">
        <v>88.69</v>
      </c>
      <c r="D1288" s="45">
        <v>89.75</v>
      </c>
      <c r="E1288" s="45">
        <v>29548273</v>
      </c>
      <c r="F1288" s="45" t="s">
        <v>1295</v>
      </c>
      <c r="G1288" s="25">
        <f t="shared" si="18"/>
        <v>-1.8941504178273671E-3</v>
      </c>
    </row>
    <row r="1289" spans="1:7">
      <c r="A1289" s="45">
        <v>88.64</v>
      </c>
      <c r="B1289" s="45">
        <v>89.6</v>
      </c>
      <c r="C1289" s="45">
        <v>87.31</v>
      </c>
      <c r="D1289" s="45">
        <v>89.09</v>
      </c>
      <c r="E1289" s="45">
        <v>35624948</v>
      </c>
      <c r="F1289" s="45" t="s">
        <v>1296</v>
      </c>
      <c r="G1289" s="25">
        <f t="shared" si="18"/>
        <v>-5.0510719497137702E-3</v>
      </c>
    </row>
    <row r="1290" spans="1:7">
      <c r="A1290" s="45">
        <v>89.94</v>
      </c>
      <c r="B1290" s="45">
        <v>90.96</v>
      </c>
      <c r="C1290" s="45">
        <v>88.570099999999996</v>
      </c>
      <c r="D1290" s="45">
        <v>90.56</v>
      </c>
      <c r="E1290" s="45">
        <v>32284075</v>
      </c>
      <c r="F1290" s="45" t="s">
        <v>1297</v>
      </c>
      <c r="G1290" s="25">
        <f t="shared" si="18"/>
        <v>-6.8462897526502253E-3</v>
      </c>
    </row>
    <row r="1291" spans="1:7">
      <c r="A1291" s="45">
        <v>91.46</v>
      </c>
      <c r="B1291" s="45">
        <v>94</v>
      </c>
      <c r="C1291" s="45">
        <v>90.749899999999997</v>
      </c>
      <c r="D1291" s="45">
        <v>93.9</v>
      </c>
      <c r="E1291" s="45">
        <v>35105917</v>
      </c>
      <c r="F1291" s="45" t="s">
        <v>1298</v>
      </c>
      <c r="G1291" s="25">
        <f t="shared" si="18"/>
        <v>-2.5985090521831844E-2</v>
      </c>
    </row>
    <row r="1292" spans="1:7">
      <c r="A1292" s="45">
        <v>93.77</v>
      </c>
      <c r="B1292" s="45">
        <v>94.22</v>
      </c>
      <c r="C1292" s="45">
        <v>91.9</v>
      </c>
      <c r="D1292" s="45">
        <v>92.75</v>
      </c>
      <c r="E1292" s="45">
        <v>38538353</v>
      </c>
      <c r="F1292" s="45" t="s">
        <v>1299</v>
      </c>
      <c r="G1292" s="25">
        <f t="shared" si="18"/>
        <v>1.0997304582210266E-2</v>
      </c>
    </row>
    <row r="1293" spans="1:7">
      <c r="A1293" s="45">
        <v>92.66</v>
      </c>
      <c r="B1293" s="45">
        <v>93.65</v>
      </c>
      <c r="C1293" s="45">
        <v>91.33</v>
      </c>
      <c r="D1293" s="45">
        <v>92.9</v>
      </c>
      <c r="E1293" s="45">
        <v>35571025</v>
      </c>
      <c r="F1293" s="45" t="s">
        <v>1300</v>
      </c>
      <c r="G1293" s="25">
        <f t="shared" si="18"/>
        <v>-2.5834230355221699E-3</v>
      </c>
    </row>
    <row r="1294" spans="1:7">
      <c r="A1294" s="45">
        <v>92.35</v>
      </c>
      <c r="B1294" s="45">
        <v>93.27</v>
      </c>
      <c r="C1294" s="45">
        <v>90.46</v>
      </c>
      <c r="D1294" s="45">
        <v>91.5</v>
      </c>
      <c r="E1294" s="45">
        <v>42441300</v>
      </c>
      <c r="F1294" s="45" t="s">
        <v>1301</v>
      </c>
      <c r="G1294" s="25">
        <f t="shared" si="18"/>
        <v>9.2896174863388303E-3</v>
      </c>
    </row>
    <row r="1295" spans="1:7">
      <c r="A1295" s="45">
        <v>90.91</v>
      </c>
      <c r="B1295" s="45">
        <v>93.3</v>
      </c>
      <c r="C1295" s="45">
        <v>90.55</v>
      </c>
      <c r="D1295" s="45">
        <v>91.39</v>
      </c>
      <c r="E1295" s="45">
        <v>37596446</v>
      </c>
      <c r="F1295" s="45" t="s">
        <v>1302</v>
      </c>
      <c r="G1295" s="25">
        <f t="shared" si="18"/>
        <v>-5.2522157785316326E-3</v>
      </c>
    </row>
    <row r="1296" spans="1:7">
      <c r="A1296" s="45">
        <v>91.47</v>
      </c>
      <c r="B1296" s="45">
        <v>91.99</v>
      </c>
      <c r="C1296" s="45">
        <v>87.98</v>
      </c>
      <c r="D1296" s="45">
        <v>88.31</v>
      </c>
      <c r="E1296" s="45">
        <v>47639887</v>
      </c>
      <c r="F1296" s="45" t="s">
        <v>1303</v>
      </c>
      <c r="G1296" s="25">
        <f t="shared" si="18"/>
        <v>3.5783037028648934E-2</v>
      </c>
    </row>
    <row r="1297" spans="1:7">
      <c r="A1297" s="45">
        <v>87.9</v>
      </c>
      <c r="B1297" s="45">
        <v>88.36</v>
      </c>
      <c r="C1297" s="45">
        <v>86.875</v>
      </c>
      <c r="D1297" s="45">
        <v>88.15</v>
      </c>
      <c r="E1297" s="45">
        <v>30268677</v>
      </c>
      <c r="F1297" s="45" t="s">
        <v>1304</v>
      </c>
      <c r="G1297" s="25">
        <f t="shared" si="18"/>
        <v>-2.8360748723765816E-3</v>
      </c>
    </row>
    <row r="1298" spans="1:7">
      <c r="A1298" s="45">
        <v>87.84</v>
      </c>
      <c r="B1298" s="45">
        <v>88.6</v>
      </c>
      <c r="C1298" s="45">
        <v>87.06</v>
      </c>
      <c r="D1298" s="45">
        <v>88.22</v>
      </c>
      <c r="E1298" s="45">
        <v>30791641</v>
      </c>
      <c r="F1298" s="45" t="s">
        <v>1305</v>
      </c>
      <c r="G1298" s="25">
        <f t="shared" si="18"/>
        <v>-4.3074132849693081E-3</v>
      </c>
    </row>
    <row r="1299" spans="1:7">
      <c r="A1299" s="45">
        <v>87.89</v>
      </c>
      <c r="B1299" s="45">
        <v>89.48</v>
      </c>
      <c r="C1299" s="45">
        <v>87.34</v>
      </c>
      <c r="D1299" s="45">
        <v>88.6</v>
      </c>
      <c r="E1299" s="45">
        <v>32312885</v>
      </c>
      <c r="F1299" s="45" t="s">
        <v>1306</v>
      </c>
      <c r="G1299" s="25">
        <f t="shared" si="18"/>
        <v>-8.0135440180586492E-3</v>
      </c>
    </row>
    <row r="1300" spans="1:7">
      <c r="A1300" s="45">
        <v>88.86</v>
      </c>
      <c r="B1300" s="45">
        <v>89.28</v>
      </c>
      <c r="C1300" s="45">
        <v>86.95</v>
      </c>
      <c r="D1300" s="45">
        <v>88.49</v>
      </c>
      <c r="E1300" s="45">
        <v>33850049</v>
      </c>
      <c r="F1300" s="45" t="s">
        <v>1307</v>
      </c>
      <c r="G1300" s="25">
        <f t="shared" si="18"/>
        <v>4.1812634195954601E-3</v>
      </c>
    </row>
    <row r="1301" spans="1:7">
      <c r="A1301" s="45">
        <v>87.66</v>
      </c>
      <c r="B1301" s="45">
        <v>87.95</v>
      </c>
      <c r="C1301" s="45">
        <v>84.66</v>
      </c>
      <c r="D1301" s="45">
        <v>86.83</v>
      </c>
      <c r="E1301" s="45">
        <v>42359344</v>
      </c>
      <c r="F1301" s="45" t="s">
        <v>1308</v>
      </c>
      <c r="G1301" s="25">
        <f t="shared" si="18"/>
        <v>9.5589082114475588E-3</v>
      </c>
    </row>
    <row r="1302" spans="1:7">
      <c r="A1302" s="45">
        <v>85.64</v>
      </c>
      <c r="B1302" s="45">
        <v>88.33</v>
      </c>
      <c r="C1302" s="45">
        <v>85.02</v>
      </c>
      <c r="D1302" s="45">
        <v>87.56</v>
      </c>
      <c r="E1302" s="45">
        <v>56735828</v>
      </c>
      <c r="F1302" s="45" t="s">
        <v>1309</v>
      </c>
      <c r="G1302" s="25">
        <f t="shared" si="18"/>
        <v>-2.1927820922795771E-2</v>
      </c>
    </row>
    <row r="1303" spans="1:7">
      <c r="A1303" s="45">
        <v>87.52</v>
      </c>
      <c r="B1303" s="45">
        <v>89.88</v>
      </c>
      <c r="C1303" s="45">
        <v>87.3</v>
      </c>
      <c r="D1303" s="45">
        <v>89.83</v>
      </c>
      <c r="E1303" s="45">
        <v>47048362</v>
      </c>
      <c r="F1303" s="45" t="s">
        <v>1310</v>
      </c>
      <c r="G1303" s="25">
        <f t="shared" si="18"/>
        <v>-2.5715239897584397E-2</v>
      </c>
    </row>
    <row r="1304" spans="1:7">
      <c r="A1304" s="45">
        <v>88.84</v>
      </c>
      <c r="B1304" s="45">
        <v>91.88</v>
      </c>
      <c r="C1304" s="45">
        <v>86.22</v>
      </c>
      <c r="D1304" s="45">
        <v>91.1</v>
      </c>
      <c r="E1304" s="45">
        <v>73341193</v>
      </c>
      <c r="F1304" s="45" t="s">
        <v>1311</v>
      </c>
      <c r="G1304" s="25">
        <f t="shared" si="18"/>
        <v>-2.4807903402853881E-2</v>
      </c>
    </row>
    <row r="1305" spans="1:7">
      <c r="A1305" s="45">
        <v>94.71</v>
      </c>
      <c r="B1305" s="45">
        <v>95.717100000000002</v>
      </c>
      <c r="C1305" s="45">
        <v>93.63</v>
      </c>
      <c r="D1305" s="45">
        <v>94.91</v>
      </c>
      <c r="E1305" s="45">
        <v>59449053</v>
      </c>
      <c r="F1305" s="45" t="s">
        <v>1312</v>
      </c>
      <c r="G1305" s="25">
        <f t="shared" si="18"/>
        <v>-2.1072595090085855E-3</v>
      </c>
    </row>
    <row r="1306" spans="1:7">
      <c r="A1306" s="45">
        <v>94.13</v>
      </c>
      <c r="B1306" s="45">
        <v>95.74</v>
      </c>
      <c r="C1306" s="45">
        <v>91.4</v>
      </c>
      <c r="D1306" s="45">
        <v>94.14</v>
      </c>
      <c r="E1306" s="45">
        <v>55086943</v>
      </c>
      <c r="F1306" s="45" t="s">
        <v>1313</v>
      </c>
      <c r="G1306" s="25">
        <f t="shared" si="18"/>
        <v>-1.062247716168141E-4</v>
      </c>
    </row>
    <row r="1307" spans="1:7">
      <c r="A1307" s="45">
        <v>92.79</v>
      </c>
      <c r="B1307" s="45">
        <v>95.95</v>
      </c>
      <c r="C1307" s="45">
        <v>91.88</v>
      </c>
      <c r="D1307" s="45">
        <v>94.42</v>
      </c>
      <c r="E1307" s="45">
        <v>71294707</v>
      </c>
      <c r="F1307" s="45" t="s">
        <v>1314</v>
      </c>
      <c r="G1307" s="25">
        <f t="shared" si="18"/>
        <v>-1.7263291675492454E-2</v>
      </c>
    </row>
    <row r="1308" spans="1:7">
      <c r="A1308" s="45">
        <v>91.53</v>
      </c>
      <c r="B1308" s="45">
        <v>92.07</v>
      </c>
      <c r="C1308" s="45">
        <v>88.43</v>
      </c>
      <c r="D1308" s="45">
        <v>89.34</v>
      </c>
      <c r="E1308" s="45">
        <v>54596079</v>
      </c>
      <c r="F1308" s="45" t="s">
        <v>1315</v>
      </c>
      <c r="G1308" s="25">
        <f t="shared" si="18"/>
        <v>2.4513096037609206E-2</v>
      </c>
    </row>
    <row r="1309" spans="1:7">
      <c r="A1309" s="45">
        <v>88.75</v>
      </c>
      <c r="B1309" s="45">
        <v>90.78</v>
      </c>
      <c r="C1309" s="45">
        <v>88.6</v>
      </c>
      <c r="D1309" s="45">
        <v>90.55</v>
      </c>
      <c r="E1309" s="45">
        <v>35185810</v>
      </c>
      <c r="F1309" s="45" t="s">
        <v>1316</v>
      </c>
      <c r="G1309" s="25">
        <f t="shared" si="18"/>
        <v>-1.9878520154610668E-2</v>
      </c>
    </row>
    <row r="1310" spans="1:7">
      <c r="A1310" s="45">
        <v>89.45</v>
      </c>
      <c r="B1310" s="45">
        <v>89.58</v>
      </c>
      <c r="C1310" s="45">
        <v>87.24</v>
      </c>
      <c r="D1310" s="45">
        <v>89.56</v>
      </c>
      <c r="E1310" s="45">
        <v>45115055</v>
      </c>
      <c r="F1310" s="45" t="s">
        <v>1317</v>
      </c>
      <c r="G1310" s="25">
        <f t="shared" si="18"/>
        <v>-1.228226887003081E-3</v>
      </c>
    </row>
    <row r="1311" spans="1:7">
      <c r="A1311" s="45">
        <v>88.21</v>
      </c>
      <c r="B1311" s="45">
        <v>91.59</v>
      </c>
      <c r="C1311" s="45">
        <v>87.86</v>
      </c>
      <c r="D1311" s="45">
        <v>90.75</v>
      </c>
      <c r="E1311" s="45">
        <v>49340338</v>
      </c>
      <c r="F1311" s="45" t="s">
        <v>1318</v>
      </c>
      <c r="G1311" s="25">
        <f t="shared" si="18"/>
        <v>-2.7988980716253553E-2</v>
      </c>
    </row>
    <row r="1312" spans="1:7">
      <c r="A1312" s="45">
        <v>90.79</v>
      </c>
      <c r="B1312" s="45">
        <v>92.36</v>
      </c>
      <c r="C1312" s="45">
        <v>90.45</v>
      </c>
      <c r="D1312" s="45">
        <v>91.77</v>
      </c>
      <c r="E1312" s="45">
        <v>53408241</v>
      </c>
      <c r="F1312" s="45" t="s">
        <v>1319</v>
      </c>
      <c r="G1312" s="25">
        <f t="shared" si="18"/>
        <v>-1.0678871090770259E-2</v>
      </c>
    </row>
    <row r="1313" spans="1:7">
      <c r="A1313" s="45">
        <v>91.78</v>
      </c>
      <c r="B1313" s="45">
        <v>93.89</v>
      </c>
      <c r="C1313" s="45">
        <v>90.84</v>
      </c>
      <c r="D1313" s="45">
        <v>93.01</v>
      </c>
      <c r="E1313" s="45">
        <v>60712896</v>
      </c>
      <c r="F1313" s="45" t="s">
        <v>1320</v>
      </c>
      <c r="G1313" s="25">
        <f t="shared" si="18"/>
        <v>-1.3224384474787687E-2</v>
      </c>
    </row>
    <row r="1314" spans="1:7">
      <c r="A1314" s="45">
        <v>95.355000000000004</v>
      </c>
      <c r="B1314" s="45">
        <v>98.97</v>
      </c>
      <c r="C1314" s="45">
        <v>94.07</v>
      </c>
      <c r="D1314" s="45">
        <v>97.86</v>
      </c>
      <c r="E1314" s="45">
        <v>67672311</v>
      </c>
      <c r="F1314" s="45" t="s">
        <v>1321</v>
      </c>
      <c r="G1314" s="25">
        <f t="shared" si="18"/>
        <v>-2.5597792765174709E-2</v>
      </c>
    </row>
    <row r="1315" spans="1:7">
      <c r="A1315" s="45">
        <v>97.25</v>
      </c>
      <c r="B1315" s="45">
        <v>99.23</v>
      </c>
      <c r="C1315" s="45">
        <v>93.76</v>
      </c>
      <c r="D1315" s="45">
        <v>94.025000000000006</v>
      </c>
      <c r="E1315" s="45">
        <v>48669103</v>
      </c>
      <c r="F1315" s="45" t="s">
        <v>1322</v>
      </c>
      <c r="G1315" s="25">
        <f t="shared" si="18"/>
        <v>3.4299388460515834E-2</v>
      </c>
    </row>
    <row r="1316" spans="1:7">
      <c r="A1316" s="45">
        <v>94.58</v>
      </c>
      <c r="B1316" s="45">
        <v>96.4</v>
      </c>
      <c r="C1316" s="45">
        <v>93.27</v>
      </c>
      <c r="D1316" s="45">
        <v>95.98</v>
      </c>
      <c r="E1316" s="45">
        <v>39816400</v>
      </c>
      <c r="F1316" s="45" t="s">
        <v>1323</v>
      </c>
      <c r="G1316" s="25">
        <f t="shared" si="18"/>
        <v>-1.4586372160866889E-2</v>
      </c>
    </row>
    <row r="1317" spans="1:7">
      <c r="A1317" s="45">
        <v>95.16</v>
      </c>
      <c r="B1317" s="45">
        <v>95.51</v>
      </c>
      <c r="C1317" s="45">
        <v>91.2</v>
      </c>
      <c r="D1317" s="45">
        <v>91.33</v>
      </c>
      <c r="E1317" s="45">
        <v>42897157</v>
      </c>
      <c r="F1317" s="45" t="s">
        <v>1324</v>
      </c>
      <c r="G1317" s="25">
        <f t="shared" si="18"/>
        <v>4.1935837074345672E-2</v>
      </c>
    </row>
    <row r="1318" spans="1:7">
      <c r="A1318" s="45">
        <v>90.33</v>
      </c>
      <c r="B1318" s="45">
        <v>92.28</v>
      </c>
      <c r="C1318" s="45">
        <v>89.46</v>
      </c>
      <c r="D1318" s="45">
        <v>91.62</v>
      </c>
      <c r="E1318" s="45">
        <v>51911657</v>
      </c>
      <c r="F1318" s="45" t="s">
        <v>1325</v>
      </c>
      <c r="G1318" s="25">
        <f t="shared" si="18"/>
        <v>-1.4079895219384464E-2</v>
      </c>
    </row>
    <row r="1319" spans="1:7">
      <c r="A1319" s="45">
        <v>92.77</v>
      </c>
      <c r="B1319" s="45">
        <v>93.207700000000003</v>
      </c>
      <c r="C1319" s="45">
        <v>91.41</v>
      </c>
      <c r="D1319" s="45">
        <v>92.1</v>
      </c>
      <c r="E1319" s="45">
        <v>34207989</v>
      </c>
      <c r="F1319" s="45" t="s">
        <v>1326</v>
      </c>
      <c r="G1319" s="25">
        <f t="shared" si="18"/>
        <v>7.2747014115093211E-3</v>
      </c>
    </row>
    <row r="1320" spans="1:7">
      <c r="A1320" s="45">
        <v>92.3</v>
      </c>
      <c r="B1320" s="45">
        <v>96.06</v>
      </c>
      <c r="C1320" s="45">
        <v>90.915000000000006</v>
      </c>
      <c r="D1320" s="45">
        <v>92.11</v>
      </c>
      <c r="E1320" s="45">
        <v>51802552</v>
      </c>
      <c r="F1320" s="45" t="s">
        <v>1327</v>
      </c>
      <c r="G1320" s="25">
        <f t="shared" si="18"/>
        <v>2.0627510585169428E-3</v>
      </c>
    </row>
    <row r="1321" spans="1:7">
      <c r="A1321" s="45">
        <v>91.71</v>
      </c>
      <c r="B1321" s="45">
        <v>92.3</v>
      </c>
      <c r="C1321" s="45">
        <v>90.87</v>
      </c>
      <c r="D1321" s="45">
        <v>92.1</v>
      </c>
      <c r="E1321" s="45">
        <v>24930684</v>
      </c>
      <c r="F1321" s="45" t="s">
        <v>1328</v>
      </c>
      <c r="G1321" s="25">
        <f t="shared" si="18"/>
        <v>-4.2345276872963744E-3</v>
      </c>
    </row>
    <row r="1322" spans="1:7">
      <c r="A1322" s="45">
        <v>92.29</v>
      </c>
      <c r="B1322" s="45">
        <v>92.85</v>
      </c>
      <c r="C1322" s="45">
        <v>90.19</v>
      </c>
      <c r="D1322" s="45">
        <v>90.78</v>
      </c>
      <c r="E1322" s="45">
        <v>25844973</v>
      </c>
      <c r="F1322" s="45" t="s">
        <v>1329</v>
      </c>
      <c r="G1322" s="25">
        <f t="shared" si="18"/>
        <v>1.6633619740030969E-2</v>
      </c>
    </row>
    <row r="1323" spans="1:7">
      <c r="A1323" s="45">
        <v>90.62</v>
      </c>
      <c r="B1323" s="45">
        <v>92.46</v>
      </c>
      <c r="C1323" s="45">
        <v>89.430099999999996</v>
      </c>
      <c r="D1323" s="45">
        <v>91.66</v>
      </c>
      <c r="E1323" s="45">
        <v>31748211</v>
      </c>
      <c r="F1323" s="45" t="s">
        <v>1330</v>
      </c>
      <c r="G1323" s="25">
        <f t="shared" si="18"/>
        <v>-1.1346279729434805E-2</v>
      </c>
    </row>
    <row r="1324" spans="1:7">
      <c r="A1324" s="45">
        <v>91.6</v>
      </c>
      <c r="B1324" s="45">
        <v>93.14</v>
      </c>
      <c r="C1324" s="45">
        <v>90.82</v>
      </c>
      <c r="D1324" s="45">
        <v>92.93</v>
      </c>
      <c r="E1324" s="45">
        <v>30627297</v>
      </c>
      <c r="F1324" s="45" t="s">
        <v>1331</v>
      </c>
      <c r="G1324" s="25">
        <f t="shared" si="18"/>
        <v>-1.4311847627246466E-2</v>
      </c>
    </row>
    <row r="1325" spans="1:7">
      <c r="A1325" s="45">
        <v>91.81</v>
      </c>
      <c r="B1325" s="45">
        <v>92.51</v>
      </c>
      <c r="C1325" s="45">
        <v>91.31</v>
      </c>
      <c r="D1325" s="45">
        <v>91.8</v>
      </c>
      <c r="E1325" s="45">
        <v>16705909</v>
      </c>
      <c r="F1325" s="45" t="s">
        <v>1332</v>
      </c>
      <c r="G1325" s="25">
        <f t="shared" si="18"/>
        <v>1.0893246187371197E-4</v>
      </c>
    </row>
    <row r="1326" spans="1:7">
      <c r="A1326" s="45">
        <v>91.55</v>
      </c>
      <c r="B1326" s="45">
        <v>93.13</v>
      </c>
      <c r="C1326" s="45">
        <v>91.46</v>
      </c>
      <c r="D1326" s="45">
        <v>93.08</v>
      </c>
      <c r="E1326" s="45">
        <v>25993348</v>
      </c>
      <c r="F1326" s="45" t="s">
        <v>1333</v>
      </c>
      <c r="G1326" s="25">
        <f t="shared" si="18"/>
        <v>-1.6437473141383774E-2</v>
      </c>
    </row>
    <row r="1327" spans="1:7">
      <c r="A1327" s="45">
        <v>93.16</v>
      </c>
      <c r="B1327" s="45">
        <v>93.55</v>
      </c>
      <c r="C1327" s="45">
        <v>90.53</v>
      </c>
      <c r="D1327" s="45">
        <v>93.36</v>
      </c>
      <c r="E1327" s="45">
        <v>35717836</v>
      </c>
      <c r="F1327" s="45" t="s">
        <v>1334</v>
      </c>
      <c r="G1327" s="25">
        <f t="shared" si="18"/>
        <v>-2.1422450728363351E-3</v>
      </c>
    </row>
    <row r="1328" spans="1:7">
      <c r="A1328" s="45">
        <v>93.23</v>
      </c>
      <c r="B1328" s="45">
        <v>95.28</v>
      </c>
      <c r="C1328" s="45">
        <v>91.08</v>
      </c>
      <c r="D1328" s="45">
        <v>94.25</v>
      </c>
      <c r="E1328" s="45">
        <v>47093891</v>
      </c>
      <c r="F1328" s="45" t="s">
        <v>1335</v>
      </c>
      <c r="G1328" s="25">
        <f t="shared" si="18"/>
        <v>-1.0822281167108705E-2</v>
      </c>
    </row>
    <row r="1329" spans="1:7">
      <c r="A1329" s="45">
        <v>95.92</v>
      </c>
      <c r="B1329" s="45">
        <v>97.68</v>
      </c>
      <c r="C1329" s="45">
        <v>93.56</v>
      </c>
      <c r="D1329" s="45">
        <v>97.27</v>
      </c>
      <c r="E1329" s="45">
        <v>51823103</v>
      </c>
      <c r="F1329" s="45" t="s">
        <v>1336</v>
      </c>
      <c r="G1329" s="25">
        <f t="shared" si="18"/>
        <v>-1.3878893800760683E-2</v>
      </c>
    </row>
    <row r="1330" spans="1:7">
      <c r="A1330" s="45">
        <v>96.84</v>
      </c>
      <c r="B1330" s="45">
        <v>97.92</v>
      </c>
      <c r="C1330" s="45">
        <v>96.25</v>
      </c>
      <c r="D1330" s="45">
        <v>97.55</v>
      </c>
      <c r="E1330" s="45">
        <v>32023734</v>
      </c>
      <c r="F1330" s="45" t="s">
        <v>1337</v>
      </c>
      <c r="G1330" s="25">
        <f t="shared" si="18"/>
        <v>-7.2783188108661578E-3</v>
      </c>
    </row>
    <row r="1331" spans="1:7">
      <c r="A1331" s="45">
        <v>96.85</v>
      </c>
      <c r="B1331" s="45">
        <v>97.27</v>
      </c>
      <c r="C1331" s="45">
        <v>95.46</v>
      </c>
      <c r="D1331" s="45">
        <v>97.04</v>
      </c>
      <c r="E1331" s="45">
        <v>34909037</v>
      </c>
      <c r="F1331" s="45" t="s">
        <v>1338</v>
      </c>
      <c r="G1331" s="25">
        <f t="shared" si="18"/>
        <v>-1.9579554822755085E-3</v>
      </c>
    </row>
    <row r="1332" spans="1:7">
      <c r="A1332" s="45">
        <v>97.12</v>
      </c>
      <c r="B1332" s="45">
        <v>97.98</v>
      </c>
      <c r="C1332" s="45">
        <v>95.45</v>
      </c>
      <c r="D1332" s="45">
        <v>95.93</v>
      </c>
      <c r="E1332" s="45">
        <v>57305100</v>
      </c>
      <c r="F1332" s="45" t="s">
        <v>1339</v>
      </c>
      <c r="G1332" s="25">
        <f t="shared" si="18"/>
        <v>1.2404878557281229E-2</v>
      </c>
    </row>
    <row r="1333" spans="1:7">
      <c r="A1333" s="45">
        <v>94.78</v>
      </c>
      <c r="B1333" s="45">
        <v>95.41</v>
      </c>
      <c r="C1333" s="45">
        <v>91.85</v>
      </c>
      <c r="D1333" s="45">
        <v>92.204999999999998</v>
      </c>
      <c r="E1333" s="45">
        <v>48026426</v>
      </c>
      <c r="F1333" s="45" t="s">
        <v>1340</v>
      </c>
      <c r="G1333" s="25">
        <f t="shared" si="18"/>
        <v>2.7926902011821575E-2</v>
      </c>
    </row>
    <row r="1334" spans="1:7">
      <c r="A1334" s="45">
        <v>91.65</v>
      </c>
      <c r="B1334" s="45">
        <v>92.33</v>
      </c>
      <c r="C1334" s="45">
        <v>90.16</v>
      </c>
      <c r="D1334" s="45">
        <v>91.54</v>
      </c>
      <c r="E1334" s="45">
        <v>28368145</v>
      </c>
      <c r="F1334" s="45" t="s">
        <v>1341</v>
      </c>
      <c r="G1334" s="25">
        <f t="shared" ref="G1334:G1397" si="19">A1334/D1334-1</f>
        <v>1.2016604762945526E-3</v>
      </c>
    </row>
    <row r="1335" spans="1:7">
      <c r="A1335" s="45">
        <v>91.66</v>
      </c>
      <c r="B1335" s="45">
        <v>92.09</v>
      </c>
      <c r="C1335" s="45">
        <v>89.029700000000005</v>
      </c>
      <c r="D1335" s="45">
        <v>89.55</v>
      </c>
      <c r="E1335" s="45">
        <v>33804412</v>
      </c>
      <c r="F1335" s="45" t="s">
        <v>1342</v>
      </c>
      <c r="G1335" s="25">
        <f t="shared" si="19"/>
        <v>2.35622557230597E-2</v>
      </c>
    </row>
    <row r="1336" spans="1:7">
      <c r="A1336" s="45">
        <v>89.83</v>
      </c>
      <c r="B1336" s="45">
        <v>94.7</v>
      </c>
      <c r="C1336" s="45">
        <v>89.16</v>
      </c>
      <c r="D1336" s="45">
        <v>92.76</v>
      </c>
      <c r="E1336" s="45">
        <v>52170379</v>
      </c>
      <c r="F1336" s="45" t="s">
        <v>1343</v>
      </c>
      <c r="G1336" s="25">
        <f t="shared" si="19"/>
        <v>-3.1586890901250664E-2</v>
      </c>
    </row>
    <row r="1337" spans="1:7">
      <c r="A1337" s="45">
        <v>92.92</v>
      </c>
      <c r="B1337" s="45">
        <v>94.74</v>
      </c>
      <c r="C1337" s="45">
        <v>91.9</v>
      </c>
      <c r="D1337" s="45">
        <v>94.05</v>
      </c>
      <c r="E1337" s="45">
        <v>33907510</v>
      </c>
      <c r="F1337" s="45" t="s">
        <v>1344</v>
      </c>
      <c r="G1337" s="25">
        <f t="shared" si="19"/>
        <v>-1.2014885699096145E-2</v>
      </c>
    </row>
    <row r="1338" spans="1:7">
      <c r="A1338" s="45">
        <v>94.07</v>
      </c>
      <c r="B1338" s="45">
        <v>95</v>
      </c>
      <c r="C1338" s="45">
        <v>92.97</v>
      </c>
      <c r="D1338" s="45">
        <v>94.95</v>
      </c>
      <c r="E1338" s="45">
        <v>39815654</v>
      </c>
      <c r="F1338" s="45" t="s">
        <v>1345</v>
      </c>
      <c r="G1338" s="25">
        <f t="shared" si="19"/>
        <v>-9.2680358083202519E-3</v>
      </c>
    </row>
    <row r="1339" spans="1:7">
      <c r="A1339" s="45">
        <v>94.04</v>
      </c>
      <c r="B1339" s="45">
        <v>94.58</v>
      </c>
      <c r="C1339" s="45">
        <v>90.63</v>
      </c>
      <c r="D1339" s="45">
        <v>92.58</v>
      </c>
      <c r="E1339" s="45">
        <v>45570273</v>
      </c>
      <c r="F1339" s="45" t="s">
        <v>1346</v>
      </c>
      <c r="G1339" s="25">
        <f t="shared" si="19"/>
        <v>1.5770144739684744E-2</v>
      </c>
    </row>
    <row r="1340" spans="1:7">
      <c r="A1340" s="45">
        <v>92.31</v>
      </c>
      <c r="B1340" s="45">
        <v>94.7</v>
      </c>
      <c r="C1340" s="45">
        <v>92.01</v>
      </c>
      <c r="D1340" s="45">
        <v>94.06</v>
      </c>
      <c r="E1340" s="45">
        <v>35859716</v>
      </c>
      <c r="F1340" s="45" t="s">
        <v>1347</v>
      </c>
      <c r="G1340" s="25">
        <f t="shared" si="19"/>
        <v>-1.8605145651711674E-2</v>
      </c>
    </row>
    <row r="1341" spans="1:7">
      <c r="A1341" s="45">
        <v>93.74</v>
      </c>
      <c r="B1341" s="45">
        <v>96.37</v>
      </c>
      <c r="C1341" s="45">
        <v>92.525300000000001</v>
      </c>
      <c r="D1341" s="45">
        <v>92.89</v>
      </c>
      <c r="E1341" s="45">
        <v>57988822</v>
      </c>
      <c r="F1341" s="45" t="s">
        <v>1348</v>
      </c>
      <c r="G1341" s="25">
        <f t="shared" si="19"/>
        <v>9.1506082463128635E-3</v>
      </c>
    </row>
    <row r="1342" spans="1:7">
      <c r="A1342" s="45">
        <v>92.63</v>
      </c>
      <c r="B1342" s="45">
        <v>93.9</v>
      </c>
      <c r="C1342" s="45">
        <v>90.78</v>
      </c>
      <c r="D1342" s="45">
        <v>92.25</v>
      </c>
      <c r="E1342" s="45">
        <v>58670527</v>
      </c>
      <c r="F1342" s="45" t="s">
        <v>1349</v>
      </c>
      <c r="G1342" s="25">
        <f t="shared" si="19"/>
        <v>4.1192411924118044E-3</v>
      </c>
    </row>
    <row r="1343" spans="1:7">
      <c r="A1343" s="45">
        <v>92.66</v>
      </c>
      <c r="B1343" s="45">
        <v>92.74</v>
      </c>
      <c r="C1343" s="45">
        <v>86.53</v>
      </c>
      <c r="D1343" s="45">
        <v>87.33</v>
      </c>
      <c r="E1343" s="45">
        <v>84482979</v>
      </c>
      <c r="F1343" s="45" t="s">
        <v>1350</v>
      </c>
      <c r="G1343" s="25">
        <f t="shared" si="19"/>
        <v>6.1032863849765251E-2</v>
      </c>
    </row>
    <row r="1344" spans="1:7">
      <c r="A1344" s="45">
        <v>87.19</v>
      </c>
      <c r="B1344" s="45">
        <v>88</v>
      </c>
      <c r="C1344" s="45">
        <v>86.359800000000007</v>
      </c>
      <c r="D1344" s="45">
        <v>87.99</v>
      </c>
      <c r="E1344" s="45">
        <v>22717638</v>
      </c>
      <c r="F1344" s="45" t="s">
        <v>1351</v>
      </c>
      <c r="G1344" s="25">
        <f t="shared" si="19"/>
        <v>-9.0919422661666083E-3</v>
      </c>
    </row>
    <row r="1345" spans="1:7">
      <c r="A1345" s="45">
        <v>86.71</v>
      </c>
      <c r="B1345" s="45">
        <v>87.84</v>
      </c>
      <c r="C1345" s="45">
        <v>85.52</v>
      </c>
      <c r="D1345" s="45">
        <v>85.76</v>
      </c>
      <c r="E1345" s="45">
        <v>41349727</v>
      </c>
      <c r="F1345" s="45" t="s">
        <v>1352</v>
      </c>
      <c r="G1345" s="25">
        <f t="shared" si="19"/>
        <v>1.1077425373134275E-2</v>
      </c>
    </row>
    <row r="1346" spans="1:7">
      <c r="A1346" s="45">
        <v>85.07</v>
      </c>
      <c r="B1346" s="45">
        <v>86.11</v>
      </c>
      <c r="C1346" s="45">
        <v>83.32</v>
      </c>
      <c r="D1346" s="45">
        <v>85.723500000000001</v>
      </c>
      <c r="E1346" s="45">
        <v>36839174</v>
      </c>
      <c r="F1346" s="45" t="s">
        <v>1353</v>
      </c>
      <c r="G1346" s="25">
        <f t="shared" si="19"/>
        <v>-7.6233471568474265E-3</v>
      </c>
    </row>
    <row r="1347" spans="1:7">
      <c r="A1347" s="45">
        <v>85.31</v>
      </c>
      <c r="B1347" s="45">
        <v>87.54</v>
      </c>
      <c r="C1347" s="45">
        <v>84.614999999999995</v>
      </c>
      <c r="D1347" s="45">
        <v>85.52</v>
      </c>
      <c r="E1347" s="45">
        <v>46504964</v>
      </c>
      <c r="F1347" s="45" t="s">
        <v>1354</v>
      </c>
      <c r="G1347" s="25">
        <f t="shared" si="19"/>
        <v>-2.4555659494853721E-3</v>
      </c>
    </row>
    <row r="1348" spans="1:7">
      <c r="A1348" s="45">
        <v>84.64</v>
      </c>
      <c r="B1348" s="45">
        <v>86.1</v>
      </c>
      <c r="C1348" s="45">
        <v>84.47</v>
      </c>
      <c r="D1348" s="45">
        <v>85.28</v>
      </c>
      <c r="E1348" s="45">
        <v>35008427</v>
      </c>
      <c r="F1348" s="45" t="s">
        <v>1355</v>
      </c>
      <c r="G1348" s="25">
        <f t="shared" si="19"/>
        <v>-7.5046904315196894E-3</v>
      </c>
    </row>
    <row r="1349" spans="1:7">
      <c r="A1349" s="45">
        <v>85.54</v>
      </c>
      <c r="B1349" s="45">
        <v>85.64</v>
      </c>
      <c r="C1349" s="45">
        <v>81.72</v>
      </c>
      <c r="D1349" s="45">
        <v>82.39</v>
      </c>
      <c r="E1349" s="45">
        <v>50116759</v>
      </c>
      <c r="F1349" s="45" t="s">
        <v>1356</v>
      </c>
      <c r="G1349" s="25">
        <f t="shared" si="19"/>
        <v>3.8232795242141071E-2</v>
      </c>
    </row>
    <row r="1350" spans="1:7">
      <c r="A1350" s="45">
        <v>82.54</v>
      </c>
      <c r="B1350" s="45">
        <v>83.954999999999998</v>
      </c>
      <c r="C1350" s="45">
        <v>82.22</v>
      </c>
      <c r="D1350" s="45">
        <v>83.013499999999993</v>
      </c>
      <c r="E1350" s="45">
        <v>29967958</v>
      </c>
      <c r="F1350" s="45" t="s">
        <v>1357</v>
      </c>
      <c r="G1350" s="25">
        <f t="shared" si="19"/>
        <v>-5.7038915357139341E-3</v>
      </c>
    </row>
    <row r="1351" spans="1:7">
      <c r="A1351" s="45">
        <v>83.36</v>
      </c>
      <c r="B1351" s="45">
        <v>84.81</v>
      </c>
      <c r="C1351" s="45">
        <v>82.91</v>
      </c>
      <c r="D1351" s="45">
        <v>83.9298</v>
      </c>
      <c r="E1351" s="45">
        <v>29473512</v>
      </c>
      <c r="F1351" s="45" t="s">
        <v>1358</v>
      </c>
      <c r="G1351" s="25">
        <f t="shared" si="19"/>
        <v>-6.7890070034719585E-3</v>
      </c>
    </row>
    <row r="1352" spans="1:7">
      <c r="A1352" s="45">
        <v>83.73</v>
      </c>
      <c r="B1352" s="45">
        <v>83.78</v>
      </c>
      <c r="C1352" s="45">
        <v>80.48</v>
      </c>
      <c r="D1352" s="45">
        <v>81.209999999999994</v>
      </c>
      <c r="E1352" s="45">
        <v>38640842</v>
      </c>
      <c r="F1352" s="45" t="s">
        <v>1359</v>
      </c>
      <c r="G1352" s="25">
        <f t="shared" si="19"/>
        <v>3.1030661248614866E-2</v>
      </c>
    </row>
    <row r="1353" spans="1:7">
      <c r="A1353" s="45">
        <v>81.430000000000007</v>
      </c>
      <c r="B1353" s="45">
        <v>83.11</v>
      </c>
      <c r="C1353" s="45">
        <v>80.7</v>
      </c>
      <c r="D1353" s="45">
        <v>82.73</v>
      </c>
      <c r="E1353" s="45">
        <v>30448461</v>
      </c>
      <c r="F1353" s="45" t="s">
        <v>1360</v>
      </c>
      <c r="G1353" s="25">
        <f t="shared" si="19"/>
        <v>-1.5713767677988599E-2</v>
      </c>
    </row>
    <row r="1354" spans="1:7">
      <c r="A1354" s="45">
        <v>81.84</v>
      </c>
      <c r="B1354" s="45">
        <v>83</v>
      </c>
      <c r="C1354" s="45">
        <v>80.3</v>
      </c>
      <c r="D1354" s="45">
        <v>81.319999999999993</v>
      </c>
      <c r="E1354" s="45">
        <v>37303106</v>
      </c>
      <c r="F1354" s="45" t="s">
        <v>1361</v>
      </c>
      <c r="G1354" s="25">
        <f t="shared" si="19"/>
        <v>6.3944909001476535E-3</v>
      </c>
    </row>
    <row r="1355" spans="1:7">
      <c r="A1355" s="45">
        <v>81.28</v>
      </c>
      <c r="B1355" s="45">
        <v>81.47</v>
      </c>
      <c r="C1355" s="45">
        <v>78.97</v>
      </c>
      <c r="D1355" s="45">
        <v>79.39</v>
      </c>
      <c r="E1355" s="45">
        <v>44611250</v>
      </c>
      <c r="F1355" s="45" t="s">
        <v>1362</v>
      </c>
      <c r="G1355" s="25">
        <f t="shared" si="19"/>
        <v>2.380652475122802E-2</v>
      </c>
    </row>
    <row r="1356" spans="1:7">
      <c r="A1356" s="45">
        <v>77.989999999999995</v>
      </c>
      <c r="B1356" s="45">
        <v>82.13</v>
      </c>
      <c r="C1356" s="45">
        <v>77.63</v>
      </c>
      <c r="D1356" s="45">
        <v>81.93</v>
      </c>
      <c r="E1356" s="45">
        <v>67137196</v>
      </c>
      <c r="F1356" s="45" t="s">
        <v>1363</v>
      </c>
      <c r="G1356" s="25">
        <f t="shared" si="19"/>
        <v>-4.8089832784084074E-2</v>
      </c>
    </row>
    <row r="1357" spans="1:7">
      <c r="A1357" s="45">
        <v>83.12</v>
      </c>
      <c r="B1357" s="45">
        <v>87.05</v>
      </c>
      <c r="C1357" s="45">
        <v>82.77</v>
      </c>
      <c r="D1357" s="45">
        <v>84.24</v>
      </c>
      <c r="E1357" s="45">
        <v>58580684</v>
      </c>
      <c r="F1357" s="45" t="s">
        <v>1364</v>
      </c>
      <c r="G1357" s="25">
        <f t="shared" si="19"/>
        <v>-1.3295346628679816E-2</v>
      </c>
    </row>
    <row r="1358" spans="1:7">
      <c r="A1358" s="45">
        <v>85.88</v>
      </c>
      <c r="B1358" s="45">
        <v>86.09</v>
      </c>
      <c r="C1358" s="45">
        <v>82.67</v>
      </c>
      <c r="D1358" s="45">
        <v>83.52</v>
      </c>
      <c r="E1358" s="45">
        <v>53829936</v>
      </c>
      <c r="F1358" s="45" t="s">
        <v>1365</v>
      </c>
      <c r="G1358" s="25">
        <f t="shared" si="19"/>
        <v>2.8256704980842873E-2</v>
      </c>
    </row>
    <row r="1359" spans="1:7">
      <c r="A1359" s="45">
        <v>83</v>
      </c>
      <c r="B1359" s="45">
        <v>83.5</v>
      </c>
      <c r="C1359" s="45">
        <v>81.849999999999994</v>
      </c>
      <c r="D1359" s="45">
        <v>83.27</v>
      </c>
      <c r="E1359" s="45">
        <v>46542267</v>
      </c>
      <c r="F1359" s="45" t="s">
        <v>1366</v>
      </c>
      <c r="G1359" s="25">
        <f t="shared" si="19"/>
        <v>-3.2424642728473563E-3</v>
      </c>
    </row>
    <row r="1360" spans="1:7">
      <c r="A1360" s="45">
        <v>81.349999999999994</v>
      </c>
      <c r="B1360" s="45">
        <v>81.849999999999994</v>
      </c>
      <c r="C1360" s="45">
        <v>78.974999999999994</v>
      </c>
      <c r="D1360" s="45">
        <v>80.25</v>
      </c>
      <c r="E1360" s="45">
        <v>66579711</v>
      </c>
      <c r="F1360" s="45" t="s">
        <v>1367</v>
      </c>
      <c r="G1360" s="25">
        <f t="shared" si="19"/>
        <v>1.3707165109034136E-2</v>
      </c>
    </row>
    <row r="1361" spans="1:7">
      <c r="A1361" s="45">
        <v>76.58</v>
      </c>
      <c r="B1361" s="45">
        <v>77.08</v>
      </c>
      <c r="C1361" s="45">
        <v>74.599999999999994</v>
      </c>
      <c r="D1361" s="45">
        <v>74.930000000000007</v>
      </c>
      <c r="E1361" s="45">
        <v>41231803</v>
      </c>
      <c r="F1361" s="45" t="s">
        <v>1368</v>
      </c>
      <c r="G1361" s="25">
        <f t="shared" si="19"/>
        <v>2.2020552515681135E-2</v>
      </c>
    </row>
    <row r="1362" spans="1:7">
      <c r="A1362" s="45">
        <v>74.7</v>
      </c>
      <c r="B1362" s="45">
        <v>76.339799999999997</v>
      </c>
      <c r="C1362" s="45">
        <v>73.757300000000001</v>
      </c>
      <c r="D1362" s="45">
        <v>75.849999999999994</v>
      </c>
      <c r="E1362" s="45">
        <v>45760659</v>
      </c>
      <c r="F1362" s="45" t="s">
        <v>1369</v>
      </c>
      <c r="G1362" s="25">
        <f t="shared" si="19"/>
        <v>-1.5161502966380858E-2</v>
      </c>
    </row>
    <row r="1363" spans="1:7">
      <c r="A1363" s="45">
        <v>75.290000000000006</v>
      </c>
      <c r="B1363" s="45">
        <v>77.7</v>
      </c>
      <c r="C1363" s="45">
        <v>74.23</v>
      </c>
      <c r="D1363" s="45">
        <v>77.09</v>
      </c>
      <c r="E1363" s="45">
        <v>51426174</v>
      </c>
      <c r="F1363" s="45" t="s">
        <v>1370</v>
      </c>
      <c r="G1363" s="25">
        <f t="shared" si="19"/>
        <v>-2.334933194966915E-2</v>
      </c>
    </row>
    <row r="1364" spans="1:7">
      <c r="A1364" s="45">
        <v>78.02</v>
      </c>
      <c r="B1364" s="45">
        <v>79.180000000000007</v>
      </c>
      <c r="C1364" s="45">
        <v>76.290000000000006</v>
      </c>
      <c r="D1364" s="45">
        <v>76.75</v>
      </c>
      <c r="E1364" s="45">
        <v>52784087</v>
      </c>
      <c r="F1364" s="45" t="s">
        <v>1371</v>
      </c>
      <c r="G1364" s="25">
        <f t="shared" si="19"/>
        <v>1.6547231270358287E-2</v>
      </c>
    </row>
    <row r="1365" spans="1:7">
      <c r="A1365" s="45">
        <v>76.400000000000006</v>
      </c>
      <c r="B1365" s="45">
        <v>78.959999999999994</v>
      </c>
      <c r="C1365" s="45">
        <v>75.760000000000005</v>
      </c>
      <c r="D1365" s="45">
        <v>78.73</v>
      </c>
      <c r="E1365" s="45">
        <v>76529910</v>
      </c>
      <c r="F1365" s="45" t="s">
        <v>1372</v>
      </c>
      <c r="G1365" s="25">
        <f t="shared" si="19"/>
        <v>-2.9594817731487311E-2</v>
      </c>
    </row>
    <row r="1366" spans="1:7">
      <c r="A1366" s="45">
        <v>78.88</v>
      </c>
      <c r="B1366" s="45">
        <v>82.37</v>
      </c>
      <c r="C1366" s="45">
        <v>77.569999999999993</v>
      </c>
      <c r="D1366" s="45">
        <v>82</v>
      </c>
      <c r="E1366" s="45">
        <v>156669494</v>
      </c>
      <c r="F1366" s="45" t="s">
        <v>1373</v>
      </c>
      <c r="G1366" s="25">
        <f t="shared" si="19"/>
        <v>-3.8048780487804912E-2</v>
      </c>
    </row>
    <row r="1367" spans="1:7">
      <c r="A1367" s="45">
        <v>82.23</v>
      </c>
      <c r="B1367" s="45">
        <v>84.97</v>
      </c>
      <c r="C1367" s="45">
        <v>80.86</v>
      </c>
      <c r="D1367" s="45">
        <v>82.55</v>
      </c>
      <c r="E1367" s="45">
        <v>69423675</v>
      </c>
      <c r="F1367" s="45" t="s">
        <v>1374</v>
      </c>
      <c r="G1367" s="25">
        <f t="shared" si="19"/>
        <v>-3.876438522107728E-3</v>
      </c>
    </row>
    <row r="1368" spans="1:7">
      <c r="A1368" s="45">
        <v>81.96</v>
      </c>
      <c r="B1368" s="45">
        <v>81.99</v>
      </c>
      <c r="C1368" s="45">
        <v>79.33</v>
      </c>
      <c r="D1368" s="45">
        <v>80.930000000000007</v>
      </c>
      <c r="E1368" s="45">
        <v>46557675</v>
      </c>
      <c r="F1368" s="45" t="s">
        <v>1375</v>
      </c>
      <c r="G1368" s="25">
        <f t="shared" si="19"/>
        <v>1.2727048066229818E-2</v>
      </c>
    </row>
    <row r="1369" spans="1:7">
      <c r="A1369" s="45">
        <v>79.42</v>
      </c>
      <c r="B1369" s="45">
        <v>80.819999999999993</v>
      </c>
      <c r="C1369" s="45">
        <v>78.42</v>
      </c>
      <c r="D1369" s="45">
        <v>79.650000000000006</v>
      </c>
      <c r="E1369" s="45">
        <v>38006798</v>
      </c>
      <c r="F1369" s="45" t="s">
        <v>1376</v>
      </c>
      <c r="G1369" s="25">
        <f t="shared" si="19"/>
        <v>-2.8876333961079803E-3</v>
      </c>
    </row>
    <row r="1370" spans="1:7">
      <c r="A1370" s="45">
        <v>79.2</v>
      </c>
      <c r="B1370" s="45">
        <v>81.929900000000004</v>
      </c>
      <c r="C1370" s="45">
        <v>79.19</v>
      </c>
      <c r="D1370" s="45">
        <v>81.72</v>
      </c>
      <c r="E1370" s="45">
        <v>36426409</v>
      </c>
      <c r="F1370" s="45" t="s">
        <v>1377</v>
      </c>
      <c r="G1370" s="25">
        <f t="shared" si="19"/>
        <v>-3.083700440528625E-2</v>
      </c>
    </row>
    <row r="1371" spans="1:7">
      <c r="A1371" s="45">
        <v>81.56</v>
      </c>
      <c r="B1371" s="45">
        <v>82.69</v>
      </c>
      <c r="C1371" s="45">
        <v>80.58</v>
      </c>
      <c r="D1371" s="45">
        <v>82.16</v>
      </c>
      <c r="E1371" s="45">
        <v>38219415</v>
      </c>
      <c r="F1371" s="45" t="s">
        <v>1378</v>
      </c>
      <c r="G1371" s="25">
        <f t="shared" si="19"/>
        <v>-7.3028237585198719E-3</v>
      </c>
    </row>
    <row r="1372" spans="1:7">
      <c r="A1372" s="45">
        <v>82</v>
      </c>
      <c r="B1372" s="45">
        <v>84.65</v>
      </c>
      <c r="C1372" s="45">
        <v>81.53</v>
      </c>
      <c r="D1372" s="45">
        <v>83.62</v>
      </c>
      <c r="E1372" s="45">
        <v>36689114</v>
      </c>
      <c r="F1372" s="45" t="s">
        <v>1379</v>
      </c>
      <c r="G1372" s="25">
        <f t="shared" si="19"/>
        <v>-1.9373355656541524E-2</v>
      </c>
    </row>
    <row r="1373" spans="1:7">
      <c r="A1373" s="45">
        <v>83.17</v>
      </c>
      <c r="B1373" s="45">
        <v>83.99</v>
      </c>
      <c r="C1373" s="45">
        <v>82.41</v>
      </c>
      <c r="D1373" s="45">
        <v>83.54</v>
      </c>
      <c r="E1373" s="45">
        <v>31474294</v>
      </c>
      <c r="F1373" s="45" t="s">
        <v>1380</v>
      </c>
      <c r="G1373" s="25">
        <f t="shared" si="19"/>
        <v>-4.4290160402202794E-3</v>
      </c>
    </row>
    <row r="1374" spans="1:7">
      <c r="A1374" s="45">
        <v>83.13</v>
      </c>
      <c r="B1374" s="45">
        <v>84.720100000000002</v>
      </c>
      <c r="C1374" s="45">
        <v>82.42</v>
      </c>
      <c r="D1374" s="45">
        <v>83.4</v>
      </c>
      <c r="E1374" s="45">
        <v>33696414</v>
      </c>
      <c r="F1374" s="45" t="s">
        <v>1381</v>
      </c>
      <c r="G1374" s="25">
        <f t="shared" si="19"/>
        <v>-3.2374100719425591E-3</v>
      </c>
    </row>
    <row r="1375" spans="1:7">
      <c r="A1375" s="45">
        <v>84.21</v>
      </c>
      <c r="B1375" s="45">
        <v>85.96</v>
      </c>
      <c r="C1375" s="45">
        <v>83.46</v>
      </c>
      <c r="D1375" s="45">
        <v>85.86</v>
      </c>
      <c r="E1375" s="45">
        <v>40446735</v>
      </c>
      <c r="F1375" s="45" t="s">
        <v>1382</v>
      </c>
      <c r="G1375" s="25">
        <f t="shared" si="19"/>
        <v>-1.9217330538085275E-2</v>
      </c>
    </row>
    <row r="1376" spans="1:7">
      <c r="A1376" s="45">
        <v>85.28</v>
      </c>
      <c r="B1376" s="45">
        <v>86.09</v>
      </c>
      <c r="C1376" s="45">
        <v>83.973299999999995</v>
      </c>
      <c r="D1376" s="45">
        <v>84.86</v>
      </c>
      <c r="E1376" s="45">
        <v>42764096</v>
      </c>
      <c r="F1376" s="45" t="s">
        <v>1383</v>
      </c>
      <c r="G1376" s="25">
        <f t="shared" si="19"/>
        <v>4.9493283054442561E-3</v>
      </c>
    </row>
    <row r="1377" spans="1:7">
      <c r="A1377" s="45">
        <v>84.29</v>
      </c>
      <c r="B1377" s="45">
        <v>85.13</v>
      </c>
      <c r="C1377" s="45">
        <v>83.12</v>
      </c>
      <c r="D1377" s="45">
        <v>83.65</v>
      </c>
      <c r="E1377" s="45">
        <v>47669699</v>
      </c>
      <c r="F1377" s="45" t="s">
        <v>1384</v>
      </c>
      <c r="G1377" s="25">
        <f t="shared" si="19"/>
        <v>7.6509264793782616E-3</v>
      </c>
    </row>
    <row r="1378" spans="1:7">
      <c r="A1378" s="45">
        <v>83.1</v>
      </c>
      <c r="B1378" s="45">
        <v>85.75</v>
      </c>
      <c r="C1378" s="45">
        <v>82.346500000000006</v>
      </c>
      <c r="D1378" s="45">
        <v>84.74</v>
      </c>
      <c r="E1378" s="45">
        <v>80354389</v>
      </c>
      <c r="F1378" s="45" t="s">
        <v>1385</v>
      </c>
      <c r="G1378" s="25">
        <f t="shared" si="19"/>
        <v>-1.9353316025489731E-2</v>
      </c>
    </row>
    <row r="1379" spans="1:7">
      <c r="A1379" s="45">
        <v>86.51</v>
      </c>
      <c r="B1379" s="45">
        <v>88.72</v>
      </c>
      <c r="C1379" s="45">
        <v>85.95</v>
      </c>
      <c r="D1379" s="45">
        <v>88.11</v>
      </c>
      <c r="E1379" s="45">
        <v>54240704</v>
      </c>
      <c r="F1379" s="45" t="s">
        <v>1386</v>
      </c>
      <c r="G1379" s="25">
        <f t="shared" si="19"/>
        <v>-1.8159119282714742E-2</v>
      </c>
    </row>
    <row r="1380" spans="1:7">
      <c r="A1380" s="45">
        <v>86.69</v>
      </c>
      <c r="B1380" s="45">
        <v>87.79</v>
      </c>
      <c r="C1380" s="45">
        <v>85.65</v>
      </c>
      <c r="D1380" s="45">
        <v>86.1</v>
      </c>
      <c r="E1380" s="45">
        <v>43045723</v>
      </c>
      <c r="F1380" s="45" t="s">
        <v>1387</v>
      </c>
      <c r="G1380" s="25">
        <f t="shared" si="19"/>
        <v>6.852497096399679E-3</v>
      </c>
    </row>
    <row r="1381" spans="1:7">
      <c r="A1381" s="45">
        <v>84.48</v>
      </c>
      <c r="B1381" s="45">
        <v>87.25</v>
      </c>
      <c r="C1381" s="45">
        <v>83.54</v>
      </c>
      <c r="D1381" s="45">
        <v>86.21</v>
      </c>
      <c r="E1381" s="45">
        <v>52725432</v>
      </c>
      <c r="F1381" s="45" t="s">
        <v>1388</v>
      </c>
      <c r="G1381" s="25">
        <f t="shared" si="19"/>
        <v>-2.0067277578007081E-2</v>
      </c>
    </row>
    <row r="1382" spans="1:7">
      <c r="A1382" s="45">
        <v>86.15</v>
      </c>
      <c r="B1382" s="45">
        <v>86.281899999999993</v>
      </c>
      <c r="C1382" s="45">
        <v>82.55</v>
      </c>
      <c r="D1382" s="45">
        <v>82.55</v>
      </c>
      <c r="E1382" s="45">
        <v>47056522</v>
      </c>
      <c r="F1382" s="45" t="s">
        <v>1389</v>
      </c>
      <c r="G1382" s="25">
        <f t="shared" si="19"/>
        <v>4.3609933373712995E-2</v>
      </c>
    </row>
    <row r="1383" spans="1:7">
      <c r="A1383" s="45">
        <v>81.8</v>
      </c>
      <c r="B1383" s="45">
        <v>84.65</v>
      </c>
      <c r="C1383" s="45">
        <v>81.66</v>
      </c>
      <c r="D1383" s="45">
        <v>82.58</v>
      </c>
      <c r="E1383" s="45">
        <v>52855053</v>
      </c>
      <c r="F1383" s="45" t="s">
        <v>1390</v>
      </c>
      <c r="G1383" s="25">
        <f t="shared" si="19"/>
        <v>-9.445386292080471E-3</v>
      </c>
    </row>
    <row r="1384" spans="1:7">
      <c r="A1384" s="45">
        <v>84.86</v>
      </c>
      <c r="B1384" s="45">
        <v>85.25</v>
      </c>
      <c r="C1384" s="45">
        <v>82.86</v>
      </c>
      <c r="D1384" s="45">
        <v>83.06</v>
      </c>
      <c r="E1384" s="45">
        <v>52177123</v>
      </c>
      <c r="F1384" s="45" t="s">
        <v>1391</v>
      </c>
      <c r="G1384" s="25">
        <f t="shared" si="19"/>
        <v>2.1671081146159343E-2</v>
      </c>
    </row>
    <row r="1385" spans="1:7">
      <c r="A1385" s="45">
        <v>81.99</v>
      </c>
      <c r="B1385" s="45">
        <v>82.94</v>
      </c>
      <c r="C1385" s="45">
        <v>80.66</v>
      </c>
      <c r="D1385" s="45">
        <v>81.75</v>
      </c>
      <c r="E1385" s="45">
        <v>51533664</v>
      </c>
      <c r="F1385" s="45" t="s">
        <v>1392</v>
      </c>
      <c r="G1385" s="25">
        <f t="shared" si="19"/>
        <v>2.9357798165137172E-3</v>
      </c>
    </row>
    <row r="1386" spans="1:7">
      <c r="A1386" s="45">
        <v>81.77</v>
      </c>
      <c r="B1386" s="45">
        <v>82.55</v>
      </c>
      <c r="C1386" s="45">
        <v>79.3</v>
      </c>
      <c r="D1386" s="45">
        <v>79.3</v>
      </c>
      <c r="E1386" s="45">
        <v>61633672</v>
      </c>
      <c r="F1386" s="45" t="s">
        <v>1393</v>
      </c>
      <c r="G1386" s="25">
        <f t="shared" si="19"/>
        <v>3.1147540983606614E-2</v>
      </c>
    </row>
    <row r="1387" spans="1:7">
      <c r="A1387" s="45">
        <v>79.48</v>
      </c>
      <c r="B1387" s="45">
        <v>79.569999999999993</v>
      </c>
      <c r="C1387" s="45">
        <v>77.52</v>
      </c>
      <c r="D1387" s="45">
        <v>79.116500000000002</v>
      </c>
      <c r="E1387" s="45">
        <v>48005488</v>
      </c>
      <c r="F1387" s="45" t="s">
        <v>1394</v>
      </c>
      <c r="G1387" s="25">
        <f t="shared" si="19"/>
        <v>4.5944904033925482E-3</v>
      </c>
    </row>
    <row r="1388" spans="1:7">
      <c r="A1388" s="45">
        <v>78.055000000000007</v>
      </c>
      <c r="B1388" s="45">
        <v>78.2</v>
      </c>
      <c r="C1388" s="45">
        <v>74.67</v>
      </c>
      <c r="D1388" s="45">
        <v>76.349999999999994</v>
      </c>
      <c r="E1388" s="45">
        <v>48206242</v>
      </c>
      <c r="F1388" s="45" t="s">
        <v>1395</v>
      </c>
      <c r="G1388" s="25">
        <f t="shared" si="19"/>
        <v>2.2331368696791198E-2</v>
      </c>
    </row>
    <row r="1389" spans="1:7">
      <c r="A1389" s="45">
        <v>75.819999999999993</v>
      </c>
      <c r="B1389" s="45">
        <v>77.25</v>
      </c>
      <c r="C1389" s="45">
        <v>73.900000000000006</v>
      </c>
      <c r="D1389" s="45">
        <v>74.540000000000006</v>
      </c>
      <c r="E1389" s="45">
        <v>57540926</v>
      </c>
      <c r="F1389" s="45" t="s">
        <v>1396</v>
      </c>
      <c r="G1389" s="25">
        <f t="shared" si="19"/>
        <v>1.7171988194258025E-2</v>
      </c>
    </row>
    <row r="1390" spans="1:7">
      <c r="A1390" s="45">
        <v>74.73</v>
      </c>
      <c r="B1390" s="45">
        <v>77.91</v>
      </c>
      <c r="C1390" s="45">
        <v>74.34</v>
      </c>
      <c r="D1390" s="45">
        <v>77.39</v>
      </c>
      <c r="E1390" s="45">
        <v>42327514</v>
      </c>
      <c r="F1390" s="45" t="s">
        <v>1397</v>
      </c>
      <c r="G1390" s="25">
        <f t="shared" si="19"/>
        <v>-3.4371365809536036E-2</v>
      </c>
    </row>
    <row r="1391" spans="1:7">
      <c r="A1391" s="45">
        <v>77.7</v>
      </c>
      <c r="B1391" s="45">
        <v>78.790000000000006</v>
      </c>
      <c r="C1391" s="45">
        <v>75.27</v>
      </c>
      <c r="D1391" s="45">
        <v>78.364999999999995</v>
      </c>
      <c r="E1391" s="45">
        <v>56044742</v>
      </c>
      <c r="F1391" s="45" t="s">
        <v>1398</v>
      </c>
      <c r="G1391" s="25">
        <f t="shared" si="19"/>
        <v>-8.485931219294196E-3</v>
      </c>
    </row>
    <row r="1392" spans="1:7">
      <c r="A1392" s="45">
        <v>77.94</v>
      </c>
      <c r="B1392" s="45">
        <v>77.98</v>
      </c>
      <c r="C1392" s="45">
        <v>73.88</v>
      </c>
      <c r="D1392" s="45">
        <v>74.23</v>
      </c>
      <c r="E1392" s="45">
        <v>61311970</v>
      </c>
      <c r="F1392" s="45" t="s">
        <v>1399</v>
      </c>
      <c r="G1392" s="25">
        <f t="shared" si="19"/>
        <v>4.9979792536710033E-2</v>
      </c>
    </row>
    <row r="1393" spans="1:7">
      <c r="A1393" s="45">
        <v>74.930000000000007</v>
      </c>
      <c r="B1393" s="45">
        <v>77.400000000000006</v>
      </c>
      <c r="C1393" s="45">
        <v>73.849999999999994</v>
      </c>
      <c r="D1393" s="45">
        <v>77</v>
      </c>
      <c r="E1393" s="45">
        <v>51082857</v>
      </c>
      <c r="F1393" s="45" t="s">
        <v>1400</v>
      </c>
      <c r="G1393" s="25">
        <f t="shared" si="19"/>
        <v>-2.6883116883116842E-2</v>
      </c>
    </row>
    <row r="1394" spans="1:7">
      <c r="A1394" s="45">
        <v>76.55</v>
      </c>
      <c r="B1394" s="45">
        <v>76.625</v>
      </c>
      <c r="C1394" s="45">
        <v>74.2</v>
      </c>
      <c r="D1394" s="45">
        <v>74.88</v>
      </c>
      <c r="E1394" s="45">
        <v>55619100</v>
      </c>
      <c r="F1394" s="45" t="s">
        <v>1401</v>
      </c>
      <c r="G1394" s="25">
        <f t="shared" si="19"/>
        <v>2.2302350427350515E-2</v>
      </c>
    </row>
    <row r="1395" spans="1:7">
      <c r="A1395" s="45">
        <v>76.66</v>
      </c>
      <c r="B1395" s="45">
        <v>79.72</v>
      </c>
      <c r="C1395" s="45">
        <v>76.540000000000006</v>
      </c>
      <c r="D1395" s="45">
        <v>79.349999999999994</v>
      </c>
      <c r="E1395" s="45">
        <v>38445668</v>
      </c>
      <c r="F1395" s="45" t="s">
        <v>1402</v>
      </c>
      <c r="G1395" s="25">
        <f t="shared" si="19"/>
        <v>-3.3900441083805855E-2</v>
      </c>
    </row>
    <row r="1396" spans="1:7">
      <c r="A1396" s="45">
        <v>78.930000000000007</v>
      </c>
      <c r="B1396" s="45">
        <v>80.33</v>
      </c>
      <c r="C1396" s="45">
        <v>75.97</v>
      </c>
      <c r="D1396" s="45">
        <v>77.66</v>
      </c>
      <c r="E1396" s="45">
        <v>57874428</v>
      </c>
      <c r="F1396" s="45" t="s">
        <v>1403</v>
      </c>
      <c r="G1396" s="25">
        <f t="shared" si="19"/>
        <v>1.6353335050218964E-2</v>
      </c>
    </row>
    <row r="1397" spans="1:7">
      <c r="A1397" s="45">
        <v>77.900000000000006</v>
      </c>
      <c r="B1397" s="45">
        <v>78.819999999999993</v>
      </c>
      <c r="C1397" s="45">
        <v>76.260000000000005</v>
      </c>
      <c r="D1397" s="45">
        <v>76.8</v>
      </c>
      <c r="E1397" s="45">
        <v>47448681</v>
      </c>
      <c r="F1397" s="45" t="s">
        <v>1404</v>
      </c>
      <c r="G1397" s="25">
        <f t="shared" si="19"/>
        <v>1.4322916666666741E-2</v>
      </c>
    </row>
    <row r="1398" spans="1:7">
      <c r="A1398" s="45">
        <v>76.34</v>
      </c>
      <c r="B1398" s="45">
        <v>79.989999999999995</v>
      </c>
      <c r="C1398" s="45">
        <v>75.040000000000006</v>
      </c>
      <c r="D1398" s="45">
        <v>79.819999999999993</v>
      </c>
      <c r="E1398" s="45">
        <v>54762990</v>
      </c>
      <c r="F1398" s="45" t="s">
        <v>1405</v>
      </c>
      <c r="G1398" s="25">
        <f t="shared" ref="G1398:G1436" si="20">A1398/D1398-1</f>
        <v>-4.3598095715359442E-2</v>
      </c>
    </row>
    <row r="1399" spans="1:7">
      <c r="A1399" s="45">
        <v>78.98</v>
      </c>
      <c r="B1399" s="45">
        <v>83.31</v>
      </c>
      <c r="C1399" s="45">
        <v>78.38</v>
      </c>
      <c r="D1399" s="45">
        <v>83.07</v>
      </c>
      <c r="E1399" s="45">
        <v>51499396</v>
      </c>
      <c r="F1399" s="45" t="s">
        <v>1406</v>
      </c>
      <c r="G1399" s="25">
        <f t="shared" si="20"/>
        <v>-4.9235584446851943E-2</v>
      </c>
    </row>
    <row r="1400" spans="1:7">
      <c r="A1400" s="45">
        <v>81.91</v>
      </c>
      <c r="B1400" s="45">
        <v>82.44</v>
      </c>
      <c r="C1400" s="45">
        <v>79.28</v>
      </c>
      <c r="D1400" s="45">
        <v>81.400000000000006</v>
      </c>
      <c r="E1400" s="45">
        <v>54163878</v>
      </c>
      <c r="F1400" s="45" t="s">
        <v>1407</v>
      </c>
      <c r="G1400" s="25">
        <f t="shared" si="20"/>
        <v>6.2653562653560702E-3</v>
      </c>
    </row>
    <row r="1401" spans="1:7">
      <c r="A1401" s="45">
        <v>78.69</v>
      </c>
      <c r="B1401" s="45">
        <v>81.88</v>
      </c>
      <c r="C1401" s="45">
        <v>78</v>
      </c>
      <c r="D1401" s="45">
        <v>78.05</v>
      </c>
      <c r="E1401" s="45">
        <v>54955672</v>
      </c>
      <c r="F1401" s="45" t="s">
        <v>1408</v>
      </c>
      <c r="G1401" s="25">
        <f t="shared" si="20"/>
        <v>8.1998718770019963E-3</v>
      </c>
    </row>
    <row r="1402" spans="1:7">
      <c r="A1402" s="45">
        <v>82.01</v>
      </c>
      <c r="B1402" s="45">
        <v>84.39</v>
      </c>
      <c r="C1402" s="45">
        <v>76.33</v>
      </c>
      <c r="D1402" s="45">
        <v>81.45</v>
      </c>
      <c r="E1402" s="45">
        <v>82267760</v>
      </c>
      <c r="F1402" s="45" t="s">
        <v>1409</v>
      </c>
      <c r="G1402" s="25">
        <f t="shared" si="20"/>
        <v>6.8753836709638527E-3</v>
      </c>
    </row>
    <row r="1403" spans="1:7">
      <c r="A1403" s="45">
        <v>82.54</v>
      </c>
      <c r="B1403" s="45">
        <v>88.47</v>
      </c>
      <c r="C1403" s="45">
        <v>81.59</v>
      </c>
      <c r="D1403" s="45">
        <v>87.84</v>
      </c>
      <c r="E1403" s="45">
        <v>87462687</v>
      </c>
      <c r="F1403" s="45" t="s">
        <v>1410</v>
      </c>
      <c r="G1403" s="25">
        <f t="shared" si="20"/>
        <v>-6.033697632058288E-2</v>
      </c>
    </row>
    <row r="1404" spans="1:7">
      <c r="A1404" s="45">
        <v>90.22</v>
      </c>
      <c r="B1404" s="45">
        <v>94.28</v>
      </c>
      <c r="C1404" s="45">
        <v>88.74</v>
      </c>
      <c r="D1404" s="45">
        <v>94.01</v>
      </c>
      <c r="E1404" s="45">
        <v>50366918</v>
      </c>
      <c r="F1404" s="45" t="s">
        <v>1411</v>
      </c>
      <c r="G1404" s="25">
        <f t="shared" si="20"/>
        <v>-4.0314860121263729E-2</v>
      </c>
    </row>
    <row r="1405" spans="1:7">
      <c r="A1405" s="45">
        <v>92.18</v>
      </c>
      <c r="B1405" s="45">
        <v>92.51</v>
      </c>
      <c r="C1405" s="45">
        <v>90.189899999999994</v>
      </c>
      <c r="D1405" s="45">
        <v>91.92</v>
      </c>
      <c r="E1405" s="45">
        <v>56117100</v>
      </c>
      <c r="F1405" s="45" t="s">
        <v>1412</v>
      </c>
      <c r="G1405" s="25">
        <f t="shared" si="20"/>
        <v>2.8285465622279737E-3</v>
      </c>
    </row>
    <row r="1406" spans="1:7">
      <c r="A1406" s="45">
        <v>90.82</v>
      </c>
      <c r="B1406" s="45">
        <v>92.64</v>
      </c>
      <c r="C1406" s="45">
        <v>85.05</v>
      </c>
      <c r="D1406" s="45">
        <v>85.05</v>
      </c>
      <c r="E1406" s="45">
        <v>90655945</v>
      </c>
      <c r="F1406" s="45" t="s">
        <v>1413</v>
      </c>
      <c r="G1406" s="25">
        <f t="shared" si="20"/>
        <v>6.7842445620223346E-2</v>
      </c>
    </row>
    <row r="1407" spans="1:7">
      <c r="A1407" s="45">
        <v>85.55</v>
      </c>
      <c r="B1407" s="45">
        <v>86.04</v>
      </c>
      <c r="C1407" s="45">
        <v>84.19</v>
      </c>
      <c r="D1407" s="45">
        <v>84.3</v>
      </c>
      <c r="E1407" s="45">
        <v>40723268</v>
      </c>
      <c r="F1407" s="45" t="s">
        <v>1414</v>
      </c>
      <c r="G1407" s="25">
        <f t="shared" si="20"/>
        <v>1.4827995255041415E-2</v>
      </c>
    </row>
    <row r="1408" spans="1:7">
      <c r="A1408" s="45">
        <v>83.8</v>
      </c>
      <c r="B1408" s="45">
        <v>86.58</v>
      </c>
      <c r="C1408" s="45">
        <v>82.94</v>
      </c>
      <c r="D1408" s="45">
        <v>86.35</v>
      </c>
      <c r="E1408" s="45">
        <v>42194222</v>
      </c>
      <c r="F1408" s="45" t="s">
        <v>1415</v>
      </c>
      <c r="G1408" s="25">
        <f t="shared" si="20"/>
        <v>-2.9530978575564526E-2</v>
      </c>
    </row>
    <row r="1409" spans="1:7">
      <c r="A1409" s="45">
        <v>86.02</v>
      </c>
      <c r="B1409" s="45">
        <v>87.72</v>
      </c>
      <c r="C1409" s="45">
        <v>85.2</v>
      </c>
      <c r="D1409" s="45">
        <v>86.969399999999993</v>
      </c>
      <c r="E1409" s="45">
        <v>47157273</v>
      </c>
      <c r="F1409" s="45" t="s">
        <v>1416</v>
      </c>
      <c r="G1409" s="25">
        <f t="shared" si="20"/>
        <v>-1.0916483268827881E-2</v>
      </c>
    </row>
    <row r="1410" spans="1:7">
      <c r="A1410" s="45">
        <v>86.35</v>
      </c>
      <c r="B1410" s="45">
        <v>86.62</v>
      </c>
      <c r="C1410" s="45">
        <v>82.35</v>
      </c>
      <c r="D1410" s="45">
        <v>83.36</v>
      </c>
      <c r="E1410" s="45">
        <v>49234399</v>
      </c>
      <c r="F1410" s="45" t="s">
        <v>1417</v>
      </c>
      <c r="G1410" s="25">
        <f t="shared" si="20"/>
        <v>3.586852207293667E-2</v>
      </c>
    </row>
    <row r="1411" spans="1:7">
      <c r="A1411" s="45">
        <v>83.08</v>
      </c>
      <c r="B1411" s="45">
        <v>85.33</v>
      </c>
      <c r="C1411" s="45">
        <v>82.55</v>
      </c>
      <c r="D1411" s="45">
        <v>84.55</v>
      </c>
      <c r="E1411" s="45">
        <v>38036068</v>
      </c>
      <c r="F1411" s="45" t="s">
        <v>1418</v>
      </c>
      <c r="G1411" s="25">
        <f t="shared" si="20"/>
        <v>-1.7386162034299213E-2</v>
      </c>
    </row>
    <row r="1412" spans="1:7">
      <c r="A1412" s="45">
        <v>83.81</v>
      </c>
      <c r="B1412" s="45">
        <v>84.41</v>
      </c>
      <c r="C1412" s="45">
        <v>82.23</v>
      </c>
      <c r="D1412" s="45">
        <v>83.29</v>
      </c>
      <c r="E1412" s="45">
        <v>48280318</v>
      </c>
      <c r="F1412" s="45" t="s">
        <v>1419</v>
      </c>
      <c r="G1412" s="25">
        <f t="shared" si="20"/>
        <v>6.2432464881738703E-3</v>
      </c>
    </row>
    <row r="1413" spans="1:7">
      <c r="A1413" s="45">
        <v>82.77</v>
      </c>
      <c r="B1413" s="45">
        <v>82.84</v>
      </c>
      <c r="C1413" s="45">
        <v>79.12</v>
      </c>
      <c r="D1413" s="45">
        <v>79.739999999999995</v>
      </c>
      <c r="E1413" s="45">
        <v>42948860</v>
      </c>
      <c r="F1413" s="45" t="s">
        <v>1420</v>
      </c>
      <c r="G1413" s="25">
        <f t="shared" si="20"/>
        <v>3.799849510910458E-2</v>
      </c>
    </row>
    <row r="1414" spans="1:7">
      <c r="A1414" s="45">
        <v>81.09</v>
      </c>
      <c r="B1414" s="45">
        <v>81.849999999999994</v>
      </c>
      <c r="C1414" s="45">
        <v>80.45</v>
      </c>
      <c r="D1414" s="45">
        <v>81.775700000000001</v>
      </c>
      <c r="E1414" s="45">
        <v>37507391</v>
      </c>
      <c r="F1414" s="45" t="s">
        <v>1421</v>
      </c>
      <c r="G1414" s="25">
        <f t="shared" si="20"/>
        <v>-8.3851315244014568E-3</v>
      </c>
    </row>
    <row r="1415" spans="1:7">
      <c r="A1415" s="45">
        <v>81.66</v>
      </c>
      <c r="B1415" s="45">
        <v>82.88</v>
      </c>
      <c r="C1415" s="45">
        <v>81.03</v>
      </c>
      <c r="D1415" s="45">
        <v>82.8</v>
      </c>
      <c r="E1415" s="45">
        <v>30970483</v>
      </c>
      <c r="F1415" s="45" t="s">
        <v>1422</v>
      </c>
      <c r="G1415" s="25">
        <f t="shared" si="20"/>
        <v>-1.376811594202898E-2</v>
      </c>
    </row>
    <row r="1416" spans="1:7">
      <c r="A1416" s="45">
        <v>82.42</v>
      </c>
      <c r="B1416" s="45">
        <v>83.06</v>
      </c>
      <c r="C1416" s="45">
        <v>81.552000000000007</v>
      </c>
      <c r="D1416" s="45">
        <v>82.09</v>
      </c>
      <c r="E1416" s="45">
        <v>31450155</v>
      </c>
      <c r="F1416" s="45" t="s">
        <v>1423</v>
      </c>
      <c r="G1416" s="25">
        <f t="shared" si="20"/>
        <v>4.0199780728469303E-3</v>
      </c>
    </row>
    <row r="1417" spans="1:7">
      <c r="A1417" s="45">
        <v>81.3</v>
      </c>
      <c r="B1417" s="45">
        <v>83.24</v>
      </c>
      <c r="C1417" s="45">
        <v>80.88</v>
      </c>
      <c r="D1417" s="45">
        <v>81.81</v>
      </c>
      <c r="E1417" s="45">
        <v>42389477</v>
      </c>
      <c r="F1417" s="45" t="s">
        <v>1424</v>
      </c>
      <c r="G1417" s="25">
        <f t="shared" si="20"/>
        <v>-6.2339567290062847E-3</v>
      </c>
    </row>
    <row r="1418" spans="1:7">
      <c r="A1418" s="45">
        <v>81.84</v>
      </c>
      <c r="B1418" s="45">
        <v>84.02</v>
      </c>
      <c r="C1418" s="45">
        <v>81.540000000000006</v>
      </c>
      <c r="D1418" s="45">
        <v>82.88</v>
      </c>
      <c r="E1418" s="45">
        <v>57407355</v>
      </c>
      <c r="F1418" s="45" t="s">
        <v>1425</v>
      </c>
      <c r="G1418" s="25">
        <f t="shared" si="20"/>
        <v>-1.2548262548262468E-2</v>
      </c>
    </row>
    <row r="1419" spans="1:7">
      <c r="A1419" s="45">
        <v>82.61</v>
      </c>
      <c r="B1419" s="45">
        <v>82.88</v>
      </c>
      <c r="C1419" s="45">
        <v>77.55</v>
      </c>
      <c r="D1419" s="45">
        <v>78.430000000000007</v>
      </c>
      <c r="E1419" s="45">
        <v>88607829</v>
      </c>
      <c r="F1419" s="45" t="s">
        <v>1426</v>
      </c>
      <c r="G1419" s="25">
        <f t="shared" si="20"/>
        <v>5.3295932678821822E-2</v>
      </c>
    </row>
    <row r="1420" spans="1:7">
      <c r="A1420" s="45">
        <v>76.88</v>
      </c>
      <c r="B1420" s="45">
        <v>80.709999999999994</v>
      </c>
      <c r="C1420" s="45">
        <v>76.099999999999994</v>
      </c>
      <c r="D1420" s="45">
        <v>80.709999999999994</v>
      </c>
      <c r="E1420" s="45">
        <v>77877661</v>
      </c>
      <c r="F1420" s="45" t="s">
        <v>1427</v>
      </c>
      <c r="G1420" s="25">
        <f t="shared" si="20"/>
        <v>-4.7453847106926017E-2</v>
      </c>
    </row>
    <row r="1421" spans="1:7">
      <c r="A1421" s="45">
        <v>82.24</v>
      </c>
      <c r="B1421" s="45">
        <v>85.16</v>
      </c>
      <c r="C1421" s="45">
        <v>79.322100000000006</v>
      </c>
      <c r="D1421" s="45">
        <v>85.05</v>
      </c>
      <c r="E1421" s="45">
        <v>70536143</v>
      </c>
      <c r="F1421" s="45" t="s">
        <v>1428</v>
      </c>
      <c r="G1421" s="25">
        <f t="shared" si="20"/>
        <v>-3.3039388594944152E-2</v>
      </c>
    </row>
    <row r="1422" spans="1:7">
      <c r="A1422" s="45">
        <v>84.85</v>
      </c>
      <c r="B1422" s="45">
        <v>87.29</v>
      </c>
      <c r="C1422" s="45">
        <v>82.670199999999994</v>
      </c>
      <c r="D1422" s="45">
        <v>86.67</v>
      </c>
      <c r="E1422" s="45">
        <v>66543157</v>
      </c>
      <c r="F1422" s="45" t="s">
        <v>1429</v>
      </c>
      <c r="G1422" s="25">
        <f t="shared" si="20"/>
        <v>-2.0999192338756245E-2</v>
      </c>
    </row>
    <row r="1423" spans="1:7">
      <c r="A1423" s="45">
        <v>86.71</v>
      </c>
      <c r="B1423" s="45">
        <v>86.98</v>
      </c>
      <c r="C1423" s="45">
        <v>84.780100000000004</v>
      </c>
      <c r="D1423" s="45">
        <v>85.49</v>
      </c>
      <c r="E1423" s="45">
        <v>53961739</v>
      </c>
      <c r="F1423" s="45" t="s">
        <v>1430</v>
      </c>
      <c r="G1423" s="25">
        <f t="shared" si="20"/>
        <v>1.427067493274059E-2</v>
      </c>
    </row>
    <row r="1424" spans="1:7">
      <c r="A1424" s="45">
        <v>85.31</v>
      </c>
      <c r="B1424" s="45">
        <v>86.32</v>
      </c>
      <c r="C1424" s="45">
        <v>83.32</v>
      </c>
      <c r="D1424" s="45">
        <v>84.96</v>
      </c>
      <c r="E1424" s="45">
        <v>65737306</v>
      </c>
      <c r="F1424" s="45" t="s">
        <v>1431</v>
      </c>
      <c r="G1424" s="25">
        <f t="shared" si="20"/>
        <v>4.1195856873823544E-3</v>
      </c>
    </row>
    <row r="1425" spans="1:7">
      <c r="A1425" s="45">
        <v>85.04</v>
      </c>
      <c r="B1425" s="45">
        <v>85.805000000000007</v>
      </c>
      <c r="C1425" s="45">
        <v>77.989999999999995</v>
      </c>
      <c r="D1425" s="45">
        <v>78.03</v>
      </c>
      <c r="E1425" s="45">
        <v>155676106</v>
      </c>
      <c r="F1425" s="45" t="s">
        <v>1432</v>
      </c>
      <c r="G1425" s="25">
        <f t="shared" si="20"/>
        <v>8.9837242086377112E-2</v>
      </c>
    </row>
    <row r="1426" spans="1:7">
      <c r="A1426" s="45">
        <v>77.67</v>
      </c>
      <c r="B1426" s="45">
        <v>78.5</v>
      </c>
      <c r="C1426" s="45">
        <v>77.06</v>
      </c>
      <c r="D1426" s="45">
        <v>78.19</v>
      </c>
      <c r="E1426" s="45">
        <v>42628817</v>
      </c>
      <c r="F1426" s="45" t="s">
        <v>1433</v>
      </c>
      <c r="G1426" s="25">
        <f t="shared" si="20"/>
        <v>-6.650466811612743E-3</v>
      </c>
    </row>
    <row r="1427" spans="1:7">
      <c r="A1427" s="45">
        <v>77.430000000000007</v>
      </c>
      <c r="B1427" s="45">
        <v>78.959999999999994</v>
      </c>
      <c r="C1427" s="45">
        <v>75.36</v>
      </c>
      <c r="D1427" s="45">
        <v>78.67</v>
      </c>
      <c r="E1427" s="45">
        <v>71699667</v>
      </c>
      <c r="F1427" s="45" t="s">
        <v>1434</v>
      </c>
      <c r="G1427" s="25">
        <f t="shared" si="20"/>
        <v>-1.576204398118719E-2</v>
      </c>
    </row>
    <row r="1428" spans="1:7">
      <c r="A1428" s="45">
        <v>78.2</v>
      </c>
      <c r="B1428" s="45">
        <v>78.959999999999994</v>
      </c>
      <c r="C1428" s="45">
        <v>75.069999999999993</v>
      </c>
      <c r="D1428" s="45">
        <v>75.37</v>
      </c>
      <c r="E1428" s="45">
        <v>80286888</v>
      </c>
      <c r="F1428" s="45" t="s">
        <v>1435</v>
      </c>
      <c r="G1428" s="25">
        <f t="shared" si="20"/>
        <v>3.7548096059440095E-2</v>
      </c>
    </row>
    <row r="1429" spans="1:7">
      <c r="A1429" s="45">
        <v>76.09</v>
      </c>
      <c r="B1429" s="45">
        <v>77.19</v>
      </c>
      <c r="C1429" s="45">
        <v>73.900000000000006</v>
      </c>
      <c r="D1429" s="45">
        <v>75.5</v>
      </c>
      <c r="E1429" s="45">
        <v>132969679</v>
      </c>
      <c r="F1429" s="45" t="s">
        <v>1436</v>
      </c>
      <c r="G1429" s="25">
        <f t="shared" si="20"/>
        <v>7.8145695364237877E-3</v>
      </c>
    </row>
    <row r="1430" spans="1:7">
      <c r="A1430" s="45">
        <v>67.61</v>
      </c>
      <c r="B1430" s="45">
        <v>69.8</v>
      </c>
      <c r="C1430" s="45">
        <v>67.02</v>
      </c>
      <c r="D1430" s="45">
        <v>68.099999999999994</v>
      </c>
      <c r="E1430" s="45">
        <v>94181374</v>
      </c>
      <c r="F1430" s="45" t="s">
        <v>1437</v>
      </c>
      <c r="G1430" s="25">
        <f t="shared" si="20"/>
        <v>-7.1953010279001139E-3</v>
      </c>
    </row>
    <row r="1431" spans="1:7">
      <c r="A1431" s="45">
        <v>68.97</v>
      </c>
      <c r="B1431" s="45">
        <v>71.63</v>
      </c>
      <c r="C1431" s="45">
        <v>67.790000000000006</v>
      </c>
      <c r="D1431" s="45">
        <v>69.28</v>
      </c>
      <c r="E1431" s="45">
        <v>107918075</v>
      </c>
      <c r="F1431" s="45" t="s">
        <v>1438</v>
      </c>
      <c r="G1431" s="25">
        <f t="shared" si="20"/>
        <v>-4.474595842956175E-3</v>
      </c>
    </row>
    <row r="1432" spans="1:7">
      <c r="A1432" s="45">
        <v>69.400000000000006</v>
      </c>
      <c r="B1432" s="45">
        <v>69.94</v>
      </c>
      <c r="C1432" s="45">
        <v>64.05</v>
      </c>
      <c r="D1432" s="45">
        <v>64.180000000000007</v>
      </c>
      <c r="E1432" s="45">
        <v>205314531</v>
      </c>
      <c r="F1432" s="45" t="s">
        <v>1439</v>
      </c>
      <c r="G1432" s="25">
        <f t="shared" si="20"/>
        <v>8.1333748831411645E-2</v>
      </c>
    </row>
    <row r="1433" spans="1:7">
      <c r="A1433" s="45">
        <v>59.57</v>
      </c>
      <c r="B1433" s="45">
        <v>62.33</v>
      </c>
      <c r="C1433" s="45">
        <v>58.6342</v>
      </c>
      <c r="D1433" s="45">
        <v>61.63</v>
      </c>
      <c r="E1433" s="45">
        <v>106829109</v>
      </c>
      <c r="F1433" s="45" t="s">
        <v>1440</v>
      </c>
      <c r="G1433" s="25">
        <f t="shared" si="20"/>
        <v>-3.3425279896154514E-2</v>
      </c>
    </row>
    <row r="1434" spans="1:7">
      <c r="A1434" s="45">
        <v>61.79</v>
      </c>
      <c r="B1434" s="45">
        <v>62</v>
      </c>
      <c r="C1434" s="45">
        <v>56.97</v>
      </c>
      <c r="D1434" s="45">
        <v>57.07</v>
      </c>
      <c r="E1434" s="45">
        <v>135159420</v>
      </c>
      <c r="F1434" s="45" t="s">
        <v>1441</v>
      </c>
      <c r="G1434" s="25">
        <f t="shared" si="20"/>
        <v>8.2705449448046142E-2</v>
      </c>
    </row>
    <row r="1435" spans="1:7">
      <c r="A1435" s="45">
        <v>57</v>
      </c>
      <c r="B1435" s="45">
        <v>58.5</v>
      </c>
      <c r="C1435" s="45">
        <v>56.317300000000003</v>
      </c>
      <c r="D1435" s="45">
        <v>57.805</v>
      </c>
      <c r="E1435" s="45">
        <v>44800687</v>
      </c>
      <c r="F1435" s="45" t="s">
        <v>1442</v>
      </c>
      <c r="G1435" s="25">
        <f t="shared" si="20"/>
        <v>-1.3926130957529592E-2</v>
      </c>
    </row>
    <row r="1436" spans="1:7">
      <c r="A1436" s="45">
        <v>57.46</v>
      </c>
      <c r="B1436" s="45">
        <v>57.53</v>
      </c>
      <c r="C1436" s="45">
        <v>54.83</v>
      </c>
      <c r="D1436" s="45">
        <v>55.23</v>
      </c>
      <c r="E1436" s="45">
        <v>45034250</v>
      </c>
      <c r="F1436" s="45" t="s">
        <v>1443</v>
      </c>
      <c r="G1436" s="25">
        <f t="shared" si="20"/>
        <v>4.0376606916530999E-2</v>
      </c>
    </row>
    <row r="1437" spans="1:7">
      <c r="G1437" s="25"/>
    </row>
    <row r="1438" spans="1:7">
      <c r="G1438" s="25"/>
    </row>
    <row r="1439" spans="1:7">
      <c r="G1439" s="25"/>
    </row>
    <row r="1440" spans="1: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610" spans="7:7">
      <c r="G1610" s="25"/>
    </row>
    <row r="1611" spans="7:7">
      <c r="G1611" s="25"/>
    </row>
    <row r="1612" spans="7:7">
      <c r="G1612" s="25"/>
    </row>
    <row r="1613" spans="7:7">
      <c r="G1613" s="25"/>
    </row>
    <row r="1614" spans="7:7">
      <c r="G1614" s="25"/>
    </row>
    <row r="1615" spans="7:7">
      <c r="G1615" s="25"/>
    </row>
  </sheetData>
  <sortState xmlns:xlrd2="http://schemas.microsoft.com/office/spreadsheetml/2017/richdata2" ref="I209:I275">
    <sortCondition ref="I209"/>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O30" sqref="O30"/>
    </sheetView>
  </sheetViews>
  <sheetFormatPr defaultColWidth="9.140625"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2025-12-30T23:31:17Z</dcterms:modified>
</cp:coreProperties>
</file>