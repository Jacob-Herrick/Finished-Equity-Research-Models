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User\OneDrive\Desktop\Equity Research\Models\Health Care\MedTech\"/>
    </mc:Choice>
  </mc:AlternateContent>
  <xr:revisionPtr revIDLastSave="0" documentId="13_ncr:1_{A7A63BAF-A340-46FE-8711-585C8644462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ain" sheetId="1" r:id="rId1"/>
    <sheet name="Model" sheetId="2" r:id="rId2"/>
    <sheet name="Notes | Quant Analysis" sheetId="3" r:id="rId3"/>
    <sheet name="Product Lines" sheetId="5" r:id="rId4"/>
    <sheet name="Management" sheetId="6" r:id="rId5"/>
    <sheet name="Table Formatting" sheetId="4" r:id="rId6"/>
  </sheets>
  <externalReferences>
    <externalReference r:id="rId7"/>
    <externalReference r:id="rId8"/>
    <externalReference r:id="rId9"/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K265" i="3"/>
  <c r="K264" i="3"/>
  <c r="K263" i="3"/>
  <c r="K262" i="3"/>
  <c r="K261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C5" i="1"/>
  <c r="C8" i="1" s="1"/>
  <c r="CI75" i="2"/>
  <c r="CJ75" i="2"/>
  <c r="CK75" i="2"/>
  <c r="CL75" i="2"/>
  <c r="CM75" i="2"/>
  <c r="CN75" i="2"/>
  <c r="CO75" i="2"/>
  <c r="CP75" i="2"/>
  <c r="CQ75" i="2"/>
  <c r="CR75" i="2"/>
  <c r="CS75" i="2"/>
  <c r="CT75" i="2"/>
  <c r="CU75" i="2"/>
  <c r="CV75" i="2"/>
  <c r="CW75" i="2"/>
  <c r="CX75" i="2"/>
  <c r="CY75" i="2"/>
  <c r="CY47" i="2"/>
  <c r="CX47" i="2"/>
  <c r="CW47" i="2"/>
  <c r="CV47" i="2"/>
  <c r="CU47" i="2"/>
  <c r="CT47" i="2"/>
  <c r="CS47" i="2"/>
  <c r="CR47" i="2"/>
  <c r="CQ47" i="2"/>
  <c r="CP47" i="2"/>
  <c r="CO47" i="2"/>
  <c r="CN47" i="2"/>
  <c r="CM47" i="2"/>
  <c r="CL47" i="2"/>
  <c r="CK47" i="2"/>
  <c r="CJ47" i="2"/>
  <c r="CI47" i="2"/>
  <c r="CY35" i="2"/>
  <c r="CX35" i="2"/>
  <c r="CW35" i="2"/>
  <c r="CV35" i="2"/>
  <c r="CU35" i="2"/>
  <c r="CT35" i="2"/>
  <c r="CS35" i="2"/>
  <c r="CR35" i="2"/>
  <c r="CQ35" i="2"/>
  <c r="CP35" i="2"/>
  <c r="CO35" i="2"/>
  <c r="CN35" i="2"/>
  <c r="CM35" i="2"/>
  <c r="CL35" i="2"/>
  <c r="CK35" i="2"/>
  <c r="CJ35" i="2"/>
  <c r="CI35" i="2"/>
  <c r="CY34" i="2"/>
  <c r="CX34" i="2"/>
  <c r="CW34" i="2"/>
  <c r="CV34" i="2"/>
  <c r="CU34" i="2"/>
  <c r="CT34" i="2"/>
  <c r="CS34" i="2"/>
  <c r="CR34" i="2"/>
  <c r="CQ34" i="2"/>
  <c r="CP34" i="2"/>
  <c r="CO34" i="2"/>
  <c r="CN34" i="2"/>
  <c r="CM34" i="2"/>
  <c r="CL34" i="2"/>
  <c r="CK34" i="2"/>
  <c r="CJ34" i="2"/>
  <c r="CI34" i="2"/>
  <c r="CY33" i="2"/>
  <c r="CX33" i="2"/>
  <c r="CW33" i="2"/>
  <c r="CV33" i="2"/>
  <c r="CU33" i="2"/>
  <c r="CT33" i="2"/>
  <c r="CS33" i="2"/>
  <c r="CR33" i="2"/>
  <c r="CQ33" i="2"/>
  <c r="CP33" i="2"/>
  <c r="CO33" i="2"/>
  <c r="CN33" i="2"/>
  <c r="CM33" i="2"/>
  <c r="CL33" i="2"/>
  <c r="CK33" i="2"/>
  <c r="CJ33" i="2"/>
  <c r="CI33" i="2"/>
  <c r="CY32" i="2"/>
  <c r="CX32" i="2"/>
  <c r="CW32" i="2"/>
  <c r="CV32" i="2"/>
  <c r="CU32" i="2"/>
  <c r="CT32" i="2"/>
  <c r="CS32" i="2"/>
  <c r="CR32" i="2"/>
  <c r="CQ32" i="2"/>
  <c r="CP32" i="2"/>
  <c r="CO32" i="2"/>
  <c r="CN32" i="2"/>
  <c r="CM32" i="2"/>
  <c r="CL32" i="2"/>
  <c r="CK32" i="2"/>
  <c r="CJ32" i="2"/>
  <c r="CI32" i="2"/>
  <c r="CY16" i="2"/>
  <c r="CX16" i="2"/>
  <c r="CW16" i="2"/>
  <c r="CV16" i="2"/>
  <c r="CU16" i="2"/>
  <c r="CT16" i="2"/>
  <c r="CS16" i="2"/>
  <c r="CR16" i="2"/>
  <c r="CQ16" i="2"/>
  <c r="CP16" i="2"/>
  <c r="CO16" i="2"/>
  <c r="CN16" i="2"/>
  <c r="CM16" i="2"/>
  <c r="CL16" i="2"/>
  <c r="CK16" i="2"/>
  <c r="CJ16" i="2"/>
  <c r="CI16" i="2"/>
  <c r="CY15" i="2"/>
  <c r="CX15" i="2"/>
  <c r="CW15" i="2"/>
  <c r="CV15" i="2"/>
  <c r="CU15" i="2"/>
  <c r="CT15" i="2"/>
  <c r="CS15" i="2"/>
  <c r="CR15" i="2"/>
  <c r="CQ15" i="2"/>
  <c r="CP15" i="2"/>
  <c r="CO15" i="2"/>
  <c r="CN15" i="2"/>
  <c r="CM15" i="2"/>
  <c r="CL15" i="2"/>
  <c r="CK15" i="2"/>
  <c r="CJ15" i="2"/>
  <c r="CI15" i="2"/>
  <c r="CY14" i="2"/>
  <c r="CX14" i="2"/>
  <c r="CW14" i="2"/>
  <c r="CV14" i="2"/>
  <c r="CU14" i="2"/>
  <c r="CT14" i="2"/>
  <c r="CS14" i="2"/>
  <c r="CR14" i="2"/>
  <c r="CQ14" i="2"/>
  <c r="CP14" i="2"/>
  <c r="CO14" i="2"/>
  <c r="CN14" i="2"/>
  <c r="CM14" i="2"/>
  <c r="CL14" i="2"/>
  <c r="CK14" i="2"/>
  <c r="CJ14" i="2"/>
  <c r="CI14" i="2"/>
  <c r="CY13" i="2"/>
  <c r="CX13" i="2"/>
  <c r="CW13" i="2"/>
  <c r="CV13" i="2"/>
  <c r="CU13" i="2"/>
  <c r="CT13" i="2"/>
  <c r="CS13" i="2"/>
  <c r="CR13" i="2"/>
  <c r="CQ13" i="2"/>
  <c r="CP13" i="2"/>
  <c r="CO13" i="2"/>
  <c r="CN13" i="2"/>
  <c r="CM13" i="2"/>
  <c r="CL13" i="2"/>
  <c r="CK13" i="2"/>
  <c r="CJ13" i="2"/>
  <c r="CI13" i="2"/>
  <c r="CY12" i="2"/>
  <c r="CX12" i="2"/>
  <c r="CW12" i="2"/>
  <c r="CV12" i="2"/>
  <c r="CU12" i="2"/>
  <c r="CT12" i="2"/>
  <c r="CS12" i="2"/>
  <c r="CR12" i="2"/>
  <c r="CQ12" i="2"/>
  <c r="CP12" i="2"/>
  <c r="CO12" i="2"/>
  <c r="CN12" i="2"/>
  <c r="CM12" i="2"/>
  <c r="CL12" i="2"/>
  <c r="CK12" i="2"/>
  <c r="CJ12" i="2"/>
  <c r="CI12" i="2"/>
  <c r="CY11" i="2"/>
  <c r="CX11" i="2"/>
  <c r="CW11" i="2"/>
  <c r="CV11" i="2"/>
  <c r="CU11" i="2"/>
  <c r="CT11" i="2"/>
  <c r="CS11" i="2"/>
  <c r="CR11" i="2"/>
  <c r="CQ11" i="2"/>
  <c r="CP11" i="2"/>
  <c r="CO11" i="2"/>
  <c r="CN11" i="2"/>
  <c r="CM11" i="2"/>
  <c r="CL11" i="2"/>
  <c r="CK11" i="2"/>
  <c r="CJ11" i="2"/>
  <c r="CI11" i="2"/>
  <c r="CY10" i="2"/>
  <c r="CX10" i="2"/>
  <c r="CW10" i="2"/>
  <c r="CV10" i="2"/>
  <c r="CU10" i="2"/>
  <c r="CT10" i="2"/>
  <c r="CS10" i="2"/>
  <c r="CR10" i="2"/>
  <c r="CQ10" i="2"/>
  <c r="CP10" i="2"/>
  <c r="CO10" i="2"/>
  <c r="CN10" i="2"/>
  <c r="CM10" i="2"/>
  <c r="CL10" i="2"/>
  <c r="CK10" i="2"/>
  <c r="CJ10" i="2"/>
  <c r="CI10" i="2"/>
  <c r="CY9" i="2"/>
  <c r="CX9" i="2"/>
  <c r="CW9" i="2"/>
  <c r="CV9" i="2"/>
  <c r="CU9" i="2"/>
  <c r="CT9" i="2"/>
  <c r="CS9" i="2"/>
  <c r="CR9" i="2"/>
  <c r="CQ9" i="2"/>
  <c r="CP9" i="2"/>
  <c r="CO9" i="2"/>
  <c r="CN9" i="2"/>
  <c r="CM9" i="2"/>
  <c r="CL9" i="2"/>
  <c r="CK9" i="2"/>
  <c r="CJ9" i="2"/>
  <c r="CI9" i="2"/>
  <c r="CY8" i="2"/>
  <c r="CX8" i="2"/>
  <c r="CW8" i="2"/>
  <c r="CV8" i="2"/>
  <c r="CU8" i="2"/>
  <c r="CT8" i="2"/>
  <c r="CS8" i="2"/>
  <c r="CR8" i="2"/>
  <c r="CQ8" i="2"/>
  <c r="CP8" i="2"/>
  <c r="CO8" i="2"/>
  <c r="CN8" i="2"/>
  <c r="CM8" i="2"/>
  <c r="CL8" i="2"/>
  <c r="CK8" i="2"/>
  <c r="CJ8" i="2"/>
  <c r="CI8" i="2"/>
  <c r="CY7" i="2"/>
  <c r="CX7" i="2"/>
  <c r="CW7" i="2"/>
  <c r="CV7" i="2"/>
  <c r="CU7" i="2"/>
  <c r="CT7" i="2"/>
  <c r="CS7" i="2"/>
  <c r="CR7" i="2"/>
  <c r="CQ7" i="2"/>
  <c r="CP7" i="2"/>
  <c r="CO7" i="2"/>
  <c r="CN7" i="2"/>
  <c r="CM7" i="2"/>
  <c r="CL7" i="2"/>
  <c r="CK7" i="2"/>
  <c r="CJ7" i="2"/>
  <c r="CI7" i="2"/>
  <c r="CY6" i="2"/>
  <c r="CX6" i="2"/>
  <c r="CW6" i="2"/>
  <c r="CV6" i="2"/>
  <c r="CU6" i="2"/>
  <c r="CT6" i="2"/>
  <c r="CS6" i="2"/>
  <c r="CR6" i="2"/>
  <c r="CQ6" i="2"/>
  <c r="CP6" i="2"/>
  <c r="CO6" i="2"/>
  <c r="CN6" i="2"/>
  <c r="CM6" i="2"/>
  <c r="CL6" i="2"/>
  <c r="CK6" i="2"/>
  <c r="CJ6" i="2"/>
  <c r="CI6" i="2"/>
  <c r="CY5" i="2"/>
  <c r="CX5" i="2"/>
  <c r="CW5" i="2"/>
  <c r="CV5" i="2"/>
  <c r="CU5" i="2"/>
  <c r="CT5" i="2"/>
  <c r="CS5" i="2"/>
  <c r="CR5" i="2"/>
  <c r="CQ5" i="2"/>
  <c r="CP5" i="2"/>
  <c r="CO5" i="2"/>
  <c r="CN5" i="2"/>
  <c r="CM5" i="2"/>
  <c r="CL5" i="2"/>
  <c r="CK5" i="2"/>
  <c r="CJ5" i="2"/>
  <c r="CI5" i="2"/>
  <c r="CV4" i="2"/>
  <c r="CX4" i="2"/>
  <c r="CY4" i="2"/>
  <c r="CW4" i="2"/>
  <c r="CU4" i="2"/>
  <c r="CT4" i="2"/>
  <c r="CS4" i="2"/>
  <c r="CR4" i="2"/>
  <c r="CQ4" i="2"/>
  <c r="CP4" i="2"/>
  <c r="CO4" i="2"/>
  <c r="CN4" i="2"/>
  <c r="CM4" i="2"/>
  <c r="CL4" i="2"/>
  <c r="CK4" i="2"/>
  <c r="CJ4" i="2"/>
  <c r="CI4" i="2"/>
  <c r="CJ3" i="2"/>
  <c r="CK3" i="2" s="1"/>
  <c r="CL3" i="2" s="1"/>
  <c r="CM3" i="2" s="1"/>
  <c r="CN3" i="2" s="1"/>
  <c r="CO3" i="2" s="1"/>
  <c r="CP3" i="2" s="1"/>
  <c r="CQ3" i="2" s="1"/>
  <c r="CR3" i="2" s="1"/>
  <c r="CS3" i="2" s="1"/>
  <c r="CT3" i="2" s="1"/>
  <c r="CU3" i="2" s="1"/>
  <c r="CV3" i="2" s="1"/>
  <c r="CW3" i="2" s="1"/>
  <c r="CX3" i="2" s="1"/>
  <c r="CY3" i="2" s="1"/>
  <c r="CZ3" i="2" s="1"/>
  <c r="DA3" i="2" s="1"/>
  <c r="DB3" i="2" s="1"/>
  <c r="DC3" i="2" s="1"/>
  <c r="DD3" i="2" s="1"/>
  <c r="DE3" i="2" s="1"/>
  <c r="DF3" i="2" s="1"/>
  <c r="DG3" i="2" s="1"/>
  <c r="DH3" i="2" s="1"/>
  <c r="DI3" i="2" s="1"/>
  <c r="DJ3" i="2" s="1"/>
  <c r="DK3" i="2" s="1"/>
  <c r="DL3" i="2" s="1"/>
  <c r="DM3" i="2" s="1"/>
  <c r="DN3" i="2" s="1"/>
  <c r="DO3" i="2" s="1"/>
  <c r="DP3" i="2" s="1"/>
  <c r="DQ3" i="2" s="1"/>
  <c r="DR3" i="2" s="1"/>
  <c r="DS3" i="2" s="1"/>
  <c r="DT3" i="2" s="1"/>
  <c r="DU3" i="2" s="1"/>
  <c r="DV3" i="2" s="1"/>
  <c r="DW3" i="2" s="1"/>
  <c r="DX3" i="2" s="1"/>
  <c r="DY3" i="2" s="1"/>
  <c r="DZ3" i="2" s="1"/>
  <c r="EA3" i="2" s="1"/>
  <c r="EB3" i="2" s="1"/>
  <c r="EC3" i="2" s="1"/>
  <c r="ED3" i="2" s="1"/>
  <c r="EE3" i="2" s="1"/>
  <c r="EF3" i="2" s="1"/>
  <c r="EG3" i="2" s="1"/>
  <c r="EH3" i="2" s="1"/>
  <c r="EI3" i="2" s="1"/>
  <c r="EJ3" i="2" s="1"/>
  <c r="EK3" i="2" s="1"/>
  <c r="EL3" i="2" s="1"/>
  <c r="EM3" i="2" s="1"/>
  <c r="EN3" i="2" s="1"/>
  <c r="EO3" i="2" s="1"/>
  <c r="EP3" i="2" s="1"/>
  <c r="EQ3" i="2" s="1"/>
  <c r="ER3" i="2" s="1"/>
  <c r="ES3" i="2" s="1"/>
  <c r="ET3" i="2" s="1"/>
  <c r="EU3" i="2" s="1"/>
  <c r="EV3" i="2" s="1"/>
  <c r="EW3" i="2" s="1"/>
  <c r="EX3" i="2" s="1"/>
  <c r="EY3" i="2" s="1"/>
  <c r="EZ3" i="2" s="1"/>
  <c r="FA3" i="2" s="1"/>
  <c r="FB3" i="2" s="1"/>
  <c r="FC3" i="2" s="1"/>
  <c r="FD3" i="2" s="1"/>
  <c r="FE3" i="2" s="1"/>
  <c r="FF3" i="2" s="1"/>
  <c r="FG3" i="2" s="1"/>
  <c r="G248" i="3"/>
  <c r="K266" i="3" l="1"/>
  <c r="R283" i="3" l="1"/>
  <c r="R273" i="3"/>
  <c r="R272" i="3"/>
  <c r="R275" i="3"/>
  <c r="R282" i="3"/>
  <c r="R274" i="3"/>
  <c r="R285" i="3"/>
  <c r="R281" i="3"/>
  <c r="R277" i="3"/>
  <c r="R280" i="3"/>
  <c r="R284" i="3"/>
  <c r="R279" i="3"/>
  <c r="R276" i="3"/>
  <c r="R278" i="3"/>
</calcChain>
</file>

<file path=xl/sharedStrings.xml><?xml version="1.0" encoding="utf-8"?>
<sst xmlns="http://schemas.openxmlformats.org/spreadsheetml/2006/main" count="1558" uniqueCount="1531">
  <si>
    <t>Master</t>
  </si>
  <si>
    <t xml:space="preserve">Price </t>
  </si>
  <si>
    <t>SO</t>
  </si>
  <si>
    <t>MC</t>
  </si>
  <si>
    <t>Cash</t>
  </si>
  <si>
    <t>Debt</t>
  </si>
  <si>
    <t>EV</t>
  </si>
  <si>
    <t>Investor Relations Contact:</t>
  </si>
  <si>
    <t>SEC filings</t>
  </si>
  <si>
    <t>Godel Terminal</t>
  </si>
  <si>
    <t>Company Overview:</t>
  </si>
  <si>
    <t>[Bold Title]</t>
  </si>
  <si>
    <t>Line Titles</t>
  </si>
  <si>
    <t>&lt;-- General</t>
  </si>
  <si>
    <t>&lt;-- Info</t>
  </si>
  <si>
    <t>[Godel Snapshot]</t>
  </si>
  <si>
    <t>[Company] Major Acquisitions (1990s - Present)</t>
  </si>
  <si>
    <t>19--'s</t>
  </si>
  <si>
    <t>2000s</t>
  </si>
  <si>
    <t>2010s</t>
  </si>
  <si>
    <t>2020s</t>
  </si>
  <si>
    <t>Revenue Breakdown by Segment (Build graph for this section if applicable…. See example below)</t>
  </si>
  <si>
    <t>Notes:</t>
  </si>
  <si>
    <t>[X]</t>
  </si>
  <si>
    <t>[Y]</t>
  </si>
  <si>
    <t>[Z]</t>
  </si>
  <si>
    <t>Close</t>
  </si>
  <si>
    <t>High</t>
  </si>
  <si>
    <t>Low</t>
  </si>
  <si>
    <t>Open</t>
  </si>
  <si>
    <t>Volume</t>
  </si>
  <si>
    <t>UTC Date</t>
  </si>
  <si>
    <t>Change</t>
  </si>
  <si>
    <t>Min</t>
  </si>
  <si>
    <t>Max</t>
  </si>
  <si>
    <t>Mean μ</t>
  </si>
  <si>
    <t>Median</t>
  </si>
  <si>
    <t>SD σ</t>
  </si>
  <si>
    <t xml:space="preserve">  3σ 1-Day Δ: ±</t>
  </si>
  <si>
    <t>β (1-year avg.)</t>
  </si>
  <si>
    <t>&lt;- Sortino Ratio (Downside Risk Adjusted Return)</t>
  </si>
  <si>
    <r>
      <rPr>
        <i/>
        <sz val="11"/>
        <color theme="1"/>
        <rFont val="Calibre"/>
      </rPr>
      <t>n</t>
    </r>
    <r>
      <rPr>
        <sz val="11"/>
        <color theme="1"/>
        <rFont val="Calibre"/>
      </rPr>
      <t xml:space="preserve"> =</t>
    </r>
  </si>
  <si>
    <t>Histogram Data</t>
  </si>
  <si>
    <t>Distribution Overlay</t>
  </si>
  <si>
    <t>SD Lines</t>
  </si>
  <si>
    <t>Bin</t>
  </si>
  <si>
    <t>Frequency</t>
  </si>
  <si>
    <r>
      <t xml:space="preserve"> (X) 1-Day</t>
    </r>
    <r>
      <rPr>
        <b/>
        <i/>
        <sz val="11"/>
        <color theme="1"/>
        <rFont val="Calibri"/>
        <family val="2"/>
        <scheme val="minor"/>
      </rPr>
      <t xml:space="preserve"> Δ </t>
    </r>
    <r>
      <rPr>
        <i/>
        <sz val="11"/>
        <color theme="1"/>
        <rFont val="Calibri"/>
        <family val="2"/>
        <scheme val="minor"/>
      </rPr>
      <t xml:space="preserve"> </t>
    </r>
  </si>
  <si>
    <t xml:space="preserve">(Y) Pop. Density </t>
  </si>
  <si>
    <t>X</t>
  </si>
  <si>
    <t>Y</t>
  </si>
  <si>
    <t>Q2 2008</t>
  </si>
  <si>
    <t>Q3 2008</t>
  </si>
  <si>
    <t>Q1 2009</t>
  </si>
  <si>
    <t>Q2 2009</t>
  </si>
  <si>
    <t>Q3 2009</t>
  </si>
  <si>
    <t>Q4 2009</t>
  </si>
  <si>
    <t>Q1 2010</t>
  </si>
  <si>
    <t>Q2 2010</t>
  </si>
  <si>
    <t>Q3 2010</t>
  </si>
  <si>
    <t>Q4 2010</t>
  </si>
  <si>
    <t>Q1 2011</t>
  </si>
  <si>
    <t>Q2 2011</t>
  </si>
  <si>
    <t>Q3 2011</t>
  </si>
  <si>
    <t>Q4 2011</t>
  </si>
  <si>
    <t>Q1 2012</t>
  </si>
  <si>
    <t>Q2 2012</t>
  </si>
  <si>
    <t>Q3 2012</t>
  </si>
  <si>
    <t>Q4 2012</t>
  </si>
  <si>
    <t>Q1 2013</t>
  </si>
  <si>
    <t>Q2 2013</t>
  </si>
  <si>
    <t>Q3 2013</t>
  </si>
  <si>
    <t>Q4 2013</t>
  </si>
  <si>
    <t>Q1 2014</t>
  </si>
  <si>
    <t>Q2 2014</t>
  </si>
  <si>
    <t>Q3 2014</t>
  </si>
  <si>
    <t>Q4 2014</t>
  </si>
  <si>
    <t>Q1 2015</t>
  </si>
  <si>
    <t>Q2 2015</t>
  </si>
  <si>
    <t>Q3 2015</t>
  </si>
  <si>
    <t>Q4 2015</t>
  </si>
  <si>
    <t>Q1 2016</t>
  </si>
  <si>
    <t>Q2 2016</t>
  </si>
  <si>
    <t>Q3 2016</t>
  </si>
  <si>
    <t>Q4 2016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</si>
  <si>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</si>
  <si>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</si>
  <si>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</si>
  <si>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</si>
  <si>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</si>
  <si>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</si>
  <si>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</si>
  <si>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</si>
  <si>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</si>
  <si>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</si>
  <si>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</si>
  <si>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</si>
  <si>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</si>
  <si>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</si>
  <si>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</si>
  <si>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</si>
  <si>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</si>
  <si>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</si>
  <si>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</si>
  <si>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</si>
  <si>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</si>
  <si>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</si>
  <si>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</si>
  <si>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</si>
  <si>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</si>
  <si>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</si>
  <si>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</si>
  <si>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</si>
  <si>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</si>
  <si>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</si>
  <si>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</si>
  <si>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</si>
  <si>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</si>
  <si>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</si>
  <si>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</si>
  <si>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</si>
  <si>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Q1 2026</t>
  </si>
  <si>
    <t>Q2 2026</t>
  </si>
  <si>
    <t>Q3 2026</t>
  </si>
  <si>
    <t>Q4 2026</t>
  </si>
  <si>
    <t>[Use for Graphing]</t>
  </si>
  <si>
    <t>Quarterly</t>
  </si>
  <si>
    <t>Revenues</t>
  </si>
  <si>
    <t>Ttl Revenues</t>
  </si>
  <si>
    <t>Q1 2008</t>
  </si>
  <si>
    <t>Q4 2008</t>
  </si>
  <si>
    <t>[Segement A] Ttl Revenues</t>
  </si>
  <si>
    <t>Product D</t>
  </si>
  <si>
    <t>[Segement B] Ttl Revenues</t>
  </si>
  <si>
    <t>Product A</t>
  </si>
  <si>
    <t>Product B</t>
  </si>
  <si>
    <t>Product C</t>
  </si>
  <si>
    <t>Product E</t>
  </si>
  <si>
    <t>Product F</t>
  </si>
  <si>
    <t>Product G</t>
  </si>
  <si>
    <t>Product H</t>
  </si>
  <si>
    <t>Product I</t>
  </si>
  <si>
    <t>Product J</t>
  </si>
  <si>
    <t>[Segment A] % of Ttl Revenues</t>
  </si>
  <si>
    <t>[Segment B] % of Ttl Revenues</t>
  </si>
  <si>
    <t>Product A Growth Y/y</t>
  </si>
  <si>
    <t>Product B Growth Y/y</t>
  </si>
  <si>
    <t>Product C Growth Y/y</t>
  </si>
  <si>
    <t>Product D Growth Y/y</t>
  </si>
  <si>
    <t>Product E Growth Y/y</t>
  </si>
  <si>
    <t>Product F Growth Y/y</t>
  </si>
  <si>
    <t>Product J Growth Y/y</t>
  </si>
  <si>
    <t>Product H Growth Y/y</t>
  </si>
  <si>
    <t>Product G Growth Y/y</t>
  </si>
  <si>
    <t>Product I Growth Y/y</t>
  </si>
  <si>
    <t>U.S. Revenues</t>
  </si>
  <si>
    <t>[Region C] Revenues</t>
  </si>
  <si>
    <t>[Region B] Revenues</t>
  </si>
  <si>
    <t>[Region A] Revenues</t>
  </si>
  <si>
    <t>U.S. % of Revenues</t>
  </si>
  <si>
    <t>[Region A] Revenues % of Revenues</t>
  </si>
  <si>
    <t>[Region B] Revenues % of Revenues</t>
  </si>
  <si>
    <t>[Region C] Revenues % of Revenues</t>
  </si>
  <si>
    <t>[Region A] Revenue Growth Y/y</t>
  </si>
  <si>
    <t>[Region B] Revenue Growth Y/y</t>
  </si>
  <si>
    <t>U.S. Revenue Growth Y/y</t>
  </si>
  <si>
    <t>[Region C] Revenue Growth Y/y</t>
  </si>
  <si>
    <t>COGS</t>
  </si>
  <si>
    <t>GP</t>
  </si>
  <si>
    <t>Gross Profit Margin</t>
  </si>
  <si>
    <t>R&amp;D as % of Revenue</t>
  </si>
  <si>
    <t>SG&amp;A as % of Revenue</t>
  </si>
  <si>
    <t>Operating Profit Margin</t>
  </si>
  <si>
    <t>Effective Tax Rate</t>
  </si>
  <si>
    <t>Net Profit Margin</t>
  </si>
  <si>
    <t xml:space="preserve">Cash &amp; CEs </t>
  </si>
  <si>
    <t>ST Investments</t>
  </si>
  <si>
    <t>Marketable Securities</t>
  </si>
  <si>
    <t>Current Ratio</t>
  </si>
  <si>
    <t>Quick Ratio</t>
  </si>
  <si>
    <t>Cash Ratio</t>
  </si>
  <si>
    <t>Ttl Asset Turnover</t>
  </si>
  <si>
    <t>Inventory Turnover Ratio</t>
  </si>
  <si>
    <t>Return on Assets</t>
  </si>
  <si>
    <t>Return on Equity</t>
  </si>
  <si>
    <t>Net Income</t>
  </si>
  <si>
    <t>CFFO</t>
  </si>
  <si>
    <t>CapEx, net</t>
  </si>
  <si>
    <t>FCF</t>
  </si>
  <si>
    <t>SC</t>
  </si>
  <si>
    <t>FCF per Share</t>
  </si>
  <si>
    <t>General Notes/Observations (Updated Q1'25)</t>
  </si>
  <si>
    <t>Financial Stmts. Notes/Observations (Updated Q1'25)</t>
  </si>
  <si>
    <t>Revenues:</t>
  </si>
  <si>
    <t>[Godel Snapshot of projected sales]</t>
  </si>
  <si>
    <t>Earnings Scope:</t>
  </si>
  <si>
    <t>[Godel Snapshot of projected earnings/EPS]</t>
  </si>
  <si>
    <t>Balance Sheet Scope:</t>
  </si>
  <si>
    <t>[Godel Snapshot of projected balances (assets, liabilities, equity)]</t>
  </si>
  <si>
    <t>[Equity Preformance Compared to Peers]</t>
  </si>
  <si>
    <t>Use Godel CMS command</t>
  </si>
  <si>
    <t>Mean</t>
  </si>
  <si>
    <t>-3σ</t>
  </si>
  <si>
    <t>-2σ</t>
  </si>
  <si>
    <t>-1σ</t>
  </si>
  <si>
    <t>1σ</t>
  </si>
  <si>
    <t>2σ</t>
  </si>
  <si>
    <t>3σ</t>
  </si>
  <si>
    <t>Phone:</t>
  </si>
  <si>
    <t xml:space="preserve">Email: </t>
  </si>
  <si>
    <t>EPS Growth</t>
  </si>
  <si>
    <t>&lt;- Sharpe Ratio (Risk Adjusted Return)</t>
  </si>
  <si>
    <t>Earnings Calls</t>
  </si>
  <si>
    <t>Equity Analysis</t>
  </si>
  <si>
    <t>https://app.godelterminal.com/</t>
  </si>
  <si>
    <t>Business Segments and Geographical Info:</t>
  </si>
  <si>
    <t xml:space="preserve">[Begin researching fundamentals / core business … begin with SEC filings, but expand and use all public resources available] </t>
  </si>
  <si>
    <t>Employee Scope:</t>
  </si>
  <si>
    <t>Resources:</t>
  </si>
  <si>
    <t>Y/y Total Revenues, Net Income, FCF</t>
  </si>
  <si>
    <t>Q/q Total Revenues, Net Income, FCF</t>
  </si>
  <si>
    <t>Institutional Ownership Snapshot Q2'25</t>
  </si>
  <si>
    <t>LMAT</t>
  </si>
  <si>
    <t>https://www.sec.gov/edgar/browse/?CIK=1158895&amp;owner=exclude</t>
  </si>
  <si>
    <t>LeMaitre Homepage</t>
  </si>
  <si>
    <t>https://www.lemaitre.com/</t>
  </si>
  <si>
    <t>LeMaitre Vascular, Inc. (LMAT)</t>
  </si>
  <si>
    <t>Stryker IR Page</t>
  </si>
  <si>
    <t>https://ir.lemaitre.com/overview-presentations</t>
  </si>
  <si>
    <t>https://seekingalpha.com/symbol/LMAT/earnings/transcripts</t>
  </si>
  <si>
    <t>Founder(s): George LeMaitre</t>
  </si>
  <si>
    <t>Registered Exchange: NASDAQ</t>
  </si>
  <si>
    <t>https://stockanalysis.com/stocks/lmat/company/</t>
  </si>
  <si>
    <t>Founded: 1983</t>
  </si>
  <si>
    <t>Address: 63 Second Avenue, Burlington, Massachusetts</t>
  </si>
  <si>
    <t>Headquarters: Burlington, Massachusetts</t>
  </si>
  <si>
    <t>FDA Med Device Reporting's</t>
  </si>
  <si>
    <t>https://www.fda.gov/medical-devices</t>
  </si>
  <si>
    <t>Current CEO: George LeMaitre</t>
  </si>
  <si>
    <t>Greg Manker, Director -- Investor Relations</t>
  </si>
  <si>
    <t>U.S. Patent Office Search</t>
  </si>
  <si>
    <t>https://ppubs.uspto.gov/pubThe Companybapp/static/pages/ppubsbasic.html</t>
  </si>
  <si>
    <t>Employees: 664</t>
  </si>
  <si>
    <t>(781) 362-1260</t>
  </si>
  <si>
    <t>gmanker@lemaitre.com</t>
  </si>
  <si>
    <t>Thrombectomy News</t>
  </si>
  <si>
    <t>https://evtoday.com/</t>
  </si>
  <si>
    <t xml:space="preserve">Industry: Medical Devices </t>
  </si>
  <si>
    <t>MedTech News</t>
  </si>
  <si>
    <t>https://www.medtechdive.com/news/stryker-inari-medical-acquisition/736615/</t>
  </si>
  <si>
    <t>Sector:  Healthcare</t>
  </si>
  <si>
    <t>MacroTrends</t>
  </si>
  <si>
    <t>https://www.macrotrends.net/stocks/charts/LMAT/lemaitre-vascular/financial-statements</t>
  </si>
  <si>
    <t>IPO: October 19th, 2006</t>
  </si>
  <si>
    <t>ROIC, WACC</t>
  </si>
  <si>
    <t>https://www.gurufocus.com/term/wacc/LMAT</t>
  </si>
  <si>
    <t>LeMaitre Vascular, Inc. develops, manufactures, and markets medical devices and implants used in the field of vascular surgery in the Americas, Europe, the Middle Esat, Africa, and the Asia Pacific</t>
  </si>
  <si>
    <t>The Company offers:</t>
  </si>
  <si>
    <t>Allografts, which are cryopreserved human tissue grafts used in vascular reconstruction, and cardiac repair and reconstruction; embolectomy catheters to remove blood clots from arteries</t>
  </si>
  <si>
    <t>Thrombectomy catheters for removing thrombi in the venous system</t>
  </si>
  <si>
    <t>It also provides a suite of biologic products comprising artegraft biologic graft, a bovine carotid artery used for dialysis access</t>
  </si>
  <si>
    <t>XenoSure biologic patches used for vessel closure after surgical intervention</t>
  </si>
  <si>
    <t>VascuCel and CardioCel biologic patches, used in vessel repair, heart repair and reconstruction, and neonatal repairs</t>
  </si>
  <si>
    <t>Cardiovascular and porcine patches; carotid shunts that temporarily shunt the blood to the brain</t>
  </si>
  <si>
    <t>Biosynthetic vascular grafts indicated for lower extremity bypass and dialysis access</t>
  </si>
  <si>
    <t>phlebectomy system for resection and ablation of varicose veins; LifeSpan vascular grafts, which are expanded polytetrafluoroethylene grafts; and vascular grafts used to bypass or replace diseased arteries</t>
  </si>
  <si>
    <t>In addition, the company offers radiopaque tape, a medical-grade tape</t>
  </si>
  <si>
    <t>valvulotomes, which cut or disrupt valves in the saphenous vein to function as an artery to carry blood past diseased arteries to the lower leg or the foot; and closure systems to attach vessels to one another with titanium clips instead of sutures</t>
  </si>
  <si>
    <t>It markets its products through a direct sales force and distributors</t>
  </si>
  <si>
    <t>Similar sales operation when compared to PEN and other competing Med-Tech firms</t>
  </si>
  <si>
    <t>LeMaitre Vascular, Inc. was incorporated in 1983 and is headquartered in Burlington, Massachusetts</t>
  </si>
  <si>
    <t>The Company was formerly known as Vascutech, Inc. and changed its name to LeMaitre Vascular, Inc. in April 2001</t>
  </si>
  <si>
    <t>1256 Trading Days? (From: 9/20/20 - 9/20/25)</t>
  </si>
  <si>
    <t>Fri, 19 Sep 2025 00:00:00 GMT</t>
  </si>
  <si>
    <t>Thu, 18 Sep 2025 00:00:00 GMT</t>
  </si>
  <si>
    <t>Wed, 17 Sep 2025 00:00:00 GMT</t>
  </si>
  <si>
    <t>Tue, 16 Sep 2025 00:00:00 GMT</t>
  </si>
  <si>
    <t>Mon, 15 Sep 2025 00:00:00 GMT</t>
  </si>
  <si>
    <t>Fri, 12 Sep 2025 00:00:00 GMT</t>
  </si>
  <si>
    <t>Thu, 11 Sep 2025 00:00:00 GMT</t>
  </si>
  <si>
    <t>Wed, 10 Sep 2025 00:00:00 GMT</t>
  </si>
  <si>
    <t>Tue, 09 Sep 2025 00:00:00 GMT</t>
  </si>
  <si>
    <t>Mon, 08 Sep 2025 00:00:00 GMT</t>
  </si>
  <si>
    <t>Fri, 05 Sep 2025 00:00:00 GMT</t>
  </si>
  <si>
    <t>Thu, 04 Sep 2025 00:00:00 GMT</t>
  </si>
  <si>
    <t>Wed, 03 Sep 2025 00:00:00 GMT</t>
  </si>
  <si>
    <t>Tue, 02 Sep 2025 00:00:00 GMT</t>
  </si>
  <si>
    <t>Fri, 29 Aug 2025 00:00:00 GMT</t>
  </si>
  <si>
    <t>Thu, 28 Aug 2025 00:00:00 GMT</t>
  </si>
  <si>
    <t>Wed, 27 Aug 2025 00:00:00 GMT</t>
  </si>
  <si>
    <t>Tue, 26 Aug 2025 00:00:00 GMT</t>
  </si>
  <si>
    <t>Mon, 25 Aug 2025 00:00:00 GMT</t>
  </si>
  <si>
    <t>Fri, 22 Aug 2025 00:00:00 GMT</t>
  </si>
  <si>
    <t>Thu, 21 Aug 2025 00:00:00 GMT</t>
  </si>
  <si>
    <t>Wed, 20 Aug 2025 00:00:00 GMT</t>
  </si>
  <si>
    <t>Tue, 19 Aug 2025 00:00:00 GMT</t>
  </si>
  <si>
    <t>Mon, 18 Aug 2025 00:00:00 GMT</t>
  </si>
  <si>
    <t>Fri, 15 Aug 2025 00:00:00 GMT</t>
  </si>
  <si>
    <t>Thu, 14 Aug 2025 00:00:00 GMT</t>
  </si>
  <si>
    <t>Wed, 13 Aug 2025 00:00:00 GMT</t>
  </si>
  <si>
    <t>Tue, 12 Aug 2025 00:00:00 GMT</t>
  </si>
  <si>
    <t>Mon, 11 Aug 2025 00:00:00 GMT</t>
  </si>
  <si>
    <t>Fri, 08 Aug 2025 00:00:00 GMT</t>
  </si>
  <si>
    <t>Thu, 07 Aug 2025 00:00:00 GMT</t>
  </si>
  <si>
    <t>Wed, 06 Aug 2025 00:00:00 GMT</t>
  </si>
  <si>
    <t>Tue, 05 Aug 2025 00:00:00 GMT</t>
  </si>
  <si>
    <t>Mon, 04 Aug 2025 00:00:00 GMT</t>
  </si>
  <si>
    <t>Fri, 01 Aug 2025 00:00:00 GMT</t>
  </si>
  <si>
    <t>Thu, 31 Jul 2025 00:00:00 GMT</t>
  </si>
  <si>
    <t>Wed, 30 Jul 2025 00:00:00 GMT</t>
  </si>
  <si>
    <t>Tue, 29 Jul 2025 00:00:00 GMT</t>
  </si>
  <si>
    <t>Mon, 28 Jul 2025 00:00:00 GMT</t>
  </si>
  <si>
    <t>Fri, 25 Jul 2025 00:00:00 GMT</t>
  </si>
  <si>
    <t>Thu, 24 Jul 2025 00:00:00 GMT</t>
  </si>
  <si>
    <t>Wed, 23 Jul 2025 00:00:00 GMT</t>
  </si>
  <si>
    <t>Tue, 22 Jul 2025 00:00:00 GMT</t>
  </si>
  <si>
    <t>Mon, 21 Jul 2025 00:00:00 GMT</t>
  </si>
  <si>
    <t>Fri, 18 Jul 2025 00:00:00 GMT</t>
  </si>
  <si>
    <t>Thu, 17 Jul 2025 00:00:00 GMT</t>
  </si>
  <si>
    <t>Wed, 16 Jul 2025 00:00:00 GMT</t>
  </si>
  <si>
    <t>Tue, 15 Jul 2025 00:00:00 GMT</t>
  </si>
  <si>
    <t>Mon, 14 Jul 2025 00:00:00 GMT</t>
  </si>
  <si>
    <t>Fri, 11 Jul 2025 00:00:00 GMT</t>
  </si>
  <si>
    <t>Thu, 10 Jul 2025 00:00:00 GMT</t>
  </si>
  <si>
    <t>Wed, 09 Jul 2025 00:00:00 GMT</t>
  </si>
  <si>
    <t>Tue, 08 Jul 2025 00:00:00 GMT</t>
  </si>
  <si>
    <t>Mon, 07 Jul 2025 00:00:00 GMT</t>
  </si>
  <si>
    <t>Thu, 03 Jul 2025 00:00:00 GMT</t>
  </si>
  <si>
    <t>Wed, 02 Jul 2025 00:00:00 GMT</t>
  </si>
  <si>
    <t>Tue, 01 Jul 2025 00:00:00 GMT</t>
  </si>
  <si>
    <t>Mon, 30 Jun 2025 00:00:00 GMT</t>
  </si>
  <si>
    <t>Fri, 27 Jun 2025 00:00:00 GMT</t>
  </si>
  <si>
    <t>Thu, 26 Jun 2025 00:00:00 GMT</t>
  </si>
  <si>
    <t>Wed, 25 Jun 2025 00:00:00 GMT</t>
  </si>
  <si>
    <t>Tue, 24 Jun 2025 00:00:00 GMT</t>
  </si>
  <si>
    <t>Mon, 23 Jun 2025 00:00:00 GMT</t>
  </si>
  <si>
    <t>Fri, 20 Jun 2025 00:00:00 GMT</t>
  </si>
  <si>
    <t>Wed, 18 Jun 2025 00:00:00 GMT</t>
  </si>
  <si>
    <t>Tue, 17 Jun 2025 00:00:00 GMT</t>
  </si>
  <si>
    <t>Mon, 16 Jun 2025 00:00:00 GMT</t>
  </si>
  <si>
    <t>Fri, 13 Jun 2025 00:00:00 GMT</t>
  </si>
  <si>
    <t>Thu, 12 Jun 2025 00:00:00 GMT</t>
  </si>
  <si>
    <t>Wed, 11 Jun 2025 00:00:00 GMT</t>
  </si>
  <si>
    <t>Tue, 10 Jun 2025 00:00:00 GMT</t>
  </si>
  <si>
    <t>Mon, 09 Jun 2025 00:00:00 GMT</t>
  </si>
  <si>
    <t>Fri, 06 Jun 2025 00:00:00 GMT</t>
  </si>
  <si>
    <t>Thu, 05 Jun 2025 00:00:00 GMT</t>
  </si>
  <si>
    <t>Wed, 04 Jun 2025 00:00:00 GMT</t>
  </si>
  <si>
    <t>Tue, 03 Jun 2025 00:00:00 GMT</t>
  </si>
  <si>
    <t>Mon, 02 Jun 2025 00:00:00 GMT</t>
  </si>
  <si>
    <t>Fri, 30 May 2025 00:00:00 GMT</t>
  </si>
  <si>
    <t>Thu, 29 May 2025 00:00:00 GMT</t>
  </si>
  <si>
    <t>Wed, 28 May 2025 00:00:00 GMT</t>
  </si>
  <si>
    <t>Tue, 27 May 2025 00:00:00 GMT</t>
  </si>
  <si>
    <t>Fri, 23 May 2025 00:00:00 GMT</t>
  </si>
  <si>
    <t>Thu, 22 May 2025 00:00:00 GMT</t>
  </si>
  <si>
    <t>Wed, 21 May 2025 00:00:00 GMT</t>
  </si>
  <si>
    <t>Tue, 20 May 2025 00:00:00 GMT</t>
  </si>
  <si>
    <t>Mon, 19 May 2025 00:00:00 GMT</t>
  </si>
  <si>
    <t>Fri, 16 May 2025 00:00:00 GMT</t>
  </si>
  <si>
    <t>Thu, 15 May 2025 00:00:00 GMT</t>
  </si>
  <si>
    <t>Wed, 14 May 2025 00:00:00 GMT</t>
  </si>
  <si>
    <t>Tue, 13 May 2025 00:00:00 GMT</t>
  </si>
  <si>
    <t>Mon, 12 May 2025 00:00:00 GMT</t>
  </si>
  <si>
    <t>Fri, 09 May 2025 00:00:00 GMT</t>
  </si>
  <si>
    <t>Thu, 08 May 2025 00:00:00 GMT</t>
  </si>
  <si>
    <t>Wed, 07 May 2025 00:00:00 GMT</t>
  </si>
  <si>
    <t>Tue, 06 May 2025 00:00:00 GMT</t>
  </si>
  <si>
    <t>Mon, 05 May 2025 00:00:00 GMT</t>
  </si>
  <si>
    <t>Fri, 02 May 2025 00:00:00 GMT</t>
  </si>
  <si>
    <t>Thu, 01 May 2025 00:00:00 GMT</t>
  </si>
  <si>
    <t>Wed, 30 Apr 2025 00:00:00 GMT</t>
  </si>
  <si>
    <t>Tue, 29 Apr 2025 00:00:00 GMT</t>
  </si>
  <si>
    <t>Mon, 28 Apr 2025 00:00:00 GMT</t>
  </si>
  <si>
    <t>Fri, 25 Apr 2025 00:00:00 GMT</t>
  </si>
  <si>
    <t>Thu, 24 Apr 2025 00:00:00 GMT</t>
  </si>
  <si>
    <t>Wed, 23 Apr 2025 00:00:00 GMT</t>
  </si>
  <si>
    <t>Tue, 22 Apr 2025 00:00:00 GMT</t>
  </si>
  <si>
    <t>Mon, 21 Apr 2025 00:00:00 GMT</t>
  </si>
  <si>
    <t>Thu, 17 Apr 2025 00:00:00 GMT</t>
  </si>
  <si>
    <t>Wed, 16 Apr 2025 00:00:00 GMT</t>
  </si>
  <si>
    <t>Tue, 15 Apr 2025 00:00:00 GMT</t>
  </si>
  <si>
    <t>Mon, 14 Apr 2025 00:00:00 GMT</t>
  </si>
  <si>
    <t>Fri, 11 Apr 2025 00:00:00 GMT</t>
  </si>
  <si>
    <t>Thu, 10 Apr 2025 00:00:00 GMT</t>
  </si>
  <si>
    <t>Wed, 09 Apr 2025 00:00:00 GMT</t>
  </si>
  <si>
    <t>Tue, 08 Apr 2025 00:00:00 GMT</t>
  </si>
  <si>
    <t>Mon, 07 Apr 2025 00:00:00 GMT</t>
  </si>
  <si>
    <t>Fri, 04 Apr 2025 00:00:00 GMT</t>
  </si>
  <si>
    <t>Thu, 03 Apr 2025 00:00:00 GMT</t>
  </si>
  <si>
    <t>Wed, 02 Apr 2025 00:00:00 GMT</t>
  </si>
  <si>
    <t>Tue, 01 Apr 2025 00:00:00 GMT</t>
  </si>
  <si>
    <t>Mon, 31 Mar 2025 00:00:00 GMT</t>
  </si>
  <si>
    <t>Fri, 28 Mar 2025 00:00:00 GMT</t>
  </si>
  <si>
    <t>Thu, 27 Mar 2025 00:00:00 GMT</t>
  </si>
  <si>
    <t>Wed, 26 Mar 2025 00:00:00 GMT</t>
  </si>
  <si>
    <t>Tue, 25 Mar 2025 00:00:00 GMT</t>
  </si>
  <si>
    <t>Mon, 24 Mar 2025 00:00:00 GMT</t>
  </si>
  <si>
    <t>Fri, 21 Mar 2025 00:00:00 GMT</t>
  </si>
  <si>
    <t>Thu, 20 Mar 2025 00:00:00 GMT</t>
  </si>
  <si>
    <t>Wed, 19 Mar 2025 00:00:00 GMT</t>
  </si>
  <si>
    <t>Tue, 18 Mar 2025 00:00:00 GMT</t>
  </si>
  <si>
    <t>Mon, 17 Mar 2025 00:00:00 GMT</t>
  </si>
  <si>
    <t>Fri, 14 Mar 2025 00:00:00 GMT</t>
  </si>
  <si>
    <t>Thu, 13 Mar 2025 00:00:00 GMT</t>
  </si>
  <si>
    <t>Wed, 12 Mar 2025 00:00:00 GMT</t>
  </si>
  <si>
    <t>Tue, 11 Mar 2025 00:00:00 GMT</t>
  </si>
  <si>
    <t>Mon, 10 Mar 2025 00:00:00 GMT</t>
  </si>
  <si>
    <t>Fri, 07 Mar 2025 00:00:00 GMT</t>
  </si>
  <si>
    <t>Thu, 06 Mar 2025 00:00:00 GMT</t>
  </si>
  <si>
    <t>Wed, 05 Mar 2025 00:00:00 GMT</t>
  </si>
  <si>
    <t>Tue, 04 Mar 2025 00:00:00 GMT</t>
  </si>
  <si>
    <t>Mon, 03 Mar 2025 00:00:00 GMT</t>
  </si>
  <si>
    <t>Fri, 28 Feb 2025 00:00:00 GMT</t>
  </si>
  <si>
    <t>Thu, 27 Feb 2025 00:00:00 GMT</t>
  </si>
  <si>
    <t>Wed, 26 Feb 2025 00:00:00 GMT</t>
  </si>
  <si>
    <t>Tue, 25 Feb 2025 00:00:00 GMT</t>
  </si>
  <si>
    <t>Mon, 24 Feb 2025 00:00:00 GMT</t>
  </si>
  <si>
    <t>Fri, 21 Feb 2025 00:00:00 GMT</t>
  </si>
  <si>
    <t>Thu, 20 Feb 2025 00:00:00 GMT</t>
  </si>
  <si>
    <t>Wed, 19 Feb 2025 00:00:00 GMT</t>
  </si>
  <si>
    <t>Tue, 18 Feb 2025 00:00:00 GMT</t>
  </si>
  <si>
    <t>Fri, 14 Feb 2025 00:00:00 GMT</t>
  </si>
  <si>
    <t>Thu, 13 Feb 2025 00:00:00 GMT</t>
  </si>
  <si>
    <t>Wed, 12 Feb 2025 00:00:00 GMT</t>
  </si>
  <si>
    <t>Tue, 11 Feb 2025 00:00:00 GMT</t>
  </si>
  <si>
    <t>Mon, 10 Feb 2025 00:00:00 GMT</t>
  </si>
  <si>
    <t>Fri, 07 Feb 2025 00:00:00 GMT</t>
  </si>
  <si>
    <t>Thu, 06 Feb 2025 00:00:00 GMT</t>
  </si>
  <si>
    <t>Wed, 05 Feb 2025 00:00:00 GMT</t>
  </si>
  <si>
    <t>Tue, 04 Feb 2025 00:00:00 GMT</t>
  </si>
  <si>
    <t>Mon, 03 Feb 2025 00:00:00 GMT</t>
  </si>
  <si>
    <t>Fri, 31 Jan 2025 00:00:00 GMT</t>
  </si>
  <si>
    <t>Thu, 30 Jan 2025 00:00:00 GMT</t>
  </si>
  <si>
    <t>Wed, 29 Jan 2025 00:00:00 GMT</t>
  </si>
  <si>
    <t>Tue, 28 Jan 2025 00:00:00 GMT</t>
  </si>
  <si>
    <t>Mon, 27 Jan 2025 00:00:00 GMT</t>
  </si>
  <si>
    <t>Fri, 24 Jan 2025 00:00:00 GMT</t>
  </si>
  <si>
    <t>Thu, 23 Jan 2025 00:00:00 GMT</t>
  </si>
  <si>
    <t>Wed, 22 Jan 2025 00:00:00 GMT</t>
  </si>
  <si>
    <t>Tue, 21 Jan 2025 00:00:00 GMT</t>
  </si>
  <si>
    <t>Fri, 17 Jan 2025 00:00:00 GMT</t>
  </si>
  <si>
    <t>Thu, 16 Jan 2025 00:00:00 GMT</t>
  </si>
  <si>
    <t>Wed, 15 Jan 2025 00:00:00 GMT</t>
  </si>
  <si>
    <t>Tue, 14 Jan 2025 00:00:00 GMT</t>
  </si>
  <si>
    <t>Mon, 13 Jan 2025 00:00:00 GMT</t>
  </si>
  <si>
    <t>Fri, 10 Jan 2025 00:00:00 GMT</t>
  </si>
  <si>
    <t>Wed, 08 Jan 2025 00:00:00 GMT</t>
  </si>
  <si>
    <t>Tue, 07 Jan 2025 00:00:00 GMT</t>
  </si>
  <si>
    <t>Mon, 06 Jan 2025 00:00:00 GMT</t>
  </si>
  <si>
    <t>Fri, 03 Jan 2025 00:00:00 GMT</t>
  </si>
  <si>
    <t>Thu, 02 Jan 2025 00:00:00 GMT</t>
  </si>
  <si>
    <t>Tue, 31 Dec 2024 00:00:00 GMT</t>
  </si>
  <si>
    <t>Mon, 30 Dec 2024 00:00:00 GMT</t>
  </si>
  <si>
    <t>Fri, 27 Dec 2024 00:00:00 GMT</t>
  </si>
  <si>
    <t>Thu, 26 Dec 2024 00:00:00 GMT</t>
  </si>
  <si>
    <t>Tue, 24 Dec 2024 00:00:00 GMT</t>
  </si>
  <si>
    <t>Mon, 23 Dec 2024 00:00:00 GMT</t>
  </si>
  <si>
    <t>Fri, 20 Dec 2024 00:00:00 GMT</t>
  </si>
  <si>
    <t>Thu, 19 Dec 2024 00:00:00 GMT</t>
  </si>
  <si>
    <t>Wed, 18 Dec 2024 00:00:00 GMT</t>
  </si>
  <si>
    <t>Tue, 17 Dec 2024 00:00:00 GMT</t>
  </si>
  <si>
    <t>Mon, 16 Dec 2024 00:00:00 GMT</t>
  </si>
  <si>
    <t>Fri, 13 Dec 2024 00:00:00 GMT</t>
  </si>
  <si>
    <t>Thu, 12 Dec 2024 00:00:00 GMT</t>
  </si>
  <si>
    <t>Wed, 11 Dec 2024 00:00:00 GMT</t>
  </si>
  <si>
    <t>Tue, 10 Dec 2024 00:00:00 GMT</t>
  </si>
  <si>
    <t>Mon, 09 Dec 2024 00:00:00 GMT</t>
  </si>
  <si>
    <t>Fri, 06 Dec 2024 00:00:00 GMT</t>
  </si>
  <si>
    <t>Thu, 05 Dec 2024 00:00:00 GMT</t>
  </si>
  <si>
    <t>Wed, 04 Dec 2024 00:00:00 GMT</t>
  </si>
  <si>
    <t>Tue, 03 Dec 2024 00:00:00 GMT</t>
  </si>
  <si>
    <t>Mon, 02 Dec 2024 00:00:00 GMT</t>
  </si>
  <si>
    <t>Fri, 29 Nov 2024 00:00:00 GMT</t>
  </si>
  <si>
    <t>Wed, 27 Nov 2024 00:00:00 GMT</t>
  </si>
  <si>
    <t>Tue, 26 Nov 2024 00:00:00 GMT</t>
  </si>
  <si>
    <t>Mon, 25 Nov 2024 00:00:00 GMT</t>
  </si>
  <si>
    <t>Fri, 22 Nov 2024 00:00:00 GMT</t>
  </si>
  <si>
    <t>Thu, 21 Nov 2024 00:00:00 GMT</t>
  </si>
  <si>
    <t>Wed, 20 Nov 2024 00:00:00 GMT</t>
  </si>
  <si>
    <t>Tue, 19 Nov 2024 00:00:00 GMT</t>
  </si>
  <si>
    <t>Mon, 18 Nov 2024 00:00:00 GMT</t>
  </si>
  <si>
    <t>Fri, 15 Nov 2024 00:00:00 GMT</t>
  </si>
  <si>
    <t>Thu, 14 Nov 2024 00:00:00 GMT</t>
  </si>
  <si>
    <t>Wed, 13 Nov 2024 00:00:00 GMT</t>
  </si>
  <si>
    <t>Tue, 12 Nov 2024 00:00:00 GMT</t>
  </si>
  <si>
    <t>Mon, 11 Nov 2024 00:00:00 GMT</t>
  </si>
  <si>
    <t>Fri, 08 Nov 2024 00:00:00 GMT</t>
  </si>
  <si>
    <t>Thu, 07 Nov 2024 00:00:00 GMT</t>
  </si>
  <si>
    <t>Wed, 06 Nov 2024 00:00:00 GMT</t>
  </si>
  <si>
    <t>Tue, 05 Nov 2024 00:00:00 GMT</t>
  </si>
  <si>
    <t>Mon, 04 Nov 2024 00:00:00 GMT</t>
  </si>
  <si>
    <t>Fri, 01 Nov 2024 00:00:00 GMT</t>
  </si>
  <si>
    <t>Thu, 31 Oct 2024 00:00:00 GMT</t>
  </si>
  <si>
    <t>Wed, 30 Oct 2024 00:00:00 GMT</t>
  </si>
  <si>
    <t>Tue, 29 Oct 2024 00:00:00 GMT</t>
  </si>
  <si>
    <t>Mon, 28 Oct 2024 00:00:00 GMT</t>
  </si>
  <si>
    <t>Fri, 25 Oct 2024 00:00:00 GMT</t>
  </si>
  <si>
    <t>Thu, 24 Oct 2024 00:00:00 GMT</t>
  </si>
  <si>
    <t>Wed, 23 Oct 2024 00:00:00 GMT</t>
  </si>
  <si>
    <t>Tue, 22 Oct 2024 00:00:00 GMT</t>
  </si>
  <si>
    <t>Mon, 21 Oct 2024 00:00:00 GMT</t>
  </si>
  <si>
    <t>Fri, 18 Oct 2024 00:00:00 GMT</t>
  </si>
  <si>
    <t>Thu, 17 Oct 2024 00:00:00 GMT</t>
  </si>
  <si>
    <t>Wed, 16 Oct 2024 00:00:00 GMT</t>
  </si>
  <si>
    <t>Tue, 15 Oct 2024 00:00:00 GMT</t>
  </si>
  <si>
    <t>Mon, 14 Oct 2024 00:00:00 GMT</t>
  </si>
  <si>
    <t>Fri, 11 Oct 2024 00:00:00 GMT</t>
  </si>
  <si>
    <t>Thu, 10 Oct 2024 00:00:00 GMT</t>
  </si>
  <si>
    <t>Wed, 09 Oct 2024 00:00:00 GMT</t>
  </si>
  <si>
    <t>Tue, 08 Oct 2024 00:00:00 GMT</t>
  </si>
  <si>
    <t>Mon, 07 Oct 2024 00:00:00 GMT</t>
  </si>
  <si>
    <t>Fri, 04 Oct 2024 00:00:00 GMT</t>
  </si>
  <si>
    <t>Thu, 03 Oct 2024 00:00:00 GMT</t>
  </si>
  <si>
    <t>Wed, 02 Oct 2024 00:00:00 GMT</t>
  </si>
  <si>
    <t>Tue, 01 Oct 2024 00:00:00 GMT</t>
  </si>
  <si>
    <t>Mon, 30 Sep 2024 00:00:00 GMT</t>
  </si>
  <si>
    <t>Fri, 27 Sep 2024 00:00:00 GMT</t>
  </si>
  <si>
    <t>Thu, 26 Sep 2024 00:00:00 GMT</t>
  </si>
  <si>
    <t>Wed, 25 Sep 2024 00:00:00 GMT</t>
  </si>
  <si>
    <t>Tue, 24 Sep 2024 00:00:00 GMT</t>
  </si>
  <si>
    <t>Mon, 23 Sep 2024 00:00:00 GMT</t>
  </si>
  <si>
    <t>Fri, 20 Sep 2024 00:00:00 GMT</t>
  </si>
  <si>
    <t>Thu, 19 Sep 2024 00:00:00 GMT</t>
  </si>
  <si>
    <t>Wed, 18 Sep 2024 00:00:00 GMT</t>
  </si>
  <si>
    <t>Tue, 17 Sep 2024 00:00:00 GMT</t>
  </si>
  <si>
    <t>Mon, 16 Sep 2024 00:00:00 GMT</t>
  </si>
  <si>
    <t>Fri, 13 Sep 2024 00:00:00 GMT</t>
  </si>
  <si>
    <t>Thu, 12 Sep 2024 00:00:00 GMT</t>
  </si>
  <si>
    <t>Wed, 11 Sep 2024 00:00:00 GMT</t>
  </si>
  <si>
    <t>Tue, 10 Sep 2024 00:00:00 GMT</t>
  </si>
  <si>
    <t>Mon, 09 Sep 2024 00:00:00 GMT</t>
  </si>
  <si>
    <t>Fri, 06 Sep 2024 00:00:00 GMT</t>
  </si>
  <si>
    <t>Thu, 05 Sep 2024 00:00:00 GMT</t>
  </si>
  <si>
    <t>Wed, 04 Sep 2024 00:00:00 GMT</t>
  </si>
  <si>
    <t>Tue, 03 Sep 2024 00:00:00 GMT</t>
  </si>
  <si>
    <t>Fri, 30 Aug 2024 00:00:00 GMT</t>
  </si>
  <si>
    <t>Thu, 29 Aug 2024 00:00:00 GMT</t>
  </si>
  <si>
    <t>Wed, 28 Aug 2024 00:00:00 GMT</t>
  </si>
  <si>
    <t>Tue, 27 Aug 2024 00:00:00 GMT</t>
  </si>
  <si>
    <t>Mon, 26 Aug 2024 00:00:00 GMT</t>
  </si>
  <si>
    <t>Fri, 23 Aug 2024 00:00:00 GMT</t>
  </si>
  <si>
    <t>Thu, 22 Aug 2024 00:00:00 GMT</t>
  </si>
  <si>
    <t>Wed, 21 Aug 2024 00:00:00 GMT</t>
  </si>
  <si>
    <t>Tue, 20 Aug 2024 00:00:00 GMT</t>
  </si>
  <si>
    <t>Mon, 19 Aug 2024 00:00:00 GMT</t>
  </si>
  <si>
    <t>Fri, 16 Aug 2024 00:00:00 GMT</t>
  </si>
  <si>
    <t>Thu, 15 Aug 2024 00:00:00 GMT</t>
  </si>
  <si>
    <t>Wed, 14 Aug 2024 00:00:00 GMT</t>
  </si>
  <si>
    <t>Tue, 13 Aug 2024 00:00:00 GMT</t>
  </si>
  <si>
    <t>Mon, 12 Aug 2024 00:00:00 GMT</t>
  </si>
  <si>
    <t>Fri, 09 Aug 2024 00:00:00 GMT</t>
  </si>
  <si>
    <t>Thu, 08 Aug 2024 00:00:00 GMT</t>
  </si>
  <si>
    <t>Wed, 07 Aug 2024 00:00:00 GMT</t>
  </si>
  <si>
    <t>Tue, 06 Aug 2024 00:00:00 GMT</t>
  </si>
  <si>
    <t>Mon, 05 Aug 2024 00:00:00 GMT</t>
  </si>
  <si>
    <t>Fri, 02 Aug 2024 00:00:00 GMT</t>
  </si>
  <si>
    <t>Thu, 01 Aug 2024 00:00:00 GMT</t>
  </si>
  <si>
    <t>Wed, 31 Jul 2024 00:00:00 GMT</t>
  </si>
  <si>
    <t>Tue, 30 Jul 2024 00:00:00 GMT</t>
  </si>
  <si>
    <t>Mon, 29 Jul 2024 00:00:00 GMT</t>
  </si>
  <si>
    <t>Fri, 26 Jul 2024 00:00:00 GMT</t>
  </si>
  <si>
    <t>Thu, 25 Jul 2024 00:00:00 GMT</t>
  </si>
  <si>
    <t>Wed, 24 Jul 2024 00:00:00 GMT</t>
  </si>
  <si>
    <t>Tue, 23 Jul 2024 00:00:00 GMT</t>
  </si>
  <si>
    <t>Mon, 22 Jul 2024 00:00:00 GMT</t>
  </si>
  <si>
    <t>Fri, 19 Jul 2024 00:00:00 GMT</t>
  </si>
  <si>
    <t>Thu, 18 Jul 2024 00:00:00 GMT</t>
  </si>
  <si>
    <t>Wed, 17 Jul 2024 00:00:00 GMT</t>
  </si>
  <si>
    <t>Tue, 16 Jul 2024 00:00:00 GMT</t>
  </si>
  <si>
    <t>Mon, 15 Jul 2024 00:00:00 GMT</t>
  </si>
  <si>
    <t>Fri, 12 Jul 2024 00:00:00 GMT</t>
  </si>
  <si>
    <t>Thu, 11 Jul 2024 00:00:00 GMT</t>
  </si>
  <si>
    <t>Wed, 10 Jul 2024 00:00:00 GMT</t>
  </si>
  <si>
    <t>Tue, 09 Jul 2024 00:00:00 GMT</t>
  </si>
  <si>
    <t>Mon, 08 Jul 2024 00:00:00 GMT</t>
  </si>
  <si>
    <t>Fri, 05 Jul 2024 00:00:00 GMT</t>
  </si>
  <si>
    <t>Wed, 03 Jul 2024 00:00:00 GMT</t>
  </si>
  <si>
    <t>Tue, 02 Jul 2024 00:00:00 GMT</t>
  </si>
  <si>
    <t>Mon, 01 Jul 2024 00:00:00 GMT</t>
  </si>
  <si>
    <t>Fri, 28 Jun 2024 00:00:00 GMT</t>
  </si>
  <si>
    <t>Thu, 27 Jun 2024 00:00:00 GMT</t>
  </si>
  <si>
    <t>Wed, 26 Jun 2024 00:00:00 GMT</t>
  </si>
  <si>
    <t>Tue, 25 Jun 2024 00:00:00 GMT</t>
  </si>
  <si>
    <t>Mon, 24 Jun 2024 00:00:00 GMT</t>
  </si>
  <si>
    <t>Fri, 21 Jun 2024 00:00:00 GMT</t>
  </si>
  <si>
    <t>Thu, 20 Jun 2024 00:00:00 GMT</t>
  </si>
  <si>
    <t>Tue, 18 Jun 2024 00:00:00 GMT</t>
  </si>
  <si>
    <t>Mon, 17 Jun 2024 00:00:00 GMT</t>
  </si>
  <si>
    <t>Fri, 14 Jun 2024 00:00:00 GMT</t>
  </si>
  <si>
    <t>Thu, 13 Jun 2024 00:00:00 GMT</t>
  </si>
  <si>
    <t>Wed, 12 Jun 2024 00:00:00 GMT</t>
  </si>
  <si>
    <t>Tue, 11 Jun 2024 00:00:00 GMT</t>
  </si>
  <si>
    <t>Mon, 10 Jun 2024 00:00:00 GMT</t>
  </si>
  <si>
    <t>Fri, 07 Jun 2024 00:00:00 GMT</t>
  </si>
  <si>
    <t>Thu, 06 Jun 2024 00:00:00 GMT</t>
  </si>
  <si>
    <t>Wed, 05 Jun 2024 00:00:00 GMT</t>
  </si>
  <si>
    <t>Tue, 04 Jun 2024 00:00:00 GMT</t>
  </si>
  <si>
    <t>Mon, 03 Jun 2024 00:00:00 GMT</t>
  </si>
  <si>
    <t>Fri, 31 May 2024 00:00:00 GMT</t>
  </si>
  <si>
    <t>Thu, 30 May 2024 00:00:00 GMT</t>
  </si>
  <si>
    <t>Wed, 29 May 2024 00:00:00 GMT</t>
  </si>
  <si>
    <t>Tue, 28 May 2024 00:00:00 GMT</t>
  </si>
  <si>
    <t>Fri, 24 May 2024 00:00:00 GMT</t>
  </si>
  <si>
    <t>Thu, 23 May 2024 00:00:00 GMT</t>
  </si>
  <si>
    <t>Wed, 22 May 2024 00:00:00 GMT</t>
  </si>
  <si>
    <t>Tue, 21 May 2024 00:00:00 GMT</t>
  </si>
  <si>
    <t>Mon, 20 May 2024 00:00:00 GMT</t>
  </si>
  <si>
    <t>Fri, 17 May 2024 00:00:00 GMT</t>
  </si>
  <si>
    <t>Thu, 16 May 2024 00:00:00 GMT</t>
  </si>
  <si>
    <t>Wed, 15 May 2024 00:00:00 GMT</t>
  </si>
  <si>
    <t>Tue, 14 May 2024 00:00:00 GMT</t>
  </si>
  <si>
    <t>Mon, 13 May 2024 00:00:00 GMT</t>
  </si>
  <si>
    <t>Fri, 10 May 2024 00:00:00 GMT</t>
  </si>
  <si>
    <t>Thu, 09 May 2024 00:00:00 GMT</t>
  </si>
  <si>
    <t>Wed, 08 May 2024 00:00:00 GMT</t>
  </si>
  <si>
    <t>Tue, 07 May 2024 00:00:00 GMT</t>
  </si>
  <si>
    <t>Mon, 06 May 2024 00:00:00 GMT</t>
  </si>
  <si>
    <t>Fri, 03 May 2024 00:00:00 GMT</t>
  </si>
  <si>
    <t>Thu, 02 May 2024 00:00:00 GMT</t>
  </si>
  <si>
    <t>Wed, 01 May 2024 00:00:00 GMT</t>
  </si>
  <si>
    <t>Tue, 30 Apr 2024 00:00:00 GMT</t>
  </si>
  <si>
    <t>Mon, 29 Apr 2024 00:00:00 GMT</t>
  </si>
  <si>
    <t>Fri, 26 Apr 2024 00:00:00 GMT</t>
  </si>
  <si>
    <t>Thu, 25 Apr 2024 00:00:00 GMT</t>
  </si>
  <si>
    <t>Wed, 24 Apr 2024 00:00:00 GMT</t>
  </si>
  <si>
    <t>Tue, 23 Apr 2024 00:00:00 GMT</t>
  </si>
  <si>
    <t>Mon, 22 Apr 2024 00:00:00 GMT</t>
  </si>
  <si>
    <t>Fri, 19 Apr 2024 00:00:00 GMT</t>
  </si>
  <si>
    <t>Thu, 18 Apr 2024 00:00:00 GMT</t>
  </si>
  <si>
    <t>Wed, 17 Apr 2024 00:00:00 GMT</t>
  </si>
  <si>
    <t>Tue, 16 Apr 2024 00:00:00 GMT</t>
  </si>
  <si>
    <t>Mon, 15 Apr 2024 00:00:00 GMT</t>
  </si>
  <si>
    <t>Fri, 12 Apr 2024 00:00:00 GMT</t>
  </si>
  <si>
    <t>Thu, 11 Apr 2024 00:00:00 GMT</t>
  </si>
  <si>
    <t>Wed, 10 Apr 2024 00:00:00 GMT</t>
  </si>
  <si>
    <t>Tue, 09 Apr 2024 00:00:00 GMT</t>
  </si>
  <si>
    <t>Mon, 08 Apr 2024 00:00:00 GMT</t>
  </si>
  <si>
    <t>Fri, 05 Apr 2024 00:00:00 GMT</t>
  </si>
  <si>
    <t>Thu, 04 Apr 2024 00:00:00 GMT</t>
  </si>
  <si>
    <t>Wed, 03 Apr 2024 00:00:00 GMT</t>
  </si>
  <si>
    <t>Tue, 02 Apr 2024 00:00:00 GMT</t>
  </si>
  <si>
    <t>Mon, 01 Apr 2024 00:00:00 GMT</t>
  </si>
  <si>
    <t>Thu, 28 Mar 2024 00:00:00 GMT</t>
  </si>
  <si>
    <t>Wed, 27 Mar 2024 00:00:00 GMT</t>
  </si>
  <si>
    <t>Tue, 26 Mar 2024 00:00:00 GMT</t>
  </si>
  <si>
    <t>Mon, 25 Mar 2024 00:00:00 GMT</t>
  </si>
  <si>
    <t>Fri, 22 Mar 2024 00:00:00 GMT</t>
  </si>
  <si>
    <t>Thu, 21 Mar 2024 00:00:00 GMT</t>
  </si>
  <si>
    <t>Wed, 20 Mar 2024 00:00:00 GMT</t>
  </si>
  <si>
    <t>Tue, 19 Mar 2024 00:00:00 GMT</t>
  </si>
  <si>
    <t>Mon, 18 Mar 2024 00:00:00 GMT</t>
  </si>
  <si>
    <t>Fri, 15 Mar 2024 00:00:00 GMT</t>
  </si>
  <si>
    <t>Thu, 14 Mar 2024 00:00:00 GMT</t>
  </si>
  <si>
    <t>Wed, 13 Mar 2024 00:00:00 GMT</t>
  </si>
  <si>
    <t>Tue, 12 Mar 2024 00:00:00 GMT</t>
  </si>
  <si>
    <t>Mon, 11 Mar 2024 00:00:00 GMT</t>
  </si>
  <si>
    <t>Fri, 08 Mar 2024 00:00:00 GMT</t>
  </si>
  <si>
    <t>Thu, 07 Mar 2024 00:00:00 GMT</t>
  </si>
  <si>
    <t>Wed, 06 Mar 2024 00:00:00 GMT</t>
  </si>
  <si>
    <t>Tue, 05 Mar 2024 00:00:00 GMT</t>
  </si>
  <si>
    <t>Mon, 04 Mar 2024 00:00:00 GMT</t>
  </si>
  <si>
    <t>Fri, 01 Mar 2024 00:00:00 GMT</t>
  </si>
  <si>
    <t>Thu, 29 Feb 2024 00:00:00 GMT</t>
  </si>
  <si>
    <t>Wed, 28 Feb 2024 00:00:00 GMT</t>
  </si>
  <si>
    <t>Tue, 27 Feb 2024 00:00:00 GMT</t>
  </si>
  <si>
    <t>Mon, 26 Feb 2024 00:00:00 GMT</t>
  </si>
  <si>
    <t>Fri, 23 Feb 2024 00:00:00 GMT</t>
  </si>
  <si>
    <t>Thu, 22 Feb 2024 00:00:00 GMT</t>
  </si>
  <si>
    <t>Wed, 21 Feb 2024 00:00:00 GMT</t>
  </si>
  <si>
    <t>Tue, 20 Feb 2024 00:00:00 GMT</t>
  </si>
  <si>
    <t>Fri, 16 Feb 2024 00:00:00 GMT</t>
  </si>
  <si>
    <t>Thu, 15 Feb 2024 00:00:00 GMT</t>
  </si>
  <si>
    <t>Wed, 14 Feb 2024 00:00:00 GMT</t>
  </si>
  <si>
    <t>Tue, 13 Feb 2024 00:00:00 GMT</t>
  </si>
  <si>
    <t>Mon, 12 Feb 2024 00:00:00 GMT</t>
  </si>
  <si>
    <t>Fri, 09 Feb 2024 00:00:00 GMT</t>
  </si>
  <si>
    <t>Thu, 08 Feb 2024 00:00:00 GMT</t>
  </si>
  <si>
    <t>Wed, 07 Feb 2024 00:00:00 GMT</t>
  </si>
  <si>
    <t>Tue, 06 Feb 2024 00:00:00 GMT</t>
  </si>
  <si>
    <t>Mon, 05 Feb 2024 00:00:00 GMT</t>
  </si>
  <si>
    <t>Fri, 02 Feb 2024 00:00:00 GMT</t>
  </si>
  <si>
    <t>Thu, 01 Feb 2024 00:00:00 GMT</t>
  </si>
  <si>
    <t>Wed, 31 Jan 2024 00:00:00 GMT</t>
  </si>
  <si>
    <t>Tue, 30 Jan 2024 00:00:00 GMT</t>
  </si>
  <si>
    <t>Mon, 29 Jan 2024 00:00:00 GMT</t>
  </si>
  <si>
    <t>Fri, 26 Jan 2024 00:00:00 GMT</t>
  </si>
  <si>
    <t>Thu, 25 Jan 2024 00:00:00 GMT</t>
  </si>
  <si>
    <t>Wed, 24 Jan 2024 00:00:00 GMT</t>
  </si>
  <si>
    <t>Tue, 23 Jan 2024 00:00:00 GMT</t>
  </si>
  <si>
    <t>Mon, 22 Jan 2024 00:00:00 GMT</t>
  </si>
  <si>
    <t>Fri, 19 Jan 2024 00:00:00 GMT</t>
  </si>
  <si>
    <t>Thu, 18 Jan 2024 00:00:00 GMT</t>
  </si>
  <si>
    <t>Wed, 17 Jan 2024 00:00:00 GMT</t>
  </si>
  <si>
    <t>Tue, 16 Jan 2024 00:00:00 GMT</t>
  </si>
  <si>
    <t>Fri, 12 Jan 2024 00:00:00 GMT</t>
  </si>
  <si>
    <t>Thu, 11 Jan 2024 00:00:00 GMT</t>
  </si>
  <si>
    <t>Wed, 10 Jan 2024 00:00:00 GMT</t>
  </si>
  <si>
    <t>Tue, 09 Jan 2024 00:00:00 GMT</t>
  </si>
  <si>
    <t>Mon, 08 Jan 2024 00:00:00 GMT</t>
  </si>
  <si>
    <t>Fri, 05 Jan 2024 00:00:00 GMT</t>
  </si>
  <si>
    <t>Thu, 04 Jan 2024 00:00:00 GMT</t>
  </si>
  <si>
    <t>Wed, 03 Jan 2024 00:00:00 GMT</t>
  </si>
  <si>
    <t>Tue, 02 Jan 2024 00:00:00 GMT</t>
  </si>
  <si>
    <t>Fri, 29 Dec 2023 00:00:00 GMT</t>
  </si>
  <si>
    <t>Thu, 28 Dec 2023 00:00:00 GMT</t>
  </si>
  <si>
    <t>Wed, 27 Dec 2023 00:00:00 GMT</t>
  </si>
  <si>
    <t>Tue, 26 Dec 2023 00:00:00 GMT</t>
  </si>
  <si>
    <t>Fri, 22 Dec 2023 00:00:00 GMT</t>
  </si>
  <si>
    <t>Thu, 21 Dec 2023 00:00:00 GMT</t>
  </si>
  <si>
    <t>Wed, 20 Dec 2023 00:00:00 GMT</t>
  </si>
  <si>
    <t>Tue, 19 Dec 2023 00:00:00 GMT</t>
  </si>
  <si>
    <t>Mon, 18 Dec 2023 00:00:00 GMT</t>
  </si>
  <si>
    <t>Fri, 15 Dec 2023 00:00:00 GMT</t>
  </si>
  <si>
    <t>Thu, 14 Dec 2023 00:00:00 GMT</t>
  </si>
  <si>
    <t>Wed, 13 Dec 2023 00:00:00 GMT</t>
  </si>
  <si>
    <t>Tue, 12 Dec 2023 00:00:00 GMT</t>
  </si>
  <si>
    <t>Mon, 11 Dec 2023 00:00:00 GMT</t>
  </si>
  <si>
    <t>Fri, 08 Dec 2023 00:00:00 GMT</t>
  </si>
  <si>
    <t>Thu, 07 Dec 2023 00:00:00 GMT</t>
  </si>
  <si>
    <t>Wed, 06 Dec 2023 00:00:00 GMT</t>
  </si>
  <si>
    <t>Tue, 05 Dec 2023 00:00:00 GMT</t>
  </si>
  <si>
    <t>Mon, 04 Dec 2023 00:00:00 GMT</t>
  </si>
  <si>
    <t>Fri, 01 Dec 2023 00:00:00 GMT</t>
  </si>
  <si>
    <t>Thu, 30 Nov 2023 00:00:00 GMT</t>
  </si>
  <si>
    <t>Wed, 29 Nov 2023 00:00:00 GMT</t>
  </si>
  <si>
    <t>Tue, 28 Nov 2023 00:00:00 GMT</t>
  </si>
  <si>
    <t>Mon, 27 Nov 2023 00:00:00 GMT</t>
  </si>
  <si>
    <t>Fri, 24 Nov 2023 00:00:00 GMT</t>
  </si>
  <si>
    <t>Wed, 22 Nov 2023 00:00:00 GMT</t>
  </si>
  <si>
    <t>Tue, 21 Nov 2023 00:00:00 GMT</t>
  </si>
  <si>
    <t>Mon, 20 Nov 2023 00:00:00 GMT</t>
  </si>
  <si>
    <t>Fri, 17 Nov 2023 00:00:00 GMT</t>
  </si>
  <si>
    <t>Thu, 16 Nov 2023 00:00:00 GMT</t>
  </si>
  <si>
    <t>Wed, 15 Nov 2023 00:00:00 GMT</t>
  </si>
  <si>
    <t>Tue, 14 Nov 2023 00:00:00 GMT</t>
  </si>
  <si>
    <t>Mon, 13 Nov 2023 00:00:00 GMT</t>
  </si>
  <si>
    <t>Fri, 10 Nov 2023 00:00:00 GMT</t>
  </si>
  <si>
    <t>Thu, 09 Nov 2023 00:00:00 GMT</t>
  </si>
  <si>
    <t>Wed, 08 Nov 2023 00:00:00 GMT</t>
  </si>
  <si>
    <t>Tue, 07 Nov 2023 00:00:00 GMT</t>
  </si>
  <si>
    <t>Mon, 06 Nov 2023 00:00:00 GMT</t>
  </si>
  <si>
    <t>Fri, 03 Nov 2023 00:00:00 GMT</t>
  </si>
  <si>
    <t>Thu, 02 Nov 2023 00:00:00 GMT</t>
  </si>
  <si>
    <t>Wed, 01 Nov 2023 00:00:00 GMT</t>
  </si>
  <si>
    <t>Tue, 31 Oct 2023 00:00:00 GMT</t>
  </si>
  <si>
    <t>Mon, 30 Oct 2023 00:00:00 GMT</t>
  </si>
  <si>
    <t>Fri, 27 Oct 2023 00:00:00 GMT</t>
  </si>
  <si>
    <t>Thu, 26 Oct 2023 00:00:00 GMT</t>
  </si>
  <si>
    <t>Wed, 25 Oct 2023 00:00:00 GMT</t>
  </si>
  <si>
    <t>Tue, 24 Oct 2023 00:00:00 GMT</t>
  </si>
  <si>
    <t>Mon, 23 Oct 2023 00:00:00 GMT</t>
  </si>
  <si>
    <t>Fri, 20 Oct 2023 00:00:00 GMT</t>
  </si>
  <si>
    <t>Thu, 19 Oct 2023 00:00:00 GMT</t>
  </si>
  <si>
    <t>Wed, 18 Oct 2023 00:00:00 GMT</t>
  </si>
  <si>
    <t>Tue, 17 Oct 2023 00:00:00 GMT</t>
  </si>
  <si>
    <t>Mon, 16 Oct 2023 00:00:00 GMT</t>
  </si>
  <si>
    <t>Fri, 13 Oct 2023 00:00:00 GMT</t>
  </si>
  <si>
    <t>Thu, 12 Oct 2023 00:00:00 GMT</t>
  </si>
  <si>
    <t>Wed, 11 Oct 2023 00:00:00 GMT</t>
  </si>
  <si>
    <t>Tue, 10 Oct 2023 00:00:00 GMT</t>
  </si>
  <si>
    <t>Mon, 09 Oct 2023 00:00:00 GMT</t>
  </si>
  <si>
    <t>Fri, 06 Oct 2023 00:00:00 GMT</t>
  </si>
  <si>
    <t>Thu, 05 Oct 2023 00:00:00 GMT</t>
  </si>
  <si>
    <t>Wed, 04 Oct 2023 00:00:00 GMT</t>
  </si>
  <si>
    <t>Tue, 03 Oct 2023 00:00:00 GMT</t>
  </si>
  <si>
    <t>Mon, 02 Oct 2023 00:00:00 GMT</t>
  </si>
  <si>
    <t>Fri, 29 Sep 2023 00:00:00 GMT</t>
  </si>
  <si>
    <t>Thu, 28 Sep 2023 00:00:00 GMT</t>
  </si>
  <si>
    <t>Wed, 27 Sep 2023 00:00:00 GMT</t>
  </si>
  <si>
    <t>Tue, 26 Sep 2023 00:00:00 GMT</t>
  </si>
  <si>
    <t>Mon, 25 Sep 2023 00:00:00 GMT</t>
  </si>
  <si>
    <t>Fri, 22 Sep 2023 00:00:00 GMT</t>
  </si>
  <si>
    <t>Thu, 21 Sep 2023 00:00:00 GMT</t>
  </si>
  <si>
    <t>Wed, 20 Sep 2023 00:00:00 GMT</t>
  </si>
  <si>
    <t>Tue, 19 Sep 2023 00:00:00 GMT</t>
  </si>
  <si>
    <t>Mon, 18 Sep 2023 00:00:00 GMT</t>
  </si>
  <si>
    <t>Fri, 15 Sep 2023 00:00:00 GMT</t>
  </si>
  <si>
    <t>Thu, 14 Sep 2023 00:00:00 GMT</t>
  </si>
  <si>
    <t>Wed, 13 Sep 2023 00:00:00 GMT</t>
  </si>
  <si>
    <t>Tue, 12 Sep 2023 00:00:00 GMT</t>
  </si>
  <si>
    <t>Mon, 11 Sep 2023 00:00:00 GMT</t>
  </si>
  <si>
    <t>Fri, 08 Sep 2023 00:00:00 GMT</t>
  </si>
  <si>
    <t>Thu, 07 Sep 2023 00:00:00 GMT</t>
  </si>
  <si>
    <t>Wed, 06 Sep 2023 00:00:00 GMT</t>
  </si>
  <si>
    <t>Tue, 05 Sep 2023 00:00:00 GMT</t>
  </si>
  <si>
    <t>Fri, 01 Sep 2023 00:00:00 GMT</t>
  </si>
  <si>
    <t>Thu, 31 Aug 2023 00:00:00 GMT</t>
  </si>
  <si>
    <t>Wed, 30 Aug 2023 00:00:00 GMT</t>
  </si>
  <si>
    <t>Tue, 29 Aug 2023 00:00:00 GMT</t>
  </si>
  <si>
    <t>Mon, 28 Aug 2023 00:00:00 GMT</t>
  </si>
  <si>
    <t>Fri, 25 Aug 2023 00:00:00 GMT</t>
  </si>
  <si>
    <t>Thu, 24 Aug 2023 00:00:00 GMT</t>
  </si>
  <si>
    <t>Wed, 23 Aug 2023 00:00:00 GMT</t>
  </si>
  <si>
    <t>Tue, 22 Aug 2023 00:00:00 GMT</t>
  </si>
  <si>
    <t>Mon, 21 Aug 2023 00:00:00 GMT</t>
  </si>
  <si>
    <t>Fri, 18 Aug 2023 00:00:00 GMT</t>
  </si>
  <si>
    <t>Thu, 17 Aug 2023 00:00:00 GMT</t>
  </si>
  <si>
    <t>Wed, 16 Aug 2023 00:00:00 GMT</t>
  </si>
  <si>
    <t>Tue, 15 Aug 2023 00:00:00 GMT</t>
  </si>
  <si>
    <t>Mon, 14 Aug 2023 00:00:00 GMT</t>
  </si>
  <si>
    <t>Fri, 11 Aug 2023 00:00:00 GMT</t>
  </si>
  <si>
    <t>Thu, 10 Aug 2023 00:00:00 GMT</t>
  </si>
  <si>
    <t>Wed, 09 Aug 2023 00:00:00 GMT</t>
  </si>
  <si>
    <t>Tue, 08 Aug 2023 00:00:00 GMT</t>
  </si>
  <si>
    <t>Mon, 07 Aug 2023 00:00:00 GMT</t>
  </si>
  <si>
    <t>Fri, 04 Aug 2023 00:00:00 GMT</t>
  </si>
  <si>
    <t>Thu, 03 Aug 2023 00:00:00 GMT</t>
  </si>
  <si>
    <t>Wed, 02 Aug 2023 00:00:00 GMT</t>
  </si>
  <si>
    <t>Tue, 01 Aug 2023 00:00:00 GMT</t>
  </si>
  <si>
    <t>Mon, 31 Jul 2023 00:00:00 GMT</t>
  </si>
  <si>
    <t>Fri, 28 Jul 2023 00:00:00 GMT</t>
  </si>
  <si>
    <t>Thu, 27 Jul 2023 00:00:00 GMT</t>
  </si>
  <si>
    <t>Wed, 26 Jul 2023 00:00:00 GMT</t>
  </si>
  <si>
    <t>Tue, 25 Jul 2023 00:00:00 GMT</t>
  </si>
  <si>
    <t>Mon, 24 Jul 2023 00:00:00 GMT</t>
  </si>
  <si>
    <t>Fri, 21 Jul 2023 00:00:00 GMT</t>
  </si>
  <si>
    <t>Thu, 20 Jul 2023 00:00:00 GMT</t>
  </si>
  <si>
    <t>Wed, 19 Jul 2023 00:00:00 GMT</t>
  </si>
  <si>
    <t>Tue, 18 Jul 2023 00:00:00 GMT</t>
  </si>
  <si>
    <t>Mon, 17 Jul 2023 00:00:00 GMT</t>
  </si>
  <si>
    <t>Fri, 14 Jul 2023 00:00:00 GMT</t>
  </si>
  <si>
    <t>Thu, 13 Jul 2023 00:00:00 GMT</t>
  </si>
  <si>
    <t>Wed, 12 Jul 2023 00:00:00 GMT</t>
  </si>
  <si>
    <t>Tue, 11 Jul 2023 00:00:00 GMT</t>
  </si>
  <si>
    <t>Mon, 10 Jul 2023 00:00:00 GMT</t>
  </si>
  <si>
    <t>Fri, 07 Jul 2023 00:00:00 GMT</t>
  </si>
  <si>
    <t>Thu, 06 Jul 2023 00:00:00 GMT</t>
  </si>
  <si>
    <t>Wed, 05 Jul 2023 00:00:00 GMT</t>
  </si>
  <si>
    <t>Mon, 03 Jul 2023 00:00:00 GMT</t>
  </si>
  <si>
    <t>Fri, 30 Jun 2023 00:00:00 GMT</t>
  </si>
  <si>
    <t>Thu, 29 Jun 2023 00:00:00 GMT</t>
  </si>
  <si>
    <t>Wed, 28 Jun 2023 00:00:00 GMT</t>
  </si>
  <si>
    <t>Tue, 27 Jun 2023 00:00:00 GMT</t>
  </si>
  <si>
    <t>Mon, 26 Jun 2023 00:00:00 GMT</t>
  </si>
  <si>
    <t>Fri, 23 Jun 2023 00:00:00 GMT</t>
  </si>
  <si>
    <t>Thu, 22 Jun 2023 00:00:00 GMT</t>
  </si>
  <si>
    <t>Wed, 21 Jun 2023 00:00:00 GMT</t>
  </si>
  <si>
    <t>Tue, 20 Jun 2023 00:00:00 GMT</t>
  </si>
  <si>
    <t>Fri, 16 Jun 2023 00:00:00 GMT</t>
  </si>
  <si>
    <t>Thu, 15 Jun 2023 00:00:00 GMT</t>
  </si>
  <si>
    <t>Wed, 14 Jun 2023 00:00:00 GMT</t>
  </si>
  <si>
    <t>Tue, 13 Jun 2023 00:00:00 GMT</t>
  </si>
  <si>
    <t>Mon, 12 Jun 2023 00:00:00 GMT</t>
  </si>
  <si>
    <t>Fri, 09 Jun 2023 00:00:00 GMT</t>
  </si>
  <si>
    <t>Thu, 08 Jun 2023 00:00:00 GMT</t>
  </si>
  <si>
    <t>Wed, 07 Jun 2023 00:00:00 GMT</t>
  </si>
  <si>
    <t>Tue, 06 Jun 2023 00:00:00 GMT</t>
  </si>
  <si>
    <t>Mon, 05 Jun 2023 00:00:00 GMT</t>
  </si>
  <si>
    <t>Fri, 02 Jun 2023 00:00:00 GMT</t>
  </si>
  <si>
    <t>Thu, 01 Jun 2023 00:00:00 GMT</t>
  </si>
  <si>
    <t>Wed, 31 May 2023 00:00:00 GMT</t>
  </si>
  <si>
    <t>Tue, 30 May 2023 00:00:00 GMT</t>
  </si>
  <si>
    <t>Fri, 26 May 2023 00:00:00 GMT</t>
  </si>
  <si>
    <t>Thu, 25 May 2023 00:00:00 GMT</t>
  </si>
  <si>
    <t>Wed, 24 May 2023 00:00:00 GMT</t>
  </si>
  <si>
    <t>Tue, 23 May 2023 00:00:00 GMT</t>
  </si>
  <si>
    <t>Mon, 22 May 2023 00:00:00 GMT</t>
  </si>
  <si>
    <t>Fri, 19 May 2023 00:00:00 GMT</t>
  </si>
  <si>
    <t>Thu, 18 May 2023 00:00:00 GMT</t>
  </si>
  <si>
    <t>Wed, 17 May 2023 00:00:00 GMT</t>
  </si>
  <si>
    <t>Tue, 16 May 2023 00:00:00 GMT</t>
  </si>
  <si>
    <t>Mon, 15 May 2023 00:00:00 GMT</t>
  </si>
  <si>
    <t>Fri, 12 May 2023 00:00:00 GMT</t>
  </si>
  <si>
    <t>Thu, 11 May 2023 00:00:00 GMT</t>
  </si>
  <si>
    <t>Wed, 10 May 2023 00:00:00 GMT</t>
  </si>
  <si>
    <t>Tue, 09 May 2023 00:00:00 GMT</t>
  </si>
  <si>
    <t>Mon, 08 May 2023 00:00:00 GMT</t>
  </si>
  <si>
    <t>Fri, 05 May 2023 00:00:00 GMT</t>
  </si>
  <si>
    <t>Thu, 04 May 2023 00:00:00 GMT</t>
  </si>
  <si>
    <t>Wed, 03 May 2023 00:00:00 GMT</t>
  </si>
  <si>
    <t>Tue, 02 May 2023 00:00:00 GMT</t>
  </si>
  <si>
    <t>Mon, 01 May 2023 00:00:00 GMT</t>
  </si>
  <si>
    <t>Fri, 28 Apr 2023 00:00:00 GMT</t>
  </si>
  <si>
    <t>Thu, 27 Apr 2023 00:00:00 GMT</t>
  </si>
  <si>
    <t>Wed, 26 Apr 2023 00:00:00 GMT</t>
  </si>
  <si>
    <t>Tue, 25 Apr 2023 00:00:00 GMT</t>
  </si>
  <si>
    <t>Mon, 24 Apr 2023 00:00:00 GMT</t>
  </si>
  <si>
    <t>Fri, 21 Apr 2023 00:00:00 GMT</t>
  </si>
  <si>
    <t>Thu, 20 Apr 2023 00:00:00 GMT</t>
  </si>
  <si>
    <t>Wed, 19 Apr 2023 00:00:00 GMT</t>
  </si>
  <si>
    <t>Tue, 18 Apr 2023 00:00:00 GMT</t>
  </si>
  <si>
    <t>Mon, 17 Apr 2023 00:00:00 GMT</t>
  </si>
  <si>
    <t>Fri, 14 Apr 2023 00:00:00 GMT</t>
  </si>
  <si>
    <t>Thu, 13 Apr 2023 00:00:00 GMT</t>
  </si>
  <si>
    <t>Wed, 12 Apr 2023 00:00:00 GMT</t>
  </si>
  <si>
    <t>Tue, 11 Apr 2023 00:00:00 GMT</t>
  </si>
  <si>
    <t>Mon, 10 Apr 2023 00:00:00 GMT</t>
  </si>
  <si>
    <t>Thu, 06 Apr 2023 00:00:00 GMT</t>
  </si>
  <si>
    <t>Wed, 05 Apr 2023 00:00:00 GMT</t>
  </si>
  <si>
    <t>Tue, 04 Apr 2023 00:00:00 GMT</t>
  </si>
  <si>
    <t>Mon, 03 Apr 2023 00:00:00 GMT</t>
  </si>
  <si>
    <t>Fri, 31 Mar 2023 00:00:00 GMT</t>
  </si>
  <si>
    <t>Thu, 30 Mar 2023 00:00:00 GMT</t>
  </si>
  <si>
    <t>Wed, 29 Mar 2023 00:00:00 GMT</t>
  </si>
  <si>
    <t>Tue, 28 Mar 2023 00:00:00 GMT</t>
  </si>
  <si>
    <t>Mon, 27 Mar 2023 00:00:00 GMT</t>
  </si>
  <si>
    <t>Fri, 24 Mar 2023 00:00:00 GMT</t>
  </si>
  <si>
    <t>Thu, 23 Mar 2023 00:00:00 GMT</t>
  </si>
  <si>
    <t>Wed, 22 Mar 2023 00:00:00 GMT</t>
  </si>
  <si>
    <t>Tue, 21 Mar 2023 00:00:00 GMT</t>
  </si>
  <si>
    <t>Mon, 20 Mar 2023 00:00:00 GMT</t>
  </si>
  <si>
    <t>Fri, 17 Mar 2023 00:00:00 GMT</t>
  </si>
  <si>
    <t>Thu, 16 Mar 2023 00:00:00 GMT</t>
  </si>
  <si>
    <t>Wed, 15 Mar 2023 00:00:00 GMT</t>
  </si>
  <si>
    <t>Tue, 14 Mar 2023 00:00:00 GMT</t>
  </si>
  <si>
    <t>Mon, 13 Mar 2023 00:00:00 GMT</t>
  </si>
  <si>
    <t>Fri, 10 Mar 2023 00:00:00 GMT</t>
  </si>
  <si>
    <t>Thu, 09 Mar 2023 00:00:00 GMT</t>
  </si>
  <si>
    <t>Wed, 08 Mar 2023 00:00:00 GMT</t>
  </si>
  <si>
    <t>Tue, 07 Mar 2023 00:00:00 GMT</t>
  </si>
  <si>
    <t>Mon, 06 Mar 2023 00:00:00 GMT</t>
  </si>
  <si>
    <t>Fri, 03 Mar 2023 00:00:00 GMT</t>
  </si>
  <si>
    <t>Thu, 02 Mar 2023 00:00:00 GMT</t>
  </si>
  <si>
    <t>Wed, 01 Mar 2023 00:00:00 GMT</t>
  </si>
  <si>
    <t>Tue, 28 Feb 2023 00:00:00 GMT</t>
  </si>
  <si>
    <t>Mon, 27 Feb 2023 00:00:00 GMT</t>
  </si>
  <si>
    <t>Fri, 24 Feb 2023 00:00:00 GMT</t>
  </si>
  <si>
    <t>Thu, 23 Feb 2023 00:00:00 GMT</t>
  </si>
  <si>
    <t>Wed, 22 Feb 2023 00:00:00 GMT</t>
  </si>
  <si>
    <t>Tue, 21 Feb 2023 00:00:00 GMT</t>
  </si>
  <si>
    <t>Fri, 17 Feb 2023 00:00:00 GMT</t>
  </si>
  <si>
    <t>Thu, 16 Feb 2023 00:00:00 GMT</t>
  </si>
  <si>
    <t>Wed, 15 Feb 2023 00:00:00 GMT</t>
  </si>
  <si>
    <t>Tue, 14 Feb 2023 00:00:00 GMT</t>
  </si>
  <si>
    <t>Mon, 13 Feb 2023 00:00:00 GMT</t>
  </si>
  <si>
    <t>Fri, 10 Feb 2023 00:00:00 GMT</t>
  </si>
  <si>
    <t>Thu, 09 Feb 2023 00:00:00 GMT</t>
  </si>
  <si>
    <t>Wed, 08 Feb 2023 00:00:00 GMT</t>
  </si>
  <si>
    <t>Tue, 07 Feb 2023 00:00:00 GMT</t>
  </si>
  <si>
    <t>Mon, 06 Feb 2023 00:00:00 GMT</t>
  </si>
  <si>
    <t>Fri, 03 Feb 2023 00:00:00 GMT</t>
  </si>
  <si>
    <t>Thu, 02 Feb 2023 00:00:00 GMT</t>
  </si>
  <si>
    <t>Wed, 01 Feb 2023 00:00:00 GMT</t>
  </si>
  <si>
    <t>Tue, 31 Jan 2023 00:00:00 GMT</t>
  </si>
  <si>
    <t>Mon, 30 Jan 2023 00:00:00 GMT</t>
  </si>
  <si>
    <t>Fri, 27 Jan 2023 00:00:00 GMT</t>
  </si>
  <si>
    <t>Thu, 26 Jan 2023 00:00:00 GMT</t>
  </si>
  <si>
    <t>Wed, 25 Jan 2023 00:00:00 GMT</t>
  </si>
  <si>
    <t>Tue, 24 Jan 2023 00:00:00 GMT</t>
  </si>
  <si>
    <t>Mon, 23 Jan 2023 00:00:00 GMT</t>
  </si>
  <si>
    <t>Fri, 20 Jan 2023 00:00:00 GMT</t>
  </si>
  <si>
    <t>Thu, 19 Jan 2023 00:00:00 GMT</t>
  </si>
  <si>
    <t>Wed, 18 Jan 2023 00:00:00 GMT</t>
  </si>
  <si>
    <t>Tue, 17 Jan 2023 00:00:00 GMT</t>
  </si>
  <si>
    <t>Fri, 13 Jan 2023 00:00:00 GMT</t>
  </si>
  <si>
    <t>Thu, 12 Jan 2023 00:00:00 GMT</t>
  </si>
  <si>
    <t>Wed, 11 Jan 2023 00:00:00 GMT</t>
  </si>
  <si>
    <t>Tue, 10 Jan 2023 00:00:00 GMT</t>
  </si>
  <si>
    <t>Mon, 09 Jan 2023 00:00:00 GMT</t>
  </si>
  <si>
    <t>Fri, 06 Jan 2023 00:00:00 GMT</t>
  </si>
  <si>
    <t>Thu, 05 Jan 2023 00:00:00 GMT</t>
  </si>
  <si>
    <t>Wed, 04 Jan 2023 00:00:00 GMT</t>
  </si>
  <si>
    <t>Tue, 03 Jan 2023 00:00:00 GMT</t>
  </si>
  <si>
    <t>Fri, 30 Dec 2022 00:00:00 GMT</t>
  </si>
  <si>
    <t>Thu, 29 Dec 2022 00:00:00 GMT</t>
  </si>
  <si>
    <t>Wed, 28 Dec 2022 00:00:00 GMT</t>
  </si>
  <si>
    <t>Tue, 27 Dec 2022 00:00:00 GMT</t>
  </si>
  <si>
    <t>Fri, 23 Dec 2022 00:00:00 GMT</t>
  </si>
  <si>
    <t>Thu, 22 Dec 2022 00:00:00 GMT</t>
  </si>
  <si>
    <t>Wed, 21 Dec 2022 00:00:00 GMT</t>
  </si>
  <si>
    <t>Tue, 20 Dec 2022 00:00:00 GMT</t>
  </si>
  <si>
    <t>Mon, 19 Dec 2022 00:00:00 GMT</t>
  </si>
  <si>
    <t>Fri, 16 Dec 2022 00:00:00 GMT</t>
  </si>
  <si>
    <t>Thu, 15 Dec 2022 00:00:00 GMT</t>
  </si>
  <si>
    <t>Wed, 14 Dec 2022 00:00:00 GMT</t>
  </si>
  <si>
    <t>Tue, 13 Dec 2022 00:00:00 GMT</t>
  </si>
  <si>
    <t>Mon, 12 Dec 2022 00:00:00 GMT</t>
  </si>
  <si>
    <t>Fri, 09 Dec 2022 00:00:00 GMT</t>
  </si>
  <si>
    <t>Thu, 08 Dec 2022 00:00:00 GMT</t>
  </si>
  <si>
    <t>Wed, 07 Dec 2022 00:00:00 GMT</t>
  </si>
  <si>
    <t>Tue, 06 Dec 2022 00:00:00 GMT</t>
  </si>
  <si>
    <t>Mon, 05 Dec 2022 00:00:00 GMT</t>
  </si>
  <si>
    <t>Fri, 02 Dec 2022 00:00:00 GMT</t>
  </si>
  <si>
    <t>Thu, 01 Dec 2022 00:00:00 GMT</t>
  </si>
  <si>
    <t>Wed, 30 Nov 2022 00:00:00 GMT</t>
  </si>
  <si>
    <t>Tue, 29 Nov 2022 00:00:00 GMT</t>
  </si>
  <si>
    <t>Mon, 28 Nov 2022 00:00:00 GMT</t>
  </si>
  <si>
    <t>Fri, 25 Nov 2022 00:00:00 GMT</t>
  </si>
  <si>
    <t>Wed, 23 Nov 2022 00:00:00 GMT</t>
  </si>
  <si>
    <t>Tue, 22 Nov 2022 00:00:00 GMT</t>
  </si>
  <si>
    <t>Mon, 21 Nov 2022 00:00:00 GMT</t>
  </si>
  <si>
    <t>Fri, 18 Nov 2022 00:00:00 GMT</t>
  </si>
  <si>
    <t>Thu, 17 Nov 2022 00:00:00 GMT</t>
  </si>
  <si>
    <t>Wed, 16 Nov 2022 00:00:00 GMT</t>
  </si>
  <si>
    <t>Tue, 15 Nov 2022 00:00:00 GMT</t>
  </si>
  <si>
    <t>Mon, 14 Nov 2022 00:00:00 GMT</t>
  </si>
  <si>
    <t>Fri, 11 Nov 2022 00:00:00 GMT</t>
  </si>
  <si>
    <t>Thu, 10 Nov 2022 00:00:00 GMT</t>
  </si>
  <si>
    <t>Wed, 09 Nov 2022 00:00:00 GMT</t>
  </si>
  <si>
    <t>Tue, 08 Nov 2022 00:00:00 GMT</t>
  </si>
  <si>
    <t>Mon, 07 Nov 2022 00:00:00 GMT</t>
  </si>
  <si>
    <t>Fri, 04 Nov 2022 00:00:00 GMT</t>
  </si>
  <si>
    <t>Thu, 03 Nov 2022 00:00:00 GMT</t>
  </si>
  <si>
    <t>Wed, 02 Nov 2022 00:00:00 GMT</t>
  </si>
  <si>
    <t>Tue, 01 Nov 2022 00:00:00 GMT</t>
  </si>
  <si>
    <t>Mon, 31 Oct 2022 00:00:00 GMT</t>
  </si>
  <si>
    <t>Fri, 28 Oct 2022 00:00:00 GMT</t>
  </si>
  <si>
    <t>Thu, 27 Oct 2022 00:00:00 GMT</t>
  </si>
  <si>
    <t>Wed, 26 Oct 2022 00:00:00 GMT</t>
  </si>
  <si>
    <t>Tue, 25 Oct 2022 00:00:00 GMT</t>
  </si>
  <si>
    <t>Mon, 24 Oct 2022 00:00:00 GMT</t>
  </si>
  <si>
    <t>Fri, 21 Oct 2022 00:00:00 GMT</t>
  </si>
  <si>
    <t>Thu, 20 Oct 2022 00:00:00 GMT</t>
  </si>
  <si>
    <t>Wed, 19 Oct 2022 00:00:00 GMT</t>
  </si>
  <si>
    <t>Tue, 18 Oct 2022 00:00:00 GMT</t>
  </si>
  <si>
    <t>Mon, 17 Oct 2022 00:00:00 GMT</t>
  </si>
  <si>
    <t>Fri, 14 Oct 2022 00:00:00 GMT</t>
  </si>
  <si>
    <t>Thu, 13 Oct 2022 00:00:00 GMT</t>
  </si>
  <si>
    <t>Wed, 12 Oct 2022 00:00:00 GMT</t>
  </si>
  <si>
    <t>Tue, 11 Oct 2022 00:00:00 GMT</t>
  </si>
  <si>
    <t>Mon, 10 Oct 2022 00:00:00 GMT</t>
  </si>
  <si>
    <t>Fri, 07 Oct 2022 00:00:00 GMT</t>
  </si>
  <si>
    <t>Thu, 06 Oct 2022 00:00:00 GMT</t>
  </si>
  <si>
    <t>Wed, 05 Oct 2022 00:00:00 GMT</t>
  </si>
  <si>
    <t>Tue, 04 Oct 2022 00:00:00 GMT</t>
  </si>
  <si>
    <t>Mon, 03 Oct 2022 00:00:00 GMT</t>
  </si>
  <si>
    <t>Fri, 30 Sep 2022 00:00:00 GMT</t>
  </si>
  <si>
    <t>Thu, 29 Sep 2022 00:00:00 GMT</t>
  </si>
  <si>
    <t>Wed, 28 Sep 2022 00:00:00 GMT</t>
  </si>
  <si>
    <t>Tue, 27 Sep 2022 00:00:00 GMT</t>
  </si>
  <si>
    <t>Mon, 26 Sep 2022 00:00:00 GMT</t>
  </si>
  <si>
    <t>Fri, 23 Sep 2022 00:00:00 GMT</t>
  </si>
  <si>
    <t>Thu, 22 Sep 2022 00:00:00 GMT</t>
  </si>
  <si>
    <t>Wed, 21 Sep 2022 00:00:00 GMT</t>
  </si>
  <si>
    <t>Tue, 20 Sep 2022 00:00:00 GMT</t>
  </si>
  <si>
    <t>Mon, 19 Sep 2022 00:00:00 GMT</t>
  </si>
  <si>
    <t>Fri, 16 Sep 2022 00:00:00 GMT</t>
  </si>
  <si>
    <t>Thu, 15 Sep 2022 00:00:00 GMT</t>
  </si>
  <si>
    <t>Wed, 14 Sep 2022 00:00:00 GMT</t>
  </si>
  <si>
    <t>Tue, 13 Sep 2022 00:00:00 GMT</t>
  </si>
  <si>
    <t>Mon, 12 Sep 2022 00:00:00 GMT</t>
  </si>
  <si>
    <t>Fri, 09 Sep 2022 00:00:00 GMT</t>
  </si>
  <si>
    <t>Thu, 08 Sep 2022 00:00:00 GMT</t>
  </si>
  <si>
    <t>Wed, 07 Sep 2022 00:00:00 GMT</t>
  </si>
  <si>
    <t>Tue, 06 Sep 2022 00:00:00 GMT</t>
  </si>
  <si>
    <t>Fri, 02 Sep 2022 00:00:00 GMT</t>
  </si>
  <si>
    <t>Thu, 01 Sep 2022 00:00:00 GMT</t>
  </si>
  <si>
    <t>Wed, 31 Aug 2022 00:00:00 GMT</t>
  </si>
  <si>
    <t>Tue, 30 Aug 2022 00:00:00 GMT</t>
  </si>
  <si>
    <t>Mon, 29 Aug 2022 00:00:00 GMT</t>
  </si>
  <si>
    <t>Fri, 26 Aug 2022 00:00:00 GMT</t>
  </si>
  <si>
    <t>Thu, 25 Aug 2022 00:00:00 GMT</t>
  </si>
  <si>
    <t>Wed, 24 Aug 2022 00:00:00 GMT</t>
  </si>
  <si>
    <t>Tue, 23 Aug 2022 00:00:00 GMT</t>
  </si>
  <si>
    <t>Mon, 22 Aug 2022 00:00:00 GMT</t>
  </si>
  <si>
    <t>Fri, 19 Aug 2022 00:00:00 GMT</t>
  </si>
  <si>
    <t>Thu, 18 Aug 2022 00:00:00 GMT</t>
  </si>
  <si>
    <t>Wed, 17 Aug 2022 00:00:00 GMT</t>
  </si>
  <si>
    <t>Tue, 16 Aug 2022 00:00:00 GMT</t>
  </si>
  <si>
    <t>Mon, 15 Aug 2022 00:00:00 GMT</t>
  </si>
  <si>
    <t>Fri, 12 Aug 2022 00:00:00 GMT</t>
  </si>
  <si>
    <t>Thu, 11 Aug 2022 00:00:00 GMT</t>
  </si>
  <si>
    <t>Wed, 10 Aug 2022 00:00:00 GMT</t>
  </si>
  <si>
    <t>Tue, 09 Aug 2022 00:00:00 GMT</t>
  </si>
  <si>
    <t>Mon, 08 Aug 2022 00:00:00 GMT</t>
  </si>
  <si>
    <t>Fri, 05 Aug 2022 00:00:00 GMT</t>
  </si>
  <si>
    <t>Thu, 04 Aug 2022 00:00:00 GMT</t>
  </si>
  <si>
    <t>Wed, 03 Aug 2022 00:00:00 GMT</t>
  </si>
  <si>
    <t>Tue, 02 Aug 2022 00:00:00 GMT</t>
  </si>
  <si>
    <t>Mon, 01 Aug 2022 00:00:00 GMT</t>
  </si>
  <si>
    <t>Fri, 29 Jul 2022 00:00:00 GMT</t>
  </si>
  <si>
    <t>Thu, 28 Jul 2022 00:00:00 GMT</t>
  </si>
  <si>
    <t>Wed, 27 Jul 2022 00:00:00 GMT</t>
  </si>
  <si>
    <t>Tue, 26 Jul 2022 00:00:00 GMT</t>
  </si>
  <si>
    <t>Mon, 25 Jul 2022 00:00:00 GMT</t>
  </si>
  <si>
    <t>Fri, 22 Jul 2022 00:00:00 GMT</t>
  </si>
  <si>
    <t>Thu, 21 Jul 2022 00:00:00 GMT</t>
  </si>
  <si>
    <t>Wed, 20 Jul 2022 00:00:00 GMT</t>
  </si>
  <si>
    <t>Tue, 19 Jul 2022 00:00:00 GMT</t>
  </si>
  <si>
    <t>Mon, 18 Jul 2022 00:00:00 GMT</t>
  </si>
  <si>
    <t>Fri, 15 Jul 2022 00:00:00 GMT</t>
  </si>
  <si>
    <t>Thu, 14 Jul 2022 00:00:00 GMT</t>
  </si>
  <si>
    <t>Wed, 13 Jul 2022 00:00:00 GMT</t>
  </si>
  <si>
    <t>Tue, 12 Jul 2022 00:00:00 GMT</t>
  </si>
  <si>
    <t>Mon, 11 Jul 2022 00:00:00 GMT</t>
  </si>
  <si>
    <t>Fri, 08 Jul 2022 00:00:00 GMT</t>
  </si>
  <si>
    <t>Thu, 07 Jul 2022 00:00:00 GMT</t>
  </si>
  <si>
    <t>Wed, 06 Jul 2022 00:00:00 GMT</t>
  </si>
  <si>
    <t>Tue, 05 Jul 2022 00:00:00 GMT</t>
  </si>
  <si>
    <t>Fri, 01 Jul 2022 00:00:00 GMT</t>
  </si>
  <si>
    <t>Thu, 30 Jun 2022 00:00:00 GMT</t>
  </si>
  <si>
    <t>Wed, 29 Jun 2022 00:00:00 GMT</t>
  </si>
  <si>
    <t>Tue, 28 Jun 2022 00:00:00 GMT</t>
  </si>
  <si>
    <t>Mon, 27 Jun 2022 00:00:00 GMT</t>
  </si>
  <si>
    <t>Fri, 24 Jun 2022 00:00:00 GMT</t>
  </si>
  <si>
    <t>Thu, 23 Jun 2022 00:00:00 GMT</t>
  </si>
  <si>
    <t>Wed, 22 Jun 2022 00:00:00 GMT</t>
  </si>
  <si>
    <t>Tue, 21 Jun 2022 00:00:00 GMT</t>
  </si>
  <si>
    <t>Fri, 17 Jun 2022 00:00:00 GMT</t>
  </si>
  <si>
    <t>Thu, 16 Jun 2022 00:00:00 GMT</t>
  </si>
  <si>
    <t>Wed, 15 Jun 2022 00:00:00 GMT</t>
  </si>
  <si>
    <t>Tue, 14 Jun 2022 00:00:00 GMT</t>
  </si>
  <si>
    <t>Mon, 13 Jun 2022 00:00:00 GMT</t>
  </si>
  <si>
    <t>Fri, 10 Jun 2022 00:00:00 GMT</t>
  </si>
  <si>
    <t>Thu, 09 Jun 2022 00:00:00 GMT</t>
  </si>
  <si>
    <t>Wed, 08 Jun 2022 00:00:00 GMT</t>
  </si>
  <si>
    <t>Tue, 07 Jun 2022 00:00:00 GMT</t>
  </si>
  <si>
    <t>Mon, 06 Jun 2022 00:00:00 GMT</t>
  </si>
  <si>
    <t>Fri, 03 Jun 2022 00:00:00 GMT</t>
  </si>
  <si>
    <t>Thu, 02 Jun 2022 00:00:00 GMT</t>
  </si>
  <si>
    <t>Wed, 01 Jun 2022 00:00:00 GMT</t>
  </si>
  <si>
    <t>Tue, 31 May 2022 00:00:00 GMT</t>
  </si>
  <si>
    <t>Fri, 27 May 2022 00:00:00 GMT</t>
  </si>
  <si>
    <t>Thu, 26 May 2022 00:00:00 GMT</t>
  </si>
  <si>
    <t>Wed, 25 May 2022 00:00:00 GMT</t>
  </si>
  <si>
    <t>Tue, 24 May 2022 00:00:00 GMT</t>
  </si>
  <si>
    <t>Mon, 23 May 2022 00:00:00 GMT</t>
  </si>
  <si>
    <t>Fri, 20 May 2022 00:00:00 GMT</t>
  </si>
  <si>
    <t>Thu, 19 May 2022 00:00:00 GMT</t>
  </si>
  <si>
    <t>Wed, 18 May 2022 00:00:00 GMT</t>
  </si>
  <si>
    <t>Tue, 17 May 2022 00:00:00 GMT</t>
  </si>
  <si>
    <t>Mon, 16 May 2022 00:00:00 GMT</t>
  </si>
  <si>
    <t>Fri, 13 May 2022 00:00:00 GMT</t>
  </si>
  <si>
    <t>Thu, 12 May 2022 00:00:00 GMT</t>
  </si>
  <si>
    <t>Wed, 11 May 2022 00:00:00 GMT</t>
  </si>
  <si>
    <t>Tue, 10 May 2022 00:00:00 GMT</t>
  </si>
  <si>
    <t>Mon, 09 May 2022 00:00:00 GMT</t>
  </si>
  <si>
    <t>Fri, 06 May 2022 00:00:00 GMT</t>
  </si>
  <si>
    <t>Thu, 05 May 2022 00:00:00 GMT</t>
  </si>
  <si>
    <t>Wed, 04 May 2022 00:00:00 GMT</t>
  </si>
  <si>
    <t>Tue, 03 May 2022 00:00:00 GMT</t>
  </si>
  <si>
    <t>Mon, 02 May 2022 00:00:00 GMT</t>
  </si>
  <si>
    <t>Fri, 29 Apr 2022 00:00:00 GMT</t>
  </si>
  <si>
    <t>Thu, 28 Apr 2022 00:00:00 GMT</t>
  </si>
  <si>
    <t>Wed, 27 Apr 2022 00:00:00 GMT</t>
  </si>
  <si>
    <t>Tue, 26 Apr 2022 00:00:00 GMT</t>
  </si>
  <si>
    <t>Mon, 25 Apr 2022 00:00:00 GMT</t>
  </si>
  <si>
    <t>Fri, 22 Apr 2022 00:00:00 GMT</t>
  </si>
  <si>
    <t>Thu, 21 Apr 2022 00:00:00 GMT</t>
  </si>
  <si>
    <t>Wed, 20 Apr 2022 00:00:00 GMT</t>
  </si>
  <si>
    <t>Tue, 19 Apr 2022 00:00:00 GMT</t>
  </si>
  <si>
    <t>Mon, 18 Apr 2022 00:00:00 GMT</t>
  </si>
  <si>
    <t>Thu, 14 Apr 2022 00:00:00 GMT</t>
  </si>
  <si>
    <t>Wed, 13 Apr 2022 00:00:00 GMT</t>
  </si>
  <si>
    <t>Tue, 12 Apr 2022 00:00:00 GMT</t>
  </si>
  <si>
    <t>Mon, 11 Apr 2022 00:00:00 GMT</t>
  </si>
  <si>
    <t>Fri, 08 Apr 2022 00:00:00 GMT</t>
  </si>
  <si>
    <t>Thu, 07 Apr 2022 00:00:00 GMT</t>
  </si>
  <si>
    <t>Wed, 06 Apr 2022 00:00:00 GMT</t>
  </si>
  <si>
    <t>Tue, 05 Apr 2022 00:00:00 GMT</t>
  </si>
  <si>
    <t>Mon, 04 Apr 2022 00:00:00 GMT</t>
  </si>
  <si>
    <t>Fri, 01 Apr 2022 00:00:00 GMT</t>
  </si>
  <si>
    <t>Thu, 31 Mar 2022 00:00:00 GMT</t>
  </si>
  <si>
    <t>Wed, 30 Mar 2022 00:00:00 GMT</t>
  </si>
  <si>
    <t>Tue, 29 Mar 2022 00:00:00 GMT</t>
  </si>
  <si>
    <t>Mon, 28 Mar 2022 00:00:00 GMT</t>
  </si>
  <si>
    <t>Fri, 25 Mar 2022 00:00:00 GMT</t>
  </si>
  <si>
    <t>Thu, 24 Mar 2022 00:00:00 GMT</t>
  </si>
  <si>
    <t>Wed, 23 Mar 2022 00:00:00 GMT</t>
  </si>
  <si>
    <t>Tue, 22 Mar 2022 00:00:00 GMT</t>
  </si>
  <si>
    <t>Mon, 21 Mar 2022 00:00:00 GMT</t>
  </si>
  <si>
    <t>Fri, 18 Mar 2022 00:00:00 GMT</t>
  </si>
  <si>
    <t>Thu, 17 Mar 2022 00:00:00 GMT</t>
  </si>
  <si>
    <t>Wed, 16 Mar 2022 00:00:00 GMT</t>
  </si>
  <si>
    <t>Tue, 15 Mar 2022 00:00:00 GMT</t>
  </si>
  <si>
    <t>Mon, 14 Mar 2022 00:00:00 GMT</t>
  </si>
  <si>
    <t>Fri, 11 Mar 2022 00:00:00 GMT</t>
  </si>
  <si>
    <t>Thu, 10 Mar 2022 00:00:00 GMT</t>
  </si>
  <si>
    <t>Wed, 09 Mar 2022 00:00:00 GMT</t>
  </si>
  <si>
    <t>Tue, 08 Mar 2022 00:00:00 GMT</t>
  </si>
  <si>
    <t>Mon, 07 Mar 2022 00:00:00 GMT</t>
  </si>
  <si>
    <t>Fri, 04 Mar 2022 00:00:00 GMT</t>
  </si>
  <si>
    <t>Thu, 03 Mar 2022 00:00:00 GMT</t>
  </si>
  <si>
    <t>Wed, 02 Mar 2022 00:00:00 GMT</t>
  </si>
  <si>
    <t>Tue, 01 Mar 2022 00:00:00 GMT</t>
  </si>
  <si>
    <t>Mon, 28 Feb 2022 00:00:00 GMT</t>
  </si>
  <si>
    <t>Fri, 25 Feb 2022 00:00:00 GMT</t>
  </si>
  <si>
    <t>Thu, 24 Feb 2022 00:00:00 GMT</t>
  </si>
  <si>
    <t>Wed, 23 Feb 2022 00:00:00 GMT</t>
  </si>
  <si>
    <t>Tue, 22 Feb 2022 00:00:00 GMT</t>
  </si>
  <si>
    <t>Fri, 18 Feb 2022 00:00:00 GMT</t>
  </si>
  <si>
    <t>Thu, 17 Feb 2022 00:00:00 GMT</t>
  </si>
  <si>
    <t>Wed, 16 Feb 2022 00:00:00 GMT</t>
  </si>
  <si>
    <t>Tue, 15 Feb 2022 00:00:00 GMT</t>
  </si>
  <si>
    <t>Mon, 14 Feb 2022 00:00:00 GMT</t>
  </si>
  <si>
    <t>Fri, 11 Feb 2022 00:00:00 GMT</t>
  </si>
  <si>
    <t>Thu, 10 Feb 2022 00:00:00 GMT</t>
  </si>
  <si>
    <t>Wed, 09 Feb 2022 00:00:00 GMT</t>
  </si>
  <si>
    <t>Tue, 08 Feb 2022 00:00:00 GMT</t>
  </si>
  <si>
    <t>Mon, 07 Feb 2022 00:00:00 GMT</t>
  </si>
  <si>
    <t>Fri, 04 Feb 2022 00:00:00 GMT</t>
  </si>
  <si>
    <t>Thu, 03 Feb 2022 00:00:00 GMT</t>
  </si>
  <si>
    <t>Wed, 02 Feb 2022 00:00:00 GMT</t>
  </si>
  <si>
    <t>Tue, 01 Feb 2022 00:00:00 GMT</t>
  </si>
  <si>
    <t>Mon, 31 Jan 2022 00:00:00 GMT</t>
  </si>
  <si>
    <t>Fri, 28 Jan 2022 00:00:00 GMT</t>
  </si>
  <si>
    <t>Thu, 27 Jan 2022 00:00:00 GMT</t>
  </si>
  <si>
    <t>Wed, 26 Jan 2022 00:00:00 GMT</t>
  </si>
  <si>
    <t>Tue, 25 Jan 2022 00:00:00 GMT</t>
  </si>
  <si>
    <t>Mon, 24 Jan 2022 00:00:00 GMT</t>
  </si>
  <si>
    <t>Fri, 21 Jan 2022 00:00:00 GMT</t>
  </si>
  <si>
    <t>Thu, 20 Jan 2022 00:00:00 GMT</t>
  </si>
  <si>
    <t>Wed, 19 Jan 2022 00:00:00 GMT</t>
  </si>
  <si>
    <t>Tue, 18 Jan 2022 00:00:00 GMT</t>
  </si>
  <si>
    <t>Fri, 14 Jan 2022 00:00:00 GMT</t>
  </si>
  <si>
    <t>Thu, 13 Jan 2022 00:00:00 GMT</t>
  </si>
  <si>
    <t>Wed, 12 Jan 2022 00:00:00 GMT</t>
  </si>
  <si>
    <t>Tue, 11 Jan 2022 00:00:00 GMT</t>
  </si>
  <si>
    <t>Mon, 10 Jan 2022 00:00:00 GMT</t>
  </si>
  <si>
    <t>Fri, 07 Jan 2022 00:00:00 GMT</t>
  </si>
  <si>
    <t>Thu, 06 Jan 2022 00:00:00 GMT</t>
  </si>
  <si>
    <t>Wed, 05 Jan 2022 00:00:00 GMT</t>
  </si>
  <si>
    <t>Tue, 04 Jan 2022 00:00:00 GMT</t>
  </si>
  <si>
    <t>Mon, 03 Jan 2022 00:00:00 GMT</t>
  </si>
  <si>
    <t>Fri, 31 Dec 2021 00:00:00 GMT</t>
  </si>
  <si>
    <t>Thu, 30 Dec 2021 00:00:00 GMT</t>
  </si>
  <si>
    <t>Wed, 29 Dec 2021 00:00:00 GMT</t>
  </si>
  <si>
    <t>Tue, 28 Dec 2021 00:00:00 GMT</t>
  </si>
  <si>
    <t>Mon, 27 Dec 2021 00:00:00 GMT</t>
  </si>
  <si>
    <t>Thu, 23 Dec 2021 00:00:00 GMT</t>
  </si>
  <si>
    <t>Wed, 22 Dec 2021 00:00:00 GMT</t>
  </si>
  <si>
    <t>Tue, 21 Dec 2021 00:00:00 GMT</t>
  </si>
  <si>
    <t>Mon, 20 Dec 2021 00:00:00 GMT</t>
  </si>
  <si>
    <t>Fri, 17 Dec 2021 00:00:00 GMT</t>
  </si>
  <si>
    <t>Thu, 16 Dec 2021 00:00:00 GMT</t>
  </si>
  <si>
    <t>Wed, 15 Dec 2021 00:00:00 GMT</t>
  </si>
  <si>
    <t>Tue, 14 Dec 2021 00:00:00 GMT</t>
  </si>
  <si>
    <t>Mon, 13 Dec 2021 00:00:00 GMT</t>
  </si>
  <si>
    <t>Fri, 10 Dec 2021 00:00:00 GMT</t>
  </si>
  <si>
    <t>Thu, 09 Dec 2021 00:00:00 GMT</t>
  </si>
  <si>
    <t>Wed, 08 Dec 2021 00:00:00 GMT</t>
  </si>
  <si>
    <t>Tue, 07 Dec 2021 00:00:00 GMT</t>
  </si>
  <si>
    <t>Mon, 06 Dec 2021 00:00:00 GMT</t>
  </si>
  <si>
    <t>Fri, 03 Dec 2021 00:00:00 GMT</t>
  </si>
  <si>
    <t>Thu, 02 Dec 2021 00:00:00 GMT</t>
  </si>
  <si>
    <t>Wed, 01 Dec 2021 00:00:00 GMT</t>
  </si>
  <si>
    <t>Tue, 30 Nov 2021 00:00:00 GMT</t>
  </si>
  <si>
    <t>Mon, 29 Nov 2021 00:00:00 GMT</t>
  </si>
  <si>
    <t>Fri, 26 Nov 2021 00:00:00 GMT</t>
  </si>
  <si>
    <t>Wed, 24 Nov 2021 00:00:00 GMT</t>
  </si>
  <si>
    <t>Tue, 23 Nov 2021 00:00:00 GMT</t>
  </si>
  <si>
    <t>Mon, 22 Nov 2021 00:00:00 GMT</t>
  </si>
  <si>
    <t>Fri, 19 Nov 2021 00:00:00 GMT</t>
  </si>
  <si>
    <t>Thu, 18 Nov 2021 00:00:00 GMT</t>
  </si>
  <si>
    <t>Wed, 17 Nov 2021 00:00:00 GMT</t>
  </si>
  <si>
    <t>Tue, 16 Nov 2021 00:00:00 GMT</t>
  </si>
  <si>
    <t>Mon, 15 Nov 2021 00:00:00 GMT</t>
  </si>
  <si>
    <t>Fri, 12 Nov 2021 00:00:00 GMT</t>
  </si>
  <si>
    <t>Thu, 11 Nov 2021 00:00:00 GMT</t>
  </si>
  <si>
    <t>Wed, 10 Nov 2021 00:00:00 GMT</t>
  </si>
  <si>
    <t>Tue, 09 Nov 2021 00:00:00 GMT</t>
  </si>
  <si>
    <t>Mon, 08 Nov 2021 00:00:00 GMT</t>
  </si>
  <si>
    <t>Fri, 05 Nov 2021 00:00:00 GMT</t>
  </si>
  <si>
    <t>Thu, 04 Nov 2021 00:00:00 GMT</t>
  </si>
  <si>
    <t>Wed, 03 Nov 2021 00:00:00 GMT</t>
  </si>
  <si>
    <t>Tue, 02 Nov 2021 00:00:00 GMT</t>
  </si>
  <si>
    <t>Mon, 01 Nov 2021 00:00:00 GMT</t>
  </si>
  <si>
    <t>Fri, 29 Oct 2021 00:00:00 GMT</t>
  </si>
  <si>
    <t>Thu, 28 Oct 2021 00:00:00 GMT</t>
  </si>
  <si>
    <t>Wed, 27 Oct 2021 00:00:00 GMT</t>
  </si>
  <si>
    <t>Tue, 26 Oct 2021 00:00:00 GMT</t>
  </si>
  <si>
    <t>Mon, 25 Oct 2021 00:00:00 GMT</t>
  </si>
  <si>
    <t>Fri, 22 Oct 2021 00:00:00 GMT</t>
  </si>
  <si>
    <t>Thu, 21 Oct 2021 00:00:00 GMT</t>
  </si>
  <si>
    <t>Wed, 20 Oct 2021 00:00:00 GMT</t>
  </si>
  <si>
    <t>Tue, 19 Oct 2021 00:00:00 GMT</t>
  </si>
  <si>
    <t>Mon, 18 Oct 2021 00:00:00 GMT</t>
  </si>
  <si>
    <t>Fri, 15 Oct 2021 00:00:00 GMT</t>
  </si>
  <si>
    <t>Thu, 14 Oct 2021 00:00:00 GMT</t>
  </si>
  <si>
    <t>Wed, 13 Oct 2021 00:00:00 GMT</t>
  </si>
  <si>
    <t>Tue, 12 Oct 2021 00:00:00 GMT</t>
  </si>
  <si>
    <t>Mon, 11 Oct 2021 00:00:00 GMT</t>
  </si>
  <si>
    <t>Fri, 08 Oct 2021 00:00:00 GMT</t>
  </si>
  <si>
    <t>Thu, 07 Oct 2021 00:00:00 GMT</t>
  </si>
  <si>
    <t>Wed, 06 Oct 2021 00:00:00 GMT</t>
  </si>
  <si>
    <t>Tue, 05 Oct 2021 00:00:00 GMT</t>
  </si>
  <si>
    <t>Mon, 04 Oct 2021 00:00:00 GMT</t>
  </si>
  <si>
    <t>Fri, 01 Oct 2021 00:00:00 GMT</t>
  </si>
  <si>
    <t>Thu, 30 Sep 2021 00:00:00 GMT</t>
  </si>
  <si>
    <t>Wed, 29 Sep 2021 00:00:00 GMT</t>
  </si>
  <si>
    <t>Tue, 28 Sep 2021 00:00:00 GMT</t>
  </si>
  <si>
    <t>Mon, 27 Sep 2021 00:00:00 GMT</t>
  </si>
  <si>
    <t>Fri, 24 Sep 2021 00:00:00 GMT</t>
  </si>
  <si>
    <t>Thu, 23 Sep 2021 00:00:00 GMT</t>
  </si>
  <si>
    <t>Wed, 22 Sep 2021 00:00:00 GMT</t>
  </si>
  <si>
    <t>Tue, 21 Sep 2021 00:00:00 GMT</t>
  </si>
  <si>
    <t>Mon, 20 Sep 2021 00:00:00 GMT</t>
  </si>
  <si>
    <t>Fri, 17 Sep 2021 00:00:00 GMT</t>
  </si>
  <si>
    <t>Thu, 16 Sep 2021 00:00:00 GMT</t>
  </si>
  <si>
    <t>Wed, 15 Sep 2021 00:00:00 GMT</t>
  </si>
  <si>
    <t>Tue, 14 Sep 2021 00:00:00 GMT</t>
  </si>
  <si>
    <t>Mon, 13 Sep 2021 00:00:00 GMT</t>
  </si>
  <si>
    <t>Fri, 10 Sep 2021 00:00:00 GMT</t>
  </si>
  <si>
    <t>Thu, 09 Sep 2021 00:00:00 GMT</t>
  </si>
  <si>
    <t>Wed, 08 Sep 2021 00:00:00 GMT</t>
  </si>
  <si>
    <t>Tue, 07 Sep 2021 00:00:00 GMT</t>
  </si>
  <si>
    <t>Fri, 03 Sep 2021 00:00:00 GMT</t>
  </si>
  <si>
    <t>Thu, 02 Sep 2021 00:00:00 GMT</t>
  </si>
  <si>
    <t>Wed, 01 Sep 2021 00:00:00 GMT</t>
  </si>
  <si>
    <t>Tue, 31 Aug 2021 00:00:00 GMT</t>
  </si>
  <si>
    <t>Mon, 30 Aug 2021 00:00:00 GMT</t>
  </si>
  <si>
    <t>Fri, 27 Aug 2021 00:00:00 GMT</t>
  </si>
  <si>
    <t>Thu, 26 Aug 2021 00:00:00 GMT</t>
  </si>
  <si>
    <t>Wed, 25 Aug 2021 00:00:00 GMT</t>
  </si>
  <si>
    <t>Tue, 24 Aug 2021 00:00:00 GMT</t>
  </si>
  <si>
    <t>Mon, 23 Aug 2021 00:00:00 GMT</t>
  </si>
  <si>
    <t>Fri, 20 Aug 2021 00:00:00 GMT</t>
  </si>
  <si>
    <t>Thu, 19 Aug 2021 00:00:00 GMT</t>
  </si>
  <si>
    <t>Wed, 18 Aug 2021 00:00:00 GMT</t>
  </si>
  <si>
    <t>Tue, 17 Aug 2021 00:00:00 GMT</t>
  </si>
  <si>
    <t>Mon, 16 Aug 2021 00:00:00 GMT</t>
  </si>
  <si>
    <t>Fri, 13 Aug 2021 00:00:00 GMT</t>
  </si>
  <si>
    <t>Thu, 12 Aug 2021 00:00:00 GMT</t>
  </si>
  <si>
    <t>Wed, 11 Aug 2021 00:00:00 GMT</t>
  </si>
  <si>
    <t>Tue, 10 Aug 2021 00:00:00 GMT</t>
  </si>
  <si>
    <t>Mon, 09 Aug 2021 00:00:00 GMT</t>
  </si>
  <si>
    <t>Fri, 06 Aug 2021 00:00:00 GMT</t>
  </si>
  <si>
    <t>Thu, 05 Aug 2021 00:00:00 GMT</t>
  </si>
  <si>
    <t>Wed, 04 Aug 2021 00:00:00 GMT</t>
  </si>
  <si>
    <t>Tue, 03 Aug 2021 00:00:00 GMT</t>
  </si>
  <si>
    <t>Mon, 02 Aug 2021 00:00:00 GMT</t>
  </si>
  <si>
    <t>Fri, 30 Jul 2021 00:00:00 GMT</t>
  </si>
  <si>
    <t>Thu, 29 Jul 2021 00:00:00 GMT</t>
  </si>
  <si>
    <t>Wed, 28 Jul 2021 00:00:00 GMT</t>
  </si>
  <si>
    <t>Tue, 27 Jul 2021 00:00:00 GMT</t>
  </si>
  <si>
    <t>Mon, 26 Jul 2021 00:00:00 GMT</t>
  </si>
  <si>
    <t>Fri, 23 Jul 2021 00:00:00 GMT</t>
  </si>
  <si>
    <t>Thu, 22 Jul 2021 00:00:00 GMT</t>
  </si>
  <si>
    <t>Wed, 21 Jul 2021 00:00:00 GMT</t>
  </si>
  <si>
    <t>Tue, 20 Jul 2021 00:00:00 GMT</t>
  </si>
  <si>
    <t>Mon, 19 Jul 2021 00:00:00 GMT</t>
  </si>
  <si>
    <t>Fri, 16 Jul 2021 00:00:00 GMT</t>
  </si>
  <si>
    <t>Thu, 15 Jul 2021 00:00:00 GMT</t>
  </si>
  <si>
    <t>Wed, 14 Jul 2021 00:00:00 GMT</t>
  </si>
  <si>
    <t>Tue, 13 Jul 2021 00:00:00 GMT</t>
  </si>
  <si>
    <t>Mon, 12 Jul 2021 00:00:00 GMT</t>
  </si>
  <si>
    <t>Fri, 09 Jul 2021 00:00:00 GMT</t>
  </si>
  <si>
    <t>Thu, 08 Jul 2021 00:00:00 GMT</t>
  </si>
  <si>
    <t>Wed, 07 Jul 2021 00:00:00 GMT</t>
  </si>
  <si>
    <t>Tue, 06 Jul 2021 00:00:00 GMT</t>
  </si>
  <si>
    <t>Fri, 02 Jul 2021 00:00:00 GMT</t>
  </si>
  <si>
    <t>Thu, 01 Jul 2021 00:00:00 GMT</t>
  </si>
  <si>
    <t>Wed, 30 Jun 2021 00:00:00 GMT</t>
  </si>
  <si>
    <t>Tue, 29 Jun 2021 00:00:00 GMT</t>
  </si>
  <si>
    <t>Mon, 28 Jun 2021 00:00:00 GMT</t>
  </si>
  <si>
    <t>Fri, 25 Jun 2021 00:00:00 GMT</t>
  </si>
  <si>
    <t>Thu, 24 Jun 2021 00:00:00 GMT</t>
  </si>
  <si>
    <t>Wed, 23 Jun 2021 00:00:00 GMT</t>
  </si>
  <si>
    <t>Tue, 22 Jun 2021 00:00:00 GMT</t>
  </si>
  <si>
    <t>Mon, 21 Jun 2021 00:00:00 GMT</t>
  </si>
  <si>
    <t>Fri, 18 Jun 2021 00:00:00 GMT</t>
  </si>
  <si>
    <t>Thu, 17 Jun 2021 00:00:00 GMT</t>
  </si>
  <si>
    <t>Wed, 16 Jun 2021 00:00:00 GMT</t>
  </si>
  <si>
    <t>Tue, 15 Jun 2021 00:00:00 GMT</t>
  </si>
  <si>
    <t>Mon, 14 Jun 2021 00:00:00 GMT</t>
  </si>
  <si>
    <t>Fri, 11 Jun 2021 00:00:00 GMT</t>
  </si>
  <si>
    <t>Thu, 10 Jun 2021 00:00:00 GMT</t>
  </si>
  <si>
    <t>Wed, 09 Jun 2021 00:00:00 GMT</t>
  </si>
  <si>
    <t>Tue, 08 Jun 2021 00:00:00 GMT</t>
  </si>
  <si>
    <t>Mon, 07 Jun 2021 00:00:00 GMT</t>
  </si>
  <si>
    <t>Fri, 04 Jun 2021 00:00:00 GMT</t>
  </si>
  <si>
    <t>Thu, 03 Jun 2021 00:00:00 GMT</t>
  </si>
  <si>
    <t>Wed, 02 Jun 2021 00:00:00 GMT</t>
  </si>
  <si>
    <t>Tue, 01 Jun 2021 00:00:00 GMT</t>
  </si>
  <si>
    <t>Fri, 28 May 2021 00:00:00 GMT</t>
  </si>
  <si>
    <t>Thu, 27 May 2021 00:00:00 GMT</t>
  </si>
  <si>
    <t>Wed, 26 May 2021 00:00:00 GMT</t>
  </si>
  <si>
    <t>Tue, 25 May 2021 00:00:00 GMT</t>
  </si>
  <si>
    <t>Mon, 24 May 2021 00:00:00 GMT</t>
  </si>
  <si>
    <t>Fri, 21 May 2021 00:00:00 GMT</t>
  </si>
  <si>
    <t>Thu, 20 May 2021 00:00:00 GMT</t>
  </si>
  <si>
    <t>Wed, 19 May 2021 00:00:00 GMT</t>
  </si>
  <si>
    <t>Tue, 18 May 2021 00:00:00 GMT</t>
  </si>
  <si>
    <t>Mon, 17 May 2021 00:00:00 GMT</t>
  </si>
  <si>
    <t>Fri, 14 May 2021 00:00:00 GMT</t>
  </si>
  <si>
    <t>Thu, 13 May 2021 00:00:00 GMT</t>
  </si>
  <si>
    <t>Wed, 12 May 2021 00:00:00 GMT</t>
  </si>
  <si>
    <t>Tue, 11 May 2021 00:00:00 GMT</t>
  </si>
  <si>
    <t>Mon, 10 May 2021 00:00:00 GMT</t>
  </si>
  <si>
    <t>Fri, 07 May 2021 00:00:00 GMT</t>
  </si>
  <si>
    <t>Thu, 06 May 2021 00:00:00 GMT</t>
  </si>
  <si>
    <t>Wed, 05 May 2021 00:00:00 GMT</t>
  </si>
  <si>
    <t>Tue, 04 May 2021 00:00:00 GMT</t>
  </si>
  <si>
    <t>Mon, 03 May 2021 00:00:00 GMT</t>
  </si>
  <si>
    <t>Fri, 30 Apr 2021 00:00:00 GMT</t>
  </si>
  <si>
    <t>Thu, 29 Apr 2021 00:00:00 GMT</t>
  </si>
  <si>
    <t>Wed, 28 Apr 2021 00:00:00 GMT</t>
  </si>
  <si>
    <t>Tue, 27 Apr 2021 00:00:00 GMT</t>
  </si>
  <si>
    <t>Mon, 26 Apr 2021 00:00:00 GMT</t>
  </si>
  <si>
    <t>Fri, 23 Apr 2021 00:00:00 GMT</t>
  </si>
  <si>
    <t>Thu, 22 Apr 2021 00:00:00 GMT</t>
  </si>
  <si>
    <t>Wed, 21 Apr 2021 00:00:00 GMT</t>
  </si>
  <si>
    <t>Tue, 20 Apr 2021 00:00:00 GMT</t>
  </si>
  <si>
    <t>Mon, 19 Apr 2021 00:00:00 GMT</t>
  </si>
  <si>
    <t>Fri, 16 Apr 2021 00:00:00 GMT</t>
  </si>
  <si>
    <t>Thu, 15 Apr 2021 00:00:00 GMT</t>
  </si>
  <si>
    <t>Wed, 14 Apr 2021 00:00:00 GMT</t>
  </si>
  <si>
    <t>Tue, 13 Apr 2021 00:00:00 GMT</t>
  </si>
  <si>
    <t>Mon, 12 Apr 2021 00:00:00 GMT</t>
  </si>
  <si>
    <t>Fri, 09 Apr 2021 00:00:00 GMT</t>
  </si>
  <si>
    <t>Thu, 08 Apr 2021 00:00:00 GMT</t>
  </si>
  <si>
    <t>Wed, 07 Apr 2021 00:00:00 GMT</t>
  </si>
  <si>
    <t>Tue, 06 Apr 2021 00:00:00 GMT</t>
  </si>
  <si>
    <t>Mon, 05 Apr 2021 00:00:00 GMT</t>
  </si>
  <si>
    <t>Thu, 01 Apr 2021 00:00:00 GMT</t>
  </si>
  <si>
    <t>Wed, 31 Mar 2021 00:00:00 GMT</t>
  </si>
  <si>
    <t>Tue, 30 Mar 2021 00:00:00 GMT</t>
  </si>
  <si>
    <t>Mon, 29 Mar 2021 00:00:00 GMT</t>
  </si>
  <si>
    <t>Fri, 26 Mar 2021 00:00:00 GMT</t>
  </si>
  <si>
    <t>Thu, 25 Mar 2021 00:00:00 GMT</t>
  </si>
  <si>
    <t>Wed, 24 Mar 2021 00:00:00 GMT</t>
  </si>
  <si>
    <t>Tue, 23 Mar 2021 00:00:00 GMT</t>
  </si>
  <si>
    <t>Mon, 22 Mar 2021 00:00:00 GMT</t>
  </si>
  <si>
    <t>Fri, 19 Mar 2021 00:00:00 GMT</t>
  </si>
  <si>
    <t>Thu, 18 Mar 2021 00:00:00 GMT</t>
  </si>
  <si>
    <t>Wed, 17 Mar 2021 00:00:00 GMT</t>
  </si>
  <si>
    <t>Tue, 16 Mar 2021 00:00:00 GMT</t>
  </si>
  <si>
    <t>Mon, 15 Mar 2021 00:00:00 GMT</t>
  </si>
  <si>
    <t>Fri, 12 Mar 2021 00:00:00 GMT</t>
  </si>
  <si>
    <t>Thu, 11 Mar 2021 00:00:00 GMT</t>
  </si>
  <si>
    <t>Wed, 10 Mar 2021 00:00:00 GMT</t>
  </si>
  <si>
    <t>Tue, 09 Mar 2021 00:00:00 GMT</t>
  </si>
  <si>
    <t>Mon, 08 Mar 2021 00:00:00 GMT</t>
  </si>
  <si>
    <t>Fri, 05 Mar 2021 00:00:00 GMT</t>
  </si>
  <si>
    <t>Thu, 04 Mar 2021 00:00:00 GMT</t>
  </si>
  <si>
    <t>Wed, 03 Mar 2021 00:00:00 GMT</t>
  </si>
  <si>
    <t>Tue, 02 Mar 2021 00:00:00 GMT</t>
  </si>
  <si>
    <t>Mon, 01 Mar 2021 00:00:00 GMT</t>
  </si>
  <si>
    <t>Fri, 26 Feb 2021 00:00:00 GMT</t>
  </si>
  <si>
    <t>Thu, 25 Feb 2021 00:00:00 GMT</t>
  </si>
  <si>
    <t>Wed, 24 Feb 2021 00:00:00 GMT</t>
  </si>
  <si>
    <t>Tue, 23 Feb 2021 00:00:00 GMT</t>
  </si>
  <si>
    <t>Mon, 22 Feb 2021 00:00:00 GMT</t>
  </si>
  <si>
    <t>Fri, 19 Feb 2021 00:00:00 GMT</t>
  </si>
  <si>
    <t>Thu, 18 Feb 2021 00:00:00 GMT</t>
  </si>
  <si>
    <t>Wed, 17 Feb 2021 00:00:00 GMT</t>
  </si>
  <si>
    <t>Tue, 16 Feb 2021 00:00:00 GMT</t>
  </si>
  <si>
    <t>Fri, 12 Feb 2021 00:00:00 GMT</t>
  </si>
  <si>
    <t>Thu, 11 Feb 2021 00:00:00 GMT</t>
  </si>
  <si>
    <t>Wed, 10 Feb 2021 00:00:00 GMT</t>
  </si>
  <si>
    <t>Tue, 09 Feb 2021 00:00:00 GMT</t>
  </si>
  <si>
    <t>Mon, 08 Feb 2021 00:00:00 GMT</t>
  </si>
  <si>
    <t>Fri, 05 Feb 2021 00:00:00 GMT</t>
  </si>
  <si>
    <t>Thu, 04 Feb 2021 00:00:00 GMT</t>
  </si>
  <si>
    <t>Wed, 03 Feb 2021 00:00:00 GMT</t>
  </si>
  <si>
    <t>Tue, 02 Feb 2021 00:00:00 GMT</t>
  </si>
  <si>
    <t>Mon, 01 Feb 2021 00:00:00 GMT</t>
  </si>
  <si>
    <t>Fri, 29 Jan 2021 00:00:00 GMT</t>
  </si>
  <si>
    <t>Thu, 28 Jan 2021 00:00:00 GMT</t>
  </si>
  <si>
    <t>Wed, 27 Jan 2021 00:00:00 GMT</t>
  </si>
  <si>
    <t>Tue, 26 Jan 2021 00:00:00 GMT</t>
  </si>
  <si>
    <t>Mon, 25 Jan 2021 00:00:00 GMT</t>
  </si>
  <si>
    <t>Fri, 22 Jan 2021 00:00:00 GMT</t>
  </si>
  <si>
    <t>Thu, 21 Jan 2021 00:00:00 GMT</t>
  </si>
  <si>
    <t>Wed, 20 Jan 2021 00:00:00 GMT</t>
  </si>
  <si>
    <t>Tue, 19 Jan 2021 00:00:00 GMT</t>
  </si>
  <si>
    <t>Fri, 15 Jan 2021 00:00:00 GMT</t>
  </si>
  <si>
    <t>Thu, 14 Jan 2021 00:00:00 GMT</t>
  </si>
  <si>
    <t>Wed, 13 Jan 2021 00:00:00 GMT</t>
  </si>
  <si>
    <t>Tue, 12 Jan 2021 00:00:00 GMT</t>
  </si>
  <si>
    <t>Mon, 11 Jan 2021 00:00:00 GMT</t>
  </si>
  <si>
    <t>Fri, 08 Jan 2021 00:00:00 GMT</t>
  </si>
  <si>
    <t>Thu, 07 Jan 2021 00:00:00 GMT</t>
  </si>
  <si>
    <t>Wed, 06 Jan 2021 00:00:00 GMT</t>
  </si>
  <si>
    <t>Tue, 05 Jan 2021 00:00:00 GMT</t>
  </si>
  <si>
    <t>Mon, 04 Jan 2021 00:00:00 GMT</t>
  </si>
  <si>
    <t>Thu, 31 Dec 2020 00:00:00 GMT</t>
  </si>
  <si>
    <t>Wed, 30 Dec 2020 00:00:00 GMT</t>
  </si>
  <si>
    <t>Tue, 29 Dec 2020 00:00:00 GMT</t>
  </si>
  <si>
    <t>Mon, 28 Dec 2020 00:00:00 GMT</t>
  </si>
  <si>
    <t>Thu, 24 Dec 2020 00:00:00 GMT</t>
  </si>
  <si>
    <t>Wed, 23 Dec 2020 00:00:00 GMT</t>
  </si>
  <si>
    <t>Tue, 22 Dec 2020 00:00:00 GMT</t>
  </si>
  <si>
    <t>Mon, 21 Dec 2020 00:00:00 GMT</t>
  </si>
  <si>
    <t>Fri, 18 Dec 2020 00:00:00 GMT</t>
  </si>
  <si>
    <t>Thu, 17 Dec 2020 00:00:00 GMT</t>
  </si>
  <si>
    <t>Wed, 16 Dec 2020 00:00:00 GMT</t>
  </si>
  <si>
    <t>Tue, 15 Dec 2020 00:00:00 GMT</t>
  </si>
  <si>
    <t>Mon, 14 Dec 2020 00:00:00 GMT</t>
  </si>
  <si>
    <t>Fri, 11 Dec 2020 00:00:00 GMT</t>
  </si>
  <si>
    <t>Thu, 10 Dec 2020 00:00:00 GMT</t>
  </si>
  <si>
    <t>Wed, 09 Dec 2020 00:00:00 GMT</t>
  </si>
  <si>
    <t>Tue, 08 Dec 2020 00:00:00 GMT</t>
  </si>
  <si>
    <t>Mon, 07 Dec 2020 00:00:00 GMT</t>
  </si>
  <si>
    <t>Fri, 04 Dec 2020 00:00:00 GMT</t>
  </si>
  <si>
    <t>Thu, 03 Dec 2020 00:00:00 GMT</t>
  </si>
  <si>
    <t>Wed, 02 Dec 2020 00:00:00 GMT</t>
  </si>
  <si>
    <t>Tue, 01 Dec 2020 00:00:00 GMT</t>
  </si>
  <si>
    <t>Mon, 30 Nov 2020 00:00:00 GMT</t>
  </si>
  <si>
    <t>Fri, 27 Nov 2020 00:00:00 GMT</t>
  </si>
  <si>
    <t>Wed, 25 Nov 2020 00:00:00 GMT</t>
  </si>
  <si>
    <t>Tue, 24 Nov 2020 00:00:00 GMT</t>
  </si>
  <si>
    <t>Mon, 23 Nov 2020 00:00:00 GMT</t>
  </si>
  <si>
    <t>Fri, 20 Nov 2020 00:00:00 GMT</t>
  </si>
  <si>
    <t>Thu, 19 Nov 2020 00:00:00 GMT</t>
  </si>
  <si>
    <t>Wed, 18 Nov 2020 00:00:00 GMT</t>
  </si>
  <si>
    <t>Tue, 17 Nov 2020 00:00:00 GMT</t>
  </si>
  <si>
    <t>Mon, 16 Nov 2020 00:00:00 GMT</t>
  </si>
  <si>
    <t>Fri, 13 Nov 2020 00:00:00 GMT</t>
  </si>
  <si>
    <t>Thu, 12 Nov 2020 00:00:00 GMT</t>
  </si>
  <si>
    <t>Wed, 11 Nov 2020 00:00:00 GMT</t>
  </si>
  <si>
    <t>Tue, 10 Nov 2020 00:00:00 GMT</t>
  </si>
  <si>
    <t>Mon, 09 Nov 2020 00:00:00 GMT</t>
  </si>
  <si>
    <t>Fri, 06 Nov 2020 00:00:00 GMT</t>
  </si>
  <si>
    <t>Thu, 05 Nov 2020 00:00:00 GMT</t>
  </si>
  <si>
    <t>Wed, 04 Nov 2020 00:00:00 GMT</t>
  </si>
  <si>
    <t>Tue, 03 Nov 2020 00:00:00 GMT</t>
  </si>
  <si>
    <t>Mon, 02 Nov 2020 00:00:00 GMT</t>
  </si>
  <si>
    <t>Fri, 30 Oct 2020 00:00:00 GMT</t>
  </si>
  <si>
    <t>Thu, 29 Oct 2020 00:00:00 GMT</t>
  </si>
  <si>
    <t>Wed, 28 Oct 2020 00:00:00 GMT</t>
  </si>
  <si>
    <t>Tue, 27 Oct 2020 00:00:00 GMT</t>
  </si>
  <si>
    <t>Mon, 26 Oct 2020 00:00:00 GMT</t>
  </si>
  <si>
    <t>Fri, 23 Oct 2020 00:00:00 GMT</t>
  </si>
  <si>
    <t>Thu, 22 Oct 2020 00:00:00 GMT</t>
  </si>
  <si>
    <t>Wed, 21 Oct 2020 00:00:00 GMT</t>
  </si>
  <si>
    <t>Tue, 20 Oct 2020 00:00:00 GMT</t>
  </si>
  <si>
    <t>Mon, 19 Oct 2020 00:00:00 GMT</t>
  </si>
  <si>
    <t>Fri, 16 Oct 2020 00:00:00 GMT</t>
  </si>
  <si>
    <t>Thu, 15 Oct 2020 00:00:00 GMT</t>
  </si>
  <si>
    <t>Wed, 14 Oct 2020 00:00:00 GMT</t>
  </si>
  <si>
    <t>Tue, 13 Oct 2020 00:00:00 GMT</t>
  </si>
  <si>
    <t>Mon, 12 Oct 2020 00:00:00 GMT</t>
  </si>
  <si>
    <t>Fri, 09 Oct 2020 00:00:00 GMT</t>
  </si>
  <si>
    <t>Thu, 08 Oct 2020 00:00:00 GMT</t>
  </si>
  <si>
    <t>Wed, 07 Oct 2020 00:00:00 GMT</t>
  </si>
  <si>
    <t>Tue, 06 Oct 2020 00:00:00 GMT</t>
  </si>
  <si>
    <t>Mon, 05 Oct 2020 00:00:00 GMT</t>
  </si>
  <si>
    <t>Fri, 02 Oct 2020 00:00:00 GMT</t>
  </si>
  <si>
    <t>Thu, 01 Oct 2020 00:00:00 GMT</t>
  </si>
  <si>
    <t>Wed, 30 Sep 2020 00:00:00 GMT</t>
  </si>
  <si>
    <t>Tue, 29 Sep 2020 00:00:00 GMT</t>
  </si>
  <si>
    <t>Mon, 28 Sep 2020 00:00:00 GMT</t>
  </si>
  <si>
    <t>Fri, 25 Sep 2020 00:00:00 GMT</t>
  </si>
  <si>
    <t>Thu, 24 Sep 2020 00:00:00 GMT</t>
  </si>
  <si>
    <t>Wed, 23 Sep 2020 00:00:00 GMT</t>
  </si>
  <si>
    <t>Tue, 22 Sep 2020 00:00:00 GMT</t>
  </si>
  <si>
    <t>Mon, 21 Sep 2020 00:00:00 GMT</t>
  </si>
  <si>
    <t>9/19/25</t>
  </si>
  <si>
    <t>Q2'25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</si>
</sst>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e"/>
    </font>
    <font>
      <b/>
      <sz val="11"/>
      <color theme="1"/>
      <name val="Calibre"/>
    </font>
    <font>
      <b/>
      <sz val="11"/>
      <color theme="0"/>
      <name val="Calibre"/>
    </font>
    <font>
      <sz val="11"/>
      <color theme="0"/>
      <name val="Calibre"/>
    </font>
    <font>
      <b/>
      <sz val="10"/>
      <name val="Arial"/>
      <family val="2"/>
    </font>
    <font>
      <i/>
      <sz val="11"/>
      <color theme="1"/>
      <name val="Calibre"/>
    </font>
    <font>
      <b/>
      <sz val="10"/>
      <name val="Calibre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e"/>
    </font>
    <font>
      <b/>
      <sz val="11"/>
      <color rgb="FF0070C0"/>
      <name val="Calibre"/>
    </font>
    <font>
      <sz val="11"/>
      <color rgb="FF0070C0"/>
      <name val="Calibre"/>
    </font>
    <font>
      <sz val="11"/>
      <name val="Calibre"/>
    </font>
    <font>
      <u/>
      <sz val="11"/>
      <color theme="10"/>
      <name val="Calibri"/>
      <family val="2"/>
      <scheme val="minor"/>
    </font>
    <font>
      <u/>
      <sz val="11"/>
      <color rgb="FF00B0F0"/>
      <name val="Calibre"/>
    </font>
    <font>
      <u/>
      <sz val="11"/>
      <color theme="10"/>
      <name val="Calibre"/>
    </font>
    <font>
      <u/>
      <sz val="11"/>
      <color rgb="FF00B0F0"/>
      <name val="Calibri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5F5F5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10" fontId="2" fillId="4" borderId="6" xfId="0" applyNumberFormat="1" applyFont="1" applyFill="1" applyBorder="1"/>
    <xf numFmtId="10" fontId="2" fillId="4" borderId="7" xfId="0" applyNumberFormat="1" applyFont="1" applyFill="1" applyBorder="1"/>
    <xf numFmtId="0" fontId="4" fillId="3" borderId="8" xfId="0" applyFont="1" applyFill="1" applyBorder="1" applyAlignment="1">
      <alignment horizontal="left"/>
    </xf>
    <xf numFmtId="0" fontId="5" fillId="3" borderId="0" xfId="0" applyFont="1" applyFill="1" applyAlignment="1">
      <alignment horizontal="center"/>
    </xf>
    <xf numFmtId="0" fontId="5" fillId="3" borderId="9" xfId="0" applyFont="1" applyFill="1" applyBorder="1" applyAlignment="1">
      <alignment horizontal="center"/>
    </xf>
    <xf numFmtId="10" fontId="2" fillId="0" borderId="10" xfId="0" applyNumberFormat="1" applyFont="1" applyBorder="1"/>
    <xf numFmtId="10" fontId="2" fillId="0" borderId="11" xfId="0" applyNumberFormat="1" applyFont="1" applyBorder="1"/>
    <xf numFmtId="10" fontId="2" fillId="4" borderId="10" xfId="0" applyNumberFormat="1" applyFont="1" applyFill="1" applyBorder="1"/>
    <xf numFmtId="10" fontId="2" fillId="4" borderId="11" xfId="0" applyNumberFormat="1" applyFont="1" applyFill="1" applyBorder="1"/>
    <xf numFmtId="0" fontId="4" fillId="3" borderId="12" xfId="0" applyFont="1" applyFill="1" applyBorder="1" applyAlignment="1">
      <alignment horizontal="left"/>
    </xf>
    <xf numFmtId="0" fontId="5" fillId="3" borderId="13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10" fontId="2" fillId="0" borderId="15" xfId="0" applyNumberFormat="1" applyFont="1" applyBorder="1"/>
    <xf numFmtId="10" fontId="2" fillId="0" borderId="16" xfId="0" applyNumberFormat="1" applyFont="1" applyBorder="1"/>
    <xf numFmtId="0" fontId="6" fillId="5" borderId="0" xfId="0" applyFont="1" applyFill="1" applyAlignment="1">
      <alignment horizontal="center" vertical="center"/>
    </xf>
    <xf numFmtId="10" fontId="2" fillId="0" borderId="0" xfId="0" applyNumberFormat="1" applyFont="1"/>
    <xf numFmtId="0" fontId="8" fillId="5" borderId="0" xfId="0" applyFont="1" applyFill="1" applyAlignment="1">
      <alignment horizontal="center" vertical="center"/>
    </xf>
    <xf numFmtId="10" fontId="8" fillId="5" borderId="0" xfId="0" applyNumberFormat="1" applyFont="1" applyFill="1" applyAlignment="1">
      <alignment horizontal="center" vertical="center"/>
    </xf>
    <xf numFmtId="0" fontId="8" fillId="5" borderId="0" xfId="0" applyFont="1" applyFill="1" applyAlignment="1">
      <alignment horizontal="right" vertical="center"/>
    </xf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left"/>
    </xf>
    <xf numFmtId="0" fontId="9" fillId="0" borderId="17" xfId="0" applyFont="1" applyBorder="1" applyAlignment="1">
      <alignment horizontal="center"/>
    </xf>
    <xf numFmtId="0" fontId="9" fillId="0" borderId="17" xfId="0" applyFont="1" applyBorder="1" applyAlignment="1">
      <alignment horizontal="left"/>
    </xf>
    <xf numFmtId="0" fontId="9" fillId="0" borderId="17" xfId="0" applyFont="1" applyBorder="1" applyAlignment="1">
      <alignment horizontal="center"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horizontal="left" indent="1"/>
    </xf>
    <xf numFmtId="0" fontId="14" fillId="0" borderId="0" xfId="0" applyFont="1"/>
    <xf numFmtId="0" fontId="14" fillId="0" borderId="0" xfId="0" applyFont="1" applyAlignment="1">
      <alignment horizontal="left"/>
    </xf>
    <xf numFmtId="2" fontId="2" fillId="0" borderId="0" xfId="1" quotePrefix="1" applyNumberFormat="1" applyFont="1"/>
    <xf numFmtId="2" fontId="2" fillId="0" borderId="0" xfId="0" applyNumberFormat="1" applyFont="1"/>
    <xf numFmtId="2" fontId="2" fillId="0" borderId="0" xfId="0" quotePrefix="1" applyNumberFormat="1" applyFont="1"/>
    <xf numFmtId="0" fontId="2" fillId="0" borderId="0" xfId="1" applyNumberFormat="1" applyFont="1"/>
    <xf numFmtId="49" fontId="2" fillId="0" borderId="0" xfId="0" applyNumberFormat="1" applyFont="1"/>
    <xf numFmtId="44" fontId="2" fillId="0" borderId="0" xfId="0" applyNumberFormat="1" applyFont="1" applyAlignment="1">
      <alignment horizontal="right" indent="1"/>
    </xf>
    <xf numFmtId="164" fontId="2" fillId="0" borderId="0" xfId="2" applyNumberFormat="1" applyFont="1" applyAlignment="1">
      <alignment horizontal="right" indent="1"/>
    </xf>
    <xf numFmtId="164" fontId="2" fillId="0" borderId="0" xfId="0" applyNumberFormat="1" applyFont="1" applyAlignment="1">
      <alignment horizontal="right" indent="1"/>
    </xf>
    <xf numFmtId="0" fontId="16" fillId="0" borderId="0" xfId="3" applyFont="1"/>
    <xf numFmtId="165" fontId="2" fillId="0" borderId="0" xfId="0" applyNumberFormat="1" applyFont="1" applyAlignment="1">
      <alignment horizontal="left" indent="5"/>
    </xf>
    <xf numFmtId="14" fontId="2" fillId="0" borderId="0" xfId="0" applyNumberFormat="1" applyFont="1"/>
    <xf numFmtId="0" fontId="17" fillId="0" borderId="0" xfId="3" applyFont="1"/>
    <xf numFmtId="0" fontId="18" fillId="0" borderId="0" xfId="3" applyFont="1"/>
    <xf numFmtId="0" fontId="19" fillId="0" borderId="0" xfId="0" applyFont="1"/>
    <xf numFmtId="10" fontId="2" fillId="0" borderId="0" xfId="1" applyNumberFormat="1" applyFont="1"/>
  </cellXfs>
  <cellStyles count="4">
    <cellStyle name="Currency" xfId="2" builtinId="4"/>
    <cellStyle name="Hyperlink" xfId="3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(Ticker) Revenue by Segment (in $ millions)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109587501048507E-2"/>
          <c:y val="0.16630261573867286"/>
          <c:w val="0.91646860416323306"/>
          <c:h val="0.7491790349545042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[1]Model!$B$6</c:f>
              <c:strCache>
                <c:ptCount val="1"/>
                <c:pt idx="0">
                  <c:v>Medical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[1]Model!$AW$6:$BQ$6</c:f>
              <c:numCache>
                <c:formatCode>General</c:formatCode>
                <c:ptCount val="21"/>
                <c:pt idx="0">
                  <c:v>600</c:v>
                </c:pt>
                <c:pt idx="1">
                  <c:v>705</c:v>
                </c:pt>
                <c:pt idx="2">
                  <c:v>622</c:v>
                </c:pt>
                <c:pt idx="3">
                  <c:v>640</c:v>
                </c:pt>
                <c:pt idx="4">
                  <c:v>636</c:v>
                </c:pt>
                <c:pt idx="5">
                  <c:v>709</c:v>
                </c:pt>
                <c:pt idx="6">
                  <c:v>664</c:v>
                </c:pt>
                <c:pt idx="7">
                  <c:v>666</c:v>
                </c:pt>
                <c:pt idx="8">
                  <c:v>765</c:v>
                </c:pt>
                <c:pt idx="9">
                  <c:v>936</c:v>
                </c:pt>
                <c:pt idx="10">
                  <c:v>778</c:v>
                </c:pt>
                <c:pt idx="11">
                  <c:v>841</c:v>
                </c:pt>
                <c:pt idx="12">
                  <c:v>798</c:v>
                </c:pt>
                <c:pt idx="13">
                  <c:v>1042</c:v>
                </c:pt>
                <c:pt idx="14">
                  <c:v>864</c:v>
                </c:pt>
                <c:pt idx="15">
                  <c:v>908</c:v>
                </c:pt>
                <c:pt idx="16">
                  <c:v>938</c:v>
                </c:pt>
                <c:pt idx="17">
                  <c:v>1142</c:v>
                </c:pt>
                <c:pt idx="18">
                  <c:v>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3E-43B3-B662-D76C6E829219}"/>
            </c:ext>
          </c:extLst>
        </c:ser>
        <c:ser>
          <c:idx val="1"/>
          <c:order val="1"/>
          <c:tx>
            <c:strRef>
              <c:f>[1]Model!$B$12</c:f>
              <c:strCache>
                <c:ptCount val="1"/>
                <c:pt idx="0">
                  <c:v>Trauma and Extremities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[1]Model!$AW$12:$BQ$12</c:f>
              <c:numCache>
                <c:formatCode>General</c:formatCode>
                <c:ptCount val="21"/>
                <c:pt idx="0">
                  <c:v>430</c:v>
                </c:pt>
                <c:pt idx="1">
                  <c:v>570</c:v>
                </c:pt>
                <c:pt idx="2">
                  <c:v>640</c:v>
                </c:pt>
                <c:pt idx="3">
                  <c:v>674</c:v>
                </c:pt>
                <c:pt idx="4">
                  <c:v>639</c:v>
                </c:pt>
                <c:pt idx="5">
                  <c:v>711</c:v>
                </c:pt>
                <c:pt idx="6">
                  <c:v>685</c:v>
                </c:pt>
                <c:pt idx="7">
                  <c:v>676</c:v>
                </c:pt>
                <c:pt idx="8">
                  <c:v>672</c:v>
                </c:pt>
                <c:pt idx="9">
                  <c:v>774</c:v>
                </c:pt>
                <c:pt idx="10">
                  <c:v>769</c:v>
                </c:pt>
                <c:pt idx="11">
                  <c:v>766</c:v>
                </c:pt>
                <c:pt idx="12">
                  <c:v>752</c:v>
                </c:pt>
                <c:pt idx="13">
                  <c:v>860</c:v>
                </c:pt>
                <c:pt idx="14">
                  <c:v>830</c:v>
                </c:pt>
                <c:pt idx="15">
                  <c:v>832</c:v>
                </c:pt>
                <c:pt idx="16">
                  <c:v>849</c:v>
                </c:pt>
                <c:pt idx="17">
                  <c:v>996</c:v>
                </c:pt>
                <c:pt idx="18">
                  <c:v>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3E-43B3-B662-D76C6E829219}"/>
            </c:ext>
          </c:extLst>
        </c:ser>
        <c:ser>
          <c:idx val="2"/>
          <c:order val="2"/>
          <c:tx>
            <c:strRef>
              <c:f>[1]Model!$B$5</c:f>
              <c:strCache>
                <c:ptCount val="1"/>
                <c:pt idx="0">
                  <c:v>Endoscopy</c:v>
                </c:pt>
              </c:strCache>
            </c:strRef>
          </c:tx>
          <c:spPr>
            <a:solidFill>
              <a:srgbClr val="5881CC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[1]Model!$AW$5:$BQ$5</c:f>
              <c:numCache>
                <c:formatCode>General</c:formatCode>
                <c:ptCount val="21"/>
                <c:pt idx="0">
                  <c:v>467</c:v>
                </c:pt>
                <c:pt idx="1">
                  <c:v>525</c:v>
                </c:pt>
                <c:pt idx="2">
                  <c:v>469</c:v>
                </c:pt>
                <c:pt idx="3">
                  <c:v>518</c:v>
                </c:pt>
                <c:pt idx="4">
                  <c:v>525</c:v>
                </c:pt>
                <c:pt idx="5">
                  <c:v>629</c:v>
                </c:pt>
                <c:pt idx="6">
                  <c:v>538</c:v>
                </c:pt>
                <c:pt idx="7">
                  <c:v>600</c:v>
                </c:pt>
                <c:pt idx="8">
                  <c:v>590</c:v>
                </c:pt>
                <c:pt idx="9">
                  <c:v>997</c:v>
                </c:pt>
                <c:pt idx="10">
                  <c:v>707</c:v>
                </c:pt>
                <c:pt idx="11">
                  <c:v>713</c:v>
                </c:pt>
                <c:pt idx="12">
                  <c:v>746</c:v>
                </c:pt>
                <c:pt idx="13">
                  <c:v>902</c:v>
                </c:pt>
                <c:pt idx="14">
                  <c:v>778</c:v>
                </c:pt>
                <c:pt idx="15">
                  <c:v>768</c:v>
                </c:pt>
                <c:pt idx="16">
                  <c:v>837</c:v>
                </c:pt>
                <c:pt idx="17">
                  <c:v>1006</c:v>
                </c:pt>
                <c:pt idx="18">
                  <c:v>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3E-43B3-B662-D76C6E829219}"/>
            </c:ext>
          </c:extLst>
        </c:ser>
        <c:ser>
          <c:idx val="3"/>
          <c:order val="3"/>
          <c:tx>
            <c:strRef>
              <c:f>[1]Model!$B$4</c:f>
              <c:strCache>
                <c:ptCount val="1"/>
                <c:pt idx="0">
                  <c:v>Instruments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[1]Model!$AW$4:$BQ$4</c:f>
              <c:numCache>
                <c:formatCode>General</c:formatCode>
                <c:ptCount val="21"/>
                <c:pt idx="0">
                  <c:v>467</c:v>
                </c:pt>
                <c:pt idx="1">
                  <c:v>555</c:v>
                </c:pt>
                <c:pt idx="2">
                  <c:v>469</c:v>
                </c:pt>
                <c:pt idx="3">
                  <c:v>517</c:v>
                </c:pt>
                <c:pt idx="4">
                  <c:v>525</c:v>
                </c:pt>
                <c:pt idx="5">
                  <c:v>600</c:v>
                </c:pt>
                <c:pt idx="6">
                  <c:v>528</c:v>
                </c:pt>
                <c:pt idx="7">
                  <c:v>563</c:v>
                </c:pt>
                <c:pt idx="8">
                  <c:v>535</c:v>
                </c:pt>
                <c:pt idx="9">
                  <c:v>653</c:v>
                </c:pt>
                <c:pt idx="10">
                  <c:v>566</c:v>
                </c:pt>
                <c:pt idx="11">
                  <c:v>622</c:v>
                </c:pt>
                <c:pt idx="12">
                  <c:v>620</c:v>
                </c:pt>
                <c:pt idx="13">
                  <c:v>726</c:v>
                </c:pt>
                <c:pt idx="14">
                  <c:v>667</c:v>
                </c:pt>
                <c:pt idx="15">
                  <c:v>698</c:v>
                </c:pt>
                <c:pt idx="16">
                  <c:v>679</c:v>
                </c:pt>
                <c:pt idx="17">
                  <c:v>790</c:v>
                </c:pt>
                <c:pt idx="18">
                  <c:v>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3E-43B3-B662-D76C6E829219}"/>
            </c:ext>
          </c:extLst>
        </c:ser>
        <c:ser>
          <c:idx val="4"/>
          <c:order val="4"/>
          <c:tx>
            <c:strRef>
              <c:f>[1]Model!$B$10</c:f>
              <c:strCache>
                <c:ptCount val="1"/>
                <c:pt idx="0">
                  <c:v>Knees</c:v>
                </c:pt>
              </c:strCache>
            </c:strRef>
          </c:tx>
          <c:spPr>
            <a:solidFill>
              <a:srgbClr val="CDE1F3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[1]Model!$AW$10:$BQ$10</c:f>
              <c:numCache>
                <c:formatCode>General</c:formatCode>
                <c:ptCount val="21"/>
                <c:pt idx="0">
                  <c:v>435</c:v>
                </c:pt>
                <c:pt idx="1">
                  <c:v>459</c:v>
                </c:pt>
                <c:pt idx="2">
                  <c:v>412</c:v>
                </c:pt>
                <c:pt idx="3">
                  <c:v>474</c:v>
                </c:pt>
                <c:pt idx="4">
                  <c:v>439</c:v>
                </c:pt>
                <c:pt idx="5">
                  <c:v>523</c:v>
                </c:pt>
                <c:pt idx="6">
                  <c:v>464</c:v>
                </c:pt>
                <c:pt idx="7">
                  <c:v>500</c:v>
                </c:pt>
                <c:pt idx="8">
                  <c:v>481</c:v>
                </c:pt>
                <c:pt idx="9">
                  <c:v>552</c:v>
                </c:pt>
                <c:pt idx="10">
                  <c:v>566</c:v>
                </c:pt>
                <c:pt idx="11">
                  <c:v>562</c:v>
                </c:pt>
                <c:pt idx="12">
                  <c:v>515</c:v>
                </c:pt>
                <c:pt idx="13">
                  <c:v>630</c:v>
                </c:pt>
                <c:pt idx="14">
                  <c:v>588</c:v>
                </c:pt>
                <c:pt idx="15">
                  <c:v>602</c:v>
                </c:pt>
                <c:pt idx="16">
                  <c:v>570</c:v>
                </c:pt>
                <c:pt idx="17">
                  <c:v>687</c:v>
                </c:pt>
                <c:pt idx="18">
                  <c:v>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3E-43B3-B662-D76C6E829219}"/>
            </c:ext>
          </c:extLst>
        </c:ser>
        <c:ser>
          <c:idx val="5"/>
          <c:order val="5"/>
          <c:tx>
            <c:strRef>
              <c:f>[1]Model!$B$8</c:f>
              <c:strCache>
                <c:ptCount val="1"/>
                <c:pt idx="0">
                  <c:v>Neuro Cranial</c:v>
                </c:pt>
              </c:strCache>
            </c:strRef>
          </c:tx>
          <c:spPr>
            <a:solidFill>
              <a:srgbClr val="94346D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[1]Model!$AW$8:$BQ$8</c:f>
              <c:numCache>
                <c:formatCode>General</c:formatCode>
                <c:ptCount val="21"/>
                <c:pt idx="0">
                  <c:v>518</c:v>
                </c:pt>
                <c:pt idx="1">
                  <c:v>312</c:v>
                </c:pt>
                <c:pt idx="2">
                  <c:v>281</c:v>
                </c:pt>
                <c:pt idx="3">
                  <c:v>310</c:v>
                </c:pt>
                <c:pt idx="4">
                  <c:v>299</c:v>
                </c:pt>
                <c:pt idx="5">
                  <c:v>324</c:v>
                </c:pt>
                <c:pt idx="6">
                  <c:v>323</c:v>
                </c:pt>
                <c:pt idx="7">
                  <c:v>337</c:v>
                </c:pt>
                <c:pt idx="8">
                  <c:v>332</c:v>
                </c:pt>
                <c:pt idx="9">
                  <c:v>384</c:v>
                </c:pt>
                <c:pt idx="10">
                  <c:v>355</c:v>
                </c:pt>
                <c:pt idx="11">
                  <c:v>373</c:v>
                </c:pt>
                <c:pt idx="12">
                  <c:v>384</c:v>
                </c:pt>
                <c:pt idx="13">
                  <c:v>764</c:v>
                </c:pt>
                <c:pt idx="14">
                  <c:v>478</c:v>
                </c:pt>
                <c:pt idx="15">
                  <c:v>416</c:v>
                </c:pt>
                <c:pt idx="16">
                  <c:v>441</c:v>
                </c:pt>
                <c:pt idx="17">
                  <c:v>801</c:v>
                </c:pt>
                <c:pt idx="18">
                  <c:v>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63E-43B3-B662-D76C6E829219}"/>
            </c:ext>
          </c:extLst>
        </c:ser>
        <c:ser>
          <c:idx val="6"/>
          <c:order val="6"/>
          <c:tx>
            <c:strRef>
              <c:f>[1]Model!$B$11</c:f>
              <c:strCache>
                <c:ptCount val="1"/>
                <c:pt idx="0">
                  <c:v>Hips</c:v>
                </c:pt>
              </c:strCache>
            </c:strRef>
          </c:tx>
          <c:spPr>
            <a:solidFill>
              <a:srgbClr val="B03E82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[1]Model!$AW$11:$BQ$11</c:f>
              <c:numCache>
                <c:formatCode>General</c:formatCode>
                <c:ptCount val="21"/>
                <c:pt idx="0">
                  <c:v>334</c:v>
                </c:pt>
                <c:pt idx="1">
                  <c:v>340</c:v>
                </c:pt>
                <c:pt idx="2">
                  <c:v>309</c:v>
                </c:pt>
                <c:pt idx="3">
                  <c:v>353</c:v>
                </c:pt>
                <c:pt idx="4">
                  <c:v>328</c:v>
                </c:pt>
                <c:pt idx="5">
                  <c:v>352</c:v>
                </c:pt>
                <c:pt idx="6">
                  <c:v>327</c:v>
                </c:pt>
                <c:pt idx="7">
                  <c:v>364</c:v>
                </c:pt>
                <c:pt idx="8">
                  <c:v>347</c:v>
                </c:pt>
                <c:pt idx="9">
                  <c:v>375</c:v>
                </c:pt>
                <c:pt idx="10">
                  <c:v>375</c:v>
                </c:pt>
                <c:pt idx="11">
                  <c:v>393</c:v>
                </c:pt>
                <c:pt idx="12">
                  <c:v>362</c:v>
                </c:pt>
                <c:pt idx="13">
                  <c:v>414</c:v>
                </c:pt>
                <c:pt idx="14">
                  <c:v>393</c:v>
                </c:pt>
                <c:pt idx="15">
                  <c:v>428</c:v>
                </c:pt>
                <c:pt idx="16">
                  <c:v>420</c:v>
                </c:pt>
                <c:pt idx="17">
                  <c:v>463</c:v>
                </c:pt>
                <c:pt idx="18">
                  <c:v>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63E-43B3-B662-D76C6E829219}"/>
            </c:ext>
          </c:extLst>
        </c:ser>
        <c:ser>
          <c:idx val="7"/>
          <c:order val="7"/>
          <c:tx>
            <c:strRef>
              <c:f>[1]Model!$B$7</c:f>
              <c:strCache>
                <c:ptCount val="1"/>
                <c:pt idx="0">
                  <c:v>Vascular</c:v>
                </c:pt>
              </c:strCache>
            </c:strRef>
          </c:tx>
          <c:spPr>
            <a:solidFill>
              <a:srgbClr val="CF73AA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[1]Model!$AW$7:$BQ$7</c:f>
              <c:numCache>
                <c:formatCode>General</c:formatCode>
                <c:ptCount val="21"/>
                <c:pt idx="0">
                  <c:v>66</c:v>
                </c:pt>
                <c:pt idx="1">
                  <c:v>82</c:v>
                </c:pt>
                <c:pt idx="2">
                  <c:v>289</c:v>
                </c:pt>
                <c:pt idx="3">
                  <c:v>301</c:v>
                </c:pt>
                <c:pt idx="4">
                  <c:v>295</c:v>
                </c:pt>
                <c:pt idx="5">
                  <c:v>303</c:v>
                </c:pt>
                <c:pt idx="6">
                  <c:v>301</c:v>
                </c:pt>
                <c:pt idx="7">
                  <c:v>306</c:v>
                </c:pt>
                <c:pt idx="8">
                  <c:v>294</c:v>
                </c:pt>
                <c:pt idx="9">
                  <c:v>299</c:v>
                </c:pt>
                <c:pt idx="10">
                  <c:v>284</c:v>
                </c:pt>
                <c:pt idx="11">
                  <c:v>311</c:v>
                </c:pt>
                <c:pt idx="12">
                  <c:v>311</c:v>
                </c:pt>
                <c:pt idx="13">
                  <c:v>320</c:v>
                </c:pt>
                <c:pt idx="14">
                  <c:v>310</c:v>
                </c:pt>
                <c:pt idx="15">
                  <c:v>327</c:v>
                </c:pt>
                <c:pt idx="16">
                  <c:v>329</c:v>
                </c:pt>
                <c:pt idx="17">
                  <c:v>341</c:v>
                </c:pt>
                <c:pt idx="18">
                  <c:v>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63E-43B3-B662-D76C6E829219}"/>
            </c:ext>
          </c:extLst>
        </c:ser>
        <c:ser>
          <c:idx val="8"/>
          <c:order val="8"/>
          <c:tx>
            <c:strRef>
              <c:f>[1]Model!$B$13</c:f>
              <c:strCache>
                <c:ptCount val="1"/>
                <c:pt idx="0">
                  <c:v>Spinal Implants</c:v>
                </c:pt>
              </c:strCache>
            </c:strRef>
          </c:tx>
          <c:spPr>
            <a:solidFill>
              <a:srgbClr val="E1A9CA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[1]Model!$AW$13:$BQ$13</c:f>
              <c:numCache>
                <c:formatCode>General</c:formatCode>
                <c:ptCount val="21"/>
                <c:pt idx="0">
                  <c:v>302</c:v>
                </c:pt>
                <c:pt idx="1">
                  <c:v>307</c:v>
                </c:pt>
                <c:pt idx="2">
                  <c:v>278</c:v>
                </c:pt>
                <c:pt idx="3">
                  <c:v>307</c:v>
                </c:pt>
                <c:pt idx="4">
                  <c:v>282</c:v>
                </c:pt>
                <c:pt idx="5">
                  <c:v>300</c:v>
                </c:pt>
                <c:pt idx="6">
                  <c:v>279</c:v>
                </c:pt>
                <c:pt idx="7">
                  <c:v>290</c:v>
                </c:pt>
                <c:pt idx="8">
                  <c:v>280</c:v>
                </c:pt>
                <c:pt idx="9">
                  <c:v>297</c:v>
                </c:pt>
                <c:pt idx="10">
                  <c:v>284</c:v>
                </c:pt>
                <c:pt idx="11">
                  <c:v>296</c:v>
                </c:pt>
                <c:pt idx="12">
                  <c:v>291</c:v>
                </c:pt>
                <c:pt idx="13">
                  <c:v>122</c:v>
                </c:pt>
                <c:pt idx="14">
                  <c:v>171</c:v>
                </c:pt>
                <c:pt idx="15">
                  <c:v>307</c:v>
                </c:pt>
                <c:pt idx="16">
                  <c:v>304</c:v>
                </c:pt>
                <c:pt idx="17">
                  <c:v>85</c:v>
                </c:pt>
                <c:pt idx="18">
                  <c:v>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63E-43B3-B662-D76C6E829219}"/>
            </c:ext>
          </c:extLst>
        </c:ser>
        <c:ser>
          <c:idx val="9"/>
          <c:order val="9"/>
          <c:tx>
            <c:strRef>
              <c:f>[1]Model!$B$14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0D4E5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[1]Model!$AW$14:$BQ$14</c:f>
              <c:numCache>
                <c:formatCode>General</c:formatCode>
                <c:ptCount val="21"/>
                <c:pt idx="0">
                  <c:v>118</c:v>
                </c:pt>
                <c:pt idx="1">
                  <c:v>157</c:v>
                </c:pt>
                <c:pt idx="2">
                  <c:v>123</c:v>
                </c:pt>
                <c:pt idx="3">
                  <c:v>127</c:v>
                </c:pt>
                <c:pt idx="4">
                  <c:v>123</c:v>
                </c:pt>
                <c:pt idx="5">
                  <c:v>176</c:v>
                </c:pt>
                <c:pt idx="6">
                  <c:v>97</c:v>
                </c:pt>
                <c:pt idx="7">
                  <c:v>114</c:v>
                </c:pt>
                <c:pt idx="8">
                  <c:v>111</c:v>
                </c:pt>
                <c:pt idx="9">
                  <c:v>153</c:v>
                </c:pt>
                <c:pt idx="10">
                  <c:v>94</c:v>
                </c:pt>
                <c:pt idx="11">
                  <c:v>119</c:v>
                </c:pt>
                <c:pt idx="12">
                  <c:v>130</c:v>
                </c:pt>
                <c:pt idx="13">
                  <c:v>35</c:v>
                </c:pt>
                <c:pt idx="14">
                  <c:v>164</c:v>
                </c:pt>
                <c:pt idx="15">
                  <c:v>136</c:v>
                </c:pt>
                <c:pt idx="16">
                  <c:v>127</c:v>
                </c:pt>
                <c:pt idx="17">
                  <c:v>125</c:v>
                </c:pt>
                <c:pt idx="18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63E-43B3-B662-D76C6E829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6"/>
        <c:overlap val="100"/>
        <c:axId val="826587039"/>
        <c:axId val="826586079"/>
      </c:barChart>
      <c:catAx>
        <c:axId val="826587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86079"/>
        <c:crossesAt val="-10000"/>
        <c:auto val="1"/>
        <c:lblAlgn val="ctr"/>
        <c:lblOffset val="100"/>
        <c:noMultiLvlLbl val="0"/>
      </c:catAx>
      <c:valAx>
        <c:axId val="82658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8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2500001367016772"/>
          <c:y val="5.2058346839546202E-2"/>
          <c:w val="0.79166664388305374"/>
          <c:h val="0.107383538159836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e"/>
              </a:rPr>
              <a:t>(BSX) Quarterly Ttl Revenues, Net Income, Free Cash Flows (in $ millions)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6798377690229573E-2"/>
          <c:y val="0.11478174751218337"/>
          <c:w val="0.88242614721237911"/>
          <c:h val="0.75563693032380408"/>
        </c:manualLayout>
      </c:layout>
      <c:barChart>
        <c:barDir val="col"/>
        <c:grouping val="clustered"/>
        <c:varyColors val="0"/>
        <c:ser>
          <c:idx val="3"/>
          <c:order val="0"/>
          <c:tx>
            <c:v>Net Income</c:v>
          </c:tx>
          <c:spPr>
            <a:solidFill>
              <a:srgbClr val="00B050"/>
            </a:solidFill>
          </c:spPr>
          <c:invertIfNegative val="0"/>
          <c:val>
            <c:numRef>
              <c:f>[1]Model!$AW$55:$BQ$55</c:f>
              <c:numCache>
                <c:formatCode>General</c:formatCode>
                <c:ptCount val="21"/>
                <c:pt idx="0">
                  <c:v>780</c:v>
                </c:pt>
                <c:pt idx="1">
                  <c:v>671</c:v>
                </c:pt>
                <c:pt idx="2">
                  <c:v>367</c:v>
                </c:pt>
                <c:pt idx="3">
                  <c:v>662</c:v>
                </c:pt>
                <c:pt idx="4">
                  <c:v>495</c:v>
                </c:pt>
                <c:pt idx="5">
                  <c:v>757</c:v>
                </c:pt>
                <c:pt idx="6">
                  <c:v>386</c:v>
                </c:pt>
                <c:pt idx="7">
                  <c:v>720</c:v>
                </c:pt>
                <c:pt idx="8">
                  <c:v>816</c:v>
                </c:pt>
                <c:pt idx="9">
                  <c:v>761</c:v>
                </c:pt>
                <c:pt idx="10">
                  <c:v>679</c:v>
                </c:pt>
                <c:pt idx="11">
                  <c:v>899</c:v>
                </c:pt>
                <c:pt idx="12">
                  <c:v>869</c:v>
                </c:pt>
                <c:pt idx="13">
                  <c:v>1226</c:v>
                </c:pt>
                <c:pt idx="14">
                  <c:v>923</c:v>
                </c:pt>
                <c:pt idx="15">
                  <c:v>998</c:v>
                </c:pt>
                <c:pt idx="16">
                  <c:v>1043</c:v>
                </c:pt>
                <c:pt idx="17">
                  <c:v>528</c:v>
                </c:pt>
                <c:pt idx="18">
                  <c:v>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646-4EF6-8D0F-B65629DF816B}"/>
            </c:ext>
          </c:extLst>
        </c:ser>
        <c:ser>
          <c:idx val="4"/>
          <c:order val="1"/>
          <c:tx>
            <c:v>FCF</c:v>
          </c:tx>
          <c:spPr>
            <a:solidFill>
              <a:srgbClr val="FFC000"/>
            </a:solidFill>
          </c:spPr>
          <c:invertIfNegative val="0"/>
          <c:val>
            <c:numRef>
              <c:f>[1]Model!$AW$103:$BQ$103</c:f>
              <c:numCache>
                <c:formatCode>General</c:formatCode>
                <c:ptCount val="21"/>
                <c:pt idx="0">
                  <c:v>621</c:v>
                </c:pt>
                <c:pt idx="1">
                  <c:v>568</c:v>
                </c:pt>
                <c:pt idx="2">
                  <c:v>302</c:v>
                </c:pt>
                <c:pt idx="3">
                  <c:v>592</c:v>
                </c:pt>
                <c:pt idx="4">
                  <c:v>438</c:v>
                </c:pt>
                <c:pt idx="5">
                  <c:v>662</c:v>
                </c:pt>
                <c:pt idx="6">
                  <c:v>323</c:v>
                </c:pt>
                <c:pt idx="7">
                  <c:v>656</c:v>
                </c:pt>
                <c:pt idx="8">
                  <c:v>816</c:v>
                </c:pt>
                <c:pt idx="9">
                  <c:v>563</c:v>
                </c:pt>
                <c:pt idx="10">
                  <c:v>592</c:v>
                </c:pt>
                <c:pt idx="11">
                  <c:v>738</c:v>
                </c:pt>
                <c:pt idx="12">
                  <c:v>692</c:v>
                </c:pt>
                <c:pt idx="13">
                  <c:v>1143</c:v>
                </c:pt>
                <c:pt idx="14">
                  <c:v>788</c:v>
                </c:pt>
                <c:pt idx="15">
                  <c:v>825</c:v>
                </c:pt>
                <c:pt idx="16">
                  <c:v>834</c:v>
                </c:pt>
                <c:pt idx="17">
                  <c:v>546</c:v>
                </c:pt>
                <c:pt idx="18">
                  <c:v>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646-4EF6-8D0F-B65629DF816B}"/>
            </c:ext>
          </c:extLst>
        </c:ser>
        <c:ser>
          <c:idx val="5"/>
          <c:order val="2"/>
          <c:tx>
            <c:v>Revenues</c:v>
          </c:tx>
          <c:spPr>
            <a:ln>
              <a:solidFill>
                <a:srgbClr val="00B0F0"/>
              </a:solidFill>
            </a:ln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[1]Model!$AW$44:$BQ$44</c:f>
              <c:numCache>
                <c:formatCode>General</c:formatCode>
                <c:ptCount val="21"/>
                <c:pt idx="0">
                  <c:v>4.1817674937273397E-2</c:v>
                </c:pt>
                <c:pt idx="1">
                  <c:v>3.1711450012103626E-2</c:v>
                </c:pt>
                <c:pt idx="2">
                  <c:v>0.1017279821627648</c:v>
                </c:pt>
                <c:pt idx="3">
                  <c:v>0.55354558610709126</c:v>
                </c:pt>
                <c:pt idx="4">
                  <c:v>0.11319240032111311</c:v>
                </c:pt>
                <c:pt idx="5">
                  <c:v>0.10300328484279686</c:v>
                </c:pt>
                <c:pt idx="6">
                  <c:v>8.1457121173792002E-2</c:v>
                </c:pt>
                <c:pt idx="7">
                  <c:v>4.6343735444806633E-2</c:v>
                </c:pt>
                <c:pt idx="8">
                  <c:v>7.6682692307692202E-2</c:v>
                </c:pt>
                <c:pt idx="9">
                  <c:v>0.10657306955966805</c:v>
                </c:pt>
                <c:pt idx="10">
                  <c:v>0.11766081871345024</c:v>
                </c:pt>
                <c:pt idx="11">
                  <c:v>0.11195192521700426</c:v>
                </c:pt>
                <c:pt idx="12">
                  <c:v>9.6003572225943357E-2</c:v>
                </c:pt>
                <c:pt idx="13">
                  <c:v>0.1178392925797771</c:v>
                </c:pt>
                <c:pt idx="14">
                  <c:v>9.7321054834658804E-2</c:v>
                </c:pt>
                <c:pt idx="15">
                  <c:v>8.526821457165723E-2</c:v>
                </c:pt>
                <c:pt idx="16">
                  <c:v>0.11916887349765726</c:v>
                </c:pt>
                <c:pt idx="17">
                  <c:v>0.10679277730008607</c:v>
                </c:pt>
                <c:pt idx="18">
                  <c:v>0.11882510013351144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646-4EF6-8D0F-B65629DF816B}"/>
            </c:ext>
          </c:extLst>
        </c:ser>
        <c:ser>
          <c:idx val="1"/>
          <c:order val="4"/>
          <c:tx>
            <c:v>Income</c:v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[2]Model!$AW$70:$BQ$70</c:f>
              <c:numCache>
                <c:formatCode>General</c:formatCode>
                <c:ptCount val="21"/>
                <c:pt idx="0">
                  <c:v>11</c:v>
                </c:pt>
                <c:pt idx="1">
                  <c:v>-152</c:v>
                </c:pt>
                <c:pt idx="2">
                  <c:v>-169</c:v>
                </c:pt>
                <c:pt idx="3">
                  <c:v>196</c:v>
                </c:pt>
                <c:pt idx="4">
                  <c:v>327</c:v>
                </c:pt>
                <c:pt idx="5">
                  <c:v>172</c:v>
                </c:pt>
                <c:pt idx="6">
                  <c:v>405</c:v>
                </c:pt>
                <c:pt idx="7">
                  <c:v>80</c:v>
                </c:pt>
                <c:pt idx="8">
                  <c:v>97</c:v>
                </c:pt>
                <c:pt idx="9">
                  <c:v>246</c:v>
                </c:pt>
                <c:pt idx="10">
                  <c:v>174</c:v>
                </c:pt>
                <c:pt idx="11">
                  <c:v>124</c:v>
                </c:pt>
                <c:pt idx="12">
                  <c:v>300</c:v>
                </c:pt>
                <c:pt idx="13">
                  <c:v>261</c:v>
                </c:pt>
                <c:pt idx="14">
                  <c:v>504</c:v>
                </c:pt>
                <c:pt idx="15">
                  <c:v>504</c:v>
                </c:pt>
                <c:pt idx="16">
                  <c:v>495</c:v>
                </c:pt>
                <c:pt idx="17">
                  <c:v>324</c:v>
                </c:pt>
                <c:pt idx="18">
                  <c:v>468</c:v>
                </c:pt>
                <c:pt idx="19">
                  <c:v>565</c:v>
                </c:pt>
                <c:pt idx="20">
                  <c:v>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46-4EF6-8D0F-B65629DF816B}"/>
            </c:ext>
          </c:extLst>
        </c:ser>
        <c:ser>
          <c:idx val="2"/>
          <c:order val="5"/>
          <c:tx>
            <c:v>FCF</c:v>
          </c:tx>
          <c:spPr>
            <a:solidFill>
              <a:srgbClr val="FFC000"/>
            </a:solidFill>
            <a:ln>
              <a:solidFill>
                <a:srgbClr val="FFC000"/>
              </a:solidFill>
            </a:ln>
            <a:effectLst/>
          </c:spPr>
          <c:invertIfNegative val="0"/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[2]Model!$AW$115:$BQ$115</c:f>
              <c:numCache>
                <c:formatCode>General</c:formatCode>
                <c:ptCount val="21"/>
                <c:pt idx="3">
                  <c:v>1.4515077424612877</c:v>
                </c:pt>
                <c:pt idx="4">
                  <c:v>1.3834364868847628</c:v>
                </c:pt>
                <c:pt idx="5">
                  <c:v>1.3083722072182666</c:v>
                </c:pt>
                <c:pt idx="6">
                  <c:v>1.1499254102436598</c:v>
                </c:pt>
                <c:pt idx="7">
                  <c:v>1.1015679850222326</c:v>
                </c:pt>
                <c:pt idx="8">
                  <c:v>0.77889564810481982</c:v>
                </c:pt>
                <c:pt idx="9">
                  <c:v>0.85784187483904195</c:v>
                </c:pt>
                <c:pt idx="10">
                  <c:v>0.94561848408002258</c:v>
                </c:pt>
                <c:pt idx="11">
                  <c:v>1.0236655272153563</c:v>
                </c:pt>
                <c:pt idx="12">
                  <c:v>0.89468528043105555</c:v>
                </c:pt>
                <c:pt idx="13">
                  <c:v>0.79701885138097328</c:v>
                </c:pt>
                <c:pt idx="14">
                  <c:v>0.89561039528281283</c:v>
                </c:pt>
                <c:pt idx="15">
                  <c:v>0.8169841913254966</c:v>
                </c:pt>
                <c:pt idx="16">
                  <c:v>1.1438161106590725</c:v>
                </c:pt>
                <c:pt idx="17">
                  <c:v>1.144906743185079</c:v>
                </c:pt>
                <c:pt idx="18">
                  <c:v>1.016579259008628</c:v>
                </c:pt>
                <c:pt idx="19">
                  <c:v>0.64223194748358858</c:v>
                </c:pt>
                <c:pt idx="20">
                  <c:v>0.88335310399367339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46-4EF6-8D0F-B65629DF8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overlap val="-2"/>
        <c:axId val="1243124976"/>
        <c:axId val="1243123056"/>
      </c:barChart>
      <c:lineChart>
        <c:grouping val="standard"/>
        <c:varyColors val="0"/>
        <c:ser>
          <c:idx val="0"/>
          <c:order val="3"/>
          <c:tx>
            <c:v>Revenues</c:v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[2]Model!$AW$50:$BQ$50</c:f>
              <c:numCache>
                <c:formatCode>General</c:formatCode>
                <c:ptCount val="21"/>
                <c:pt idx="0">
                  <c:v>2543</c:v>
                </c:pt>
                <c:pt idx="1">
                  <c:v>2003</c:v>
                </c:pt>
                <c:pt idx="2">
                  <c:v>2659</c:v>
                </c:pt>
                <c:pt idx="3">
                  <c:v>2708</c:v>
                </c:pt>
                <c:pt idx="4">
                  <c:v>2752</c:v>
                </c:pt>
                <c:pt idx="5">
                  <c:v>3077</c:v>
                </c:pt>
                <c:pt idx="6">
                  <c:v>2932</c:v>
                </c:pt>
                <c:pt idx="7">
                  <c:v>3127</c:v>
                </c:pt>
                <c:pt idx="8">
                  <c:v>3026</c:v>
                </c:pt>
                <c:pt idx="9">
                  <c:v>3244</c:v>
                </c:pt>
                <c:pt idx="10">
                  <c:v>3170</c:v>
                </c:pt>
                <c:pt idx="11">
                  <c:v>3242</c:v>
                </c:pt>
                <c:pt idx="12">
                  <c:v>3389</c:v>
                </c:pt>
                <c:pt idx="13">
                  <c:v>3599</c:v>
                </c:pt>
                <c:pt idx="14">
                  <c:v>3527</c:v>
                </c:pt>
                <c:pt idx="15">
                  <c:v>3725</c:v>
                </c:pt>
                <c:pt idx="16">
                  <c:v>3857</c:v>
                </c:pt>
                <c:pt idx="17">
                  <c:v>4120</c:v>
                </c:pt>
                <c:pt idx="18">
                  <c:v>4209</c:v>
                </c:pt>
                <c:pt idx="19">
                  <c:v>4561</c:v>
                </c:pt>
                <c:pt idx="20">
                  <c:v>4663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646-4EF6-8D0F-B65629DF8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3124976"/>
        <c:axId val="1243123056"/>
      </c:lineChart>
      <c:dateAx>
        <c:axId val="124312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3056"/>
        <c:crosses val="autoZero"/>
        <c:auto val="0"/>
        <c:lblOffset val="100"/>
        <c:baseTimeUnit val="days"/>
        <c:majorUnit val="1"/>
      </c:dateAx>
      <c:valAx>
        <c:axId val="124312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3601803088279277"/>
          <c:y val="6.8226667462544965E-2"/>
          <c:w val="0.53831279215259631"/>
          <c:h val="3.41842042395739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e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Calibre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(Ticker) Historical Return Histogram + Normal Distribution Overlay</a:t>
            </a:r>
          </a:p>
        </c:rich>
      </c:tx>
      <c:layout>
        <c:manualLayout>
          <c:xMode val="edge"/>
          <c:yMode val="edge"/>
          <c:x val="0.30108591378517141"/>
          <c:y val="1.88889486700445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5152794667284949E-2"/>
          <c:y val="7.3102355294668728E-2"/>
          <c:w val="0.94945999344094489"/>
          <c:h val="0.8723512307833301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percentage"/>
            <c:noEndCap val="1"/>
            <c:val val="100"/>
            <c:spPr>
              <a:noFill/>
              <a:ln w="127000" cap="flat" cmpd="sng" algn="ctr">
                <a:solidFill>
                  <a:srgbClr val="00B0F0"/>
                </a:solidFill>
                <a:round/>
              </a:ln>
              <a:effectLst/>
            </c:spPr>
          </c:errBars>
          <c:xVal>
            <c:strRef>
              <c:f>'[1]Notes | Quant Analysis'!$I$182:$I$262</c:f>
              <c:strCache>
                <c:ptCount val="81"/>
                <c:pt idx="6">
                  <c:v>Notes:</c:v>
                </c:pt>
                <c:pt idx="42">
                  <c:v>Notes:</c:v>
                </c:pt>
              </c:strCache>
            </c:strRef>
          </c:xVal>
          <c:yVal>
            <c:numRef>
              <c:f>'[1]Notes | Quant Analysis'!$J$182:$J$262</c:f>
              <c:numCache>
                <c:formatCode>General</c:formatCode>
                <c:ptCount val="81"/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76">
                  <c:v>0</c:v>
                </c:pt>
                <c:pt idx="7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4C8-46E7-8417-05DC731C65AA}"/>
            </c:ext>
          </c:extLst>
        </c:ser>
        <c:ser>
          <c:idx val="1"/>
          <c:order val="1"/>
          <c:tx>
            <c:strRef>
              <c:f>'[1]Notes | Quant Analysis'!$L$180</c:f>
              <c:strCache>
                <c:ptCount val="1"/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'[1]Notes | Quant Analysis'!$L$182:$L$264</c:f>
              <c:numCache>
                <c:formatCode>General</c:formatCode>
                <c:ptCount val="83"/>
              </c:numCache>
            </c:numRef>
          </c:xVal>
          <c:yVal>
            <c:numRef>
              <c:f>'[1]Notes | Quant Analysis'!$M$182:$M$264</c:f>
              <c:numCache>
                <c:formatCode>General</c:formatCode>
                <c:ptCount val="8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4C8-46E7-8417-05DC731C65AA}"/>
            </c:ext>
          </c:extLst>
        </c:ser>
        <c:ser>
          <c:idx val="2"/>
          <c:order val="2"/>
          <c:tx>
            <c:strRef>
              <c:f>'[1]Notes | Quant Analysis'!$O$182</c:f>
              <c:strCache>
                <c:ptCount val="1"/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4C8-46E7-8417-05DC731C65AA}"/>
                </c:ext>
              </c:extLst>
            </c:dLbl>
            <c:dLbl>
              <c:idx val="1"/>
              <c:layout>
                <c:manualLayout>
                  <c:x val="-6.5761321986558208E-2"/>
                  <c:y val="-2.1250002091535724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4C8-46E7-8417-05DC731C65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'[1]Notes | Quant Analysis'!$P$182:$P$183</c:f>
              <c:numCache>
                <c:formatCode>General</c:formatCode>
                <c:ptCount val="2"/>
              </c:numCache>
            </c:numRef>
          </c:xVal>
          <c:yVal>
            <c:numRef>
              <c:f>'[1]Notes | Quant Analysis'!$Q$182:$Q$183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4C8-46E7-8417-05DC731C65AA}"/>
            </c:ext>
          </c:extLst>
        </c:ser>
        <c:ser>
          <c:idx val="3"/>
          <c:order val="3"/>
          <c:tx>
            <c:strRef>
              <c:f>'[1]Notes | Quant Analysis'!$O$184</c:f>
              <c:strCache>
                <c:ptCount val="1"/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4C8-46E7-8417-05DC731C65AA}"/>
                </c:ext>
              </c:extLst>
            </c:dLbl>
            <c:dLbl>
              <c:idx val="1"/>
              <c:layout>
                <c:manualLayout>
                  <c:x val="-4.0576134842769972E-2"/>
                  <c:y val="-4.9583338213583156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4C8-46E7-8417-05DC731C65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'[1]Notes | Quant Analysis'!$P$184:$P$185</c:f>
              <c:numCache>
                <c:formatCode>General</c:formatCode>
                <c:ptCount val="2"/>
              </c:numCache>
            </c:numRef>
          </c:xVal>
          <c:yVal>
            <c:numRef>
              <c:f>'[1]Notes | Quant Analysis'!$Q$184:$Q$185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4C8-46E7-8417-05DC731C65AA}"/>
            </c:ext>
          </c:extLst>
        </c:ser>
        <c:ser>
          <c:idx val="4"/>
          <c:order val="4"/>
          <c:tx>
            <c:strRef>
              <c:f>'[1]Notes | Quant Analysis'!$O$186</c:f>
              <c:strCache>
                <c:ptCount val="1"/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4C8-46E7-8417-05DC731C65AA}"/>
                </c:ext>
              </c:extLst>
            </c:dLbl>
            <c:dLbl>
              <c:idx val="1"/>
              <c:layout>
                <c:manualLayout>
                  <c:x val="-5.3168728414664079E-2"/>
                  <c:y val="-3.5416670152559573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4C8-46E7-8417-05DC731C65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'[1]Notes | Quant Analysis'!$P$186:$P$187</c:f>
              <c:numCache>
                <c:formatCode>General</c:formatCode>
                <c:ptCount val="2"/>
              </c:numCache>
            </c:numRef>
          </c:xVal>
          <c:yVal>
            <c:numRef>
              <c:f>'[1]Notes | Quant Analysis'!$Q$186:$Q$187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4C8-46E7-8417-05DC731C65AA}"/>
            </c:ext>
          </c:extLst>
        </c:ser>
        <c:ser>
          <c:idx val="5"/>
          <c:order val="5"/>
          <c:tx>
            <c:strRef>
              <c:f>'[1]Notes | Quant Analysis'!$O$188</c:f>
              <c:strCache>
                <c:ptCount val="1"/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4C8-46E7-8417-05DC731C65AA}"/>
                </c:ext>
              </c:extLst>
            </c:dLbl>
            <c:dLbl>
              <c:idx val="1"/>
              <c:layout>
                <c:manualLayout>
                  <c:x val="-9.5144040320977827E-2"/>
                  <c:y val="-2.1250002091535724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4C8-46E7-8417-05DC731C65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'[1]Notes | Quant Analysis'!$P$188:$P$189</c:f>
              <c:numCache>
                <c:formatCode>General</c:formatCode>
                <c:ptCount val="2"/>
              </c:numCache>
            </c:numRef>
          </c:xVal>
          <c:yVal>
            <c:numRef>
              <c:f>'[1]Notes | Quant Analysis'!$Q$188:$Q$189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64C8-46E7-8417-05DC731C65AA}"/>
            </c:ext>
          </c:extLst>
        </c:ser>
        <c:ser>
          <c:idx val="6"/>
          <c:order val="6"/>
          <c:tx>
            <c:strRef>
              <c:f>'[1]Notes | Quant Analysis'!$O$190</c:f>
              <c:strCache>
                <c:ptCount val="1"/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4C8-46E7-8417-05DC731C65AA}"/>
                </c:ext>
              </c:extLst>
            </c:dLbl>
            <c:dLbl>
              <c:idx val="1"/>
              <c:layout>
                <c:manualLayout>
                  <c:x val="-2.3786010080244464E-2"/>
                  <c:y val="-2.833333612204761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201295968475098E-2"/>
                      <c:h val="4.927639373892762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F-64C8-46E7-8417-05DC731C65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'[1]Notes | Quant Analysis'!$P$190:$P$191</c:f>
              <c:numCache>
                <c:formatCode>General</c:formatCode>
                <c:ptCount val="2"/>
              </c:numCache>
            </c:numRef>
          </c:xVal>
          <c:yVal>
            <c:numRef>
              <c:f>'[1]Notes | Quant Analysis'!$Q$190:$Q$191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64C8-46E7-8417-05DC731C65AA}"/>
            </c:ext>
          </c:extLst>
        </c:ser>
        <c:ser>
          <c:idx val="7"/>
          <c:order val="7"/>
          <c:tx>
            <c:strRef>
              <c:f>'[1]Notes | Quant Analysis'!$O$192</c:f>
              <c:strCache>
                <c:ptCount val="1"/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4C8-46E7-8417-05DC731C65AA}"/>
                </c:ext>
              </c:extLst>
            </c:dLbl>
            <c:dLbl>
              <c:idx val="1"/>
              <c:layout>
                <c:manualLayout>
                  <c:x val="-3.7777780715682475E-2"/>
                  <c:y val="-6.1388894931103132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64C8-46E7-8417-05DC731C65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'[1]Notes | Quant Analysis'!$P$192:$P$193</c:f>
              <c:numCache>
                <c:formatCode>General</c:formatCode>
                <c:ptCount val="2"/>
              </c:numCache>
            </c:numRef>
          </c:xVal>
          <c:yVal>
            <c:numRef>
              <c:f>'[1]Notes | Quant Analysis'!$Q$192:$Q$193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64C8-46E7-8417-05DC731C65AA}"/>
            </c:ext>
          </c:extLst>
        </c:ser>
        <c:ser>
          <c:idx val="8"/>
          <c:order val="8"/>
          <c:tx>
            <c:strRef>
              <c:f>'[1]Notes | Quant Analysis'!$O$194</c:f>
              <c:strCache>
                <c:ptCount val="1"/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64C8-46E7-8417-05DC731C65AA}"/>
                </c:ext>
              </c:extLst>
            </c:dLbl>
            <c:dLbl>
              <c:idx val="1"/>
              <c:layout>
                <c:manualLayout>
                  <c:x val="-3.3580249525050995E-2"/>
                  <c:y val="-3.77777814960633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4C8-46E7-8417-05DC731C65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'[1]Notes | Quant Analysis'!$P$194:$P$195</c:f>
              <c:numCache>
                <c:formatCode>General</c:formatCode>
                <c:ptCount val="2"/>
              </c:numCache>
            </c:numRef>
          </c:xVal>
          <c:yVal>
            <c:numRef>
              <c:f>'[1]Notes | Quant Analysis'!$Q$194:$Q$195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64C8-46E7-8417-05DC731C6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7843279"/>
        <c:axId val="1297840879"/>
      </c:scatterChart>
      <c:valAx>
        <c:axId val="1297843279"/>
        <c:scaling>
          <c:orientation val="minMax"/>
          <c:max val="4.5000000000000012E-2"/>
          <c:min val="-4.5000000000000012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840879"/>
        <c:crosses val="autoZero"/>
        <c:crossBetween val="midCat"/>
        <c:majorUnit val="5.000000000000001E-3"/>
      </c:valAx>
      <c:valAx>
        <c:axId val="129784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843279"/>
        <c:crossesAt val="-10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e"/>
              </a:rPr>
              <a:t>(BSX) Annual Ttl Revenues, Net Income, Free Cash Flows (in $ millions)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6798377690229573E-2"/>
          <c:y val="0.11478174751218337"/>
          <c:w val="0.88242614721237911"/>
          <c:h val="0.75563693032380408"/>
        </c:manualLayout>
      </c:layout>
      <c:barChart>
        <c:barDir val="col"/>
        <c:grouping val="clustered"/>
        <c:varyColors val="0"/>
        <c:ser>
          <c:idx val="3"/>
          <c:order val="0"/>
          <c:tx>
            <c:v>Net Income</c:v>
          </c:tx>
          <c:spPr>
            <a:solidFill>
              <a:srgbClr val="00B050"/>
            </a:solidFill>
          </c:spPr>
          <c:invertIfNegative val="0"/>
          <c:val>
            <c:numRef>
              <c:f>[1]Model!$AW$55:$BQ$55</c:f>
              <c:numCache>
                <c:formatCode>General</c:formatCode>
                <c:ptCount val="21"/>
                <c:pt idx="0">
                  <c:v>780</c:v>
                </c:pt>
                <c:pt idx="1">
                  <c:v>671</c:v>
                </c:pt>
                <c:pt idx="2">
                  <c:v>367</c:v>
                </c:pt>
                <c:pt idx="3">
                  <c:v>662</c:v>
                </c:pt>
                <c:pt idx="4">
                  <c:v>495</c:v>
                </c:pt>
                <c:pt idx="5">
                  <c:v>757</c:v>
                </c:pt>
                <c:pt idx="6">
                  <c:v>386</c:v>
                </c:pt>
                <c:pt idx="7">
                  <c:v>720</c:v>
                </c:pt>
                <c:pt idx="8">
                  <c:v>816</c:v>
                </c:pt>
                <c:pt idx="9">
                  <c:v>761</c:v>
                </c:pt>
                <c:pt idx="10">
                  <c:v>679</c:v>
                </c:pt>
                <c:pt idx="11">
                  <c:v>899</c:v>
                </c:pt>
                <c:pt idx="12">
                  <c:v>869</c:v>
                </c:pt>
                <c:pt idx="13">
                  <c:v>1226</c:v>
                </c:pt>
                <c:pt idx="14">
                  <c:v>923</c:v>
                </c:pt>
                <c:pt idx="15">
                  <c:v>998</c:v>
                </c:pt>
                <c:pt idx="16">
                  <c:v>1043</c:v>
                </c:pt>
                <c:pt idx="17">
                  <c:v>528</c:v>
                </c:pt>
                <c:pt idx="18">
                  <c:v>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5C-48BA-84D0-EF540439F646}"/>
            </c:ext>
          </c:extLst>
        </c:ser>
        <c:ser>
          <c:idx val="4"/>
          <c:order val="1"/>
          <c:tx>
            <c:v>FCF</c:v>
          </c:tx>
          <c:spPr>
            <a:solidFill>
              <a:srgbClr val="FFC000"/>
            </a:solidFill>
          </c:spPr>
          <c:invertIfNegative val="0"/>
          <c:val>
            <c:numRef>
              <c:f>[1]Model!$AW$103:$BQ$103</c:f>
              <c:numCache>
                <c:formatCode>General</c:formatCode>
                <c:ptCount val="21"/>
                <c:pt idx="0">
                  <c:v>621</c:v>
                </c:pt>
                <c:pt idx="1">
                  <c:v>568</c:v>
                </c:pt>
                <c:pt idx="2">
                  <c:v>302</c:v>
                </c:pt>
                <c:pt idx="3">
                  <c:v>592</c:v>
                </c:pt>
                <c:pt idx="4">
                  <c:v>438</c:v>
                </c:pt>
                <c:pt idx="5">
                  <c:v>662</c:v>
                </c:pt>
                <c:pt idx="6">
                  <c:v>323</c:v>
                </c:pt>
                <c:pt idx="7">
                  <c:v>656</c:v>
                </c:pt>
                <c:pt idx="8">
                  <c:v>816</c:v>
                </c:pt>
                <c:pt idx="9">
                  <c:v>563</c:v>
                </c:pt>
                <c:pt idx="10">
                  <c:v>592</c:v>
                </c:pt>
                <c:pt idx="11">
                  <c:v>738</c:v>
                </c:pt>
                <c:pt idx="12">
                  <c:v>692</c:v>
                </c:pt>
                <c:pt idx="13">
                  <c:v>1143</c:v>
                </c:pt>
                <c:pt idx="14">
                  <c:v>788</c:v>
                </c:pt>
                <c:pt idx="15">
                  <c:v>825</c:v>
                </c:pt>
                <c:pt idx="16">
                  <c:v>834</c:v>
                </c:pt>
                <c:pt idx="17">
                  <c:v>546</c:v>
                </c:pt>
                <c:pt idx="18">
                  <c:v>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5C-48BA-84D0-EF540439F646}"/>
            </c:ext>
          </c:extLst>
        </c:ser>
        <c:ser>
          <c:idx val="5"/>
          <c:order val="2"/>
          <c:tx>
            <c:v>Revenues</c:v>
          </c:tx>
          <c:spPr>
            <a:ln>
              <a:solidFill>
                <a:srgbClr val="00B0F0"/>
              </a:solidFill>
            </a:ln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[1]Model!$AW$44:$BQ$44</c:f>
              <c:numCache>
                <c:formatCode>General</c:formatCode>
                <c:ptCount val="21"/>
                <c:pt idx="0">
                  <c:v>4.1817674937273397E-2</c:v>
                </c:pt>
                <c:pt idx="1">
                  <c:v>3.1711450012103626E-2</c:v>
                </c:pt>
                <c:pt idx="2">
                  <c:v>0.1017279821627648</c:v>
                </c:pt>
                <c:pt idx="3">
                  <c:v>0.55354558610709126</c:v>
                </c:pt>
                <c:pt idx="4">
                  <c:v>0.11319240032111311</c:v>
                </c:pt>
                <c:pt idx="5">
                  <c:v>0.10300328484279686</c:v>
                </c:pt>
                <c:pt idx="6">
                  <c:v>8.1457121173792002E-2</c:v>
                </c:pt>
                <c:pt idx="7">
                  <c:v>4.6343735444806633E-2</c:v>
                </c:pt>
                <c:pt idx="8">
                  <c:v>7.6682692307692202E-2</c:v>
                </c:pt>
                <c:pt idx="9">
                  <c:v>0.10657306955966805</c:v>
                </c:pt>
                <c:pt idx="10">
                  <c:v>0.11766081871345024</c:v>
                </c:pt>
                <c:pt idx="11">
                  <c:v>0.11195192521700426</c:v>
                </c:pt>
                <c:pt idx="12">
                  <c:v>9.6003572225943357E-2</c:v>
                </c:pt>
                <c:pt idx="13">
                  <c:v>0.1178392925797771</c:v>
                </c:pt>
                <c:pt idx="14">
                  <c:v>9.7321054834658804E-2</c:v>
                </c:pt>
                <c:pt idx="15">
                  <c:v>8.526821457165723E-2</c:v>
                </c:pt>
                <c:pt idx="16">
                  <c:v>0.11916887349765726</c:v>
                </c:pt>
                <c:pt idx="17">
                  <c:v>0.10679277730008607</c:v>
                </c:pt>
                <c:pt idx="18">
                  <c:v>0.11882510013351144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5C-48BA-84D0-EF540439F646}"/>
            </c:ext>
          </c:extLst>
        </c:ser>
        <c:ser>
          <c:idx val="1"/>
          <c:order val="4"/>
          <c:tx>
            <c:v>Income</c:v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[2]Model!$AW$70:$BQ$70</c:f>
              <c:numCache>
                <c:formatCode>General</c:formatCode>
                <c:ptCount val="21"/>
                <c:pt idx="0">
                  <c:v>11</c:v>
                </c:pt>
                <c:pt idx="1">
                  <c:v>-152</c:v>
                </c:pt>
                <c:pt idx="2">
                  <c:v>-169</c:v>
                </c:pt>
                <c:pt idx="3">
                  <c:v>196</c:v>
                </c:pt>
                <c:pt idx="4">
                  <c:v>327</c:v>
                </c:pt>
                <c:pt idx="5">
                  <c:v>172</c:v>
                </c:pt>
                <c:pt idx="6">
                  <c:v>405</c:v>
                </c:pt>
                <c:pt idx="7">
                  <c:v>80</c:v>
                </c:pt>
                <c:pt idx="8">
                  <c:v>97</c:v>
                </c:pt>
                <c:pt idx="9">
                  <c:v>246</c:v>
                </c:pt>
                <c:pt idx="10">
                  <c:v>174</c:v>
                </c:pt>
                <c:pt idx="11">
                  <c:v>124</c:v>
                </c:pt>
                <c:pt idx="12">
                  <c:v>300</c:v>
                </c:pt>
                <c:pt idx="13">
                  <c:v>261</c:v>
                </c:pt>
                <c:pt idx="14">
                  <c:v>504</c:v>
                </c:pt>
                <c:pt idx="15">
                  <c:v>504</c:v>
                </c:pt>
                <c:pt idx="16">
                  <c:v>495</c:v>
                </c:pt>
                <c:pt idx="17">
                  <c:v>324</c:v>
                </c:pt>
                <c:pt idx="18">
                  <c:v>468</c:v>
                </c:pt>
                <c:pt idx="19">
                  <c:v>565</c:v>
                </c:pt>
                <c:pt idx="20">
                  <c:v>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5C-48BA-84D0-EF540439F646}"/>
            </c:ext>
          </c:extLst>
        </c:ser>
        <c:ser>
          <c:idx val="2"/>
          <c:order val="5"/>
          <c:tx>
            <c:v>FCF</c:v>
          </c:tx>
          <c:spPr>
            <a:solidFill>
              <a:srgbClr val="FFC000"/>
            </a:solidFill>
            <a:ln>
              <a:solidFill>
                <a:srgbClr val="FFC000"/>
              </a:solidFill>
            </a:ln>
            <a:effectLst/>
          </c:spPr>
          <c:invertIfNegative val="0"/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[2]Model!$AW$115:$BQ$115</c:f>
              <c:numCache>
                <c:formatCode>General</c:formatCode>
                <c:ptCount val="21"/>
                <c:pt idx="3">
                  <c:v>1.4515077424612877</c:v>
                </c:pt>
                <c:pt idx="4">
                  <c:v>1.3834364868847628</c:v>
                </c:pt>
                <c:pt idx="5">
                  <c:v>1.3083722072182666</c:v>
                </c:pt>
                <c:pt idx="6">
                  <c:v>1.1499254102436598</c:v>
                </c:pt>
                <c:pt idx="7">
                  <c:v>1.1015679850222326</c:v>
                </c:pt>
                <c:pt idx="8">
                  <c:v>0.77889564810481982</c:v>
                </c:pt>
                <c:pt idx="9">
                  <c:v>0.85784187483904195</c:v>
                </c:pt>
                <c:pt idx="10">
                  <c:v>0.94561848408002258</c:v>
                </c:pt>
                <c:pt idx="11">
                  <c:v>1.0236655272153563</c:v>
                </c:pt>
                <c:pt idx="12">
                  <c:v>0.89468528043105555</c:v>
                </c:pt>
                <c:pt idx="13">
                  <c:v>0.79701885138097328</c:v>
                </c:pt>
                <c:pt idx="14">
                  <c:v>0.89561039528281283</c:v>
                </c:pt>
                <c:pt idx="15">
                  <c:v>0.8169841913254966</c:v>
                </c:pt>
                <c:pt idx="16">
                  <c:v>1.1438161106590725</c:v>
                </c:pt>
                <c:pt idx="17">
                  <c:v>1.144906743185079</c:v>
                </c:pt>
                <c:pt idx="18">
                  <c:v>1.016579259008628</c:v>
                </c:pt>
                <c:pt idx="19">
                  <c:v>0.64223194748358858</c:v>
                </c:pt>
                <c:pt idx="20">
                  <c:v>0.88335310399367339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5C-48BA-84D0-EF540439F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overlap val="-2"/>
        <c:axId val="1243124976"/>
        <c:axId val="1243123056"/>
      </c:barChart>
      <c:lineChart>
        <c:grouping val="standard"/>
        <c:varyColors val="0"/>
        <c:ser>
          <c:idx val="0"/>
          <c:order val="3"/>
          <c:tx>
            <c:v>Revenues</c:v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[2]Model!$AW$50:$BQ$50</c:f>
              <c:numCache>
                <c:formatCode>General</c:formatCode>
                <c:ptCount val="21"/>
                <c:pt idx="0">
                  <c:v>2543</c:v>
                </c:pt>
                <c:pt idx="1">
                  <c:v>2003</c:v>
                </c:pt>
                <c:pt idx="2">
                  <c:v>2659</c:v>
                </c:pt>
                <c:pt idx="3">
                  <c:v>2708</c:v>
                </c:pt>
                <c:pt idx="4">
                  <c:v>2752</c:v>
                </c:pt>
                <c:pt idx="5">
                  <c:v>3077</c:v>
                </c:pt>
                <c:pt idx="6">
                  <c:v>2932</c:v>
                </c:pt>
                <c:pt idx="7">
                  <c:v>3127</c:v>
                </c:pt>
                <c:pt idx="8">
                  <c:v>3026</c:v>
                </c:pt>
                <c:pt idx="9">
                  <c:v>3244</c:v>
                </c:pt>
                <c:pt idx="10">
                  <c:v>3170</c:v>
                </c:pt>
                <c:pt idx="11">
                  <c:v>3242</c:v>
                </c:pt>
                <c:pt idx="12">
                  <c:v>3389</c:v>
                </c:pt>
                <c:pt idx="13">
                  <c:v>3599</c:v>
                </c:pt>
                <c:pt idx="14">
                  <c:v>3527</c:v>
                </c:pt>
                <c:pt idx="15">
                  <c:v>3725</c:v>
                </c:pt>
                <c:pt idx="16">
                  <c:v>3857</c:v>
                </c:pt>
                <c:pt idx="17">
                  <c:v>4120</c:v>
                </c:pt>
                <c:pt idx="18">
                  <c:v>4209</c:v>
                </c:pt>
                <c:pt idx="19">
                  <c:v>4561</c:v>
                </c:pt>
                <c:pt idx="20">
                  <c:v>4663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85C-48BA-84D0-EF540439F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3124976"/>
        <c:axId val="1243123056"/>
      </c:lineChart>
      <c:dateAx>
        <c:axId val="124312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3056"/>
        <c:crosses val="autoZero"/>
        <c:auto val="0"/>
        <c:lblOffset val="100"/>
        <c:baseTimeUnit val="days"/>
        <c:majorUnit val="1"/>
      </c:dateAx>
      <c:valAx>
        <c:axId val="124312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3601803088279277"/>
          <c:y val="6.8226667462544965E-2"/>
          <c:w val="0.53831279215259631"/>
          <c:h val="3.41842042395739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e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Calibre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9527</xdr:colOff>
      <xdr:row>2</xdr:row>
      <xdr:rowOff>10931</xdr:rowOff>
    </xdr:from>
    <xdr:to>
      <xdr:col>8</xdr:col>
      <xdr:colOff>1</xdr:colOff>
      <xdr:row>8</xdr:row>
      <xdr:rowOff>180800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FF1EAC-3DAB-8D93-5348-F6BC84445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62302" y="391931"/>
          <a:ext cx="1819274" cy="12557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71</xdr:col>
      <xdr:colOff>0</xdr:colOff>
      <xdr:row>0</xdr:row>
      <xdr:rowOff>0</xdr:rowOff>
    </xdr:from>
    <xdr:to>
      <xdr:col>71</xdr:col>
      <xdr:colOff>0</xdr:colOff>
      <xdr:row>131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1D82459E-58B3-42DB-9684-9D533E1F9712}"/>
            </a:ext>
          </a:extLst>
        </xdr:cNvPr>
        <xdr:cNvCxnSpPr/>
      </xdr:nvCxnSpPr>
      <xdr:spPr>
        <a:xfrm>
          <a:off x="44700825" y="0"/>
          <a:ext cx="0" cy="23774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0</xdr:colOff>
      <xdr:row>0</xdr:row>
      <xdr:rowOff>0</xdr:rowOff>
    </xdr:from>
    <xdr:to>
      <xdr:col>103</xdr:col>
      <xdr:colOff>0</xdr:colOff>
      <xdr:row>130</xdr:row>
      <xdr:rowOff>76200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001E5F4-1B9E-487D-83F1-747CF5EB542B}"/>
            </a:ext>
          </a:extLst>
        </xdr:cNvPr>
        <xdr:cNvCxnSpPr/>
      </xdr:nvCxnSpPr>
      <xdr:spPr>
        <a:xfrm>
          <a:off x="64208025" y="0"/>
          <a:ext cx="0" cy="235172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129</xdr:row>
      <xdr:rowOff>190499</xdr:rowOff>
    </xdr:from>
    <xdr:to>
      <xdr:col>23</xdr:col>
      <xdr:colOff>0</xdr:colOff>
      <xdr:row>160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2CD92D-8EF4-4572-94B5-6164D39572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166</xdr:row>
      <xdr:rowOff>0</xdr:rowOff>
    </xdr:from>
    <xdr:to>
      <xdr:col>23</xdr:col>
      <xdr:colOff>0</xdr:colOff>
      <xdr:row>194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1860B7-2944-492B-8E4C-F0D96D28C3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231</xdr:row>
      <xdr:rowOff>0</xdr:rowOff>
    </xdr:from>
    <xdr:to>
      <xdr:col>23</xdr:col>
      <xdr:colOff>0</xdr:colOff>
      <xdr:row>259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74BBAA-4B76-40FC-A8E5-A62056E8DD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199</xdr:row>
      <xdr:rowOff>0</xdr:rowOff>
    </xdr:from>
    <xdr:to>
      <xdr:col>23</xdr:col>
      <xdr:colOff>0</xdr:colOff>
      <xdr:row>227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F7CCC47-4E69-431D-A35B-BB93EEC582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Equity%20Research\Models\Health%20Care\MedTech\SYK_Model.xlsx" TargetMode="External"/><Relationship Id="rId1" Type="http://schemas.openxmlformats.org/officeDocument/2006/relationships/externalLinkPath" Target="https://d.docs.live.net/Users/User/Desktop/Equity%20Research/Models/Health%20Care/MedTech/SYK_Mode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Equity%20Research\Models\Health%20Care\MedTech\BSX_Model.xlsx" TargetMode="External"/><Relationship Id="rId1" Type="http://schemas.openxmlformats.org/officeDocument/2006/relationships/externalLinkPath" Target="https://d.docs.live.net/Users/User/Desktop/Equity%20Research/Models/Health%20Care/MedTech/BSX_Model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Desktop\Equity%20Research\Models\Health%20Care\MedTech\SYK_Model.xlsx" TargetMode="External"/><Relationship Id="rId1" Type="http://schemas.openxmlformats.org/officeDocument/2006/relationships/externalLinkPath" Target="SYK_Model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Equity%20Research\Models\Health%20Care\MedTech\BSX_Model.xlsx" TargetMode="External"/><Relationship Id="rId1" Type="http://schemas.openxmlformats.org/officeDocument/2006/relationships/externalLinkPath" Target="file:///C:\Users\User\Desktop\Equity%20Research\Models\Health%20Care\MedTech\BSX_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Notes | Quant Analysis"/>
      <sheetName val="M&amp;A"/>
      <sheetName val="Management"/>
      <sheetName val="Markets | Product Lines"/>
      <sheetName val="Debt Schedule"/>
    </sheetNames>
    <sheetDataSet>
      <sheetData sheetId="0"/>
      <sheetData sheetId="1">
        <row r="1">
          <cell r="AY1" t="str">
            <v>Q1 2021</v>
          </cell>
          <cell r="BC1" t="str">
            <v>Q1 2022</v>
          </cell>
          <cell r="BG1" t="str">
            <v>Q1 2023</v>
          </cell>
          <cell r="BK1" t="str">
            <v>Q1 2024</v>
          </cell>
          <cell r="BO1" t="str">
            <v>Q1 2025</v>
          </cell>
        </row>
        <row r="4">
          <cell r="B4" t="str">
            <v>Instruments</v>
          </cell>
          <cell r="AW4">
            <v>467</v>
          </cell>
          <cell r="AX4">
            <v>555</v>
          </cell>
          <cell r="AY4">
            <v>469</v>
          </cell>
          <cell r="AZ4">
            <v>517</v>
          </cell>
          <cell r="BA4">
            <v>525</v>
          </cell>
          <cell r="BB4">
            <v>600</v>
          </cell>
          <cell r="BC4">
            <v>528</v>
          </cell>
          <cell r="BD4">
            <v>563</v>
          </cell>
          <cell r="BE4">
            <v>535</v>
          </cell>
          <cell r="BF4">
            <v>653</v>
          </cell>
          <cell r="BG4">
            <v>566</v>
          </cell>
          <cell r="BH4">
            <v>622</v>
          </cell>
          <cell r="BI4">
            <v>620</v>
          </cell>
          <cell r="BJ4">
            <v>726</v>
          </cell>
          <cell r="BK4">
            <v>667</v>
          </cell>
          <cell r="BL4">
            <v>698</v>
          </cell>
          <cell r="BM4">
            <v>679</v>
          </cell>
          <cell r="BN4">
            <v>790</v>
          </cell>
          <cell r="BO4">
            <v>730</v>
          </cell>
          <cell r="BP4"/>
          <cell r="BQ4"/>
        </row>
        <row r="5">
          <cell r="B5" t="str">
            <v>Endoscopy</v>
          </cell>
          <cell r="AW5">
            <v>467</v>
          </cell>
          <cell r="AX5">
            <v>525</v>
          </cell>
          <cell r="AY5">
            <v>469</v>
          </cell>
          <cell r="AZ5">
            <v>518</v>
          </cell>
          <cell r="BA5">
            <v>525</v>
          </cell>
          <cell r="BB5">
            <v>629</v>
          </cell>
          <cell r="BC5">
            <v>538</v>
          </cell>
          <cell r="BD5">
            <v>600</v>
          </cell>
          <cell r="BE5">
            <v>590</v>
          </cell>
          <cell r="BF5">
            <v>997</v>
          </cell>
          <cell r="BG5">
            <v>707</v>
          </cell>
          <cell r="BH5">
            <v>713</v>
          </cell>
          <cell r="BI5">
            <v>746</v>
          </cell>
          <cell r="BJ5">
            <v>902</v>
          </cell>
          <cell r="BK5">
            <v>778</v>
          </cell>
          <cell r="BL5">
            <v>768</v>
          </cell>
          <cell r="BM5">
            <v>837</v>
          </cell>
          <cell r="BN5">
            <v>1006</v>
          </cell>
          <cell r="BO5">
            <v>867</v>
          </cell>
          <cell r="BP5"/>
          <cell r="BQ5"/>
        </row>
        <row r="6">
          <cell r="B6" t="str">
            <v>Medical</v>
          </cell>
          <cell r="AW6">
            <v>600</v>
          </cell>
          <cell r="AX6">
            <v>705</v>
          </cell>
          <cell r="AY6">
            <v>622</v>
          </cell>
          <cell r="AZ6">
            <v>640</v>
          </cell>
          <cell r="BA6">
            <v>636</v>
          </cell>
          <cell r="BB6">
            <v>709</v>
          </cell>
          <cell r="BC6">
            <v>664</v>
          </cell>
          <cell r="BD6">
            <v>666</v>
          </cell>
          <cell r="BE6">
            <v>765</v>
          </cell>
          <cell r="BF6">
            <v>936</v>
          </cell>
          <cell r="BG6">
            <v>778</v>
          </cell>
          <cell r="BH6">
            <v>841</v>
          </cell>
          <cell r="BI6">
            <v>798</v>
          </cell>
          <cell r="BJ6">
            <v>1042</v>
          </cell>
          <cell r="BK6">
            <v>864</v>
          </cell>
          <cell r="BL6">
            <v>908</v>
          </cell>
          <cell r="BM6">
            <v>938</v>
          </cell>
          <cell r="BN6">
            <v>1142</v>
          </cell>
          <cell r="BO6">
            <v>945</v>
          </cell>
          <cell r="BP6"/>
          <cell r="BQ6"/>
        </row>
        <row r="7">
          <cell r="B7" t="str">
            <v>Vascular</v>
          </cell>
          <cell r="AW7">
            <v>66</v>
          </cell>
          <cell r="AX7">
            <v>82</v>
          </cell>
          <cell r="AY7">
            <v>289</v>
          </cell>
          <cell r="AZ7">
            <v>301</v>
          </cell>
          <cell r="BA7">
            <v>295</v>
          </cell>
          <cell r="BB7">
            <v>303</v>
          </cell>
          <cell r="BC7">
            <v>301</v>
          </cell>
          <cell r="BD7">
            <v>306</v>
          </cell>
          <cell r="BE7">
            <v>294</v>
          </cell>
          <cell r="BF7">
            <v>299</v>
          </cell>
          <cell r="BG7">
            <v>284</v>
          </cell>
          <cell r="BH7">
            <v>311</v>
          </cell>
          <cell r="BI7">
            <v>311</v>
          </cell>
          <cell r="BJ7">
            <v>320</v>
          </cell>
          <cell r="BK7">
            <v>310</v>
          </cell>
          <cell r="BL7">
            <v>327</v>
          </cell>
          <cell r="BM7">
            <v>329</v>
          </cell>
          <cell r="BN7">
            <v>341</v>
          </cell>
          <cell r="BO7">
            <v>406</v>
          </cell>
          <cell r="BP7"/>
          <cell r="BQ7"/>
        </row>
        <row r="8">
          <cell r="B8" t="str">
            <v>Neuro Cranial</v>
          </cell>
          <cell r="AW8">
            <v>518</v>
          </cell>
          <cell r="AX8">
            <v>312</v>
          </cell>
          <cell r="AY8">
            <v>281</v>
          </cell>
          <cell r="AZ8">
            <v>310</v>
          </cell>
          <cell r="BA8">
            <v>299</v>
          </cell>
          <cell r="BB8">
            <v>324</v>
          </cell>
          <cell r="BC8">
            <v>323</v>
          </cell>
          <cell r="BD8">
            <v>337</v>
          </cell>
          <cell r="BE8">
            <v>332</v>
          </cell>
          <cell r="BF8">
            <v>384</v>
          </cell>
          <cell r="BG8">
            <v>355</v>
          </cell>
          <cell r="BH8">
            <v>373</v>
          </cell>
          <cell r="BI8">
            <v>384</v>
          </cell>
          <cell r="BJ8">
            <v>764</v>
          </cell>
          <cell r="BK8">
            <v>478</v>
          </cell>
          <cell r="BL8">
            <v>416</v>
          </cell>
          <cell r="BM8">
            <v>441</v>
          </cell>
          <cell r="BN8">
            <v>801</v>
          </cell>
          <cell r="BO8">
            <v>563</v>
          </cell>
          <cell r="BP8"/>
          <cell r="BQ8"/>
        </row>
        <row r="10">
          <cell r="B10" t="str">
            <v>Knees</v>
          </cell>
          <cell r="AW10">
            <v>435</v>
          </cell>
          <cell r="AX10">
            <v>459</v>
          </cell>
          <cell r="AY10">
            <v>412</v>
          </cell>
          <cell r="AZ10">
            <v>474</v>
          </cell>
          <cell r="BA10">
            <v>439</v>
          </cell>
          <cell r="BB10">
            <v>523</v>
          </cell>
          <cell r="BC10">
            <v>464</v>
          </cell>
          <cell r="BD10">
            <v>500</v>
          </cell>
          <cell r="BE10">
            <v>481</v>
          </cell>
          <cell r="BF10">
            <v>552</v>
          </cell>
          <cell r="BG10">
            <v>566</v>
          </cell>
          <cell r="BH10">
            <v>562</v>
          </cell>
          <cell r="BI10">
            <v>515</v>
          </cell>
          <cell r="BJ10">
            <v>630</v>
          </cell>
          <cell r="BK10">
            <v>588</v>
          </cell>
          <cell r="BL10">
            <v>602</v>
          </cell>
          <cell r="BM10">
            <v>570</v>
          </cell>
          <cell r="BN10">
            <v>687</v>
          </cell>
          <cell r="BO10">
            <v>639</v>
          </cell>
          <cell r="BP10"/>
          <cell r="BQ10"/>
        </row>
        <row r="11">
          <cell r="B11" t="str">
            <v>Hips</v>
          </cell>
          <cell r="AW11">
            <v>334</v>
          </cell>
          <cell r="AX11">
            <v>340</v>
          </cell>
          <cell r="AY11">
            <v>309</v>
          </cell>
          <cell r="AZ11">
            <v>353</v>
          </cell>
          <cell r="BA11">
            <v>328</v>
          </cell>
          <cell r="BB11">
            <v>352</v>
          </cell>
          <cell r="BC11">
            <v>327</v>
          </cell>
          <cell r="BD11">
            <v>364</v>
          </cell>
          <cell r="BE11">
            <v>347</v>
          </cell>
          <cell r="BF11">
            <v>375</v>
          </cell>
          <cell r="BG11">
            <v>375</v>
          </cell>
          <cell r="BH11">
            <v>393</v>
          </cell>
          <cell r="BI11">
            <v>362</v>
          </cell>
          <cell r="BJ11">
            <v>414</v>
          </cell>
          <cell r="BK11">
            <v>393</v>
          </cell>
          <cell r="BL11">
            <v>428</v>
          </cell>
          <cell r="BM11">
            <v>420</v>
          </cell>
          <cell r="BN11">
            <v>463</v>
          </cell>
          <cell r="BO11">
            <v>443</v>
          </cell>
          <cell r="BP11"/>
          <cell r="BQ11"/>
        </row>
        <row r="12">
          <cell r="B12" t="str">
            <v>Trauma and Extremities</v>
          </cell>
          <cell r="AW12">
            <v>430</v>
          </cell>
          <cell r="AX12">
            <v>570</v>
          </cell>
          <cell r="AY12">
            <v>640</v>
          </cell>
          <cell r="AZ12">
            <v>674</v>
          </cell>
          <cell r="BA12">
            <v>639</v>
          </cell>
          <cell r="BB12">
            <v>711</v>
          </cell>
          <cell r="BC12">
            <v>685</v>
          </cell>
          <cell r="BD12">
            <v>676</v>
          </cell>
          <cell r="BE12">
            <v>672</v>
          </cell>
          <cell r="BF12">
            <v>774</v>
          </cell>
          <cell r="BG12">
            <v>769</v>
          </cell>
          <cell r="BH12">
            <v>766</v>
          </cell>
          <cell r="BI12">
            <v>752</v>
          </cell>
          <cell r="BJ12">
            <v>860</v>
          </cell>
          <cell r="BK12">
            <v>830</v>
          </cell>
          <cell r="BL12">
            <v>832</v>
          </cell>
          <cell r="BM12">
            <v>849</v>
          </cell>
          <cell r="BN12">
            <v>996</v>
          </cell>
          <cell r="BO12">
            <v>945</v>
          </cell>
          <cell r="BP12"/>
          <cell r="BQ12"/>
        </row>
        <row r="13">
          <cell r="B13" t="str">
            <v>Spinal Implants</v>
          </cell>
          <cell r="AW13">
            <v>302</v>
          </cell>
          <cell r="AX13">
            <v>307</v>
          </cell>
          <cell r="AY13">
            <v>278</v>
          </cell>
          <cell r="AZ13">
            <v>307</v>
          </cell>
          <cell r="BA13">
            <v>282</v>
          </cell>
          <cell r="BB13">
            <v>300</v>
          </cell>
          <cell r="BC13">
            <v>279</v>
          </cell>
          <cell r="BD13">
            <v>290</v>
          </cell>
          <cell r="BE13">
            <v>280</v>
          </cell>
          <cell r="BF13">
            <v>297</v>
          </cell>
          <cell r="BG13">
            <v>284</v>
          </cell>
          <cell r="BH13">
            <v>296</v>
          </cell>
          <cell r="BI13">
            <v>291</v>
          </cell>
          <cell r="BJ13">
            <v>122</v>
          </cell>
          <cell r="BK13">
            <v>171</v>
          </cell>
          <cell r="BL13">
            <v>307</v>
          </cell>
          <cell r="BM13">
            <v>304</v>
          </cell>
          <cell r="BN13">
            <v>85</v>
          </cell>
          <cell r="BO13">
            <v>166</v>
          </cell>
          <cell r="BP13"/>
          <cell r="BQ13"/>
        </row>
        <row r="14">
          <cell r="B14" t="str">
            <v>Other</v>
          </cell>
          <cell r="AW14">
            <v>118</v>
          </cell>
          <cell r="AX14">
            <v>157</v>
          </cell>
          <cell r="AY14">
            <v>123</v>
          </cell>
          <cell r="AZ14">
            <v>127</v>
          </cell>
          <cell r="BA14">
            <v>123</v>
          </cell>
          <cell r="BB14">
            <v>176</v>
          </cell>
          <cell r="BC14">
            <v>97</v>
          </cell>
          <cell r="BD14">
            <v>114</v>
          </cell>
          <cell r="BE14">
            <v>111</v>
          </cell>
          <cell r="BF14">
            <v>153</v>
          </cell>
          <cell r="BG14">
            <v>94</v>
          </cell>
          <cell r="BH14">
            <v>119</v>
          </cell>
          <cell r="BI14">
            <v>130</v>
          </cell>
          <cell r="BJ14">
            <v>35</v>
          </cell>
          <cell r="BK14">
            <v>164</v>
          </cell>
          <cell r="BL14">
            <v>136</v>
          </cell>
          <cell r="BM14">
            <v>127</v>
          </cell>
          <cell r="BN14">
            <v>125</v>
          </cell>
          <cell r="BO14">
            <v>162</v>
          </cell>
          <cell r="BP14"/>
          <cell r="BQ14"/>
        </row>
        <row r="44">
          <cell r="AW44">
            <v>4.1817674937273397E-2</v>
          </cell>
          <cell r="AX44">
            <v>3.1711450012103626E-2</v>
          </cell>
          <cell r="AY44">
            <v>0.1017279821627648</v>
          </cell>
          <cell r="AZ44">
            <v>0.55354558610709126</v>
          </cell>
          <cell r="BA44">
            <v>0.11319240032111311</v>
          </cell>
          <cell r="BB44">
            <v>0.10300328484279686</v>
          </cell>
          <cell r="BC44">
            <v>8.1457121173792002E-2</v>
          </cell>
          <cell r="BD44">
            <v>4.6343735444806633E-2</v>
          </cell>
          <cell r="BE44">
            <v>7.6682692307692202E-2</v>
          </cell>
          <cell r="BF44">
            <v>0.10657306955966805</v>
          </cell>
          <cell r="BG44">
            <v>0.11766081871345024</v>
          </cell>
          <cell r="BH44">
            <v>0.11195192521700426</v>
          </cell>
          <cell r="BI44">
            <v>9.6003572225943357E-2</v>
          </cell>
          <cell r="BJ44">
            <v>0.1178392925797771</v>
          </cell>
          <cell r="BK44">
            <v>9.7321054834658804E-2</v>
          </cell>
          <cell r="BL44">
            <v>8.526821457165723E-2</v>
          </cell>
          <cell r="BM44">
            <v>0.11916887349765726</v>
          </cell>
          <cell r="BN44">
            <v>0.10679277730008607</v>
          </cell>
          <cell r="BO44">
            <v>0.11882510013351144</v>
          </cell>
        </row>
        <row r="55">
          <cell r="AW55">
            <v>780</v>
          </cell>
          <cell r="AX55">
            <v>671</v>
          </cell>
          <cell r="AY55">
            <v>367</v>
          </cell>
          <cell r="AZ55">
            <v>662</v>
          </cell>
          <cell r="BA55">
            <v>495</v>
          </cell>
          <cell r="BB55">
            <v>757</v>
          </cell>
          <cell r="BC55">
            <v>386</v>
          </cell>
          <cell r="BD55">
            <v>720</v>
          </cell>
          <cell r="BE55">
            <v>816</v>
          </cell>
          <cell r="BF55">
            <v>761</v>
          </cell>
          <cell r="BG55">
            <v>679</v>
          </cell>
          <cell r="BH55">
            <v>899</v>
          </cell>
          <cell r="BI55">
            <v>869</v>
          </cell>
          <cell r="BJ55">
            <v>1226</v>
          </cell>
          <cell r="BK55">
            <v>923</v>
          </cell>
          <cell r="BL55">
            <v>998</v>
          </cell>
          <cell r="BM55">
            <v>1043</v>
          </cell>
          <cell r="BN55">
            <v>528</v>
          </cell>
          <cell r="BO55">
            <v>764</v>
          </cell>
        </row>
        <row r="103">
          <cell r="AW103">
            <v>621</v>
          </cell>
          <cell r="AX103">
            <v>568</v>
          </cell>
          <cell r="AY103">
            <v>302</v>
          </cell>
          <cell r="AZ103">
            <v>592</v>
          </cell>
          <cell r="BA103">
            <v>438</v>
          </cell>
          <cell r="BB103">
            <v>662</v>
          </cell>
          <cell r="BC103">
            <v>323</v>
          </cell>
          <cell r="BD103">
            <v>656</v>
          </cell>
          <cell r="BE103">
            <v>816</v>
          </cell>
          <cell r="BF103">
            <v>563</v>
          </cell>
          <cell r="BG103">
            <v>592</v>
          </cell>
          <cell r="BH103">
            <v>738</v>
          </cell>
          <cell r="BI103">
            <v>692</v>
          </cell>
          <cell r="BJ103">
            <v>1143</v>
          </cell>
          <cell r="BK103">
            <v>788</v>
          </cell>
          <cell r="BL103">
            <v>825</v>
          </cell>
          <cell r="BM103">
            <v>834</v>
          </cell>
          <cell r="BN103">
            <v>546</v>
          </cell>
          <cell r="BO103">
            <v>654</v>
          </cell>
        </row>
      </sheetData>
      <sheetData sheetId="2">
        <row r="188">
          <cell r="I188" t="str">
            <v>Notes:</v>
          </cell>
          <cell r="J188" t="str">
            <v>[X]</v>
          </cell>
        </row>
        <row r="189">
          <cell r="J189" t="str">
            <v>[Y]</v>
          </cell>
        </row>
        <row r="190">
          <cell r="J190" t="str">
            <v>[Z]</v>
          </cell>
        </row>
        <row r="224">
          <cell r="I224" t="str">
            <v>Notes:</v>
          </cell>
          <cell r="J224" t="str">
            <v>[X]</v>
          </cell>
        </row>
        <row r="225">
          <cell r="J225" t="str">
            <v>[Y]</v>
          </cell>
        </row>
        <row r="226">
          <cell r="J226" t="str">
            <v>[Z]</v>
          </cell>
        </row>
        <row r="258">
          <cell r="J258" t="str">
            <v xml:space="preserve">The return distribution fits a Gaussian curve well, implying that daily change follows a roughly normal distribution </v>
          </cell>
        </row>
        <row r="259">
          <cell r="J259" t="str">
            <v xml:space="preserve">There is slight implied upside to mean 1-day returns 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 | Overview"/>
      <sheetName val="Model"/>
      <sheetName val="Notes | Quant Analysis"/>
      <sheetName val="M&amp;A Scope"/>
      <sheetName val="Markets | Product Lines"/>
      <sheetName val="Management"/>
      <sheetName val="Debt Schedule"/>
      <sheetName val="Clinical Trial Channel"/>
    </sheetNames>
    <sheetDataSet>
      <sheetData sheetId="0"/>
      <sheetData sheetId="1">
        <row r="3">
          <cell r="AW3" t="str">
            <v>Q1 2020</v>
          </cell>
          <cell r="AX3" t="str">
            <v>Q2 2020</v>
          </cell>
          <cell r="AY3" t="str">
            <v>Q3 2020</v>
          </cell>
          <cell r="AZ3" t="str">
            <v>Q4 2020</v>
          </cell>
          <cell r="BA3" t="str">
            <v>Q1 2021</v>
          </cell>
          <cell r="BB3" t="str">
            <v>Q2 2021</v>
          </cell>
          <cell r="BC3" t="str">
            <v>Q3 2021</v>
          </cell>
          <cell r="BD3" t="str">
            <v>Q4 2021</v>
          </cell>
          <cell r="BE3" t="str">
            <v>Q1 2022</v>
          </cell>
          <cell r="BF3" t="str">
            <v>Q2 2022</v>
          </cell>
          <cell r="BG3" t="str">
            <v>Q3 2022</v>
          </cell>
          <cell r="BH3" t="str">
            <v>Q4 2022</v>
          </cell>
          <cell r="BI3" t="str">
            <v>Q1 2023</v>
          </cell>
          <cell r="BJ3" t="str">
            <v>Q2 2023</v>
          </cell>
          <cell r="BK3" t="str">
            <v>Q3 2023</v>
          </cell>
          <cell r="BL3" t="str">
            <v>Q4 2023</v>
          </cell>
          <cell r="BM3" t="str">
            <v>Q1 2024</v>
          </cell>
          <cell r="BN3" t="str">
            <v>Q2 2024</v>
          </cell>
          <cell r="BO3" t="str">
            <v>Q3 2024</v>
          </cell>
          <cell r="BP3" t="str">
            <v>Q4 2024</v>
          </cell>
          <cell r="BQ3" t="str">
            <v>Q1 2025</v>
          </cell>
        </row>
        <row r="50">
          <cell r="AW50">
            <v>2543</v>
          </cell>
          <cell r="AX50">
            <v>2003</v>
          </cell>
          <cell r="AY50">
            <v>2659</v>
          </cell>
          <cell r="AZ50">
            <v>2708</v>
          </cell>
          <cell r="BA50">
            <v>2752</v>
          </cell>
          <cell r="BB50">
            <v>3077</v>
          </cell>
          <cell r="BC50">
            <v>2932</v>
          </cell>
          <cell r="BD50">
            <v>3127</v>
          </cell>
          <cell r="BE50">
            <v>3026</v>
          </cell>
          <cell r="BF50">
            <v>3244</v>
          </cell>
          <cell r="BG50">
            <v>3170</v>
          </cell>
          <cell r="BH50">
            <v>3242</v>
          </cell>
          <cell r="BI50">
            <v>3389</v>
          </cell>
          <cell r="BJ50">
            <v>3599</v>
          </cell>
          <cell r="BK50">
            <v>3527</v>
          </cell>
          <cell r="BL50">
            <v>3725</v>
          </cell>
          <cell r="BM50">
            <v>3857</v>
          </cell>
          <cell r="BN50">
            <v>4120</v>
          </cell>
          <cell r="BO50">
            <v>4209</v>
          </cell>
          <cell r="BP50">
            <v>4561</v>
          </cell>
          <cell r="BQ50">
            <v>4663</v>
          </cell>
        </row>
        <row r="70">
          <cell r="AW70">
            <v>11</v>
          </cell>
          <cell r="AX70">
            <v>-152</v>
          </cell>
          <cell r="AY70">
            <v>-169</v>
          </cell>
          <cell r="AZ70">
            <v>196</v>
          </cell>
          <cell r="BA70">
            <v>327</v>
          </cell>
          <cell r="BB70">
            <v>172</v>
          </cell>
          <cell r="BC70">
            <v>405</v>
          </cell>
          <cell r="BD70">
            <v>80</v>
          </cell>
          <cell r="BE70">
            <v>97</v>
          </cell>
          <cell r="BF70">
            <v>246</v>
          </cell>
          <cell r="BG70">
            <v>174</v>
          </cell>
          <cell r="BH70">
            <v>124</v>
          </cell>
          <cell r="BI70">
            <v>300</v>
          </cell>
          <cell r="BJ70">
            <v>261</v>
          </cell>
          <cell r="BK70">
            <v>504</v>
          </cell>
          <cell r="BL70">
            <v>504</v>
          </cell>
          <cell r="BM70">
            <v>495</v>
          </cell>
          <cell r="BN70">
            <v>324</v>
          </cell>
          <cell r="BO70">
            <v>468</v>
          </cell>
          <cell r="BP70">
            <v>565</v>
          </cell>
          <cell r="BQ70">
            <v>674</v>
          </cell>
        </row>
        <row r="115">
          <cell r="AZ115">
            <v>1.4515077424612877</v>
          </cell>
          <cell r="BA115">
            <v>1.3834364868847628</v>
          </cell>
          <cell r="BB115">
            <v>1.3083722072182666</v>
          </cell>
          <cell r="BC115">
            <v>1.1499254102436598</v>
          </cell>
          <cell r="BD115">
            <v>1.1015679850222326</v>
          </cell>
          <cell r="BE115">
            <v>0.77889564810481982</v>
          </cell>
          <cell r="BF115">
            <v>0.85784187483904195</v>
          </cell>
          <cell r="BG115">
            <v>0.94561848408002258</v>
          </cell>
          <cell r="BH115">
            <v>1.0236655272153563</v>
          </cell>
          <cell r="BI115">
            <v>0.89468528043105555</v>
          </cell>
          <cell r="BJ115">
            <v>0.79701885138097328</v>
          </cell>
          <cell r="BK115">
            <v>0.89561039528281283</v>
          </cell>
          <cell r="BL115">
            <v>0.8169841913254966</v>
          </cell>
          <cell r="BM115">
            <v>1.1438161106590725</v>
          </cell>
          <cell r="BN115">
            <v>1.144906743185079</v>
          </cell>
          <cell r="BO115">
            <v>1.016579259008628</v>
          </cell>
          <cell r="BP115">
            <v>0.64223194748358858</v>
          </cell>
          <cell r="BQ115">
            <v>0.88335310399367339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Notes | Quant Analysis"/>
      <sheetName val="M&amp;A"/>
      <sheetName val="Management"/>
      <sheetName val="Markets | Product Lines"/>
      <sheetName val="NARI"/>
      <sheetName val="Debt Schedule"/>
    </sheetNames>
    <sheetDataSet>
      <sheetData sheetId="0">
        <row r="5">
          <cell r="C5">
            <v>367.54</v>
          </cell>
        </row>
      </sheetData>
      <sheetData sheetId="1">
        <row r="4">
          <cell r="AW4">
            <v>467</v>
          </cell>
          <cell r="AX4">
            <v>555</v>
          </cell>
          <cell r="AY4">
            <v>469</v>
          </cell>
          <cell r="AZ4">
            <v>517</v>
          </cell>
          <cell r="BA4">
            <v>525</v>
          </cell>
          <cell r="BB4">
            <v>600</v>
          </cell>
          <cell r="BC4">
            <v>528</v>
          </cell>
          <cell r="BD4">
            <v>563</v>
          </cell>
          <cell r="BE4">
            <v>535</v>
          </cell>
          <cell r="BF4">
            <v>653</v>
          </cell>
          <cell r="BG4">
            <v>566</v>
          </cell>
          <cell r="BH4">
            <v>622</v>
          </cell>
          <cell r="BI4">
            <v>620</v>
          </cell>
          <cell r="BJ4">
            <v>726</v>
          </cell>
          <cell r="BK4">
            <v>667</v>
          </cell>
          <cell r="BL4">
            <v>698</v>
          </cell>
          <cell r="BM4">
            <v>679</v>
          </cell>
          <cell r="BN4">
            <v>790</v>
          </cell>
          <cell r="BO4">
            <v>730</v>
          </cell>
          <cell r="BP4">
            <v>768</v>
          </cell>
          <cell r="BQ4">
            <v>760</v>
          </cell>
        </row>
        <row r="5">
          <cell r="AW5">
            <v>467</v>
          </cell>
          <cell r="AX5">
            <v>525</v>
          </cell>
          <cell r="AY5">
            <v>469</v>
          </cell>
          <cell r="AZ5">
            <v>518</v>
          </cell>
          <cell r="BA5">
            <v>525</v>
          </cell>
          <cell r="BB5">
            <v>629</v>
          </cell>
          <cell r="BC5">
            <v>538</v>
          </cell>
          <cell r="BD5">
            <v>600</v>
          </cell>
          <cell r="BE5">
            <v>590</v>
          </cell>
          <cell r="BF5">
            <v>997</v>
          </cell>
          <cell r="BG5">
            <v>707</v>
          </cell>
          <cell r="BH5">
            <v>713</v>
          </cell>
          <cell r="BI5">
            <v>746</v>
          </cell>
          <cell r="BJ5">
            <v>902</v>
          </cell>
          <cell r="BK5">
            <v>778</v>
          </cell>
          <cell r="BL5">
            <v>768</v>
          </cell>
          <cell r="BM5">
            <v>837</v>
          </cell>
          <cell r="BN5">
            <v>1006</v>
          </cell>
          <cell r="BO5">
            <v>867</v>
          </cell>
          <cell r="BP5">
            <v>899</v>
          </cell>
          <cell r="BQ5">
            <v>896</v>
          </cell>
        </row>
        <row r="6">
          <cell r="AW6">
            <v>600</v>
          </cell>
          <cell r="AX6">
            <v>705</v>
          </cell>
          <cell r="AY6">
            <v>622</v>
          </cell>
          <cell r="AZ6">
            <v>640</v>
          </cell>
          <cell r="BA6">
            <v>636</v>
          </cell>
          <cell r="BB6">
            <v>709</v>
          </cell>
          <cell r="BC6">
            <v>664</v>
          </cell>
          <cell r="BD6">
            <v>666</v>
          </cell>
          <cell r="BE6">
            <v>765</v>
          </cell>
          <cell r="BF6">
            <v>936</v>
          </cell>
          <cell r="BG6">
            <v>778</v>
          </cell>
          <cell r="BH6">
            <v>841</v>
          </cell>
          <cell r="BI6">
            <v>798</v>
          </cell>
          <cell r="BJ6">
            <v>1042</v>
          </cell>
          <cell r="BK6">
            <v>864</v>
          </cell>
          <cell r="BL6">
            <v>908</v>
          </cell>
          <cell r="BM6">
            <v>938</v>
          </cell>
          <cell r="BN6">
            <v>1142</v>
          </cell>
          <cell r="BO6">
            <v>945</v>
          </cell>
          <cell r="BP6">
            <v>990</v>
          </cell>
          <cell r="BQ6">
            <v>985</v>
          </cell>
        </row>
        <row r="7">
          <cell r="AW7">
            <v>66</v>
          </cell>
          <cell r="AX7">
            <v>82</v>
          </cell>
          <cell r="AY7">
            <v>289</v>
          </cell>
          <cell r="AZ7">
            <v>301</v>
          </cell>
          <cell r="BA7">
            <v>295</v>
          </cell>
          <cell r="BB7">
            <v>303</v>
          </cell>
          <cell r="BC7">
            <v>301</v>
          </cell>
          <cell r="BD7">
            <v>306</v>
          </cell>
          <cell r="BE7">
            <v>294</v>
          </cell>
          <cell r="BF7">
            <v>299</v>
          </cell>
          <cell r="BG7">
            <v>284</v>
          </cell>
          <cell r="BH7">
            <v>311</v>
          </cell>
          <cell r="BI7">
            <v>311</v>
          </cell>
          <cell r="BJ7">
            <v>320</v>
          </cell>
          <cell r="BK7">
            <v>310</v>
          </cell>
          <cell r="BL7">
            <v>327</v>
          </cell>
          <cell r="BM7">
            <v>329</v>
          </cell>
          <cell r="BN7">
            <v>341</v>
          </cell>
          <cell r="BO7">
            <v>406</v>
          </cell>
          <cell r="BP7">
            <v>498</v>
          </cell>
          <cell r="BQ7">
            <v>525</v>
          </cell>
        </row>
        <row r="8">
          <cell r="AW8">
            <v>518</v>
          </cell>
          <cell r="AX8">
            <v>312</v>
          </cell>
          <cell r="AY8">
            <v>281</v>
          </cell>
          <cell r="AZ8">
            <v>310</v>
          </cell>
          <cell r="BA8">
            <v>299</v>
          </cell>
          <cell r="BB8">
            <v>324</v>
          </cell>
          <cell r="BC8">
            <v>323</v>
          </cell>
          <cell r="BD8">
            <v>337</v>
          </cell>
          <cell r="BE8">
            <v>332</v>
          </cell>
          <cell r="BF8">
            <v>384</v>
          </cell>
          <cell r="BG8">
            <v>355</v>
          </cell>
          <cell r="BH8">
            <v>373</v>
          </cell>
          <cell r="BI8">
            <v>384</v>
          </cell>
          <cell r="BJ8">
            <v>764</v>
          </cell>
          <cell r="BK8">
            <v>478</v>
          </cell>
          <cell r="BL8">
            <v>416</v>
          </cell>
          <cell r="BM8">
            <v>441</v>
          </cell>
          <cell r="BN8">
            <v>801</v>
          </cell>
          <cell r="BO8">
            <v>563</v>
          </cell>
          <cell r="BP8">
            <v>616</v>
          </cell>
          <cell r="BQ8">
            <v>637</v>
          </cell>
        </row>
        <row r="10">
          <cell r="AW10">
            <v>435</v>
          </cell>
          <cell r="AX10">
            <v>459</v>
          </cell>
          <cell r="AY10">
            <v>412</v>
          </cell>
          <cell r="AZ10">
            <v>474</v>
          </cell>
          <cell r="BA10">
            <v>439</v>
          </cell>
          <cell r="BB10">
            <v>523</v>
          </cell>
          <cell r="BC10">
            <v>464</v>
          </cell>
          <cell r="BD10">
            <v>500</v>
          </cell>
          <cell r="BE10">
            <v>481</v>
          </cell>
          <cell r="BF10">
            <v>552</v>
          </cell>
          <cell r="BG10">
            <v>566</v>
          </cell>
          <cell r="BH10">
            <v>562</v>
          </cell>
          <cell r="BI10">
            <v>515</v>
          </cell>
          <cell r="BJ10">
            <v>630</v>
          </cell>
          <cell r="BK10">
            <v>588</v>
          </cell>
          <cell r="BL10">
            <v>602</v>
          </cell>
          <cell r="BM10">
            <v>570</v>
          </cell>
          <cell r="BN10">
            <v>687</v>
          </cell>
          <cell r="BO10">
            <v>639</v>
          </cell>
          <cell r="BP10">
            <v>640</v>
          </cell>
          <cell r="BQ10">
            <v>628</v>
          </cell>
        </row>
        <row r="11">
          <cell r="AW11">
            <v>334</v>
          </cell>
          <cell r="AX11">
            <v>340</v>
          </cell>
          <cell r="AY11">
            <v>309</v>
          </cell>
          <cell r="AZ11">
            <v>353</v>
          </cell>
          <cell r="BA11">
            <v>328</v>
          </cell>
          <cell r="BB11">
            <v>352</v>
          </cell>
          <cell r="BC11">
            <v>327</v>
          </cell>
          <cell r="BD11">
            <v>364</v>
          </cell>
          <cell r="BE11">
            <v>347</v>
          </cell>
          <cell r="BF11">
            <v>375</v>
          </cell>
          <cell r="BG11">
            <v>375</v>
          </cell>
          <cell r="BH11">
            <v>393</v>
          </cell>
          <cell r="BI11">
            <v>362</v>
          </cell>
          <cell r="BJ11">
            <v>414</v>
          </cell>
          <cell r="BK11">
            <v>393</v>
          </cell>
          <cell r="BL11">
            <v>428</v>
          </cell>
          <cell r="BM11">
            <v>420</v>
          </cell>
          <cell r="BN11">
            <v>463</v>
          </cell>
          <cell r="BO11">
            <v>443</v>
          </cell>
          <cell r="BP11">
            <v>466</v>
          </cell>
          <cell r="BQ11">
            <v>457</v>
          </cell>
        </row>
        <row r="12">
          <cell r="AW12">
            <v>430</v>
          </cell>
          <cell r="AX12">
            <v>570</v>
          </cell>
          <cell r="AY12">
            <v>640</v>
          </cell>
          <cell r="AZ12">
            <v>674</v>
          </cell>
          <cell r="BA12">
            <v>639</v>
          </cell>
          <cell r="BB12">
            <v>711</v>
          </cell>
          <cell r="BC12">
            <v>685</v>
          </cell>
          <cell r="BD12">
            <v>676</v>
          </cell>
          <cell r="BE12">
            <v>672</v>
          </cell>
          <cell r="BF12">
            <v>774</v>
          </cell>
          <cell r="BG12">
            <v>769</v>
          </cell>
          <cell r="BH12">
            <v>766</v>
          </cell>
          <cell r="BI12">
            <v>752</v>
          </cell>
          <cell r="BJ12">
            <v>860</v>
          </cell>
          <cell r="BK12">
            <v>830</v>
          </cell>
          <cell r="BL12">
            <v>832</v>
          </cell>
          <cell r="BM12">
            <v>849</v>
          </cell>
          <cell r="BN12">
            <v>996</v>
          </cell>
          <cell r="BO12">
            <v>945</v>
          </cell>
          <cell r="BP12">
            <v>957</v>
          </cell>
          <cell r="BQ12">
            <v>960</v>
          </cell>
        </row>
        <row r="13">
          <cell r="AW13">
            <v>302</v>
          </cell>
          <cell r="AX13">
            <v>307</v>
          </cell>
          <cell r="AY13">
            <v>278</v>
          </cell>
          <cell r="AZ13">
            <v>307</v>
          </cell>
          <cell r="BA13">
            <v>282</v>
          </cell>
          <cell r="BB13">
            <v>300</v>
          </cell>
          <cell r="BC13">
            <v>279</v>
          </cell>
          <cell r="BD13">
            <v>290</v>
          </cell>
          <cell r="BE13">
            <v>280</v>
          </cell>
          <cell r="BF13">
            <v>297</v>
          </cell>
          <cell r="BG13">
            <v>284</v>
          </cell>
          <cell r="BH13">
            <v>296</v>
          </cell>
          <cell r="BI13">
            <v>291</v>
          </cell>
          <cell r="BJ13">
            <v>122</v>
          </cell>
          <cell r="BK13">
            <v>171</v>
          </cell>
          <cell r="BL13">
            <v>307</v>
          </cell>
          <cell r="BM13">
            <v>304</v>
          </cell>
          <cell r="BN13">
            <v>85</v>
          </cell>
          <cell r="BO13">
            <v>166</v>
          </cell>
          <cell r="BP13">
            <v>5</v>
          </cell>
          <cell r="BQ13">
            <v>6</v>
          </cell>
        </row>
        <row r="14">
          <cell r="AW14">
            <v>118</v>
          </cell>
          <cell r="AX14">
            <v>157</v>
          </cell>
          <cell r="AY14">
            <v>123</v>
          </cell>
          <cell r="AZ14">
            <v>127</v>
          </cell>
          <cell r="BA14">
            <v>123</v>
          </cell>
          <cell r="BB14">
            <v>176</v>
          </cell>
          <cell r="BC14">
            <v>97</v>
          </cell>
          <cell r="BD14">
            <v>114</v>
          </cell>
          <cell r="BE14">
            <v>111</v>
          </cell>
          <cell r="BF14">
            <v>153</v>
          </cell>
          <cell r="BG14">
            <v>94</v>
          </cell>
          <cell r="BH14">
            <v>119</v>
          </cell>
          <cell r="BI14">
            <v>130</v>
          </cell>
          <cell r="BJ14">
            <v>35</v>
          </cell>
          <cell r="BK14">
            <v>164</v>
          </cell>
          <cell r="BL14">
            <v>136</v>
          </cell>
          <cell r="BM14">
            <v>127</v>
          </cell>
          <cell r="BN14">
            <v>125</v>
          </cell>
          <cell r="BO14">
            <v>162</v>
          </cell>
          <cell r="BP14">
            <v>183</v>
          </cell>
          <cell r="BQ14">
            <v>203</v>
          </cell>
        </row>
        <row r="44">
          <cell r="AW44">
            <v>4.1817674937273397E-2</v>
          </cell>
          <cell r="AX44">
            <v>3.1711450012103626E-2</v>
          </cell>
          <cell r="AY44">
            <v>0.1017279821627648</v>
          </cell>
          <cell r="AZ44">
            <v>0.55354558610709126</v>
          </cell>
          <cell r="BA44">
            <v>0.11319240032111311</v>
          </cell>
          <cell r="BB44">
            <v>0.10300328484279686</v>
          </cell>
          <cell r="BC44">
            <v>8.1457121173792002E-2</v>
          </cell>
          <cell r="BD44">
            <v>4.6343735444806633E-2</v>
          </cell>
          <cell r="BE44">
            <v>7.6682692307692202E-2</v>
          </cell>
          <cell r="BF44">
            <v>0.10657306955966805</v>
          </cell>
          <cell r="BG44">
            <v>0.11766081871345024</v>
          </cell>
          <cell r="BH44">
            <v>0.11195192521700426</v>
          </cell>
          <cell r="BI44">
            <v>9.6003572225943357E-2</v>
          </cell>
          <cell r="BJ44">
            <v>0.1178392925797771</v>
          </cell>
          <cell r="BK44">
            <v>9.7321054834658804E-2</v>
          </cell>
          <cell r="BL44">
            <v>8.526821457165723E-2</v>
          </cell>
          <cell r="BM44">
            <v>0.11916887349765726</v>
          </cell>
          <cell r="BN44">
            <v>0.10679277730008607</v>
          </cell>
          <cell r="BO44">
            <v>0.11882510013351144</v>
          </cell>
          <cell r="BP44">
            <v>0.11066027296200653</v>
          </cell>
          <cell r="BQ44">
            <v>0.10247542773935203</v>
          </cell>
        </row>
        <row r="55">
          <cell r="AW55">
            <v>780</v>
          </cell>
          <cell r="AX55">
            <v>671</v>
          </cell>
          <cell r="AY55">
            <v>367</v>
          </cell>
          <cell r="AZ55">
            <v>662</v>
          </cell>
          <cell r="BA55">
            <v>495</v>
          </cell>
          <cell r="BB55">
            <v>757</v>
          </cell>
          <cell r="BC55">
            <v>386</v>
          </cell>
          <cell r="BD55">
            <v>720</v>
          </cell>
          <cell r="BE55">
            <v>816</v>
          </cell>
          <cell r="BF55">
            <v>761</v>
          </cell>
          <cell r="BG55">
            <v>679</v>
          </cell>
          <cell r="BH55">
            <v>899</v>
          </cell>
          <cell r="BI55">
            <v>869</v>
          </cell>
          <cell r="BJ55">
            <v>1226</v>
          </cell>
          <cell r="BK55">
            <v>923</v>
          </cell>
          <cell r="BL55">
            <v>998</v>
          </cell>
          <cell r="BM55">
            <v>1043</v>
          </cell>
          <cell r="BN55">
            <v>528</v>
          </cell>
          <cell r="BO55">
            <v>764</v>
          </cell>
          <cell r="BP55">
            <v>1016</v>
          </cell>
          <cell r="BQ55">
            <v>1029</v>
          </cell>
        </row>
        <row r="103">
          <cell r="AW103">
            <v>829</v>
          </cell>
          <cell r="AX103">
            <v>1237</v>
          </cell>
          <cell r="AY103">
            <v>452</v>
          </cell>
          <cell r="AZ103">
            <v>878</v>
          </cell>
          <cell r="BA103">
            <v>933</v>
          </cell>
          <cell r="BB103">
            <v>1000</v>
          </cell>
          <cell r="BC103">
            <v>203</v>
          </cell>
          <cell r="BD103">
            <v>529</v>
          </cell>
          <cell r="BE103">
            <v>889</v>
          </cell>
          <cell r="BF103">
            <v>1003</v>
          </cell>
          <cell r="BG103">
            <v>445</v>
          </cell>
          <cell r="BH103">
            <v>688</v>
          </cell>
          <cell r="BI103">
            <v>1050</v>
          </cell>
          <cell r="BJ103">
            <v>1528</v>
          </cell>
          <cell r="BK103">
            <v>204</v>
          </cell>
          <cell r="BL103">
            <v>633</v>
          </cell>
          <cell r="BM103">
            <v>1474</v>
          </cell>
          <cell r="BN103">
            <v>1931</v>
          </cell>
          <cell r="BO103">
            <v>250</v>
          </cell>
          <cell r="BP103">
            <v>1111</v>
          </cell>
          <cell r="BQ103">
            <v>1790</v>
          </cell>
        </row>
      </sheetData>
      <sheetData sheetId="2">
        <row r="188">
          <cell r="J188" t="str">
            <v>[X]</v>
          </cell>
        </row>
        <row r="189">
          <cell r="J189" t="str">
            <v>[Y]</v>
          </cell>
        </row>
        <row r="190">
          <cell r="J190" t="str">
            <v>[Z]</v>
          </cell>
        </row>
        <row r="224">
          <cell r="J224" t="str">
            <v>[X]</v>
          </cell>
        </row>
        <row r="225">
          <cell r="J225" t="str">
            <v>[Y]</v>
          </cell>
        </row>
        <row r="226">
          <cell r="J226" t="str">
            <v>[Z]</v>
          </cell>
        </row>
        <row r="258">
          <cell r="J258" t="str">
            <v xml:space="preserve">The return distribution fits a Gaussian curve well, implying that daily change follows a roughly normal distribution </v>
          </cell>
        </row>
        <row r="259">
          <cell r="J259" t="str">
            <v xml:space="preserve">There is slight implied upside to mean 1-day returns </v>
          </cell>
        </row>
        <row r="261">
          <cell r="J261" t="str">
            <v>Min</v>
          </cell>
        </row>
        <row r="262">
          <cell r="J262" t="str">
            <v>Max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 | Overview"/>
      <sheetName val="Model"/>
      <sheetName val="Notes | Quant Analysis"/>
      <sheetName val="M&amp;A Scope"/>
      <sheetName val="Markets | Product Lines"/>
      <sheetName val="Management"/>
      <sheetName val="Debt Schedule"/>
      <sheetName val="Clinical Trial Channel"/>
    </sheetNames>
    <sheetDataSet>
      <sheetData sheetId="0"/>
      <sheetData sheetId="1">
        <row r="3">
          <cell r="AW3" t="str">
            <v>Q1 2020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s://ppubs.uspto.gov/pubwebapp/static/pages/ppubsbasic.html" TargetMode="External"/><Relationship Id="rId7" Type="http://schemas.openxmlformats.org/officeDocument/2006/relationships/hyperlink" Target="mailto:gmanker@lemaitre.com" TargetMode="External"/><Relationship Id="rId2" Type="http://schemas.openxmlformats.org/officeDocument/2006/relationships/hyperlink" Target="https://www.fda.gov/medical-devices" TargetMode="External"/><Relationship Id="rId1" Type="http://schemas.openxmlformats.org/officeDocument/2006/relationships/hyperlink" Target="000%20Med-Devices%20Master%20List%20000.xlsx" TargetMode="External"/><Relationship Id="rId6" Type="http://schemas.openxmlformats.org/officeDocument/2006/relationships/hyperlink" Target="https://www.gurufocus.com/term/wacc/LMAT" TargetMode="External"/><Relationship Id="rId5" Type="http://schemas.openxmlformats.org/officeDocument/2006/relationships/hyperlink" Target="https://app.godelterminal.com/" TargetMode="External"/><Relationship Id="rId4" Type="http://schemas.openxmlformats.org/officeDocument/2006/relationships/hyperlink" Target="https://app.godelterminal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"/>
  <sheetViews>
    <sheetView tabSelected="1" topLeftCell="A15" workbookViewId="0">
      <selection activeCell="L9" sqref="L9"/>
    </sheetView>
  </sheetViews>
  <sheetFormatPr defaultColWidth="9.140625" defaultRowHeight="14.25"/>
  <cols>
    <col min="1" max="1" width="3.42578125" style="1" customWidth="1"/>
    <col min="2" max="4" width="11.5703125" style="1" customWidth="1"/>
    <col min="5" max="16384" width="9.140625" style="1"/>
  </cols>
  <sheetData>
    <row r="1" spans="1:18" ht="15">
      <c r="A1" s="52" t="s">
        <v>0</v>
      </c>
    </row>
    <row r="2" spans="1:18" ht="15">
      <c r="B2" s="2" t="s">
        <v>222</v>
      </c>
    </row>
    <row r="3" spans="1:18">
      <c r="B3" s="1" t="s">
        <v>1</v>
      </c>
      <c r="C3" s="45">
        <v>92.25</v>
      </c>
      <c r="D3" s="44" t="s">
        <v>1529</v>
      </c>
    </row>
    <row r="4" spans="1:18">
      <c r="B4" s="1" t="s">
        <v>2</v>
      </c>
      <c r="C4" s="49">
        <v>22.637</v>
      </c>
      <c r="D4" s="1" t="s">
        <v>1530</v>
      </c>
    </row>
    <row r="5" spans="1:18">
      <c r="B5" s="1" t="s">
        <v>3</v>
      </c>
      <c r="C5" s="46">
        <f>C3*C4</f>
        <v>2088.26325</v>
      </c>
    </row>
    <row r="6" spans="1:18">
      <c r="B6" s="1" t="s">
        <v>4</v>
      </c>
      <c r="C6" s="47">
        <f>27.1+292.3</f>
        <v>319.40000000000003</v>
      </c>
      <c r="D6" s="1" t="s">
        <v>1530</v>
      </c>
    </row>
    <row r="7" spans="1:18">
      <c r="B7" s="1" t="s">
        <v>5</v>
      </c>
      <c r="C7" s="47">
        <v>168</v>
      </c>
      <c r="D7" s="1" t="s">
        <v>1530</v>
      </c>
      <c r="N7" s="1" t="s">
        <v>218</v>
      </c>
    </row>
    <row r="8" spans="1:18">
      <c r="B8" s="1" t="s">
        <v>6</v>
      </c>
      <c r="C8" s="47">
        <f>C5-C6+C7</f>
        <v>1936.8632499999999</v>
      </c>
      <c r="D8" s="50"/>
      <c r="N8" s="1" t="s">
        <v>8</v>
      </c>
      <c r="Q8" s="48" t="s">
        <v>223</v>
      </c>
    </row>
    <row r="9" spans="1:18">
      <c r="N9" s="1" t="s">
        <v>224</v>
      </c>
      <c r="Q9" s="48" t="s">
        <v>225</v>
      </c>
    </row>
    <row r="10" spans="1:18" ht="15">
      <c r="B10" s="2" t="s">
        <v>226</v>
      </c>
      <c r="O10" s="1" t="s">
        <v>227</v>
      </c>
      <c r="Q10" s="48"/>
      <c r="R10" s="48" t="s">
        <v>228</v>
      </c>
    </row>
    <row r="11" spans="1:18">
      <c r="N11" s="1" t="s">
        <v>212</v>
      </c>
      <c r="Q11" s="48" t="s">
        <v>229</v>
      </c>
    </row>
    <row r="12" spans="1:18">
      <c r="B12" s="1" t="s">
        <v>230</v>
      </c>
      <c r="F12" s="1" t="s">
        <v>231</v>
      </c>
      <c r="N12" s="1" t="s">
        <v>213</v>
      </c>
      <c r="Q12" s="48" t="s">
        <v>232</v>
      </c>
      <c r="R12" s="48"/>
    </row>
    <row r="13" spans="1:18">
      <c r="B13" s="1" t="s">
        <v>233</v>
      </c>
      <c r="F13" s="1" t="s">
        <v>234</v>
      </c>
      <c r="N13" s="1" t="s">
        <v>9</v>
      </c>
      <c r="P13" s="51"/>
      <c r="Q13" s="48" t="s">
        <v>214</v>
      </c>
      <c r="R13" s="48"/>
    </row>
    <row r="14" spans="1:18">
      <c r="B14" s="1" t="s">
        <v>235</v>
      </c>
      <c r="F14" s="1" t="s">
        <v>7</v>
      </c>
      <c r="N14" s="1" t="s">
        <v>236</v>
      </c>
      <c r="Q14" s="48" t="s">
        <v>237</v>
      </c>
      <c r="R14" s="48"/>
    </row>
    <row r="15" spans="1:18">
      <c r="B15" s="1" t="s">
        <v>238</v>
      </c>
      <c r="G15" s="1" t="s">
        <v>239</v>
      </c>
      <c r="N15" s="1" t="s">
        <v>240</v>
      </c>
      <c r="Q15" s="48" t="s">
        <v>241</v>
      </c>
      <c r="R15" s="48"/>
    </row>
    <row r="16" spans="1:18">
      <c r="B16" s="1" t="s">
        <v>242</v>
      </c>
      <c r="G16" s="1" t="s">
        <v>208</v>
      </c>
      <c r="H16" s="1" t="s">
        <v>243</v>
      </c>
      <c r="J16" s="1" t="s">
        <v>209</v>
      </c>
      <c r="K16" s="48" t="s">
        <v>244</v>
      </c>
      <c r="N16" s="1" t="s">
        <v>245</v>
      </c>
      <c r="Q16" s="48" t="s">
        <v>246</v>
      </c>
      <c r="R16" s="48"/>
    </row>
    <row r="17" spans="1:17">
      <c r="B17" s="1" t="s">
        <v>247</v>
      </c>
      <c r="N17" s="1" t="s">
        <v>248</v>
      </c>
      <c r="Q17" s="48" t="s">
        <v>249</v>
      </c>
    </row>
    <row r="18" spans="1:17">
      <c r="B18" s="1" t="s">
        <v>250</v>
      </c>
      <c r="N18" s="1" t="s">
        <v>251</v>
      </c>
      <c r="Q18" s="48" t="s">
        <v>252</v>
      </c>
    </row>
    <row r="19" spans="1:17">
      <c r="B19" s="1" t="s">
        <v>253</v>
      </c>
      <c r="N19" s="1" t="s">
        <v>254</v>
      </c>
      <c r="Q19" s="48" t="s">
        <v>255</v>
      </c>
    </row>
    <row r="21" spans="1:17" ht="15">
      <c r="A21" s="2" t="s">
        <v>10</v>
      </c>
    </row>
    <row r="22" spans="1:17">
      <c r="B22" s="1" t="s">
        <v>256</v>
      </c>
    </row>
    <row r="23" spans="1:17">
      <c r="B23" s="1" t="s">
        <v>257</v>
      </c>
    </row>
    <row r="24" spans="1:17">
      <c r="C24" s="1" t="s">
        <v>258</v>
      </c>
    </row>
    <row r="25" spans="1:17">
      <c r="C25" s="1" t="s">
        <v>259</v>
      </c>
    </row>
    <row r="26" spans="1:17">
      <c r="C26" s="1" t="s">
        <v>260</v>
      </c>
    </row>
    <row r="27" spans="1:17">
      <c r="C27" s="1" t="s">
        <v>261</v>
      </c>
    </row>
    <row r="28" spans="1:17">
      <c r="C28" s="1" t="s">
        <v>262</v>
      </c>
    </row>
    <row r="29" spans="1:17">
      <c r="C29" s="1" t="s">
        <v>263</v>
      </c>
    </row>
    <row r="30" spans="1:17">
      <c r="C30" s="1" t="s">
        <v>264</v>
      </c>
    </row>
    <row r="31" spans="1:17">
      <c r="C31" s="1" t="s">
        <v>265</v>
      </c>
    </row>
    <row r="32" spans="1:17">
      <c r="C32" s="1" t="s">
        <v>266</v>
      </c>
    </row>
    <row r="33" spans="1:3">
      <c r="C33" s="1" t="s">
        <v>267</v>
      </c>
    </row>
    <row r="34" spans="1:3">
      <c r="B34" s="1" t="s">
        <v>268</v>
      </c>
    </row>
    <row r="35" spans="1:3">
      <c r="C35" s="1" t="s">
        <v>269</v>
      </c>
    </row>
    <row r="36" spans="1:3">
      <c r="B36" s="1" t="s">
        <v>270</v>
      </c>
    </row>
    <row r="37" spans="1:3">
      <c r="C37" s="1" t="s">
        <v>271</v>
      </c>
    </row>
    <row r="39" spans="1:3" ht="15">
      <c r="A39" s="2" t="s">
        <v>215</v>
      </c>
    </row>
    <row r="40" spans="1:3">
      <c r="B40" s="1" t="s">
        <v>216</v>
      </c>
    </row>
  </sheetData>
  <hyperlinks>
    <hyperlink ref="A1" r:id="rId1" xr:uid="{EFE8A0C4-DA15-4F78-970D-DC151F0D4473}"/>
    <hyperlink ref="Q14" r:id="rId2" xr:uid="{2362E7C0-143F-490D-AF99-27BDFA3187DF}"/>
    <hyperlink ref="Q15" r:id="rId3" display="https://ppubs.uspto.gov/pubwebapp/static/pages/ppubsbasic.html" xr:uid="{073B471E-0D75-49F7-9351-87A187DF232C}"/>
    <hyperlink ref="Q13" r:id="rId4" xr:uid="{83491A00-19F0-4897-8BB5-E9C98AF646EE}"/>
    <hyperlink ref="Q16" r:id="rId5" display="https://app.godelterminal.com/" xr:uid="{1CEA5C7D-71D6-41AE-AA62-9E01A891A59C}"/>
    <hyperlink ref="Q19" r:id="rId6" xr:uid="{4EA9C0D2-FC7B-42B9-9D3A-2C6FEEF87E9B}"/>
    <hyperlink ref="K16" r:id="rId7" xr:uid="{93E15374-9222-4C5E-BDBE-EA269EFB7BCA}"/>
  </hyperlinks>
  <pageMargins left="0.7" right="0.7" top="0.75" bottom="0.75" header="0.3" footer="0.3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27957-A42B-4AB7-A411-12A70E029F5D}">
  <dimension ref="B1:FJ123"/>
  <sheetViews>
    <sheetView workbookViewId="0">
      <pane xSplit="2" ySplit="3" topLeftCell="BH4" activePane="bottomRight" state="frozen"/>
      <selection pane="topRight" activeCell="C1" sqref="C1"/>
      <selection pane="bottomLeft" activeCell="A4" sqref="A4"/>
      <selection pane="bottomRight" activeCell="CI118" sqref="CI118"/>
    </sheetView>
  </sheetViews>
  <sheetFormatPr defaultColWidth="9.140625" defaultRowHeight="14.25"/>
  <cols>
    <col min="1" max="1" width="3.140625" style="1" customWidth="1"/>
    <col min="2" max="2" width="36.42578125" style="1" customWidth="1"/>
    <col min="3" max="4" width="9.140625" style="1" customWidth="1"/>
    <col min="5" max="71" width="9.140625" style="1"/>
    <col min="72" max="78" width="9.140625" style="36"/>
    <col min="79" max="16384" width="9.140625" style="1"/>
  </cols>
  <sheetData>
    <row r="1" spans="2:166" ht="15">
      <c r="B1" s="1" t="s">
        <v>125</v>
      </c>
      <c r="AY1" s="34" t="s">
        <v>97</v>
      </c>
      <c r="BC1" s="34" t="s">
        <v>101</v>
      </c>
      <c r="BG1" s="34" t="s">
        <v>105</v>
      </c>
      <c r="BK1" s="34" t="s">
        <v>109</v>
      </c>
      <c r="BO1" s="34" t="s">
        <v>113</v>
      </c>
      <c r="BS1" s="34" t="s">
        <v>117</v>
      </c>
    </row>
    <row r="2" spans="2:166">
      <c r="B2" s="1" t="s">
        <v>126</v>
      </c>
    </row>
    <row r="3" spans="2:166" ht="15">
      <c r="B3" s="2" t="s">
        <v>127</v>
      </c>
      <c r="C3" s="2" t="s">
        <v>129</v>
      </c>
      <c r="D3" s="34" t="s">
        <v>51</v>
      </c>
      <c r="E3" s="34" t="s">
        <v>52</v>
      </c>
      <c r="F3" s="34" t="s">
        <v>130</v>
      </c>
      <c r="G3" s="34" t="s">
        <v>53</v>
      </c>
      <c r="H3" s="34" t="s">
        <v>54</v>
      </c>
      <c r="I3" s="34" t="s">
        <v>55</v>
      </c>
      <c r="J3" s="34" t="s">
        <v>56</v>
      </c>
      <c r="K3" s="34" t="s">
        <v>57</v>
      </c>
      <c r="L3" s="34" t="s">
        <v>58</v>
      </c>
      <c r="M3" s="34" t="s">
        <v>59</v>
      </c>
      <c r="N3" s="34" t="s">
        <v>60</v>
      </c>
      <c r="O3" s="34" t="s">
        <v>61</v>
      </c>
      <c r="P3" s="34" t="s">
        <v>62</v>
      </c>
      <c r="Q3" s="34" t="s">
        <v>63</v>
      </c>
      <c r="R3" s="34" t="s">
        <v>64</v>
      </c>
      <c r="S3" s="34" t="s">
        <v>65</v>
      </c>
      <c r="T3" s="34" t="s">
        <v>66</v>
      </c>
      <c r="U3" s="34" t="s">
        <v>67</v>
      </c>
      <c r="V3" s="34" t="s">
        <v>68</v>
      </c>
      <c r="W3" s="34" t="s">
        <v>69</v>
      </c>
      <c r="X3" s="34" t="s">
        <v>70</v>
      </c>
      <c r="Y3" s="34" t="s">
        <v>71</v>
      </c>
      <c r="Z3" s="34" t="s">
        <v>72</v>
      </c>
      <c r="AA3" s="34" t="s">
        <v>73</v>
      </c>
      <c r="AB3" s="34" t="s">
        <v>74</v>
      </c>
      <c r="AC3" s="34" t="s">
        <v>75</v>
      </c>
      <c r="AD3" s="34" t="s">
        <v>76</v>
      </c>
      <c r="AE3" s="34" t="s">
        <v>77</v>
      </c>
      <c r="AF3" s="34" t="s">
        <v>78</v>
      </c>
      <c r="AG3" s="34" t="s">
        <v>79</v>
      </c>
      <c r="AH3" s="34" t="s">
        <v>80</v>
      </c>
      <c r="AI3" s="34" t="s">
        <v>81</v>
      </c>
      <c r="AJ3" s="34" t="s">
        <v>82</v>
      </c>
      <c r="AK3" s="34" t="s">
        <v>83</v>
      </c>
      <c r="AL3" s="34" t="s">
        <v>84</v>
      </c>
      <c r="AM3" s="34" t="s">
        <v>85</v>
      </c>
      <c r="AN3" s="34" t="s">
        <v>86</v>
      </c>
      <c r="AO3" s="34" t="s">
        <v>87</v>
      </c>
      <c r="AP3" s="34" t="s">
        <v>88</v>
      </c>
      <c r="AQ3" s="34" t="s">
        <v>89</v>
      </c>
      <c r="AR3" s="34" t="s">
        <v>90</v>
      </c>
      <c r="AS3" s="34" t="s">
        <v>91</v>
      </c>
      <c r="AT3" s="34" t="s">
        <v>92</v>
      </c>
      <c r="AU3" s="34" t="s">
        <v>93</v>
      </c>
      <c r="AV3" s="34" t="s">
        <v>94</v>
      </c>
      <c r="AW3" s="34" t="s">
        <v>95</v>
      </c>
      <c r="AX3" s="34" t="s">
        <v>96</v>
      </c>
      <c r="AY3" s="34" t="s">
        <v>97</v>
      </c>
      <c r="AZ3" s="34" t="s">
        <v>98</v>
      </c>
      <c r="BA3" s="34" t="s">
        <v>99</v>
      </c>
      <c r="BB3" s="34" t="s">
        <v>100</v>
      </c>
      <c r="BC3" s="34" t="s">
        <v>101</v>
      </c>
      <c r="BD3" s="34" t="s">
        <v>102</v>
      </c>
      <c r="BE3" s="34" t="s">
        <v>103</v>
      </c>
      <c r="BF3" s="34" t="s">
        <v>104</v>
      </c>
      <c r="BG3" s="34" t="s">
        <v>105</v>
      </c>
      <c r="BH3" s="34" t="s">
        <v>106</v>
      </c>
      <c r="BI3" s="34" t="s">
        <v>107</v>
      </c>
      <c r="BJ3" s="34" t="s">
        <v>108</v>
      </c>
      <c r="BK3" s="34" t="s">
        <v>109</v>
      </c>
      <c r="BL3" s="34" t="s">
        <v>110</v>
      </c>
      <c r="BM3" s="34" t="s">
        <v>111</v>
      </c>
      <c r="BN3" s="34" t="s">
        <v>112</v>
      </c>
      <c r="BO3" s="34" t="s">
        <v>113</v>
      </c>
      <c r="BP3" s="34" t="s">
        <v>114</v>
      </c>
      <c r="BQ3" s="34" t="s">
        <v>115</v>
      </c>
      <c r="BR3" s="34" t="s">
        <v>116</v>
      </c>
      <c r="BS3" s="34" t="s">
        <v>117</v>
      </c>
      <c r="BT3" s="35" t="s">
        <v>118</v>
      </c>
      <c r="BU3" s="35" t="s">
        <v>119</v>
      </c>
      <c r="BV3" s="35" t="s">
        <v>120</v>
      </c>
      <c r="BW3" s="35" t="s">
        <v>121</v>
      </c>
      <c r="BX3" s="35" t="s">
        <v>122</v>
      </c>
      <c r="BY3" s="35" t="s">
        <v>123</v>
      </c>
      <c r="BZ3" s="35" t="s">
        <v>124</v>
      </c>
      <c r="CI3" s="2">
        <v>2008</v>
      </c>
      <c r="CJ3" s="2">
        <f>CI3+1</f>
        <v>2009</v>
      </c>
      <c r="CK3" s="2">
        <f t="shared" ref="CK3:EV3" si="0">CJ3+1</f>
        <v>2010</v>
      </c>
      <c r="CL3" s="2">
        <f t="shared" si="0"/>
        <v>2011</v>
      </c>
      <c r="CM3" s="2">
        <f t="shared" si="0"/>
        <v>2012</v>
      </c>
      <c r="CN3" s="2">
        <f t="shared" si="0"/>
        <v>2013</v>
      </c>
      <c r="CO3" s="2">
        <f t="shared" si="0"/>
        <v>2014</v>
      </c>
      <c r="CP3" s="2">
        <f t="shared" si="0"/>
        <v>2015</v>
      </c>
      <c r="CQ3" s="2">
        <f t="shared" si="0"/>
        <v>2016</v>
      </c>
      <c r="CR3" s="2">
        <f t="shared" si="0"/>
        <v>2017</v>
      </c>
      <c r="CS3" s="2">
        <f t="shared" si="0"/>
        <v>2018</v>
      </c>
      <c r="CT3" s="2">
        <f t="shared" si="0"/>
        <v>2019</v>
      </c>
      <c r="CU3" s="2">
        <f t="shared" si="0"/>
        <v>2020</v>
      </c>
      <c r="CV3" s="2">
        <f t="shared" si="0"/>
        <v>2021</v>
      </c>
      <c r="CW3" s="2">
        <f t="shared" si="0"/>
        <v>2022</v>
      </c>
      <c r="CX3" s="2">
        <f t="shared" si="0"/>
        <v>2023</v>
      </c>
      <c r="CY3" s="2">
        <f t="shared" si="0"/>
        <v>2024</v>
      </c>
      <c r="CZ3" s="2">
        <f t="shared" si="0"/>
        <v>2025</v>
      </c>
      <c r="DA3" s="2">
        <f t="shared" si="0"/>
        <v>2026</v>
      </c>
      <c r="DB3" s="2">
        <f t="shared" si="0"/>
        <v>2027</v>
      </c>
      <c r="DC3" s="2">
        <f t="shared" si="0"/>
        <v>2028</v>
      </c>
      <c r="DD3" s="2">
        <f t="shared" si="0"/>
        <v>2029</v>
      </c>
      <c r="DE3" s="2">
        <f t="shared" si="0"/>
        <v>2030</v>
      </c>
      <c r="DF3" s="2">
        <f t="shared" si="0"/>
        <v>2031</v>
      </c>
      <c r="DG3" s="2">
        <f t="shared" si="0"/>
        <v>2032</v>
      </c>
      <c r="DH3" s="2">
        <f t="shared" si="0"/>
        <v>2033</v>
      </c>
      <c r="DI3" s="2">
        <f t="shared" si="0"/>
        <v>2034</v>
      </c>
      <c r="DJ3" s="2">
        <f t="shared" si="0"/>
        <v>2035</v>
      </c>
      <c r="DK3" s="2">
        <f t="shared" si="0"/>
        <v>2036</v>
      </c>
      <c r="DL3" s="2">
        <f t="shared" si="0"/>
        <v>2037</v>
      </c>
      <c r="DM3" s="2">
        <f t="shared" si="0"/>
        <v>2038</v>
      </c>
      <c r="DN3" s="2">
        <f t="shared" si="0"/>
        <v>2039</v>
      </c>
      <c r="DO3" s="2">
        <f t="shared" si="0"/>
        <v>2040</v>
      </c>
      <c r="DP3" s="2">
        <f t="shared" si="0"/>
        <v>2041</v>
      </c>
      <c r="DQ3" s="2">
        <f t="shared" si="0"/>
        <v>2042</v>
      </c>
      <c r="DR3" s="2">
        <f t="shared" si="0"/>
        <v>2043</v>
      </c>
      <c r="DS3" s="2">
        <f t="shared" si="0"/>
        <v>2044</v>
      </c>
      <c r="DT3" s="2">
        <f t="shared" si="0"/>
        <v>2045</v>
      </c>
      <c r="DU3" s="2">
        <f t="shared" si="0"/>
        <v>2046</v>
      </c>
      <c r="DV3" s="2">
        <f t="shared" si="0"/>
        <v>2047</v>
      </c>
      <c r="DW3" s="2">
        <f t="shared" si="0"/>
        <v>2048</v>
      </c>
      <c r="DX3" s="2">
        <f t="shared" si="0"/>
        <v>2049</v>
      </c>
      <c r="DY3" s="2">
        <f t="shared" si="0"/>
        <v>2050</v>
      </c>
      <c r="DZ3" s="2">
        <f t="shared" si="0"/>
        <v>2051</v>
      </c>
      <c r="EA3" s="2">
        <f t="shared" si="0"/>
        <v>2052</v>
      </c>
      <c r="EB3" s="2">
        <f t="shared" si="0"/>
        <v>2053</v>
      </c>
      <c r="EC3" s="2">
        <f t="shared" si="0"/>
        <v>2054</v>
      </c>
      <c r="ED3" s="2">
        <f t="shared" si="0"/>
        <v>2055</v>
      </c>
      <c r="EE3" s="2">
        <f t="shared" si="0"/>
        <v>2056</v>
      </c>
      <c r="EF3" s="2">
        <f t="shared" si="0"/>
        <v>2057</v>
      </c>
      <c r="EG3" s="2">
        <f t="shared" si="0"/>
        <v>2058</v>
      </c>
      <c r="EH3" s="2">
        <f t="shared" si="0"/>
        <v>2059</v>
      </c>
      <c r="EI3" s="2">
        <f t="shared" si="0"/>
        <v>2060</v>
      </c>
      <c r="EJ3" s="2">
        <f t="shared" si="0"/>
        <v>2061</v>
      </c>
      <c r="EK3" s="2">
        <f t="shared" si="0"/>
        <v>2062</v>
      </c>
      <c r="EL3" s="2">
        <f t="shared" si="0"/>
        <v>2063</v>
      </c>
      <c r="EM3" s="2">
        <f t="shared" si="0"/>
        <v>2064</v>
      </c>
      <c r="EN3" s="2">
        <f t="shared" si="0"/>
        <v>2065</v>
      </c>
      <c r="EO3" s="2">
        <f t="shared" si="0"/>
        <v>2066</v>
      </c>
      <c r="EP3" s="2">
        <f t="shared" si="0"/>
        <v>2067</v>
      </c>
      <c r="EQ3" s="2">
        <f t="shared" si="0"/>
        <v>2068</v>
      </c>
      <c r="ER3" s="2">
        <f t="shared" si="0"/>
        <v>2069</v>
      </c>
      <c r="ES3" s="2">
        <f t="shared" si="0"/>
        <v>2070</v>
      </c>
      <c r="ET3" s="2">
        <f t="shared" si="0"/>
        <v>2071</v>
      </c>
      <c r="EU3" s="2">
        <f t="shared" si="0"/>
        <v>2072</v>
      </c>
      <c r="EV3" s="2">
        <f t="shared" si="0"/>
        <v>2073</v>
      </c>
      <c r="EW3" s="2">
        <f t="shared" ref="EW3:FG3" si="1">EV3+1</f>
        <v>2074</v>
      </c>
      <c r="EX3" s="2">
        <f t="shared" si="1"/>
        <v>2075</v>
      </c>
      <c r="EY3" s="2">
        <f t="shared" si="1"/>
        <v>2076</v>
      </c>
      <c r="EZ3" s="2">
        <f t="shared" si="1"/>
        <v>2077</v>
      </c>
      <c r="FA3" s="2">
        <f t="shared" si="1"/>
        <v>2078</v>
      </c>
      <c r="FB3" s="2">
        <f t="shared" si="1"/>
        <v>2079</v>
      </c>
      <c r="FC3" s="2">
        <f t="shared" si="1"/>
        <v>2080</v>
      </c>
      <c r="FD3" s="2">
        <f t="shared" si="1"/>
        <v>2081</v>
      </c>
      <c r="FE3" s="2">
        <f t="shared" si="1"/>
        <v>2082</v>
      </c>
      <c r="FF3" s="2">
        <f t="shared" si="1"/>
        <v>2083</v>
      </c>
      <c r="FG3" s="2">
        <f t="shared" si="1"/>
        <v>2084</v>
      </c>
      <c r="FH3" s="2"/>
      <c r="FI3" s="2"/>
      <c r="FJ3" s="2"/>
    </row>
    <row r="4" spans="2:166">
      <c r="B4" s="37" t="s">
        <v>134</v>
      </c>
      <c r="CI4" s="1">
        <f>SUM(C4:F4)</f>
        <v>0</v>
      </c>
      <c r="CJ4" s="1">
        <f>SUM(G4:J4)</f>
        <v>0</v>
      </c>
      <c r="CK4" s="1">
        <f>SUM(K4:N4)</f>
        <v>0</v>
      </c>
      <c r="CL4" s="1">
        <f>SUM(O4:R4)</f>
        <v>0</v>
      </c>
      <c r="CM4" s="1">
        <f>SUM(S4:V4)</f>
        <v>0</v>
      </c>
      <c r="CN4" s="1">
        <f>SUM(W4:Z4)</f>
        <v>0</v>
      </c>
      <c r="CO4" s="1">
        <f>SUM(AA4:AD4)</f>
        <v>0</v>
      </c>
      <c r="CP4" s="1">
        <f>SUM(AE4:AH4)</f>
        <v>0</v>
      </c>
      <c r="CQ4" s="1">
        <f>SUM(AI4:AL4)</f>
        <v>0</v>
      </c>
      <c r="CR4" s="1">
        <f>SUM(AM4:AP4)</f>
        <v>0</v>
      </c>
      <c r="CS4" s="1">
        <f>SUM(AQ4:AT4)</f>
        <v>0</v>
      </c>
      <c r="CT4" s="1">
        <f>SUM(AU4:AX4)</f>
        <v>0</v>
      </c>
      <c r="CU4" s="1">
        <f>SUM(AY4:BB4)</f>
        <v>0</v>
      </c>
      <c r="CV4" s="1">
        <f>SUM(BC4:BF4)</f>
        <v>0</v>
      </c>
      <c r="CW4" s="1">
        <f>SUM(BG4:BJ4)</f>
        <v>0</v>
      </c>
      <c r="CX4" s="1">
        <f>SUM(BK4:BN4)</f>
        <v>0</v>
      </c>
      <c r="CY4" s="1">
        <f>SUM(BO4:BR4)</f>
        <v>0</v>
      </c>
    </row>
    <row r="5" spans="2:166">
      <c r="B5" s="37" t="s">
        <v>135</v>
      </c>
      <c r="CI5" s="1">
        <f t="shared" ref="CI5:CI16" si="2">SUM(C5:F5)</f>
        <v>0</v>
      </c>
      <c r="CJ5" s="1">
        <f t="shared" ref="CJ5:CJ16" si="3">SUM(G5:J5)</f>
        <v>0</v>
      </c>
      <c r="CK5" s="1">
        <f t="shared" ref="CK5:CK16" si="4">SUM(K5:N5)</f>
        <v>0</v>
      </c>
      <c r="CL5" s="1">
        <f t="shared" ref="CL5:CL16" si="5">SUM(O5:R5)</f>
        <v>0</v>
      </c>
      <c r="CM5" s="1">
        <f t="shared" ref="CM5:CM16" si="6">SUM(S5:V5)</f>
        <v>0</v>
      </c>
      <c r="CN5" s="1">
        <f t="shared" ref="CN5:CN16" si="7">SUM(W5:Z5)</f>
        <v>0</v>
      </c>
      <c r="CO5" s="1">
        <f t="shared" ref="CO5:CO16" si="8">SUM(AA5:AD5)</f>
        <v>0</v>
      </c>
      <c r="CP5" s="1">
        <f t="shared" ref="CP5:CP16" si="9">SUM(AE5:AH5)</f>
        <v>0</v>
      </c>
      <c r="CQ5" s="1">
        <f t="shared" ref="CQ5:CQ16" si="10">SUM(AI5:AL5)</f>
        <v>0</v>
      </c>
      <c r="CR5" s="1">
        <f t="shared" ref="CR5:CR16" si="11">SUM(AM5:AP5)</f>
        <v>0</v>
      </c>
      <c r="CS5" s="1">
        <f t="shared" ref="CS5:CS16" si="12">SUM(AQ5:AT5)</f>
        <v>0</v>
      </c>
      <c r="CT5" s="1">
        <f t="shared" ref="CT5:CT16" si="13">SUM(AU5:AX5)</f>
        <v>0</v>
      </c>
      <c r="CU5" s="1">
        <f t="shared" ref="CU5:CU16" si="14">SUM(AY5:BB5)</f>
        <v>0</v>
      </c>
      <c r="CV5" s="1">
        <f t="shared" ref="CV5:CV16" si="15">SUM(BC5:BF5)</f>
        <v>0</v>
      </c>
      <c r="CW5" s="1">
        <f t="shared" ref="CW5:CW16" si="16">SUM(BG5:BJ5)</f>
        <v>0</v>
      </c>
      <c r="CX5" s="1">
        <f t="shared" ref="CX5:CX16" si="17">SUM(BK5:BN5)</f>
        <v>0</v>
      </c>
      <c r="CY5" s="1">
        <f t="shared" ref="CY5:CY16" si="18">SUM(BO5:BR5)</f>
        <v>0</v>
      </c>
    </row>
    <row r="6" spans="2:166">
      <c r="B6" s="37" t="s">
        <v>136</v>
      </c>
      <c r="CI6" s="1">
        <f t="shared" si="2"/>
        <v>0</v>
      </c>
      <c r="CJ6" s="1">
        <f t="shared" si="3"/>
        <v>0</v>
      </c>
      <c r="CK6" s="1">
        <f t="shared" si="4"/>
        <v>0</v>
      </c>
      <c r="CL6" s="1">
        <f t="shared" si="5"/>
        <v>0</v>
      </c>
      <c r="CM6" s="1">
        <f t="shared" si="6"/>
        <v>0</v>
      </c>
      <c r="CN6" s="1">
        <f t="shared" si="7"/>
        <v>0</v>
      </c>
      <c r="CO6" s="1">
        <f t="shared" si="8"/>
        <v>0</v>
      </c>
      <c r="CP6" s="1">
        <f t="shared" si="9"/>
        <v>0</v>
      </c>
      <c r="CQ6" s="1">
        <f t="shared" si="10"/>
        <v>0</v>
      </c>
      <c r="CR6" s="1">
        <f t="shared" si="11"/>
        <v>0</v>
      </c>
      <c r="CS6" s="1">
        <f t="shared" si="12"/>
        <v>0</v>
      </c>
      <c r="CT6" s="1">
        <f t="shared" si="13"/>
        <v>0</v>
      </c>
      <c r="CU6" s="1">
        <f t="shared" si="14"/>
        <v>0</v>
      </c>
      <c r="CV6" s="1">
        <f t="shared" si="15"/>
        <v>0</v>
      </c>
      <c r="CW6" s="1">
        <f t="shared" si="16"/>
        <v>0</v>
      </c>
      <c r="CX6" s="1">
        <f t="shared" si="17"/>
        <v>0</v>
      </c>
      <c r="CY6" s="1">
        <f t="shared" si="18"/>
        <v>0</v>
      </c>
    </row>
    <row r="7" spans="2:166">
      <c r="B7" s="37" t="s">
        <v>132</v>
      </c>
      <c r="CI7" s="1">
        <f t="shared" si="2"/>
        <v>0</v>
      </c>
      <c r="CJ7" s="1">
        <f t="shared" si="3"/>
        <v>0</v>
      </c>
      <c r="CK7" s="1">
        <f t="shared" si="4"/>
        <v>0</v>
      </c>
      <c r="CL7" s="1">
        <f t="shared" si="5"/>
        <v>0</v>
      </c>
      <c r="CM7" s="1">
        <f t="shared" si="6"/>
        <v>0</v>
      </c>
      <c r="CN7" s="1">
        <f t="shared" si="7"/>
        <v>0</v>
      </c>
      <c r="CO7" s="1">
        <f t="shared" si="8"/>
        <v>0</v>
      </c>
      <c r="CP7" s="1">
        <f t="shared" si="9"/>
        <v>0</v>
      </c>
      <c r="CQ7" s="1">
        <f t="shared" si="10"/>
        <v>0</v>
      </c>
      <c r="CR7" s="1">
        <f t="shared" si="11"/>
        <v>0</v>
      </c>
      <c r="CS7" s="1">
        <f t="shared" si="12"/>
        <v>0</v>
      </c>
      <c r="CT7" s="1">
        <f t="shared" si="13"/>
        <v>0</v>
      </c>
      <c r="CU7" s="1">
        <f t="shared" si="14"/>
        <v>0</v>
      </c>
      <c r="CV7" s="1">
        <f t="shared" si="15"/>
        <v>0</v>
      </c>
      <c r="CW7" s="1">
        <f t="shared" si="16"/>
        <v>0</v>
      </c>
      <c r="CX7" s="1">
        <f t="shared" si="17"/>
        <v>0</v>
      </c>
      <c r="CY7" s="1">
        <f t="shared" si="18"/>
        <v>0</v>
      </c>
    </row>
    <row r="8" spans="2:166">
      <c r="B8" s="37" t="s">
        <v>137</v>
      </c>
      <c r="CI8" s="1">
        <f t="shared" si="2"/>
        <v>0</v>
      </c>
      <c r="CJ8" s="1">
        <f t="shared" si="3"/>
        <v>0</v>
      </c>
      <c r="CK8" s="1">
        <f t="shared" si="4"/>
        <v>0</v>
      </c>
      <c r="CL8" s="1">
        <f t="shared" si="5"/>
        <v>0</v>
      </c>
      <c r="CM8" s="1">
        <f t="shared" si="6"/>
        <v>0</v>
      </c>
      <c r="CN8" s="1">
        <f t="shared" si="7"/>
        <v>0</v>
      </c>
      <c r="CO8" s="1">
        <f t="shared" si="8"/>
        <v>0</v>
      </c>
      <c r="CP8" s="1">
        <f t="shared" si="9"/>
        <v>0</v>
      </c>
      <c r="CQ8" s="1">
        <f t="shared" si="10"/>
        <v>0</v>
      </c>
      <c r="CR8" s="1">
        <f t="shared" si="11"/>
        <v>0</v>
      </c>
      <c r="CS8" s="1">
        <f t="shared" si="12"/>
        <v>0</v>
      </c>
      <c r="CT8" s="1">
        <f t="shared" si="13"/>
        <v>0</v>
      </c>
      <c r="CU8" s="1">
        <f t="shared" si="14"/>
        <v>0</v>
      </c>
      <c r="CV8" s="1">
        <f t="shared" si="15"/>
        <v>0</v>
      </c>
      <c r="CW8" s="1">
        <f t="shared" si="16"/>
        <v>0</v>
      </c>
      <c r="CX8" s="1">
        <f t="shared" si="17"/>
        <v>0</v>
      </c>
      <c r="CY8" s="1">
        <f t="shared" si="18"/>
        <v>0</v>
      </c>
    </row>
    <row r="9" spans="2:166" ht="15">
      <c r="B9" s="34" t="s">
        <v>131</v>
      </c>
      <c r="CI9" s="1">
        <f t="shared" si="2"/>
        <v>0</v>
      </c>
      <c r="CJ9" s="1">
        <f t="shared" si="3"/>
        <v>0</v>
      </c>
      <c r="CK9" s="1">
        <f t="shared" si="4"/>
        <v>0</v>
      </c>
      <c r="CL9" s="1">
        <f t="shared" si="5"/>
        <v>0</v>
      </c>
      <c r="CM9" s="1">
        <f t="shared" si="6"/>
        <v>0</v>
      </c>
      <c r="CN9" s="1">
        <f t="shared" si="7"/>
        <v>0</v>
      </c>
      <c r="CO9" s="1">
        <f t="shared" si="8"/>
        <v>0</v>
      </c>
      <c r="CP9" s="1">
        <f t="shared" si="9"/>
        <v>0</v>
      </c>
      <c r="CQ9" s="1">
        <f t="shared" si="10"/>
        <v>0</v>
      </c>
      <c r="CR9" s="1">
        <f t="shared" si="11"/>
        <v>0</v>
      </c>
      <c r="CS9" s="1">
        <f t="shared" si="12"/>
        <v>0</v>
      </c>
      <c r="CT9" s="1">
        <f t="shared" si="13"/>
        <v>0</v>
      </c>
      <c r="CU9" s="1">
        <f t="shared" si="14"/>
        <v>0</v>
      </c>
      <c r="CV9" s="1">
        <f t="shared" si="15"/>
        <v>0</v>
      </c>
      <c r="CW9" s="1">
        <f t="shared" si="16"/>
        <v>0</v>
      </c>
      <c r="CX9" s="1">
        <f t="shared" si="17"/>
        <v>0</v>
      </c>
      <c r="CY9" s="1">
        <f t="shared" si="18"/>
        <v>0</v>
      </c>
    </row>
    <row r="10" spans="2:166">
      <c r="B10" s="37" t="s">
        <v>138</v>
      </c>
      <c r="CI10" s="1">
        <f t="shared" si="2"/>
        <v>0</v>
      </c>
      <c r="CJ10" s="1">
        <f t="shared" si="3"/>
        <v>0</v>
      </c>
      <c r="CK10" s="1">
        <f t="shared" si="4"/>
        <v>0</v>
      </c>
      <c r="CL10" s="1">
        <f t="shared" si="5"/>
        <v>0</v>
      </c>
      <c r="CM10" s="1">
        <f t="shared" si="6"/>
        <v>0</v>
      </c>
      <c r="CN10" s="1">
        <f t="shared" si="7"/>
        <v>0</v>
      </c>
      <c r="CO10" s="1">
        <f t="shared" si="8"/>
        <v>0</v>
      </c>
      <c r="CP10" s="1">
        <f t="shared" si="9"/>
        <v>0</v>
      </c>
      <c r="CQ10" s="1">
        <f t="shared" si="10"/>
        <v>0</v>
      </c>
      <c r="CR10" s="1">
        <f t="shared" si="11"/>
        <v>0</v>
      </c>
      <c r="CS10" s="1">
        <f t="shared" si="12"/>
        <v>0</v>
      </c>
      <c r="CT10" s="1">
        <f t="shared" si="13"/>
        <v>0</v>
      </c>
      <c r="CU10" s="1">
        <f t="shared" si="14"/>
        <v>0</v>
      </c>
      <c r="CV10" s="1">
        <f t="shared" si="15"/>
        <v>0</v>
      </c>
      <c r="CW10" s="1">
        <f t="shared" si="16"/>
        <v>0</v>
      </c>
      <c r="CX10" s="1">
        <f t="shared" si="17"/>
        <v>0</v>
      </c>
      <c r="CY10" s="1">
        <f t="shared" si="18"/>
        <v>0</v>
      </c>
    </row>
    <row r="11" spans="2:166">
      <c r="B11" s="37" t="s">
        <v>139</v>
      </c>
      <c r="CI11" s="1">
        <f t="shared" si="2"/>
        <v>0</v>
      </c>
      <c r="CJ11" s="1">
        <f t="shared" si="3"/>
        <v>0</v>
      </c>
      <c r="CK11" s="1">
        <f t="shared" si="4"/>
        <v>0</v>
      </c>
      <c r="CL11" s="1">
        <f t="shared" si="5"/>
        <v>0</v>
      </c>
      <c r="CM11" s="1">
        <f t="shared" si="6"/>
        <v>0</v>
      </c>
      <c r="CN11" s="1">
        <f t="shared" si="7"/>
        <v>0</v>
      </c>
      <c r="CO11" s="1">
        <f t="shared" si="8"/>
        <v>0</v>
      </c>
      <c r="CP11" s="1">
        <f t="shared" si="9"/>
        <v>0</v>
      </c>
      <c r="CQ11" s="1">
        <f t="shared" si="10"/>
        <v>0</v>
      </c>
      <c r="CR11" s="1">
        <f t="shared" si="11"/>
        <v>0</v>
      </c>
      <c r="CS11" s="1">
        <f t="shared" si="12"/>
        <v>0</v>
      </c>
      <c r="CT11" s="1">
        <f t="shared" si="13"/>
        <v>0</v>
      </c>
      <c r="CU11" s="1">
        <f t="shared" si="14"/>
        <v>0</v>
      </c>
      <c r="CV11" s="1">
        <f t="shared" si="15"/>
        <v>0</v>
      </c>
      <c r="CW11" s="1">
        <f t="shared" si="16"/>
        <v>0</v>
      </c>
      <c r="CX11" s="1">
        <f t="shared" si="17"/>
        <v>0</v>
      </c>
      <c r="CY11" s="1">
        <f t="shared" si="18"/>
        <v>0</v>
      </c>
    </row>
    <row r="12" spans="2:166">
      <c r="B12" s="37" t="s">
        <v>140</v>
      </c>
      <c r="CI12" s="1">
        <f t="shared" si="2"/>
        <v>0</v>
      </c>
      <c r="CJ12" s="1">
        <f t="shared" si="3"/>
        <v>0</v>
      </c>
      <c r="CK12" s="1">
        <f t="shared" si="4"/>
        <v>0</v>
      </c>
      <c r="CL12" s="1">
        <f t="shared" si="5"/>
        <v>0</v>
      </c>
      <c r="CM12" s="1">
        <f t="shared" si="6"/>
        <v>0</v>
      </c>
      <c r="CN12" s="1">
        <f t="shared" si="7"/>
        <v>0</v>
      </c>
      <c r="CO12" s="1">
        <f t="shared" si="8"/>
        <v>0</v>
      </c>
      <c r="CP12" s="1">
        <f t="shared" si="9"/>
        <v>0</v>
      </c>
      <c r="CQ12" s="1">
        <f t="shared" si="10"/>
        <v>0</v>
      </c>
      <c r="CR12" s="1">
        <f t="shared" si="11"/>
        <v>0</v>
      </c>
      <c r="CS12" s="1">
        <f t="shared" si="12"/>
        <v>0</v>
      </c>
      <c r="CT12" s="1">
        <f t="shared" si="13"/>
        <v>0</v>
      </c>
      <c r="CU12" s="1">
        <f t="shared" si="14"/>
        <v>0</v>
      </c>
      <c r="CV12" s="1">
        <f t="shared" si="15"/>
        <v>0</v>
      </c>
      <c r="CW12" s="1">
        <f t="shared" si="16"/>
        <v>0</v>
      </c>
      <c r="CX12" s="1">
        <f t="shared" si="17"/>
        <v>0</v>
      </c>
      <c r="CY12" s="1">
        <f t="shared" si="18"/>
        <v>0</v>
      </c>
    </row>
    <row r="13" spans="2:166">
      <c r="B13" s="37" t="s">
        <v>141</v>
      </c>
      <c r="C13" s="37"/>
      <c r="CI13" s="1">
        <f t="shared" si="2"/>
        <v>0</v>
      </c>
      <c r="CJ13" s="1">
        <f t="shared" si="3"/>
        <v>0</v>
      </c>
      <c r="CK13" s="1">
        <f t="shared" si="4"/>
        <v>0</v>
      </c>
      <c r="CL13" s="1">
        <f t="shared" si="5"/>
        <v>0</v>
      </c>
      <c r="CM13" s="1">
        <f t="shared" si="6"/>
        <v>0</v>
      </c>
      <c r="CN13" s="1">
        <f t="shared" si="7"/>
        <v>0</v>
      </c>
      <c r="CO13" s="1">
        <f t="shared" si="8"/>
        <v>0</v>
      </c>
      <c r="CP13" s="1">
        <f t="shared" si="9"/>
        <v>0</v>
      </c>
      <c r="CQ13" s="1">
        <f t="shared" si="10"/>
        <v>0</v>
      </c>
      <c r="CR13" s="1">
        <f t="shared" si="11"/>
        <v>0</v>
      </c>
      <c r="CS13" s="1">
        <f t="shared" si="12"/>
        <v>0</v>
      </c>
      <c r="CT13" s="1">
        <f t="shared" si="13"/>
        <v>0</v>
      </c>
      <c r="CU13" s="1">
        <f t="shared" si="14"/>
        <v>0</v>
      </c>
      <c r="CV13" s="1">
        <f t="shared" si="15"/>
        <v>0</v>
      </c>
      <c r="CW13" s="1">
        <f t="shared" si="16"/>
        <v>0</v>
      </c>
      <c r="CX13" s="1">
        <f t="shared" si="17"/>
        <v>0</v>
      </c>
      <c r="CY13" s="1">
        <f t="shared" si="18"/>
        <v>0</v>
      </c>
    </row>
    <row r="14" spans="2:166">
      <c r="B14" s="37" t="s">
        <v>142</v>
      </c>
      <c r="C14" s="37"/>
      <c r="CI14" s="1">
        <f t="shared" si="2"/>
        <v>0</v>
      </c>
      <c r="CJ14" s="1">
        <f t="shared" si="3"/>
        <v>0</v>
      </c>
      <c r="CK14" s="1">
        <f t="shared" si="4"/>
        <v>0</v>
      </c>
      <c r="CL14" s="1">
        <f t="shared" si="5"/>
        <v>0</v>
      </c>
      <c r="CM14" s="1">
        <f t="shared" si="6"/>
        <v>0</v>
      </c>
      <c r="CN14" s="1">
        <f t="shared" si="7"/>
        <v>0</v>
      </c>
      <c r="CO14" s="1">
        <f t="shared" si="8"/>
        <v>0</v>
      </c>
      <c r="CP14" s="1">
        <f t="shared" si="9"/>
        <v>0</v>
      </c>
      <c r="CQ14" s="1">
        <f t="shared" si="10"/>
        <v>0</v>
      </c>
      <c r="CR14" s="1">
        <f t="shared" si="11"/>
        <v>0</v>
      </c>
      <c r="CS14" s="1">
        <f t="shared" si="12"/>
        <v>0</v>
      </c>
      <c r="CT14" s="1">
        <f t="shared" si="13"/>
        <v>0</v>
      </c>
      <c r="CU14" s="1">
        <f t="shared" si="14"/>
        <v>0</v>
      </c>
      <c r="CV14" s="1">
        <f t="shared" si="15"/>
        <v>0</v>
      </c>
      <c r="CW14" s="1">
        <f t="shared" si="16"/>
        <v>0</v>
      </c>
      <c r="CX14" s="1">
        <f t="shared" si="17"/>
        <v>0</v>
      </c>
      <c r="CY14" s="1">
        <f t="shared" si="18"/>
        <v>0</v>
      </c>
    </row>
    <row r="15" spans="2:166" ht="15">
      <c r="B15" s="34" t="s">
        <v>133</v>
      </c>
      <c r="C15" s="37"/>
      <c r="CI15" s="1">
        <f t="shared" si="2"/>
        <v>0</v>
      </c>
      <c r="CJ15" s="1">
        <f t="shared" si="3"/>
        <v>0</v>
      </c>
      <c r="CK15" s="1">
        <f t="shared" si="4"/>
        <v>0</v>
      </c>
      <c r="CL15" s="1">
        <f t="shared" si="5"/>
        <v>0</v>
      </c>
      <c r="CM15" s="1">
        <f t="shared" si="6"/>
        <v>0</v>
      </c>
      <c r="CN15" s="1">
        <f t="shared" si="7"/>
        <v>0</v>
      </c>
      <c r="CO15" s="1">
        <f t="shared" si="8"/>
        <v>0</v>
      </c>
      <c r="CP15" s="1">
        <f t="shared" si="9"/>
        <v>0</v>
      </c>
      <c r="CQ15" s="1">
        <f t="shared" si="10"/>
        <v>0</v>
      </c>
      <c r="CR15" s="1">
        <f t="shared" si="11"/>
        <v>0</v>
      </c>
      <c r="CS15" s="1">
        <f t="shared" si="12"/>
        <v>0</v>
      </c>
      <c r="CT15" s="1">
        <f t="shared" si="13"/>
        <v>0</v>
      </c>
      <c r="CU15" s="1">
        <f t="shared" si="14"/>
        <v>0</v>
      </c>
      <c r="CV15" s="1">
        <f t="shared" si="15"/>
        <v>0</v>
      </c>
      <c r="CW15" s="1">
        <f t="shared" si="16"/>
        <v>0</v>
      </c>
      <c r="CX15" s="1">
        <f t="shared" si="17"/>
        <v>0</v>
      </c>
      <c r="CY15" s="1">
        <f t="shared" si="18"/>
        <v>0</v>
      </c>
    </row>
    <row r="16" spans="2:166" ht="15">
      <c r="B16" s="34" t="s">
        <v>128</v>
      </c>
      <c r="C16" s="37"/>
      <c r="CI16" s="1">
        <f t="shared" si="2"/>
        <v>0</v>
      </c>
      <c r="CJ16" s="1">
        <f t="shared" si="3"/>
        <v>0</v>
      </c>
      <c r="CK16" s="1">
        <f t="shared" si="4"/>
        <v>0</v>
      </c>
      <c r="CL16" s="1">
        <f t="shared" si="5"/>
        <v>0</v>
      </c>
      <c r="CM16" s="1">
        <f t="shared" si="6"/>
        <v>0</v>
      </c>
      <c r="CN16" s="1">
        <f t="shared" si="7"/>
        <v>0</v>
      </c>
      <c r="CO16" s="1">
        <f t="shared" si="8"/>
        <v>0</v>
      </c>
      <c r="CP16" s="1">
        <f t="shared" si="9"/>
        <v>0</v>
      </c>
      <c r="CQ16" s="1">
        <f t="shared" si="10"/>
        <v>0</v>
      </c>
      <c r="CR16" s="1">
        <f t="shared" si="11"/>
        <v>0</v>
      </c>
      <c r="CS16" s="1">
        <f t="shared" si="12"/>
        <v>0</v>
      </c>
      <c r="CT16" s="1">
        <f t="shared" si="13"/>
        <v>0</v>
      </c>
      <c r="CU16" s="1">
        <f t="shared" si="14"/>
        <v>0</v>
      </c>
      <c r="CV16" s="1">
        <f t="shared" si="15"/>
        <v>0</v>
      </c>
      <c r="CW16" s="1">
        <f t="shared" si="16"/>
        <v>0</v>
      </c>
      <c r="CX16" s="1">
        <f t="shared" si="17"/>
        <v>0</v>
      </c>
      <c r="CY16" s="1">
        <f t="shared" si="18"/>
        <v>0</v>
      </c>
    </row>
    <row r="17" spans="2:103">
      <c r="B17" s="37"/>
      <c r="C17" s="37"/>
    </row>
    <row r="18" spans="2:103">
      <c r="B18" s="38" t="s">
        <v>145</v>
      </c>
    </row>
    <row r="19" spans="2:103">
      <c r="B19" s="38" t="s">
        <v>146</v>
      </c>
    </row>
    <row r="20" spans="2:103">
      <c r="B20" s="38" t="s">
        <v>147</v>
      </c>
    </row>
    <row r="21" spans="2:103">
      <c r="B21" s="38" t="s">
        <v>148</v>
      </c>
    </row>
    <row r="22" spans="2:103">
      <c r="B22" s="38" t="s">
        <v>149</v>
      </c>
    </row>
    <row r="23" spans="2:103">
      <c r="B23" s="38" t="s">
        <v>150</v>
      </c>
    </row>
    <row r="24" spans="2:103">
      <c r="B24" s="38" t="s">
        <v>153</v>
      </c>
    </row>
    <row r="25" spans="2:103">
      <c r="B25" s="38" t="s">
        <v>152</v>
      </c>
    </row>
    <row r="26" spans="2:103">
      <c r="B26" s="38" t="s">
        <v>154</v>
      </c>
    </row>
    <row r="27" spans="2:103">
      <c r="B27" s="38" t="s">
        <v>151</v>
      </c>
    </row>
    <row r="29" spans="2:103" ht="15">
      <c r="B29" s="34" t="s">
        <v>143</v>
      </c>
    </row>
    <row r="30" spans="2:103" ht="15">
      <c r="B30" s="34" t="s">
        <v>144</v>
      </c>
    </row>
    <row r="32" spans="2:103">
      <c r="B32" s="1" t="s">
        <v>155</v>
      </c>
      <c r="CI32" s="1">
        <f t="shared" ref="CI32:CI35" si="19">SUM(C32:F32)</f>
        <v>0</v>
      </c>
      <c r="CJ32" s="1">
        <f t="shared" ref="CJ32:CJ35" si="20">SUM(G32:J32)</f>
        <v>0</v>
      </c>
      <c r="CK32" s="1">
        <f t="shared" ref="CK32:CK35" si="21">SUM(K32:N32)</f>
        <v>0</v>
      </c>
      <c r="CL32" s="1">
        <f t="shared" ref="CL32:CL35" si="22">SUM(O32:R32)</f>
        <v>0</v>
      </c>
      <c r="CM32" s="1">
        <f t="shared" ref="CM32:CM35" si="23">SUM(S32:V32)</f>
        <v>0</v>
      </c>
      <c r="CN32" s="1">
        <f t="shared" ref="CN32:CN35" si="24">SUM(W32:Z32)</f>
        <v>0</v>
      </c>
      <c r="CO32" s="1">
        <f t="shared" ref="CO32:CO35" si="25">SUM(AA32:AD32)</f>
        <v>0</v>
      </c>
      <c r="CP32" s="1">
        <f t="shared" ref="CP32:CP35" si="26">SUM(AE32:AH32)</f>
        <v>0</v>
      </c>
      <c r="CQ32" s="1">
        <f t="shared" ref="CQ32:CQ35" si="27">SUM(AI32:AL32)</f>
        <v>0</v>
      </c>
      <c r="CR32" s="1">
        <f t="shared" ref="CR32:CR35" si="28">SUM(AM32:AP32)</f>
        <v>0</v>
      </c>
      <c r="CS32" s="1">
        <f t="shared" ref="CS32:CS35" si="29">SUM(AQ32:AT32)</f>
        <v>0</v>
      </c>
      <c r="CT32" s="1">
        <f t="shared" ref="CT32:CT35" si="30">SUM(AU32:AX32)</f>
        <v>0</v>
      </c>
      <c r="CU32" s="1">
        <f t="shared" ref="CU32:CU35" si="31">SUM(AY32:BB32)</f>
        <v>0</v>
      </c>
      <c r="CV32" s="1">
        <f t="shared" ref="CV32:CV35" si="32">SUM(BC32:BF32)</f>
        <v>0</v>
      </c>
      <c r="CW32" s="1">
        <f t="shared" ref="CW32:CW35" si="33">SUM(BG32:BJ32)</f>
        <v>0</v>
      </c>
      <c r="CX32" s="1">
        <f t="shared" ref="CX32:CX35" si="34">SUM(BK32:BN32)</f>
        <v>0</v>
      </c>
      <c r="CY32" s="1">
        <f t="shared" ref="CY32:CY35" si="35">SUM(BO32:BR32)</f>
        <v>0</v>
      </c>
    </row>
    <row r="33" spans="2:103">
      <c r="B33" s="1" t="s">
        <v>158</v>
      </c>
      <c r="CI33" s="1">
        <f t="shared" si="19"/>
        <v>0</v>
      </c>
      <c r="CJ33" s="1">
        <f t="shared" si="20"/>
        <v>0</v>
      </c>
      <c r="CK33" s="1">
        <f t="shared" si="21"/>
        <v>0</v>
      </c>
      <c r="CL33" s="1">
        <f t="shared" si="22"/>
        <v>0</v>
      </c>
      <c r="CM33" s="1">
        <f t="shared" si="23"/>
        <v>0</v>
      </c>
      <c r="CN33" s="1">
        <f t="shared" si="24"/>
        <v>0</v>
      </c>
      <c r="CO33" s="1">
        <f t="shared" si="25"/>
        <v>0</v>
      </c>
      <c r="CP33" s="1">
        <f t="shared" si="26"/>
        <v>0</v>
      </c>
      <c r="CQ33" s="1">
        <f t="shared" si="27"/>
        <v>0</v>
      </c>
      <c r="CR33" s="1">
        <f t="shared" si="28"/>
        <v>0</v>
      </c>
      <c r="CS33" s="1">
        <f t="shared" si="29"/>
        <v>0</v>
      </c>
      <c r="CT33" s="1">
        <f t="shared" si="30"/>
        <v>0</v>
      </c>
      <c r="CU33" s="1">
        <f t="shared" si="31"/>
        <v>0</v>
      </c>
      <c r="CV33" s="1">
        <f t="shared" si="32"/>
        <v>0</v>
      </c>
      <c r="CW33" s="1">
        <f t="shared" si="33"/>
        <v>0</v>
      </c>
      <c r="CX33" s="1">
        <f t="shared" si="34"/>
        <v>0</v>
      </c>
      <c r="CY33" s="1">
        <f t="shared" si="35"/>
        <v>0</v>
      </c>
    </row>
    <row r="34" spans="2:103">
      <c r="B34" s="1" t="s">
        <v>157</v>
      </c>
      <c r="CI34" s="1">
        <f t="shared" si="19"/>
        <v>0</v>
      </c>
      <c r="CJ34" s="1">
        <f t="shared" si="20"/>
        <v>0</v>
      </c>
      <c r="CK34" s="1">
        <f t="shared" si="21"/>
        <v>0</v>
      </c>
      <c r="CL34" s="1">
        <f t="shared" si="22"/>
        <v>0</v>
      </c>
      <c r="CM34" s="1">
        <f t="shared" si="23"/>
        <v>0</v>
      </c>
      <c r="CN34" s="1">
        <f t="shared" si="24"/>
        <v>0</v>
      </c>
      <c r="CO34" s="1">
        <f t="shared" si="25"/>
        <v>0</v>
      </c>
      <c r="CP34" s="1">
        <f t="shared" si="26"/>
        <v>0</v>
      </c>
      <c r="CQ34" s="1">
        <f t="shared" si="27"/>
        <v>0</v>
      </c>
      <c r="CR34" s="1">
        <f t="shared" si="28"/>
        <v>0</v>
      </c>
      <c r="CS34" s="1">
        <f t="shared" si="29"/>
        <v>0</v>
      </c>
      <c r="CT34" s="1">
        <f t="shared" si="30"/>
        <v>0</v>
      </c>
      <c r="CU34" s="1">
        <f t="shared" si="31"/>
        <v>0</v>
      </c>
      <c r="CV34" s="1">
        <f t="shared" si="32"/>
        <v>0</v>
      </c>
      <c r="CW34" s="1">
        <f t="shared" si="33"/>
        <v>0</v>
      </c>
      <c r="CX34" s="1">
        <f t="shared" si="34"/>
        <v>0</v>
      </c>
      <c r="CY34" s="1">
        <f t="shared" si="35"/>
        <v>0</v>
      </c>
    </row>
    <row r="35" spans="2:103">
      <c r="B35" s="1" t="s">
        <v>156</v>
      </c>
      <c r="CI35" s="1">
        <f t="shared" si="19"/>
        <v>0</v>
      </c>
      <c r="CJ35" s="1">
        <f t="shared" si="20"/>
        <v>0</v>
      </c>
      <c r="CK35" s="1">
        <f t="shared" si="21"/>
        <v>0</v>
      </c>
      <c r="CL35" s="1">
        <f t="shared" si="22"/>
        <v>0</v>
      </c>
      <c r="CM35" s="1">
        <f t="shared" si="23"/>
        <v>0</v>
      </c>
      <c r="CN35" s="1">
        <f t="shared" si="24"/>
        <v>0</v>
      </c>
      <c r="CO35" s="1">
        <f t="shared" si="25"/>
        <v>0</v>
      </c>
      <c r="CP35" s="1">
        <f t="shared" si="26"/>
        <v>0</v>
      </c>
      <c r="CQ35" s="1">
        <f t="shared" si="27"/>
        <v>0</v>
      </c>
      <c r="CR35" s="1">
        <f t="shared" si="28"/>
        <v>0</v>
      </c>
      <c r="CS35" s="1">
        <f t="shared" si="29"/>
        <v>0</v>
      </c>
      <c r="CT35" s="1">
        <f t="shared" si="30"/>
        <v>0</v>
      </c>
      <c r="CU35" s="1">
        <f t="shared" si="31"/>
        <v>0</v>
      </c>
      <c r="CV35" s="1">
        <f t="shared" si="32"/>
        <v>0</v>
      </c>
      <c r="CW35" s="1">
        <f t="shared" si="33"/>
        <v>0</v>
      </c>
      <c r="CX35" s="1">
        <f t="shared" si="34"/>
        <v>0</v>
      </c>
      <c r="CY35" s="1">
        <f t="shared" si="35"/>
        <v>0</v>
      </c>
    </row>
    <row r="37" spans="2:103">
      <c r="B37" s="1" t="s">
        <v>165</v>
      </c>
    </row>
    <row r="38" spans="2:103">
      <c r="B38" s="1" t="s">
        <v>163</v>
      </c>
    </row>
    <row r="39" spans="2:103">
      <c r="B39" s="1" t="s">
        <v>164</v>
      </c>
    </row>
    <row r="40" spans="2:103">
      <c r="B40" s="1" t="s">
        <v>166</v>
      </c>
    </row>
    <row r="42" spans="2:103">
      <c r="B42" s="39" t="s">
        <v>159</v>
      </c>
    </row>
    <row r="43" spans="2:103">
      <c r="B43" s="1" t="s">
        <v>160</v>
      </c>
    </row>
    <row r="44" spans="2:103">
      <c r="B44" s="1" t="s">
        <v>161</v>
      </c>
    </row>
    <row r="45" spans="2:103">
      <c r="B45" s="1" t="s">
        <v>162</v>
      </c>
    </row>
    <row r="47" spans="2:103" ht="15">
      <c r="B47" s="2" t="s">
        <v>127</v>
      </c>
      <c r="CI47" s="1">
        <f>SUM(C47:F47)</f>
        <v>0</v>
      </c>
      <c r="CJ47" s="1">
        <f>SUM(G47:J47)</f>
        <v>0</v>
      </c>
      <c r="CK47" s="1">
        <f>SUM(K47:N47)</f>
        <v>0</v>
      </c>
      <c r="CL47" s="1">
        <f>SUM(O47:R47)</f>
        <v>0</v>
      </c>
      <c r="CM47" s="1">
        <f>SUM(S47:V47)</f>
        <v>0</v>
      </c>
      <c r="CN47" s="1">
        <f>SUM(W47:Z47)</f>
        <v>0</v>
      </c>
      <c r="CO47" s="1">
        <f>SUM(AA47:AD47)</f>
        <v>0</v>
      </c>
      <c r="CP47" s="1">
        <f>SUM(AE47:AH47)</f>
        <v>0</v>
      </c>
      <c r="CQ47" s="1">
        <f>SUM(AI47:AL47)</f>
        <v>0</v>
      </c>
      <c r="CR47" s="1">
        <f>SUM(AM47:AP47)</f>
        <v>0</v>
      </c>
      <c r="CS47" s="1">
        <f>SUM(AQ47:AT47)</f>
        <v>0</v>
      </c>
      <c r="CT47" s="1">
        <f>SUM(AU47:AX47)</f>
        <v>0</v>
      </c>
      <c r="CU47" s="1">
        <f>SUM(AY47:BB47)</f>
        <v>0</v>
      </c>
      <c r="CV47" s="1">
        <f>SUM(BC47:BF47)</f>
        <v>0</v>
      </c>
      <c r="CW47" s="1">
        <f>SUM(BG47:BJ47)</f>
        <v>0</v>
      </c>
      <c r="CX47" s="1">
        <f>SUM(BK47:BN47)</f>
        <v>0</v>
      </c>
      <c r="CY47" s="1">
        <f>SUM(BO47:BR47)</f>
        <v>0</v>
      </c>
    </row>
    <row r="48" spans="2:103">
      <c r="B48" s="1" t="s">
        <v>167</v>
      </c>
    </row>
    <row r="49" spans="2:2">
      <c r="B49" s="1" t="s">
        <v>168</v>
      </c>
    </row>
    <row r="67" spans="2:103">
      <c r="B67" s="38" t="s">
        <v>169</v>
      </c>
    </row>
    <row r="68" spans="2:103">
      <c r="B68" s="38" t="s">
        <v>170</v>
      </c>
    </row>
    <row r="69" spans="2:103">
      <c r="B69" s="38" t="s">
        <v>171</v>
      </c>
    </row>
    <row r="70" spans="2:103">
      <c r="B70" s="38" t="s">
        <v>172</v>
      </c>
    </row>
    <row r="71" spans="2:103">
      <c r="B71" s="38" t="s">
        <v>173</v>
      </c>
    </row>
    <row r="72" spans="2:103">
      <c r="B72" s="38" t="s">
        <v>174</v>
      </c>
    </row>
    <row r="73" spans="2:103">
      <c r="B73" s="38" t="s">
        <v>210</v>
      </c>
    </row>
    <row r="75" spans="2:103">
      <c r="B75" s="1" t="s">
        <v>175</v>
      </c>
      <c r="CI75" s="1">
        <f>F75</f>
        <v>0</v>
      </c>
      <c r="CJ75" s="1">
        <f>J75</f>
        <v>0</v>
      </c>
      <c r="CK75" s="1">
        <f>N75</f>
        <v>0</v>
      </c>
      <c r="CL75" s="1">
        <f>R75</f>
        <v>0</v>
      </c>
      <c r="CM75" s="1">
        <f>V75</f>
        <v>0</v>
      </c>
      <c r="CN75" s="1">
        <f>Z75</f>
        <v>0</v>
      </c>
      <c r="CO75" s="1">
        <f>AD75</f>
        <v>0</v>
      </c>
      <c r="CP75" s="1">
        <f>AH75</f>
        <v>0</v>
      </c>
      <c r="CQ75" s="1">
        <f>AL75</f>
        <v>0</v>
      </c>
      <c r="CR75" s="1">
        <f>AP75</f>
        <v>0</v>
      </c>
      <c r="CS75" s="1">
        <f>AT75</f>
        <v>0</v>
      </c>
      <c r="CT75" s="1">
        <f>AX75</f>
        <v>0</v>
      </c>
      <c r="CU75" s="1">
        <f>BB75</f>
        <v>0</v>
      </c>
      <c r="CV75" s="1">
        <f>BF75</f>
        <v>0</v>
      </c>
      <c r="CW75" s="1">
        <f>BJ75</f>
        <v>0</v>
      </c>
      <c r="CX75" s="1">
        <f>BN75</f>
        <v>0</v>
      </c>
      <c r="CY75" s="1">
        <f>BR75</f>
        <v>0</v>
      </c>
    </row>
    <row r="76" spans="2:103">
      <c r="B76" s="1" t="s">
        <v>176</v>
      </c>
    </row>
    <row r="77" spans="2:103">
      <c r="B77" s="1" t="s">
        <v>177</v>
      </c>
    </row>
    <row r="109" spans="2:2">
      <c r="B109" s="1" t="s">
        <v>178</v>
      </c>
    </row>
    <row r="110" spans="2:2">
      <c r="B110" s="1" t="s">
        <v>179</v>
      </c>
    </row>
    <row r="111" spans="2:2">
      <c r="B111" s="1" t="s">
        <v>180</v>
      </c>
    </row>
    <row r="112" spans="2:2">
      <c r="B112" s="1" t="s">
        <v>181</v>
      </c>
    </row>
    <row r="113" spans="2:2">
      <c r="B113" s="1" t="s">
        <v>182</v>
      </c>
    </row>
    <row r="114" spans="2:2">
      <c r="B114" s="1" t="s">
        <v>183</v>
      </c>
    </row>
    <row r="115" spans="2:2">
      <c r="B115" s="1" t="s">
        <v>184</v>
      </c>
    </row>
    <row r="118" spans="2:2">
      <c r="B118" s="1" t="s">
        <v>185</v>
      </c>
    </row>
    <row r="119" spans="2:2">
      <c r="B119" s="1" t="s">
        <v>186</v>
      </c>
    </row>
    <row r="120" spans="2:2">
      <c r="B120" s="1" t="s">
        <v>187</v>
      </c>
    </row>
    <row r="121" spans="2:2">
      <c r="B121" s="1" t="s">
        <v>188</v>
      </c>
    </row>
    <row r="122" spans="2:2">
      <c r="B122" s="1" t="s">
        <v>189</v>
      </c>
    </row>
    <row r="123" spans="2:2">
      <c r="B123" s="1" t="s">
        <v>190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FD4A5-C172-4508-BDD9-9132B91E029B}">
  <dimension ref="A1:CA1618"/>
  <sheetViews>
    <sheetView topLeftCell="A252" zoomScale="85" zoomScaleNormal="85" workbookViewId="0">
      <selection activeCell="R272" sqref="R272:R285"/>
    </sheetView>
  </sheetViews>
  <sheetFormatPr defaultColWidth="9.140625" defaultRowHeight="14.25"/>
  <cols>
    <col min="1" max="7" width="9.140625" style="1"/>
    <col min="8" max="8" width="3.140625" style="1" customWidth="1"/>
    <col min="9" max="28" width="9.140625" style="1"/>
    <col min="29" max="29" width="2.85546875" style="1" customWidth="1"/>
    <col min="30" max="16384" width="9.140625" style="1"/>
  </cols>
  <sheetData>
    <row r="1" spans="8:79">
      <c r="CA1" s="1">
        <v>0</v>
      </c>
    </row>
    <row r="2" spans="8:79" ht="15">
      <c r="H2" s="2" t="s">
        <v>217</v>
      </c>
      <c r="AD2" s="2" t="s">
        <v>191</v>
      </c>
    </row>
    <row r="36" spans="8:30" ht="15">
      <c r="H36" s="2" t="s">
        <v>221</v>
      </c>
    </row>
    <row r="37" spans="8:30" ht="15">
      <c r="I37" s="1" t="s">
        <v>15</v>
      </c>
      <c r="AD37" s="2" t="s">
        <v>192</v>
      </c>
    </row>
    <row r="38" spans="8:30" ht="15">
      <c r="AD38" s="2" t="s">
        <v>193</v>
      </c>
    </row>
    <row r="39" spans="8:30">
      <c r="AD39" s="1" t="s">
        <v>194</v>
      </c>
    </row>
    <row r="69" spans="8:9" ht="15">
      <c r="H69" s="2" t="s">
        <v>16</v>
      </c>
    </row>
    <row r="70" spans="8:9">
      <c r="I70" s="1" t="s">
        <v>17</v>
      </c>
    </row>
    <row r="76" spans="8:9">
      <c r="I76" s="1" t="s">
        <v>18</v>
      </c>
    </row>
    <row r="92" spans="9:9">
      <c r="I92" s="1" t="s">
        <v>19</v>
      </c>
    </row>
    <row r="109" spans="9:9">
      <c r="I109" s="1" t="s">
        <v>20</v>
      </c>
    </row>
    <row r="130" spans="8:30" ht="15">
      <c r="H130" s="2" t="s">
        <v>21</v>
      </c>
    </row>
    <row r="137" spans="8:30" ht="15">
      <c r="AD137" s="2" t="s">
        <v>195</v>
      </c>
    </row>
    <row r="138" spans="8:30">
      <c r="AD138" s="1" t="s">
        <v>196</v>
      </c>
    </row>
    <row r="162" spans="8:10">
      <c r="I162" s="1" t="s">
        <v>22</v>
      </c>
      <c r="J162" s="1" t="s">
        <v>23</v>
      </c>
    </row>
    <row r="163" spans="8:10">
      <c r="J163" s="1" t="s">
        <v>24</v>
      </c>
    </row>
    <row r="164" spans="8:10">
      <c r="J164" s="1" t="s">
        <v>25</v>
      </c>
    </row>
    <row r="166" spans="8:10" ht="15">
      <c r="H166" s="2" t="s">
        <v>220</v>
      </c>
    </row>
    <row r="195" spans="8:10">
      <c r="I195" s="1" t="s">
        <v>22</v>
      </c>
      <c r="J195" s="1" t="s">
        <v>23</v>
      </c>
    </row>
    <row r="196" spans="8:10">
      <c r="J196" s="1" t="s">
        <v>24</v>
      </c>
    </row>
    <row r="197" spans="8:10">
      <c r="J197" s="1" t="s">
        <v>25</v>
      </c>
    </row>
    <row r="199" spans="8:10" ht="15">
      <c r="H199" s="2" t="s">
        <v>219</v>
      </c>
    </row>
    <row r="215" ht="15" customHeight="1"/>
    <row r="228" spans="9:30">
      <c r="I228" s="1" t="s">
        <v>22</v>
      </c>
      <c r="J228" s="1" t="s">
        <v>23</v>
      </c>
    </row>
    <row r="229" spans="9:30">
      <c r="J229" s="1" t="s">
        <v>24</v>
      </c>
    </row>
    <row r="230" spans="9:30">
      <c r="J230" s="1" t="s">
        <v>25</v>
      </c>
    </row>
    <row r="232" spans="9:30" ht="15">
      <c r="AD232" s="2" t="s">
        <v>197</v>
      </c>
    </row>
    <row r="233" spans="9:30">
      <c r="AD233" s="1" t="s">
        <v>198</v>
      </c>
    </row>
    <row r="246" spans="1:7">
      <c r="A246" s="1" t="s">
        <v>272</v>
      </c>
    </row>
    <row r="247" spans="1:7">
      <c r="A247" s="24" t="s">
        <v>26</v>
      </c>
      <c r="B247" s="24" t="s">
        <v>27</v>
      </c>
      <c r="C247" s="24" t="s">
        <v>28</v>
      </c>
      <c r="D247" s="24" t="s">
        <v>29</v>
      </c>
      <c r="E247" s="24" t="s">
        <v>30</v>
      </c>
      <c r="F247" s="24" t="s">
        <v>31</v>
      </c>
      <c r="G247" s="24" t="s">
        <v>32</v>
      </c>
    </row>
    <row r="248" spans="1:7">
      <c r="A248" s="53">
        <v>92.25</v>
      </c>
      <c r="B248" s="53">
        <v>93.76</v>
      </c>
      <c r="C248" s="53">
        <v>91.15</v>
      </c>
      <c r="D248" s="53">
        <v>93.76</v>
      </c>
      <c r="E248" s="53">
        <v>752444</v>
      </c>
      <c r="F248" s="53" t="s">
        <v>273</v>
      </c>
      <c r="G248" s="25">
        <f>A248/D248-1</f>
        <v>-1.6104948805460761E-2</v>
      </c>
    </row>
    <row r="249" spans="1:7">
      <c r="A249" s="53">
        <v>93.42</v>
      </c>
      <c r="B249" s="53">
        <v>93.75</v>
      </c>
      <c r="C249" s="53">
        <v>89.93</v>
      </c>
      <c r="D249" s="53">
        <v>92.3</v>
      </c>
      <c r="E249" s="53">
        <v>149299</v>
      </c>
      <c r="F249" s="53" t="s">
        <v>274</v>
      </c>
      <c r="G249" s="25">
        <f t="shared" ref="G249:G312" si="0">A249/D249-1</f>
        <v>1.2134344528710761E-2</v>
      </c>
    </row>
    <row r="250" spans="1:7">
      <c r="A250" s="53">
        <v>92.11</v>
      </c>
      <c r="B250" s="53">
        <v>93.924999999999997</v>
      </c>
      <c r="C250" s="53">
        <v>91.71</v>
      </c>
      <c r="D250" s="53">
        <v>92.85</v>
      </c>
      <c r="E250" s="53">
        <v>94336</v>
      </c>
      <c r="F250" s="53" t="s">
        <v>275</v>
      </c>
      <c r="G250" s="25">
        <f t="shared" si="0"/>
        <v>-7.9698438341410105E-3</v>
      </c>
    </row>
    <row r="251" spans="1:7">
      <c r="A251" s="53">
        <v>92.45</v>
      </c>
      <c r="B251" s="53">
        <v>92.71</v>
      </c>
      <c r="C251" s="53">
        <v>91.237899999999996</v>
      </c>
      <c r="D251" s="53">
        <v>92.04</v>
      </c>
      <c r="E251" s="53">
        <v>148717</v>
      </c>
      <c r="F251" s="53" t="s">
        <v>276</v>
      </c>
      <c r="G251" s="25">
        <f t="shared" si="0"/>
        <v>4.4545849630595047E-3</v>
      </c>
    </row>
    <row r="252" spans="1:7">
      <c r="A252" s="53">
        <v>92.37</v>
      </c>
      <c r="B252" s="53">
        <v>93.644999999999996</v>
      </c>
      <c r="C252" s="53">
        <v>91.64</v>
      </c>
      <c r="D252" s="53">
        <v>92.7</v>
      </c>
      <c r="E252" s="53">
        <v>275509</v>
      </c>
      <c r="F252" s="53" t="s">
        <v>277</v>
      </c>
      <c r="G252" s="25">
        <f t="shared" si="0"/>
        <v>-3.5598705501618255E-3</v>
      </c>
    </row>
    <row r="253" spans="1:7">
      <c r="A253" s="53">
        <v>92.29</v>
      </c>
      <c r="B253" s="53">
        <v>93.709699999999998</v>
      </c>
      <c r="C253" s="53">
        <v>92.144000000000005</v>
      </c>
      <c r="D253" s="53">
        <v>93.6</v>
      </c>
      <c r="E253" s="53">
        <v>77948</v>
      </c>
      <c r="F253" s="53" t="s">
        <v>278</v>
      </c>
      <c r="G253" s="25">
        <f t="shared" si="0"/>
        <v>-1.3995726495726335E-2</v>
      </c>
    </row>
    <row r="254" spans="1:7">
      <c r="A254" s="53">
        <v>94.23</v>
      </c>
      <c r="B254" s="53">
        <v>94.4</v>
      </c>
      <c r="C254" s="53">
        <v>92.3</v>
      </c>
      <c r="D254" s="53">
        <v>93.03</v>
      </c>
      <c r="E254" s="53">
        <v>124400</v>
      </c>
      <c r="F254" s="53" t="s">
        <v>279</v>
      </c>
      <c r="G254" s="25">
        <f t="shared" si="0"/>
        <v>1.2899064817800676E-2</v>
      </c>
    </row>
    <row r="255" spans="1:7">
      <c r="A255" s="53">
        <v>92.64</v>
      </c>
      <c r="B255" s="53">
        <v>95.34</v>
      </c>
      <c r="C255" s="53">
        <v>91.814999999999998</v>
      </c>
      <c r="D255" s="53">
        <v>95.34</v>
      </c>
      <c r="E255" s="53">
        <v>175024</v>
      </c>
      <c r="F255" s="53" t="s">
        <v>280</v>
      </c>
      <c r="G255" s="25">
        <f t="shared" si="0"/>
        <v>-2.8319697923222198E-2</v>
      </c>
    </row>
    <row r="256" spans="1:7">
      <c r="A256" s="53">
        <v>95.62</v>
      </c>
      <c r="B256" s="53">
        <v>97.1</v>
      </c>
      <c r="C256" s="53">
        <v>95.14</v>
      </c>
      <c r="D256" s="53">
        <v>97.05</v>
      </c>
      <c r="E256" s="53">
        <v>77503</v>
      </c>
      <c r="F256" s="53" t="s">
        <v>281</v>
      </c>
      <c r="G256" s="25">
        <f t="shared" si="0"/>
        <v>-1.4734672849046837E-2</v>
      </c>
    </row>
    <row r="257" spans="1:19">
      <c r="A257" s="53">
        <v>97.07</v>
      </c>
      <c r="B257" s="53">
        <v>98.933400000000006</v>
      </c>
      <c r="C257" s="53">
        <v>96.64</v>
      </c>
      <c r="D257" s="53">
        <v>98.17</v>
      </c>
      <c r="E257" s="53">
        <v>112752</v>
      </c>
      <c r="F257" s="53" t="s">
        <v>282</v>
      </c>
      <c r="G257" s="25">
        <f t="shared" si="0"/>
        <v>-1.1205052460018461E-2</v>
      </c>
    </row>
    <row r="258" spans="1:19">
      <c r="A258" s="53">
        <v>97.49</v>
      </c>
      <c r="B258" s="53">
        <v>98.28</v>
      </c>
      <c r="C258" s="53">
        <v>97.025000000000006</v>
      </c>
      <c r="D258" s="53">
        <v>97.49</v>
      </c>
      <c r="E258" s="53">
        <v>140807</v>
      </c>
      <c r="F258" s="53" t="s">
        <v>283</v>
      </c>
      <c r="G258" s="25">
        <f t="shared" si="0"/>
        <v>0</v>
      </c>
    </row>
    <row r="259" spans="1:19">
      <c r="A259" s="53">
        <v>97.07</v>
      </c>
      <c r="B259" s="53">
        <v>97.53</v>
      </c>
      <c r="C259" s="53">
        <v>90.81</v>
      </c>
      <c r="D259" s="53">
        <v>95.1</v>
      </c>
      <c r="E259" s="53">
        <v>171869</v>
      </c>
      <c r="F259" s="53" t="s">
        <v>284</v>
      </c>
      <c r="G259" s="25">
        <f t="shared" si="0"/>
        <v>2.0715036803364839E-2</v>
      </c>
    </row>
    <row r="260" spans="1:19">
      <c r="A260" s="53">
        <v>94.56</v>
      </c>
      <c r="B260" s="53">
        <v>95.7</v>
      </c>
      <c r="C260" s="53">
        <v>90.87</v>
      </c>
      <c r="D260" s="53">
        <v>94.93</v>
      </c>
      <c r="E260" s="53">
        <v>139206</v>
      </c>
      <c r="F260" s="53" t="s">
        <v>285</v>
      </c>
      <c r="G260" s="25">
        <f t="shared" si="0"/>
        <v>-3.8976087643527446E-3</v>
      </c>
    </row>
    <row r="261" spans="1:19">
      <c r="A261" s="53">
        <v>95.03</v>
      </c>
      <c r="B261" s="53">
        <v>96.22</v>
      </c>
      <c r="C261" s="53">
        <v>94.325000000000003</v>
      </c>
      <c r="D261" s="53">
        <v>94.72</v>
      </c>
      <c r="E261" s="53">
        <v>140587</v>
      </c>
      <c r="F261" s="53" t="s">
        <v>286</v>
      </c>
      <c r="G261" s="25">
        <f t="shared" si="0"/>
        <v>3.2728040540541681E-3</v>
      </c>
      <c r="I261" s="26"/>
      <c r="J261" s="26" t="s">
        <v>33</v>
      </c>
      <c r="K261" s="27">
        <f>MIN(G248:G1503)</f>
        <v>-0.11685393258426968</v>
      </c>
    </row>
    <row r="262" spans="1:19">
      <c r="A262" s="53">
        <v>95.364999999999995</v>
      </c>
      <c r="B262" s="53">
        <v>97.4375</v>
      </c>
      <c r="C262" s="53">
        <v>94.77</v>
      </c>
      <c r="D262" s="53">
        <v>96</v>
      </c>
      <c r="E262" s="53">
        <v>93841</v>
      </c>
      <c r="F262" s="53" t="s">
        <v>287</v>
      </c>
      <c r="G262" s="25">
        <f t="shared" si="0"/>
        <v>-6.6145833333334236E-3</v>
      </c>
      <c r="I262" s="26"/>
      <c r="J262" s="26" t="s">
        <v>34</v>
      </c>
      <c r="K262" s="27">
        <f>MAX(G248:G1503)</f>
        <v>9.3230769230769228E-2</v>
      </c>
    </row>
    <row r="263" spans="1:19">
      <c r="A263" s="53">
        <v>95.27</v>
      </c>
      <c r="B263" s="53">
        <v>95.69</v>
      </c>
      <c r="C263" s="53">
        <v>94.06</v>
      </c>
      <c r="D263" s="53">
        <v>95.69</v>
      </c>
      <c r="E263" s="53">
        <v>130646</v>
      </c>
      <c r="F263" s="53" t="s">
        <v>288</v>
      </c>
      <c r="G263" s="25">
        <f t="shared" si="0"/>
        <v>-4.3891733723482318E-3</v>
      </c>
      <c r="I263" s="26"/>
      <c r="J263" s="26" t="s">
        <v>35</v>
      </c>
      <c r="K263" s="27">
        <f>AVERAGE(G248:G1503)</f>
        <v>5.920784401813123E-4</v>
      </c>
    </row>
    <row r="264" spans="1:19">
      <c r="A264" s="53">
        <v>95.68</v>
      </c>
      <c r="B264" s="53">
        <v>95.91</v>
      </c>
      <c r="C264" s="53">
        <v>94.51</v>
      </c>
      <c r="D264" s="53">
        <v>94.68</v>
      </c>
      <c r="E264" s="53">
        <v>130973</v>
      </c>
      <c r="F264" s="53" t="s">
        <v>289</v>
      </c>
      <c r="G264" s="25">
        <f t="shared" si="0"/>
        <v>1.056189269117036E-2</v>
      </c>
      <c r="I264" s="26"/>
      <c r="J264" s="26" t="s">
        <v>36</v>
      </c>
      <c r="K264" s="27">
        <f>MEDIAN(G248:G1503)</f>
        <v>7.0090502350061978E-4</v>
      </c>
    </row>
    <row r="265" spans="1:19" ht="15">
      <c r="A265" s="53">
        <v>95.28</v>
      </c>
      <c r="B265" s="53">
        <v>97.73</v>
      </c>
      <c r="C265" s="53">
        <v>89.25</v>
      </c>
      <c r="D265" s="53">
        <v>97.73</v>
      </c>
      <c r="E265" s="53">
        <v>509712</v>
      </c>
      <c r="F265" s="53" t="s">
        <v>290</v>
      </c>
      <c r="G265" s="25">
        <f t="shared" si="0"/>
        <v>-2.5069067839967318E-2</v>
      </c>
      <c r="I265" s="26"/>
      <c r="J265" s="26" t="s">
        <v>37</v>
      </c>
      <c r="K265" s="27">
        <f>_xlfn.STDEV.P(G248:G1503)</f>
        <v>1.9636063763123747E-2</v>
      </c>
      <c r="M265" s="2"/>
    </row>
    <row r="266" spans="1:19" ht="15">
      <c r="A266" s="53">
        <v>97.6</v>
      </c>
      <c r="B266" s="53">
        <v>100.03</v>
      </c>
      <c r="C266" s="53">
        <v>97.49</v>
      </c>
      <c r="D266" s="53">
        <v>99.76</v>
      </c>
      <c r="E266" s="53">
        <v>207119</v>
      </c>
      <c r="F266" s="53" t="s">
        <v>291</v>
      </c>
      <c r="G266" s="25">
        <f t="shared" si="0"/>
        <v>-2.1651964715316829E-2</v>
      </c>
      <c r="I266" s="26"/>
      <c r="J266" s="28" t="s">
        <v>38</v>
      </c>
      <c r="K266" s="27">
        <f>3*K265</f>
        <v>5.8908191289371241E-2</v>
      </c>
      <c r="L266" s="26"/>
      <c r="M266" s="2" t="s">
        <v>211</v>
      </c>
    </row>
    <row r="267" spans="1:19" ht="15">
      <c r="A267" s="53">
        <v>100.33</v>
      </c>
      <c r="B267" s="53">
        <v>100.965</v>
      </c>
      <c r="C267" s="53">
        <v>96.8</v>
      </c>
      <c r="D267" s="53">
        <v>96.91</v>
      </c>
      <c r="E267" s="53">
        <v>180549</v>
      </c>
      <c r="F267" s="53" t="s">
        <v>292</v>
      </c>
      <c r="G267" s="25">
        <f t="shared" si="0"/>
        <v>3.5290475699102375E-2</v>
      </c>
      <c r="I267" s="26"/>
      <c r="J267" s="28" t="s">
        <v>39</v>
      </c>
      <c r="K267" s="26">
        <v>0.78</v>
      </c>
      <c r="L267" s="26"/>
      <c r="M267" s="2" t="s">
        <v>40</v>
      </c>
    </row>
    <row r="268" spans="1:19">
      <c r="A268" s="53">
        <v>96.45</v>
      </c>
      <c r="B268" s="53">
        <v>97.04</v>
      </c>
      <c r="C268" s="53">
        <v>95.534999999999997</v>
      </c>
      <c r="D268" s="53">
        <v>96.25</v>
      </c>
      <c r="E268" s="53">
        <v>223269</v>
      </c>
      <c r="F268" s="53" t="s">
        <v>293</v>
      </c>
      <c r="G268" s="25">
        <f t="shared" si="0"/>
        <v>2.077922077922123E-3</v>
      </c>
    </row>
    <row r="269" spans="1:19">
      <c r="A269" s="53">
        <v>96.71</v>
      </c>
      <c r="B269" s="53">
        <v>97.52</v>
      </c>
      <c r="C269" s="53">
        <v>95.54</v>
      </c>
      <c r="D269" s="53">
        <v>95.54</v>
      </c>
      <c r="E269" s="53">
        <v>324799</v>
      </c>
      <c r="F269" s="53" t="s">
        <v>294</v>
      </c>
      <c r="G269" s="25">
        <f t="shared" si="0"/>
        <v>1.2246179610634123E-2</v>
      </c>
      <c r="K269" s="29" t="s">
        <v>41</v>
      </c>
      <c r="L269" s="30">
        <v>1256</v>
      </c>
    </row>
    <row r="270" spans="1:19" ht="15" thickBot="1">
      <c r="A270" s="53">
        <v>95.33</v>
      </c>
      <c r="B270" s="53">
        <v>95.855000000000004</v>
      </c>
      <c r="C270" s="53">
        <v>94.48</v>
      </c>
      <c r="D270" s="53">
        <v>95.01</v>
      </c>
      <c r="E270" s="53">
        <v>118129</v>
      </c>
      <c r="F270" s="53" t="s">
        <v>295</v>
      </c>
      <c r="G270" s="25">
        <f t="shared" si="0"/>
        <v>3.3680665193136505E-3</v>
      </c>
      <c r="K270" s="1" t="s">
        <v>42</v>
      </c>
      <c r="N270" s="1" t="s">
        <v>43</v>
      </c>
      <c r="R270" s="1" t="s">
        <v>44</v>
      </c>
    </row>
    <row r="271" spans="1:19" ht="15" customHeight="1">
      <c r="A271" s="53">
        <v>95.04</v>
      </c>
      <c r="B271" s="53">
        <v>97.25</v>
      </c>
      <c r="C271" s="53">
        <v>94.75</v>
      </c>
      <c r="D271" s="53">
        <v>96.22</v>
      </c>
      <c r="E271" s="53">
        <v>120983</v>
      </c>
      <c r="F271" s="53" t="s">
        <v>296</v>
      </c>
      <c r="G271" s="25">
        <f t="shared" si="0"/>
        <v>-1.2263562668883732E-2</v>
      </c>
      <c r="K271" s="31" t="s">
        <v>45</v>
      </c>
      <c r="L271" s="31" t="s">
        <v>46</v>
      </c>
      <c r="N271" s="32" t="s">
        <v>47</v>
      </c>
      <c r="O271" s="33" t="s">
        <v>48</v>
      </c>
      <c r="R271" s="32" t="s">
        <v>49</v>
      </c>
      <c r="S271" s="33" t="s">
        <v>50</v>
      </c>
    </row>
    <row r="272" spans="1:19">
      <c r="A272" s="53">
        <v>95.91</v>
      </c>
      <c r="B272" s="53">
        <v>97.25</v>
      </c>
      <c r="C272" s="53">
        <v>94.87</v>
      </c>
      <c r="D272" s="53">
        <v>96.26</v>
      </c>
      <c r="E272" s="53">
        <v>270698</v>
      </c>
      <c r="F272" s="53" t="s">
        <v>297</v>
      </c>
      <c r="G272" s="25">
        <f t="shared" si="0"/>
        <v>-3.6359858715978577E-3</v>
      </c>
      <c r="Q272" s="1" t="s">
        <v>201</v>
      </c>
      <c r="R272" s="54">
        <f>K263</f>
        <v>5.920784401813123E-4</v>
      </c>
    </row>
    <row r="273" spans="1:18">
      <c r="A273" s="53">
        <v>95.81</v>
      </c>
      <c r="B273" s="53">
        <v>96.48</v>
      </c>
      <c r="C273" s="53">
        <v>94.07</v>
      </c>
      <c r="D273" s="53">
        <v>94.62</v>
      </c>
      <c r="E273" s="53">
        <v>193215</v>
      </c>
      <c r="F273" s="53" t="s">
        <v>298</v>
      </c>
      <c r="G273" s="25">
        <f t="shared" si="0"/>
        <v>1.2576622278587912E-2</v>
      </c>
      <c r="R273" s="54">
        <f>K263</f>
        <v>5.920784401813123E-4</v>
      </c>
    </row>
    <row r="274" spans="1:18">
      <c r="A274" s="53">
        <v>95.15</v>
      </c>
      <c r="B274" s="53">
        <v>96.12</v>
      </c>
      <c r="C274" s="53">
        <v>94.42</v>
      </c>
      <c r="D274" s="53">
        <v>94.5</v>
      </c>
      <c r="E274" s="53">
        <v>110154</v>
      </c>
      <c r="F274" s="53" t="s">
        <v>299</v>
      </c>
      <c r="G274" s="25">
        <f t="shared" si="0"/>
        <v>6.8783068783069279E-3</v>
      </c>
      <c r="Q274" s="40" t="s">
        <v>202</v>
      </c>
      <c r="R274" s="54">
        <f>($K$265*-3)+$K$263</f>
        <v>-5.831611284918993E-2</v>
      </c>
    </row>
    <row r="275" spans="1:18">
      <c r="A275" s="53">
        <v>94.38</v>
      </c>
      <c r="B275" s="53">
        <v>94.4</v>
      </c>
      <c r="C275" s="53">
        <v>91.850099999999998</v>
      </c>
      <c r="D275" s="53">
        <v>92.78</v>
      </c>
      <c r="E275" s="53">
        <v>215588</v>
      </c>
      <c r="F275" s="53" t="s">
        <v>300</v>
      </c>
      <c r="G275" s="25">
        <f t="shared" si="0"/>
        <v>1.724509592584611E-2</v>
      </c>
      <c r="Q275" s="41"/>
      <c r="R275" s="54">
        <f>($K$265*-3)+$K$263</f>
        <v>-5.831611284918993E-2</v>
      </c>
    </row>
    <row r="276" spans="1:18">
      <c r="A276" s="53">
        <v>92.62</v>
      </c>
      <c r="B276" s="53">
        <v>93.3</v>
      </c>
      <c r="C276" s="53">
        <v>91.38</v>
      </c>
      <c r="D276" s="53">
        <v>91.89</v>
      </c>
      <c r="E276" s="53">
        <v>223014</v>
      </c>
      <c r="F276" s="53" t="s">
        <v>301</v>
      </c>
      <c r="G276" s="25">
        <f t="shared" si="0"/>
        <v>7.944281205789494E-3</v>
      </c>
      <c r="Q276" s="40" t="s">
        <v>203</v>
      </c>
      <c r="R276" s="54">
        <f>($K$265*-2)+$K$263</f>
        <v>-3.8680049086066183E-2</v>
      </c>
    </row>
    <row r="277" spans="1:18">
      <c r="A277" s="53">
        <v>92.28</v>
      </c>
      <c r="B277" s="53">
        <v>94.61</v>
      </c>
      <c r="C277" s="53">
        <v>90.93</v>
      </c>
      <c r="D277" s="53">
        <v>94</v>
      </c>
      <c r="E277" s="53">
        <v>149596</v>
      </c>
      <c r="F277" s="53" t="s">
        <v>302</v>
      </c>
      <c r="G277" s="25">
        <f t="shared" si="0"/>
        <v>-1.8297872340425569E-2</v>
      </c>
      <c r="Q277" s="41"/>
      <c r="R277" s="54">
        <f>($K$265*-2)+$K$263</f>
        <v>-3.8680049086066183E-2</v>
      </c>
    </row>
    <row r="278" spans="1:18">
      <c r="A278" s="53">
        <v>94.26</v>
      </c>
      <c r="B278" s="53">
        <v>94.760999999999996</v>
      </c>
      <c r="C278" s="53">
        <v>92.36</v>
      </c>
      <c r="D278" s="53">
        <v>93.98</v>
      </c>
      <c r="E278" s="53">
        <v>296181</v>
      </c>
      <c r="F278" s="53" t="s">
        <v>303</v>
      </c>
      <c r="G278" s="25">
        <f t="shared" si="0"/>
        <v>2.9793573100660442E-3</v>
      </c>
      <c r="Q278" s="42" t="s">
        <v>204</v>
      </c>
      <c r="R278" s="54">
        <f>($K$265*-1)+$K$263</f>
        <v>-1.9043985322942436E-2</v>
      </c>
    </row>
    <row r="279" spans="1:18">
      <c r="A279" s="53">
        <v>93.23</v>
      </c>
      <c r="B279" s="53">
        <v>97.02</v>
      </c>
      <c r="C279" s="53">
        <v>90.772499999999994</v>
      </c>
      <c r="D279" s="53">
        <v>93.03</v>
      </c>
      <c r="E279" s="53">
        <v>428668</v>
      </c>
      <c r="F279" s="53" t="s">
        <v>304</v>
      </c>
      <c r="G279" s="25">
        <f t="shared" si="0"/>
        <v>2.1498441363001497E-3</v>
      </c>
      <c r="R279" s="54">
        <f>($K$265*-1)+$K$263</f>
        <v>-1.9043985322942436E-2</v>
      </c>
    </row>
    <row r="280" spans="1:18">
      <c r="A280" s="53">
        <v>85.6</v>
      </c>
      <c r="B280" s="53">
        <v>86.63</v>
      </c>
      <c r="C280" s="53">
        <v>83.614999999999995</v>
      </c>
      <c r="D280" s="53">
        <v>84.22</v>
      </c>
      <c r="E280" s="53">
        <v>340818</v>
      </c>
      <c r="F280" s="53" t="s">
        <v>305</v>
      </c>
      <c r="G280" s="25">
        <f t="shared" si="0"/>
        <v>1.6385656613630895E-2</v>
      </c>
      <c r="Q280" s="1" t="s">
        <v>205</v>
      </c>
      <c r="R280" s="54">
        <f>($K$265*1)+$K$263</f>
        <v>2.0228142203305058E-2</v>
      </c>
    </row>
    <row r="281" spans="1:18">
      <c r="A281" s="53">
        <v>84.36</v>
      </c>
      <c r="B281" s="53">
        <v>84.47</v>
      </c>
      <c r="C281" s="53">
        <v>81.489999999999995</v>
      </c>
      <c r="D281" s="53">
        <v>81.489999999999995</v>
      </c>
      <c r="E281" s="53">
        <v>154708</v>
      </c>
      <c r="F281" s="53" t="s">
        <v>306</v>
      </c>
      <c r="G281" s="25">
        <f t="shared" si="0"/>
        <v>3.5219045281629668E-2</v>
      </c>
      <c r="R281" s="54">
        <f>($K$265*1)+$K$263</f>
        <v>2.0228142203305058E-2</v>
      </c>
    </row>
    <row r="282" spans="1:18">
      <c r="A282" s="53">
        <v>81.040000000000006</v>
      </c>
      <c r="B282" s="53">
        <v>81.599999999999994</v>
      </c>
      <c r="C282" s="53">
        <v>79.004999999999995</v>
      </c>
      <c r="D282" s="53">
        <v>80.849999999999994</v>
      </c>
      <c r="E282" s="53">
        <v>126468</v>
      </c>
      <c r="F282" s="53" t="s">
        <v>307</v>
      </c>
      <c r="G282" s="25">
        <f t="shared" si="0"/>
        <v>2.3500309214596893E-3</v>
      </c>
      <c r="Q282" s="43" t="s">
        <v>206</v>
      </c>
      <c r="R282" s="54">
        <f>($K$265*2)+$K$263</f>
        <v>3.9864205966428805E-2</v>
      </c>
    </row>
    <row r="283" spans="1:18">
      <c r="A283" s="53">
        <v>81.239999999999995</v>
      </c>
      <c r="B283" s="53">
        <v>81.935000000000002</v>
      </c>
      <c r="C283" s="53">
        <v>80.05</v>
      </c>
      <c r="D283" s="53">
        <v>81.349999999999994</v>
      </c>
      <c r="E283" s="53">
        <v>107237</v>
      </c>
      <c r="F283" s="53" t="s">
        <v>308</v>
      </c>
      <c r="G283" s="25">
        <f t="shared" si="0"/>
        <v>-1.3521819299323612E-3</v>
      </c>
      <c r="R283" s="54">
        <f>($K$265*2)+$K$263</f>
        <v>3.9864205966428805E-2</v>
      </c>
    </row>
    <row r="284" spans="1:18">
      <c r="A284" s="53">
        <v>81.97</v>
      </c>
      <c r="B284" s="53">
        <v>83.325000000000003</v>
      </c>
      <c r="C284" s="53">
        <v>81.36</v>
      </c>
      <c r="D284" s="53">
        <v>82.62</v>
      </c>
      <c r="E284" s="53">
        <v>86456</v>
      </c>
      <c r="F284" s="53" t="s">
        <v>309</v>
      </c>
      <c r="G284" s="25">
        <f t="shared" si="0"/>
        <v>-7.8673444686516714E-3</v>
      </c>
      <c r="Q284" s="43" t="s">
        <v>207</v>
      </c>
      <c r="R284" s="54">
        <f>($K$265*3)+$K$263</f>
        <v>5.9500269729552552E-2</v>
      </c>
    </row>
    <row r="285" spans="1:18">
      <c r="A285" s="53">
        <v>82.44</v>
      </c>
      <c r="B285" s="53">
        <v>83.2</v>
      </c>
      <c r="C285" s="53">
        <v>81.760000000000005</v>
      </c>
      <c r="D285" s="53">
        <v>83.11</v>
      </c>
      <c r="E285" s="53">
        <v>71411</v>
      </c>
      <c r="F285" s="53" t="s">
        <v>310</v>
      </c>
      <c r="G285" s="25">
        <f t="shared" si="0"/>
        <v>-8.061605101672531E-3</v>
      </c>
      <c r="Q285" s="43"/>
      <c r="R285" s="54">
        <f>($K$265*3)+$K$263</f>
        <v>5.9500269729552552E-2</v>
      </c>
    </row>
    <row r="286" spans="1:18">
      <c r="A286" s="53">
        <v>82.47</v>
      </c>
      <c r="B286" s="53">
        <v>83.46</v>
      </c>
      <c r="C286" s="53">
        <v>82.215000000000003</v>
      </c>
      <c r="D286" s="53">
        <v>82.5</v>
      </c>
      <c r="E286" s="53">
        <v>108312</v>
      </c>
      <c r="F286" s="53" t="s">
        <v>311</v>
      </c>
      <c r="G286" s="25">
        <f t="shared" si="0"/>
        <v>-3.6363636363634377E-4</v>
      </c>
    </row>
    <row r="287" spans="1:18">
      <c r="A287" s="53">
        <v>82.43</v>
      </c>
      <c r="B287" s="53">
        <v>82.69</v>
      </c>
      <c r="C287" s="53">
        <v>80.599999999999994</v>
      </c>
      <c r="D287" s="53">
        <v>81.09</v>
      </c>
      <c r="E287" s="53">
        <v>116150</v>
      </c>
      <c r="F287" s="53" t="s">
        <v>312</v>
      </c>
      <c r="G287" s="25">
        <f t="shared" si="0"/>
        <v>1.6524848933284098E-2</v>
      </c>
    </row>
    <row r="288" spans="1:18">
      <c r="A288" s="53">
        <v>80.77</v>
      </c>
      <c r="B288" s="53">
        <v>82.1</v>
      </c>
      <c r="C288" s="53">
        <v>80.67</v>
      </c>
      <c r="D288" s="53">
        <v>82.09</v>
      </c>
      <c r="E288" s="53">
        <v>102061</v>
      </c>
      <c r="F288" s="53" t="s">
        <v>313</v>
      </c>
      <c r="G288" s="25">
        <f t="shared" si="0"/>
        <v>-1.607991229138761E-2</v>
      </c>
    </row>
    <row r="289" spans="1:7">
      <c r="A289" s="53">
        <v>82.16</v>
      </c>
      <c r="B289" s="53">
        <v>82.314999999999998</v>
      </c>
      <c r="C289" s="53">
        <v>80.44</v>
      </c>
      <c r="D289" s="53">
        <v>80.87</v>
      </c>
      <c r="E289" s="53">
        <v>119320</v>
      </c>
      <c r="F289" s="53" t="s">
        <v>314</v>
      </c>
      <c r="G289" s="25">
        <f t="shared" si="0"/>
        <v>1.5951527142327171E-2</v>
      </c>
    </row>
    <row r="290" spans="1:7">
      <c r="A290" s="53">
        <v>80.39</v>
      </c>
      <c r="B290" s="53">
        <v>82.02</v>
      </c>
      <c r="C290" s="53">
        <v>80.239999999999995</v>
      </c>
      <c r="D290" s="53">
        <v>80.239999999999995</v>
      </c>
      <c r="E290" s="53">
        <v>109287</v>
      </c>
      <c r="F290" s="53" t="s">
        <v>315</v>
      </c>
      <c r="G290" s="25">
        <f t="shared" si="0"/>
        <v>1.8693918245265007E-3</v>
      </c>
    </row>
    <row r="291" spans="1:7">
      <c r="A291" s="53">
        <v>79.819999999999993</v>
      </c>
      <c r="B291" s="53">
        <v>80.649900000000002</v>
      </c>
      <c r="C291" s="53">
        <v>79.599999999999994</v>
      </c>
      <c r="D291" s="53">
        <v>79.78</v>
      </c>
      <c r="E291" s="53">
        <v>102976</v>
      </c>
      <c r="F291" s="53" t="s">
        <v>316</v>
      </c>
      <c r="G291" s="25">
        <f t="shared" si="0"/>
        <v>5.013787916769985E-4</v>
      </c>
    </row>
    <row r="292" spans="1:7">
      <c r="A292" s="53">
        <v>79.77</v>
      </c>
      <c r="B292" s="53">
        <v>83.13</v>
      </c>
      <c r="C292" s="53">
        <v>79.650000000000006</v>
      </c>
      <c r="D292" s="53">
        <v>82.92</v>
      </c>
      <c r="E292" s="53">
        <v>121008</v>
      </c>
      <c r="F292" s="53" t="s">
        <v>317</v>
      </c>
      <c r="G292" s="25">
        <f t="shared" si="0"/>
        <v>-3.7988422575976899E-2</v>
      </c>
    </row>
    <row r="293" spans="1:7">
      <c r="A293" s="53">
        <v>82.1</v>
      </c>
      <c r="B293" s="53">
        <v>83.275000000000006</v>
      </c>
      <c r="C293" s="53">
        <v>81.56</v>
      </c>
      <c r="D293" s="53">
        <v>82.5</v>
      </c>
      <c r="E293" s="53">
        <v>135425</v>
      </c>
      <c r="F293" s="53" t="s">
        <v>318</v>
      </c>
      <c r="G293" s="25">
        <f t="shared" si="0"/>
        <v>-4.8484848484848797E-3</v>
      </c>
    </row>
    <row r="294" spans="1:7">
      <c r="A294" s="53">
        <v>82.61</v>
      </c>
      <c r="B294" s="53">
        <v>83.78</v>
      </c>
      <c r="C294" s="53">
        <v>81.87</v>
      </c>
      <c r="D294" s="53">
        <v>82.84</v>
      </c>
      <c r="E294" s="53">
        <v>103948</v>
      </c>
      <c r="F294" s="53" t="s">
        <v>319</v>
      </c>
      <c r="G294" s="25">
        <f t="shared" si="0"/>
        <v>-2.7764365041043071E-3</v>
      </c>
    </row>
    <row r="295" spans="1:7">
      <c r="A295" s="53">
        <v>82.23</v>
      </c>
      <c r="B295" s="53">
        <v>84.784999999999997</v>
      </c>
      <c r="C295" s="53">
        <v>81.91</v>
      </c>
      <c r="D295" s="53">
        <v>84.03</v>
      </c>
      <c r="E295" s="53">
        <v>135033</v>
      </c>
      <c r="F295" s="53" t="s">
        <v>320</v>
      </c>
      <c r="G295" s="25">
        <f t="shared" si="0"/>
        <v>-2.1420921099607249E-2</v>
      </c>
    </row>
    <row r="296" spans="1:7">
      <c r="A296" s="53">
        <v>84.09</v>
      </c>
      <c r="B296" s="53">
        <v>84.9499</v>
      </c>
      <c r="C296" s="53">
        <v>83.3</v>
      </c>
      <c r="D296" s="53">
        <v>83.72</v>
      </c>
      <c r="E296" s="53">
        <v>73227</v>
      </c>
      <c r="F296" s="53" t="s">
        <v>321</v>
      </c>
      <c r="G296" s="25">
        <f t="shared" si="0"/>
        <v>4.4194935499284327E-3</v>
      </c>
    </row>
    <row r="297" spans="1:7">
      <c r="A297" s="53">
        <v>83.685000000000002</v>
      </c>
      <c r="B297" s="53">
        <v>85.5</v>
      </c>
      <c r="C297" s="53">
        <v>82.77</v>
      </c>
      <c r="D297" s="53">
        <v>85.5</v>
      </c>
      <c r="E297" s="53">
        <v>84551</v>
      </c>
      <c r="F297" s="53" t="s">
        <v>322</v>
      </c>
      <c r="G297" s="25">
        <f t="shared" si="0"/>
        <v>-2.1228070175438596E-2</v>
      </c>
    </row>
    <row r="298" spans="1:7">
      <c r="A298" s="53">
        <v>85.75</v>
      </c>
      <c r="B298" s="53">
        <v>86.94</v>
      </c>
      <c r="C298" s="53">
        <v>84.745000000000005</v>
      </c>
      <c r="D298" s="53">
        <v>84.78</v>
      </c>
      <c r="E298" s="53">
        <v>113383</v>
      </c>
      <c r="F298" s="53" t="s">
        <v>323</v>
      </c>
      <c r="G298" s="25">
        <f t="shared" si="0"/>
        <v>1.144137768341591E-2</v>
      </c>
    </row>
    <row r="299" spans="1:7">
      <c r="A299" s="53">
        <v>84.55</v>
      </c>
      <c r="B299" s="53">
        <v>84.68</v>
      </c>
      <c r="C299" s="53">
        <v>83.33</v>
      </c>
      <c r="D299" s="53">
        <v>84.68</v>
      </c>
      <c r="E299" s="53">
        <v>95480</v>
      </c>
      <c r="F299" s="53" t="s">
        <v>324</v>
      </c>
      <c r="G299" s="25">
        <f t="shared" si="0"/>
        <v>-1.5351913084554747E-3</v>
      </c>
    </row>
    <row r="300" spans="1:7">
      <c r="A300" s="53">
        <v>83.91</v>
      </c>
      <c r="B300" s="53">
        <v>84.72</v>
      </c>
      <c r="C300" s="53">
        <v>82.78</v>
      </c>
      <c r="D300" s="53">
        <v>83.02</v>
      </c>
      <c r="E300" s="53">
        <v>128206</v>
      </c>
      <c r="F300" s="53" t="s">
        <v>325</v>
      </c>
      <c r="G300" s="25">
        <f t="shared" si="0"/>
        <v>1.0720308359431385E-2</v>
      </c>
    </row>
    <row r="301" spans="1:7">
      <c r="A301" s="53">
        <v>82.98</v>
      </c>
      <c r="B301" s="53">
        <v>84.63</v>
      </c>
      <c r="C301" s="53">
        <v>82.756600000000006</v>
      </c>
      <c r="D301" s="53">
        <v>84.04</v>
      </c>
      <c r="E301" s="53">
        <v>109194</v>
      </c>
      <c r="F301" s="53" t="s">
        <v>326</v>
      </c>
      <c r="G301" s="25">
        <f t="shared" si="0"/>
        <v>-1.2613041408852999E-2</v>
      </c>
    </row>
    <row r="302" spans="1:7">
      <c r="A302" s="53">
        <v>84.39</v>
      </c>
      <c r="B302" s="53">
        <v>84.58</v>
      </c>
      <c r="C302" s="53">
        <v>83.15</v>
      </c>
      <c r="D302" s="53">
        <v>84.4</v>
      </c>
      <c r="E302" s="53">
        <v>75102</v>
      </c>
      <c r="F302" s="53" t="s">
        <v>327</v>
      </c>
      <c r="G302" s="25">
        <f t="shared" si="0"/>
        <v>-1.1848341232234549E-4</v>
      </c>
    </row>
    <row r="303" spans="1:7">
      <c r="A303" s="53">
        <v>83.844999999999999</v>
      </c>
      <c r="B303" s="53">
        <v>84.405000000000001</v>
      </c>
      <c r="C303" s="53">
        <v>82.06</v>
      </c>
      <c r="D303" s="53">
        <v>83.55</v>
      </c>
      <c r="E303" s="53">
        <v>122853</v>
      </c>
      <c r="F303" s="53" t="s">
        <v>328</v>
      </c>
      <c r="G303" s="25">
        <f t="shared" si="0"/>
        <v>3.5308198683423608E-3</v>
      </c>
    </row>
    <row r="304" spans="1:7">
      <c r="A304" s="53">
        <v>83.69</v>
      </c>
      <c r="B304" s="53">
        <v>84.98</v>
      </c>
      <c r="C304" s="53">
        <v>82.64</v>
      </c>
      <c r="D304" s="53">
        <v>82.92</v>
      </c>
      <c r="E304" s="53">
        <v>108025</v>
      </c>
      <c r="F304" s="53" t="s">
        <v>329</v>
      </c>
      <c r="G304" s="25">
        <f t="shared" si="0"/>
        <v>9.2860588519054765E-3</v>
      </c>
    </row>
    <row r="305" spans="1:30">
      <c r="A305" s="53">
        <v>83.05</v>
      </c>
      <c r="B305" s="53">
        <v>83.72</v>
      </c>
      <c r="C305" s="53">
        <v>82.353800000000007</v>
      </c>
      <c r="D305" s="53">
        <v>82.92</v>
      </c>
      <c r="E305" s="53">
        <v>126127</v>
      </c>
      <c r="F305" s="53" t="s">
        <v>330</v>
      </c>
      <c r="G305" s="25">
        <f t="shared" si="0"/>
        <v>1.567776169802082E-3</v>
      </c>
    </row>
    <row r="306" spans="1:30">
      <c r="A306" s="53">
        <v>82.57</v>
      </c>
      <c r="B306" s="53">
        <v>83.33</v>
      </c>
      <c r="C306" s="53">
        <v>81.885000000000005</v>
      </c>
      <c r="D306" s="53">
        <v>82.37</v>
      </c>
      <c r="E306" s="53">
        <v>230472</v>
      </c>
      <c r="F306" s="53" t="s">
        <v>331</v>
      </c>
      <c r="G306" s="25">
        <f t="shared" si="0"/>
        <v>2.4280684715307643E-3</v>
      </c>
    </row>
    <row r="307" spans="1:30">
      <c r="A307" s="53">
        <v>82.4</v>
      </c>
      <c r="B307" s="53">
        <v>84.65</v>
      </c>
      <c r="C307" s="53">
        <v>80.86</v>
      </c>
      <c r="D307" s="53">
        <v>84.65</v>
      </c>
      <c r="E307" s="53">
        <v>165878</v>
      </c>
      <c r="F307" s="53" t="s">
        <v>332</v>
      </c>
      <c r="G307" s="25">
        <f t="shared" si="0"/>
        <v>-2.6580035440047278E-2</v>
      </c>
    </row>
    <row r="308" spans="1:30">
      <c r="A308" s="53">
        <v>84.54</v>
      </c>
      <c r="B308" s="53">
        <v>85.39</v>
      </c>
      <c r="C308" s="53">
        <v>83.885000000000005</v>
      </c>
      <c r="D308" s="53">
        <v>84.62</v>
      </c>
      <c r="E308" s="53">
        <v>164292</v>
      </c>
      <c r="F308" s="53" t="s">
        <v>333</v>
      </c>
      <c r="G308" s="25">
        <f t="shared" si="0"/>
        <v>-9.4540297801937179E-4</v>
      </c>
    </row>
    <row r="309" spans="1:30">
      <c r="A309" s="53">
        <v>84.8</v>
      </c>
      <c r="B309" s="53">
        <v>84.83</v>
      </c>
      <c r="C309" s="53">
        <v>82.3</v>
      </c>
      <c r="D309" s="53">
        <v>83.54</v>
      </c>
      <c r="E309" s="53">
        <v>132835</v>
      </c>
      <c r="F309" s="53" t="s">
        <v>334</v>
      </c>
      <c r="G309" s="25">
        <f t="shared" si="0"/>
        <v>1.508259516399324E-2</v>
      </c>
    </row>
    <row r="310" spans="1:30">
      <c r="A310" s="53">
        <v>83.38</v>
      </c>
      <c r="B310" s="53">
        <v>83.38</v>
      </c>
      <c r="C310" s="53">
        <v>80.69</v>
      </c>
      <c r="D310" s="53">
        <v>81.78</v>
      </c>
      <c r="E310" s="53">
        <v>120453</v>
      </c>
      <c r="F310" s="53" t="s">
        <v>335</v>
      </c>
      <c r="G310" s="25">
        <f t="shared" si="0"/>
        <v>1.9564685742235133E-2</v>
      </c>
    </row>
    <row r="311" spans="1:30">
      <c r="A311" s="53">
        <v>81.78</v>
      </c>
      <c r="B311" s="53">
        <v>82.53</v>
      </c>
      <c r="C311" s="53">
        <v>81.08</v>
      </c>
      <c r="D311" s="53">
        <v>82.39</v>
      </c>
      <c r="E311" s="53">
        <v>467754</v>
      </c>
      <c r="F311" s="53" t="s">
        <v>336</v>
      </c>
      <c r="G311" s="25">
        <f t="shared" si="0"/>
        <v>-7.4038111421288466E-3</v>
      </c>
    </row>
    <row r="312" spans="1:30">
      <c r="A312" s="53">
        <v>81.69</v>
      </c>
      <c r="B312" s="53">
        <v>82.3</v>
      </c>
      <c r="C312" s="53">
        <v>80.040000000000006</v>
      </c>
      <c r="D312" s="53">
        <v>80.84</v>
      </c>
      <c r="E312" s="53">
        <v>158431</v>
      </c>
      <c r="F312" s="53" t="s">
        <v>337</v>
      </c>
      <c r="G312" s="25">
        <f t="shared" si="0"/>
        <v>1.0514596734289894E-2</v>
      </c>
    </row>
    <row r="313" spans="1:30">
      <c r="A313" s="53">
        <v>81.010000000000005</v>
      </c>
      <c r="B313" s="53">
        <v>82.81</v>
      </c>
      <c r="C313" s="53">
        <v>81.010000000000005</v>
      </c>
      <c r="D313" s="53">
        <v>81.31</v>
      </c>
      <c r="E313" s="53">
        <v>164215</v>
      </c>
      <c r="F313" s="53" t="s">
        <v>338</v>
      </c>
      <c r="G313" s="25">
        <f t="shared" ref="G313:G376" si="1">A313/D313-1</f>
        <v>-3.6895830771122018E-3</v>
      </c>
    </row>
    <row r="314" spans="1:30">
      <c r="A314" s="53">
        <v>82.1</v>
      </c>
      <c r="B314" s="53">
        <v>83.15</v>
      </c>
      <c r="C314" s="53">
        <v>81.040000000000006</v>
      </c>
      <c r="D314" s="53">
        <v>82.01</v>
      </c>
      <c r="E314" s="53">
        <v>144522</v>
      </c>
      <c r="F314" s="53" t="s">
        <v>339</v>
      </c>
      <c r="G314" s="25">
        <f t="shared" si="1"/>
        <v>1.0974271430312932E-3</v>
      </c>
    </row>
    <row r="315" spans="1:30">
      <c r="A315" s="53">
        <v>81.13</v>
      </c>
      <c r="B315" s="53">
        <v>82.989000000000004</v>
      </c>
      <c r="C315" s="53">
        <v>80.69</v>
      </c>
      <c r="D315" s="53">
        <v>80.87</v>
      </c>
      <c r="E315" s="53">
        <v>229260</v>
      </c>
      <c r="F315" s="53" t="s">
        <v>340</v>
      </c>
      <c r="G315" s="25">
        <f t="shared" si="1"/>
        <v>3.2150364782983498E-3</v>
      </c>
    </row>
    <row r="316" spans="1:30">
      <c r="A316" s="53">
        <v>81.37</v>
      </c>
      <c r="B316" s="53">
        <v>83.27</v>
      </c>
      <c r="C316" s="53">
        <v>80.944999999999993</v>
      </c>
      <c r="D316" s="53">
        <v>82.58</v>
      </c>
      <c r="E316" s="53">
        <v>103908</v>
      </c>
      <c r="F316" s="53" t="s">
        <v>341</v>
      </c>
      <c r="G316" s="25">
        <f t="shared" si="1"/>
        <v>-1.4652458222329745E-2</v>
      </c>
    </row>
    <row r="317" spans="1:30">
      <c r="A317" s="53">
        <v>83.14</v>
      </c>
      <c r="B317" s="53">
        <v>84.46</v>
      </c>
      <c r="C317" s="53">
        <v>82.986000000000004</v>
      </c>
      <c r="D317" s="53">
        <v>83.68</v>
      </c>
      <c r="E317" s="53">
        <v>146477</v>
      </c>
      <c r="F317" s="53" t="s">
        <v>342</v>
      </c>
      <c r="G317" s="25">
        <f t="shared" si="1"/>
        <v>-6.4531548757170709E-3</v>
      </c>
    </row>
    <row r="318" spans="1:30" ht="15">
      <c r="A318" s="53">
        <v>83.63</v>
      </c>
      <c r="B318" s="53">
        <v>84.27</v>
      </c>
      <c r="C318" s="53">
        <v>82.93</v>
      </c>
      <c r="D318" s="53">
        <v>83.44</v>
      </c>
      <c r="E318" s="53">
        <v>110343</v>
      </c>
      <c r="F318" s="53" t="s">
        <v>343</v>
      </c>
      <c r="G318" s="25">
        <f t="shared" si="1"/>
        <v>2.2770853307765293E-3</v>
      </c>
      <c r="AD318" s="2" t="s">
        <v>199</v>
      </c>
    </row>
    <row r="319" spans="1:30">
      <c r="A319" s="53">
        <v>83.32</v>
      </c>
      <c r="B319" s="53">
        <v>84.5</v>
      </c>
      <c r="C319" s="53">
        <v>82.355000000000004</v>
      </c>
      <c r="D319" s="53">
        <v>84.5</v>
      </c>
      <c r="E319" s="53">
        <v>97071</v>
      </c>
      <c r="F319" s="53" t="s">
        <v>344</v>
      </c>
      <c r="G319" s="25">
        <f t="shared" si="1"/>
        <v>-1.3964497041420221E-2</v>
      </c>
      <c r="AD319" s="1" t="s">
        <v>200</v>
      </c>
    </row>
    <row r="320" spans="1:30">
      <c r="A320" s="53">
        <v>84.13</v>
      </c>
      <c r="B320" s="53">
        <v>85</v>
      </c>
      <c r="C320" s="53">
        <v>82.980099999999993</v>
      </c>
      <c r="D320" s="53">
        <v>84.51</v>
      </c>
      <c r="E320" s="53">
        <v>95034</v>
      </c>
      <c r="F320" s="53" t="s">
        <v>345</v>
      </c>
      <c r="G320" s="25">
        <f t="shared" si="1"/>
        <v>-4.4965092888417102E-3</v>
      </c>
    </row>
    <row r="321" spans="1:7">
      <c r="A321" s="53">
        <v>83.4</v>
      </c>
      <c r="B321" s="53">
        <v>83.915000000000006</v>
      </c>
      <c r="C321" s="53">
        <v>81.924999999999997</v>
      </c>
      <c r="D321" s="53">
        <v>82.52</v>
      </c>
      <c r="E321" s="53">
        <v>119039</v>
      </c>
      <c r="F321" s="53" t="s">
        <v>346</v>
      </c>
      <c r="G321" s="25">
        <f t="shared" si="1"/>
        <v>1.0664081434803796E-2</v>
      </c>
    </row>
    <row r="322" spans="1:7">
      <c r="A322" s="53">
        <v>82.55</v>
      </c>
      <c r="B322" s="53">
        <v>82.98</v>
      </c>
      <c r="C322" s="53">
        <v>82.215000000000003</v>
      </c>
      <c r="D322" s="53">
        <v>82.45</v>
      </c>
      <c r="E322" s="53">
        <v>101781</v>
      </c>
      <c r="F322" s="53" t="s">
        <v>347</v>
      </c>
      <c r="G322" s="25">
        <f t="shared" si="1"/>
        <v>1.2128562765312267E-3</v>
      </c>
    </row>
    <row r="323" spans="1:7">
      <c r="A323" s="53">
        <v>82.86</v>
      </c>
      <c r="B323" s="53">
        <v>83</v>
      </c>
      <c r="C323" s="53">
        <v>80.58</v>
      </c>
      <c r="D323" s="53">
        <v>80.61</v>
      </c>
      <c r="E323" s="53">
        <v>180817</v>
      </c>
      <c r="F323" s="53" t="s">
        <v>348</v>
      </c>
      <c r="G323" s="25">
        <f t="shared" si="1"/>
        <v>2.7912169705991863E-2</v>
      </c>
    </row>
    <row r="324" spans="1:7">
      <c r="A324" s="53">
        <v>80.400000000000006</v>
      </c>
      <c r="B324" s="53">
        <v>82.165000000000006</v>
      </c>
      <c r="C324" s="53">
        <v>79.382499999999993</v>
      </c>
      <c r="D324" s="53">
        <v>81.73</v>
      </c>
      <c r="E324" s="53">
        <v>172916</v>
      </c>
      <c r="F324" s="53" t="s">
        <v>349</v>
      </c>
      <c r="G324" s="25">
        <f t="shared" si="1"/>
        <v>-1.6273094335005456E-2</v>
      </c>
    </row>
    <row r="325" spans="1:7">
      <c r="A325" s="53">
        <v>82.2</v>
      </c>
      <c r="B325" s="53">
        <v>82.78</v>
      </c>
      <c r="C325" s="53">
        <v>80.37</v>
      </c>
      <c r="D325" s="53">
        <v>80.88</v>
      </c>
      <c r="E325" s="53">
        <v>166962</v>
      </c>
      <c r="F325" s="53" t="s">
        <v>350</v>
      </c>
      <c r="G325" s="25">
        <f t="shared" si="1"/>
        <v>1.6320474777448135E-2</v>
      </c>
    </row>
    <row r="326" spans="1:7">
      <c r="A326" s="53">
        <v>81.069999999999993</v>
      </c>
      <c r="B326" s="53">
        <v>82.67</v>
      </c>
      <c r="C326" s="53">
        <v>80.605000000000004</v>
      </c>
      <c r="D326" s="53">
        <v>81.510000000000005</v>
      </c>
      <c r="E326" s="53">
        <v>219640</v>
      </c>
      <c r="F326" s="53" t="s">
        <v>351</v>
      </c>
      <c r="G326" s="25">
        <f t="shared" si="1"/>
        <v>-5.398110661268718E-3</v>
      </c>
    </row>
    <row r="327" spans="1:7">
      <c r="A327" s="53">
        <v>81.010000000000005</v>
      </c>
      <c r="B327" s="53">
        <v>82.59</v>
      </c>
      <c r="C327" s="53">
        <v>80.540000000000006</v>
      </c>
      <c r="D327" s="53">
        <v>82.2</v>
      </c>
      <c r="E327" s="53">
        <v>165768</v>
      </c>
      <c r="F327" s="53" t="s">
        <v>352</v>
      </c>
      <c r="G327" s="25">
        <f t="shared" si="1"/>
        <v>-1.4476885644768789E-2</v>
      </c>
    </row>
    <row r="328" spans="1:7">
      <c r="A328" s="53">
        <v>82.68</v>
      </c>
      <c r="B328" s="53">
        <v>83.67</v>
      </c>
      <c r="C328" s="53">
        <v>81.790000000000006</v>
      </c>
      <c r="D328" s="53">
        <v>82.37</v>
      </c>
      <c r="E328" s="53">
        <v>227709</v>
      </c>
      <c r="F328" s="53" t="s">
        <v>353</v>
      </c>
      <c r="G328" s="25">
        <f t="shared" si="1"/>
        <v>3.7635061308729512E-3</v>
      </c>
    </row>
    <row r="329" spans="1:7">
      <c r="A329" s="53">
        <v>81.400000000000006</v>
      </c>
      <c r="B329" s="53">
        <v>81.474999999999994</v>
      </c>
      <c r="C329" s="53">
        <v>78.349999999999994</v>
      </c>
      <c r="D329" s="53">
        <v>78.52</v>
      </c>
      <c r="E329" s="53">
        <v>205755</v>
      </c>
      <c r="F329" s="53" t="s">
        <v>354</v>
      </c>
      <c r="G329" s="25">
        <f t="shared" si="1"/>
        <v>3.6678553234844813E-2</v>
      </c>
    </row>
    <row r="330" spans="1:7">
      <c r="A330" s="53">
        <v>79.12</v>
      </c>
      <c r="B330" s="53">
        <v>81.59</v>
      </c>
      <c r="C330" s="53">
        <v>79.099999999999994</v>
      </c>
      <c r="D330" s="53">
        <v>81.02</v>
      </c>
      <c r="E330" s="53">
        <v>220289</v>
      </c>
      <c r="F330" s="53" t="s">
        <v>355</v>
      </c>
      <c r="G330" s="25">
        <f t="shared" si="1"/>
        <v>-2.3450999753147239E-2</v>
      </c>
    </row>
    <row r="331" spans="1:7">
      <c r="A331" s="53">
        <v>81.5</v>
      </c>
      <c r="B331" s="53">
        <v>84.529899999999998</v>
      </c>
      <c r="C331" s="53">
        <v>81.105000000000004</v>
      </c>
      <c r="D331" s="53">
        <v>83.99</v>
      </c>
      <c r="E331" s="53">
        <v>150662</v>
      </c>
      <c r="F331" s="53" t="s">
        <v>356</v>
      </c>
      <c r="G331" s="25">
        <f t="shared" si="1"/>
        <v>-2.9646386474580289E-2</v>
      </c>
    </row>
    <row r="332" spans="1:7">
      <c r="A332" s="53">
        <v>84.75</v>
      </c>
      <c r="B332" s="53">
        <v>86.094999999999999</v>
      </c>
      <c r="C332" s="53">
        <v>84.230099999999993</v>
      </c>
      <c r="D332" s="53">
        <v>85.63</v>
      </c>
      <c r="E332" s="53">
        <v>187698</v>
      </c>
      <c r="F332" s="53" t="s">
        <v>357</v>
      </c>
      <c r="G332" s="25">
        <f t="shared" si="1"/>
        <v>-1.0276772159289904E-2</v>
      </c>
    </row>
    <row r="333" spans="1:7">
      <c r="A333" s="53">
        <v>85.96</v>
      </c>
      <c r="B333" s="53">
        <v>86.27</v>
      </c>
      <c r="C333" s="53">
        <v>83.18</v>
      </c>
      <c r="D333" s="53">
        <v>83.6</v>
      </c>
      <c r="E333" s="53">
        <v>253580</v>
      </c>
      <c r="F333" s="53" t="s">
        <v>358</v>
      </c>
      <c r="G333" s="25">
        <f t="shared" si="1"/>
        <v>2.8229665071770382E-2</v>
      </c>
    </row>
    <row r="334" spans="1:7">
      <c r="A334" s="53">
        <v>84.77</v>
      </c>
      <c r="B334" s="53">
        <v>85.27</v>
      </c>
      <c r="C334" s="53">
        <v>82.93</v>
      </c>
      <c r="D334" s="53">
        <v>83.3</v>
      </c>
      <c r="E334" s="53">
        <v>140295</v>
      </c>
      <c r="F334" s="53" t="s">
        <v>359</v>
      </c>
      <c r="G334" s="25">
        <f t="shared" si="1"/>
        <v>1.7647058823529349E-2</v>
      </c>
    </row>
    <row r="335" spans="1:7">
      <c r="A335" s="53">
        <v>83.3</v>
      </c>
      <c r="B335" s="53">
        <v>83.905000000000001</v>
      </c>
      <c r="C335" s="53">
        <v>82.447100000000006</v>
      </c>
      <c r="D335" s="53">
        <v>82.93</v>
      </c>
      <c r="E335" s="53">
        <v>148179</v>
      </c>
      <c r="F335" s="53" t="s">
        <v>360</v>
      </c>
      <c r="G335" s="25">
        <f t="shared" si="1"/>
        <v>4.4615941155190519E-3</v>
      </c>
    </row>
    <row r="336" spans="1:7">
      <c r="A336" s="53">
        <v>82.799999999999983</v>
      </c>
      <c r="B336" s="53">
        <v>84.326313253012032</v>
      </c>
      <c r="C336" s="53">
        <v>82.151566265060225</v>
      </c>
      <c r="D336" s="53">
        <v>82.590506024096371</v>
      </c>
      <c r="E336" s="53">
        <v>235121.55797101452</v>
      </c>
      <c r="F336" s="53" t="s">
        <v>361</v>
      </c>
      <c r="G336" s="25">
        <f t="shared" si="1"/>
        <v>2.5365382292548144E-3</v>
      </c>
    </row>
    <row r="337" spans="1:7">
      <c r="A337" s="53">
        <v>83.079325301204804</v>
      </c>
      <c r="B337" s="53">
        <v>83.977156626506016</v>
      </c>
      <c r="C337" s="53">
        <v>82.131614457831304</v>
      </c>
      <c r="D337" s="53">
        <v>82.540626506024083</v>
      </c>
      <c r="E337" s="53">
        <v>196081.48550724643</v>
      </c>
      <c r="F337" s="53" t="s">
        <v>362</v>
      </c>
      <c r="G337" s="25">
        <f t="shared" si="1"/>
        <v>6.526468455402501E-3</v>
      </c>
    </row>
    <row r="338" spans="1:7">
      <c r="A338" s="53">
        <v>82.261301204819262</v>
      </c>
      <c r="B338" s="53">
        <v>83.748808192771065</v>
      </c>
      <c r="C338" s="53">
        <v>81.72260240963854</v>
      </c>
      <c r="D338" s="53">
        <v>81.72260240963854</v>
      </c>
      <c r="E338" s="53">
        <v>196390.22946859908</v>
      </c>
      <c r="F338" s="53" t="s">
        <v>363</v>
      </c>
      <c r="G338" s="25">
        <f t="shared" si="1"/>
        <v>6.591796875E-3</v>
      </c>
    </row>
    <row r="339" spans="1:7">
      <c r="A339" s="53">
        <v>80.066602409638548</v>
      </c>
      <c r="B339" s="53">
        <v>82.101686746987937</v>
      </c>
      <c r="C339" s="53">
        <v>79.837156626506015</v>
      </c>
      <c r="D339" s="53">
        <v>81.193879518072279</v>
      </c>
      <c r="E339" s="53">
        <v>209594.04589371986</v>
      </c>
      <c r="F339" s="53" t="s">
        <v>364</v>
      </c>
      <c r="G339" s="25">
        <f t="shared" si="1"/>
        <v>-1.388376950485315E-2</v>
      </c>
    </row>
    <row r="340" spans="1:7">
      <c r="A340" s="53">
        <v>81.303614457831316</v>
      </c>
      <c r="B340" s="53">
        <v>83.079325301204804</v>
      </c>
      <c r="C340" s="53">
        <v>80.395807228915658</v>
      </c>
      <c r="D340" s="53">
        <v>81.852289156626483</v>
      </c>
      <c r="E340" s="53">
        <v>191731.00241545896</v>
      </c>
      <c r="F340" s="53" t="s">
        <v>365</v>
      </c>
      <c r="G340" s="25">
        <f t="shared" si="1"/>
        <v>-6.7032297379644445E-3</v>
      </c>
    </row>
    <row r="341" spans="1:7">
      <c r="A341" s="53">
        <v>81.403373493975877</v>
      </c>
      <c r="B341" s="53">
        <v>83.3037831325301</v>
      </c>
      <c r="C341" s="53">
        <v>80.51551807228914</v>
      </c>
      <c r="D341" s="53">
        <v>82.301204819277089</v>
      </c>
      <c r="E341" s="53">
        <v>248446.66666666672</v>
      </c>
      <c r="F341" s="53" t="s">
        <v>366</v>
      </c>
      <c r="G341" s="25">
        <f t="shared" si="1"/>
        <v>-1.0909090909090979E-2</v>
      </c>
    </row>
    <row r="342" spans="1:7">
      <c r="A342" s="53">
        <v>81.892192771084325</v>
      </c>
      <c r="B342" s="53">
        <v>82.790024096385523</v>
      </c>
      <c r="C342" s="53">
        <v>79.537879518072273</v>
      </c>
      <c r="D342" s="53">
        <v>79.827180722891541</v>
      </c>
      <c r="E342" s="53">
        <v>193453.15217391308</v>
      </c>
      <c r="F342" s="53" t="s">
        <v>367</v>
      </c>
      <c r="G342" s="25">
        <f t="shared" si="1"/>
        <v>2.5868532866783367E-2</v>
      </c>
    </row>
    <row r="343" spans="1:7">
      <c r="A343" s="53">
        <v>80.246168674698779</v>
      </c>
      <c r="B343" s="53">
        <v>81.977287228915642</v>
      </c>
      <c r="C343" s="53">
        <v>77.822123855421665</v>
      </c>
      <c r="D343" s="53">
        <v>78.640048192771062</v>
      </c>
      <c r="E343" s="53">
        <v>356553.16425120778</v>
      </c>
      <c r="F343" s="53" t="s">
        <v>368</v>
      </c>
      <c r="G343" s="25">
        <f t="shared" si="1"/>
        <v>2.0423696562222649E-2</v>
      </c>
    </row>
    <row r="344" spans="1:7">
      <c r="A344" s="53">
        <v>78.510361445783118</v>
      </c>
      <c r="B344" s="53">
        <v>88.476289156626493</v>
      </c>
      <c r="C344" s="53">
        <v>78.375686746987938</v>
      </c>
      <c r="D344" s="53">
        <v>88.087228915662635</v>
      </c>
      <c r="E344" s="53">
        <v>603493.20048309187</v>
      </c>
      <c r="F344" s="53" t="s">
        <v>369</v>
      </c>
      <c r="G344" s="25">
        <f t="shared" si="1"/>
        <v>-0.10872027180067956</v>
      </c>
    </row>
    <row r="345" spans="1:7">
      <c r="A345" s="53">
        <v>90.022554216867448</v>
      </c>
      <c r="B345" s="53">
        <v>91.77831325301203</v>
      </c>
      <c r="C345" s="53">
        <v>88.027373493975887</v>
      </c>
      <c r="D345" s="53">
        <v>91.658602409638533</v>
      </c>
      <c r="E345" s="53">
        <v>210278.69565217395</v>
      </c>
      <c r="F345" s="53" t="s">
        <v>370</v>
      </c>
      <c r="G345" s="25">
        <f t="shared" si="1"/>
        <v>-1.7849368741837179E-2</v>
      </c>
    </row>
    <row r="346" spans="1:7">
      <c r="A346" s="53">
        <v>90.521349397590342</v>
      </c>
      <c r="B346" s="53">
        <v>91.628674698795152</v>
      </c>
      <c r="C346" s="53">
        <v>88.635903614457803</v>
      </c>
      <c r="D346" s="53">
        <v>91.628674698795152</v>
      </c>
      <c r="E346" s="53">
        <v>163915.9782608696</v>
      </c>
      <c r="F346" s="53" t="s">
        <v>371</v>
      </c>
      <c r="G346" s="25">
        <f t="shared" si="1"/>
        <v>-1.2084921066956911E-2</v>
      </c>
    </row>
    <row r="347" spans="1:7">
      <c r="A347" s="53">
        <v>92.3768674698795</v>
      </c>
      <c r="B347" s="53">
        <v>92.915466506024075</v>
      </c>
      <c r="C347" s="53">
        <v>91.299469879518057</v>
      </c>
      <c r="D347" s="53">
        <v>91.758361445783123</v>
      </c>
      <c r="E347" s="53">
        <v>139655.51932367153</v>
      </c>
      <c r="F347" s="53" t="s">
        <v>372</v>
      </c>
      <c r="G347" s="25">
        <f t="shared" si="1"/>
        <v>6.7405957816915052E-3</v>
      </c>
    </row>
    <row r="348" spans="1:7">
      <c r="A348" s="53">
        <v>91.319421686746978</v>
      </c>
      <c r="B348" s="53">
        <v>91.668578313252993</v>
      </c>
      <c r="C348" s="53">
        <v>89.414423132530104</v>
      </c>
      <c r="D348" s="53">
        <v>91.429156626506014</v>
      </c>
      <c r="E348" s="53">
        <v>142190.62801932369</v>
      </c>
      <c r="F348" s="53" t="s">
        <v>373</v>
      </c>
      <c r="G348" s="25">
        <f t="shared" si="1"/>
        <v>-1.2002182214948531E-3</v>
      </c>
    </row>
    <row r="349" spans="1:7">
      <c r="A349" s="53">
        <v>91.389253012048172</v>
      </c>
      <c r="B349" s="53">
        <v>91.828192771084318</v>
      </c>
      <c r="C349" s="53">
        <v>90.012578313253002</v>
      </c>
      <c r="D349" s="53">
        <v>90.850554216867451</v>
      </c>
      <c r="E349" s="53">
        <v>107178.26086956523</v>
      </c>
      <c r="F349" s="53" t="s">
        <v>374</v>
      </c>
      <c r="G349" s="25">
        <f t="shared" si="1"/>
        <v>5.9295047765455244E-3</v>
      </c>
    </row>
    <row r="350" spans="1:7">
      <c r="A350" s="53">
        <v>91.53889156626505</v>
      </c>
      <c r="B350" s="53">
        <v>92.187325301204794</v>
      </c>
      <c r="C350" s="53">
        <v>89.284337349397575</v>
      </c>
      <c r="D350" s="53">
        <v>89.284337349397575</v>
      </c>
      <c r="E350" s="53">
        <v>137560.47101449277</v>
      </c>
      <c r="F350" s="53" t="s">
        <v>375</v>
      </c>
      <c r="G350" s="25">
        <f t="shared" si="1"/>
        <v>2.5251396648044766E-2</v>
      </c>
    </row>
    <row r="351" spans="1:7">
      <c r="A351" s="53">
        <v>89.324240963855416</v>
      </c>
      <c r="B351" s="53">
        <v>90.571228915662644</v>
      </c>
      <c r="C351" s="53">
        <v>87.897786506024076</v>
      </c>
      <c r="D351" s="53">
        <v>88.426409638554205</v>
      </c>
      <c r="E351" s="53">
        <v>158846.76328502418</v>
      </c>
      <c r="F351" s="53" t="s">
        <v>376</v>
      </c>
      <c r="G351" s="25">
        <f t="shared" si="1"/>
        <v>1.0153429602888231E-2</v>
      </c>
    </row>
    <row r="352" spans="1:7">
      <c r="A352" s="53">
        <v>85.94240963855421</v>
      </c>
      <c r="B352" s="53">
        <v>86.211759036144571</v>
      </c>
      <c r="C352" s="53">
        <v>84.64554216867468</v>
      </c>
      <c r="D352" s="53">
        <v>85.693012048192756</v>
      </c>
      <c r="E352" s="53">
        <v>127559.37198067635</v>
      </c>
      <c r="F352" s="53" t="s">
        <v>377</v>
      </c>
      <c r="G352" s="25">
        <f t="shared" si="1"/>
        <v>2.9103608847498297E-3</v>
      </c>
    </row>
    <row r="353" spans="1:7">
      <c r="A353" s="53">
        <v>84.515855421686723</v>
      </c>
      <c r="B353" s="53">
        <v>85.588265060240943</v>
      </c>
      <c r="C353" s="53">
        <v>83.228963855421682</v>
      </c>
      <c r="D353" s="53">
        <v>85.37877108433733</v>
      </c>
      <c r="E353" s="53">
        <v>152045.3743961353</v>
      </c>
      <c r="F353" s="53" t="s">
        <v>378</v>
      </c>
      <c r="G353" s="25">
        <f t="shared" si="1"/>
        <v>-1.0106911257813933E-2</v>
      </c>
    </row>
    <row r="354" spans="1:7">
      <c r="A354" s="53">
        <v>86.072096385542153</v>
      </c>
      <c r="B354" s="53">
        <v>86.780385542168659</v>
      </c>
      <c r="C354" s="53">
        <v>83.55318072289154</v>
      </c>
      <c r="D354" s="53">
        <v>84.266457831325283</v>
      </c>
      <c r="E354" s="53">
        <v>184464.49275362323</v>
      </c>
      <c r="F354" s="53" t="s">
        <v>379</v>
      </c>
      <c r="G354" s="25">
        <f t="shared" si="1"/>
        <v>2.1427725819817667E-2</v>
      </c>
    </row>
    <row r="355" spans="1:7">
      <c r="A355" s="53">
        <v>84.465975903614449</v>
      </c>
      <c r="B355" s="53">
        <v>84.715373493975889</v>
      </c>
      <c r="C355" s="53">
        <v>82.023874698795154</v>
      </c>
      <c r="D355" s="53">
        <v>83.707807228915641</v>
      </c>
      <c r="E355" s="53">
        <v>159321.9082125604</v>
      </c>
      <c r="F355" s="53" t="s">
        <v>380</v>
      </c>
      <c r="G355" s="25">
        <f t="shared" si="1"/>
        <v>9.0573233226076688E-3</v>
      </c>
    </row>
    <row r="356" spans="1:7">
      <c r="A356" s="53">
        <v>84.426072289156608</v>
      </c>
      <c r="B356" s="53">
        <v>84.525831325301198</v>
      </c>
      <c r="C356" s="53">
        <v>82.429295421686732</v>
      </c>
      <c r="D356" s="53">
        <v>83.478361445783122</v>
      </c>
      <c r="E356" s="53">
        <v>145566.76328502418</v>
      </c>
      <c r="F356" s="53" t="s">
        <v>381</v>
      </c>
      <c r="G356" s="25">
        <f t="shared" si="1"/>
        <v>1.1352772466539207E-2</v>
      </c>
    </row>
    <row r="357" spans="1:7">
      <c r="A357" s="53">
        <v>83.578120481927698</v>
      </c>
      <c r="B357" s="53">
        <v>84.296385542168665</v>
      </c>
      <c r="C357" s="53">
        <v>81.453253012048179</v>
      </c>
      <c r="D357" s="53">
        <v>83.408530120481913</v>
      </c>
      <c r="E357" s="53">
        <v>143829.57729468602</v>
      </c>
      <c r="F357" s="53" t="s">
        <v>382</v>
      </c>
      <c r="G357" s="25">
        <f t="shared" si="1"/>
        <v>2.0332496112904774E-3</v>
      </c>
    </row>
    <row r="358" spans="1:7">
      <c r="A358" s="53">
        <v>82.620433734939738</v>
      </c>
      <c r="B358" s="53">
        <v>82.959514698795161</v>
      </c>
      <c r="C358" s="53">
        <v>79.753857831325291</v>
      </c>
      <c r="D358" s="53">
        <v>81.443277108433719</v>
      </c>
      <c r="E358" s="53">
        <v>116093.74396135268</v>
      </c>
      <c r="F358" s="53" t="s">
        <v>383</v>
      </c>
      <c r="G358" s="25">
        <f t="shared" si="1"/>
        <v>1.4453699167074952E-2</v>
      </c>
    </row>
    <row r="359" spans="1:7">
      <c r="A359" s="53">
        <v>81.163951807228898</v>
      </c>
      <c r="B359" s="53">
        <v>83.40354216867469</v>
      </c>
      <c r="C359" s="53">
        <v>78.979228915662631</v>
      </c>
      <c r="D359" s="53">
        <v>82.440867469879507</v>
      </c>
      <c r="E359" s="53">
        <v>204079.75845410631</v>
      </c>
      <c r="F359" s="53" t="s">
        <v>384</v>
      </c>
      <c r="G359" s="25">
        <f t="shared" si="1"/>
        <v>-1.5488867376573179E-2</v>
      </c>
    </row>
    <row r="360" spans="1:7">
      <c r="A360" s="53">
        <v>83.697831325301195</v>
      </c>
      <c r="B360" s="53">
        <v>85.23412048192769</v>
      </c>
      <c r="C360" s="53">
        <v>76.824433734939745</v>
      </c>
      <c r="D360" s="53">
        <v>76.98404819277107</v>
      </c>
      <c r="E360" s="53">
        <v>416236.98067632859</v>
      </c>
      <c r="F360" s="53" t="s">
        <v>385</v>
      </c>
      <c r="G360" s="25">
        <f t="shared" si="1"/>
        <v>8.7210055721135271E-2</v>
      </c>
    </row>
    <row r="361" spans="1:7">
      <c r="A361" s="53">
        <v>77.702313253012036</v>
      </c>
      <c r="B361" s="53">
        <v>87.249253012048172</v>
      </c>
      <c r="C361" s="53">
        <v>76.824433734939745</v>
      </c>
      <c r="D361" s="53">
        <v>81.892192771084325</v>
      </c>
      <c r="E361" s="53">
        <v>190051.95652173916</v>
      </c>
      <c r="F361" s="53" t="s">
        <v>386</v>
      </c>
      <c r="G361" s="25">
        <f t="shared" si="1"/>
        <v>-5.1163357290778366E-2</v>
      </c>
    </row>
    <row r="362" spans="1:7">
      <c r="A362" s="53">
        <v>79.198698795180704</v>
      </c>
      <c r="B362" s="53">
        <v>82.201445783132527</v>
      </c>
      <c r="C362" s="53">
        <v>71.247903614457826</v>
      </c>
      <c r="D362" s="53">
        <v>76.88428915662648</v>
      </c>
      <c r="E362" s="53">
        <v>364216.63043478265</v>
      </c>
      <c r="F362" s="53" t="s">
        <v>387</v>
      </c>
      <c r="G362" s="25">
        <f t="shared" si="1"/>
        <v>3.0102504216945825E-2</v>
      </c>
    </row>
    <row r="363" spans="1:7">
      <c r="A363" s="53">
        <v>79.587759036144561</v>
      </c>
      <c r="B363" s="53">
        <v>81.143999999999991</v>
      </c>
      <c r="C363" s="53">
        <v>77.749698795180706</v>
      </c>
      <c r="D363" s="53">
        <v>79.069012048192761</v>
      </c>
      <c r="E363" s="53">
        <v>284033.4178743962</v>
      </c>
      <c r="F363" s="53" t="s">
        <v>388</v>
      </c>
      <c r="G363" s="25">
        <f t="shared" si="1"/>
        <v>6.5606863487255307E-3</v>
      </c>
    </row>
    <row r="364" spans="1:7">
      <c r="A364" s="53">
        <v>81.642795180722885</v>
      </c>
      <c r="B364" s="53">
        <v>85.094457831325286</v>
      </c>
      <c r="C364" s="53">
        <v>80.77489156626504</v>
      </c>
      <c r="D364" s="53">
        <v>83.029445783132516</v>
      </c>
      <c r="E364" s="53">
        <v>300650.4589371981</v>
      </c>
      <c r="F364" s="53" t="s">
        <v>389</v>
      </c>
      <c r="G364" s="25">
        <f t="shared" si="1"/>
        <v>-1.6700708879009873E-2</v>
      </c>
    </row>
    <row r="365" spans="1:7">
      <c r="A365" s="53">
        <v>86.411277108433723</v>
      </c>
      <c r="B365" s="53">
        <v>87.154481927710819</v>
      </c>
      <c r="C365" s="53">
        <v>83.069349397590344</v>
      </c>
      <c r="D365" s="53">
        <v>83.697831325301195</v>
      </c>
      <c r="E365" s="53">
        <v>198943.3816425121</v>
      </c>
      <c r="F365" s="53" t="s">
        <v>390</v>
      </c>
      <c r="G365" s="25">
        <f t="shared" si="1"/>
        <v>3.2419547079856947E-2</v>
      </c>
    </row>
    <row r="366" spans="1:7">
      <c r="A366" s="53">
        <v>84.954795180722869</v>
      </c>
      <c r="B366" s="53">
        <v>85.312730602409616</v>
      </c>
      <c r="C366" s="53">
        <v>81.872240963855404</v>
      </c>
      <c r="D366" s="53">
        <v>83.358650602409625</v>
      </c>
      <c r="E366" s="53">
        <v>195764.72222222225</v>
      </c>
      <c r="F366" s="53" t="s">
        <v>391</v>
      </c>
      <c r="G366" s="25">
        <f t="shared" si="1"/>
        <v>1.9147917663953962E-2</v>
      </c>
    </row>
    <row r="367" spans="1:7">
      <c r="A367" s="53">
        <v>83.697831325301195</v>
      </c>
      <c r="B367" s="53">
        <v>84.495903614457816</v>
      </c>
      <c r="C367" s="53">
        <v>81.792433734939735</v>
      </c>
      <c r="D367" s="53">
        <v>82.57055421686745</v>
      </c>
      <c r="E367" s="53">
        <v>219265.35024154594</v>
      </c>
      <c r="F367" s="53" t="s">
        <v>392</v>
      </c>
      <c r="G367" s="25">
        <f t="shared" si="1"/>
        <v>1.365228947686381E-2</v>
      </c>
    </row>
    <row r="368" spans="1:7">
      <c r="A368" s="53">
        <v>82.849879518072271</v>
      </c>
      <c r="B368" s="53">
        <v>83.762674698795166</v>
      </c>
      <c r="C368" s="53">
        <v>82.141590361445765</v>
      </c>
      <c r="D368" s="53">
        <v>83.368626506024071</v>
      </c>
      <c r="E368" s="53">
        <v>195043.98550724643</v>
      </c>
      <c r="F368" s="53" t="s">
        <v>393</v>
      </c>
      <c r="G368" s="25">
        <f t="shared" si="1"/>
        <v>-6.2223285868133749E-3</v>
      </c>
    </row>
    <row r="369" spans="1:7">
      <c r="A369" s="53">
        <v>83.717783132530101</v>
      </c>
      <c r="B369" s="53">
        <v>85.288987951807215</v>
      </c>
      <c r="C369" s="53">
        <v>83.538216867469856</v>
      </c>
      <c r="D369" s="53">
        <v>84.535807228915644</v>
      </c>
      <c r="E369" s="53">
        <v>98134.468599033833</v>
      </c>
      <c r="F369" s="53" t="s">
        <v>394</v>
      </c>
      <c r="G369" s="25">
        <f t="shared" si="1"/>
        <v>-9.6766580127448654E-3</v>
      </c>
    </row>
    <row r="370" spans="1:7">
      <c r="A370" s="53">
        <v>84.316337349397571</v>
      </c>
      <c r="B370" s="53">
        <v>85.23412048192769</v>
      </c>
      <c r="C370" s="53">
        <v>83.817542168674677</v>
      </c>
      <c r="D370" s="53">
        <v>84.795180722891544</v>
      </c>
      <c r="E370" s="53">
        <v>87025.700483091801</v>
      </c>
      <c r="F370" s="53" t="s">
        <v>395</v>
      </c>
      <c r="G370" s="25">
        <f t="shared" si="1"/>
        <v>-5.6470588235293384E-3</v>
      </c>
    </row>
    <row r="371" spans="1:7">
      <c r="A371" s="53">
        <v>84.874987951807213</v>
      </c>
      <c r="B371" s="53">
        <v>86.570891566265047</v>
      </c>
      <c r="C371" s="53">
        <v>84.2514939759036</v>
      </c>
      <c r="D371" s="53">
        <v>85.732915662650583</v>
      </c>
      <c r="E371" s="53">
        <v>137124.4202898551</v>
      </c>
      <c r="F371" s="53" t="s">
        <v>396</v>
      </c>
      <c r="G371" s="25">
        <f t="shared" si="1"/>
        <v>-1.000698161508029E-2</v>
      </c>
    </row>
    <row r="372" spans="1:7">
      <c r="A372" s="53">
        <v>85.862602409638527</v>
      </c>
      <c r="B372" s="53">
        <v>86.131951807228901</v>
      </c>
      <c r="C372" s="53">
        <v>83.972168674698779</v>
      </c>
      <c r="D372" s="53">
        <v>84.605638554216853</v>
      </c>
      <c r="E372" s="53">
        <v>146934.05797101452</v>
      </c>
      <c r="F372" s="53" t="s">
        <v>397</v>
      </c>
      <c r="G372" s="25">
        <f t="shared" si="1"/>
        <v>1.4856738592146979E-2</v>
      </c>
    </row>
    <row r="373" spans="1:7">
      <c r="A373" s="53">
        <v>83.288819277108416</v>
      </c>
      <c r="B373" s="53">
        <v>84.775228915662638</v>
      </c>
      <c r="C373" s="53">
        <v>82.32115662650601</v>
      </c>
      <c r="D373" s="53">
        <v>83.498313253012029</v>
      </c>
      <c r="E373" s="53">
        <v>1119925.6159420293</v>
      </c>
      <c r="F373" s="53" t="s">
        <v>398</v>
      </c>
      <c r="G373" s="25">
        <f t="shared" si="1"/>
        <v>-2.5089605734767151E-3</v>
      </c>
    </row>
    <row r="374" spans="1:7">
      <c r="A374" s="53">
        <v>85.473542168674683</v>
      </c>
      <c r="B374" s="53">
        <v>86.411277108433723</v>
      </c>
      <c r="C374" s="53">
        <v>83.827518072289138</v>
      </c>
      <c r="D374" s="53">
        <v>83.827518072289138</v>
      </c>
      <c r="E374" s="53">
        <v>146695.48309178746</v>
      </c>
      <c r="F374" s="53" t="s">
        <v>399</v>
      </c>
      <c r="G374" s="25">
        <f t="shared" si="1"/>
        <v>1.9635844341306719E-2</v>
      </c>
    </row>
    <row r="375" spans="1:7">
      <c r="A375" s="53">
        <v>84.615614457831299</v>
      </c>
      <c r="B375" s="53">
        <v>86.471132530120471</v>
      </c>
      <c r="C375" s="53">
        <v>83.757686746987929</v>
      </c>
      <c r="D375" s="53">
        <v>84.675469879518047</v>
      </c>
      <c r="E375" s="53">
        <v>223326.13526570052</v>
      </c>
      <c r="F375" s="53" t="s">
        <v>400</v>
      </c>
      <c r="G375" s="25">
        <f t="shared" si="1"/>
        <v>-7.0688030160226401E-4</v>
      </c>
    </row>
    <row r="376" spans="1:7">
      <c r="A376" s="53">
        <v>84.705397590361429</v>
      </c>
      <c r="B376" s="53">
        <v>85.184240963855402</v>
      </c>
      <c r="C376" s="53">
        <v>83.563655421686732</v>
      </c>
      <c r="D376" s="53">
        <v>84.04698795180721</v>
      </c>
      <c r="E376" s="53">
        <v>213056.38888888893</v>
      </c>
      <c r="F376" s="53" t="s">
        <v>401</v>
      </c>
      <c r="G376" s="25">
        <f t="shared" si="1"/>
        <v>7.8338278931751049E-3</v>
      </c>
    </row>
    <row r="377" spans="1:7">
      <c r="A377" s="53">
        <v>84.904915662650581</v>
      </c>
      <c r="B377" s="53">
        <v>85.303951807228898</v>
      </c>
      <c r="C377" s="53">
        <v>81.752530120481921</v>
      </c>
      <c r="D377" s="53">
        <v>82.430891566265046</v>
      </c>
      <c r="E377" s="53">
        <v>334153.18840579718</v>
      </c>
      <c r="F377" s="53" t="s">
        <v>402</v>
      </c>
      <c r="G377" s="25">
        <f t="shared" ref="G377:G440" si="2">A377/D377-1</f>
        <v>3.0013312356286903E-2</v>
      </c>
    </row>
    <row r="378" spans="1:7">
      <c r="A378" s="53">
        <v>81.71262650602408</v>
      </c>
      <c r="B378" s="53">
        <v>82.094204819277095</v>
      </c>
      <c r="C378" s="53">
        <v>78.959277108433724</v>
      </c>
      <c r="D378" s="53">
        <v>78.959277108433724</v>
      </c>
      <c r="E378" s="53">
        <v>158142.06521739133</v>
      </c>
      <c r="F378" s="53" t="s">
        <v>403</v>
      </c>
      <c r="G378" s="25">
        <f t="shared" si="2"/>
        <v>3.4870499052432002E-2</v>
      </c>
    </row>
    <row r="379" spans="1:7">
      <c r="A379" s="53">
        <v>78.630072289156601</v>
      </c>
      <c r="B379" s="53">
        <v>82.221397590361434</v>
      </c>
      <c r="C379" s="53">
        <v>78.600144578313248</v>
      </c>
      <c r="D379" s="53">
        <v>80.954457831325286</v>
      </c>
      <c r="E379" s="53">
        <v>226138.9130434783</v>
      </c>
      <c r="F379" s="53" t="s">
        <v>404</v>
      </c>
      <c r="G379" s="25">
        <f t="shared" si="2"/>
        <v>-2.8712261244608905E-2</v>
      </c>
    </row>
    <row r="380" spans="1:7">
      <c r="A380" s="53">
        <v>81.124048192771042</v>
      </c>
      <c r="B380" s="53">
        <v>84.049768282157046</v>
      </c>
      <c r="C380" s="53">
        <v>80.536913889118765</v>
      </c>
      <c r="D380" s="53">
        <v>82.129142509192761</v>
      </c>
      <c r="E380" s="53">
        <v>221672.68917926686</v>
      </c>
      <c r="F380" s="53" t="s">
        <v>405</v>
      </c>
      <c r="G380" s="25">
        <f t="shared" si="2"/>
        <v>-1.2237974070035129E-2</v>
      </c>
    </row>
    <row r="381" spans="1:7">
      <c r="A381" s="53">
        <v>81.900259645057119</v>
      </c>
      <c r="B381" s="53">
        <v>82.865548245976996</v>
      </c>
      <c r="C381" s="53">
        <v>80.566768175745139</v>
      </c>
      <c r="D381" s="53">
        <v>81.601716778793246</v>
      </c>
      <c r="E381" s="53">
        <v>242549.08819692477</v>
      </c>
      <c r="F381" s="53" t="s">
        <v>406</v>
      </c>
      <c r="G381" s="25">
        <f t="shared" si="2"/>
        <v>3.6585365853658569E-3</v>
      </c>
    </row>
    <row r="382" spans="1:7">
      <c r="A382" s="53">
        <v>81.482299632287692</v>
      </c>
      <c r="B382" s="53">
        <v>81.940065360558975</v>
      </c>
      <c r="C382" s="53">
        <v>79.531819572697032</v>
      </c>
      <c r="D382" s="53">
        <v>80.208516736228475</v>
      </c>
      <c r="E382" s="53">
        <v>284792.26807198155</v>
      </c>
      <c r="F382" s="53" t="s">
        <v>407</v>
      </c>
      <c r="G382" s="25">
        <f t="shared" si="2"/>
        <v>1.5880893300248111E-2</v>
      </c>
    </row>
    <row r="383" spans="1:7">
      <c r="A383" s="53">
        <v>80.974776759639113</v>
      </c>
      <c r="B383" s="53">
        <v>81.865429643993011</v>
      </c>
      <c r="C383" s="53">
        <v>78.626239545029932</v>
      </c>
      <c r="D383" s="53">
        <v>81.721133925298801</v>
      </c>
      <c r="E383" s="53">
        <v>456667.08337788825</v>
      </c>
      <c r="F383" s="53" t="s">
        <v>408</v>
      </c>
      <c r="G383" s="25">
        <f t="shared" si="2"/>
        <v>-9.1329761324889791E-3</v>
      </c>
    </row>
    <row r="384" spans="1:7">
      <c r="A384" s="53">
        <v>82.089336793690904</v>
      </c>
      <c r="B384" s="53">
        <v>86.169323118341822</v>
      </c>
      <c r="C384" s="53">
        <v>81.910211073932587</v>
      </c>
      <c r="D384" s="53">
        <v>85.890782624117634</v>
      </c>
      <c r="E384" s="53">
        <v>472471.84890134068</v>
      </c>
      <c r="F384" s="53" t="s">
        <v>409</v>
      </c>
      <c r="G384" s="25">
        <f t="shared" si="2"/>
        <v>-4.4259066156876581E-2</v>
      </c>
    </row>
    <row r="385" spans="1:7">
      <c r="A385" s="53">
        <v>86.577431216524545</v>
      </c>
      <c r="B385" s="53">
        <v>91.819545405251972</v>
      </c>
      <c r="C385" s="53">
        <v>86.507771214396314</v>
      </c>
      <c r="D385" s="53">
        <v>89.88130560317812</v>
      </c>
      <c r="E385" s="53">
        <v>350248.19486919948</v>
      </c>
      <c r="F385" s="53" t="s">
        <v>410</v>
      </c>
      <c r="G385" s="25">
        <f t="shared" si="2"/>
        <v>-3.6758193091231073E-2</v>
      </c>
    </row>
    <row r="386" spans="1:7">
      <c r="A386" s="53">
        <v>90.030577036310063</v>
      </c>
      <c r="B386" s="53">
        <v>92.797074263688657</v>
      </c>
      <c r="C386" s="53">
        <v>89.353282787046084</v>
      </c>
      <c r="D386" s="53">
        <v>91.573048512006764</v>
      </c>
      <c r="E386" s="53">
        <v>321088.56325936079</v>
      </c>
      <c r="F386" s="53" t="s">
        <v>411</v>
      </c>
      <c r="G386" s="25">
        <f t="shared" si="2"/>
        <v>-1.6844164312106003E-2</v>
      </c>
    </row>
    <row r="387" spans="1:7">
      <c r="A387" s="53">
        <v>91.71236851626324</v>
      </c>
      <c r="B387" s="53">
        <v>94.060905730872406</v>
      </c>
      <c r="C387" s="53">
        <v>90.747079915343363</v>
      </c>
      <c r="D387" s="53">
        <v>91.592951369757699</v>
      </c>
      <c r="E387" s="53">
        <v>300949.74676295248</v>
      </c>
      <c r="F387" s="53" t="s">
        <v>412</v>
      </c>
      <c r="G387" s="25">
        <f t="shared" si="2"/>
        <v>1.3037809647977738E-3</v>
      </c>
    </row>
    <row r="388" spans="1:7">
      <c r="A388" s="53">
        <v>91.4038742211239</v>
      </c>
      <c r="B388" s="53">
        <v>92.719950689903825</v>
      </c>
      <c r="C388" s="53">
        <v>87.57257410407081</v>
      </c>
      <c r="D388" s="53">
        <v>89.562859879163327</v>
      </c>
      <c r="E388" s="53">
        <v>444427.63500074873</v>
      </c>
      <c r="F388" s="53" t="s">
        <v>413</v>
      </c>
      <c r="G388" s="25">
        <f t="shared" si="2"/>
        <v>2.0555555555555438E-2</v>
      </c>
    </row>
    <row r="389" spans="1:7">
      <c r="A389" s="53">
        <v>99.424725894746743</v>
      </c>
      <c r="B389" s="53">
        <v>102.49971741726469</v>
      </c>
      <c r="C389" s="53">
        <v>99.185891601735648</v>
      </c>
      <c r="D389" s="53">
        <v>101.76331168048047</v>
      </c>
      <c r="E389" s="53">
        <v>198781.50411923087</v>
      </c>
      <c r="F389" s="53" t="s">
        <v>414</v>
      </c>
      <c r="G389" s="25">
        <f t="shared" si="2"/>
        <v>-2.2980637590455877E-2</v>
      </c>
    </row>
    <row r="390" spans="1:7">
      <c r="A390" s="53">
        <v>102.549474561642</v>
      </c>
      <c r="B390" s="53">
        <v>105.03733178050764</v>
      </c>
      <c r="C390" s="53">
        <v>102.47981455951377</v>
      </c>
      <c r="D390" s="53">
        <v>103.15651172304521</v>
      </c>
      <c r="E390" s="53">
        <v>220562.29587411584</v>
      </c>
      <c r="F390" s="53" t="s">
        <v>415</v>
      </c>
      <c r="G390" s="25">
        <f t="shared" si="2"/>
        <v>-5.8846228053250904E-3</v>
      </c>
    </row>
    <row r="391" spans="1:7">
      <c r="A391" s="53">
        <v>103.49486030481094</v>
      </c>
      <c r="B391" s="53">
        <v>103.81330602882575</v>
      </c>
      <c r="C391" s="53">
        <v>100.51938307104764</v>
      </c>
      <c r="D391" s="53">
        <v>101.02690594369622</v>
      </c>
      <c r="E391" s="53">
        <v>259488.36416518758</v>
      </c>
      <c r="F391" s="53" t="s">
        <v>416</v>
      </c>
      <c r="G391" s="25">
        <f t="shared" si="2"/>
        <v>2.4428684003152012E-2</v>
      </c>
    </row>
    <row r="392" spans="1:7">
      <c r="A392" s="53">
        <v>101.53442881634481</v>
      </c>
      <c r="B392" s="53">
        <v>102.38030027075914</v>
      </c>
      <c r="C392" s="53">
        <v>98.549000153706046</v>
      </c>
      <c r="D392" s="53">
        <v>99.12618302848287</v>
      </c>
      <c r="E392" s="53">
        <v>223953.76863871733</v>
      </c>
      <c r="F392" s="53" t="s">
        <v>417</v>
      </c>
      <c r="G392" s="25">
        <f t="shared" si="2"/>
        <v>2.4294749523140258E-2</v>
      </c>
    </row>
    <row r="393" spans="1:7">
      <c r="A393" s="53">
        <v>99.05652302635464</v>
      </c>
      <c r="B393" s="53">
        <v>101.32047309552237</v>
      </c>
      <c r="C393" s="53">
        <v>98.743053016777552</v>
      </c>
      <c r="D393" s="53">
        <v>101.19608023457909</v>
      </c>
      <c r="E393" s="53">
        <v>136763.27460429491</v>
      </c>
      <c r="F393" s="53" t="s">
        <v>418</v>
      </c>
      <c r="G393" s="25">
        <f t="shared" si="2"/>
        <v>-2.1142688563280498E-2</v>
      </c>
    </row>
    <row r="394" spans="1:7">
      <c r="A394" s="53">
        <v>100.42982021116848</v>
      </c>
      <c r="B394" s="53">
        <v>101.66379739172582</v>
      </c>
      <c r="C394" s="53">
        <v>98.81768873334353</v>
      </c>
      <c r="D394" s="53">
        <v>101.66379739172582</v>
      </c>
      <c r="E394" s="53">
        <v>200746.04612065185</v>
      </c>
      <c r="F394" s="53" t="s">
        <v>419</v>
      </c>
      <c r="G394" s="25">
        <f t="shared" si="2"/>
        <v>-1.2137823022709382E-2</v>
      </c>
    </row>
    <row r="395" spans="1:7">
      <c r="A395" s="53">
        <v>102.64898885039663</v>
      </c>
      <c r="B395" s="53">
        <v>102.76840599690217</v>
      </c>
      <c r="C395" s="53">
        <v>98.767931588966221</v>
      </c>
      <c r="D395" s="53">
        <v>100.09147162940275</v>
      </c>
      <c r="E395" s="53">
        <v>201111.82273881923</v>
      </c>
      <c r="F395" s="53" t="s">
        <v>420</v>
      </c>
      <c r="G395" s="25">
        <f t="shared" si="2"/>
        <v>2.5551799562537392E-2</v>
      </c>
    </row>
    <row r="396" spans="1:7">
      <c r="A396" s="53">
        <v>100.25069449141014</v>
      </c>
      <c r="B396" s="53">
        <v>100.42982021116848</v>
      </c>
      <c r="C396" s="53">
        <v>97.315122487437435</v>
      </c>
      <c r="D396" s="53">
        <v>97.573760123910702</v>
      </c>
      <c r="E396" s="53">
        <v>181751.78887724536</v>
      </c>
      <c r="F396" s="53" t="s">
        <v>421</v>
      </c>
      <c r="G396" s="25">
        <f t="shared" si="2"/>
        <v>2.7434982151963272E-2</v>
      </c>
    </row>
    <row r="397" spans="1:7">
      <c r="A397" s="53">
        <v>98.170845856438461</v>
      </c>
      <c r="B397" s="53">
        <v>100.79802307956059</v>
      </c>
      <c r="C397" s="53">
        <v>96.190511510221398</v>
      </c>
      <c r="D397" s="53">
        <v>96.429345803232522</v>
      </c>
      <c r="E397" s="53">
        <v>224709.43901471148</v>
      </c>
      <c r="F397" s="53" t="s">
        <v>422</v>
      </c>
      <c r="G397" s="25">
        <f t="shared" si="2"/>
        <v>1.8059855521155743E-2</v>
      </c>
    </row>
    <row r="398" spans="1:7">
      <c r="A398" s="53">
        <v>96.518908663111674</v>
      </c>
      <c r="B398" s="53">
        <v>97.58371155278617</v>
      </c>
      <c r="C398" s="53">
        <v>92.816977121439578</v>
      </c>
      <c r="D398" s="53">
        <v>95.235174338177004</v>
      </c>
      <c r="E398" s="53">
        <v>327078.65782226133</v>
      </c>
      <c r="F398" s="53" t="s">
        <v>423</v>
      </c>
      <c r="G398" s="25">
        <f t="shared" si="2"/>
        <v>1.3479623824451448E-2</v>
      </c>
    </row>
    <row r="399" spans="1:7">
      <c r="A399" s="53">
        <v>95.85216292845567</v>
      </c>
      <c r="B399" s="53">
        <v>97.334925830899607</v>
      </c>
      <c r="C399" s="53">
        <v>94.508720030268222</v>
      </c>
      <c r="D399" s="53">
        <v>95.125708620546916</v>
      </c>
      <c r="E399" s="53">
        <v>157978.3184580034</v>
      </c>
      <c r="F399" s="53" t="s">
        <v>424</v>
      </c>
      <c r="G399" s="25">
        <f t="shared" si="2"/>
        <v>7.636782090176597E-3</v>
      </c>
    </row>
    <row r="400" spans="1:7">
      <c r="A400" s="53">
        <v>96.469151518734364</v>
      </c>
      <c r="B400" s="53">
        <v>101.27569166558278</v>
      </c>
      <c r="C400" s="53">
        <v>96.379588658855184</v>
      </c>
      <c r="D400" s="53">
        <v>98.051428709932907</v>
      </c>
      <c r="E400" s="53">
        <v>139292.55962607326</v>
      </c>
      <c r="F400" s="53" t="s">
        <v>425</v>
      </c>
      <c r="G400" s="25">
        <f t="shared" si="2"/>
        <v>-1.6137217091241163E-2</v>
      </c>
    </row>
    <row r="401" spans="1:7">
      <c r="A401" s="53">
        <v>97.961865850053741</v>
      </c>
      <c r="B401" s="53">
        <v>99.061498740792359</v>
      </c>
      <c r="C401" s="53">
        <v>97.658347269352149</v>
      </c>
      <c r="D401" s="53">
        <v>97.882254419050042</v>
      </c>
      <c r="E401" s="53">
        <v>124164.07889390284</v>
      </c>
      <c r="F401" s="53" t="s">
        <v>426</v>
      </c>
      <c r="G401" s="25">
        <f t="shared" si="2"/>
        <v>8.1333875559175262E-4</v>
      </c>
    </row>
    <row r="402" spans="1:7">
      <c r="A402" s="53">
        <v>97.514051550657925</v>
      </c>
      <c r="B402" s="53">
        <v>101.2458373789564</v>
      </c>
      <c r="C402" s="53">
        <v>97.504100121782471</v>
      </c>
      <c r="D402" s="53">
        <v>99.345114463743045</v>
      </c>
      <c r="E402" s="53">
        <v>191723.22124558323</v>
      </c>
      <c r="F402" s="53" t="s">
        <v>427</v>
      </c>
      <c r="G402" s="25">
        <f t="shared" si="2"/>
        <v>-1.8431333266553218E-2</v>
      </c>
    </row>
    <row r="403" spans="1:7">
      <c r="A403" s="53">
        <v>99.345114463743045</v>
      </c>
      <c r="B403" s="53">
        <v>99.345114463743045</v>
      </c>
      <c r="C403" s="53">
        <v>96.946820104756569</v>
      </c>
      <c r="D403" s="53">
        <v>97.922060134551899</v>
      </c>
      <c r="E403" s="53">
        <v>160244.32470516677</v>
      </c>
      <c r="F403" s="53" t="s">
        <v>428</v>
      </c>
      <c r="G403" s="25">
        <f t="shared" si="2"/>
        <v>1.4532520325203135E-2</v>
      </c>
    </row>
    <row r="404" spans="1:7">
      <c r="A404" s="53">
        <v>98.051428709932907</v>
      </c>
      <c r="B404" s="53">
        <v>99.205694945197806</v>
      </c>
      <c r="C404" s="53">
        <v>96.489253405062797</v>
      </c>
      <c r="D404" s="53">
        <v>97.185654397767664</v>
      </c>
      <c r="E404" s="53">
        <v>92355.581444808064</v>
      </c>
      <c r="F404" s="53" t="s">
        <v>429</v>
      </c>
      <c r="G404" s="25">
        <f t="shared" si="2"/>
        <v>8.9084579152161059E-3</v>
      </c>
    </row>
    <row r="405" spans="1:7">
      <c r="A405" s="53">
        <v>96.986625820258411</v>
      </c>
      <c r="B405" s="53">
        <v>97.454342977405162</v>
      </c>
      <c r="C405" s="53">
        <v>94.692920978753051</v>
      </c>
      <c r="D405" s="53">
        <v>94.976437187414973</v>
      </c>
      <c r="E405" s="53">
        <v>144097.89970320635</v>
      </c>
      <c r="F405" s="53" t="s">
        <v>430</v>
      </c>
      <c r="G405" s="25">
        <f t="shared" si="2"/>
        <v>2.1165129924559878E-2</v>
      </c>
    </row>
    <row r="406" spans="1:7">
      <c r="A406" s="53">
        <v>94.96648575853952</v>
      </c>
      <c r="B406" s="53">
        <v>96.852281530439669</v>
      </c>
      <c r="C406" s="53">
        <v>92.826928550315046</v>
      </c>
      <c r="D406" s="53">
        <v>95.205320051550615</v>
      </c>
      <c r="E406" s="53">
        <v>227448.74412769033</v>
      </c>
      <c r="F406" s="53" t="s">
        <v>431</v>
      </c>
      <c r="G406" s="25">
        <f t="shared" si="2"/>
        <v>-2.5086233929130231E-3</v>
      </c>
    </row>
    <row r="407" spans="1:7">
      <c r="A407" s="53">
        <v>96.459200089858911</v>
      </c>
      <c r="B407" s="53">
        <v>100.30582540738021</v>
      </c>
      <c r="C407" s="53">
        <v>95.742697210825582</v>
      </c>
      <c r="D407" s="53">
        <v>99.265503032739346</v>
      </c>
      <c r="E407" s="53">
        <v>190572.63270766661</v>
      </c>
      <c r="F407" s="53" t="s">
        <v>432</v>
      </c>
      <c r="G407" s="25">
        <f t="shared" si="2"/>
        <v>-2.8270676691729224E-2</v>
      </c>
    </row>
    <row r="408" spans="1:7">
      <c r="A408" s="53">
        <v>99.663560187757852</v>
      </c>
      <c r="B408" s="53">
        <v>102.0718059756198</v>
      </c>
      <c r="C408" s="53">
        <v>99.355065892618512</v>
      </c>
      <c r="D408" s="53">
        <v>100.49948021329671</v>
      </c>
      <c r="E408" s="53">
        <v>64357.592061896612</v>
      </c>
      <c r="F408" s="53" t="s">
        <v>433</v>
      </c>
      <c r="G408" s="25">
        <f t="shared" si="2"/>
        <v>-8.3176552133874537E-3</v>
      </c>
    </row>
    <row r="409" spans="1:7">
      <c r="A409" s="53">
        <v>99.434677323622211</v>
      </c>
      <c r="B409" s="53">
        <v>101.30554595220917</v>
      </c>
      <c r="C409" s="53">
        <v>98.598757298083356</v>
      </c>
      <c r="D409" s="53">
        <v>98.598757298083356</v>
      </c>
      <c r="E409" s="53">
        <v>106849.98238010038</v>
      </c>
      <c r="F409" s="53" t="s">
        <v>434</v>
      </c>
      <c r="G409" s="25">
        <f t="shared" si="2"/>
        <v>8.4779975777149463E-3</v>
      </c>
    </row>
    <row r="410" spans="1:7">
      <c r="A410" s="53">
        <v>99.773025905387939</v>
      </c>
      <c r="B410" s="53">
        <v>100.38006306679117</v>
      </c>
      <c r="C410" s="53">
        <v>98.335044432883592</v>
      </c>
      <c r="D410" s="53">
        <v>98.578854440332435</v>
      </c>
      <c r="E410" s="53">
        <v>190092.29967611711</v>
      </c>
      <c r="F410" s="53" t="s">
        <v>435</v>
      </c>
      <c r="G410" s="25">
        <f t="shared" si="2"/>
        <v>1.2113870381586844E-2</v>
      </c>
    </row>
    <row r="411" spans="1:7">
      <c r="A411" s="53">
        <v>98.578854440332435</v>
      </c>
      <c r="B411" s="53">
        <v>98.777883017841688</v>
      </c>
      <c r="C411" s="53">
        <v>95.712842924199208</v>
      </c>
      <c r="D411" s="53">
        <v>96.100948650342232</v>
      </c>
      <c r="E411" s="53">
        <v>131655.46540060031</v>
      </c>
      <c r="F411" s="53" t="s">
        <v>436</v>
      </c>
      <c r="G411" s="25">
        <f t="shared" si="2"/>
        <v>2.5784405094750218E-2</v>
      </c>
    </row>
    <row r="412" spans="1:7">
      <c r="A412" s="53">
        <v>96.419394374357054</v>
      </c>
      <c r="B412" s="53">
        <v>97.007225278030617</v>
      </c>
      <c r="C412" s="53">
        <v>94.439060028139991</v>
      </c>
      <c r="D412" s="53">
        <v>95.125708620546916</v>
      </c>
      <c r="E412" s="53">
        <v>140511.4800596915</v>
      </c>
      <c r="F412" s="53" t="s">
        <v>437</v>
      </c>
      <c r="G412" s="25">
        <f t="shared" si="2"/>
        <v>1.3599748927712207E-2</v>
      </c>
    </row>
    <row r="413" spans="1:7">
      <c r="A413" s="53">
        <v>95.842211499580216</v>
      </c>
      <c r="B413" s="53">
        <v>97.23043582770724</v>
      </c>
      <c r="C413" s="53">
        <v>95.379470056871199</v>
      </c>
      <c r="D413" s="53">
        <v>96.976674391382957</v>
      </c>
      <c r="E413" s="53">
        <v>164798.44457751457</v>
      </c>
      <c r="F413" s="53" t="s">
        <v>438</v>
      </c>
      <c r="G413" s="25">
        <f t="shared" si="2"/>
        <v>-1.1698306824012406E-2</v>
      </c>
    </row>
    <row r="414" spans="1:7">
      <c r="A414" s="53">
        <v>97.524002979533392</v>
      </c>
      <c r="B414" s="53">
        <v>100.02181162727452</v>
      </c>
      <c r="C414" s="53">
        <v>97.389658689714651</v>
      </c>
      <c r="D414" s="53">
        <v>99.265503032739346</v>
      </c>
      <c r="E414" s="53">
        <v>130831.46312890454</v>
      </c>
      <c r="F414" s="53" t="s">
        <v>439</v>
      </c>
      <c r="G414" s="25">
        <f t="shared" si="2"/>
        <v>-1.7543859649122862E-2</v>
      </c>
    </row>
    <row r="415" spans="1:7">
      <c r="A415" s="53">
        <v>99.165988743984727</v>
      </c>
      <c r="B415" s="53">
        <v>100.72836307743235</v>
      </c>
      <c r="C415" s="53">
        <v>98.927154450973617</v>
      </c>
      <c r="D415" s="53">
        <v>98.927154450973617</v>
      </c>
      <c r="E415" s="53">
        <v>132109.67153085212</v>
      </c>
      <c r="F415" s="53" t="s">
        <v>440</v>
      </c>
      <c r="G415" s="25">
        <f t="shared" si="2"/>
        <v>2.414244039835145E-3</v>
      </c>
    </row>
    <row r="416" spans="1:7">
      <c r="A416" s="53">
        <v>98.578854440332435</v>
      </c>
      <c r="B416" s="53">
        <v>98.708223015713443</v>
      </c>
      <c r="C416" s="53">
        <v>97.195605826643131</v>
      </c>
      <c r="D416" s="53">
        <v>98.678368729087055</v>
      </c>
      <c r="E416" s="53">
        <v>116863.6197428422</v>
      </c>
      <c r="F416" s="53" t="s">
        <v>441</v>
      </c>
      <c r="G416" s="25">
        <f t="shared" si="2"/>
        <v>-1.008471157724844E-3</v>
      </c>
    </row>
    <row r="417" spans="1:7">
      <c r="A417" s="53">
        <v>97.752885843669034</v>
      </c>
      <c r="B417" s="53">
        <v>98.568903011456968</v>
      </c>
      <c r="C417" s="53">
        <v>96.329831514477874</v>
      </c>
      <c r="D417" s="53">
        <v>97.17570296889221</v>
      </c>
      <c r="E417" s="53">
        <v>100201.69088066235</v>
      </c>
      <c r="F417" s="53" t="s">
        <v>442</v>
      </c>
      <c r="G417" s="25">
        <f t="shared" si="2"/>
        <v>5.9395801331285636E-3</v>
      </c>
    </row>
    <row r="418" spans="1:7">
      <c r="A418" s="53">
        <v>97.285168686522297</v>
      </c>
      <c r="B418" s="53">
        <v>100.36016020904023</v>
      </c>
      <c r="C418" s="53">
        <v>96.380583801742745</v>
      </c>
      <c r="D418" s="53">
        <v>100.36016020904023</v>
      </c>
      <c r="E418" s="53">
        <v>121153.45595975588</v>
      </c>
      <c r="F418" s="53" t="s">
        <v>443</v>
      </c>
      <c r="G418" s="25">
        <f t="shared" si="2"/>
        <v>-3.0639563708477868E-2</v>
      </c>
    </row>
    <row r="419" spans="1:7">
      <c r="A419" s="53">
        <v>95.384445771308933</v>
      </c>
      <c r="B419" s="53">
        <v>95.80240578407836</v>
      </c>
      <c r="C419" s="53">
        <v>93.742460006857613</v>
      </c>
      <c r="D419" s="53">
        <v>93.742460006857613</v>
      </c>
      <c r="E419" s="53">
        <v>93623.741038564214</v>
      </c>
      <c r="F419" s="53" t="s">
        <v>444</v>
      </c>
      <c r="G419" s="25">
        <f t="shared" si="2"/>
        <v>1.7515923566878921E-2</v>
      </c>
    </row>
    <row r="420" spans="1:7">
      <c r="A420" s="53">
        <v>93.712605720231224</v>
      </c>
      <c r="B420" s="53">
        <v>94.200225735128882</v>
      </c>
      <c r="C420" s="53">
        <v>90.707274199841521</v>
      </c>
      <c r="D420" s="53">
        <v>92.677657117183102</v>
      </c>
      <c r="E420" s="53">
        <v>123647.57015286428</v>
      </c>
      <c r="F420" s="53" t="s">
        <v>445</v>
      </c>
      <c r="G420" s="25">
        <f t="shared" si="2"/>
        <v>1.1167185654461731E-2</v>
      </c>
    </row>
    <row r="421" spans="1:7">
      <c r="A421" s="53">
        <v>93.1354228454544</v>
      </c>
      <c r="B421" s="53">
        <v>93.931537155491398</v>
      </c>
      <c r="C421" s="53">
        <v>91.582999940882232</v>
      </c>
      <c r="D421" s="53">
        <v>93.931537155491398</v>
      </c>
      <c r="E421" s="53">
        <v>128822.70637144134</v>
      </c>
      <c r="F421" s="53" t="s">
        <v>446</v>
      </c>
      <c r="G421" s="25">
        <f t="shared" si="2"/>
        <v>-8.4754740968322473E-3</v>
      </c>
    </row>
    <row r="422" spans="1:7">
      <c r="A422" s="53">
        <v>94.439060028139991</v>
      </c>
      <c r="B422" s="53">
        <v>94.478865743641833</v>
      </c>
      <c r="C422" s="53">
        <v>91.563097083131311</v>
      </c>
      <c r="D422" s="53">
        <v>92.219891388911833</v>
      </c>
      <c r="E422" s="53">
        <v>210370.79460638604</v>
      </c>
      <c r="F422" s="53" t="s">
        <v>447</v>
      </c>
      <c r="G422" s="25">
        <f t="shared" si="2"/>
        <v>2.4063882594151265E-2</v>
      </c>
    </row>
    <row r="423" spans="1:7">
      <c r="A423" s="53">
        <v>92.299502819915531</v>
      </c>
      <c r="B423" s="53">
        <v>92.777171405937736</v>
      </c>
      <c r="C423" s="53">
        <v>91.115282783735495</v>
      </c>
      <c r="D423" s="53">
        <v>92.269648533289143</v>
      </c>
      <c r="E423" s="53">
        <v>138457.50366536694</v>
      </c>
      <c r="F423" s="53" t="s">
        <v>448</v>
      </c>
      <c r="G423" s="25">
        <f t="shared" si="2"/>
        <v>3.2355478861090248E-4</v>
      </c>
    </row>
    <row r="424" spans="1:7">
      <c r="A424" s="53">
        <v>92.269648533289143</v>
      </c>
      <c r="B424" s="53">
        <v>92.548288541802094</v>
      </c>
      <c r="C424" s="53">
        <v>91.294408503493813</v>
      </c>
      <c r="D424" s="53">
        <v>91.513339938753987</v>
      </c>
      <c r="E424" s="53">
        <v>208274.61321765755</v>
      </c>
      <c r="F424" s="53" t="s">
        <v>449</v>
      </c>
      <c r="G424" s="25">
        <f t="shared" si="2"/>
        <v>8.2644628099173278E-3</v>
      </c>
    </row>
    <row r="425" spans="1:7">
      <c r="A425" s="53">
        <v>91.294408503493813</v>
      </c>
      <c r="B425" s="53">
        <v>92.508482826300238</v>
      </c>
      <c r="C425" s="53">
        <v>90.607859425375651</v>
      </c>
      <c r="D425" s="53">
        <v>91.473534223252145</v>
      </c>
      <c r="E425" s="53">
        <v>222867.49247322569</v>
      </c>
      <c r="F425" s="53" t="s">
        <v>450</v>
      </c>
      <c r="G425" s="25">
        <f t="shared" si="2"/>
        <v>-1.958224543081033E-3</v>
      </c>
    </row>
    <row r="426" spans="1:7">
      <c r="A426" s="53">
        <v>91.025719923856315</v>
      </c>
      <c r="B426" s="53">
        <v>92.394041394232431</v>
      </c>
      <c r="C426" s="53">
        <v>90.011370778580414</v>
      </c>
      <c r="D426" s="53">
        <v>92.030814240278048</v>
      </c>
      <c r="E426" s="53">
        <v>188033.29887769686</v>
      </c>
      <c r="F426" s="53" t="s">
        <v>451</v>
      </c>
      <c r="G426" s="25">
        <f t="shared" si="2"/>
        <v>-1.0921280276816714E-2</v>
      </c>
    </row>
    <row r="427" spans="1:7">
      <c r="A427" s="53">
        <v>91.692465658512319</v>
      </c>
      <c r="B427" s="53">
        <v>93.473870941508864</v>
      </c>
      <c r="C427" s="53">
        <v>91.563097083131311</v>
      </c>
      <c r="D427" s="53">
        <v>93.115519987703465</v>
      </c>
      <c r="E427" s="53">
        <v>147504.44568009494</v>
      </c>
      <c r="F427" s="53" t="s">
        <v>452</v>
      </c>
      <c r="G427" s="25">
        <f t="shared" si="2"/>
        <v>-1.5282676071390333E-2</v>
      </c>
    </row>
    <row r="428" spans="1:7">
      <c r="A428" s="53">
        <v>92.498531397424784</v>
      </c>
      <c r="B428" s="53">
        <v>93.747435721295332</v>
      </c>
      <c r="C428" s="53">
        <v>90.836642775222529</v>
      </c>
      <c r="D428" s="53">
        <v>91.71236851626324</v>
      </c>
      <c r="E428" s="53">
        <v>182136.65823097643</v>
      </c>
      <c r="F428" s="53" t="s">
        <v>453</v>
      </c>
      <c r="G428" s="25">
        <f t="shared" si="2"/>
        <v>8.5720486111111605E-3</v>
      </c>
    </row>
    <row r="429" spans="1:7">
      <c r="A429" s="53">
        <v>92.389065679794697</v>
      </c>
      <c r="B429" s="53">
        <v>93.642945718102979</v>
      </c>
      <c r="C429" s="53">
        <v>91.224748501365582</v>
      </c>
      <c r="D429" s="53">
        <v>93.603140002601137</v>
      </c>
      <c r="E429" s="53">
        <v>105115.55808626271</v>
      </c>
      <c r="F429" s="53" t="s">
        <v>454</v>
      </c>
      <c r="G429" s="25">
        <f t="shared" si="2"/>
        <v>-1.2970444397193304E-2</v>
      </c>
    </row>
    <row r="430" spans="1:7">
      <c r="A430" s="53">
        <v>93.583237144850216</v>
      </c>
      <c r="B430" s="53">
        <v>93.881780011114088</v>
      </c>
      <c r="C430" s="53">
        <v>91.319287075682468</v>
      </c>
      <c r="D430" s="53">
        <v>92.040765669153501</v>
      </c>
      <c r="E430" s="53">
        <v>74843.523409634785</v>
      </c>
      <c r="F430" s="53" t="s">
        <v>455</v>
      </c>
      <c r="G430" s="25">
        <f t="shared" si="2"/>
        <v>1.6758568493891346E-2</v>
      </c>
    </row>
    <row r="431" spans="1:7">
      <c r="A431" s="53">
        <v>92.180085673409977</v>
      </c>
      <c r="B431" s="53">
        <v>92.180085673409977</v>
      </c>
      <c r="C431" s="53">
        <v>90.319168473698483</v>
      </c>
      <c r="D431" s="53">
        <v>90.776934201969752</v>
      </c>
      <c r="E431" s="53">
        <v>55918.602942749014</v>
      </c>
      <c r="F431" s="53" t="s">
        <v>456</v>
      </c>
      <c r="G431" s="25">
        <f t="shared" si="2"/>
        <v>1.5457136592852416E-2</v>
      </c>
    </row>
    <row r="432" spans="1:7">
      <c r="A432" s="53">
        <v>90.936157063977149</v>
      </c>
      <c r="B432" s="53">
        <v>92.030814240278048</v>
      </c>
      <c r="C432" s="53">
        <v>90.42863419132857</v>
      </c>
      <c r="D432" s="53">
        <v>90.995865637229926</v>
      </c>
      <c r="E432" s="53">
        <v>132014.2078530337</v>
      </c>
      <c r="F432" s="53" t="s">
        <v>457</v>
      </c>
      <c r="G432" s="25">
        <f t="shared" si="2"/>
        <v>-6.5616797900269752E-4</v>
      </c>
    </row>
    <row r="433" spans="1:7">
      <c r="A433" s="53">
        <v>91.672562800761398</v>
      </c>
      <c r="B433" s="53">
        <v>93.145374274329853</v>
      </c>
      <c r="C433" s="53">
        <v>90.169897040566539</v>
      </c>
      <c r="D433" s="53">
        <v>90.936157063977149</v>
      </c>
      <c r="E433" s="53">
        <v>457421.7488730633</v>
      </c>
      <c r="F433" s="53" t="s">
        <v>458</v>
      </c>
      <c r="G433" s="25">
        <f t="shared" si="2"/>
        <v>8.0980520901730024E-3</v>
      </c>
    </row>
    <row r="434" spans="1:7">
      <c r="A434" s="53">
        <v>91.801931376142406</v>
      </c>
      <c r="B434" s="53">
        <v>91.921348522647961</v>
      </c>
      <c r="C434" s="53">
        <v>87.93082554358746</v>
      </c>
      <c r="D434" s="53">
        <v>90.259459900445705</v>
      </c>
      <c r="E434" s="53">
        <v>226510.18544261248</v>
      </c>
      <c r="F434" s="53" t="s">
        <v>459</v>
      </c>
      <c r="G434" s="25">
        <f t="shared" si="2"/>
        <v>1.7089305402425481E-2</v>
      </c>
    </row>
    <row r="435" spans="1:7">
      <c r="A435" s="53">
        <v>89.901208460929055</v>
      </c>
      <c r="B435" s="53">
        <v>91.443679936625756</v>
      </c>
      <c r="C435" s="53">
        <v>88.985677004386488</v>
      </c>
      <c r="D435" s="53">
        <v>91.005817066105394</v>
      </c>
      <c r="E435" s="53">
        <v>284152.15899018862</v>
      </c>
      <c r="F435" s="53" t="s">
        <v>460</v>
      </c>
      <c r="G435" s="25">
        <f t="shared" si="2"/>
        <v>-1.2137780207763682E-2</v>
      </c>
    </row>
    <row r="436" spans="1:7">
      <c r="A436" s="53">
        <v>90.488342764581347</v>
      </c>
      <c r="B436" s="53">
        <v>91.652659943010462</v>
      </c>
      <c r="C436" s="53">
        <v>89.433491303782318</v>
      </c>
      <c r="D436" s="53">
        <v>91.4038742211239</v>
      </c>
      <c r="E436" s="53">
        <v>594298.5750099211</v>
      </c>
      <c r="F436" s="53" t="s">
        <v>461</v>
      </c>
      <c r="G436" s="25">
        <f t="shared" si="2"/>
        <v>-1.0016330974414789E-2</v>
      </c>
    </row>
    <row r="437" spans="1:7">
      <c r="A437" s="53">
        <v>91.652659943010462</v>
      </c>
      <c r="B437" s="53">
        <v>94.319642881634437</v>
      </c>
      <c r="C437" s="53">
        <v>88.33883412748142</v>
      </c>
      <c r="D437" s="53">
        <v>90.677419913215132</v>
      </c>
      <c r="E437" s="53">
        <v>831701.6685320239</v>
      </c>
      <c r="F437" s="53" t="s">
        <v>462</v>
      </c>
      <c r="G437" s="25">
        <f t="shared" si="2"/>
        <v>1.0755048287971913E-2</v>
      </c>
    </row>
    <row r="438" spans="1:7">
      <c r="A438" s="53">
        <v>100.20093734703283</v>
      </c>
      <c r="B438" s="53">
        <v>101.26574023670733</v>
      </c>
      <c r="C438" s="53">
        <v>99.156037315109259</v>
      </c>
      <c r="D438" s="53">
        <v>100.36016020904023</v>
      </c>
      <c r="E438" s="53">
        <v>184612.68456934029</v>
      </c>
      <c r="F438" s="53" t="s">
        <v>463</v>
      </c>
      <c r="G438" s="25">
        <f t="shared" si="2"/>
        <v>-1.586514625681712E-3</v>
      </c>
    </row>
    <row r="439" spans="1:7">
      <c r="A439" s="53">
        <v>99.79292876313886</v>
      </c>
      <c r="B439" s="53">
        <v>101.61901596178625</v>
      </c>
      <c r="C439" s="53">
        <v>99.573997327878686</v>
      </c>
      <c r="D439" s="53">
        <v>100.55918878654948</v>
      </c>
      <c r="E439" s="53">
        <v>149536.31469639839</v>
      </c>
      <c r="F439" s="53" t="s">
        <v>464</v>
      </c>
      <c r="G439" s="25">
        <f t="shared" si="2"/>
        <v>-7.6199901039090134E-3</v>
      </c>
    </row>
    <row r="440" spans="1:7">
      <c r="A440" s="53">
        <v>100.50943164217217</v>
      </c>
      <c r="B440" s="53">
        <v>102.1612693212102</v>
      </c>
      <c r="C440" s="53">
        <v>99.148673257741407</v>
      </c>
      <c r="D440" s="53">
        <v>99.683463045508773</v>
      </c>
      <c r="E440" s="53">
        <v>149022.82059781725</v>
      </c>
      <c r="F440" s="53" t="s">
        <v>465</v>
      </c>
      <c r="G440" s="25">
        <f t="shared" si="2"/>
        <v>8.2859139462914122E-3</v>
      </c>
    </row>
    <row r="441" spans="1:7">
      <c r="A441" s="53">
        <v>98.917203022098164</v>
      </c>
      <c r="B441" s="53">
        <v>100.04052031356038</v>
      </c>
      <c r="C441" s="53">
        <v>96.170608652470477</v>
      </c>
      <c r="D441" s="53">
        <v>97.623517268288012</v>
      </c>
      <c r="E441" s="53">
        <v>197583.68618281459</v>
      </c>
      <c r="F441" s="53" t="s">
        <v>466</v>
      </c>
      <c r="G441" s="25">
        <f t="shared" ref="G441:G504" si="3">A441/D441-1</f>
        <v>1.3251783893985847E-2</v>
      </c>
    </row>
    <row r="442" spans="1:7">
      <c r="A442" s="53">
        <v>96.757742956122783</v>
      </c>
      <c r="B442" s="53">
        <v>101.21598309233001</v>
      </c>
      <c r="C442" s="53">
        <v>96.469151518734364</v>
      </c>
      <c r="D442" s="53">
        <v>100.54923735767403</v>
      </c>
      <c r="E442" s="53">
        <v>175642.11349686701</v>
      </c>
      <c r="F442" s="53" t="s">
        <v>467</v>
      </c>
      <c r="G442" s="25">
        <f t="shared" si="3"/>
        <v>-3.7707838479809963E-2</v>
      </c>
    </row>
    <row r="443" spans="1:7">
      <c r="A443" s="53">
        <v>100.62884878867773</v>
      </c>
      <c r="B443" s="53">
        <v>102.78830885465311</v>
      </c>
      <c r="C443" s="53">
        <v>100.43977164004394</v>
      </c>
      <c r="D443" s="53">
        <v>102.17132026437443</v>
      </c>
      <c r="E443" s="53">
        <v>117809.21259365404</v>
      </c>
      <c r="F443" s="53" t="s">
        <v>468</v>
      </c>
      <c r="G443" s="25">
        <f t="shared" si="3"/>
        <v>-1.5096912437907894E-2</v>
      </c>
    </row>
    <row r="444" spans="1:7">
      <c r="A444" s="53">
        <v>101.98224311574064</v>
      </c>
      <c r="B444" s="53">
        <v>104.49000319235721</v>
      </c>
      <c r="C444" s="53">
        <v>101.52447738746935</v>
      </c>
      <c r="D444" s="53">
        <v>103.73369459782205</v>
      </c>
      <c r="E444" s="53">
        <v>95264.711416221762</v>
      </c>
      <c r="F444" s="53" t="s">
        <v>469</v>
      </c>
      <c r="G444" s="25">
        <f t="shared" si="3"/>
        <v>-1.6884113584036742E-2</v>
      </c>
    </row>
    <row r="445" spans="1:7">
      <c r="A445" s="53">
        <v>104.46014890573082</v>
      </c>
      <c r="B445" s="53">
        <v>106.1862242441798</v>
      </c>
      <c r="C445" s="53">
        <v>104.12180032396509</v>
      </c>
      <c r="D445" s="53">
        <v>104.70893462761738</v>
      </c>
      <c r="E445" s="53">
        <v>93462.96010750164</v>
      </c>
      <c r="F445" s="53" t="s">
        <v>470</v>
      </c>
      <c r="G445" s="25">
        <f t="shared" si="3"/>
        <v>-2.3759741494012721E-3</v>
      </c>
    </row>
    <row r="446" spans="1:7">
      <c r="A446" s="53">
        <v>104.50990605010813</v>
      </c>
      <c r="B446" s="53">
        <v>104.81342463080975</v>
      </c>
      <c r="C446" s="53">
        <v>102.21072792272125</v>
      </c>
      <c r="D446" s="53">
        <v>104.76864320087016</v>
      </c>
      <c r="E446" s="53">
        <v>121664.94029669874</v>
      </c>
      <c r="F446" s="53" t="s">
        <v>471</v>
      </c>
      <c r="G446" s="25">
        <f t="shared" si="3"/>
        <v>-2.469604863221897E-3</v>
      </c>
    </row>
    <row r="447" spans="1:7">
      <c r="A447" s="53">
        <v>104.95772034950394</v>
      </c>
      <c r="B447" s="53">
        <v>106.41062896532149</v>
      </c>
      <c r="C447" s="53">
        <v>104.06209175071231</v>
      </c>
      <c r="D447" s="53">
        <v>106.41062896532149</v>
      </c>
      <c r="E447" s="53">
        <v>106117.42426294646</v>
      </c>
      <c r="F447" s="53" t="s">
        <v>472</v>
      </c>
      <c r="G447" s="25">
        <f t="shared" si="3"/>
        <v>-1.365379220050511E-2</v>
      </c>
    </row>
    <row r="448" spans="1:7">
      <c r="A448" s="53">
        <v>106.47033753857426</v>
      </c>
      <c r="B448" s="53">
        <v>106.70419611714763</v>
      </c>
      <c r="C448" s="53">
        <v>105.18660321363959</v>
      </c>
      <c r="D448" s="53">
        <v>105.67422322853726</v>
      </c>
      <c r="E448" s="53">
        <v>60111.970601025147</v>
      </c>
      <c r="F448" s="53" t="s">
        <v>473</v>
      </c>
      <c r="G448" s="25">
        <f t="shared" si="3"/>
        <v>7.5336660702514102E-3</v>
      </c>
    </row>
    <row r="449" spans="1:7">
      <c r="A449" s="53">
        <v>105.28611750239422</v>
      </c>
      <c r="B449" s="53">
        <v>106.08223181243122</v>
      </c>
      <c r="C449" s="53">
        <v>104.32082890147434</v>
      </c>
      <c r="D449" s="53">
        <v>105.64436894191087</v>
      </c>
      <c r="E449" s="53">
        <v>87322.133421729901</v>
      </c>
      <c r="F449" s="53" t="s">
        <v>474</v>
      </c>
      <c r="G449" s="25">
        <f t="shared" si="3"/>
        <v>-3.3911077618687946E-3</v>
      </c>
    </row>
    <row r="450" spans="1:7">
      <c r="A450" s="53">
        <v>104.91293891956437</v>
      </c>
      <c r="B450" s="53">
        <v>107.33611185073951</v>
      </c>
      <c r="C450" s="53">
        <v>104.59946890998729</v>
      </c>
      <c r="D450" s="53">
        <v>106.41062896532149</v>
      </c>
      <c r="E450" s="53">
        <v>110506.74368095511</v>
      </c>
      <c r="F450" s="53" t="s">
        <v>475</v>
      </c>
      <c r="G450" s="25">
        <f t="shared" si="3"/>
        <v>-1.4074628261479538E-2</v>
      </c>
    </row>
    <row r="451" spans="1:7">
      <c r="A451" s="53">
        <v>106.56985182732889</v>
      </c>
      <c r="B451" s="53">
        <v>109.04775761731908</v>
      </c>
      <c r="C451" s="53">
        <v>106.51163596840743</v>
      </c>
      <c r="D451" s="53">
        <v>107.76402329238441</v>
      </c>
      <c r="E451" s="53">
        <v>170556.41167119352</v>
      </c>
      <c r="F451" s="53" t="s">
        <v>476</v>
      </c>
      <c r="G451" s="25">
        <f t="shared" si="3"/>
        <v>-1.1081355619170785E-2</v>
      </c>
    </row>
    <row r="452" spans="1:7">
      <c r="A452" s="53">
        <v>107.4455775683696</v>
      </c>
      <c r="B452" s="53">
        <v>107.56499471487516</v>
      </c>
      <c r="C452" s="53">
        <v>105.53490322428078</v>
      </c>
      <c r="D452" s="53">
        <v>106.12203752793307</v>
      </c>
      <c r="E452" s="53">
        <v>135101.20172943539</v>
      </c>
      <c r="F452" s="53" t="s">
        <v>477</v>
      </c>
      <c r="G452" s="25">
        <f t="shared" si="3"/>
        <v>1.2471867966991734E-2</v>
      </c>
    </row>
    <row r="453" spans="1:7">
      <c r="A453" s="53">
        <v>105.35577750452246</v>
      </c>
      <c r="B453" s="53">
        <v>106.46536182413654</v>
      </c>
      <c r="C453" s="53">
        <v>102.44000884401191</v>
      </c>
      <c r="D453" s="53">
        <v>103.75359745557299</v>
      </c>
      <c r="E453" s="53">
        <v>178770.30748685347</v>
      </c>
      <c r="F453" s="53" t="s">
        <v>478</v>
      </c>
      <c r="G453" s="25">
        <f t="shared" si="3"/>
        <v>1.5442163821216104E-2</v>
      </c>
    </row>
    <row r="454" spans="1:7">
      <c r="A454" s="53">
        <v>102.77835742577768</v>
      </c>
      <c r="B454" s="53">
        <v>103.44407184452548</v>
      </c>
      <c r="C454" s="53">
        <v>101.85430606841136</v>
      </c>
      <c r="D454" s="53">
        <v>102.83797364238197</v>
      </c>
      <c r="E454" s="53">
        <v>98027.019037308433</v>
      </c>
      <c r="F454" s="53" t="s">
        <v>479</v>
      </c>
      <c r="G454" s="25">
        <f t="shared" si="3"/>
        <v>-5.7971014492752548E-4</v>
      </c>
    </row>
    <row r="455" spans="1:7">
      <c r="A455" s="53">
        <v>103.07643850879909</v>
      </c>
      <c r="B455" s="53">
        <v>104.14953040767611</v>
      </c>
      <c r="C455" s="53">
        <v>101.39724840777855</v>
      </c>
      <c r="D455" s="53">
        <v>101.94373039331776</v>
      </c>
      <c r="E455" s="53">
        <v>82357.792554845859</v>
      </c>
      <c r="F455" s="53" t="s">
        <v>480</v>
      </c>
      <c r="G455" s="25">
        <f t="shared" si="3"/>
        <v>1.1111111111111294E-2</v>
      </c>
    </row>
    <row r="456" spans="1:7">
      <c r="A456" s="53">
        <v>102.88268580483518</v>
      </c>
      <c r="B456" s="53">
        <v>103.94087364956114</v>
      </c>
      <c r="C456" s="53">
        <v>101.09916732475715</v>
      </c>
      <c r="D456" s="53">
        <v>101.27801597457</v>
      </c>
      <c r="E456" s="53">
        <v>97333.583553564022</v>
      </c>
      <c r="F456" s="53" t="s">
        <v>481</v>
      </c>
      <c r="G456" s="25">
        <f t="shared" si="3"/>
        <v>1.5844206808593997E-2</v>
      </c>
    </row>
    <row r="457" spans="1:7">
      <c r="A457" s="53">
        <v>101.3674402994764</v>
      </c>
      <c r="B457" s="53">
        <v>101.78475381570637</v>
      </c>
      <c r="C457" s="53">
        <v>99.807482631664428</v>
      </c>
      <c r="D457" s="53">
        <v>100.82095831393718</v>
      </c>
      <c r="E457" s="53">
        <v>81279.897920462317</v>
      </c>
      <c r="F457" s="53" t="s">
        <v>482</v>
      </c>
      <c r="G457" s="25">
        <f t="shared" si="3"/>
        <v>5.4203212772245823E-3</v>
      </c>
    </row>
    <row r="458" spans="1:7">
      <c r="A458" s="53">
        <v>100.87063849444074</v>
      </c>
      <c r="B458" s="53">
        <v>102.85784571458339</v>
      </c>
      <c r="C458" s="53">
        <v>100.50300515871436</v>
      </c>
      <c r="D458" s="53">
        <v>102.04309075432491</v>
      </c>
      <c r="E458" s="53">
        <v>83090.479103707868</v>
      </c>
      <c r="F458" s="53" t="s">
        <v>483</v>
      </c>
      <c r="G458" s="25">
        <f t="shared" si="3"/>
        <v>-1.1489776046738176E-2</v>
      </c>
    </row>
    <row r="459" spans="1:7">
      <c r="A459" s="53">
        <v>101.91392228501563</v>
      </c>
      <c r="B459" s="53">
        <v>105.43127906466812</v>
      </c>
      <c r="C459" s="53">
        <v>101.88908219476386</v>
      </c>
      <c r="D459" s="53">
        <v>102.53989255936057</v>
      </c>
      <c r="E459" s="53">
        <v>109724.84287992277</v>
      </c>
      <c r="F459" s="53" t="s">
        <v>484</v>
      </c>
      <c r="G459" s="25">
        <f t="shared" si="3"/>
        <v>-6.1046511627906863E-3</v>
      </c>
    </row>
    <row r="460" spans="1:7">
      <c r="A460" s="53">
        <v>102.59950877596485</v>
      </c>
      <c r="B460" s="53">
        <v>105.09842185529423</v>
      </c>
      <c r="C460" s="53">
        <v>102.20703534998667</v>
      </c>
      <c r="D460" s="53">
        <v>104.86492500692748</v>
      </c>
      <c r="E460" s="53">
        <v>108139.70371171167</v>
      </c>
      <c r="F460" s="53" t="s">
        <v>485</v>
      </c>
      <c r="G460" s="25">
        <f t="shared" si="3"/>
        <v>-2.1603183627060929E-2</v>
      </c>
    </row>
    <row r="461" spans="1:7">
      <c r="A461" s="53">
        <v>104.82518086252462</v>
      </c>
      <c r="B461" s="53">
        <v>105.80785483288516</v>
      </c>
      <c r="C461" s="53">
        <v>103.94087364956114</v>
      </c>
      <c r="D461" s="53">
        <v>104.40786734629465</v>
      </c>
      <c r="E461" s="53">
        <v>91089.644887162984</v>
      </c>
      <c r="F461" s="53" t="s">
        <v>486</v>
      </c>
      <c r="G461" s="25">
        <f t="shared" si="3"/>
        <v>3.996954701180222E-3</v>
      </c>
    </row>
    <row r="462" spans="1:7">
      <c r="A462" s="53">
        <v>103.58317634993546</v>
      </c>
      <c r="B462" s="53">
        <v>104.13462635352505</v>
      </c>
      <c r="C462" s="53">
        <v>99.161640285118068</v>
      </c>
      <c r="D462" s="53">
        <v>100.35396461720366</v>
      </c>
      <c r="E462" s="53">
        <v>179871.52843292404</v>
      </c>
      <c r="F462" s="53" t="s">
        <v>487</v>
      </c>
      <c r="G462" s="25">
        <f t="shared" si="3"/>
        <v>3.2178217821782207E-2</v>
      </c>
    </row>
    <row r="463" spans="1:7">
      <c r="A463" s="53">
        <v>100.42351686990864</v>
      </c>
      <c r="B463" s="53">
        <v>102.629316884267</v>
      </c>
      <c r="C463" s="53">
        <v>100.42351686990864</v>
      </c>
      <c r="D463" s="53">
        <v>101.11903939695857</v>
      </c>
      <c r="E463" s="53">
        <v>166632.84867505179</v>
      </c>
      <c r="F463" s="53" t="s">
        <v>488</v>
      </c>
      <c r="G463" s="25">
        <f t="shared" si="3"/>
        <v>-6.8782548884740446E-3</v>
      </c>
    </row>
    <row r="464" spans="1:7">
      <c r="A464" s="53">
        <v>101.05942318035429</v>
      </c>
      <c r="B464" s="53">
        <v>103.29503130301477</v>
      </c>
      <c r="C464" s="53">
        <v>99.390169115434475</v>
      </c>
      <c r="D464" s="53">
        <v>100.35396461720366</v>
      </c>
      <c r="E464" s="53">
        <v>238722.96517015822</v>
      </c>
      <c r="F464" s="53" t="s">
        <v>489</v>
      </c>
      <c r="G464" s="25">
        <f t="shared" si="3"/>
        <v>7.0297029702968139E-3</v>
      </c>
    </row>
    <row r="465" spans="1:7">
      <c r="A465" s="53">
        <v>97.999124061334612</v>
      </c>
      <c r="B465" s="53">
        <v>98.177972711147461</v>
      </c>
      <c r="C465" s="53">
        <v>95.356138458544905</v>
      </c>
      <c r="D465" s="53">
        <v>95.356138458544905</v>
      </c>
      <c r="E465" s="53">
        <v>212911.86732384597</v>
      </c>
      <c r="F465" s="53" t="s">
        <v>490</v>
      </c>
      <c r="G465" s="25">
        <f t="shared" si="3"/>
        <v>2.7716994894237734E-2</v>
      </c>
    </row>
    <row r="466" spans="1:7">
      <c r="A466" s="53">
        <v>95.733707830371998</v>
      </c>
      <c r="B466" s="53">
        <v>96.935968198558314</v>
      </c>
      <c r="C466" s="53">
        <v>93.657175645683935</v>
      </c>
      <c r="D466" s="53">
        <v>94.392342956775721</v>
      </c>
      <c r="E466" s="53">
        <v>208970.65781101128</v>
      </c>
      <c r="F466" s="53" t="s">
        <v>491</v>
      </c>
      <c r="G466" s="25">
        <f t="shared" si="3"/>
        <v>1.4210526315789451E-2</v>
      </c>
    </row>
    <row r="467" spans="1:7">
      <c r="A467" s="53">
        <v>94.273110523567155</v>
      </c>
      <c r="B467" s="53">
        <v>101.01967903595144</v>
      </c>
      <c r="C467" s="53">
        <v>88.679122198865613</v>
      </c>
      <c r="D467" s="53">
        <v>88.679122198865613</v>
      </c>
      <c r="E467" s="53">
        <v>345857.23775231885</v>
      </c>
      <c r="F467" s="53" t="s">
        <v>492</v>
      </c>
      <c r="G467" s="25">
        <f t="shared" si="3"/>
        <v>6.3081232492997019E-2</v>
      </c>
    </row>
    <row r="468" spans="1:7">
      <c r="A468" s="53">
        <v>87.82462309420427</v>
      </c>
      <c r="B468" s="53">
        <v>88.768546523772031</v>
      </c>
      <c r="C468" s="53">
        <v>86.060976686327663</v>
      </c>
      <c r="D468" s="53">
        <v>87.844495166405693</v>
      </c>
      <c r="E468" s="53">
        <v>193195.7553840013</v>
      </c>
      <c r="F468" s="53" t="s">
        <v>493</v>
      </c>
      <c r="G468" s="25">
        <f t="shared" si="3"/>
        <v>-2.2621875353467935E-4</v>
      </c>
    </row>
    <row r="469" spans="1:7">
      <c r="A469" s="53">
        <v>88.480401476851341</v>
      </c>
      <c r="B469" s="53">
        <v>90.239079866677585</v>
      </c>
      <c r="C469" s="53">
        <v>87.437117686276451</v>
      </c>
      <c r="D469" s="53">
        <v>89.374644725915545</v>
      </c>
      <c r="E469" s="53">
        <v>105025.7858790481</v>
      </c>
      <c r="F469" s="53" t="s">
        <v>494</v>
      </c>
      <c r="G469" s="25">
        <f t="shared" si="3"/>
        <v>-1.0005558643691126E-2</v>
      </c>
    </row>
    <row r="470" spans="1:7">
      <c r="A470" s="53">
        <v>89.831702386548343</v>
      </c>
      <c r="B470" s="53">
        <v>89.966931837879045</v>
      </c>
      <c r="C470" s="53">
        <v>86.125560920982309</v>
      </c>
      <c r="D470" s="53">
        <v>86.38389785960085</v>
      </c>
      <c r="E470" s="53">
        <v>126881.58408658598</v>
      </c>
      <c r="F470" s="53" t="s">
        <v>495</v>
      </c>
      <c r="G470" s="25">
        <f t="shared" si="3"/>
        <v>3.9912583390844247E-2</v>
      </c>
    </row>
    <row r="471" spans="1:7">
      <c r="A471" s="53">
        <v>86.761467231427943</v>
      </c>
      <c r="B471" s="53">
        <v>87.740166787348215</v>
      </c>
      <c r="C471" s="53">
        <v>85.161765419213125</v>
      </c>
      <c r="D471" s="53">
        <v>85.529398754939507</v>
      </c>
      <c r="E471" s="53">
        <v>183546.03199047243</v>
      </c>
      <c r="F471" s="53" t="s">
        <v>496</v>
      </c>
      <c r="G471" s="25">
        <f t="shared" si="3"/>
        <v>1.4405204460966381E-2</v>
      </c>
    </row>
    <row r="472" spans="1:7">
      <c r="A472" s="53">
        <v>85.092213166508131</v>
      </c>
      <c r="B472" s="53">
        <v>86.214985245888727</v>
      </c>
      <c r="C472" s="53">
        <v>84.14828973694037</v>
      </c>
      <c r="D472" s="53">
        <v>86.214985245888727</v>
      </c>
      <c r="E472" s="53">
        <v>86405.684449795081</v>
      </c>
      <c r="F472" s="53" t="s">
        <v>497</v>
      </c>
      <c r="G472" s="25">
        <f t="shared" si="3"/>
        <v>-1.3022934193845814E-2</v>
      </c>
    </row>
    <row r="473" spans="1:7">
      <c r="A473" s="53">
        <v>86.02620055997518</v>
      </c>
      <c r="B473" s="53">
        <v>86.960187953442215</v>
      </c>
      <c r="C473" s="53">
        <v>85.757927585255928</v>
      </c>
      <c r="D473" s="53">
        <v>86.960187953442215</v>
      </c>
      <c r="E473" s="53">
        <v>97301.377551416241</v>
      </c>
      <c r="F473" s="53" t="s">
        <v>498</v>
      </c>
      <c r="G473" s="25">
        <f t="shared" si="3"/>
        <v>-1.0740402193784138E-2</v>
      </c>
    </row>
    <row r="474" spans="1:7">
      <c r="A474" s="53">
        <v>86.413705967902985</v>
      </c>
      <c r="B474" s="53">
        <v>87.099292458852204</v>
      </c>
      <c r="C474" s="53">
        <v>85.698311368651645</v>
      </c>
      <c r="D474" s="53">
        <v>86.433578040104408</v>
      </c>
      <c r="E474" s="53">
        <v>87709.021099213089</v>
      </c>
      <c r="F474" s="53" t="s">
        <v>499</v>
      </c>
      <c r="G474" s="25">
        <f t="shared" si="3"/>
        <v>-2.2991148407858208E-4</v>
      </c>
    </row>
    <row r="475" spans="1:7">
      <c r="A475" s="53">
        <v>86.711787050924386</v>
      </c>
      <c r="B475" s="53">
        <v>87.923983455211399</v>
      </c>
      <c r="C475" s="53">
        <v>86.145432993183732</v>
      </c>
      <c r="D475" s="53">
        <v>87.794814985902136</v>
      </c>
      <c r="E475" s="53">
        <v>81824.380644273231</v>
      </c>
      <c r="F475" s="53" t="s">
        <v>500</v>
      </c>
      <c r="G475" s="25">
        <f t="shared" si="3"/>
        <v>-1.2335898596650186E-2</v>
      </c>
    </row>
    <row r="476" spans="1:7">
      <c r="A476" s="53">
        <v>88.053151924520677</v>
      </c>
      <c r="B476" s="53">
        <v>89.126243823397715</v>
      </c>
      <c r="C476" s="53">
        <v>87.437117686276451</v>
      </c>
      <c r="D476" s="53">
        <v>89.126243823397715</v>
      </c>
      <c r="E476" s="53">
        <v>86905.883920652806</v>
      </c>
      <c r="F476" s="53" t="s">
        <v>501</v>
      </c>
      <c r="G476" s="25">
        <f t="shared" si="3"/>
        <v>-1.2040133779264273E-2</v>
      </c>
    </row>
    <row r="477" spans="1:7">
      <c r="A477" s="53">
        <v>89.305092473210536</v>
      </c>
      <c r="B477" s="53">
        <v>89.970806891958333</v>
      </c>
      <c r="C477" s="53">
        <v>88.927523101383443</v>
      </c>
      <c r="D477" s="53">
        <v>89.26534832880769</v>
      </c>
      <c r="E477" s="53">
        <v>184314.95029175069</v>
      </c>
      <c r="F477" s="53" t="s">
        <v>502</v>
      </c>
      <c r="G477" s="25">
        <f t="shared" si="3"/>
        <v>4.4523597506662682E-4</v>
      </c>
    </row>
    <row r="478" spans="1:7">
      <c r="A478" s="53">
        <v>89.116307787296989</v>
      </c>
      <c r="B478" s="53">
        <v>91.23437260288604</v>
      </c>
      <c r="C478" s="53">
        <v>88.788418595973454</v>
      </c>
      <c r="D478" s="53">
        <v>91.123387079641063</v>
      </c>
      <c r="E478" s="53">
        <v>60856.26037093356</v>
      </c>
      <c r="F478" s="53" t="s">
        <v>503</v>
      </c>
      <c r="G478" s="25">
        <f t="shared" si="3"/>
        <v>-2.2025951368443986E-2</v>
      </c>
    </row>
    <row r="479" spans="1:7">
      <c r="A479" s="53">
        <v>90.934602393727516</v>
      </c>
      <c r="B479" s="53">
        <v>92.246159159021659</v>
      </c>
      <c r="C479" s="53">
        <v>90.676265455108975</v>
      </c>
      <c r="D479" s="53">
        <v>90.676265455108975</v>
      </c>
      <c r="E479" s="53">
        <v>61945.225818555409</v>
      </c>
      <c r="F479" s="53" t="s">
        <v>504</v>
      </c>
      <c r="G479" s="25">
        <f t="shared" si="3"/>
        <v>2.8490028490029129E-3</v>
      </c>
    </row>
    <row r="480" spans="1:7">
      <c r="A480" s="53">
        <v>90.656393382907538</v>
      </c>
      <c r="B480" s="53">
        <v>92.226287086820221</v>
      </c>
      <c r="C480" s="53">
        <v>90.258951938879022</v>
      </c>
      <c r="D480" s="53">
        <v>90.258951938879022</v>
      </c>
      <c r="E480" s="53">
        <v>79895.039828107721</v>
      </c>
      <c r="F480" s="53" t="s">
        <v>505</v>
      </c>
      <c r="G480" s="25">
        <f t="shared" si="3"/>
        <v>4.4033465433728214E-3</v>
      </c>
    </row>
    <row r="481" spans="1:7">
      <c r="A481" s="53">
        <v>91.550636631971742</v>
      </c>
      <c r="B481" s="53">
        <v>91.799037534489571</v>
      </c>
      <c r="C481" s="53">
        <v>89.855250792107043</v>
      </c>
      <c r="D481" s="53">
        <v>90.149655541771168</v>
      </c>
      <c r="E481" s="53">
        <v>48266.732843852544</v>
      </c>
      <c r="F481" s="53" t="s">
        <v>506</v>
      </c>
      <c r="G481" s="25">
        <f t="shared" si="3"/>
        <v>1.5540615011572889E-2</v>
      </c>
    </row>
    <row r="482" spans="1:7">
      <c r="A482" s="53">
        <v>90.010551036361193</v>
      </c>
      <c r="B482" s="53">
        <v>90.249015902778297</v>
      </c>
      <c r="C482" s="53">
        <v>86.164708903219108</v>
      </c>
      <c r="D482" s="53">
        <v>88.708930307167748</v>
      </c>
      <c r="E482" s="53">
        <v>82834.843961659863</v>
      </c>
      <c r="F482" s="53" t="s">
        <v>507</v>
      </c>
      <c r="G482" s="25">
        <f t="shared" si="3"/>
        <v>1.467293906810041E-2</v>
      </c>
    </row>
    <row r="483" spans="1:7">
      <c r="A483" s="53">
        <v>88.708930307167748</v>
      </c>
      <c r="B483" s="53">
        <v>91.391660054360329</v>
      </c>
      <c r="C483" s="53">
        <v>87.635838408290724</v>
      </c>
      <c r="D483" s="53">
        <v>91.391660054360329</v>
      </c>
      <c r="E483" s="53">
        <v>126822.20427012601</v>
      </c>
      <c r="F483" s="53" t="s">
        <v>508</v>
      </c>
      <c r="G483" s="25">
        <f t="shared" si="3"/>
        <v>-2.9354207436399271E-2</v>
      </c>
    </row>
    <row r="484" spans="1:7">
      <c r="A484" s="53">
        <v>92.33558348392809</v>
      </c>
      <c r="B484" s="53">
        <v>92.723088891855895</v>
      </c>
      <c r="C484" s="53">
        <v>89.222325292491604</v>
      </c>
      <c r="D484" s="53">
        <v>89.613109592332648</v>
      </c>
      <c r="E484" s="53">
        <v>139256.74041187082</v>
      </c>
      <c r="F484" s="53" t="s">
        <v>509</v>
      </c>
      <c r="G484" s="25">
        <f t="shared" si="3"/>
        <v>3.0380308238163956E-2</v>
      </c>
    </row>
    <row r="485" spans="1:7">
      <c r="A485" s="53">
        <v>89.811830314346921</v>
      </c>
      <c r="B485" s="53">
        <v>90.12978346956973</v>
      </c>
      <c r="C485" s="53">
        <v>88.763578505721668</v>
      </c>
      <c r="D485" s="53">
        <v>89.632981664534071</v>
      </c>
      <c r="E485" s="53">
        <v>63470.985170306536</v>
      </c>
      <c r="F485" s="53" t="s">
        <v>510</v>
      </c>
      <c r="G485" s="25">
        <f t="shared" si="3"/>
        <v>1.9953441968740826E-3</v>
      </c>
    </row>
    <row r="486" spans="1:7">
      <c r="A486" s="53">
        <v>88.927523101383443</v>
      </c>
      <c r="B486" s="53">
        <v>91.033962754734645</v>
      </c>
      <c r="C486" s="53">
        <v>88.436484197286191</v>
      </c>
      <c r="D486" s="53">
        <v>90.537160949698986</v>
      </c>
      <c r="E486" s="53">
        <v>101746.81228537713</v>
      </c>
      <c r="F486" s="53" t="s">
        <v>511</v>
      </c>
      <c r="G486" s="25">
        <f t="shared" si="3"/>
        <v>-1.7778753292361671E-2</v>
      </c>
    </row>
    <row r="487" spans="1:7">
      <c r="A487" s="53">
        <v>91.033962754734645</v>
      </c>
      <c r="B487" s="53">
        <v>91.416500144612101</v>
      </c>
      <c r="C487" s="53">
        <v>89.513749231325519</v>
      </c>
      <c r="D487" s="53">
        <v>91.242619512849629</v>
      </c>
      <c r="E487" s="53">
        <v>118003.79830703672</v>
      </c>
      <c r="F487" s="53" t="s">
        <v>512</v>
      </c>
      <c r="G487" s="25">
        <f t="shared" si="3"/>
        <v>-2.2868343678537073E-3</v>
      </c>
    </row>
    <row r="488" spans="1:7">
      <c r="A488" s="53">
        <v>90.179463650073316</v>
      </c>
      <c r="B488" s="53">
        <v>91.093578971338928</v>
      </c>
      <c r="C488" s="53">
        <v>88.65925012666419</v>
      </c>
      <c r="D488" s="53">
        <v>89.881382567051901</v>
      </c>
      <c r="E488" s="53">
        <v>116042.25148872343</v>
      </c>
      <c r="F488" s="53" t="s">
        <v>513</v>
      </c>
      <c r="G488" s="25">
        <f t="shared" si="3"/>
        <v>3.3163829316826821E-3</v>
      </c>
    </row>
    <row r="489" spans="1:7">
      <c r="A489" s="53">
        <v>90.427864552591146</v>
      </c>
      <c r="B489" s="53">
        <v>90.427864552591146</v>
      </c>
      <c r="C489" s="53">
        <v>89.096435715095566</v>
      </c>
      <c r="D489" s="53">
        <v>89.563429411829091</v>
      </c>
      <c r="E489" s="53">
        <v>65533.175745331639</v>
      </c>
      <c r="F489" s="53" t="s">
        <v>514</v>
      </c>
      <c r="G489" s="25">
        <f t="shared" si="3"/>
        <v>9.6516529842467502E-3</v>
      </c>
    </row>
    <row r="490" spans="1:7">
      <c r="A490" s="53">
        <v>90.278824011080445</v>
      </c>
      <c r="B490" s="53">
        <v>92.29583933952523</v>
      </c>
      <c r="C490" s="53">
        <v>88.882810938930234</v>
      </c>
      <c r="D490" s="53">
        <v>92.29583933952523</v>
      </c>
      <c r="E490" s="53">
        <v>106560.60316890328</v>
      </c>
      <c r="F490" s="53" t="s">
        <v>515</v>
      </c>
      <c r="G490" s="25">
        <f t="shared" si="3"/>
        <v>-2.1853805576488305E-2</v>
      </c>
    </row>
    <row r="491" spans="1:7">
      <c r="A491" s="53">
        <v>92.29583933952523</v>
      </c>
      <c r="B491" s="53">
        <v>92.643600603050189</v>
      </c>
      <c r="C491" s="53">
        <v>90.398056444288997</v>
      </c>
      <c r="D491" s="53">
        <v>91.25255554895034</v>
      </c>
      <c r="E491" s="53">
        <v>136042.17882249542</v>
      </c>
      <c r="F491" s="53" t="s">
        <v>516</v>
      </c>
      <c r="G491" s="25">
        <f t="shared" si="3"/>
        <v>1.1432926829268331E-2</v>
      </c>
    </row>
    <row r="492" spans="1:7">
      <c r="A492" s="53">
        <v>91.123387079641063</v>
      </c>
      <c r="B492" s="53">
        <v>91.828845642791705</v>
      </c>
      <c r="C492" s="53">
        <v>90.09997536126761</v>
      </c>
      <c r="D492" s="53">
        <v>90.785561852216816</v>
      </c>
      <c r="E492" s="53">
        <v>125755.38044898077</v>
      </c>
      <c r="F492" s="53" t="s">
        <v>517</v>
      </c>
      <c r="G492" s="25">
        <f t="shared" si="3"/>
        <v>3.7211338513734038E-3</v>
      </c>
    </row>
    <row r="493" spans="1:7">
      <c r="A493" s="53">
        <v>89.712469953339792</v>
      </c>
      <c r="B493" s="53">
        <v>89.95093481975691</v>
      </c>
      <c r="C493" s="53">
        <v>88.718866343268473</v>
      </c>
      <c r="D493" s="53">
        <v>89.95093481975691</v>
      </c>
      <c r="E493" s="53">
        <v>99547.74620122397</v>
      </c>
      <c r="F493" s="53" t="s">
        <v>518</v>
      </c>
      <c r="G493" s="25">
        <f t="shared" si="3"/>
        <v>-2.6510548989285843E-3</v>
      </c>
    </row>
    <row r="494" spans="1:7">
      <c r="A494" s="53">
        <v>88.689058234966325</v>
      </c>
      <c r="B494" s="53">
        <v>91.004154646432511</v>
      </c>
      <c r="C494" s="53">
        <v>86.642234798219405</v>
      </c>
      <c r="D494" s="53">
        <v>91.004154646432511</v>
      </c>
      <c r="E494" s="53">
        <v>143181.84692363165</v>
      </c>
      <c r="F494" s="53" t="s">
        <v>519</v>
      </c>
      <c r="G494" s="25">
        <f t="shared" si="3"/>
        <v>-2.5439458456163355E-2</v>
      </c>
    </row>
    <row r="495" spans="1:7">
      <c r="A495" s="53">
        <v>90.547096985799698</v>
      </c>
      <c r="B495" s="53">
        <v>92.097118617510958</v>
      </c>
      <c r="C495" s="53">
        <v>89.185860040001984</v>
      </c>
      <c r="D495" s="53">
        <v>90.566969058001135</v>
      </c>
      <c r="E495" s="53">
        <v>93557.429801736696</v>
      </c>
      <c r="F495" s="53" t="s">
        <v>520</v>
      </c>
      <c r="G495" s="25">
        <f t="shared" si="3"/>
        <v>-2.1941854086682255E-4</v>
      </c>
    </row>
    <row r="496" spans="1:7">
      <c r="A496" s="53">
        <v>90.825305996619662</v>
      </c>
      <c r="B496" s="53">
        <v>92.275867906962802</v>
      </c>
      <c r="C496" s="53">
        <v>89.553493375728365</v>
      </c>
      <c r="D496" s="53">
        <v>89.91119067535405</v>
      </c>
      <c r="E496" s="53">
        <v>121514.25254114484</v>
      </c>
      <c r="F496" s="53" t="s">
        <v>521</v>
      </c>
      <c r="G496" s="25">
        <f t="shared" si="3"/>
        <v>1.0166869267322243E-2</v>
      </c>
    </row>
    <row r="497" spans="1:7">
      <c r="A497" s="53">
        <v>89.384580762016242</v>
      </c>
      <c r="B497" s="53">
        <v>90.487480769195415</v>
      </c>
      <c r="C497" s="53">
        <v>88.887778956980583</v>
      </c>
      <c r="D497" s="53">
        <v>89.603173556231951</v>
      </c>
      <c r="E497" s="53">
        <v>229900.53345680048</v>
      </c>
      <c r="F497" s="53" t="s">
        <v>522</v>
      </c>
      <c r="G497" s="25">
        <f t="shared" si="3"/>
        <v>-2.4395653138170603E-3</v>
      </c>
    </row>
    <row r="498" spans="1:7">
      <c r="A498" s="53">
        <v>89.603173556231951</v>
      </c>
      <c r="B498" s="53">
        <v>90.06023121686475</v>
      </c>
      <c r="C498" s="53">
        <v>88.579761837858484</v>
      </c>
      <c r="D498" s="53">
        <v>90.06023121686475</v>
      </c>
      <c r="E498" s="53">
        <v>121415.62165956727</v>
      </c>
      <c r="F498" s="53" t="s">
        <v>523</v>
      </c>
      <c r="G498" s="25">
        <f t="shared" si="3"/>
        <v>-5.0750220653131839E-3</v>
      </c>
    </row>
    <row r="499" spans="1:7">
      <c r="A499" s="53">
        <v>88.281680754837069</v>
      </c>
      <c r="B499" s="53">
        <v>90.482512751145066</v>
      </c>
      <c r="C499" s="53">
        <v>87.700422642945355</v>
      </c>
      <c r="D499" s="53">
        <v>88.430721296347784</v>
      </c>
      <c r="E499" s="53">
        <v>297707.25166625204</v>
      </c>
      <c r="F499" s="53" t="s">
        <v>524</v>
      </c>
      <c r="G499" s="25">
        <f t="shared" si="3"/>
        <v>-1.6853932584272036E-3</v>
      </c>
    </row>
    <row r="500" spans="1:7">
      <c r="A500" s="53">
        <v>88.251872646534935</v>
      </c>
      <c r="B500" s="53">
        <v>90.278824011080445</v>
      </c>
      <c r="C500" s="53">
        <v>88.033279852319239</v>
      </c>
      <c r="D500" s="53">
        <v>90.278824011080445</v>
      </c>
      <c r="E500" s="53">
        <v>117408.99370486989</v>
      </c>
      <c r="F500" s="53" t="s">
        <v>525</v>
      </c>
      <c r="G500" s="25">
        <f t="shared" si="3"/>
        <v>-2.2452124147039565E-2</v>
      </c>
    </row>
    <row r="501" spans="1:7">
      <c r="A501" s="53">
        <v>89.424324906419102</v>
      </c>
      <c r="B501" s="53">
        <v>90.149655541771168</v>
      </c>
      <c r="C501" s="53">
        <v>88.470465440750644</v>
      </c>
      <c r="D501" s="53">
        <v>89.692597881138354</v>
      </c>
      <c r="E501" s="53">
        <v>71107.833429599108</v>
      </c>
      <c r="F501" s="53" t="s">
        <v>526</v>
      </c>
      <c r="G501" s="25">
        <f t="shared" si="3"/>
        <v>-2.9910269192422456E-3</v>
      </c>
    </row>
    <row r="502" spans="1:7">
      <c r="A502" s="53">
        <v>89.116307787296989</v>
      </c>
      <c r="B502" s="53">
        <v>89.742278061641926</v>
      </c>
      <c r="C502" s="53">
        <v>88.311488863139218</v>
      </c>
      <c r="D502" s="53">
        <v>88.311488863139218</v>
      </c>
      <c r="E502" s="53">
        <v>70728.406466795554</v>
      </c>
      <c r="F502" s="53" t="s">
        <v>527</v>
      </c>
      <c r="G502" s="25">
        <f t="shared" si="3"/>
        <v>9.1134113411341922E-3</v>
      </c>
    </row>
    <row r="503" spans="1:7">
      <c r="A503" s="53">
        <v>87.615966336089301</v>
      </c>
      <c r="B503" s="53">
        <v>87.620934354139649</v>
      </c>
      <c r="C503" s="53">
        <v>85.897032090665903</v>
      </c>
      <c r="D503" s="53">
        <v>86.731659123125823</v>
      </c>
      <c r="E503" s="53">
        <v>59286.217766229238</v>
      </c>
      <c r="F503" s="53" t="s">
        <v>528</v>
      </c>
      <c r="G503" s="25">
        <f t="shared" si="3"/>
        <v>1.0195898728376784E-2</v>
      </c>
    </row>
    <row r="504" spans="1:7">
      <c r="A504" s="53">
        <v>86.195113173687304</v>
      </c>
      <c r="B504" s="53">
        <v>86.910507772938658</v>
      </c>
      <c r="C504" s="53">
        <v>83.564249534940444</v>
      </c>
      <c r="D504" s="53">
        <v>85.261125780220254</v>
      </c>
      <c r="E504" s="53">
        <v>65511.034118855037</v>
      </c>
      <c r="F504" s="53" t="s">
        <v>529</v>
      </c>
      <c r="G504" s="25">
        <f t="shared" si="3"/>
        <v>1.095443421512643E-2</v>
      </c>
    </row>
    <row r="505" spans="1:7">
      <c r="A505" s="53">
        <v>85.787735693558062</v>
      </c>
      <c r="B505" s="53">
        <v>86.821083448032226</v>
      </c>
      <c r="C505" s="53">
        <v>85.012724877702425</v>
      </c>
      <c r="D505" s="53">
        <v>86.354089751298716</v>
      </c>
      <c r="E505" s="53">
        <v>76868.682063783432</v>
      </c>
      <c r="F505" s="53" t="s">
        <v>530</v>
      </c>
      <c r="G505" s="25">
        <f t="shared" ref="G505:G568" si="4">A505/D505-1</f>
        <v>-6.5585088022092064E-3</v>
      </c>
    </row>
    <row r="506" spans="1:7">
      <c r="A506" s="53">
        <v>85.966584343370897</v>
      </c>
      <c r="B506" s="53">
        <v>87.417245614075028</v>
      </c>
      <c r="C506" s="53">
        <v>85.062405058205997</v>
      </c>
      <c r="D506" s="53">
        <v>87.417245614075028</v>
      </c>
      <c r="E506" s="53">
        <v>77824.797752545681</v>
      </c>
      <c r="F506" s="53" t="s">
        <v>531</v>
      </c>
      <c r="G506" s="25">
        <f t="shared" si="4"/>
        <v>-1.6594680609229306E-2</v>
      </c>
    </row>
    <row r="507" spans="1:7">
      <c r="A507" s="53">
        <v>87.496733902880734</v>
      </c>
      <c r="B507" s="53">
        <v>88.927523101383443</v>
      </c>
      <c r="C507" s="53">
        <v>85.544799610895623</v>
      </c>
      <c r="D507" s="53">
        <v>87.814687058103559</v>
      </c>
      <c r="E507" s="53">
        <v>60792.854804205119</v>
      </c>
      <c r="F507" s="53" t="s">
        <v>532</v>
      </c>
      <c r="G507" s="25">
        <f t="shared" si="4"/>
        <v>-3.6207286716452014E-3</v>
      </c>
    </row>
    <row r="508" spans="1:7">
      <c r="A508" s="53">
        <v>87.526542011182883</v>
      </c>
      <c r="B508" s="53">
        <v>87.943855527412836</v>
      </c>
      <c r="C508" s="53">
        <v>86.821083448032226</v>
      </c>
      <c r="D508" s="53">
        <v>87.735198769297853</v>
      </c>
      <c r="E508" s="53">
        <v>61403.762407445836</v>
      </c>
      <c r="F508" s="53" t="s">
        <v>533</v>
      </c>
      <c r="G508" s="25">
        <f t="shared" si="4"/>
        <v>-2.3782559456397845E-3</v>
      </c>
    </row>
    <row r="509" spans="1:7">
      <c r="A509" s="53">
        <v>87.93391949131211</v>
      </c>
      <c r="B509" s="53">
        <v>88.371105079743501</v>
      </c>
      <c r="C509" s="53">
        <v>86.483258220607993</v>
      </c>
      <c r="D509" s="53">
        <v>86.940315881240792</v>
      </c>
      <c r="E509" s="53">
        <v>57619.557155081573</v>
      </c>
      <c r="F509" s="53" t="s">
        <v>534</v>
      </c>
      <c r="G509" s="25">
        <f t="shared" si="4"/>
        <v>1.1428571428571344E-2</v>
      </c>
    </row>
    <row r="510" spans="1:7">
      <c r="A510" s="53">
        <v>86.920443809039369</v>
      </c>
      <c r="B510" s="53">
        <v>89.66278977283622</v>
      </c>
      <c r="C510" s="53">
        <v>86.403769931802273</v>
      </c>
      <c r="D510" s="53">
        <v>89.642917700634797</v>
      </c>
      <c r="E510" s="53">
        <v>110589.37275007727</v>
      </c>
      <c r="F510" s="53" t="s">
        <v>535</v>
      </c>
      <c r="G510" s="25">
        <f t="shared" si="4"/>
        <v>-3.0370206162713353E-2</v>
      </c>
    </row>
    <row r="511" spans="1:7">
      <c r="A511" s="53">
        <v>89.712469953339792</v>
      </c>
      <c r="B511" s="53">
        <v>90.134751487620107</v>
      </c>
      <c r="C511" s="53">
        <v>88.341296971441352</v>
      </c>
      <c r="D511" s="53">
        <v>88.341296971441352</v>
      </c>
      <c r="E511" s="53">
        <v>114307.15312301173</v>
      </c>
      <c r="F511" s="53" t="s">
        <v>536</v>
      </c>
      <c r="G511" s="25">
        <f t="shared" si="4"/>
        <v>1.552131368799925E-2</v>
      </c>
    </row>
    <row r="512" spans="1:7">
      <c r="A512" s="53">
        <v>88.053151924520677</v>
      </c>
      <c r="B512" s="53">
        <v>89.563429411829091</v>
      </c>
      <c r="C512" s="53">
        <v>87.82462309420427</v>
      </c>
      <c r="D512" s="53">
        <v>89.255412292706978</v>
      </c>
      <c r="E512" s="53">
        <v>69396.889565498233</v>
      </c>
      <c r="F512" s="53" t="s">
        <v>537</v>
      </c>
      <c r="G512" s="25">
        <f t="shared" si="4"/>
        <v>-1.3469887565401351E-2</v>
      </c>
    </row>
    <row r="513" spans="1:7">
      <c r="A513" s="53">
        <v>88.470465440750644</v>
      </c>
      <c r="B513" s="53">
        <v>89.742278061641926</v>
      </c>
      <c r="C513" s="53">
        <v>88.261808682635646</v>
      </c>
      <c r="D513" s="53">
        <v>89.603173556231951</v>
      </c>
      <c r="E513" s="53">
        <v>71866.687355206188</v>
      </c>
      <c r="F513" s="53" t="s">
        <v>538</v>
      </c>
      <c r="G513" s="25">
        <f t="shared" si="4"/>
        <v>-1.264138389886893E-2</v>
      </c>
    </row>
    <row r="514" spans="1:7">
      <c r="A514" s="53">
        <v>89.285220401009113</v>
      </c>
      <c r="B514" s="53">
        <v>90.070167252965462</v>
      </c>
      <c r="C514" s="53">
        <v>87.814687058103559</v>
      </c>
      <c r="D514" s="53">
        <v>87.814687058103559</v>
      </c>
      <c r="E514" s="53">
        <v>77299.437342510006</v>
      </c>
      <c r="F514" s="53" t="s">
        <v>539</v>
      </c>
      <c r="G514" s="25">
        <f t="shared" si="4"/>
        <v>1.6745870106358751E-2</v>
      </c>
    </row>
    <row r="515" spans="1:7">
      <c r="A515" s="53">
        <v>90.179463650073316</v>
      </c>
      <c r="B515" s="53">
        <v>92.305775375625942</v>
      </c>
      <c r="C515" s="53">
        <v>88.959815218710759</v>
      </c>
      <c r="D515" s="53">
        <v>91.391660054360329</v>
      </c>
      <c r="E515" s="53">
        <v>111794.07851791769</v>
      </c>
      <c r="F515" s="53" t="s">
        <v>540</v>
      </c>
      <c r="G515" s="25">
        <f t="shared" si="4"/>
        <v>-1.3263752989780331E-2</v>
      </c>
    </row>
    <row r="516" spans="1:7">
      <c r="A516" s="53">
        <v>91.083642935238217</v>
      </c>
      <c r="B516" s="53">
        <v>91.192939332346057</v>
      </c>
      <c r="C516" s="53">
        <v>86.254729390291587</v>
      </c>
      <c r="D516" s="53">
        <v>86.254729390291587</v>
      </c>
      <c r="E516" s="53">
        <v>153154.63677620544</v>
      </c>
      <c r="F516" s="53" t="s">
        <v>541</v>
      </c>
      <c r="G516" s="25">
        <f t="shared" si="4"/>
        <v>5.5984333602119518E-2</v>
      </c>
    </row>
    <row r="517" spans="1:7">
      <c r="A517" s="53">
        <v>85.618823079845939</v>
      </c>
      <c r="B517" s="53">
        <v>86.761467231427943</v>
      </c>
      <c r="C517" s="53">
        <v>85.049985013080104</v>
      </c>
      <c r="D517" s="53">
        <v>86.42364200400371</v>
      </c>
      <c r="E517" s="53">
        <v>78520.24611142432</v>
      </c>
      <c r="F517" s="53" t="s">
        <v>542</v>
      </c>
      <c r="G517" s="25">
        <f t="shared" si="4"/>
        <v>-9.3124856288802071E-3</v>
      </c>
    </row>
    <row r="518" spans="1:7">
      <c r="A518" s="53">
        <v>85.956648307270186</v>
      </c>
      <c r="B518" s="53">
        <v>86.27460146249301</v>
      </c>
      <c r="C518" s="53">
        <v>84.111526403367748</v>
      </c>
      <c r="D518" s="53">
        <v>85.58901497154379</v>
      </c>
      <c r="E518" s="53">
        <v>83386.371748440608</v>
      </c>
      <c r="F518" s="53" t="s">
        <v>543</v>
      </c>
      <c r="G518" s="25">
        <f t="shared" si="4"/>
        <v>4.2953331785466897E-3</v>
      </c>
    </row>
    <row r="519" spans="1:7">
      <c r="A519" s="53">
        <v>84.814004155688167</v>
      </c>
      <c r="B519" s="53">
        <v>85.787735693558062</v>
      </c>
      <c r="C519" s="53">
        <v>84.630187487824969</v>
      </c>
      <c r="D519" s="53">
        <v>85.787735693558062</v>
      </c>
      <c r="E519" s="53">
        <v>67133.411477049507</v>
      </c>
      <c r="F519" s="53" t="s">
        <v>544</v>
      </c>
      <c r="G519" s="25">
        <f t="shared" si="4"/>
        <v>-1.1350474866805627E-2</v>
      </c>
    </row>
    <row r="520" spans="1:7">
      <c r="A520" s="53">
        <v>84.98291676940029</v>
      </c>
      <c r="B520" s="53">
        <v>85.022660913803136</v>
      </c>
      <c r="C520" s="53">
        <v>84.053897393983604</v>
      </c>
      <c r="D520" s="53">
        <v>84.118481628638236</v>
      </c>
      <c r="E520" s="53">
        <v>79465.290986948268</v>
      </c>
      <c r="F520" s="53" t="s">
        <v>545</v>
      </c>
      <c r="G520" s="25">
        <f t="shared" si="4"/>
        <v>1.0276399716513174E-2</v>
      </c>
    </row>
    <row r="521" spans="1:7">
      <c r="A521" s="53">
        <v>84.207905953544653</v>
      </c>
      <c r="B521" s="53">
        <v>84.446370819961771</v>
      </c>
      <c r="C521" s="53">
        <v>82.767180718941233</v>
      </c>
      <c r="D521" s="53">
        <v>83.055325765861923</v>
      </c>
      <c r="E521" s="53">
        <v>103074.30343640599</v>
      </c>
      <c r="F521" s="53" t="s">
        <v>546</v>
      </c>
      <c r="G521" s="25">
        <f t="shared" si="4"/>
        <v>1.3877258045220664E-2</v>
      </c>
    </row>
    <row r="522" spans="1:7">
      <c r="A522" s="53">
        <v>83.055325765861923</v>
      </c>
      <c r="B522" s="53">
        <v>83.755816310962203</v>
      </c>
      <c r="C522" s="53">
        <v>81.59472845905708</v>
      </c>
      <c r="D522" s="53">
        <v>82.469099635919832</v>
      </c>
      <c r="E522" s="53">
        <v>92871.039380962116</v>
      </c>
      <c r="F522" s="53" t="s">
        <v>547</v>
      </c>
      <c r="G522" s="25">
        <f t="shared" si="4"/>
        <v>7.1084337349398563E-3</v>
      </c>
    </row>
    <row r="523" spans="1:7">
      <c r="A523" s="53">
        <v>81.366199628740674</v>
      </c>
      <c r="B523" s="53">
        <v>82.298365718332576</v>
      </c>
      <c r="C523" s="53">
        <v>81.038949831330754</v>
      </c>
      <c r="D523" s="53">
        <v>82.298365718332576</v>
      </c>
      <c r="E523" s="53">
        <v>89126.777864631105</v>
      </c>
      <c r="F523" s="53" t="s">
        <v>548</v>
      </c>
      <c r="G523" s="25">
        <f t="shared" si="4"/>
        <v>-1.1326665863356955E-2</v>
      </c>
    </row>
    <row r="524" spans="1:7">
      <c r="A524" s="53">
        <v>82.119865828836268</v>
      </c>
      <c r="B524" s="53">
        <v>82.18928245252927</v>
      </c>
      <c r="C524" s="53">
        <v>81.038949831330754</v>
      </c>
      <c r="D524" s="53">
        <v>82.100032507781123</v>
      </c>
      <c r="E524" s="53">
        <v>125785.28795370758</v>
      </c>
      <c r="F524" s="53" t="s">
        <v>549</v>
      </c>
      <c r="G524" s="25">
        <f t="shared" si="4"/>
        <v>2.4157506945288176E-4</v>
      </c>
    </row>
    <row r="525" spans="1:7">
      <c r="A525" s="53">
        <v>81.415782931378544</v>
      </c>
      <c r="B525" s="53">
        <v>82.833865386821557</v>
      </c>
      <c r="C525" s="53">
        <v>80.989366528692884</v>
      </c>
      <c r="D525" s="53">
        <v>82.833865386821557</v>
      </c>
      <c r="E525" s="53">
        <v>93217.87283427277</v>
      </c>
      <c r="F525" s="53" t="s">
        <v>550</v>
      </c>
      <c r="G525" s="25">
        <f t="shared" si="4"/>
        <v>-1.7119597749311599E-2</v>
      </c>
    </row>
    <row r="526" spans="1:7">
      <c r="A526" s="53">
        <v>83.06194857895575</v>
      </c>
      <c r="B526" s="53">
        <v>83.260281789507204</v>
      </c>
      <c r="C526" s="53">
        <v>82.020699223560527</v>
      </c>
      <c r="D526" s="53">
        <v>82.585948873632219</v>
      </c>
      <c r="E526" s="53">
        <v>164881.11047601645</v>
      </c>
      <c r="F526" s="53" t="s">
        <v>551</v>
      </c>
      <c r="G526" s="25">
        <f t="shared" si="4"/>
        <v>5.7636887608070175E-3</v>
      </c>
    </row>
    <row r="527" spans="1:7">
      <c r="A527" s="53">
        <v>82.238865755167154</v>
      </c>
      <c r="B527" s="53">
        <v>82.63553217627009</v>
      </c>
      <c r="C527" s="53">
        <v>79.055617725816049</v>
      </c>
      <c r="D527" s="53">
        <v>80.67203339181053</v>
      </c>
      <c r="E527" s="53">
        <v>110861.91737058533</v>
      </c>
      <c r="F527" s="53" t="s">
        <v>552</v>
      </c>
      <c r="G527" s="25">
        <f t="shared" si="4"/>
        <v>1.9422249539029046E-2</v>
      </c>
    </row>
    <row r="528" spans="1:7">
      <c r="A528" s="53">
        <v>79.630784036415307</v>
      </c>
      <c r="B528" s="53">
        <v>82.347949020970461</v>
      </c>
      <c r="C528" s="53">
        <v>79.551450752194725</v>
      </c>
      <c r="D528" s="53">
        <v>81.911615957757206</v>
      </c>
      <c r="E528" s="53">
        <v>105915.69582114182</v>
      </c>
      <c r="F528" s="53" t="s">
        <v>553</v>
      </c>
      <c r="G528" s="25">
        <f t="shared" si="4"/>
        <v>-2.7845036319612548E-2</v>
      </c>
    </row>
    <row r="529" spans="1:7">
      <c r="A529" s="53">
        <v>81.207533060299497</v>
      </c>
      <c r="B529" s="53">
        <v>82.595865534159799</v>
      </c>
      <c r="C529" s="53">
        <v>79.635742366679111</v>
      </c>
      <c r="D529" s="53">
        <v>79.799367265384063</v>
      </c>
      <c r="E529" s="53">
        <v>178639.77445575289</v>
      </c>
      <c r="F529" s="53" t="s">
        <v>554</v>
      </c>
      <c r="G529" s="25">
        <f t="shared" si="4"/>
        <v>1.7646327824033747E-2</v>
      </c>
    </row>
    <row r="530" spans="1:7">
      <c r="A530" s="53">
        <v>79.799367265384063</v>
      </c>
      <c r="B530" s="53">
        <v>81.366199628740674</v>
      </c>
      <c r="C530" s="53">
        <v>78.137929960594391</v>
      </c>
      <c r="D530" s="53">
        <v>81.068699812913465</v>
      </c>
      <c r="E530" s="53">
        <v>212752.0644811505</v>
      </c>
      <c r="F530" s="53" t="s">
        <v>555</v>
      </c>
      <c r="G530" s="25">
        <f t="shared" si="4"/>
        <v>-1.565749235474001E-2</v>
      </c>
    </row>
    <row r="531" spans="1:7">
      <c r="A531" s="53">
        <v>84.301531144902441</v>
      </c>
      <c r="B531" s="53">
        <v>89.745777774540301</v>
      </c>
      <c r="C531" s="53">
        <v>83.695623186667689</v>
      </c>
      <c r="D531" s="53">
        <v>89.745777774540301</v>
      </c>
      <c r="E531" s="53">
        <v>351281.56200506544</v>
      </c>
      <c r="F531" s="53" t="s">
        <v>556</v>
      </c>
      <c r="G531" s="25">
        <f t="shared" si="4"/>
        <v>-6.0662983425414319E-2</v>
      </c>
    </row>
    <row r="532" spans="1:7">
      <c r="A532" s="53">
        <v>85.531197050321552</v>
      </c>
      <c r="B532" s="53">
        <v>86.770779616268243</v>
      </c>
      <c r="C532" s="53">
        <v>83.181940171339392</v>
      </c>
      <c r="D532" s="53">
        <v>85.808863545093615</v>
      </c>
      <c r="E532" s="53">
        <v>218339.63096544539</v>
      </c>
      <c r="F532" s="53" t="s">
        <v>557</v>
      </c>
      <c r="G532" s="25">
        <f t="shared" si="4"/>
        <v>-3.2358719519242074E-3</v>
      </c>
    </row>
    <row r="533" spans="1:7">
      <c r="A533" s="53">
        <v>86.16586332408626</v>
      </c>
      <c r="B533" s="53">
        <v>88.188862071711256</v>
      </c>
      <c r="C533" s="53">
        <v>84.807280831808683</v>
      </c>
      <c r="D533" s="53">
        <v>87.246779321591774</v>
      </c>
      <c r="E533" s="53">
        <v>358958.54154755542</v>
      </c>
      <c r="F533" s="53" t="s">
        <v>558</v>
      </c>
      <c r="G533" s="25">
        <f t="shared" si="4"/>
        <v>-1.2389179358945235E-2</v>
      </c>
    </row>
    <row r="534" spans="1:7">
      <c r="A534" s="53">
        <v>87.236862661064194</v>
      </c>
      <c r="B534" s="53">
        <v>87.425279211088082</v>
      </c>
      <c r="C534" s="53">
        <v>83.934713871987498</v>
      </c>
      <c r="D534" s="53">
        <v>86.850112900488824</v>
      </c>
      <c r="E534" s="53">
        <v>142874.71029793168</v>
      </c>
      <c r="F534" s="53" t="s">
        <v>559</v>
      </c>
      <c r="G534" s="25">
        <f t="shared" si="4"/>
        <v>4.4530714775063984E-3</v>
      </c>
    </row>
    <row r="535" spans="1:7">
      <c r="A535" s="53">
        <v>86.631946368882211</v>
      </c>
      <c r="B535" s="53">
        <v>87.851695613773757</v>
      </c>
      <c r="C535" s="53">
        <v>85.560947031904277</v>
      </c>
      <c r="D535" s="53">
        <v>85.560947031904277</v>
      </c>
      <c r="E535" s="53">
        <v>176361.78985224772</v>
      </c>
      <c r="F535" s="53" t="s">
        <v>560</v>
      </c>
      <c r="G535" s="25">
        <f t="shared" si="4"/>
        <v>1.2517385257301727E-2</v>
      </c>
    </row>
    <row r="536" spans="1:7">
      <c r="A536" s="53">
        <v>85.114697308163457</v>
      </c>
      <c r="B536" s="53">
        <v>86.820362918906099</v>
      </c>
      <c r="C536" s="53">
        <v>84.232114521209425</v>
      </c>
      <c r="D536" s="53">
        <v>86.116280021448389</v>
      </c>
      <c r="E536" s="53">
        <v>139365.46442799011</v>
      </c>
      <c r="F536" s="53" t="s">
        <v>561</v>
      </c>
      <c r="G536" s="25">
        <f t="shared" si="4"/>
        <v>-1.1630584983878478E-2</v>
      </c>
    </row>
    <row r="537" spans="1:7">
      <c r="A537" s="53">
        <v>85.521280389793972</v>
      </c>
      <c r="B537" s="53">
        <v>89.924277664036623</v>
      </c>
      <c r="C537" s="53">
        <v>85.283280537132214</v>
      </c>
      <c r="D537" s="53">
        <v>89.924277664036623</v>
      </c>
      <c r="E537" s="53">
        <v>267065.71155038133</v>
      </c>
      <c r="F537" s="53" t="s">
        <v>562</v>
      </c>
      <c r="G537" s="25">
        <f t="shared" si="4"/>
        <v>-4.896338773709763E-2</v>
      </c>
    </row>
    <row r="538" spans="1:7">
      <c r="A538" s="53">
        <v>89.587111206099124</v>
      </c>
      <c r="B538" s="53">
        <v>90.995277001014557</v>
      </c>
      <c r="C538" s="53">
        <v>88.694611758617498</v>
      </c>
      <c r="D538" s="53">
        <v>89.190444784996174</v>
      </c>
      <c r="E538" s="53">
        <v>166349.34667907248</v>
      </c>
      <c r="F538" s="53" t="s">
        <v>563</v>
      </c>
      <c r="G538" s="25">
        <f t="shared" si="4"/>
        <v>4.4474093840338735E-3</v>
      </c>
    </row>
    <row r="539" spans="1:7">
      <c r="A539" s="53">
        <v>89.30944471132706</v>
      </c>
      <c r="B539" s="53">
        <v>89.805277737705737</v>
      </c>
      <c r="C539" s="53">
        <v>86.96911282681971</v>
      </c>
      <c r="D539" s="53">
        <v>87.336029266339921</v>
      </c>
      <c r="E539" s="53">
        <v>132569.82996892795</v>
      </c>
      <c r="F539" s="53" t="s">
        <v>564</v>
      </c>
      <c r="G539" s="25">
        <f t="shared" si="4"/>
        <v>2.2595662541160522E-2</v>
      </c>
    </row>
    <row r="540" spans="1:7">
      <c r="A540" s="53">
        <v>87.643445742694709</v>
      </c>
      <c r="B540" s="53">
        <v>88.11944544801824</v>
      </c>
      <c r="C540" s="53">
        <v>85.486572077947471</v>
      </c>
      <c r="D540" s="53">
        <v>85.937780131952067</v>
      </c>
      <c r="E540" s="53">
        <v>117975.19908511633</v>
      </c>
      <c r="F540" s="53" t="s">
        <v>565</v>
      </c>
      <c r="G540" s="25">
        <f t="shared" si="4"/>
        <v>1.9847680590814543E-2</v>
      </c>
    </row>
    <row r="541" spans="1:7">
      <c r="A541" s="53">
        <v>85.481613747683681</v>
      </c>
      <c r="B541" s="53">
        <v>85.977446774062358</v>
      </c>
      <c r="C541" s="53">
        <v>84.807280831808683</v>
      </c>
      <c r="D541" s="53">
        <v>85.055197344998021</v>
      </c>
      <c r="E541" s="53">
        <v>101286.11312318154</v>
      </c>
      <c r="F541" s="53" t="s">
        <v>566</v>
      </c>
      <c r="G541" s="25">
        <f t="shared" si="4"/>
        <v>5.0134079514982943E-3</v>
      </c>
    </row>
    <row r="542" spans="1:7">
      <c r="A542" s="53">
        <v>84.59903096072965</v>
      </c>
      <c r="B542" s="53">
        <v>86.621930541749364</v>
      </c>
      <c r="C542" s="53">
        <v>83.83544810010649</v>
      </c>
      <c r="D542" s="53">
        <v>85.630363655597279</v>
      </c>
      <c r="E542" s="53">
        <v>159000.09843190748</v>
      </c>
      <c r="F542" s="53" t="s">
        <v>567</v>
      </c>
      <c r="G542" s="25">
        <f t="shared" si="4"/>
        <v>-1.2044006948465413E-2</v>
      </c>
    </row>
    <row r="543" spans="1:7">
      <c r="A543" s="53">
        <v>85.759280242455745</v>
      </c>
      <c r="B543" s="53">
        <v>88.005403851951144</v>
      </c>
      <c r="C543" s="53">
        <v>84.430447731760893</v>
      </c>
      <c r="D543" s="53">
        <v>85.908030150369342</v>
      </c>
      <c r="E543" s="53">
        <v>143946.64373464085</v>
      </c>
      <c r="F543" s="53" t="s">
        <v>568</v>
      </c>
      <c r="G543" s="25">
        <f t="shared" si="4"/>
        <v>-1.731501789218437E-3</v>
      </c>
    </row>
    <row r="544" spans="1:7">
      <c r="A544" s="53">
        <v>86.294779910944712</v>
      </c>
      <c r="B544" s="53">
        <v>87.623612421639564</v>
      </c>
      <c r="C544" s="53">
        <v>85.476655417419892</v>
      </c>
      <c r="D544" s="53">
        <v>85.72953026087302</v>
      </c>
      <c r="E544" s="53">
        <v>261812.93518931072</v>
      </c>
      <c r="F544" s="53" t="s">
        <v>569</v>
      </c>
      <c r="G544" s="25">
        <f t="shared" si="4"/>
        <v>6.59340659340657E-3</v>
      </c>
    </row>
    <row r="545" spans="1:7">
      <c r="A545" s="53">
        <v>85.590697013486988</v>
      </c>
      <c r="B545" s="53">
        <v>85.679946958235163</v>
      </c>
      <c r="C545" s="53">
        <v>85.025447363415296</v>
      </c>
      <c r="D545" s="53">
        <v>85.441947105573391</v>
      </c>
      <c r="E545" s="53">
        <v>166582.28799974962</v>
      </c>
      <c r="F545" s="53" t="s">
        <v>570</v>
      </c>
      <c r="G545" s="25">
        <f t="shared" si="4"/>
        <v>1.7409470752087763E-3</v>
      </c>
    </row>
    <row r="546" spans="1:7">
      <c r="A546" s="53">
        <v>85.332863839770084</v>
      </c>
      <c r="B546" s="53">
        <v>85.422113784518245</v>
      </c>
      <c r="C546" s="53">
        <v>84.658530923895086</v>
      </c>
      <c r="D546" s="53">
        <v>85.273363876604634</v>
      </c>
      <c r="E546" s="53">
        <v>100305.94444916338</v>
      </c>
      <c r="F546" s="53" t="s">
        <v>571</v>
      </c>
      <c r="G546" s="25">
        <f t="shared" si="4"/>
        <v>6.9775555297146852E-4</v>
      </c>
    </row>
    <row r="547" spans="1:7">
      <c r="A547" s="53">
        <v>84.321364465957586</v>
      </c>
      <c r="B547" s="53">
        <v>84.638697602839926</v>
      </c>
      <c r="C547" s="53">
        <v>83.012365276317865</v>
      </c>
      <c r="D547" s="53">
        <v>84.132947915933684</v>
      </c>
      <c r="E547" s="53">
        <v>128474.70138334383</v>
      </c>
      <c r="F547" s="53" t="s">
        <v>572</v>
      </c>
      <c r="G547" s="25">
        <f t="shared" si="4"/>
        <v>2.2395096652523261E-3</v>
      </c>
    </row>
    <row r="548" spans="1:7">
      <c r="A548" s="53">
        <v>82.734698781545831</v>
      </c>
      <c r="B548" s="53">
        <v>83.488364981641411</v>
      </c>
      <c r="C548" s="53">
        <v>82.100032507781123</v>
      </c>
      <c r="D548" s="53">
        <v>83.488364981641411</v>
      </c>
      <c r="E548" s="53">
        <v>128291.17185796183</v>
      </c>
      <c r="F548" s="53" t="s">
        <v>573</v>
      </c>
      <c r="G548" s="25">
        <f t="shared" si="4"/>
        <v>-9.027200380092526E-3</v>
      </c>
    </row>
    <row r="549" spans="1:7">
      <c r="A549" s="53">
        <v>82.923115331569718</v>
      </c>
      <c r="B549" s="53">
        <v>83.111432714988339</v>
      </c>
      <c r="C549" s="53">
        <v>81.951282599867511</v>
      </c>
      <c r="D549" s="53">
        <v>82.238865755167154</v>
      </c>
      <c r="E549" s="53">
        <v>75477.021515341112</v>
      </c>
      <c r="F549" s="53" t="s">
        <v>574</v>
      </c>
      <c r="G549" s="25">
        <f t="shared" si="4"/>
        <v>8.3202701073192831E-3</v>
      </c>
    </row>
    <row r="550" spans="1:7">
      <c r="A550" s="53">
        <v>82.169449131474124</v>
      </c>
      <c r="B550" s="53">
        <v>83.106573551329831</v>
      </c>
      <c r="C550" s="53">
        <v>81.514949536654285</v>
      </c>
      <c r="D550" s="53">
        <v>82.952865313152444</v>
      </c>
      <c r="E550" s="53">
        <v>101087.45753801531</v>
      </c>
      <c r="F550" s="53" t="s">
        <v>575</v>
      </c>
      <c r="G550" s="25">
        <f t="shared" si="4"/>
        <v>-9.4441123729828158E-3</v>
      </c>
    </row>
    <row r="551" spans="1:7">
      <c r="A551" s="53">
        <v>82.476865607828913</v>
      </c>
      <c r="B551" s="53">
        <v>82.655365497325221</v>
      </c>
      <c r="C551" s="53">
        <v>80.086950420683692</v>
      </c>
      <c r="D551" s="53">
        <v>80.28528363123516</v>
      </c>
      <c r="E551" s="53">
        <v>94246.444899600465</v>
      </c>
      <c r="F551" s="53" t="s">
        <v>576</v>
      </c>
      <c r="G551" s="25">
        <f t="shared" si="4"/>
        <v>2.7297430830039549E-2</v>
      </c>
    </row>
    <row r="552" spans="1:7">
      <c r="A552" s="53">
        <v>80.622450089172659</v>
      </c>
      <c r="B552" s="53">
        <v>81.178477244953697</v>
      </c>
      <c r="C552" s="53">
        <v>80.176200365431853</v>
      </c>
      <c r="D552" s="53">
        <v>81.068699812913465</v>
      </c>
      <c r="E552" s="53">
        <v>43503.556343433775</v>
      </c>
      <c r="F552" s="53" t="s">
        <v>577</v>
      </c>
      <c r="G552" s="25">
        <f t="shared" si="4"/>
        <v>-5.5045871559632475E-3</v>
      </c>
    </row>
    <row r="553" spans="1:7">
      <c r="A553" s="53">
        <v>80.513366823369353</v>
      </c>
      <c r="B553" s="53">
        <v>81.177783078716772</v>
      </c>
      <c r="C553" s="53">
        <v>79.234117615312371</v>
      </c>
      <c r="D553" s="53">
        <v>79.660534017998032</v>
      </c>
      <c r="E553" s="53">
        <v>84923.75005258614</v>
      </c>
      <c r="F553" s="53" t="s">
        <v>578</v>
      </c>
      <c r="G553" s="25">
        <f t="shared" si="4"/>
        <v>1.0705838416531721E-2</v>
      </c>
    </row>
    <row r="554" spans="1:7">
      <c r="A554" s="53">
        <v>79.888617210132224</v>
      </c>
      <c r="B554" s="53">
        <v>82.050449205143238</v>
      </c>
      <c r="C554" s="53">
        <v>78.956451120540322</v>
      </c>
      <c r="D554" s="53">
        <v>81.891782636702075</v>
      </c>
      <c r="E554" s="53">
        <v>177117.08443747365</v>
      </c>
      <c r="F554" s="53" t="s">
        <v>579</v>
      </c>
      <c r="G554" s="25">
        <f t="shared" si="4"/>
        <v>-2.4461128602567217E-2</v>
      </c>
    </row>
    <row r="555" spans="1:7">
      <c r="A555" s="53">
        <v>81.594282820874867</v>
      </c>
      <c r="B555" s="53">
        <v>82.308282378860156</v>
      </c>
      <c r="C555" s="53">
        <v>80.959616547110159</v>
      </c>
      <c r="D555" s="53">
        <v>82.308282378860156</v>
      </c>
      <c r="E555" s="53">
        <v>414235.21442304895</v>
      </c>
      <c r="F555" s="53" t="s">
        <v>580</v>
      </c>
      <c r="G555" s="25">
        <f t="shared" si="4"/>
        <v>-8.6746987951806798E-3</v>
      </c>
    </row>
    <row r="556" spans="1:7">
      <c r="A556" s="53">
        <v>81.594282820874867</v>
      </c>
      <c r="B556" s="53">
        <v>81.792616031426334</v>
      </c>
      <c r="C556" s="53">
        <v>80.404283557566046</v>
      </c>
      <c r="D556" s="53">
        <v>81.405866270850979</v>
      </c>
      <c r="E556" s="53">
        <v>108554.68905149731</v>
      </c>
      <c r="F556" s="53" t="s">
        <v>581</v>
      </c>
      <c r="G556" s="25">
        <f t="shared" si="4"/>
        <v>2.314532829820859E-3</v>
      </c>
    </row>
    <row r="557" spans="1:7">
      <c r="A557" s="53">
        <v>81.207533060299497</v>
      </c>
      <c r="B557" s="53">
        <v>81.81244935248148</v>
      </c>
      <c r="C557" s="53">
        <v>80.555314297400983</v>
      </c>
      <c r="D557" s="53">
        <v>80.969533207637738</v>
      </c>
      <c r="E557" s="53">
        <v>130439.07234732262</v>
      </c>
      <c r="F557" s="53" t="s">
        <v>582</v>
      </c>
      <c r="G557" s="25">
        <f t="shared" si="4"/>
        <v>2.9393753827311464E-3</v>
      </c>
    </row>
    <row r="558" spans="1:7">
      <c r="A558" s="53">
        <v>81.197616399771917</v>
      </c>
      <c r="B558" s="53">
        <v>81.441764581960783</v>
      </c>
      <c r="C558" s="53">
        <v>79.586159064041226</v>
      </c>
      <c r="D558" s="53">
        <v>79.710117320635888</v>
      </c>
      <c r="E558" s="53">
        <v>85639.716882373061</v>
      </c>
      <c r="F558" s="53" t="s">
        <v>583</v>
      </c>
      <c r="G558" s="25">
        <f t="shared" si="4"/>
        <v>1.8661358546902207E-2</v>
      </c>
    </row>
    <row r="559" spans="1:7">
      <c r="A559" s="53">
        <v>79.53161743113958</v>
      </c>
      <c r="B559" s="53">
        <v>81.687003596807685</v>
      </c>
      <c r="C559" s="53">
        <v>79.53161743113958</v>
      </c>
      <c r="D559" s="53">
        <v>81.058783152385885</v>
      </c>
      <c r="E559" s="53">
        <v>83054.169063255191</v>
      </c>
      <c r="F559" s="53" t="s">
        <v>584</v>
      </c>
      <c r="G559" s="25">
        <f t="shared" si="4"/>
        <v>-1.8840225103988084E-2</v>
      </c>
    </row>
    <row r="560" spans="1:7">
      <c r="A560" s="53">
        <v>80.820783299724127</v>
      </c>
      <c r="B560" s="53">
        <v>81.703366086678173</v>
      </c>
      <c r="C560" s="53">
        <v>79.754742293009983</v>
      </c>
      <c r="D560" s="53">
        <v>79.997700475935531</v>
      </c>
      <c r="E560" s="53">
        <v>272974.9589060875</v>
      </c>
      <c r="F560" s="53" t="s">
        <v>585</v>
      </c>
      <c r="G560" s="25">
        <f t="shared" si="4"/>
        <v>1.0288831040039526E-2</v>
      </c>
    </row>
    <row r="561" spans="1:7">
      <c r="A561" s="53">
        <v>79.91836719171495</v>
      </c>
      <c r="B561" s="53">
        <v>83.448500006320558</v>
      </c>
      <c r="C561" s="53">
        <v>79.220333457179038</v>
      </c>
      <c r="D561" s="53">
        <v>82.853698707876703</v>
      </c>
      <c r="E561" s="53">
        <v>143721.7696458486</v>
      </c>
      <c r="F561" s="53" t="s">
        <v>586</v>
      </c>
      <c r="G561" s="25">
        <f t="shared" si="4"/>
        <v>-3.542788749251935E-2</v>
      </c>
    </row>
    <row r="562" spans="1:7">
      <c r="A562" s="53">
        <v>82.893365349986993</v>
      </c>
      <c r="B562" s="53">
        <v>83.106573551329831</v>
      </c>
      <c r="C562" s="53">
        <v>79.987783815407951</v>
      </c>
      <c r="D562" s="53">
        <v>80.999283189220463</v>
      </c>
      <c r="E562" s="53">
        <v>182520.11299240094</v>
      </c>
      <c r="F562" s="53" t="s">
        <v>587</v>
      </c>
      <c r="G562" s="25">
        <f t="shared" si="4"/>
        <v>2.3383937316356462E-2</v>
      </c>
    </row>
    <row r="563" spans="1:7">
      <c r="A563" s="53">
        <v>80.701783373393241</v>
      </c>
      <c r="B563" s="53">
        <v>80.800949978668996</v>
      </c>
      <c r="C563" s="53">
        <v>78.559784699437373</v>
      </c>
      <c r="D563" s="53">
        <v>79.501867449556855</v>
      </c>
      <c r="E563" s="53">
        <v>128912.34871310092</v>
      </c>
      <c r="F563" s="53" t="s">
        <v>588</v>
      </c>
      <c r="G563" s="25">
        <f t="shared" si="4"/>
        <v>1.5092927529000821E-2</v>
      </c>
    </row>
    <row r="564" spans="1:7">
      <c r="A564" s="53">
        <v>79.422534165336273</v>
      </c>
      <c r="B564" s="53">
        <v>79.640700696942886</v>
      </c>
      <c r="C564" s="53">
        <v>77.151618904521925</v>
      </c>
      <c r="D564" s="53">
        <v>77.56811864668002</v>
      </c>
      <c r="E564" s="53">
        <v>101334.51651449109</v>
      </c>
      <c r="F564" s="53" t="s">
        <v>589</v>
      </c>
      <c r="G564" s="25">
        <f t="shared" si="4"/>
        <v>2.3906929174124292E-2</v>
      </c>
    </row>
    <row r="565" spans="1:7">
      <c r="A565" s="53">
        <v>78.391201470468616</v>
      </c>
      <c r="B565" s="53">
        <v>78.797784552099131</v>
      </c>
      <c r="C565" s="53">
        <v>77.384660426919908</v>
      </c>
      <c r="D565" s="53">
        <v>77.94495174672781</v>
      </c>
      <c r="E565" s="53">
        <v>116814.52609767302</v>
      </c>
      <c r="F565" s="53" t="s">
        <v>590</v>
      </c>
      <c r="G565" s="25">
        <f t="shared" si="4"/>
        <v>5.7251908396946938E-3</v>
      </c>
    </row>
    <row r="566" spans="1:7">
      <c r="A566" s="53">
        <v>78.311868186248034</v>
      </c>
      <c r="B566" s="53">
        <v>79.273784257422662</v>
      </c>
      <c r="C566" s="53">
        <v>77.895368444089939</v>
      </c>
      <c r="D566" s="53">
        <v>78.867201175792147</v>
      </c>
      <c r="E566" s="53">
        <v>125676.38032326111</v>
      </c>
      <c r="F566" s="53" t="s">
        <v>591</v>
      </c>
      <c r="G566" s="25">
        <f t="shared" si="4"/>
        <v>-7.0413680372185539E-3</v>
      </c>
    </row>
    <row r="567" spans="1:7">
      <c r="A567" s="53">
        <v>77.002868996608342</v>
      </c>
      <c r="B567" s="53">
        <v>77.250785509797666</v>
      </c>
      <c r="C567" s="53">
        <v>75.664119825385896</v>
      </c>
      <c r="D567" s="53">
        <v>76.348369401788474</v>
      </c>
      <c r="E567" s="53">
        <v>99254.179092166523</v>
      </c>
      <c r="F567" s="53" t="s">
        <v>592</v>
      </c>
      <c r="G567" s="25">
        <f t="shared" si="4"/>
        <v>8.5725418885571614E-3</v>
      </c>
    </row>
    <row r="568" spans="1:7">
      <c r="A568" s="53">
        <v>77.002868996608342</v>
      </c>
      <c r="B568" s="53">
        <v>77.310285472963102</v>
      </c>
      <c r="C568" s="53">
        <v>75.892203017520103</v>
      </c>
      <c r="D568" s="53">
        <v>75.941786320157959</v>
      </c>
      <c r="E568" s="53">
        <v>129608.14746317554</v>
      </c>
      <c r="F568" s="53" t="s">
        <v>593</v>
      </c>
      <c r="G568" s="25">
        <f t="shared" si="4"/>
        <v>1.397231653173181E-2</v>
      </c>
    </row>
    <row r="569" spans="1:7">
      <c r="A569" s="53">
        <v>76.834285767639585</v>
      </c>
      <c r="B569" s="53">
        <v>77.543326995361085</v>
      </c>
      <c r="C569" s="53">
        <v>76.110468715731997</v>
      </c>
      <c r="D569" s="53">
        <v>76.675619199198394</v>
      </c>
      <c r="E569" s="53">
        <v>89998.038908202812</v>
      </c>
      <c r="F569" s="53" t="s">
        <v>594</v>
      </c>
      <c r="G569" s="25">
        <f t="shared" ref="G569:G632" si="5">A569/D569-1</f>
        <v>2.0693222969478953E-3</v>
      </c>
    </row>
    <row r="570" spans="1:7">
      <c r="A570" s="53">
        <v>77.141702243994359</v>
      </c>
      <c r="B570" s="53">
        <v>79.432450825863839</v>
      </c>
      <c r="C570" s="53">
        <v>76.725202501836279</v>
      </c>
      <c r="D570" s="53">
        <v>79.343200881115678</v>
      </c>
      <c r="E570" s="53">
        <v>144017.23201363391</v>
      </c>
      <c r="F570" s="53" t="s">
        <v>595</v>
      </c>
      <c r="G570" s="25">
        <f t="shared" si="5"/>
        <v>-2.7746531683539577E-2</v>
      </c>
    </row>
    <row r="571" spans="1:7">
      <c r="A571" s="53">
        <v>79.759700623273773</v>
      </c>
      <c r="B571" s="53">
        <v>79.789450604856484</v>
      </c>
      <c r="C571" s="53">
        <v>75.916598002417913</v>
      </c>
      <c r="D571" s="53">
        <v>77.141702243994359</v>
      </c>
      <c r="E571" s="53">
        <v>152856.90135153849</v>
      </c>
      <c r="F571" s="53" t="s">
        <v>596</v>
      </c>
      <c r="G571" s="25">
        <f t="shared" si="5"/>
        <v>3.3937524103355265E-2</v>
      </c>
    </row>
    <row r="572" spans="1:7">
      <c r="A572" s="53">
        <v>76.774785804474135</v>
      </c>
      <c r="B572" s="53">
        <v>78.049076682267327</v>
      </c>
      <c r="C572" s="53">
        <v>76.358286062316054</v>
      </c>
      <c r="D572" s="53">
        <v>77.56811864668002</v>
      </c>
      <c r="E572" s="53">
        <v>132737.22503054011</v>
      </c>
      <c r="F572" s="53" t="s">
        <v>597</v>
      </c>
      <c r="G572" s="25">
        <f t="shared" si="5"/>
        <v>-1.0227563283047858E-2</v>
      </c>
    </row>
    <row r="573" spans="1:7">
      <c r="A573" s="53">
        <v>77.895368444089939</v>
      </c>
      <c r="B573" s="53">
        <v>79.14486767056421</v>
      </c>
      <c r="C573" s="53">
        <v>77.379801263261399</v>
      </c>
      <c r="D573" s="53">
        <v>79.13495101003663</v>
      </c>
      <c r="E573" s="53">
        <v>127525.79323287975</v>
      </c>
      <c r="F573" s="53" t="s">
        <v>598</v>
      </c>
      <c r="G573" s="25">
        <f t="shared" si="5"/>
        <v>-1.5664160401002492E-2</v>
      </c>
    </row>
    <row r="574" spans="1:7">
      <c r="A574" s="53">
        <v>78.222618241499873</v>
      </c>
      <c r="B574" s="53">
        <v>79.452284146918998</v>
      </c>
      <c r="C574" s="53">
        <v>77.99453504936568</v>
      </c>
      <c r="D574" s="53">
        <v>79.244034275839937</v>
      </c>
      <c r="E574" s="53">
        <v>148193.03291806727</v>
      </c>
      <c r="F574" s="53" t="s">
        <v>599</v>
      </c>
      <c r="G574" s="25">
        <f t="shared" si="5"/>
        <v>-1.2889500688274214E-2</v>
      </c>
    </row>
    <row r="575" spans="1:7">
      <c r="A575" s="53">
        <v>78.113534975696552</v>
      </c>
      <c r="B575" s="53">
        <v>79.09032603766255</v>
      </c>
      <c r="C575" s="53">
        <v>77.95486840725539</v>
      </c>
      <c r="D575" s="53">
        <v>78.341618167830759</v>
      </c>
      <c r="E575" s="53">
        <v>76001.391587861115</v>
      </c>
      <c r="F575" s="53" t="s">
        <v>600</v>
      </c>
      <c r="G575" s="25">
        <f t="shared" si="5"/>
        <v>-2.9113924050635509E-3</v>
      </c>
    </row>
    <row r="576" spans="1:7">
      <c r="A576" s="53">
        <v>77.984618388838115</v>
      </c>
      <c r="B576" s="53">
        <v>79.402700844281114</v>
      </c>
      <c r="C576" s="53">
        <v>77.974701728310535</v>
      </c>
      <c r="D576" s="53">
        <v>78.698617946823404</v>
      </c>
      <c r="E576" s="53">
        <v>69490.127052742508</v>
      </c>
      <c r="F576" s="53" t="s">
        <v>601</v>
      </c>
      <c r="G576" s="25">
        <f t="shared" si="5"/>
        <v>-9.0725806451612545E-3</v>
      </c>
    </row>
    <row r="577" spans="1:7">
      <c r="A577" s="53">
        <v>79.501867449556855</v>
      </c>
      <c r="B577" s="53">
        <v>79.769617283801338</v>
      </c>
      <c r="C577" s="53">
        <v>78.577337188571178</v>
      </c>
      <c r="D577" s="53">
        <v>79.214284294257212</v>
      </c>
      <c r="E577" s="53">
        <v>96105.941849075258</v>
      </c>
      <c r="F577" s="53" t="s">
        <v>602</v>
      </c>
      <c r="G577" s="25">
        <f t="shared" si="5"/>
        <v>3.6304456685027908E-3</v>
      </c>
    </row>
    <row r="578" spans="1:7">
      <c r="A578" s="53">
        <v>79.085367707398774</v>
      </c>
      <c r="B578" s="53">
        <v>79.749783962746193</v>
      </c>
      <c r="C578" s="53">
        <v>78.738284588933695</v>
      </c>
      <c r="D578" s="53">
        <v>79.363034202170823</v>
      </c>
      <c r="E578" s="53">
        <v>61879.702173303122</v>
      </c>
      <c r="F578" s="53" t="s">
        <v>603</v>
      </c>
      <c r="G578" s="25">
        <f t="shared" si="5"/>
        <v>-3.4986879920029246E-3</v>
      </c>
    </row>
    <row r="579" spans="1:7">
      <c r="A579" s="53">
        <v>78.916784478430017</v>
      </c>
      <c r="B579" s="53">
        <v>81.002654853799839</v>
      </c>
      <c r="C579" s="53">
        <v>78.430868112578921</v>
      </c>
      <c r="D579" s="53">
        <v>79.333284220588098</v>
      </c>
      <c r="E579" s="53">
        <v>120980.24296225021</v>
      </c>
      <c r="F579" s="53" t="s">
        <v>604</v>
      </c>
      <c r="G579" s="25">
        <f t="shared" si="5"/>
        <v>-5.2499999999998659E-3</v>
      </c>
    </row>
    <row r="580" spans="1:7">
      <c r="A580" s="53">
        <v>79.353117541643243</v>
      </c>
      <c r="B580" s="53">
        <v>79.511784110084434</v>
      </c>
      <c r="C580" s="53">
        <v>78.093701654641421</v>
      </c>
      <c r="D580" s="53">
        <v>78.093701654641421</v>
      </c>
      <c r="E580" s="53">
        <v>90673.669578565125</v>
      </c>
      <c r="F580" s="53" t="s">
        <v>605</v>
      </c>
      <c r="G580" s="25">
        <f t="shared" si="5"/>
        <v>1.612698412698399E-2</v>
      </c>
    </row>
    <row r="581" spans="1:7">
      <c r="A581" s="53">
        <v>78.093701654641421</v>
      </c>
      <c r="B581" s="53">
        <v>78.862242845528371</v>
      </c>
      <c r="C581" s="53">
        <v>77.885451783562374</v>
      </c>
      <c r="D581" s="53">
        <v>78.619284662602809</v>
      </c>
      <c r="E581" s="53">
        <v>47659.189168154815</v>
      </c>
      <c r="F581" s="53" t="s">
        <v>606</v>
      </c>
      <c r="G581" s="25">
        <f t="shared" si="5"/>
        <v>-6.6851664984862724E-3</v>
      </c>
    </row>
    <row r="582" spans="1:7">
      <c r="A582" s="53">
        <v>78.728367928406115</v>
      </c>
      <c r="B582" s="53">
        <v>78.749887081750956</v>
      </c>
      <c r="C582" s="53">
        <v>77.290452151907957</v>
      </c>
      <c r="D582" s="53">
        <v>77.468952041404293</v>
      </c>
      <c r="E582" s="53">
        <v>90531.484616593356</v>
      </c>
      <c r="F582" s="53" t="s">
        <v>607</v>
      </c>
      <c r="G582" s="25">
        <f t="shared" si="5"/>
        <v>1.6257040450588622E-2</v>
      </c>
    </row>
    <row r="583" spans="1:7">
      <c r="A583" s="53">
        <v>77.796201838814213</v>
      </c>
      <c r="B583" s="53">
        <v>77.935035086200244</v>
      </c>
      <c r="C583" s="53">
        <v>74.389729780987423</v>
      </c>
      <c r="D583" s="53">
        <v>77.359868775600987</v>
      </c>
      <c r="E583" s="53">
        <v>77724.753999277833</v>
      </c>
      <c r="F583" s="53" t="s">
        <v>608</v>
      </c>
      <c r="G583" s="25">
        <f t="shared" si="5"/>
        <v>5.6403025253171091E-3</v>
      </c>
    </row>
    <row r="584" spans="1:7">
      <c r="A584" s="53">
        <v>77.032618978191053</v>
      </c>
      <c r="B584" s="53">
        <v>77.844991808609876</v>
      </c>
      <c r="C584" s="53">
        <v>76.626035896560538</v>
      </c>
      <c r="D584" s="53">
        <v>77.082202280828923</v>
      </c>
      <c r="E584" s="53">
        <v>83868.95948363244</v>
      </c>
      <c r="F584" s="53" t="s">
        <v>609</v>
      </c>
      <c r="G584" s="25">
        <f t="shared" si="5"/>
        <v>-6.4325228354566999E-4</v>
      </c>
    </row>
    <row r="585" spans="1:7">
      <c r="A585" s="53">
        <v>77.419368738766408</v>
      </c>
      <c r="B585" s="53">
        <v>78.533009716012927</v>
      </c>
      <c r="C585" s="53">
        <v>77.062368959773764</v>
      </c>
      <c r="D585" s="53">
        <v>78.044118352003551</v>
      </c>
      <c r="E585" s="53">
        <v>109280.7399211404</v>
      </c>
      <c r="F585" s="53" t="s">
        <v>610</v>
      </c>
      <c r="G585" s="25">
        <f t="shared" si="5"/>
        <v>-8.0050825921220703E-3</v>
      </c>
    </row>
    <row r="586" spans="1:7">
      <c r="A586" s="53">
        <v>77.230952188742549</v>
      </c>
      <c r="B586" s="53">
        <v>77.329915479604594</v>
      </c>
      <c r="C586" s="53">
        <v>75.528783585915306</v>
      </c>
      <c r="D586" s="53">
        <v>75.805880800329035</v>
      </c>
      <c r="E586" s="53">
        <v>166818.42182282393</v>
      </c>
      <c r="F586" s="53" t="s">
        <v>611</v>
      </c>
      <c r="G586" s="25">
        <f t="shared" si="5"/>
        <v>1.8798955613577251E-2</v>
      </c>
    </row>
    <row r="587" spans="1:7">
      <c r="A587" s="53">
        <v>75.419923965967044</v>
      </c>
      <c r="B587" s="53">
        <v>75.795984471242846</v>
      </c>
      <c r="C587" s="53">
        <v>74.845936878967166</v>
      </c>
      <c r="D587" s="53">
        <v>75.449612953225667</v>
      </c>
      <c r="E587" s="53">
        <v>155966.92334651537</v>
      </c>
      <c r="F587" s="53" t="s">
        <v>612</v>
      </c>
      <c r="G587" s="25">
        <f t="shared" si="5"/>
        <v>-3.9349422875145645E-4</v>
      </c>
    </row>
    <row r="588" spans="1:7">
      <c r="A588" s="53">
        <v>75.340753333277405</v>
      </c>
      <c r="B588" s="53">
        <v>75.400131307794638</v>
      </c>
      <c r="C588" s="53">
        <v>72.253098658381518</v>
      </c>
      <c r="D588" s="53">
        <v>74.855833208053383</v>
      </c>
      <c r="E588" s="53">
        <v>87002.967716607178</v>
      </c>
      <c r="F588" s="53" t="s">
        <v>613</v>
      </c>
      <c r="G588" s="25">
        <f t="shared" si="5"/>
        <v>6.4780539397142345E-3</v>
      </c>
    </row>
    <row r="589" spans="1:7">
      <c r="A589" s="53">
        <v>75.212101055156751</v>
      </c>
      <c r="B589" s="53">
        <v>75.350649662363622</v>
      </c>
      <c r="C589" s="53">
        <v>73.529824073792796</v>
      </c>
      <c r="D589" s="53">
        <v>73.925578273950123</v>
      </c>
      <c r="E589" s="53">
        <v>129288.34407735632</v>
      </c>
      <c r="F589" s="53" t="s">
        <v>614</v>
      </c>
      <c r="G589" s="25">
        <f t="shared" si="5"/>
        <v>1.7402945113788482E-2</v>
      </c>
    </row>
    <row r="590" spans="1:7">
      <c r="A590" s="53">
        <v>74.222468146536272</v>
      </c>
      <c r="B590" s="53">
        <v>74.99438181526024</v>
      </c>
      <c r="C590" s="53">
        <v>73.613843907734676</v>
      </c>
      <c r="D590" s="53">
        <v>74.509461690036218</v>
      </c>
      <c r="E590" s="53">
        <v>110588.48088687615</v>
      </c>
      <c r="F590" s="53" t="s">
        <v>615</v>
      </c>
      <c r="G590" s="25">
        <f t="shared" si="5"/>
        <v>-3.851773143843884E-3</v>
      </c>
    </row>
    <row r="591" spans="1:7">
      <c r="A591" s="53">
        <v>75.113137764294706</v>
      </c>
      <c r="B591" s="53">
        <v>75.400131307794638</v>
      </c>
      <c r="C591" s="53">
        <v>73.440658148726087</v>
      </c>
      <c r="D591" s="53">
        <v>74.539150677294813</v>
      </c>
      <c r="E591" s="53">
        <v>256528.45392326859</v>
      </c>
      <c r="F591" s="53" t="s">
        <v>616</v>
      </c>
      <c r="G591" s="25">
        <f t="shared" si="5"/>
        <v>7.7004779607012797E-3</v>
      </c>
    </row>
    <row r="592" spans="1:7">
      <c r="A592" s="53">
        <v>74.222468146536272</v>
      </c>
      <c r="B592" s="53">
        <v>75.449612953225667</v>
      </c>
      <c r="C592" s="53">
        <v>73.351591186950245</v>
      </c>
      <c r="D592" s="53">
        <v>73.351591186950245</v>
      </c>
      <c r="E592" s="53">
        <v>528890.05149355077</v>
      </c>
      <c r="F592" s="53" t="s">
        <v>617</v>
      </c>
      <c r="G592" s="25">
        <f t="shared" si="5"/>
        <v>1.1872638963842386E-2</v>
      </c>
    </row>
    <row r="593" spans="1:7">
      <c r="A593" s="53">
        <v>73.45055447781229</v>
      </c>
      <c r="B593" s="53">
        <v>73.678170046795003</v>
      </c>
      <c r="C593" s="53">
        <v>69.096169679882152</v>
      </c>
      <c r="D593" s="53">
        <v>71.253569420674822</v>
      </c>
      <c r="E593" s="53">
        <v>333440.81136103999</v>
      </c>
      <c r="F593" s="53" t="s">
        <v>618</v>
      </c>
      <c r="G593" s="25">
        <f t="shared" si="5"/>
        <v>3.0833333333333268E-2</v>
      </c>
    </row>
    <row r="594" spans="1:7">
      <c r="A594" s="53">
        <v>66.077789308589686</v>
      </c>
      <c r="B594" s="53">
        <v>66.859599306399872</v>
      </c>
      <c r="C594" s="53">
        <v>64.484480325710706</v>
      </c>
      <c r="D594" s="53">
        <v>66.087685637675889</v>
      </c>
      <c r="E594" s="53">
        <v>178512.65702780755</v>
      </c>
      <c r="F594" s="53" t="s">
        <v>619</v>
      </c>
      <c r="G594" s="25">
        <f t="shared" si="5"/>
        <v>-1.4974543276424779E-4</v>
      </c>
    </row>
    <row r="595" spans="1:7">
      <c r="A595" s="53">
        <v>66.087685637675889</v>
      </c>
      <c r="B595" s="53">
        <v>66.869495635486075</v>
      </c>
      <c r="C595" s="53">
        <v>64.128212478607338</v>
      </c>
      <c r="D595" s="53">
        <v>64.128212478607338</v>
      </c>
      <c r="E595" s="53">
        <v>176062.25347020925</v>
      </c>
      <c r="F595" s="53" t="s">
        <v>620</v>
      </c>
      <c r="G595" s="25">
        <f t="shared" si="5"/>
        <v>3.0555555555555447E-2</v>
      </c>
    </row>
    <row r="596" spans="1:7">
      <c r="A596" s="53">
        <v>64.128212478607338</v>
      </c>
      <c r="B596" s="53">
        <v>65.513698550676011</v>
      </c>
      <c r="C596" s="53">
        <v>63.771944631503963</v>
      </c>
      <c r="D596" s="53">
        <v>65.098052729055411</v>
      </c>
      <c r="E596" s="53">
        <v>155973.99667637234</v>
      </c>
      <c r="F596" s="53" t="s">
        <v>621</v>
      </c>
      <c r="G596" s="25">
        <f t="shared" si="5"/>
        <v>-1.4898145332927881E-2</v>
      </c>
    </row>
    <row r="597" spans="1:7">
      <c r="A597" s="53">
        <v>65.553283867020824</v>
      </c>
      <c r="B597" s="53">
        <v>66.137167283106919</v>
      </c>
      <c r="C597" s="53">
        <v>65.048571083624395</v>
      </c>
      <c r="D597" s="53">
        <v>65.048571083624395</v>
      </c>
      <c r="E597" s="53">
        <v>142619.54990638499</v>
      </c>
      <c r="F597" s="53" t="s">
        <v>622</v>
      </c>
      <c r="G597" s="25">
        <f t="shared" si="5"/>
        <v>7.7590141487902109E-3</v>
      </c>
    </row>
    <row r="598" spans="1:7">
      <c r="A598" s="53">
        <v>64.781370198296855</v>
      </c>
      <c r="B598" s="53">
        <v>66.315301206658617</v>
      </c>
      <c r="C598" s="53">
        <v>63.603707037038475</v>
      </c>
      <c r="D598" s="53">
        <v>64.662614249262404</v>
      </c>
      <c r="E598" s="53">
        <v>118519.70460794384</v>
      </c>
      <c r="F598" s="53" t="s">
        <v>623</v>
      </c>
      <c r="G598" s="25">
        <f t="shared" si="5"/>
        <v>1.8365472910926162E-3</v>
      </c>
    </row>
    <row r="599" spans="1:7">
      <c r="A599" s="53">
        <v>62.336976914004261</v>
      </c>
      <c r="B599" s="53">
        <v>62.84168969740071</v>
      </c>
      <c r="C599" s="53">
        <v>61.847108624237116</v>
      </c>
      <c r="D599" s="53">
        <v>62.84168969740071</v>
      </c>
      <c r="E599" s="53">
        <v>72333.892068914516</v>
      </c>
      <c r="F599" s="53" t="s">
        <v>624</v>
      </c>
      <c r="G599" s="25">
        <f t="shared" si="5"/>
        <v>-8.0314960629921384E-3</v>
      </c>
    </row>
    <row r="600" spans="1:7">
      <c r="A600" s="53">
        <v>63.366195138969566</v>
      </c>
      <c r="B600" s="53">
        <v>63.999560200486677</v>
      </c>
      <c r="C600" s="53">
        <v>62.465629192124922</v>
      </c>
      <c r="D600" s="53">
        <v>63.059408937297214</v>
      </c>
      <c r="E600" s="53">
        <v>74947.992688917337</v>
      </c>
      <c r="F600" s="53" t="s">
        <v>625</v>
      </c>
      <c r="G600" s="25">
        <f t="shared" si="5"/>
        <v>4.8650345260514705E-3</v>
      </c>
    </row>
    <row r="601" spans="1:7">
      <c r="A601" s="53">
        <v>63.564121720693663</v>
      </c>
      <c r="B601" s="53">
        <v>63.747203808788456</v>
      </c>
      <c r="C601" s="53">
        <v>62.119257674107757</v>
      </c>
      <c r="D601" s="53">
        <v>62.119257674107757</v>
      </c>
      <c r="E601" s="53">
        <v>70455.417754038121</v>
      </c>
      <c r="F601" s="53" t="s">
        <v>626</v>
      </c>
      <c r="G601" s="25">
        <f t="shared" si="5"/>
        <v>2.3259518878445018E-2</v>
      </c>
    </row>
    <row r="602" spans="1:7">
      <c r="A602" s="53">
        <v>62.119257674107757</v>
      </c>
      <c r="B602" s="53">
        <v>62.851586026486913</v>
      </c>
      <c r="C602" s="53">
        <v>61.753093497918172</v>
      </c>
      <c r="D602" s="53">
        <v>62.584385141159387</v>
      </c>
      <c r="E602" s="53">
        <v>108843.38936358861</v>
      </c>
      <c r="F602" s="53" t="s">
        <v>627</v>
      </c>
      <c r="G602" s="25">
        <f t="shared" si="5"/>
        <v>-7.4320050600885645E-3</v>
      </c>
    </row>
    <row r="603" spans="1:7">
      <c r="A603" s="53">
        <v>62.604177799331787</v>
      </c>
      <c r="B603" s="53">
        <v>63.118786911814446</v>
      </c>
      <c r="C603" s="53">
        <v>61.743197168831969</v>
      </c>
      <c r="D603" s="53">
        <v>61.743197168831969</v>
      </c>
      <c r="E603" s="53">
        <v>164768.16663999218</v>
      </c>
      <c r="F603" s="53" t="s">
        <v>628</v>
      </c>
      <c r="G603" s="25">
        <f t="shared" si="5"/>
        <v>1.3944542394614512E-2</v>
      </c>
    </row>
    <row r="604" spans="1:7">
      <c r="A604" s="53">
        <v>61.970812737814683</v>
      </c>
      <c r="B604" s="53">
        <v>62.831793368314507</v>
      </c>
      <c r="C604" s="53">
        <v>61.857004953323326</v>
      </c>
      <c r="D604" s="53">
        <v>62.386458559435283</v>
      </c>
      <c r="E604" s="53">
        <v>86154.16813376901</v>
      </c>
      <c r="F604" s="53" t="s">
        <v>629</v>
      </c>
      <c r="G604" s="25">
        <f t="shared" si="5"/>
        <v>-6.6624365482232939E-3</v>
      </c>
    </row>
    <row r="605" spans="1:7">
      <c r="A605" s="53">
        <v>62.386458559435283</v>
      </c>
      <c r="B605" s="53">
        <v>63.534432733435047</v>
      </c>
      <c r="C605" s="53">
        <v>62.386458559435283</v>
      </c>
      <c r="D605" s="53">
        <v>63.534432733435047</v>
      </c>
      <c r="E605" s="53">
        <v>59900.999131722907</v>
      </c>
      <c r="F605" s="53" t="s">
        <v>630</v>
      </c>
      <c r="G605" s="25">
        <f t="shared" si="5"/>
        <v>-1.806853582554524E-2</v>
      </c>
    </row>
    <row r="606" spans="1:7">
      <c r="A606" s="53">
        <v>63.455262100745415</v>
      </c>
      <c r="B606" s="53">
        <v>63.771944631503963</v>
      </c>
      <c r="C606" s="53">
        <v>62.643763115676606</v>
      </c>
      <c r="D606" s="53">
        <v>63.376091468055776</v>
      </c>
      <c r="E606" s="53">
        <v>54802.138780530702</v>
      </c>
      <c r="F606" s="53" t="s">
        <v>631</v>
      </c>
      <c r="G606" s="25">
        <f t="shared" si="5"/>
        <v>1.2492192379762734E-3</v>
      </c>
    </row>
    <row r="607" spans="1:7">
      <c r="A607" s="53">
        <v>63.781840960590173</v>
      </c>
      <c r="B607" s="53">
        <v>64.425102351193473</v>
      </c>
      <c r="C607" s="53">
        <v>63.301868999909239</v>
      </c>
      <c r="D607" s="53">
        <v>64.425102351193473</v>
      </c>
      <c r="E607" s="53">
        <v>81454.445681649522</v>
      </c>
      <c r="F607" s="53" t="s">
        <v>632</v>
      </c>
      <c r="G607" s="25">
        <f t="shared" si="5"/>
        <v>-9.9846390168968346E-3</v>
      </c>
    </row>
    <row r="608" spans="1:7">
      <c r="A608" s="53">
        <v>63.979767542314271</v>
      </c>
      <c r="B608" s="53">
        <v>64.781370198296855</v>
      </c>
      <c r="C608" s="53">
        <v>63.108890582728243</v>
      </c>
      <c r="D608" s="53">
        <v>64.326139060331428</v>
      </c>
      <c r="E608" s="53">
        <v>100591.84484756888</v>
      </c>
      <c r="F608" s="53" t="s">
        <v>633</v>
      </c>
      <c r="G608" s="25">
        <f t="shared" si="5"/>
        <v>-5.3846153846152101E-3</v>
      </c>
    </row>
    <row r="609" spans="1:7">
      <c r="A609" s="53">
        <v>64.979296780020945</v>
      </c>
      <c r="B609" s="53">
        <v>66.290560383943088</v>
      </c>
      <c r="C609" s="53">
        <v>64.514169312969329</v>
      </c>
      <c r="D609" s="53">
        <v>66.275715890313791</v>
      </c>
      <c r="E609" s="53">
        <v>105048.04265746933</v>
      </c>
      <c r="F609" s="53" t="s">
        <v>634</v>
      </c>
      <c r="G609" s="25">
        <f t="shared" si="5"/>
        <v>-1.9560997461550156E-2</v>
      </c>
    </row>
    <row r="610" spans="1:7">
      <c r="A610" s="53">
        <v>66.374679181175821</v>
      </c>
      <c r="B610" s="53">
        <v>66.493435130210287</v>
      </c>
      <c r="C610" s="53">
        <v>65.216808678089876</v>
      </c>
      <c r="D610" s="53">
        <v>65.216808678089876</v>
      </c>
      <c r="E610" s="53">
        <v>184452.23315628708</v>
      </c>
      <c r="F610" s="53" t="s">
        <v>635</v>
      </c>
      <c r="G610" s="25">
        <f t="shared" si="5"/>
        <v>1.7754172989377537E-2</v>
      </c>
    </row>
    <row r="611" spans="1:7">
      <c r="A611" s="53">
        <v>66.265819561227573</v>
      </c>
      <c r="B611" s="53">
        <v>66.561719800905109</v>
      </c>
      <c r="C611" s="53">
        <v>64.647769755633092</v>
      </c>
      <c r="D611" s="53">
        <v>64.840748172814074</v>
      </c>
      <c r="E611" s="53">
        <v>99549.033931510552</v>
      </c>
      <c r="F611" s="53" t="s">
        <v>636</v>
      </c>
      <c r="G611" s="25">
        <f t="shared" si="5"/>
        <v>2.1978021978022122E-2</v>
      </c>
    </row>
    <row r="612" spans="1:7">
      <c r="A612" s="53">
        <v>64.524065642055533</v>
      </c>
      <c r="B612" s="53">
        <v>64.652717920176187</v>
      </c>
      <c r="C612" s="53">
        <v>63.08909792455583</v>
      </c>
      <c r="D612" s="53">
        <v>63.781840960590173</v>
      </c>
      <c r="E612" s="53">
        <v>76053.453097994672</v>
      </c>
      <c r="F612" s="53" t="s">
        <v>637</v>
      </c>
      <c r="G612" s="25">
        <f t="shared" si="5"/>
        <v>1.1636927851047307E-2</v>
      </c>
    </row>
    <row r="613" spans="1:7">
      <c r="A613" s="53">
        <v>63.663085011555708</v>
      </c>
      <c r="B613" s="53">
        <v>63.96987121322806</v>
      </c>
      <c r="C613" s="53">
        <v>62.505214508469741</v>
      </c>
      <c r="D613" s="53">
        <v>62.614074128417997</v>
      </c>
      <c r="E613" s="53">
        <v>127181.50225566869</v>
      </c>
      <c r="F613" s="53" t="s">
        <v>638</v>
      </c>
      <c r="G613" s="25">
        <f t="shared" si="5"/>
        <v>1.675359570096413E-2</v>
      </c>
    </row>
    <row r="614" spans="1:7">
      <c r="A614" s="53">
        <v>63.108890582728243</v>
      </c>
      <c r="B614" s="53">
        <v>63.910493238710828</v>
      </c>
      <c r="C614" s="53">
        <v>62.812000710142094</v>
      </c>
      <c r="D614" s="53">
        <v>63.534432733435047</v>
      </c>
      <c r="E614" s="53">
        <v>80568.258498138704</v>
      </c>
      <c r="F614" s="53" t="s">
        <v>639</v>
      </c>
      <c r="G614" s="25">
        <f t="shared" si="5"/>
        <v>-6.6978193146416398E-3</v>
      </c>
    </row>
    <row r="615" spans="1:7">
      <c r="A615" s="53">
        <v>63.118786911814446</v>
      </c>
      <c r="B615" s="53">
        <v>63.96987121322806</v>
      </c>
      <c r="C615" s="53">
        <v>62.930756659176552</v>
      </c>
      <c r="D615" s="53">
        <v>63.019823620952394</v>
      </c>
      <c r="E615" s="53">
        <v>98987.209445727189</v>
      </c>
      <c r="F615" s="53" t="s">
        <v>640</v>
      </c>
      <c r="G615" s="25">
        <f t="shared" si="5"/>
        <v>1.570351758793942E-3</v>
      </c>
    </row>
    <row r="616" spans="1:7">
      <c r="A616" s="53">
        <v>63.366195138969566</v>
      </c>
      <c r="B616" s="53">
        <v>64.514169312969329</v>
      </c>
      <c r="C616" s="53">
        <v>63.079201595469627</v>
      </c>
      <c r="D616" s="53">
        <v>64.514169312969329</v>
      </c>
      <c r="E616" s="53">
        <v>123603.40782372822</v>
      </c>
      <c r="F616" s="53" t="s">
        <v>641</v>
      </c>
      <c r="G616" s="25">
        <f t="shared" si="5"/>
        <v>-1.7794140205553033E-2</v>
      </c>
    </row>
    <row r="617" spans="1:7">
      <c r="A617" s="53">
        <v>65.305875639865704</v>
      </c>
      <c r="B617" s="53">
        <v>66.721050699193</v>
      </c>
      <c r="C617" s="53">
        <v>64.524065642055533</v>
      </c>
      <c r="D617" s="53">
        <v>65.632454499710462</v>
      </c>
      <c r="E617" s="53">
        <v>69598.534365649102</v>
      </c>
      <c r="F617" s="53" t="s">
        <v>642</v>
      </c>
      <c r="G617" s="25">
        <f t="shared" si="5"/>
        <v>-4.9758745476478072E-3</v>
      </c>
    </row>
    <row r="618" spans="1:7">
      <c r="A618" s="53">
        <v>65.672039816055289</v>
      </c>
      <c r="B618" s="53">
        <v>67.106908570264125</v>
      </c>
      <c r="C618" s="53">
        <v>65.464216905244996</v>
      </c>
      <c r="D618" s="53">
        <v>66.661672724675768</v>
      </c>
      <c r="E618" s="53">
        <v>101630.61386085179</v>
      </c>
      <c r="F618" s="53" t="s">
        <v>643</v>
      </c>
      <c r="G618" s="25">
        <f t="shared" si="5"/>
        <v>-1.4845605700712472E-2</v>
      </c>
    </row>
    <row r="619" spans="1:7">
      <c r="A619" s="53">
        <v>66.503331459296504</v>
      </c>
      <c r="B619" s="53">
        <v>66.572605762899926</v>
      </c>
      <c r="C619" s="53">
        <v>65.385046272555343</v>
      </c>
      <c r="D619" s="53">
        <v>65.879862726865582</v>
      </c>
      <c r="E619" s="53">
        <v>88388.32989288235</v>
      </c>
      <c r="F619" s="53" t="s">
        <v>644</v>
      </c>
      <c r="G619" s="25">
        <f t="shared" si="5"/>
        <v>9.4637223974765039E-3</v>
      </c>
    </row>
    <row r="620" spans="1:7">
      <c r="A620" s="53">
        <v>65.216808678089876</v>
      </c>
      <c r="B620" s="53">
        <v>66.008515004986265</v>
      </c>
      <c r="C620" s="53">
        <v>64.741784881952043</v>
      </c>
      <c r="D620" s="53">
        <v>65.315771968951921</v>
      </c>
      <c r="E620" s="53">
        <v>108824.19032540536</v>
      </c>
      <c r="F620" s="53" t="s">
        <v>645</v>
      </c>
      <c r="G620" s="25">
        <f t="shared" si="5"/>
        <v>-1.5151515151514694E-3</v>
      </c>
    </row>
    <row r="621" spans="1:7">
      <c r="A621" s="53">
        <v>64.702199565607216</v>
      </c>
      <c r="B621" s="53">
        <v>66.962521128896398</v>
      </c>
      <c r="C621" s="53">
        <v>64.514169312969329</v>
      </c>
      <c r="D621" s="53">
        <v>66.206441586710355</v>
      </c>
      <c r="E621" s="53">
        <v>76686.010882347895</v>
      </c>
      <c r="F621" s="53" t="s">
        <v>646</v>
      </c>
      <c r="G621" s="25">
        <f t="shared" si="5"/>
        <v>-2.272047832585955E-2</v>
      </c>
    </row>
    <row r="622" spans="1:7">
      <c r="A622" s="53">
        <v>65.751210448744928</v>
      </c>
      <c r="B622" s="53">
        <v>67.097111204468789</v>
      </c>
      <c r="C622" s="53">
        <v>65.503802221589808</v>
      </c>
      <c r="D622" s="53">
        <v>66.918977280917105</v>
      </c>
      <c r="E622" s="53">
        <v>74459.932928785376</v>
      </c>
      <c r="F622" s="53" t="s">
        <v>647</v>
      </c>
      <c r="G622" s="25">
        <f t="shared" si="5"/>
        <v>-1.7450458444247308E-2</v>
      </c>
    </row>
    <row r="623" spans="1:7">
      <c r="A623" s="53">
        <v>66.641880066503361</v>
      </c>
      <c r="B623" s="53">
        <v>67.43358639339975</v>
      </c>
      <c r="C623" s="53">
        <v>66.443953484779271</v>
      </c>
      <c r="D623" s="53">
        <v>66.928873610003293</v>
      </c>
      <c r="E623" s="53">
        <v>72347.02825293463</v>
      </c>
      <c r="F623" s="53" t="s">
        <v>648</v>
      </c>
      <c r="G623" s="25">
        <f t="shared" si="5"/>
        <v>-4.288037853023674E-3</v>
      </c>
    </row>
    <row r="624" spans="1:7">
      <c r="A624" s="53">
        <v>66.364782852089633</v>
      </c>
      <c r="B624" s="53">
        <v>66.671569053761985</v>
      </c>
      <c r="C624" s="53">
        <v>65.023830260908866</v>
      </c>
      <c r="D624" s="53">
        <v>66.443953484779271</v>
      </c>
      <c r="E624" s="53">
        <v>111110.89682059917</v>
      </c>
      <c r="F624" s="53" t="s">
        <v>649</v>
      </c>
      <c r="G624" s="25">
        <f t="shared" si="5"/>
        <v>-1.1915400655346797E-3</v>
      </c>
    </row>
    <row r="625" spans="1:7">
      <c r="A625" s="53">
        <v>66.374679181175821</v>
      </c>
      <c r="B625" s="53">
        <v>66.711154370106797</v>
      </c>
      <c r="C625" s="53">
        <v>65.553283867020824</v>
      </c>
      <c r="D625" s="53">
        <v>65.553283867020824</v>
      </c>
      <c r="E625" s="53">
        <v>90803.366801195749</v>
      </c>
      <c r="F625" s="53" t="s">
        <v>650</v>
      </c>
      <c r="G625" s="25">
        <f t="shared" si="5"/>
        <v>1.2530193236715004E-2</v>
      </c>
    </row>
    <row r="626" spans="1:7">
      <c r="A626" s="53">
        <v>66.008515004986265</v>
      </c>
      <c r="B626" s="53">
        <v>67.008044242692932</v>
      </c>
      <c r="C626" s="53">
        <v>65.84027741052077</v>
      </c>
      <c r="D626" s="53">
        <v>66.295508548486197</v>
      </c>
      <c r="E626" s="53">
        <v>68525.409178775109</v>
      </c>
      <c r="F626" s="53" t="s">
        <v>651</v>
      </c>
      <c r="G626" s="25">
        <f t="shared" si="5"/>
        <v>-4.3290043290041824E-3</v>
      </c>
    </row>
    <row r="627" spans="1:7">
      <c r="A627" s="53">
        <v>66.147063612193122</v>
      </c>
      <c r="B627" s="53">
        <v>66.991913226282435</v>
      </c>
      <c r="C627" s="53">
        <v>65.439476082529481</v>
      </c>
      <c r="D627" s="53">
        <v>66.077789308589686</v>
      </c>
      <c r="E627" s="53">
        <v>221206.26556887411</v>
      </c>
      <c r="F627" s="53" t="s">
        <v>652</v>
      </c>
      <c r="G627" s="25">
        <f t="shared" si="5"/>
        <v>1.048375018720904E-3</v>
      </c>
    </row>
    <row r="628" spans="1:7">
      <c r="A628" s="53">
        <v>66.800221331882639</v>
      </c>
      <c r="B628" s="53">
        <v>67.169255443507225</v>
      </c>
      <c r="C628" s="53">
        <v>65.261342158977783</v>
      </c>
      <c r="D628" s="53">
        <v>66.038203992244874</v>
      </c>
      <c r="E628" s="53">
        <v>163798.10997389141</v>
      </c>
      <c r="F628" s="53" t="s">
        <v>653</v>
      </c>
      <c r="G628" s="25">
        <f t="shared" si="5"/>
        <v>1.1539037913981698E-2</v>
      </c>
    </row>
    <row r="629" spans="1:7">
      <c r="A629" s="53">
        <v>65.919448043210409</v>
      </c>
      <c r="B629" s="53">
        <v>66.067892979503483</v>
      </c>
      <c r="C629" s="53">
        <v>65.073311906339896</v>
      </c>
      <c r="D629" s="53">
        <v>65.484009563417402</v>
      </c>
      <c r="E629" s="53">
        <v>97339.123589049719</v>
      </c>
      <c r="F629" s="53" t="s">
        <v>654</v>
      </c>
      <c r="G629" s="25">
        <f t="shared" si="5"/>
        <v>6.6495390660419318E-3</v>
      </c>
    </row>
    <row r="630" spans="1:7">
      <c r="A630" s="53">
        <v>65.365253614382965</v>
      </c>
      <c r="B630" s="53">
        <v>65.44423292701174</v>
      </c>
      <c r="C630" s="53">
        <v>63.716560463257473</v>
      </c>
      <c r="D630" s="53">
        <v>64.210181167187258</v>
      </c>
      <c r="E630" s="53">
        <v>112429.44138723468</v>
      </c>
      <c r="F630" s="53" t="s">
        <v>655</v>
      </c>
      <c r="G630" s="25">
        <f t="shared" si="5"/>
        <v>1.7988929889298788E-2</v>
      </c>
    </row>
    <row r="631" spans="1:7">
      <c r="A631" s="53">
        <v>63.953498401143769</v>
      </c>
      <c r="B631" s="53">
        <v>66.155046740670642</v>
      </c>
      <c r="C631" s="53">
        <v>63.696815635100272</v>
      </c>
      <c r="D631" s="53">
        <v>66.145174326592041</v>
      </c>
      <c r="E631" s="53">
        <v>155458.43071224689</v>
      </c>
      <c r="F631" s="53" t="s">
        <v>656</v>
      </c>
      <c r="G631" s="25">
        <f t="shared" si="5"/>
        <v>-3.3134328358208953E-2</v>
      </c>
    </row>
    <row r="632" spans="1:7">
      <c r="A632" s="53">
        <v>66.342622608163964</v>
      </c>
      <c r="B632" s="53">
        <v>68.741619229262739</v>
      </c>
      <c r="C632" s="53">
        <v>66.342622608163964</v>
      </c>
      <c r="D632" s="53">
        <v>67.764250235481754</v>
      </c>
      <c r="E632" s="53">
        <v>105924.4468146069</v>
      </c>
      <c r="F632" s="53" t="s">
        <v>657</v>
      </c>
      <c r="G632" s="25">
        <f t="shared" si="5"/>
        <v>-2.0979020979020824E-2</v>
      </c>
    </row>
    <row r="633" spans="1:7">
      <c r="A633" s="53">
        <v>67.764250235481754</v>
      </c>
      <c r="B633" s="53">
        <v>68.292424388686626</v>
      </c>
      <c r="C633" s="53">
        <v>66.905350210643917</v>
      </c>
      <c r="D633" s="53">
        <v>67.566801953909831</v>
      </c>
      <c r="E633" s="53">
        <v>94829.89596533998</v>
      </c>
      <c r="F633" s="53" t="s">
        <v>658</v>
      </c>
      <c r="G633" s="25">
        <f t="shared" ref="G633:G696" si="6">A633/D633-1</f>
        <v>2.9222676797195923E-3</v>
      </c>
    </row>
    <row r="634" spans="1:7">
      <c r="A634" s="53">
        <v>66.88560538248673</v>
      </c>
      <c r="B634" s="53">
        <v>67.083053664058653</v>
      </c>
      <c r="C634" s="53">
        <v>65.306019129911405</v>
      </c>
      <c r="D634" s="53">
        <v>66.668412272757621</v>
      </c>
      <c r="E634" s="53">
        <v>158819.31081065533</v>
      </c>
      <c r="F634" s="53" t="s">
        <v>659</v>
      </c>
      <c r="G634" s="25">
        <f t="shared" si="6"/>
        <v>3.2578113431067646E-3</v>
      </c>
    </row>
    <row r="635" spans="1:7">
      <c r="A635" s="53">
        <v>66.569688131971674</v>
      </c>
      <c r="B635" s="53">
        <v>67.310119187866349</v>
      </c>
      <c r="C635" s="53">
        <v>65.039463949789308</v>
      </c>
      <c r="D635" s="53">
        <v>66.382112264478337</v>
      </c>
      <c r="E635" s="53">
        <v>226895.87188776032</v>
      </c>
      <c r="F635" s="53" t="s">
        <v>660</v>
      </c>
      <c r="G635" s="25">
        <f t="shared" si="6"/>
        <v>2.8256989886974448E-3</v>
      </c>
    </row>
    <row r="636" spans="1:7">
      <c r="A636" s="53">
        <v>67.053436421822852</v>
      </c>
      <c r="B636" s="53">
        <v>68.08016748599681</v>
      </c>
      <c r="C636" s="53">
        <v>66.668510996898405</v>
      </c>
      <c r="D636" s="53">
        <v>66.698029514993408</v>
      </c>
      <c r="E636" s="53">
        <v>148635.37816767808</v>
      </c>
      <c r="F636" s="53" t="s">
        <v>661</v>
      </c>
      <c r="G636" s="25">
        <f t="shared" si="6"/>
        <v>5.3285968028418118E-3</v>
      </c>
    </row>
    <row r="637" spans="1:7">
      <c r="A637" s="53">
        <v>66.698029514993408</v>
      </c>
      <c r="B637" s="53">
        <v>69.106898550170783</v>
      </c>
      <c r="C637" s="53">
        <v>65.789767419762597</v>
      </c>
      <c r="D637" s="53">
        <v>69.106898550170783</v>
      </c>
      <c r="E637" s="53">
        <v>267145.39919046004</v>
      </c>
      <c r="F637" s="53" t="s">
        <v>662</v>
      </c>
      <c r="G637" s="25">
        <f t="shared" si="6"/>
        <v>-3.4857142857142809E-2</v>
      </c>
    </row>
    <row r="638" spans="1:7">
      <c r="A638" s="53">
        <v>69.106898550170783</v>
      </c>
      <c r="B638" s="53">
        <v>71.041891709575566</v>
      </c>
      <c r="C638" s="53">
        <v>66.638795030521834</v>
      </c>
      <c r="D638" s="53">
        <v>70.28171582552369</v>
      </c>
      <c r="E638" s="53">
        <v>391816.0208035133</v>
      </c>
      <c r="F638" s="53" t="s">
        <v>663</v>
      </c>
      <c r="G638" s="25">
        <f t="shared" si="6"/>
        <v>-1.6715830875122961E-2</v>
      </c>
    </row>
    <row r="639" spans="1:7">
      <c r="A639" s="53">
        <v>70.153374442501942</v>
      </c>
      <c r="B639" s="53">
        <v>73.687698682639251</v>
      </c>
      <c r="C639" s="53">
        <v>64.16081909679427</v>
      </c>
      <c r="D639" s="53">
        <v>64.170691510872871</v>
      </c>
      <c r="E639" s="53">
        <v>542675.77892782341</v>
      </c>
      <c r="F639" s="53" t="s">
        <v>664</v>
      </c>
      <c r="G639" s="25">
        <f t="shared" si="6"/>
        <v>9.3230769230769228E-2</v>
      </c>
    </row>
    <row r="640" spans="1:7">
      <c r="A640" s="53">
        <v>61.317563842158684</v>
      </c>
      <c r="B640" s="53">
        <v>62.245570765546688</v>
      </c>
      <c r="C640" s="53">
        <v>60.418680540302532</v>
      </c>
      <c r="D640" s="53">
        <v>61.041136247957994</v>
      </c>
      <c r="E640" s="53">
        <v>151794.68649406024</v>
      </c>
      <c r="F640" s="53" t="s">
        <v>665</v>
      </c>
      <c r="G640" s="25">
        <f t="shared" si="6"/>
        <v>4.5285460132622468E-3</v>
      </c>
    </row>
    <row r="641" spans="1:7">
      <c r="A641" s="53">
        <v>60.893050036779059</v>
      </c>
      <c r="B641" s="53">
        <v>62.077739726210559</v>
      </c>
      <c r="C641" s="53">
        <v>60.310577606141912</v>
      </c>
      <c r="D641" s="53">
        <v>61.080625904272381</v>
      </c>
      <c r="E641" s="53">
        <v>152742.78286901812</v>
      </c>
      <c r="F641" s="53" t="s">
        <v>666</v>
      </c>
      <c r="G641" s="25">
        <f t="shared" si="6"/>
        <v>-3.0709552287053743E-3</v>
      </c>
    </row>
    <row r="642" spans="1:7">
      <c r="A642" s="53">
        <v>61.396543154787445</v>
      </c>
      <c r="B642" s="53">
        <v>61.564374194123573</v>
      </c>
      <c r="C642" s="53">
        <v>59.10614308855321</v>
      </c>
      <c r="D642" s="53">
        <v>59.836701730369306</v>
      </c>
      <c r="E642" s="53">
        <v>86327.416295044488</v>
      </c>
      <c r="F642" s="53" t="s">
        <v>667</v>
      </c>
      <c r="G642" s="25">
        <f t="shared" si="6"/>
        <v>2.6068305560138505E-2</v>
      </c>
    </row>
    <row r="643" spans="1:7">
      <c r="A643" s="53">
        <v>59.90580862891948</v>
      </c>
      <c r="B643" s="53">
        <v>62.146846624760734</v>
      </c>
      <c r="C643" s="53">
        <v>59.619508620640197</v>
      </c>
      <c r="D643" s="53">
        <v>62.028377655817579</v>
      </c>
      <c r="E643" s="53">
        <v>116464.92852167085</v>
      </c>
      <c r="F643" s="53" t="s">
        <v>668</v>
      </c>
      <c r="G643" s="25">
        <f t="shared" si="6"/>
        <v>-3.4219321979945816E-2</v>
      </c>
    </row>
    <row r="644" spans="1:7">
      <c r="A644" s="53">
        <v>61.495267295573406</v>
      </c>
      <c r="B644" s="53">
        <v>61.838234960663826</v>
      </c>
      <c r="C644" s="53">
        <v>60.942412107172039</v>
      </c>
      <c r="D644" s="53">
        <v>61.445905225180432</v>
      </c>
      <c r="E644" s="53">
        <v>83920.710112459055</v>
      </c>
      <c r="F644" s="53" t="s">
        <v>669</v>
      </c>
      <c r="G644" s="25">
        <f t="shared" si="6"/>
        <v>8.0334190231345914E-4</v>
      </c>
    </row>
    <row r="645" spans="1:7">
      <c r="A645" s="53">
        <v>61.692715577145322</v>
      </c>
      <c r="B645" s="53">
        <v>62.013569034699685</v>
      </c>
      <c r="C645" s="53">
        <v>60.996710384604313</v>
      </c>
      <c r="D645" s="53">
        <v>61.0312638338794</v>
      </c>
      <c r="E645" s="53">
        <v>112359.54966728586</v>
      </c>
      <c r="F645" s="53" t="s">
        <v>670</v>
      </c>
      <c r="G645" s="25">
        <f t="shared" si="6"/>
        <v>1.0837916531866831E-2</v>
      </c>
    </row>
    <row r="646" spans="1:7">
      <c r="A646" s="53">
        <v>61.751950061616895</v>
      </c>
      <c r="B646" s="53">
        <v>62.640467328690526</v>
      </c>
      <c r="C646" s="53">
        <v>61.100370732429575</v>
      </c>
      <c r="D646" s="53">
        <v>61.159605216901149</v>
      </c>
      <c r="E646" s="53">
        <v>105113.09510911407</v>
      </c>
      <c r="F646" s="53" t="s">
        <v>671</v>
      </c>
      <c r="G646" s="25">
        <f t="shared" si="6"/>
        <v>9.6852300242129541E-3</v>
      </c>
    </row>
    <row r="647" spans="1:7">
      <c r="A647" s="53">
        <v>61.28794659992289</v>
      </c>
      <c r="B647" s="53">
        <v>61.564374194123573</v>
      </c>
      <c r="C647" s="53">
        <v>60.073639668255609</v>
      </c>
      <c r="D647" s="53">
        <v>60.448791403242247</v>
      </c>
      <c r="E647" s="53">
        <v>134535.48336061195</v>
      </c>
      <c r="F647" s="53" t="s">
        <v>672</v>
      </c>
      <c r="G647" s="25">
        <f t="shared" si="6"/>
        <v>1.3882083945778279E-2</v>
      </c>
    </row>
    <row r="648" spans="1:7">
      <c r="A648" s="53">
        <v>59.797212074054926</v>
      </c>
      <c r="B648" s="53">
        <v>59.826829316290713</v>
      </c>
      <c r="C648" s="53">
        <v>58.286732720029761</v>
      </c>
      <c r="D648" s="53">
        <v>58.918567221059895</v>
      </c>
      <c r="E648" s="53">
        <v>89780.472429907168</v>
      </c>
      <c r="F648" s="53" t="s">
        <v>673</v>
      </c>
      <c r="G648" s="25">
        <f t="shared" si="6"/>
        <v>1.4912868632707799E-2</v>
      </c>
    </row>
    <row r="649" spans="1:7">
      <c r="A649" s="53">
        <v>58.207753407400993</v>
      </c>
      <c r="B649" s="53">
        <v>60.487886162993483</v>
      </c>
      <c r="C649" s="53">
        <v>57.911580985043116</v>
      </c>
      <c r="D649" s="53">
        <v>60.16249139496297</v>
      </c>
      <c r="E649" s="53">
        <v>119642.46947064833</v>
      </c>
      <c r="F649" s="53" t="s">
        <v>674</v>
      </c>
      <c r="G649" s="25">
        <f t="shared" si="6"/>
        <v>-3.2490974729241895E-2</v>
      </c>
    </row>
    <row r="650" spans="1:7">
      <c r="A650" s="53">
        <v>61.426160397023231</v>
      </c>
      <c r="B650" s="53">
        <v>62.640467328690526</v>
      </c>
      <c r="C650" s="53">
        <v>60.562324165146102</v>
      </c>
      <c r="D650" s="53">
        <v>60.695601755207143</v>
      </c>
      <c r="E650" s="53">
        <v>123513.86300172641</v>
      </c>
      <c r="F650" s="53" t="s">
        <v>675</v>
      </c>
      <c r="G650" s="25">
        <f t="shared" si="6"/>
        <v>1.2036434612882285E-2</v>
      </c>
    </row>
    <row r="651" spans="1:7">
      <c r="A651" s="53">
        <v>60.695601755207143</v>
      </c>
      <c r="B651" s="53">
        <v>61.208967287294129</v>
      </c>
      <c r="C651" s="53">
        <v>60.221725879434544</v>
      </c>
      <c r="D651" s="53">
        <v>61.051008662036594</v>
      </c>
      <c r="E651" s="53">
        <v>78076.141647173732</v>
      </c>
      <c r="F651" s="53" t="s">
        <v>676</v>
      </c>
      <c r="G651" s="25">
        <f t="shared" si="6"/>
        <v>-5.8214747736092809E-3</v>
      </c>
    </row>
    <row r="652" spans="1:7">
      <c r="A652" s="53">
        <v>60.419174161006467</v>
      </c>
      <c r="B652" s="53">
        <v>60.962156935329233</v>
      </c>
      <c r="C652" s="53">
        <v>58.059667196222058</v>
      </c>
      <c r="D652" s="53">
        <v>58.592777556466231</v>
      </c>
      <c r="E652" s="53">
        <v>134240.72262865389</v>
      </c>
      <c r="F652" s="53" t="s">
        <v>677</v>
      </c>
      <c r="G652" s="25">
        <f t="shared" si="6"/>
        <v>3.1171019376579734E-2</v>
      </c>
    </row>
    <row r="653" spans="1:7">
      <c r="A653" s="53">
        <v>58.518734450876764</v>
      </c>
      <c r="B653" s="53">
        <v>59.422060339068281</v>
      </c>
      <c r="C653" s="53">
        <v>57.66477063307822</v>
      </c>
      <c r="D653" s="53">
        <v>59.422060339068281</v>
      </c>
      <c r="E653" s="53">
        <v>66340.410236637224</v>
      </c>
      <c r="F653" s="53" t="s">
        <v>678</v>
      </c>
      <c r="G653" s="25">
        <f t="shared" si="6"/>
        <v>-1.5201860774214926E-2</v>
      </c>
    </row>
    <row r="654" spans="1:7">
      <c r="A654" s="53">
        <v>59.481294823539855</v>
      </c>
      <c r="B654" s="53">
        <v>59.58989137840441</v>
      </c>
      <c r="C654" s="53">
        <v>56.865105092711964</v>
      </c>
      <c r="D654" s="53">
        <v>57.181022343227035</v>
      </c>
      <c r="E654" s="53">
        <v>115796.39902650824</v>
      </c>
      <c r="F654" s="53" t="s">
        <v>679</v>
      </c>
      <c r="G654" s="25">
        <f t="shared" si="6"/>
        <v>4.0227900552486151E-2</v>
      </c>
    </row>
    <row r="655" spans="1:7">
      <c r="A655" s="53">
        <v>57.319236140327376</v>
      </c>
      <c r="B655" s="53">
        <v>57.941198227278903</v>
      </c>
      <c r="C655" s="53">
        <v>56.865105092711964</v>
      </c>
      <c r="D655" s="53">
        <v>57.279746484012989</v>
      </c>
      <c r="E655" s="53">
        <v>75405.062436955821</v>
      </c>
      <c r="F655" s="53" t="s">
        <v>680</v>
      </c>
      <c r="G655" s="25">
        <f t="shared" si="6"/>
        <v>6.8941744226136414E-4</v>
      </c>
    </row>
    <row r="656" spans="1:7">
      <c r="A656" s="53">
        <v>57.951070641357504</v>
      </c>
      <c r="B656" s="53">
        <v>58.257115477793974</v>
      </c>
      <c r="C656" s="53">
        <v>56.815743022318983</v>
      </c>
      <c r="D656" s="53">
        <v>57.289618898091582</v>
      </c>
      <c r="E656" s="53">
        <v>71935.799526452829</v>
      </c>
      <c r="F656" s="53" t="s">
        <v>681</v>
      </c>
      <c r="G656" s="25">
        <f t="shared" si="6"/>
        <v>1.1545752197139381E-2</v>
      </c>
    </row>
    <row r="657" spans="1:7">
      <c r="A657" s="53">
        <v>58.039922368064865</v>
      </c>
      <c r="B657" s="53">
        <v>58.079412024379252</v>
      </c>
      <c r="C657" s="53">
        <v>56.578805084432688</v>
      </c>
      <c r="D657" s="53">
        <v>57.467322351506311</v>
      </c>
      <c r="E657" s="53">
        <v>83842.715004690093</v>
      </c>
      <c r="F657" s="53" t="s">
        <v>682</v>
      </c>
      <c r="G657" s="25">
        <f t="shared" si="6"/>
        <v>9.9639237244459888E-3</v>
      </c>
    </row>
    <row r="658" spans="1:7">
      <c r="A658" s="53">
        <v>57.299491312170176</v>
      </c>
      <c r="B658" s="53">
        <v>58.573032728309038</v>
      </c>
      <c r="C658" s="53">
        <v>55.887736098930979</v>
      </c>
      <c r="D658" s="53">
        <v>57.684515461235414</v>
      </c>
      <c r="E658" s="53">
        <v>117170.93618550168</v>
      </c>
      <c r="F658" s="53" t="s">
        <v>683</v>
      </c>
      <c r="G658" s="25">
        <f t="shared" si="6"/>
        <v>-6.6746534314564565E-3</v>
      </c>
    </row>
    <row r="659" spans="1:7">
      <c r="A659" s="53">
        <v>57.457449937427718</v>
      </c>
      <c r="B659" s="53">
        <v>57.526556835977885</v>
      </c>
      <c r="C659" s="53">
        <v>56.786125780083196</v>
      </c>
      <c r="D659" s="53">
        <v>57.11191544467686</v>
      </c>
      <c r="E659" s="53">
        <v>51002.72294004271</v>
      </c>
      <c r="F659" s="53" t="s">
        <v>684</v>
      </c>
      <c r="G659" s="25">
        <f t="shared" si="6"/>
        <v>6.0501296456352271E-3</v>
      </c>
    </row>
    <row r="660" spans="1:7">
      <c r="A660" s="53">
        <v>57.477194765584905</v>
      </c>
      <c r="B660" s="53">
        <v>57.506812007820692</v>
      </c>
      <c r="C660" s="53">
        <v>55.325008496451012</v>
      </c>
      <c r="D660" s="53">
        <v>55.838374028537999</v>
      </c>
      <c r="E660" s="53">
        <v>67647.081522636887</v>
      </c>
      <c r="F660" s="53" t="s">
        <v>685</v>
      </c>
      <c r="G660" s="25">
        <f t="shared" si="6"/>
        <v>2.934936350777928E-2</v>
      </c>
    </row>
    <row r="661" spans="1:7">
      <c r="A661" s="53">
        <v>55.897608513009573</v>
      </c>
      <c r="B661" s="53">
        <v>57.181022343227035</v>
      </c>
      <c r="C661" s="53">
        <v>55.779139544066425</v>
      </c>
      <c r="D661" s="53">
        <v>57.181022343227035</v>
      </c>
      <c r="E661" s="53">
        <v>60726.788324226261</v>
      </c>
      <c r="F661" s="53" t="s">
        <v>686</v>
      </c>
      <c r="G661" s="25">
        <f t="shared" si="6"/>
        <v>-2.24447513812156E-2</v>
      </c>
    </row>
    <row r="662" spans="1:7">
      <c r="A662" s="53">
        <v>56.746636123768809</v>
      </c>
      <c r="B662" s="53">
        <v>57.704260289392614</v>
      </c>
      <c r="C662" s="53">
        <v>56.203653349446043</v>
      </c>
      <c r="D662" s="53">
        <v>57.704260289392614</v>
      </c>
      <c r="E662" s="53">
        <v>60108.905002939595</v>
      </c>
      <c r="F662" s="53" t="s">
        <v>687</v>
      </c>
      <c r="G662" s="25">
        <f t="shared" si="6"/>
        <v>-1.6595380667237092E-2</v>
      </c>
    </row>
    <row r="663" spans="1:7">
      <c r="A663" s="53">
        <v>56.726891295611622</v>
      </c>
      <c r="B663" s="53">
        <v>58.622394798702025</v>
      </c>
      <c r="C663" s="53">
        <v>56.687401639297242</v>
      </c>
      <c r="D663" s="53">
        <v>58.622394798702025</v>
      </c>
      <c r="E663" s="53">
        <v>89719.697021256012</v>
      </c>
      <c r="F663" s="53" t="s">
        <v>688</v>
      </c>
      <c r="G663" s="25">
        <f t="shared" si="6"/>
        <v>-3.2334119232064751E-2</v>
      </c>
    </row>
    <row r="664" spans="1:7">
      <c r="A664" s="53">
        <v>57.832601672414356</v>
      </c>
      <c r="B664" s="53">
        <v>58.839587908431128</v>
      </c>
      <c r="C664" s="53">
        <v>57.052680960205286</v>
      </c>
      <c r="D664" s="53">
        <v>58.839587908431128</v>
      </c>
      <c r="E664" s="53">
        <v>80974.11571635594</v>
      </c>
      <c r="F664" s="53" t="s">
        <v>689</v>
      </c>
      <c r="G664" s="25">
        <f t="shared" si="6"/>
        <v>-1.7114093959731513E-2</v>
      </c>
    </row>
    <row r="665" spans="1:7">
      <c r="A665" s="53">
        <v>58.118901680693632</v>
      </c>
      <c r="B665" s="53">
        <v>58.326222376344141</v>
      </c>
      <c r="C665" s="53">
        <v>56.031478447915333</v>
      </c>
      <c r="D665" s="53">
        <v>57.161277515069834</v>
      </c>
      <c r="E665" s="53">
        <v>89222.351593794127</v>
      </c>
      <c r="F665" s="53" t="s">
        <v>690</v>
      </c>
      <c r="G665" s="25">
        <f t="shared" si="6"/>
        <v>1.6753022452504318E-2</v>
      </c>
    </row>
    <row r="666" spans="1:7">
      <c r="A666" s="53">
        <v>56.914467163104938</v>
      </c>
      <c r="B666" s="53">
        <v>57.66477063307822</v>
      </c>
      <c r="C666" s="53">
        <v>56.134546450895868</v>
      </c>
      <c r="D666" s="53">
        <v>57.516684421899285</v>
      </c>
      <c r="E666" s="53">
        <v>65020.570945429805</v>
      </c>
      <c r="F666" s="53" t="s">
        <v>691</v>
      </c>
      <c r="G666" s="25">
        <f t="shared" si="6"/>
        <v>-1.0470305526948165E-2</v>
      </c>
    </row>
    <row r="667" spans="1:7">
      <c r="A667" s="53">
        <v>57.269874069934389</v>
      </c>
      <c r="B667" s="53">
        <v>57.269874069934389</v>
      </c>
      <c r="C667" s="53">
        <v>56.124674036817275</v>
      </c>
      <c r="D667" s="53">
        <v>56.351739560624978</v>
      </c>
      <c r="E667" s="53">
        <v>79317.985830612175</v>
      </c>
      <c r="F667" s="53" t="s">
        <v>692</v>
      </c>
      <c r="G667" s="25">
        <f t="shared" si="6"/>
        <v>1.6292922214435901E-2</v>
      </c>
    </row>
    <row r="668" spans="1:7">
      <c r="A668" s="53">
        <v>56.183908521288849</v>
      </c>
      <c r="B668" s="53">
        <v>56.203653349446043</v>
      </c>
      <c r="C668" s="53">
        <v>55.344753324608206</v>
      </c>
      <c r="D668" s="53">
        <v>55.344753324608206</v>
      </c>
      <c r="E668" s="53">
        <v>71974.290618598563</v>
      </c>
      <c r="F668" s="53" t="s">
        <v>693</v>
      </c>
      <c r="G668" s="25">
        <f t="shared" si="6"/>
        <v>1.5162326079200872E-2</v>
      </c>
    </row>
    <row r="669" spans="1:7">
      <c r="A669" s="53">
        <v>55.818629200380805</v>
      </c>
      <c r="B669" s="53">
        <v>56.243044281619646</v>
      </c>
      <c r="C669" s="53">
        <v>54.337767088591434</v>
      </c>
      <c r="D669" s="53">
        <v>54.969601589621561</v>
      </c>
      <c r="E669" s="53">
        <v>122747.07992924443</v>
      </c>
      <c r="F669" s="53" t="s">
        <v>694</v>
      </c>
      <c r="G669" s="25">
        <f t="shared" si="6"/>
        <v>1.5445402298850608E-2</v>
      </c>
    </row>
    <row r="670" spans="1:7">
      <c r="A670" s="53">
        <v>54.979474003700162</v>
      </c>
      <c r="B670" s="53">
        <v>55.596499883612395</v>
      </c>
      <c r="C670" s="53">
        <v>54.081084322547945</v>
      </c>
      <c r="D670" s="53">
        <v>55.107815386721903</v>
      </c>
      <c r="E670" s="53">
        <v>109604.39780843386</v>
      </c>
      <c r="F670" s="53" t="s">
        <v>695</v>
      </c>
      <c r="G670" s="25">
        <f t="shared" si="6"/>
        <v>-2.3289143676100688E-3</v>
      </c>
    </row>
    <row r="671" spans="1:7">
      <c r="A671" s="53">
        <v>54.554960198320536</v>
      </c>
      <c r="B671" s="53">
        <v>55.640925746966083</v>
      </c>
      <c r="C671" s="53">
        <v>53.913253283211809</v>
      </c>
      <c r="D671" s="53">
        <v>54.999218831857355</v>
      </c>
      <c r="E671" s="53">
        <v>94196.818791890531</v>
      </c>
      <c r="F671" s="53" t="s">
        <v>696</v>
      </c>
      <c r="G671" s="25">
        <f t="shared" si="6"/>
        <v>-8.0775444264944429E-3</v>
      </c>
    </row>
    <row r="672" spans="1:7">
      <c r="A672" s="53">
        <v>55.305263668293826</v>
      </c>
      <c r="B672" s="53">
        <v>55.305263668293826</v>
      </c>
      <c r="C672" s="53">
        <v>54.189680877412492</v>
      </c>
      <c r="D672" s="53">
        <v>54.466108471613182</v>
      </c>
      <c r="E672" s="53">
        <v>68555.673881971539</v>
      </c>
      <c r="F672" s="53" t="s">
        <v>697</v>
      </c>
      <c r="G672" s="25">
        <f t="shared" si="6"/>
        <v>1.5406924052927318E-2</v>
      </c>
    </row>
    <row r="673" spans="1:7">
      <c r="A673" s="53">
        <v>54.485853299770369</v>
      </c>
      <c r="B673" s="53">
        <v>55.492839535787141</v>
      </c>
      <c r="C673" s="53">
        <v>54.357511916748628</v>
      </c>
      <c r="D673" s="53">
        <v>54.357511916748628</v>
      </c>
      <c r="E673" s="53">
        <v>59584.210641584694</v>
      </c>
      <c r="F673" s="53" t="s">
        <v>698</v>
      </c>
      <c r="G673" s="25">
        <f t="shared" si="6"/>
        <v>2.3610606610968699E-3</v>
      </c>
    </row>
    <row r="674" spans="1:7">
      <c r="A674" s="53">
        <v>55.167049871193484</v>
      </c>
      <c r="B674" s="53">
        <v>55.305263668293826</v>
      </c>
      <c r="C674" s="53">
        <v>53.335717059613955</v>
      </c>
      <c r="D674" s="53">
        <v>53.646698103089726</v>
      </c>
      <c r="E674" s="53">
        <v>77928.254819455949</v>
      </c>
      <c r="F674" s="53" t="s">
        <v>699</v>
      </c>
      <c r="G674" s="25">
        <f t="shared" si="6"/>
        <v>2.8340080971659853E-2</v>
      </c>
    </row>
    <row r="675" spans="1:7">
      <c r="A675" s="53">
        <v>53.311036024417469</v>
      </c>
      <c r="B675" s="53">
        <v>53.755294657954281</v>
      </c>
      <c r="C675" s="53">
        <v>52.205325647614735</v>
      </c>
      <c r="D675" s="53">
        <v>53.004991187980991</v>
      </c>
      <c r="E675" s="53">
        <v>88216.518580617645</v>
      </c>
      <c r="F675" s="53" t="s">
        <v>700</v>
      </c>
      <c r="G675" s="25">
        <f t="shared" si="6"/>
        <v>5.7738871298194105E-3</v>
      </c>
    </row>
    <row r="676" spans="1:7">
      <c r="A676" s="53">
        <v>53.528229134146571</v>
      </c>
      <c r="B676" s="53">
        <v>54.095892943665838</v>
      </c>
      <c r="C676" s="53">
        <v>52.886522219037843</v>
      </c>
      <c r="D676" s="53">
        <v>53.557846376382365</v>
      </c>
      <c r="E676" s="53">
        <v>102409.60234761555</v>
      </c>
      <c r="F676" s="53" t="s">
        <v>701</v>
      </c>
      <c r="G676" s="25">
        <f t="shared" si="6"/>
        <v>-5.5299539170516887E-4</v>
      </c>
    </row>
    <row r="677" spans="1:7">
      <c r="A677" s="53">
        <v>53.340653266653256</v>
      </c>
      <c r="B677" s="53">
        <v>55.769267129987831</v>
      </c>
      <c r="C677" s="53">
        <v>53.18763084843502</v>
      </c>
      <c r="D677" s="53">
        <v>55.769267129987831</v>
      </c>
      <c r="E677" s="53">
        <v>138417.00612646522</v>
      </c>
      <c r="F677" s="53" t="s">
        <v>702</v>
      </c>
      <c r="G677" s="25">
        <f t="shared" si="6"/>
        <v>-4.3547530536378165E-2</v>
      </c>
    </row>
    <row r="678" spans="1:7">
      <c r="A678" s="53">
        <v>55.986460239716934</v>
      </c>
      <c r="B678" s="53">
        <v>56.628167154825661</v>
      </c>
      <c r="C678" s="53">
        <v>55.453349879472761</v>
      </c>
      <c r="D678" s="53">
        <v>55.621180918808889</v>
      </c>
      <c r="E678" s="53">
        <v>140042.74830788339</v>
      </c>
      <c r="F678" s="53" t="s">
        <v>703</v>
      </c>
      <c r="G678" s="25">
        <f t="shared" si="6"/>
        <v>6.5672701455448124E-3</v>
      </c>
    </row>
    <row r="679" spans="1:7">
      <c r="A679" s="53">
        <v>56.035822310109914</v>
      </c>
      <c r="B679" s="53">
        <v>57.566046492292273</v>
      </c>
      <c r="C679" s="53">
        <v>55.828501614459398</v>
      </c>
      <c r="D679" s="53">
        <v>57.566046492292273</v>
      </c>
      <c r="E679" s="53">
        <v>94670.866979369472</v>
      </c>
      <c r="F679" s="53" t="s">
        <v>704</v>
      </c>
      <c r="G679" s="25">
        <f t="shared" si="6"/>
        <v>-2.6582061395987067E-2</v>
      </c>
    </row>
    <row r="680" spans="1:7">
      <c r="A680" s="53">
        <v>57.66477063307822</v>
      </c>
      <c r="B680" s="53">
        <v>57.852346500571549</v>
      </c>
      <c r="C680" s="53">
        <v>56.973701647576519</v>
      </c>
      <c r="D680" s="53">
        <v>56.973701647576519</v>
      </c>
      <c r="E680" s="53">
        <v>79153.89222725408</v>
      </c>
      <c r="F680" s="53" t="s">
        <v>705</v>
      </c>
      <c r="G680" s="25">
        <f t="shared" si="6"/>
        <v>1.2129613585167176E-2</v>
      </c>
    </row>
    <row r="681" spans="1:7">
      <c r="A681" s="53">
        <v>56.934211991262138</v>
      </c>
      <c r="B681" s="53">
        <v>57.220511999541415</v>
      </c>
      <c r="C681" s="53">
        <v>56.791061987122497</v>
      </c>
      <c r="D681" s="53">
        <v>56.934211991262138</v>
      </c>
      <c r="E681" s="53">
        <v>69024.657452062893</v>
      </c>
      <c r="F681" s="53" t="s">
        <v>706</v>
      </c>
      <c r="G681" s="25">
        <f t="shared" si="6"/>
        <v>0</v>
      </c>
    </row>
    <row r="682" spans="1:7">
      <c r="A682" s="53">
        <v>56.771317158965303</v>
      </c>
      <c r="B682" s="53">
        <v>57.10697923763756</v>
      </c>
      <c r="C682" s="53">
        <v>56.016077481952728</v>
      </c>
      <c r="D682" s="53">
        <v>56.292505076153411</v>
      </c>
      <c r="E682" s="53">
        <v>56853.368946193143</v>
      </c>
      <c r="F682" s="53" t="s">
        <v>707</v>
      </c>
      <c r="G682" s="25">
        <f t="shared" si="6"/>
        <v>8.5057874430023439E-3</v>
      </c>
    </row>
    <row r="683" spans="1:7">
      <c r="A683" s="53">
        <v>56.203653349446043</v>
      </c>
      <c r="B683" s="53">
        <v>56.795998194161797</v>
      </c>
      <c r="C683" s="53">
        <v>54.416746401220195</v>
      </c>
      <c r="D683" s="53">
        <v>56.183908521288849</v>
      </c>
      <c r="E683" s="53">
        <v>57315.262051941863</v>
      </c>
      <c r="F683" s="53" t="s">
        <v>708</v>
      </c>
      <c r="G683" s="25">
        <f t="shared" si="6"/>
        <v>3.5143208574939244E-4</v>
      </c>
    </row>
    <row r="684" spans="1:7">
      <c r="A684" s="53">
        <v>55.946970583402553</v>
      </c>
      <c r="B684" s="53">
        <v>56.169099900170963</v>
      </c>
      <c r="C684" s="53">
        <v>54.485853299770369</v>
      </c>
      <c r="D684" s="53">
        <v>54.485853299770369</v>
      </c>
      <c r="E684" s="53">
        <v>70560.249443981869</v>
      </c>
      <c r="F684" s="53" t="s">
        <v>709</v>
      </c>
      <c r="G684" s="25">
        <f t="shared" si="6"/>
        <v>2.6816452255843393E-2</v>
      </c>
    </row>
    <row r="685" spans="1:7">
      <c r="A685" s="53">
        <v>54.150191221098112</v>
      </c>
      <c r="B685" s="53">
        <v>55.342778841792487</v>
      </c>
      <c r="C685" s="53">
        <v>54.140318807019518</v>
      </c>
      <c r="D685" s="53">
        <v>55.295391254215225</v>
      </c>
      <c r="E685" s="53">
        <v>91239.082237534705</v>
      </c>
      <c r="F685" s="53" t="s">
        <v>710</v>
      </c>
      <c r="G685" s="25">
        <f t="shared" si="6"/>
        <v>-2.0710587395108004E-2</v>
      </c>
    </row>
    <row r="686" spans="1:7">
      <c r="A686" s="53">
        <v>55.344753324608206</v>
      </c>
      <c r="B686" s="53">
        <v>56.529443014039707</v>
      </c>
      <c r="C686" s="53">
        <v>54.870877448835607</v>
      </c>
      <c r="D686" s="53">
        <v>55.028836074093142</v>
      </c>
      <c r="E686" s="53">
        <v>84153.682512288462</v>
      </c>
      <c r="F686" s="53" t="s">
        <v>711</v>
      </c>
      <c r="G686" s="25">
        <f t="shared" si="6"/>
        <v>5.7409400789378839E-3</v>
      </c>
    </row>
    <row r="687" spans="1:7">
      <c r="A687" s="53">
        <v>54.554960198320536</v>
      </c>
      <c r="B687" s="53">
        <v>55.482967121708548</v>
      </c>
      <c r="C687" s="53">
        <v>54.298277432277047</v>
      </c>
      <c r="D687" s="53">
        <v>54.742536065813866</v>
      </c>
      <c r="E687" s="53">
        <v>71026.194243640668</v>
      </c>
      <c r="F687" s="53" t="s">
        <v>712</v>
      </c>
      <c r="G687" s="25">
        <f t="shared" si="6"/>
        <v>-3.4265103697025401E-3</v>
      </c>
    </row>
    <row r="688" spans="1:7">
      <c r="A688" s="53">
        <v>54.880749862914207</v>
      </c>
      <c r="B688" s="53">
        <v>56.608422326668475</v>
      </c>
      <c r="C688" s="53">
        <v>54.31802226043424</v>
      </c>
      <c r="D688" s="53">
        <v>55.887736098930979</v>
      </c>
      <c r="E688" s="53">
        <v>346885.77411119768</v>
      </c>
      <c r="F688" s="53" t="s">
        <v>713</v>
      </c>
      <c r="G688" s="25">
        <f t="shared" si="6"/>
        <v>-1.8018018018017945E-2</v>
      </c>
    </row>
    <row r="689" spans="1:7">
      <c r="A689" s="53">
        <v>55.492839535787141</v>
      </c>
      <c r="B689" s="53">
        <v>56.568932670354087</v>
      </c>
      <c r="C689" s="53">
        <v>54.05146708031215</v>
      </c>
      <c r="D689" s="53">
        <v>54.189680877412492</v>
      </c>
      <c r="E689" s="53">
        <v>131533.17817324528</v>
      </c>
      <c r="F689" s="53" t="s">
        <v>714</v>
      </c>
      <c r="G689" s="25">
        <f t="shared" si="6"/>
        <v>2.4048096192384794E-2</v>
      </c>
    </row>
    <row r="690" spans="1:7">
      <c r="A690" s="53">
        <v>53.488739477832191</v>
      </c>
      <c r="B690" s="53">
        <v>53.883636040976022</v>
      </c>
      <c r="C690" s="53">
        <v>52.116473920907367</v>
      </c>
      <c r="D690" s="53">
        <v>52.935884289430824</v>
      </c>
      <c r="E690" s="53">
        <v>185407.53917205468</v>
      </c>
      <c r="F690" s="53" t="s">
        <v>715</v>
      </c>
      <c r="G690" s="25">
        <f t="shared" si="6"/>
        <v>1.0443864229765065E-2</v>
      </c>
    </row>
    <row r="691" spans="1:7">
      <c r="A691" s="53">
        <v>53.123460156924146</v>
      </c>
      <c r="B691" s="53">
        <v>54.392065366023708</v>
      </c>
      <c r="C691" s="53">
        <v>52.0473670223572</v>
      </c>
      <c r="D691" s="53">
        <v>53.488739477832191</v>
      </c>
      <c r="E691" s="53">
        <v>121185.15192690995</v>
      </c>
      <c r="F691" s="53" t="s">
        <v>716</v>
      </c>
      <c r="G691" s="25">
        <f t="shared" si="6"/>
        <v>-6.8290882244370632E-3</v>
      </c>
    </row>
    <row r="692" spans="1:7">
      <c r="A692" s="53">
        <v>53.7059325875613</v>
      </c>
      <c r="B692" s="53">
        <v>54.633939510949311</v>
      </c>
      <c r="C692" s="53">
        <v>53.25624412628126</v>
      </c>
      <c r="D692" s="53">
        <v>53.942870525447596</v>
      </c>
      <c r="E692" s="53">
        <v>162031.29115786846</v>
      </c>
      <c r="F692" s="53" t="s">
        <v>717</v>
      </c>
      <c r="G692" s="25">
        <f t="shared" si="6"/>
        <v>-4.3923865300146137E-3</v>
      </c>
    </row>
    <row r="693" spans="1:7">
      <c r="A693" s="53">
        <v>53.952742939526196</v>
      </c>
      <c r="B693" s="53">
        <v>54.066275701430044</v>
      </c>
      <c r="C693" s="53">
        <v>53.215372331995873</v>
      </c>
      <c r="D693" s="53">
        <v>53.794784314268661</v>
      </c>
      <c r="E693" s="53">
        <v>170579.3523846523</v>
      </c>
      <c r="F693" s="53" t="s">
        <v>718</v>
      </c>
      <c r="G693" s="25">
        <f t="shared" si="6"/>
        <v>2.9363185905670885E-3</v>
      </c>
    </row>
    <row r="694" spans="1:7">
      <c r="A694" s="53">
        <v>53.923125697290402</v>
      </c>
      <c r="B694" s="53">
        <v>54.841260206599813</v>
      </c>
      <c r="C694" s="53">
        <v>52.945756703509424</v>
      </c>
      <c r="D694" s="53">
        <v>53.409760165203423</v>
      </c>
      <c r="E694" s="53">
        <v>188582.04135059961</v>
      </c>
      <c r="F694" s="53" t="s">
        <v>719</v>
      </c>
      <c r="G694" s="25">
        <f t="shared" si="6"/>
        <v>9.6118299445471234E-3</v>
      </c>
    </row>
    <row r="695" spans="1:7">
      <c r="A695" s="53">
        <v>53.547973962303764</v>
      </c>
      <c r="B695" s="53">
        <v>54.021849838076363</v>
      </c>
      <c r="C695" s="53">
        <v>53.004991187980991</v>
      </c>
      <c r="D695" s="53">
        <v>53.301163610338875</v>
      </c>
      <c r="E695" s="53">
        <v>114435.02987272253</v>
      </c>
      <c r="F695" s="53" t="s">
        <v>720</v>
      </c>
      <c r="G695" s="25">
        <f t="shared" si="6"/>
        <v>4.6304871272455639E-3</v>
      </c>
    </row>
    <row r="696" spans="1:7">
      <c r="A696" s="53">
        <v>53.320908438496062</v>
      </c>
      <c r="B696" s="53">
        <v>54.130446392940918</v>
      </c>
      <c r="C696" s="53">
        <v>53.014863602059592</v>
      </c>
      <c r="D696" s="53">
        <v>53.330780852574662</v>
      </c>
      <c r="E696" s="53">
        <v>97704.572794539243</v>
      </c>
      <c r="F696" s="53" t="s">
        <v>721</v>
      </c>
      <c r="G696" s="25">
        <f t="shared" si="6"/>
        <v>-1.8511662347286961E-4</v>
      </c>
    </row>
    <row r="697" spans="1:7">
      <c r="A697" s="53">
        <v>53.863891212818835</v>
      </c>
      <c r="B697" s="53">
        <v>53.863891212818835</v>
      </c>
      <c r="C697" s="53">
        <v>51.879535983021071</v>
      </c>
      <c r="D697" s="53">
        <v>52.965501531666611</v>
      </c>
      <c r="E697" s="53">
        <v>82749.770572446956</v>
      </c>
      <c r="F697" s="53" t="s">
        <v>722</v>
      </c>
      <c r="G697" s="25">
        <f t="shared" ref="G697:G760" si="7">A697/D697-1</f>
        <v>1.6961789375582459E-2</v>
      </c>
    </row>
    <row r="698" spans="1:7">
      <c r="A698" s="53">
        <v>53.143204985081333</v>
      </c>
      <c r="B698" s="53">
        <v>53.172822227317127</v>
      </c>
      <c r="C698" s="53">
        <v>51.385915279091279</v>
      </c>
      <c r="D698" s="53">
        <v>51.632725631056175</v>
      </c>
      <c r="E698" s="53">
        <v>164801.63686888324</v>
      </c>
      <c r="F698" s="53" t="s">
        <v>723</v>
      </c>
      <c r="G698" s="25">
        <f t="shared" si="7"/>
        <v>2.9254302103250307E-2</v>
      </c>
    </row>
    <row r="699" spans="1:7">
      <c r="A699" s="53">
        <v>52.027622194200013</v>
      </c>
      <c r="B699" s="53">
        <v>52.136218749064561</v>
      </c>
      <c r="C699" s="53">
        <v>51.037616510398422</v>
      </c>
      <c r="D699" s="53">
        <v>51.632725631056175</v>
      </c>
      <c r="E699" s="53">
        <v>109350.15401557655</v>
      </c>
      <c r="F699" s="53" t="s">
        <v>724</v>
      </c>
      <c r="G699" s="25">
        <f t="shared" si="7"/>
        <v>7.6481835564055078E-3</v>
      </c>
    </row>
    <row r="700" spans="1:7">
      <c r="A700" s="53">
        <v>51.662342873291962</v>
      </c>
      <c r="B700" s="53">
        <v>52.590349796679973</v>
      </c>
      <c r="C700" s="53">
        <v>51.622853216977582</v>
      </c>
      <c r="D700" s="53">
        <v>52.037494608278607</v>
      </c>
      <c r="E700" s="53">
        <v>63230.735160653523</v>
      </c>
      <c r="F700" s="53" t="s">
        <v>725</v>
      </c>
      <c r="G700" s="25">
        <f t="shared" si="7"/>
        <v>-7.2092582052741827E-3</v>
      </c>
    </row>
    <row r="701" spans="1:7">
      <c r="A701" s="53">
        <v>51.395787693169879</v>
      </c>
      <c r="B701" s="53">
        <v>53.054353258373979</v>
      </c>
      <c r="C701" s="53">
        <v>51.139104927126382</v>
      </c>
      <c r="D701" s="53">
        <v>52.442263585501031</v>
      </c>
      <c r="E701" s="53">
        <v>65897.762676961371</v>
      </c>
      <c r="F701" s="53" t="s">
        <v>726</v>
      </c>
      <c r="G701" s="25">
        <f t="shared" si="7"/>
        <v>-1.9954819277108293E-2</v>
      </c>
    </row>
    <row r="702" spans="1:7">
      <c r="A702" s="53">
        <v>52.669329109308741</v>
      </c>
      <c r="B702" s="53">
        <v>53.066693775972219</v>
      </c>
      <c r="C702" s="53">
        <v>52.35341185879367</v>
      </c>
      <c r="D702" s="53">
        <v>52.906267047195037</v>
      </c>
      <c r="E702" s="53">
        <v>91481.170948661762</v>
      </c>
      <c r="F702" s="53" t="s">
        <v>727</v>
      </c>
      <c r="G702" s="25">
        <f t="shared" si="7"/>
        <v>-4.4784474715431344E-3</v>
      </c>
    </row>
    <row r="703" spans="1:7">
      <c r="A703" s="53">
        <v>52.86677739088065</v>
      </c>
      <c r="B703" s="53">
        <v>53.113587742845546</v>
      </c>
      <c r="C703" s="53">
        <v>52.027622194200013</v>
      </c>
      <c r="D703" s="53">
        <v>52.442263585501031</v>
      </c>
      <c r="E703" s="53">
        <v>40974.780512603429</v>
      </c>
      <c r="F703" s="53" t="s">
        <v>728</v>
      </c>
      <c r="G703" s="25">
        <f t="shared" si="7"/>
        <v>8.0948795180721955E-3</v>
      </c>
    </row>
    <row r="704" spans="1:7">
      <c r="A704" s="53">
        <v>52.659456695230148</v>
      </c>
      <c r="B704" s="53">
        <v>53.824401556504455</v>
      </c>
      <c r="C704" s="53">
        <v>51.237829067912344</v>
      </c>
      <c r="D704" s="53">
        <v>53.064225672452572</v>
      </c>
      <c r="E704" s="53">
        <v>125691.64847839251</v>
      </c>
      <c r="F704" s="53" t="s">
        <v>729</v>
      </c>
      <c r="G704" s="25">
        <f t="shared" si="7"/>
        <v>-7.6279069767440921E-3</v>
      </c>
    </row>
    <row r="705" spans="1:7">
      <c r="A705" s="53">
        <v>52.550860140365586</v>
      </c>
      <c r="B705" s="53">
        <v>53.074098086531166</v>
      </c>
      <c r="C705" s="53">
        <v>51.593235974741788</v>
      </c>
      <c r="D705" s="53">
        <v>52.748308421937502</v>
      </c>
      <c r="E705" s="53">
        <v>116994.68750041335</v>
      </c>
      <c r="F705" s="53" t="s">
        <v>730</v>
      </c>
      <c r="G705" s="25">
        <f t="shared" si="7"/>
        <v>-3.7432154220474745E-3</v>
      </c>
    </row>
    <row r="706" spans="1:7">
      <c r="A706" s="53">
        <v>53.074098086531166</v>
      </c>
      <c r="B706" s="53">
        <v>53.13333257100274</v>
      </c>
      <c r="C706" s="53">
        <v>51.928898053414052</v>
      </c>
      <c r="D706" s="53">
        <v>52.432391171422438</v>
      </c>
      <c r="E706" s="53">
        <v>77544.356821476205</v>
      </c>
      <c r="F706" s="53" t="s">
        <v>731</v>
      </c>
      <c r="G706" s="25">
        <f t="shared" si="7"/>
        <v>1.2238749764639456E-2</v>
      </c>
    </row>
    <row r="707" spans="1:7">
      <c r="A707" s="53">
        <v>52.432391171422438</v>
      </c>
      <c r="B707" s="53">
        <v>52.856904976802056</v>
      </c>
      <c r="C707" s="53">
        <v>51.938770467492645</v>
      </c>
      <c r="D707" s="53">
        <v>52.679201523387334</v>
      </c>
      <c r="E707" s="53">
        <v>115173.45108783398</v>
      </c>
      <c r="F707" s="53" t="s">
        <v>732</v>
      </c>
      <c r="G707" s="25">
        <f t="shared" si="7"/>
        <v>-4.6851574212893876E-3</v>
      </c>
    </row>
    <row r="708" spans="1:7">
      <c r="A708" s="53">
        <v>52.30404978840069</v>
      </c>
      <c r="B708" s="53">
        <v>52.452135999579632</v>
      </c>
      <c r="C708" s="53">
        <v>51.099615270811995</v>
      </c>
      <c r="D708" s="53">
        <v>51.405660107248472</v>
      </c>
      <c r="E708" s="53">
        <v>106086.51457100995</v>
      </c>
      <c r="F708" s="53" t="s">
        <v>733</v>
      </c>
      <c r="G708" s="25">
        <f t="shared" si="7"/>
        <v>1.7476473977338092E-2</v>
      </c>
    </row>
    <row r="709" spans="1:7">
      <c r="A709" s="53">
        <v>51.484639419877233</v>
      </c>
      <c r="B709" s="53">
        <v>52.346896065501802</v>
      </c>
      <c r="C709" s="53">
        <v>49.771775577240859</v>
      </c>
      <c r="D709" s="53">
        <v>51.109487684890603</v>
      </c>
      <c r="E709" s="53">
        <v>110230.38451754068</v>
      </c>
      <c r="F709" s="53" t="s">
        <v>734</v>
      </c>
      <c r="G709" s="25">
        <f t="shared" si="7"/>
        <v>7.3401583928913716E-3</v>
      </c>
    </row>
    <row r="710" spans="1:7">
      <c r="A710" s="53">
        <v>51.257573896069538</v>
      </c>
      <c r="B710" s="53">
        <v>51.454491198782058</v>
      </c>
      <c r="C710" s="53">
        <v>49.396705385436206</v>
      </c>
      <c r="D710" s="53">
        <v>50.085915944930029</v>
      </c>
      <c r="E710" s="53">
        <v>197070.54415961303</v>
      </c>
      <c r="F710" s="53" t="s">
        <v>735</v>
      </c>
      <c r="G710" s="25">
        <f t="shared" si="7"/>
        <v>2.339296245331246E-2</v>
      </c>
    </row>
    <row r="711" spans="1:7">
      <c r="A711" s="53">
        <v>48.953641454333024</v>
      </c>
      <c r="B711" s="53">
        <v>49.209633947859302</v>
      </c>
      <c r="C711" s="53">
        <v>47.909979749956655</v>
      </c>
      <c r="D711" s="53">
        <v>48.106897052669183</v>
      </c>
      <c r="E711" s="53">
        <v>61977.28605808242</v>
      </c>
      <c r="F711" s="53" t="s">
        <v>736</v>
      </c>
      <c r="G711" s="25">
        <f t="shared" si="7"/>
        <v>1.7601309864920145E-2</v>
      </c>
    </row>
    <row r="712" spans="1:7">
      <c r="A712" s="53">
        <v>47.801675233464771</v>
      </c>
      <c r="B712" s="53">
        <v>48.559806848907982</v>
      </c>
      <c r="C712" s="53">
        <v>46.984468427207801</v>
      </c>
      <c r="D712" s="53">
        <v>48.047821861855425</v>
      </c>
      <c r="E712" s="53">
        <v>85453.130670624072</v>
      </c>
      <c r="F712" s="53" t="s">
        <v>737</v>
      </c>
      <c r="G712" s="25">
        <f t="shared" si="7"/>
        <v>-5.1229508196721785E-3</v>
      </c>
    </row>
    <row r="713" spans="1:7">
      <c r="A713" s="53">
        <v>48.06751359212668</v>
      </c>
      <c r="B713" s="53">
        <v>48.967327206871545</v>
      </c>
      <c r="C713" s="53">
        <v>48.057667726991056</v>
      </c>
      <c r="D713" s="53">
        <v>48.589344444314861</v>
      </c>
      <c r="E713" s="53">
        <v>121683.56802541278</v>
      </c>
      <c r="F713" s="53" t="s">
        <v>738</v>
      </c>
      <c r="G713" s="25">
        <f t="shared" si="7"/>
        <v>-1.0739614994934032E-2</v>
      </c>
    </row>
    <row r="714" spans="1:7">
      <c r="A714" s="53">
        <v>48.677957230535498</v>
      </c>
      <c r="B714" s="53">
        <v>49.042254240553667</v>
      </c>
      <c r="C714" s="53">
        <v>47.919825615092286</v>
      </c>
      <c r="D714" s="53">
        <v>49.022562510282413</v>
      </c>
      <c r="E714" s="53">
        <v>102393.23676617579</v>
      </c>
      <c r="F714" s="53" t="s">
        <v>739</v>
      </c>
      <c r="G714" s="25">
        <f t="shared" si="7"/>
        <v>-7.0295240008033666E-3</v>
      </c>
    </row>
    <row r="715" spans="1:7">
      <c r="A715" s="53">
        <v>48.737032421349255</v>
      </c>
      <c r="B715" s="53">
        <v>50.056378349523158</v>
      </c>
      <c r="C715" s="53">
        <v>48.244739164567946</v>
      </c>
      <c r="D715" s="53">
        <v>48.697648960806752</v>
      </c>
      <c r="E715" s="53">
        <v>93356.956177883709</v>
      </c>
      <c r="F715" s="53" t="s">
        <v>740</v>
      </c>
      <c r="G715" s="25">
        <f t="shared" si="7"/>
        <v>8.0873433077233159E-4</v>
      </c>
    </row>
    <row r="716" spans="1:7">
      <c r="A716" s="53">
        <v>48.471194062687346</v>
      </c>
      <c r="B716" s="53">
        <v>48.963487319468648</v>
      </c>
      <c r="C716" s="53">
        <v>47.299536111547837</v>
      </c>
      <c r="D716" s="53">
        <v>47.722908312379765</v>
      </c>
      <c r="E716" s="53">
        <v>122563.12506592767</v>
      </c>
      <c r="F716" s="53" t="s">
        <v>741</v>
      </c>
      <c r="G716" s="25">
        <f t="shared" si="7"/>
        <v>1.5679801939343818E-2</v>
      </c>
    </row>
    <row r="717" spans="1:7">
      <c r="A717" s="53">
        <v>47.74260004265102</v>
      </c>
      <c r="B717" s="53">
        <v>48.530269253501103</v>
      </c>
      <c r="C717" s="53">
        <v>46.600479686918383</v>
      </c>
      <c r="D717" s="53">
        <v>46.600479686918383</v>
      </c>
      <c r="E717" s="53">
        <v>131316.03797026633</v>
      </c>
      <c r="F717" s="53" t="s">
        <v>742</v>
      </c>
      <c r="G717" s="25">
        <f t="shared" si="7"/>
        <v>2.450876822311443E-2</v>
      </c>
    </row>
    <row r="718" spans="1:7">
      <c r="A718" s="53">
        <v>45.930960857695808</v>
      </c>
      <c r="B718" s="53">
        <v>51.454491198782058</v>
      </c>
      <c r="C718" s="53">
        <v>45.251596163337609</v>
      </c>
      <c r="D718" s="53">
        <v>47.082927078564069</v>
      </c>
      <c r="E718" s="53">
        <v>352236.18770190078</v>
      </c>
      <c r="F718" s="53" t="s">
        <v>743</v>
      </c>
      <c r="G718" s="25">
        <f t="shared" si="7"/>
        <v>-2.44667503136764E-2</v>
      </c>
    </row>
    <row r="719" spans="1:7">
      <c r="A719" s="53">
        <v>47.082927078564069</v>
      </c>
      <c r="B719" s="53">
        <v>48.353043681059837</v>
      </c>
      <c r="C719" s="53">
        <v>45.990036048509566</v>
      </c>
      <c r="D719" s="53">
        <v>47.358611302361602</v>
      </c>
      <c r="E719" s="53">
        <v>205755.40819361163</v>
      </c>
      <c r="F719" s="53" t="s">
        <v>744</v>
      </c>
      <c r="G719" s="25">
        <f t="shared" si="7"/>
        <v>-5.8212058212058215E-3</v>
      </c>
    </row>
    <row r="720" spans="1:7">
      <c r="A720" s="53">
        <v>47.831212828871649</v>
      </c>
      <c r="B720" s="53">
        <v>48.146280513211686</v>
      </c>
      <c r="C720" s="53">
        <v>46.413408249341494</v>
      </c>
      <c r="D720" s="53">
        <v>47.486607549124734</v>
      </c>
      <c r="E720" s="53">
        <v>186746.41330876568</v>
      </c>
      <c r="F720" s="53" t="s">
        <v>745</v>
      </c>
      <c r="G720" s="25">
        <f t="shared" si="7"/>
        <v>7.2568940493469292E-3</v>
      </c>
    </row>
    <row r="721" spans="1:7">
      <c r="A721" s="53">
        <v>47.161693999649074</v>
      </c>
      <c r="B721" s="53">
        <v>47.358611302361602</v>
      </c>
      <c r="C721" s="53">
        <v>45.783272880661421</v>
      </c>
      <c r="D721" s="53">
        <v>47.004160157479056</v>
      </c>
      <c r="E721" s="53">
        <v>257568.0212014943</v>
      </c>
      <c r="F721" s="53" t="s">
        <v>746</v>
      </c>
      <c r="G721" s="25">
        <f t="shared" si="7"/>
        <v>3.3514872224549297E-3</v>
      </c>
    </row>
    <row r="722" spans="1:7">
      <c r="A722" s="53">
        <v>46.669400742867765</v>
      </c>
      <c r="B722" s="53">
        <v>46.72847593368153</v>
      </c>
      <c r="C722" s="53">
        <v>43.587644955416799</v>
      </c>
      <c r="D722" s="53">
        <v>45.025141265218203</v>
      </c>
      <c r="E722" s="53">
        <v>393531.69545050903</v>
      </c>
      <c r="F722" s="53" t="s">
        <v>747</v>
      </c>
      <c r="G722" s="25">
        <f t="shared" si="7"/>
        <v>3.651869669801E-2</v>
      </c>
    </row>
    <row r="723" spans="1:7">
      <c r="A723" s="53">
        <v>44.670690120335664</v>
      </c>
      <c r="B723" s="53">
        <v>46.561096226375881</v>
      </c>
      <c r="C723" s="53">
        <v>44.503310413030029</v>
      </c>
      <c r="D723" s="53">
        <v>45.773427015525797</v>
      </c>
      <c r="E723" s="53">
        <v>171092.12616620684</v>
      </c>
      <c r="F723" s="53" t="s">
        <v>748</v>
      </c>
      <c r="G723" s="25">
        <f t="shared" si="7"/>
        <v>-2.4091202409120438E-2</v>
      </c>
    </row>
    <row r="724" spans="1:7">
      <c r="A724" s="53">
        <v>46.049111239323331</v>
      </c>
      <c r="B724" s="53">
        <v>48.303814355381704</v>
      </c>
      <c r="C724" s="53">
        <v>45.950652587967063</v>
      </c>
      <c r="D724" s="53">
        <v>48.303814355381704</v>
      </c>
      <c r="E724" s="53">
        <v>218598.36290182263</v>
      </c>
      <c r="F724" s="53" t="s">
        <v>749</v>
      </c>
      <c r="G724" s="25">
        <f t="shared" si="7"/>
        <v>-4.6677537708927686E-2</v>
      </c>
    </row>
    <row r="725" spans="1:7">
      <c r="A725" s="53">
        <v>48.75672415162051</v>
      </c>
      <c r="B725" s="53">
        <v>49.002870780011165</v>
      </c>
      <c r="C725" s="53">
        <v>47.004160157479056</v>
      </c>
      <c r="D725" s="53">
        <v>47.762291772922268</v>
      </c>
      <c r="E725" s="53">
        <v>132288.01959586996</v>
      </c>
      <c r="F725" s="53" t="s">
        <v>750</v>
      </c>
      <c r="G725" s="25">
        <f t="shared" si="7"/>
        <v>2.0820449391877993E-2</v>
      </c>
    </row>
    <row r="726" spans="1:7">
      <c r="A726" s="53">
        <v>47.713062447244141</v>
      </c>
      <c r="B726" s="53">
        <v>48.874874533248018</v>
      </c>
      <c r="C726" s="53">
        <v>46.964776696936553</v>
      </c>
      <c r="D726" s="53">
        <v>48.874874533248018</v>
      </c>
      <c r="E726" s="53">
        <v>149857.83165576259</v>
      </c>
      <c r="F726" s="53" t="s">
        <v>751</v>
      </c>
      <c r="G726" s="25">
        <f t="shared" si="7"/>
        <v>-2.3771152296534925E-2</v>
      </c>
    </row>
    <row r="727" spans="1:7">
      <c r="A727" s="53">
        <v>48.481039927822977</v>
      </c>
      <c r="B727" s="53">
        <v>48.559806848907982</v>
      </c>
      <c r="C727" s="53">
        <v>47.447224088582232</v>
      </c>
      <c r="D727" s="53">
        <v>47.732754177515389</v>
      </c>
      <c r="E727" s="53">
        <v>167571.86669458493</v>
      </c>
      <c r="F727" s="53" t="s">
        <v>752</v>
      </c>
      <c r="G727" s="25">
        <f t="shared" si="7"/>
        <v>1.5676567656765839E-2</v>
      </c>
    </row>
    <row r="728" spans="1:7">
      <c r="A728" s="53">
        <v>47.417686493175353</v>
      </c>
      <c r="B728" s="53">
        <v>48.225047434296691</v>
      </c>
      <c r="C728" s="53">
        <v>46.571828219373714</v>
      </c>
      <c r="D728" s="53">
        <v>47.37830303263285</v>
      </c>
      <c r="E728" s="53">
        <v>159151.072903697</v>
      </c>
      <c r="F728" s="53" t="s">
        <v>753</v>
      </c>
      <c r="G728" s="25">
        <f t="shared" si="7"/>
        <v>8.3125519534488213E-4</v>
      </c>
    </row>
    <row r="729" spans="1:7">
      <c r="A729" s="53">
        <v>47.575220335345371</v>
      </c>
      <c r="B729" s="53">
        <v>49.391782452868391</v>
      </c>
      <c r="C729" s="53">
        <v>47.368457167497226</v>
      </c>
      <c r="D729" s="53">
        <v>48.16597224348294</v>
      </c>
      <c r="E729" s="53">
        <v>92152.389607386416</v>
      </c>
      <c r="F729" s="53" t="s">
        <v>754</v>
      </c>
      <c r="G729" s="25">
        <f t="shared" si="7"/>
        <v>-1.22649223221587E-2</v>
      </c>
    </row>
    <row r="730" spans="1:7">
      <c r="A730" s="53">
        <v>48.234893299432322</v>
      </c>
      <c r="B730" s="53">
        <v>48.904412128654897</v>
      </c>
      <c r="C730" s="53">
        <v>47.142002269377826</v>
      </c>
      <c r="D730" s="53">
        <v>47.142002269377826</v>
      </c>
      <c r="E730" s="53">
        <v>113060.65893306707</v>
      </c>
      <c r="F730" s="53" t="s">
        <v>755</v>
      </c>
      <c r="G730" s="25">
        <f t="shared" si="7"/>
        <v>2.3182957393483639E-2</v>
      </c>
    </row>
    <row r="731" spans="1:7">
      <c r="A731" s="53">
        <v>47.191231595055953</v>
      </c>
      <c r="B731" s="53">
        <v>47.811521098600402</v>
      </c>
      <c r="C731" s="53">
        <v>46.080814925060039</v>
      </c>
      <c r="D731" s="53">
        <v>46.374024788798991</v>
      </c>
      <c r="E731" s="53">
        <v>111035.44329936421</v>
      </c>
      <c r="F731" s="53" t="s">
        <v>756</v>
      </c>
      <c r="G731" s="25">
        <f t="shared" si="7"/>
        <v>1.7622080679405405E-2</v>
      </c>
    </row>
    <row r="732" spans="1:7">
      <c r="A732" s="53">
        <v>46.049111239323331</v>
      </c>
      <c r="B732" s="53">
        <v>47.466915818853487</v>
      </c>
      <c r="C732" s="53">
        <v>45.71435182471204</v>
      </c>
      <c r="D732" s="53">
        <v>46.570942091511505</v>
      </c>
      <c r="E732" s="53">
        <v>149876.1134418241</v>
      </c>
      <c r="F732" s="53" t="s">
        <v>757</v>
      </c>
      <c r="G732" s="25">
        <f t="shared" si="7"/>
        <v>-1.120507399577142E-2</v>
      </c>
    </row>
    <row r="733" spans="1:7">
      <c r="A733" s="53">
        <v>46.600479686918383</v>
      </c>
      <c r="B733" s="53">
        <v>50.666821987931975</v>
      </c>
      <c r="C733" s="53">
        <v>46.32479546312085</v>
      </c>
      <c r="D733" s="53">
        <v>49.888998642217508</v>
      </c>
      <c r="E733" s="53">
        <v>304590.80626126128</v>
      </c>
      <c r="F733" s="53" t="s">
        <v>758</v>
      </c>
      <c r="G733" s="25">
        <f t="shared" si="7"/>
        <v>-6.5916716005526066E-2</v>
      </c>
    </row>
    <row r="734" spans="1:7">
      <c r="A734" s="53">
        <v>50.302524977913805</v>
      </c>
      <c r="B734" s="53">
        <v>57.117832824794199</v>
      </c>
      <c r="C734" s="53">
        <v>50.016994888980648</v>
      </c>
      <c r="D734" s="53">
        <v>56.95832980959706</v>
      </c>
      <c r="E734" s="53">
        <v>309113.51700192271</v>
      </c>
      <c r="F734" s="53" t="s">
        <v>759</v>
      </c>
      <c r="G734" s="25">
        <f t="shared" si="7"/>
        <v>-0.11685393258426968</v>
      </c>
    </row>
    <row r="735" spans="1:7">
      <c r="A735" s="53">
        <v>57.115863651767071</v>
      </c>
      <c r="B735" s="53">
        <v>57.598311043412757</v>
      </c>
      <c r="C735" s="53">
        <v>55.934359835491946</v>
      </c>
      <c r="D735" s="53">
        <v>56.150968868475715</v>
      </c>
      <c r="E735" s="53">
        <v>108007.77639662186</v>
      </c>
      <c r="F735" s="53" t="s">
        <v>760</v>
      </c>
      <c r="G735" s="25">
        <f t="shared" si="7"/>
        <v>1.7183938278099165E-2</v>
      </c>
    </row>
    <row r="736" spans="1:7">
      <c r="A736" s="53">
        <v>56.111585407933212</v>
      </c>
      <c r="B736" s="53">
        <v>56.95764059903756</v>
      </c>
      <c r="C736" s="53">
        <v>55.70790493737254</v>
      </c>
      <c r="D736" s="53">
        <v>56.377423766595115</v>
      </c>
      <c r="E736" s="53">
        <v>77298.438432409283</v>
      </c>
      <c r="F736" s="53" t="s">
        <v>761</v>
      </c>
      <c r="G736" s="25">
        <f t="shared" si="7"/>
        <v>-4.7153335661892504E-3</v>
      </c>
    </row>
    <row r="737" spans="1:7">
      <c r="A737" s="53">
        <v>56.830333562833914</v>
      </c>
      <c r="B737" s="53">
        <v>57.115863651767071</v>
      </c>
      <c r="C737" s="53">
        <v>55.476527106685324</v>
      </c>
      <c r="D737" s="53">
        <v>56.26911925010323</v>
      </c>
      <c r="E737" s="53">
        <v>98348.899427457232</v>
      </c>
      <c r="F737" s="53" t="s">
        <v>762</v>
      </c>
      <c r="G737" s="25">
        <f t="shared" si="7"/>
        <v>9.9737532808397145E-3</v>
      </c>
    </row>
    <row r="738" spans="1:7">
      <c r="A738" s="53">
        <v>56.761412506884533</v>
      </c>
      <c r="B738" s="53">
        <v>57.007559135275187</v>
      </c>
      <c r="C738" s="53">
        <v>53.403972495636033</v>
      </c>
      <c r="D738" s="53">
        <v>54.309792088113632</v>
      </c>
      <c r="E738" s="53">
        <v>200265.79410125257</v>
      </c>
      <c r="F738" s="53" t="s">
        <v>763</v>
      </c>
      <c r="G738" s="25">
        <f t="shared" si="7"/>
        <v>4.5141406816533669E-2</v>
      </c>
    </row>
    <row r="739" spans="1:7">
      <c r="A739" s="53">
        <v>54.112874785401111</v>
      </c>
      <c r="B739" s="53">
        <v>54.496863525690529</v>
      </c>
      <c r="C739" s="53">
        <v>53.049521350753494</v>
      </c>
      <c r="D739" s="53">
        <v>54.043953729451729</v>
      </c>
      <c r="E739" s="53">
        <v>149842.59683404467</v>
      </c>
      <c r="F739" s="53" t="s">
        <v>764</v>
      </c>
      <c r="G739" s="25">
        <f t="shared" si="7"/>
        <v>1.2752778283839916E-3</v>
      </c>
    </row>
    <row r="740" spans="1:7">
      <c r="A740" s="53">
        <v>54.043953729451729</v>
      </c>
      <c r="B740" s="53">
        <v>54.910389861386825</v>
      </c>
      <c r="C740" s="53">
        <v>54.034107864316105</v>
      </c>
      <c r="D740" s="53">
        <v>54.132566515672359</v>
      </c>
      <c r="E740" s="53">
        <v>137089.01974657882</v>
      </c>
      <c r="F740" s="53" t="s">
        <v>765</v>
      </c>
      <c r="G740" s="25">
        <f t="shared" si="7"/>
        <v>-1.6369588941431701E-3</v>
      </c>
    </row>
    <row r="741" spans="1:7">
      <c r="A741" s="53">
        <v>54.309792088113632</v>
      </c>
      <c r="B741" s="53">
        <v>54.349175548656142</v>
      </c>
      <c r="C741" s="53">
        <v>53.079058946160366</v>
      </c>
      <c r="D741" s="53">
        <v>53.531968742399165</v>
      </c>
      <c r="E741" s="53">
        <v>255132.48103618866</v>
      </c>
      <c r="F741" s="53" t="s">
        <v>766</v>
      </c>
      <c r="G741" s="25">
        <f t="shared" si="7"/>
        <v>1.4530071730733951E-2</v>
      </c>
    </row>
    <row r="742" spans="1:7">
      <c r="A742" s="53">
        <v>53.640273258891057</v>
      </c>
      <c r="B742" s="53">
        <v>54.368867278927389</v>
      </c>
      <c r="C742" s="53">
        <v>53.463047686449784</v>
      </c>
      <c r="D742" s="53">
        <v>54.368867278927389</v>
      </c>
      <c r="E742" s="53">
        <v>230980.21033937111</v>
      </c>
      <c r="F742" s="53" t="s">
        <v>767</v>
      </c>
      <c r="G742" s="25">
        <f t="shared" si="7"/>
        <v>-1.3400941687794266E-2</v>
      </c>
    </row>
    <row r="743" spans="1:7">
      <c r="A743" s="53">
        <v>54.231025167028619</v>
      </c>
      <c r="B743" s="53">
        <v>54.506709390826153</v>
      </c>
      <c r="C743" s="53">
        <v>52.6753784755997</v>
      </c>
      <c r="D743" s="53">
        <v>52.86244991317659</v>
      </c>
      <c r="E743" s="53">
        <v>162575.86082588663</v>
      </c>
      <c r="F743" s="53" t="s">
        <v>768</v>
      </c>
      <c r="G743" s="25">
        <f t="shared" si="7"/>
        <v>2.5889364872415666E-2</v>
      </c>
    </row>
    <row r="744" spans="1:7">
      <c r="A744" s="53">
        <v>52.685224340735324</v>
      </c>
      <c r="B744" s="53">
        <v>53.571352202941668</v>
      </c>
      <c r="C744" s="53">
        <v>52.645840880192821</v>
      </c>
      <c r="D744" s="53">
        <v>52.882141643447845</v>
      </c>
      <c r="E744" s="53">
        <v>138680.55078871141</v>
      </c>
      <c r="F744" s="53" t="s">
        <v>769</v>
      </c>
      <c r="G744" s="25">
        <f t="shared" si="7"/>
        <v>-3.7237013591510104E-3</v>
      </c>
    </row>
    <row r="745" spans="1:7">
      <c r="A745" s="53">
        <v>52.626149149921574</v>
      </c>
      <c r="B745" s="53">
        <v>55.008848512743086</v>
      </c>
      <c r="C745" s="53">
        <v>52.507998768294051</v>
      </c>
      <c r="D745" s="53">
        <v>54.555938716504279</v>
      </c>
      <c r="E745" s="53">
        <v>204024.73244645531</v>
      </c>
      <c r="F745" s="53" t="s">
        <v>770</v>
      </c>
      <c r="G745" s="25">
        <f t="shared" si="7"/>
        <v>-3.5372676412199766E-2</v>
      </c>
    </row>
    <row r="746" spans="1:7">
      <c r="A746" s="53">
        <v>54.920235726522449</v>
      </c>
      <c r="B746" s="53">
        <v>55.875284644678182</v>
      </c>
      <c r="C746" s="53">
        <v>54.221179301892995</v>
      </c>
      <c r="D746" s="53">
        <v>55.875284644678182</v>
      </c>
      <c r="E746" s="53">
        <v>114742.58325072602</v>
      </c>
      <c r="F746" s="53" t="s">
        <v>771</v>
      </c>
      <c r="G746" s="25">
        <f t="shared" si="7"/>
        <v>-1.709251101321585E-2</v>
      </c>
    </row>
    <row r="747" spans="1:7">
      <c r="A747" s="53">
        <v>56.121431273068836</v>
      </c>
      <c r="B747" s="53">
        <v>56.717106113774214</v>
      </c>
      <c r="C747" s="53">
        <v>56.067279014822894</v>
      </c>
      <c r="D747" s="53">
        <v>56.239581654696345</v>
      </c>
      <c r="E747" s="53">
        <v>89683.332834301327</v>
      </c>
      <c r="F747" s="53" t="s">
        <v>772</v>
      </c>
      <c r="G747" s="25">
        <f t="shared" si="7"/>
        <v>-2.1008403361343353E-3</v>
      </c>
    </row>
    <row r="748" spans="1:7">
      <c r="A748" s="53">
        <v>56.150968868475715</v>
      </c>
      <c r="B748" s="53">
        <v>56.515265878493878</v>
      </c>
      <c r="C748" s="53">
        <v>55.442066578710637</v>
      </c>
      <c r="D748" s="53">
        <v>56.229735789560721</v>
      </c>
      <c r="E748" s="53">
        <v>99900.819933123217</v>
      </c>
      <c r="F748" s="53" t="s">
        <v>773</v>
      </c>
      <c r="G748" s="25">
        <f t="shared" si="7"/>
        <v>-1.4008054631412525E-3</v>
      </c>
    </row>
    <row r="749" spans="1:7">
      <c r="A749" s="53">
        <v>56.603878664714522</v>
      </c>
      <c r="B749" s="53">
        <v>56.948483944461437</v>
      </c>
      <c r="C749" s="53">
        <v>56.293733912942294</v>
      </c>
      <c r="D749" s="53">
        <v>56.948483944461437</v>
      </c>
      <c r="E749" s="53">
        <v>91061.576372382973</v>
      </c>
      <c r="F749" s="53" t="s">
        <v>774</v>
      </c>
      <c r="G749" s="25">
        <f t="shared" si="7"/>
        <v>-6.0511756569847641E-3</v>
      </c>
    </row>
    <row r="750" spans="1:7">
      <c r="A750" s="53">
        <v>56.6334162601214</v>
      </c>
      <c r="B750" s="53">
        <v>56.909100483918927</v>
      </c>
      <c r="C750" s="53">
        <v>55.865438779542558</v>
      </c>
      <c r="D750" s="53">
        <v>56.672799720663903</v>
      </c>
      <c r="E750" s="53">
        <v>91302.286555526196</v>
      </c>
      <c r="F750" s="53" t="s">
        <v>775</v>
      </c>
      <c r="G750" s="25">
        <f t="shared" si="7"/>
        <v>-6.9492703266149647E-4</v>
      </c>
    </row>
    <row r="751" spans="1:7">
      <c r="A751" s="53">
        <v>56.554649339036381</v>
      </c>
      <c r="B751" s="53">
        <v>56.628493327553585</v>
      </c>
      <c r="C751" s="53">
        <v>55.530679364931267</v>
      </c>
      <c r="D751" s="53">
        <v>56.111585407933212</v>
      </c>
      <c r="E751" s="53">
        <v>87623.584938037835</v>
      </c>
      <c r="F751" s="53" t="s">
        <v>776</v>
      </c>
      <c r="G751" s="25">
        <f t="shared" si="7"/>
        <v>7.896122126688665E-3</v>
      </c>
    </row>
    <row r="752" spans="1:7">
      <c r="A752" s="53">
        <v>56.200198194153842</v>
      </c>
      <c r="B752" s="53">
        <v>56.466036552815751</v>
      </c>
      <c r="C752" s="53">
        <v>54.546092851368655</v>
      </c>
      <c r="D752" s="53">
        <v>55.963897430898825</v>
      </c>
      <c r="E752" s="53">
        <v>298843.21585447865</v>
      </c>
      <c r="F752" s="53" t="s">
        <v>777</v>
      </c>
      <c r="G752" s="25">
        <f t="shared" si="7"/>
        <v>4.2223786066148961E-3</v>
      </c>
    </row>
    <row r="753" spans="1:7">
      <c r="A753" s="53">
        <v>55.766980128186297</v>
      </c>
      <c r="B753" s="53">
        <v>55.855592914406927</v>
      </c>
      <c r="C753" s="53">
        <v>55.058077838421219</v>
      </c>
      <c r="D753" s="53">
        <v>55.323916197083122</v>
      </c>
      <c r="E753" s="53">
        <v>94980.988173014543</v>
      </c>
      <c r="F753" s="53" t="s">
        <v>778</v>
      </c>
      <c r="G753" s="25">
        <f t="shared" si="7"/>
        <v>8.0085424452749354E-3</v>
      </c>
    </row>
    <row r="754" spans="1:7">
      <c r="A754" s="53">
        <v>55.126998894370601</v>
      </c>
      <c r="B754" s="53">
        <v>56.000819425157417</v>
      </c>
      <c r="C754" s="53">
        <v>55.067923703556843</v>
      </c>
      <c r="D754" s="53">
        <v>55.658675611694413</v>
      </c>
      <c r="E754" s="53">
        <v>54606.679310950174</v>
      </c>
      <c r="F754" s="53" t="s">
        <v>779</v>
      </c>
      <c r="G754" s="25">
        <f t="shared" si="7"/>
        <v>-9.552450026534598E-3</v>
      </c>
    </row>
    <row r="755" spans="1:7">
      <c r="A755" s="53">
        <v>55.826055319000055</v>
      </c>
      <c r="B755" s="53">
        <v>56.318348575781364</v>
      </c>
      <c r="C755" s="53">
        <v>55.442066578710637</v>
      </c>
      <c r="D755" s="53">
        <v>56.0328184868482</v>
      </c>
      <c r="E755" s="53">
        <v>88288.838819720564</v>
      </c>
      <c r="F755" s="53" t="s">
        <v>780</v>
      </c>
      <c r="G755" s="25">
        <f t="shared" si="7"/>
        <v>-3.6900369003689537E-3</v>
      </c>
    </row>
    <row r="756" spans="1:7">
      <c r="A756" s="53">
        <v>56.239581654696345</v>
      </c>
      <c r="B756" s="53">
        <v>56.72202904634203</v>
      </c>
      <c r="C756" s="53">
        <v>54.89069813111557</v>
      </c>
      <c r="D756" s="53">
        <v>55.126998894370601</v>
      </c>
      <c r="E756" s="53">
        <v>116218.32964780238</v>
      </c>
      <c r="F756" s="53" t="s">
        <v>781</v>
      </c>
      <c r="G756" s="25">
        <f t="shared" si="7"/>
        <v>2.018217538846212E-2</v>
      </c>
    </row>
    <row r="757" spans="1:7">
      <c r="A757" s="53">
        <v>54.93008159165808</v>
      </c>
      <c r="B757" s="53">
        <v>56.141123003340091</v>
      </c>
      <c r="C757" s="53">
        <v>54.802085344894934</v>
      </c>
      <c r="D757" s="53">
        <v>56.121431273068836</v>
      </c>
      <c r="E757" s="53">
        <v>58688.595876572952</v>
      </c>
      <c r="F757" s="53" t="s">
        <v>782</v>
      </c>
      <c r="G757" s="25">
        <f t="shared" si="7"/>
        <v>-2.1228070175438485E-2</v>
      </c>
    </row>
    <row r="758" spans="1:7">
      <c r="A758" s="53">
        <v>56.091893677661957</v>
      </c>
      <c r="B758" s="53">
        <v>56.38234669916293</v>
      </c>
      <c r="C758" s="53">
        <v>55.008848512743086</v>
      </c>
      <c r="D758" s="53">
        <v>55.776825993321921</v>
      </c>
      <c r="E758" s="53">
        <v>85116.948938048532</v>
      </c>
      <c r="F758" s="53" t="s">
        <v>783</v>
      </c>
      <c r="G758" s="25">
        <f t="shared" si="7"/>
        <v>5.6487202118269408E-3</v>
      </c>
    </row>
    <row r="759" spans="1:7">
      <c r="A759" s="53">
        <v>55.776825993321921</v>
      </c>
      <c r="B759" s="53">
        <v>56.091893677661957</v>
      </c>
      <c r="C759" s="53">
        <v>54.683934963267426</v>
      </c>
      <c r="D759" s="53">
        <v>55.599600420880655</v>
      </c>
      <c r="E759" s="53">
        <v>79459.751806792279</v>
      </c>
      <c r="F759" s="53" t="s">
        <v>784</v>
      </c>
      <c r="G759" s="25">
        <f t="shared" si="7"/>
        <v>3.1875332034707604E-3</v>
      </c>
    </row>
    <row r="760" spans="1:7">
      <c r="A760" s="53">
        <v>54.437788334876771</v>
      </c>
      <c r="B760" s="53">
        <v>57.283243359072721</v>
      </c>
      <c r="C760" s="53">
        <v>54.181795841350493</v>
      </c>
      <c r="D760" s="53">
        <v>56.948483944461437</v>
      </c>
      <c r="E760" s="53">
        <v>104089.38025077147</v>
      </c>
      <c r="F760" s="53" t="s">
        <v>785</v>
      </c>
      <c r="G760" s="25">
        <f t="shared" si="7"/>
        <v>-4.4087136929460646E-2</v>
      </c>
    </row>
    <row r="761" spans="1:7">
      <c r="A761" s="53">
        <v>57.283243359072721</v>
      </c>
      <c r="B761" s="53">
        <v>57.726307290175896</v>
      </c>
      <c r="C761" s="53">
        <v>57.096171921495824</v>
      </c>
      <c r="D761" s="53">
        <v>57.234014033394587</v>
      </c>
      <c r="E761" s="53">
        <v>56687.755957618763</v>
      </c>
      <c r="F761" s="53" t="s">
        <v>786</v>
      </c>
      <c r="G761" s="25">
        <f t="shared" ref="G761:G824" si="8">A761/D761-1</f>
        <v>8.6014106313436756E-4</v>
      </c>
    </row>
    <row r="762" spans="1:7">
      <c r="A762" s="53">
        <v>56.918946349054558</v>
      </c>
      <c r="B762" s="53">
        <v>58.179217086414695</v>
      </c>
      <c r="C762" s="53">
        <v>56.869717023376417</v>
      </c>
      <c r="D762" s="53">
        <v>57.785382480989647</v>
      </c>
      <c r="E762" s="53">
        <v>93039.056231369672</v>
      </c>
      <c r="F762" s="53" t="s">
        <v>787</v>
      </c>
      <c r="G762" s="25">
        <f t="shared" si="8"/>
        <v>-1.499403646277031E-2</v>
      </c>
    </row>
    <row r="763" spans="1:7">
      <c r="A763" s="53">
        <v>57.775536615854023</v>
      </c>
      <c r="B763" s="53">
        <v>58.996423892671665</v>
      </c>
      <c r="C763" s="53">
        <v>57.558927582870247</v>
      </c>
      <c r="D763" s="53">
        <v>57.785382480989647</v>
      </c>
      <c r="E763" s="53">
        <v>95340.52996555758</v>
      </c>
      <c r="F763" s="53" t="s">
        <v>788</v>
      </c>
      <c r="G763" s="25">
        <f t="shared" si="8"/>
        <v>-1.7038677798597579E-4</v>
      </c>
    </row>
    <row r="764" spans="1:7">
      <c r="A764" s="53">
        <v>57.785382480989647</v>
      </c>
      <c r="B764" s="53">
        <v>57.933070458024048</v>
      </c>
      <c r="C764" s="53">
        <v>56.406961362001994</v>
      </c>
      <c r="D764" s="53">
        <v>56.544803473900757</v>
      </c>
      <c r="E764" s="53">
        <v>69966.426566962444</v>
      </c>
      <c r="F764" s="53" t="s">
        <v>789</v>
      </c>
      <c r="G764" s="25">
        <f t="shared" si="8"/>
        <v>2.1939752742469176E-2</v>
      </c>
    </row>
    <row r="765" spans="1:7">
      <c r="A765" s="53">
        <v>56.702337316070782</v>
      </c>
      <c r="B765" s="53">
        <v>56.761412506884533</v>
      </c>
      <c r="C765" s="53">
        <v>55.727596667643795</v>
      </c>
      <c r="D765" s="53">
        <v>56.013126756576952</v>
      </c>
      <c r="E765" s="53">
        <v>101138.90311139995</v>
      </c>
      <c r="F765" s="53" t="s">
        <v>790</v>
      </c>
      <c r="G765" s="25">
        <f t="shared" si="8"/>
        <v>1.2304447178766109E-2</v>
      </c>
    </row>
    <row r="766" spans="1:7">
      <c r="A766" s="53">
        <v>55.796517723593176</v>
      </c>
      <c r="B766" s="53">
        <v>56.013126756576952</v>
      </c>
      <c r="C766" s="53">
        <v>55.353453792490001</v>
      </c>
      <c r="D766" s="53">
        <v>55.648829746558789</v>
      </c>
      <c r="E766" s="53">
        <v>71937.81249726197</v>
      </c>
      <c r="F766" s="53" t="s">
        <v>791</v>
      </c>
      <c r="G766" s="25">
        <f t="shared" si="8"/>
        <v>2.6539278131634259E-3</v>
      </c>
    </row>
    <row r="767" spans="1:7">
      <c r="A767" s="53">
        <v>55.530679364931267</v>
      </c>
      <c r="B767" s="53">
        <v>55.894976374949437</v>
      </c>
      <c r="C767" s="53">
        <v>54.974387984768398</v>
      </c>
      <c r="D767" s="53">
        <v>55.698059072236916</v>
      </c>
      <c r="E767" s="53">
        <v>135412.17370282585</v>
      </c>
      <c r="F767" s="53" t="s">
        <v>792</v>
      </c>
      <c r="G767" s="25">
        <f t="shared" si="8"/>
        <v>-3.0051263920807259E-3</v>
      </c>
    </row>
    <row r="768" spans="1:7">
      <c r="A768" s="53">
        <v>55.776825993321921</v>
      </c>
      <c r="B768" s="53">
        <v>56.357732036323867</v>
      </c>
      <c r="C768" s="53">
        <v>55.294378601676243</v>
      </c>
      <c r="D768" s="53">
        <v>55.343607927354377</v>
      </c>
      <c r="E768" s="53">
        <v>98119.361446907162</v>
      </c>
      <c r="F768" s="53" t="s">
        <v>793</v>
      </c>
      <c r="G768" s="25">
        <f t="shared" si="8"/>
        <v>7.8277886497064575E-3</v>
      </c>
    </row>
    <row r="769" spans="1:7">
      <c r="A769" s="53">
        <v>55.077769568692467</v>
      </c>
      <c r="B769" s="53">
        <v>55.471604174117516</v>
      </c>
      <c r="C769" s="53">
        <v>54.388559009198644</v>
      </c>
      <c r="D769" s="53">
        <v>54.46732593028365</v>
      </c>
      <c r="E769" s="53">
        <v>87475.299339983365</v>
      </c>
      <c r="F769" s="53" t="s">
        <v>794</v>
      </c>
      <c r="G769" s="25">
        <f t="shared" si="8"/>
        <v>1.1207519884309347E-2</v>
      </c>
    </row>
    <row r="770" spans="1:7">
      <c r="A770" s="53">
        <v>54.408250739469892</v>
      </c>
      <c r="B770" s="53">
        <v>55.038386108149965</v>
      </c>
      <c r="C770" s="53">
        <v>53.847036426739201</v>
      </c>
      <c r="D770" s="53">
        <v>54.270408627571129</v>
      </c>
      <c r="E770" s="53">
        <v>58092.406520011478</v>
      </c>
      <c r="F770" s="53" t="s">
        <v>795</v>
      </c>
      <c r="G770" s="25">
        <f t="shared" si="8"/>
        <v>2.539912917271403E-3</v>
      </c>
    </row>
    <row r="771" spans="1:7">
      <c r="A771" s="53">
        <v>54.290100357842384</v>
      </c>
      <c r="B771" s="53">
        <v>55.048231973285588</v>
      </c>
      <c r="C771" s="53">
        <v>54.181795841350493</v>
      </c>
      <c r="D771" s="53">
        <v>54.181795841350493</v>
      </c>
      <c r="E771" s="53">
        <v>129254.25876444044</v>
      </c>
      <c r="F771" s="53" t="s">
        <v>796</v>
      </c>
      <c r="G771" s="25">
        <f t="shared" si="8"/>
        <v>1.9989096856261046E-3</v>
      </c>
    </row>
    <row r="772" spans="1:7">
      <c r="A772" s="53">
        <v>54.299946222978008</v>
      </c>
      <c r="B772" s="53">
        <v>54.928506253236378</v>
      </c>
      <c r="C772" s="53">
        <v>54.039030796883914</v>
      </c>
      <c r="D772" s="53">
        <v>54.664243232996178</v>
      </c>
      <c r="E772" s="53">
        <v>78446.12833515965</v>
      </c>
      <c r="F772" s="53" t="s">
        <v>797</v>
      </c>
      <c r="G772" s="25">
        <f t="shared" si="8"/>
        <v>-6.6642651296831001E-3</v>
      </c>
    </row>
    <row r="773" spans="1:7">
      <c r="A773" s="53">
        <v>54.811931210030565</v>
      </c>
      <c r="B773" s="53">
        <v>56.165737666179155</v>
      </c>
      <c r="C773" s="53">
        <v>54.69378082840305</v>
      </c>
      <c r="D773" s="53">
        <v>56.013126756576952</v>
      </c>
      <c r="E773" s="53">
        <v>77188.74771604022</v>
      </c>
      <c r="F773" s="53" t="s">
        <v>798</v>
      </c>
      <c r="G773" s="25">
        <f t="shared" si="8"/>
        <v>-2.1444893654420816E-2</v>
      </c>
    </row>
    <row r="774" spans="1:7">
      <c r="A774" s="53">
        <v>55.973743296034463</v>
      </c>
      <c r="B774" s="53">
        <v>56.53357894577546</v>
      </c>
      <c r="C774" s="53">
        <v>55.482659392752879</v>
      </c>
      <c r="D774" s="53">
        <v>55.482659392752879</v>
      </c>
      <c r="E774" s="53">
        <v>73776.598576936056</v>
      </c>
      <c r="F774" s="53" t="s">
        <v>799</v>
      </c>
      <c r="G774" s="25">
        <f t="shared" si="8"/>
        <v>8.8511240927597878E-3</v>
      </c>
    </row>
    <row r="775" spans="1:7">
      <c r="A775" s="53">
        <v>55.56614365631075</v>
      </c>
      <c r="B775" s="53">
        <v>55.580876173409202</v>
      </c>
      <c r="C775" s="53">
        <v>54.029051039039402</v>
      </c>
      <c r="D775" s="53">
        <v>54.854071996552456</v>
      </c>
      <c r="E775" s="53">
        <v>118478.73573375665</v>
      </c>
      <c r="F775" s="53" t="s">
        <v>800</v>
      </c>
      <c r="G775" s="25">
        <f t="shared" si="8"/>
        <v>1.2981199641898034E-2</v>
      </c>
    </row>
    <row r="776" spans="1:7">
      <c r="A776" s="53">
        <v>54.82460696235556</v>
      </c>
      <c r="B776" s="53">
        <v>55.747844700524929</v>
      </c>
      <c r="C776" s="53">
        <v>54.471026551992829</v>
      </c>
      <c r="D776" s="53">
        <v>55.443372680490356</v>
      </c>
      <c r="E776" s="53">
        <v>79785.755016966927</v>
      </c>
      <c r="F776" s="53" t="s">
        <v>801</v>
      </c>
      <c r="G776" s="25">
        <f t="shared" si="8"/>
        <v>-1.116031886625346E-2</v>
      </c>
    </row>
    <row r="777" spans="1:7">
      <c r="A777" s="53">
        <v>55.463016036621617</v>
      </c>
      <c r="B777" s="53">
        <v>56.26839363800341</v>
      </c>
      <c r="C777" s="53">
        <v>54.75585521589614</v>
      </c>
      <c r="D777" s="53">
        <v>55.934456583771933</v>
      </c>
      <c r="E777" s="53">
        <v>135494.15803565361</v>
      </c>
      <c r="F777" s="53" t="s">
        <v>802</v>
      </c>
      <c r="G777" s="25">
        <f t="shared" si="8"/>
        <v>-8.428446005267709E-3</v>
      </c>
    </row>
    <row r="778" spans="1:7">
      <c r="A778" s="53">
        <v>56.05231672055951</v>
      </c>
      <c r="B778" s="53">
        <v>56.926446068400722</v>
      </c>
      <c r="C778" s="53">
        <v>55.874249697229608</v>
      </c>
      <c r="D778" s="53">
        <v>56.307680350265933</v>
      </c>
      <c r="E778" s="53">
        <v>90113.929013522851</v>
      </c>
      <c r="F778" s="53" t="s">
        <v>803</v>
      </c>
      <c r="G778" s="25">
        <f t="shared" si="8"/>
        <v>-4.5351473922903285E-3</v>
      </c>
    </row>
    <row r="779" spans="1:7">
      <c r="A779" s="53">
        <v>56.091603432822041</v>
      </c>
      <c r="B779" s="53">
        <v>57.014841170991403</v>
      </c>
      <c r="C779" s="53">
        <v>55.860793998279696</v>
      </c>
      <c r="D779" s="53">
        <v>56.543400623841094</v>
      </c>
      <c r="E779" s="53">
        <v>113208.7605162711</v>
      </c>
      <c r="F779" s="53" t="s">
        <v>804</v>
      </c>
      <c r="G779" s="25">
        <f t="shared" si="8"/>
        <v>-7.9902727114816718E-3</v>
      </c>
    </row>
    <row r="780" spans="1:7">
      <c r="A780" s="53">
        <v>56.582687336103618</v>
      </c>
      <c r="B780" s="53">
        <v>57.093414595516464</v>
      </c>
      <c r="C780" s="53">
        <v>55.836239803115618</v>
      </c>
      <c r="D780" s="53">
        <v>55.836239803115618</v>
      </c>
      <c r="E780" s="53">
        <v>127163.60602068706</v>
      </c>
      <c r="F780" s="53" t="s">
        <v>805</v>
      </c>
      <c r="G780" s="25">
        <f t="shared" si="8"/>
        <v>1.3368513632365797E-2</v>
      </c>
    </row>
    <row r="781" spans="1:7">
      <c r="A781" s="53">
        <v>55.855883159246879</v>
      </c>
      <c r="B781" s="53">
        <v>56.288036994134671</v>
      </c>
      <c r="C781" s="53">
        <v>55.394264290162191</v>
      </c>
      <c r="D781" s="53">
        <v>56.032673364428248</v>
      </c>
      <c r="E781" s="53">
        <v>133299.01379900391</v>
      </c>
      <c r="F781" s="53" t="s">
        <v>806</v>
      </c>
      <c r="G781" s="25">
        <f t="shared" si="8"/>
        <v>-3.1551270815074473E-3</v>
      </c>
    </row>
    <row r="782" spans="1:7">
      <c r="A782" s="53">
        <v>56.199641891543983</v>
      </c>
      <c r="B782" s="53">
        <v>62.59355431227015</v>
      </c>
      <c r="C782" s="53">
        <v>56.130890145084564</v>
      </c>
      <c r="D782" s="53">
        <v>62.210508867710523</v>
      </c>
      <c r="E782" s="53">
        <v>161453.06223677646</v>
      </c>
      <c r="F782" s="53" t="s">
        <v>807</v>
      </c>
      <c r="G782" s="25">
        <f t="shared" si="8"/>
        <v>-9.6621408272813403E-2</v>
      </c>
    </row>
    <row r="783" spans="1:7">
      <c r="A783" s="53">
        <v>63.546257084636423</v>
      </c>
      <c r="B783" s="53">
        <v>65.411786616422489</v>
      </c>
      <c r="C783" s="53">
        <v>62.338190682563734</v>
      </c>
      <c r="D783" s="53">
        <v>64.302526295690058</v>
      </c>
      <c r="E783" s="53">
        <v>306745.95317294804</v>
      </c>
      <c r="F783" s="53" t="s">
        <v>808</v>
      </c>
      <c r="G783" s="25">
        <f t="shared" si="8"/>
        <v>-1.1761111959676218E-2</v>
      </c>
    </row>
    <row r="784" spans="1:7">
      <c r="A784" s="53">
        <v>61.699781608297677</v>
      </c>
      <c r="B784" s="53">
        <v>62.112292087054207</v>
      </c>
      <c r="C784" s="53">
        <v>60.830563099489282</v>
      </c>
      <c r="D784" s="53">
        <v>61.62120818377263</v>
      </c>
      <c r="E784" s="53">
        <v>97335.709194671435</v>
      </c>
      <c r="F784" s="53" t="s">
        <v>809</v>
      </c>
      <c r="G784" s="25">
        <f t="shared" si="8"/>
        <v>1.2751036021676487E-3</v>
      </c>
    </row>
    <row r="785" spans="1:7">
      <c r="A785" s="53">
        <v>62.102470408988573</v>
      </c>
      <c r="B785" s="53">
        <v>62.58864347323734</v>
      </c>
      <c r="C785" s="53">
        <v>61.522991403116315</v>
      </c>
      <c r="D785" s="53">
        <v>61.768533354757103</v>
      </c>
      <c r="E785" s="53">
        <v>137094.69919521452</v>
      </c>
      <c r="F785" s="53" t="s">
        <v>810</v>
      </c>
      <c r="G785" s="25">
        <f t="shared" si="8"/>
        <v>5.4062649069803737E-3</v>
      </c>
    </row>
    <row r="786" spans="1:7">
      <c r="A786" s="53">
        <v>61.896215169610315</v>
      </c>
      <c r="B786" s="53">
        <v>61.935501881872838</v>
      </c>
      <c r="C786" s="53">
        <v>60.904225684981519</v>
      </c>
      <c r="D786" s="53">
        <v>61.758711676691469</v>
      </c>
      <c r="E786" s="53">
        <v>60885.726044365605</v>
      </c>
      <c r="F786" s="53" t="s">
        <v>811</v>
      </c>
      <c r="G786" s="25">
        <f t="shared" si="8"/>
        <v>2.2264631043258376E-3</v>
      </c>
    </row>
    <row r="787" spans="1:7">
      <c r="A787" s="53">
        <v>61.464061334722523</v>
      </c>
      <c r="B787" s="53">
        <v>62.789987873582788</v>
      </c>
      <c r="C787" s="53">
        <v>61.336379519869311</v>
      </c>
      <c r="D787" s="53">
        <v>62.789987873582788</v>
      </c>
      <c r="E787" s="53">
        <v>76920.664162638408</v>
      </c>
      <c r="F787" s="53" t="s">
        <v>812</v>
      </c>
      <c r="G787" s="25">
        <f t="shared" si="8"/>
        <v>-2.1116846550915058E-2</v>
      </c>
    </row>
    <row r="788" spans="1:7">
      <c r="A788" s="53">
        <v>62.426585785154423</v>
      </c>
      <c r="B788" s="53">
        <v>62.878382976173469</v>
      </c>
      <c r="C788" s="53">
        <v>62.249795579973053</v>
      </c>
      <c r="D788" s="53">
        <v>62.446229141285677</v>
      </c>
      <c r="E788" s="53">
        <v>51312.005609663771</v>
      </c>
      <c r="F788" s="53" t="s">
        <v>813</v>
      </c>
      <c r="G788" s="25">
        <f t="shared" si="8"/>
        <v>-3.1456432840504256E-4</v>
      </c>
    </row>
    <row r="789" spans="1:7">
      <c r="A789" s="53">
        <v>62.632841024532681</v>
      </c>
      <c r="B789" s="53">
        <v>63.064994859420466</v>
      </c>
      <c r="C789" s="53">
        <v>61.582019688290757</v>
      </c>
      <c r="D789" s="53">
        <v>62.220330545776157</v>
      </c>
      <c r="E789" s="53">
        <v>55730.802449672912</v>
      </c>
      <c r="F789" s="53" t="s">
        <v>814</v>
      </c>
      <c r="G789" s="25">
        <f t="shared" si="8"/>
        <v>6.6298342541435407E-3</v>
      </c>
    </row>
    <row r="790" spans="1:7">
      <c r="A790" s="53">
        <v>62.377477394826258</v>
      </c>
      <c r="B790" s="53">
        <v>62.839096263910939</v>
      </c>
      <c r="C790" s="53">
        <v>61.62120818377263</v>
      </c>
      <c r="D790" s="53">
        <v>62.082827052857311</v>
      </c>
      <c r="E790" s="53">
        <v>92067.770289093722</v>
      </c>
      <c r="F790" s="53" t="s">
        <v>815</v>
      </c>
      <c r="G790" s="25">
        <f t="shared" si="8"/>
        <v>4.7460844803037805E-3</v>
      </c>
    </row>
    <row r="791" spans="1:7">
      <c r="A791" s="53">
        <v>62.377477394826258</v>
      </c>
      <c r="B791" s="53">
        <v>65.55970108809089</v>
      </c>
      <c r="C791" s="53">
        <v>62.299198620643182</v>
      </c>
      <c r="D791" s="53">
        <v>65.176655643531262</v>
      </c>
      <c r="E791" s="53">
        <v>184835.0137185299</v>
      </c>
      <c r="F791" s="53" t="s">
        <v>816</v>
      </c>
      <c r="G791" s="25">
        <f t="shared" si="8"/>
        <v>-4.2947558770343619E-2</v>
      </c>
    </row>
    <row r="792" spans="1:7">
      <c r="A792" s="53">
        <v>65.039152150612423</v>
      </c>
      <c r="B792" s="53">
        <v>65.274872424187578</v>
      </c>
      <c r="C792" s="53">
        <v>64.381099720215104</v>
      </c>
      <c r="D792" s="53">
        <v>64.9998654383499</v>
      </c>
      <c r="E792" s="53">
        <v>61907.954622100442</v>
      </c>
      <c r="F792" s="53" t="s">
        <v>817</v>
      </c>
      <c r="G792" s="25">
        <f t="shared" si="8"/>
        <v>6.0441220912665905E-4</v>
      </c>
    </row>
    <row r="793" spans="1:7">
      <c r="A793" s="53">
        <v>65.068617184809312</v>
      </c>
      <c r="B793" s="53">
        <v>65.245407389990689</v>
      </c>
      <c r="C793" s="53">
        <v>64.194487836968108</v>
      </c>
      <c r="D793" s="53">
        <v>64.331991329886947</v>
      </c>
      <c r="E793" s="53">
        <v>99391.366065634211</v>
      </c>
      <c r="F793" s="53" t="s">
        <v>818</v>
      </c>
      <c r="G793" s="25">
        <f t="shared" si="8"/>
        <v>1.1450381679389166E-2</v>
      </c>
    </row>
    <row r="794" spans="1:7">
      <c r="A794" s="53">
        <v>64.489138178937054</v>
      </c>
      <c r="B794" s="53">
        <v>64.548068247330846</v>
      </c>
      <c r="C794" s="53">
        <v>63.664117221423993</v>
      </c>
      <c r="D794" s="53">
        <v>64.174844480836839</v>
      </c>
      <c r="E794" s="53">
        <v>68480.151304648592</v>
      </c>
      <c r="F794" s="53" t="s">
        <v>819</v>
      </c>
      <c r="G794" s="25">
        <f t="shared" si="8"/>
        <v>4.8974594429140872E-3</v>
      </c>
    </row>
    <row r="795" spans="1:7">
      <c r="A795" s="53">
        <v>64.204309515033742</v>
      </c>
      <c r="B795" s="53">
        <v>64.850477714971646</v>
      </c>
      <c r="C795" s="53">
        <v>63.888247914881703</v>
      </c>
      <c r="D795" s="53">
        <v>64.754323486709112</v>
      </c>
      <c r="E795" s="53">
        <v>72142.458270895804</v>
      </c>
      <c r="F795" s="53" t="s">
        <v>820</v>
      </c>
      <c r="G795" s="25">
        <f t="shared" si="8"/>
        <v>-8.4938571211891079E-3</v>
      </c>
    </row>
    <row r="796" spans="1:7">
      <c r="A796" s="53">
        <v>64.882005301562316</v>
      </c>
      <c r="B796" s="53">
        <v>64.970400404153011</v>
      </c>
      <c r="C796" s="53">
        <v>63.595365474964581</v>
      </c>
      <c r="D796" s="53">
        <v>63.732868967883419</v>
      </c>
      <c r="E796" s="53">
        <v>103831.54418067566</v>
      </c>
      <c r="F796" s="53" t="s">
        <v>821</v>
      </c>
      <c r="G796" s="25">
        <f t="shared" si="8"/>
        <v>1.8030513176144236E-2</v>
      </c>
    </row>
    <row r="797" spans="1:7">
      <c r="A797" s="53">
        <v>63.781977358211577</v>
      </c>
      <c r="B797" s="53">
        <v>64.061895183082072</v>
      </c>
      <c r="C797" s="53">
        <v>63.050262342322014</v>
      </c>
      <c r="D797" s="53">
        <v>63.369466879455047</v>
      </c>
      <c r="E797" s="53">
        <v>83242.39448052246</v>
      </c>
      <c r="F797" s="53" t="s">
        <v>822</v>
      </c>
      <c r="G797" s="25">
        <f t="shared" si="8"/>
        <v>6.5096094234347035E-3</v>
      </c>
    </row>
    <row r="798" spans="1:7">
      <c r="A798" s="53">
        <v>63.349823523323785</v>
      </c>
      <c r="B798" s="53">
        <v>63.379288557520681</v>
      </c>
      <c r="C798" s="53">
        <v>61.876571813479046</v>
      </c>
      <c r="D798" s="53">
        <v>62.917669688436</v>
      </c>
      <c r="E798" s="53">
        <v>102812.37007080259</v>
      </c>
      <c r="F798" s="53" t="s">
        <v>823</v>
      </c>
      <c r="G798" s="25">
        <f t="shared" si="8"/>
        <v>6.8685607243208491E-3</v>
      </c>
    </row>
    <row r="799" spans="1:7">
      <c r="A799" s="53">
        <v>62.485515853548208</v>
      </c>
      <c r="B799" s="53">
        <v>63.300715132995634</v>
      </c>
      <c r="C799" s="53">
        <v>62.053362018660415</v>
      </c>
      <c r="D799" s="53">
        <v>63.045351503289204</v>
      </c>
      <c r="E799" s="53">
        <v>79845.826218248156</v>
      </c>
      <c r="F799" s="53" t="s">
        <v>824</v>
      </c>
      <c r="G799" s="25">
        <f t="shared" si="8"/>
        <v>-8.8798878329957587E-3</v>
      </c>
    </row>
    <row r="800" spans="1:7">
      <c r="A800" s="53">
        <v>62.917669688436</v>
      </c>
      <c r="B800" s="53">
        <v>63.605187153030215</v>
      </c>
      <c r="C800" s="53">
        <v>62.112292087054207</v>
      </c>
      <c r="D800" s="53">
        <v>62.230152223841785</v>
      </c>
      <c r="E800" s="53">
        <v>93621.476274774352</v>
      </c>
      <c r="F800" s="53" t="s">
        <v>825</v>
      </c>
      <c r="G800" s="25">
        <f t="shared" si="8"/>
        <v>1.104797979797989E-2</v>
      </c>
    </row>
    <row r="801" spans="1:7">
      <c r="A801" s="53">
        <v>62.230152223841785</v>
      </c>
      <c r="B801" s="53">
        <v>64.602087476691821</v>
      </c>
      <c r="C801" s="53">
        <v>62.171222155447992</v>
      </c>
      <c r="D801" s="53">
        <v>63.349823523323785</v>
      </c>
      <c r="E801" s="53">
        <v>119976.44314197173</v>
      </c>
      <c r="F801" s="53" t="s">
        <v>826</v>
      </c>
      <c r="G801" s="25">
        <f t="shared" si="8"/>
        <v>-1.7674418604651132E-2</v>
      </c>
    </row>
    <row r="802" spans="1:7">
      <c r="A802" s="53">
        <v>63.212320030404946</v>
      </c>
      <c r="B802" s="53">
        <v>63.942365361023349</v>
      </c>
      <c r="C802" s="53">
        <v>63.006064791026688</v>
      </c>
      <c r="D802" s="53">
        <v>63.546257084636423</v>
      </c>
      <c r="E802" s="53">
        <v>70375.957690846073</v>
      </c>
      <c r="F802" s="53" t="s">
        <v>827</v>
      </c>
      <c r="G802" s="25">
        <f t="shared" si="8"/>
        <v>-5.2550231839258998E-3</v>
      </c>
    </row>
    <row r="803" spans="1:7">
      <c r="A803" s="53">
        <v>63.742690645949054</v>
      </c>
      <c r="B803" s="53">
        <v>65.657917868747205</v>
      </c>
      <c r="C803" s="53">
        <v>63.703403933686523</v>
      </c>
      <c r="D803" s="53">
        <v>65.657917868747205</v>
      </c>
      <c r="E803" s="53">
        <v>72635.245752592687</v>
      </c>
      <c r="F803" s="53" t="s">
        <v>828</v>
      </c>
      <c r="G803" s="25">
        <f t="shared" si="8"/>
        <v>-2.9169783096484547E-2</v>
      </c>
    </row>
    <row r="804" spans="1:7">
      <c r="A804" s="53">
        <v>65.815064717797327</v>
      </c>
      <c r="B804" s="53">
        <v>66.031141635241212</v>
      </c>
      <c r="C804" s="53">
        <v>64.901648657693585</v>
      </c>
      <c r="D804" s="53">
        <v>66.031141635241212</v>
      </c>
      <c r="E804" s="53">
        <v>53873.68598972437</v>
      </c>
      <c r="F804" s="53" t="s">
        <v>829</v>
      </c>
      <c r="G804" s="25">
        <f t="shared" si="8"/>
        <v>-3.2723486538746016E-3</v>
      </c>
    </row>
    <row r="805" spans="1:7">
      <c r="A805" s="53">
        <v>66.08025002556937</v>
      </c>
      <c r="B805" s="53">
        <v>67.077150349230976</v>
      </c>
      <c r="C805" s="53">
        <v>65.982033244913055</v>
      </c>
      <c r="D805" s="53">
        <v>66.217753518488209</v>
      </c>
      <c r="E805" s="53">
        <v>171866.76133346159</v>
      </c>
      <c r="F805" s="53" t="s">
        <v>830</v>
      </c>
      <c r="G805" s="25">
        <f t="shared" si="8"/>
        <v>-2.0765351527736176E-3</v>
      </c>
    </row>
    <row r="806" spans="1:7">
      <c r="A806" s="53">
        <v>65.962389888781786</v>
      </c>
      <c r="B806" s="53">
        <v>66.551690572719693</v>
      </c>
      <c r="C806" s="53">
        <v>65.186477321596897</v>
      </c>
      <c r="D806" s="53">
        <v>65.186477321596897</v>
      </c>
      <c r="E806" s="53">
        <v>161485.64322730186</v>
      </c>
      <c r="F806" s="53" t="s">
        <v>831</v>
      </c>
      <c r="G806" s="25">
        <f t="shared" si="8"/>
        <v>1.1902968208527875E-2</v>
      </c>
    </row>
    <row r="807" spans="1:7">
      <c r="A807" s="53">
        <v>65.265050746121958</v>
      </c>
      <c r="B807" s="53">
        <v>66.767767490163592</v>
      </c>
      <c r="C807" s="53">
        <v>65.245407389990689</v>
      </c>
      <c r="D807" s="53">
        <v>65.824886395862947</v>
      </c>
      <c r="E807" s="53">
        <v>73880.450484235815</v>
      </c>
      <c r="F807" s="53" t="s">
        <v>832</v>
      </c>
      <c r="G807" s="25">
        <f t="shared" si="8"/>
        <v>-8.5049239033122559E-3</v>
      </c>
    </row>
    <row r="808" spans="1:7">
      <c r="A808" s="53">
        <v>65.864173108125485</v>
      </c>
      <c r="B808" s="53">
        <v>66.600798963047851</v>
      </c>
      <c r="C808" s="53">
        <v>65.55970108809089</v>
      </c>
      <c r="D808" s="53">
        <v>65.932924854584897</v>
      </c>
      <c r="E808" s="53">
        <v>124315.82381757519</v>
      </c>
      <c r="F808" s="53" t="s">
        <v>833</v>
      </c>
      <c r="G808" s="25">
        <f t="shared" si="8"/>
        <v>-1.0427528675702735E-3</v>
      </c>
    </row>
    <row r="809" spans="1:7">
      <c r="A809" s="53">
        <v>66.149001772028782</v>
      </c>
      <c r="B809" s="53">
        <v>67.298138105707679</v>
      </c>
      <c r="C809" s="53">
        <v>66.011498279109944</v>
      </c>
      <c r="D809" s="53">
        <v>66.944557695344955</v>
      </c>
      <c r="E809" s="53">
        <v>84136.335408063474</v>
      </c>
      <c r="F809" s="53" t="s">
        <v>834</v>
      </c>
      <c r="G809" s="25">
        <f t="shared" si="8"/>
        <v>-1.1883802816901601E-2</v>
      </c>
    </row>
    <row r="810" spans="1:7">
      <c r="A810" s="53">
        <v>66.993666085673098</v>
      </c>
      <c r="B810" s="53">
        <v>67.440552437659349</v>
      </c>
      <c r="C810" s="53">
        <v>66.566423089818144</v>
      </c>
      <c r="D810" s="53">
        <v>66.581155606916582</v>
      </c>
      <c r="E810" s="53">
        <v>264042.45615367073</v>
      </c>
      <c r="F810" s="53" t="s">
        <v>835</v>
      </c>
      <c r="G810" s="25">
        <f t="shared" si="8"/>
        <v>6.1956040713968541E-3</v>
      </c>
    </row>
    <row r="811" spans="1:7">
      <c r="A811" s="53">
        <v>66.797232524360481</v>
      </c>
      <c r="B811" s="53">
        <v>67.180277968920109</v>
      </c>
      <c r="C811" s="53">
        <v>66.315970299144524</v>
      </c>
      <c r="D811" s="53">
        <v>66.482938826260266</v>
      </c>
      <c r="E811" s="53">
        <v>86705.142879801511</v>
      </c>
      <c r="F811" s="53" t="s">
        <v>836</v>
      </c>
      <c r="G811" s="25">
        <f t="shared" si="8"/>
        <v>4.7274338897917989E-3</v>
      </c>
    </row>
    <row r="812" spans="1:7">
      <c r="A812" s="53">
        <v>66.374900367538316</v>
      </c>
      <c r="B812" s="53">
        <v>66.718757316616077</v>
      </c>
      <c r="C812" s="53">
        <v>65.451662629368954</v>
      </c>
      <c r="D812" s="53">
        <v>66.512403860457155</v>
      </c>
      <c r="E812" s="53">
        <v>76849.393245864077</v>
      </c>
      <c r="F812" s="53" t="s">
        <v>837</v>
      </c>
      <c r="G812" s="25">
        <f t="shared" si="8"/>
        <v>-2.0673360897813797E-3</v>
      </c>
    </row>
    <row r="813" spans="1:7">
      <c r="A813" s="53">
        <v>66.649907353376008</v>
      </c>
      <c r="B813" s="53">
        <v>66.728480777901055</v>
      </c>
      <c r="C813" s="53">
        <v>65.166833965465628</v>
      </c>
      <c r="D813" s="53">
        <v>65.66773954681284</v>
      </c>
      <c r="E813" s="53">
        <v>87978.855978154374</v>
      </c>
      <c r="F813" s="53" t="s">
        <v>838</v>
      </c>
      <c r="G813" s="25">
        <f t="shared" si="8"/>
        <v>1.4956625785222943E-2</v>
      </c>
    </row>
    <row r="814" spans="1:7">
      <c r="A814" s="53">
        <v>65.66773954681284</v>
      </c>
      <c r="B814" s="53">
        <v>66.723569938868238</v>
      </c>
      <c r="C814" s="53">
        <v>65.157012287400008</v>
      </c>
      <c r="D814" s="53">
        <v>66.7088374217698</v>
      </c>
      <c r="E814" s="53">
        <v>234150.4155025582</v>
      </c>
      <c r="F814" s="53" t="s">
        <v>839</v>
      </c>
      <c r="G814" s="25">
        <f t="shared" si="8"/>
        <v>-1.5606595995288797E-2</v>
      </c>
    </row>
    <row r="815" spans="1:7">
      <c r="A815" s="53">
        <v>66.060606669438116</v>
      </c>
      <c r="B815" s="53">
        <v>66.974022729541844</v>
      </c>
      <c r="C815" s="53">
        <v>65.618631156484682</v>
      </c>
      <c r="D815" s="53">
        <v>66.669550709507263</v>
      </c>
      <c r="E815" s="53">
        <v>78527.314257922844</v>
      </c>
      <c r="F815" s="53" t="s">
        <v>840</v>
      </c>
      <c r="G815" s="25">
        <f t="shared" si="8"/>
        <v>-9.1337654684735536E-3</v>
      </c>
    </row>
    <row r="816" spans="1:7">
      <c r="A816" s="53">
        <v>66.424008757866474</v>
      </c>
      <c r="B816" s="53">
        <v>67.190099646985743</v>
      </c>
      <c r="C816" s="53">
        <v>65.32398081451575</v>
      </c>
      <c r="D816" s="53">
        <v>65.32398081451575</v>
      </c>
      <c r="E816" s="53">
        <v>129652.99732801941</v>
      </c>
      <c r="F816" s="53" t="s">
        <v>841</v>
      </c>
      <c r="G816" s="25">
        <f t="shared" si="8"/>
        <v>1.6839572996541596E-2</v>
      </c>
    </row>
    <row r="817" spans="1:7">
      <c r="A817" s="53">
        <v>65.353445848712639</v>
      </c>
      <c r="B817" s="53">
        <v>66.807054202426102</v>
      </c>
      <c r="C817" s="53">
        <v>65.314159136450101</v>
      </c>
      <c r="D817" s="53">
        <v>65.736491293272266</v>
      </c>
      <c r="E817" s="53">
        <v>158203.10843186651</v>
      </c>
      <c r="F817" s="53" t="s">
        <v>842</v>
      </c>
      <c r="G817" s="25">
        <f t="shared" si="8"/>
        <v>-5.8269834155086908E-3</v>
      </c>
    </row>
    <row r="818" spans="1:7">
      <c r="A818" s="53">
        <v>65.726669615206632</v>
      </c>
      <c r="B818" s="53">
        <v>66.040963313306833</v>
      </c>
      <c r="C818" s="53">
        <v>64.606998315724638</v>
      </c>
      <c r="D818" s="53">
        <v>64.656106706052782</v>
      </c>
      <c r="E818" s="53">
        <v>231234.41685053371</v>
      </c>
      <c r="F818" s="53" t="s">
        <v>843</v>
      </c>
      <c r="G818" s="25">
        <f t="shared" si="8"/>
        <v>1.655780039495669E-2</v>
      </c>
    </row>
    <row r="819" spans="1:7">
      <c r="A819" s="53">
        <v>64.656106706052782</v>
      </c>
      <c r="B819" s="53">
        <v>64.960578726087363</v>
      </c>
      <c r="C819" s="53">
        <v>63.978410919524208</v>
      </c>
      <c r="D819" s="53">
        <v>64.056984344049255</v>
      </c>
      <c r="E819" s="53">
        <v>213166.22129228438</v>
      </c>
      <c r="F819" s="53" t="s">
        <v>844</v>
      </c>
      <c r="G819" s="25">
        <f t="shared" si="8"/>
        <v>9.3529592149648177E-3</v>
      </c>
    </row>
    <row r="820" spans="1:7">
      <c r="A820" s="53">
        <v>63.781977358211577</v>
      </c>
      <c r="B820" s="53">
        <v>64.508781535068323</v>
      </c>
      <c r="C820" s="53">
        <v>63.0748165374861</v>
      </c>
      <c r="D820" s="53">
        <v>63.546257084636423</v>
      </c>
      <c r="E820" s="53">
        <v>166927.68680099974</v>
      </c>
      <c r="F820" s="53" t="s">
        <v>845</v>
      </c>
      <c r="G820" s="25">
        <f t="shared" si="8"/>
        <v>3.7094281298299947E-3</v>
      </c>
    </row>
    <row r="821" spans="1:7">
      <c r="A821" s="53">
        <v>63.497148694308265</v>
      </c>
      <c r="B821" s="53">
        <v>64.440029788608896</v>
      </c>
      <c r="C821" s="53">
        <v>63.487327016242631</v>
      </c>
      <c r="D821" s="53">
        <v>63.585543796898939</v>
      </c>
      <c r="E821" s="53">
        <v>123127.63581935153</v>
      </c>
      <c r="F821" s="53" t="s">
        <v>846</v>
      </c>
      <c r="G821" s="25">
        <f t="shared" si="8"/>
        <v>-1.3901760889710735E-3</v>
      </c>
    </row>
    <row r="822" spans="1:7">
      <c r="A822" s="53">
        <v>63.644473865292731</v>
      </c>
      <c r="B822" s="53">
        <v>63.831085748539728</v>
      </c>
      <c r="C822" s="53">
        <v>62.858739620042208</v>
      </c>
      <c r="D822" s="53">
        <v>63.831085748539728</v>
      </c>
      <c r="E822" s="53">
        <v>108357.24739584631</v>
      </c>
      <c r="F822" s="53" t="s">
        <v>847</v>
      </c>
      <c r="G822" s="25">
        <f t="shared" si="8"/>
        <v>-2.9235266964148243E-3</v>
      </c>
    </row>
    <row r="823" spans="1:7">
      <c r="A823" s="53">
        <v>63.762334002080316</v>
      </c>
      <c r="B823" s="53">
        <v>64.04716266598362</v>
      </c>
      <c r="C823" s="53">
        <v>62.524802565810731</v>
      </c>
      <c r="D823" s="53">
        <v>63.33018016719253</v>
      </c>
      <c r="E823" s="53">
        <v>118894.14336295567</v>
      </c>
      <c r="F823" s="53" t="s">
        <v>848</v>
      </c>
      <c r="G823" s="25">
        <f t="shared" si="8"/>
        <v>6.8238213399502978E-3</v>
      </c>
    </row>
    <row r="824" spans="1:7">
      <c r="A824" s="53">
        <v>63.752512324014681</v>
      </c>
      <c r="B824" s="53">
        <v>64.184666158902473</v>
      </c>
      <c r="C824" s="53">
        <v>62.249795579973053</v>
      </c>
      <c r="D824" s="53">
        <v>63.104281571682996</v>
      </c>
      <c r="E824" s="53">
        <v>134832.35666560617</v>
      </c>
      <c r="F824" s="53" t="s">
        <v>849</v>
      </c>
      <c r="G824" s="25">
        <f t="shared" si="8"/>
        <v>1.0272373540856083E-2</v>
      </c>
    </row>
    <row r="825" spans="1:7">
      <c r="A825" s="53">
        <v>62.878382976173469</v>
      </c>
      <c r="B825" s="53">
        <v>62.971688917796968</v>
      </c>
      <c r="C825" s="53">
        <v>61.51808056408349</v>
      </c>
      <c r="D825" s="53">
        <v>61.748889998625835</v>
      </c>
      <c r="E825" s="53">
        <v>87441.26963448507</v>
      </c>
      <c r="F825" s="53" t="s">
        <v>850</v>
      </c>
      <c r="G825" s="25">
        <f t="shared" ref="G825:G888" si="9">A825/D825-1</f>
        <v>1.8291713058692594E-2</v>
      </c>
    </row>
    <row r="826" spans="1:7">
      <c r="A826" s="53">
        <v>61.719424964428946</v>
      </c>
      <c r="B826" s="53">
        <v>61.837285101216523</v>
      </c>
      <c r="C826" s="53">
        <v>60.255994932649834</v>
      </c>
      <c r="D826" s="53">
        <v>60.825652260456465</v>
      </c>
      <c r="E826" s="53">
        <v>129068.57581046982</v>
      </c>
      <c r="F826" s="53" t="s">
        <v>851</v>
      </c>
      <c r="G826" s="25">
        <f t="shared" si="9"/>
        <v>1.4694009365412652E-2</v>
      </c>
    </row>
    <row r="827" spans="1:7">
      <c r="A827" s="53">
        <v>60.825652260456465</v>
      </c>
      <c r="B827" s="53">
        <v>60.943512397244042</v>
      </c>
      <c r="C827" s="53">
        <v>58.831851613133253</v>
      </c>
      <c r="D827" s="53">
        <v>58.998820140248988</v>
      </c>
      <c r="E827" s="53">
        <v>125507.06628366059</v>
      </c>
      <c r="F827" s="53" t="s">
        <v>852</v>
      </c>
      <c r="G827" s="25">
        <f t="shared" si="9"/>
        <v>3.0963875478608349E-2</v>
      </c>
    </row>
    <row r="828" spans="1:7">
      <c r="A828" s="53">
        <v>59.038106852511518</v>
      </c>
      <c r="B828" s="53">
        <v>59.185432023495991</v>
      </c>
      <c r="C828" s="53">
        <v>58.016652333685833</v>
      </c>
      <c r="D828" s="53">
        <v>58.566666305361203</v>
      </c>
      <c r="E828" s="53">
        <v>76997.025859182351</v>
      </c>
      <c r="F828" s="53" t="s">
        <v>853</v>
      </c>
      <c r="G828" s="25">
        <f t="shared" si="9"/>
        <v>8.0496394432332252E-3</v>
      </c>
    </row>
    <row r="829" spans="1:7">
      <c r="A829" s="53">
        <v>58.566666305361203</v>
      </c>
      <c r="B829" s="53">
        <v>59.126501955102206</v>
      </c>
      <c r="C829" s="53">
        <v>58.301480997589145</v>
      </c>
      <c r="D829" s="53">
        <v>58.890781681527045</v>
      </c>
      <c r="E829" s="53">
        <v>92059.625041462365</v>
      </c>
      <c r="F829" s="53" t="s">
        <v>854</v>
      </c>
      <c r="G829" s="25">
        <f t="shared" si="9"/>
        <v>-5.5036691127418047E-3</v>
      </c>
    </row>
    <row r="830" spans="1:7">
      <c r="A830" s="53">
        <v>59.038106852511518</v>
      </c>
      <c r="B830" s="53">
        <v>59.814019419696415</v>
      </c>
      <c r="C830" s="53">
        <v>58.360411065982937</v>
      </c>
      <c r="D830" s="53">
        <v>59.814019419696415</v>
      </c>
      <c r="E830" s="53">
        <v>89811.536695208866</v>
      </c>
      <c r="F830" s="53" t="s">
        <v>855</v>
      </c>
      <c r="G830" s="25">
        <f t="shared" si="9"/>
        <v>-1.2972085385878462E-2</v>
      </c>
    </row>
    <row r="831" spans="1:7">
      <c r="A831" s="53">
        <v>59.951522912615253</v>
      </c>
      <c r="B831" s="53">
        <v>61.10065924629415</v>
      </c>
      <c r="C831" s="53">
        <v>59.843484453893311</v>
      </c>
      <c r="D831" s="53">
        <v>60.786365548193942</v>
      </c>
      <c r="E831" s="53">
        <v>93904.523629963878</v>
      </c>
      <c r="F831" s="53" t="s">
        <v>856</v>
      </c>
      <c r="G831" s="25">
        <f t="shared" si="9"/>
        <v>-1.373404427209568E-2</v>
      </c>
    </row>
    <row r="832" spans="1:7">
      <c r="A832" s="53">
        <v>60.825652260456465</v>
      </c>
      <c r="B832" s="53">
        <v>62.485515853548208</v>
      </c>
      <c r="C832" s="53">
        <v>60.580110308815676</v>
      </c>
      <c r="D832" s="53">
        <v>61.375666232131842</v>
      </c>
      <c r="E832" s="53">
        <v>105736.5139704584</v>
      </c>
      <c r="F832" s="53" t="s">
        <v>857</v>
      </c>
      <c r="G832" s="25">
        <f t="shared" si="9"/>
        <v>-8.9614338294128348E-3</v>
      </c>
    </row>
    <row r="833" spans="1:7">
      <c r="A833" s="53">
        <v>61.218519383081727</v>
      </c>
      <c r="B833" s="53">
        <v>63.722949073037135</v>
      </c>
      <c r="C833" s="53">
        <v>61.110480924359784</v>
      </c>
      <c r="D833" s="53">
        <v>62.59355431227015</v>
      </c>
      <c r="E833" s="53">
        <v>139067.88543390986</v>
      </c>
      <c r="F833" s="53" t="s">
        <v>858</v>
      </c>
      <c r="G833" s="25">
        <f t="shared" si="9"/>
        <v>-2.1967676133688996E-2</v>
      </c>
    </row>
    <row r="834" spans="1:7">
      <c r="A834" s="53">
        <v>62.023896984463519</v>
      </c>
      <c r="B834" s="53">
        <v>62.986421434895412</v>
      </c>
      <c r="C834" s="53">
        <v>61.758711676691469</v>
      </c>
      <c r="D834" s="53">
        <v>62.721236127123362</v>
      </c>
      <c r="E834" s="53">
        <v>141315.97378016336</v>
      </c>
      <c r="F834" s="53" t="s">
        <v>859</v>
      </c>
      <c r="G834" s="25">
        <f t="shared" si="9"/>
        <v>-1.1118070779830846E-2</v>
      </c>
    </row>
    <row r="835" spans="1:7">
      <c r="A835" s="53">
        <v>62.642662702598315</v>
      </c>
      <c r="B835" s="53">
        <v>63.369466879455047</v>
      </c>
      <c r="C835" s="53">
        <v>62.59355431227015</v>
      </c>
      <c r="D835" s="53">
        <v>63.369466879455047</v>
      </c>
      <c r="E835" s="53">
        <v>136544.89498009818</v>
      </c>
      <c r="F835" s="53" t="s">
        <v>860</v>
      </c>
      <c r="G835" s="25">
        <f t="shared" si="9"/>
        <v>-1.1469311841289409E-2</v>
      </c>
    </row>
    <row r="836" spans="1:7">
      <c r="A836" s="53">
        <v>63.241785064601842</v>
      </c>
      <c r="B836" s="53">
        <v>63.536435406570789</v>
      </c>
      <c r="C836" s="53">
        <v>62.564089278073261</v>
      </c>
      <c r="D836" s="53">
        <v>62.564089278073261</v>
      </c>
      <c r="E836" s="53">
        <v>98037.218646921741</v>
      </c>
      <c r="F836" s="53" t="s">
        <v>861</v>
      </c>
      <c r="G836" s="25">
        <f t="shared" si="9"/>
        <v>1.0832025117739397E-2</v>
      </c>
    </row>
    <row r="837" spans="1:7">
      <c r="A837" s="53">
        <v>62.986421434895384</v>
      </c>
      <c r="B837" s="53">
        <v>64.809274147963777</v>
      </c>
      <c r="C837" s="53">
        <v>62.516007831522899</v>
      </c>
      <c r="D837" s="53">
        <v>63.927248641640361</v>
      </c>
      <c r="E837" s="53">
        <v>118342.49605217917</v>
      </c>
      <c r="F837" s="53" t="s">
        <v>862</v>
      </c>
      <c r="G837" s="25">
        <f t="shared" si="9"/>
        <v>-1.4717154683427935E-2</v>
      </c>
    </row>
    <row r="838" spans="1:7">
      <c r="A838" s="53">
        <v>63.966449775254731</v>
      </c>
      <c r="B838" s="53">
        <v>64.009767027898619</v>
      </c>
      <c r="C838" s="53">
        <v>63.251029086792414</v>
      </c>
      <c r="D838" s="53">
        <v>63.790044673990053</v>
      </c>
      <c r="E838" s="53">
        <v>70526.531890553626</v>
      </c>
      <c r="F838" s="53" t="s">
        <v>863</v>
      </c>
      <c r="G838" s="25">
        <f t="shared" si="9"/>
        <v>2.7654017514209261E-3</v>
      </c>
    </row>
    <row r="839" spans="1:7">
      <c r="A839" s="53">
        <v>63.868446941218799</v>
      </c>
      <c r="B839" s="53">
        <v>64.476064512241607</v>
      </c>
      <c r="C839" s="53">
        <v>63.398033337846307</v>
      </c>
      <c r="D839" s="53">
        <v>64.142854876519422</v>
      </c>
      <c r="E839" s="53">
        <v>188134.35531098422</v>
      </c>
      <c r="F839" s="53" t="s">
        <v>864</v>
      </c>
      <c r="G839" s="25">
        <f t="shared" si="9"/>
        <v>-4.2780748663102663E-3</v>
      </c>
    </row>
    <row r="840" spans="1:7">
      <c r="A840" s="53">
        <v>64.09385345950146</v>
      </c>
      <c r="B840" s="53">
        <v>64.9268775488069</v>
      </c>
      <c r="C840" s="53">
        <v>63.946849208447546</v>
      </c>
      <c r="D840" s="53">
        <v>64.681870463717061</v>
      </c>
      <c r="E840" s="53">
        <v>161550.43020689275</v>
      </c>
      <c r="F840" s="53" t="s">
        <v>865</v>
      </c>
      <c r="G840" s="25">
        <f t="shared" si="9"/>
        <v>-9.0909090909089274E-3</v>
      </c>
    </row>
    <row r="841" spans="1:7">
      <c r="A841" s="53">
        <v>64.182056010133792</v>
      </c>
      <c r="B841" s="53">
        <v>65.083682083264392</v>
      </c>
      <c r="C841" s="53">
        <v>64.152655159923</v>
      </c>
      <c r="D841" s="53">
        <v>65.083682083264392</v>
      </c>
      <c r="E841" s="53">
        <v>105343.89236350526</v>
      </c>
      <c r="F841" s="53" t="s">
        <v>866</v>
      </c>
      <c r="G841" s="25">
        <f t="shared" si="9"/>
        <v>-1.3853335341063033E-2</v>
      </c>
    </row>
    <row r="842" spans="1:7">
      <c r="A842" s="53">
        <v>65.279687751336269</v>
      </c>
      <c r="B842" s="53">
        <v>66.263048188052835</v>
      </c>
      <c r="C842" s="53">
        <v>64.809274147963777</v>
      </c>
      <c r="D842" s="53">
        <v>66.132312407448893</v>
      </c>
      <c r="E842" s="53">
        <v>91718.776180534653</v>
      </c>
      <c r="F842" s="53" t="s">
        <v>867</v>
      </c>
      <c r="G842" s="25">
        <f t="shared" si="9"/>
        <v>-1.289270895080008E-2</v>
      </c>
    </row>
    <row r="843" spans="1:7">
      <c r="A843" s="53">
        <v>66.230315241484831</v>
      </c>
      <c r="B843" s="53">
        <v>66.700728844857323</v>
      </c>
      <c r="C843" s="53">
        <v>63.398033337846307</v>
      </c>
      <c r="D843" s="53">
        <v>64.231057427151768</v>
      </c>
      <c r="E843" s="53">
        <v>237966.58769529752</v>
      </c>
      <c r="F843" s="53" t="s">
        <v>868</v>
      </c>
      <c r="G843" s="25">
        <f t="shared" si="9"/>
        <v>3.1126029905401031E-2</v>
      </c>
    </row>
    <row r="844" spans="1:7">
      <c r="A844" s="53">
        <v>63.927248641640361</v>
      </c>
      <c r="B844" s="53">
        <v>64.133054593115816</v>
      </c>
      <c r="C844" s="53">
        <v>60.466376560495355</v>
      </c>
      <c r="D844" s="53">
        <v>61.359574389898867</v>
      </c>
      <c r="E844" s="53">
        <v>264800.50556991453</v>
      </c>
      <c r="F844" s="53" t="s">
        <v>869</v>
      </c>
      <c r="G844" s="25">
        <f t="shared" si="9"/>
        <v>4.184635042325513E-2</v>
      </c>
    </row>
    <row r="845" spans="1:7">
      <c r="A845" s="53">
        <v>61.829987993271352</v>
      </c>
      <c r="B845" s="53">
        <v>62.672812365980398</v>
      </c>
      <c r="C845" s="53">
        <v>56.165424185994318</v>
      </c>
      <c r="D845" s="53">
        <v>57.821672081201612</v>
      </c>
      <c r="E845" s="53">
        <v>535067.17959576962</v>
      </c>
      <c r="F845" s="53" t="s">
        <v>870</v>
      </c>
      <c r="G845" s="25">
        <f t="shared" si="9"/>
        <v>6.9322033898305158E-2</v>
      </c>
    </row>
    <row r="846" spans="1:7">
      <c r="A846" s="53">
        <v>53.656551634674379</v>
      </c>
      <c r="B846" s="53">
        <v>54.264169205697172</v>
      </c>
      <c r="C846" s="53">
        <v>52.392315075610817</v>
      </c>
      <c r="D846" s="53">
        <v>53.382143699373756</v>
      </c>
      <c r="E846" s="53">
        <v>263993.38605364633</v>
      </c>
      <c r="F846" s="53" t="s">
        <v>871</v>
      </c>
      <c r="G846" s="25">
        <f t="shared" si="9"/>
        <v>5.1404442812559292E-3</v>
      </c>
    </row>
    <row r="847" spans="1:7">
      <c r="A847" s="53">
        <v>53.578149367445633</v>
      </c>
      <c r="B847" s="53">
        <v>53.725153618499533</v>
      </c>
      <c r="C847" s="53">
        <v>52.460917059435971</v>
      </c>
      <c r="D847" s="53">
        <v>53.048934063651586</v>
      </c>
      <c r="E847" s="53">
        <v>84484.291515121513</v>
      </c>
      <c r="F847" s="53" t="s">
        <v>872</v>
      </c>
      <c r="G847" s="25">
        <f t="shared" si="9"/>
        <v>9.9759837428412546E-3</v>
      </c>
    </row>
    <row r="848" spans="1:7">
      <c r="A848" s="53">
        <v>52.921530379404864</v>
      </c>
      <c r="B848" s="53">
        <v>53.509547383620479</v>
      </c>
      <c r="C848" s="53">
        <v>52.039504873081455</v>
      </c>
      <c r="D848" s="53">
        <v>52.382514792207225</v>
      </c>
      <c r="E848" s="53">
        <v>112212.06109169932</v>
      </c>
      <c r="F848" s="53" t="s">
        <v>873</v>
      </c>
      <c r="G848" s="25">
        <f t="shared" si="9"/>
        <v>1.0289990645462987E-2</v>
      </c>
    </row>
    <row r="849" spans="1:7">
      <c r="A849" s="53">
        <v>52.66672301091144</v>
      </c>
      <c r="B849" s="53">
        <v>53.039133780247987</v>
      </c>
      <c r="C849" s="53">
        <v>52.039504873081455</v>
      </c>
      <c r="D849" s="53">
        <v>52.872528962386902</v>
      </c>
      <c r="E849" s="53">
        <v>46316.007538472171</v>
      </c>
      <c r="F849" s="53" t="s">
        <v>874</v>
      </c>
      <c r="G849" s="25">
        <f t="shared" si="9"/>
        <v>-3.8924930491195386E-3</v>
      </c>
    </row>
    <row r="850" spans="1:7">
      <c r="A850" s="53">
        <v>52.921530379404864</v>
      </c>
      <c r="B850" s="53">
        <v>54.019162120607334</v>
      </c>
      <c r="C850" s="53">
        <v>52.735324994736594</v>
      </c>
      <c r="D850" s="53">
        <v>53.372343415970171</v>
      </c>
      <c r="E850" s="53">
        <v>73381.551367821041</v>
      </c>
      <c r="F850" s="53" t="s">
        <v>875</v>
      </c>
      <c r="G850" s="25">
        <f t="shared" si="9"/>
        <v>-8.4465662871834324E-3</v>
      </c>
    </row>
    <row r="851" spans="1:7">
      <c r="A851" s="53">
        <v>53.783955318921095</v>
      </c>
      <c r="B851" s="53">
        <v>53.793755602324687</v>
      </c>
      <c r="C851" s="53">
        <v>53.08323505556416</v>
      </c>
      <c r="D851" s="53">
        <v>53.450745683198917</v>
      </c>
      <c r="E851" s="53">
        <v>88021.944312721986</v>
      </c>
      <c r="F851" s="53" t="s">
        <v>876</v>
      </c>
      <c r="G851" s="25">
        <f t="shared" si="9"/>
        <v>6.2339567290061737E-3</v>
      </c>
    </row>
    <row r="852" spans="1:7">
      <c r="A852" s="53">
        <v>53.793755602324687</v>
      </c>
      <c r="B852" s="53">
        <v>54.352371756329518</v>
      </c>
      <c r="C852" s="53">
        <v>53.362543132566579</v>
      </c>
      <c r="D852" s="53">
        <v>53.362543132566579</v>
      </c>
      <c r="E852" s="53">
        <v>48643.491250997897</v>
      </c>
      <c r="F852" s="53" t="s">
        <v>877</v>
      </c>
      <c r="G852" s="25">
        <f t="shared" si="9"/>
        <v>8.0808080808079108E-3</v>
      </c>
    </row>
    <row r="853" spans="1:7">
      <c r="A853" s="53">
        <v>53.627150784463595</v>
      </c>
      <c r="B853" s="53">
        <v>53.76435475211391</v>
      </c>
      <c r="C853" s="53">
        <v>51.804298071395209</v>
      </c>
      <c r="D853" s="53">
        <v>51.804298071395209</v>
      </c>
      <c r="E853" s="53">
        <v>114952.79815958362</v>
      </c>
      <c r="F853" s="53" t="s">
        <v>878</v>
      </c>
      <c r="G853" s="25">
        <f t="shared" si="9"/>
        <v>3.518728717366626E-2</v>
      </c>
    </row>
    <row r="854" spans="1:7">
      <c r="A854" s="53">
        <v>51.71609552076287</v>
      </c>
      <c r="B854" s="53">
        <v>51.892500622027555</v>
      </c>
      <c r="C854" s="53">
        <v>51.206480783776009</v>
      </c>
      <c r="D854" s="53">
        <v>51.529890136094586</v>
      </c>
      <c r="E854" s="53">
        <v>64430.789804350796</v>
      </c>
      <c r="F854" s="53" t="s">
        <v>879</v>
      </c>
      <c r="G854" s="25">
        <f t="shared" si="9"/>
        <v>3.6135412704452197E-3</v>
      </c>
    </row>
    <row r="855" spans="1:7">
      <c r="A855" s="53">
        <v>51.549490702901778</v>
      </c>
      <c r="B855" s="53">
        <v>51.804298071395209</v>
      </c>
      <c r="C855" s="53">
        <v>50.491060095313685</v>
      </c>
      <c r="D855" s="53">
        <v>50.96147369868617</v>
      </c>
      <c r="E855" s="53">
        <v>71609.153643727579</v>
      </c>
      <c r="F855" s="53" t="s">
        <v>880</v>
      </c>
      <c r="G855" s="25">
        <f t="shared" si="9"/>
        <v>1.1538461538461497E-2</v>
      </c>
    </row>
    <row r="856" spans="1:7">
      <c r="A856" s="53">
        <v>51.196680500372416</v>
      </c>
      <c r="B856" s="53">
        <v>52.019904306274263</v>
      </c>
      <c r="C856" s="53">
        <v>50.618463779560393</v>
      </c>
      <c r="D856" s="53">
        <v>52.019904306274263</v>
      </c>
      <c r="E856" s="53">
        <v>59163.595186175531</v>
      </c>
      <c r="F856" s="53" t="s">
        <v>881</v>
      </c>
      <c r="G856" s="25">
        <f t="shared" si="9"/>
        <v>-1.582516955538793E-2</v>
      </c>
    </row>
    <row r="857" spans="1:7">
      <c r="A857" s="53">
        <v>52.019904306274263</v>
      </c>
      <c r="B857" s="53">
        <v>52.21590997434614</v>
      </c>
      <c r="C857" s="53">
        <v>51.216281067179594</v>
      </c>
      <c r="D857" s="53">
        <v>51.71609552076287</v>
      </c>
      <c r="E857" s="53">
        <v>43077.325686847165</v>
      </c>
      <c r="F857" s="53" t="s">
        <v>882</v>
      </c>
      <c r="G857" s="25">
        <f t="shared" si="9"/>
        <v>5.8745499336743112E-3</v>
      </c>
    </row>
    <row r="858" spans="1:7">
      <c r="A858" s="53">
        <v>51.539690419498186</v>
      </c>
      <c r="B858" s="53">
        <v>52.666625008077396</v>
      </c>
      <c r="C858" s="53">
        <v>51.394254213788855</v>
      </c>
      <c r="D858" s="53">
        <v>52.255111107960509</v>
      </c>
      <c r="E858" s="53">
        <v>43970.15701015274</v>
      </c>
      <c r="F858" s="53" t="s">
        <v>883</v>
      </c>
      <c r="G858" s="25">
        <f t="shared" si="9"/>
        <v>-1.369092273068262E-2</v>
      </c>
    </row>
    <row r="859" spans="1:7">
      <c r="A859" s="53">
        <v>52.299212383276682</v>
      </c>
      <c r="B859" s="53">
        <v>52.691223719420421</v>
      </c>
      <c r="C859" s="53">
        <v>52.117907140310201</v>
      </c>
      <c r="D859" s="53">
        <v>52.127707423713794</v>
      </c>
      <c r="E859" s="53">
        <v>38129.509587751498</v>
      </c>
      <c r="F859" s="53" t="s">
        <v>884</v>
      </c>
      <c r="G859" s="25">
        <f t="shared" si="9"/>
        <v>3.2900921225795798E-3</v>
      </c>
    </row>
    <row r="860" spans="1:7">
      <c r="A860" s="53">
        <v>52.029704589677863</v>
      </c>
      <c r="B860" s="53">
        <v>52.823429542534896</v>
      </c>
      <c r="C860" s="53">
        <v>51.848399346711382</v>
      </c>
      <c r="D860" s="53">
        <v>52.414071704766798</v>
      </c>
      <c r="E860" s="53">
        <v>42019.193021398169</v>
      </c>
      <c r="F860" s="53" t="s">
        <v>885</v>
      </c>
      <c r="G860" s="25">
        <f t="shared" si="9"/>
        <v>-7.3332809794660614E-3</v>
      </c>
    </row>
    <row r="861" spans="1:7">
      <c r="A861" s="53">
        <v>52.039504873081455</v>
      </c>
      <c r="B861" s="53">
        <v>52.691713733590603</v>
      </c>
      <c r="C861" s="53">
        <v>51.853299488413171</v>
      </c>
      <c r="D861" s="53">
        <v>52.304112524978471</v>
      </c>
      <c r="E861" s="53">
        <v>54441.282769880469</v>
      </c>
      <c r="F861" s="53" t="s">
        <v>886</v>
      </c>
      <c r="G861" s="25">
        <f t="shared" si="9"/>
        <v>-5.0590219224281308E-3</v>
      </c>
    </row>
    <row r="862" spans="1:7">
      <c r="A862" s="53">
        <v>52.186509124135355</v>
      </c>
      <c r="B862" s="53">
        <v>52.294312241574879</v>
      </c>
      <c r="C862" s="53">
        <v>50.736067180403523</v>
      </c>
      <c r="D862" s="53">
        <v>50.96147369868617</v>
      </c>
      <c r="E862" s="53">
        <v>110691.69689544183</v>
      </c>
      <c r="F862" s="53" t="s">
        <v>887</v>
      </c>
      <c r="G862" s="25">
        <f t="shared" si="9"/>
        <v>2.4038461538461453E-2</v>
      </c>
    </row>
    <row r="863" spans="1:7">
      <c r="A863" s="53">
        <v>51.128078516547262</v>
      </c>
      <c r="B863" s="53">
        <v>51.235881633986786</v>
      </c>
      <c r="C863" s="53">
        <v>49.462030337936362</v>
      </c>
      <c r="D863" s="53">
        <v>49.638435439201047</v>
      </c>
      <c r="E863" s="53">
        <v>90304.531364418624</v>
      </c>
      <c r="F863" s="53" t="s">
        <v>888</v>
      </c>
      <c r="G863" s="25">
        <f t="shared" si="9"/>
        <v>3.0009871668311927E-2</v>
      </c>
    </row>
    <row r="864" spans="1:7">
      <c r="A864" s="53">
        <v>49.373827787304023</v>
      </c>
      <c r="B864" s="53">
        <v>50.358462260863064</v>
      </c>
      <c r="C864" s="53">
        <v>49.177822119232154</v>
      </c>
      <c r="D864" s="53">
        <v>49.491431188147146</v>
      </c>
      <c r="E864" s="53">
        <v>106419.37146609277</v>
      </c>
      <c r="F864" s="53" t="s">
        <v>889</v>
      </c>
      <c r="G864" s="25">
        <f t="shared" si="9"/>
        <v>-2.3762376237623783E-3</v>
      </c>
    </row>
    <row r="865" spans="1:7">
      <c r="A865" s="53">
        <v>49.638435439201047</v>
      </c>
      <c r="B865" s="53">
        <v>50.495960237015474</v>
      </c>
      <c r="C865" s="53">
        <v>49.540432605165108</v>
      </c>
      <c r="D865" s="53">
        <v>50.432258394892123</v>
      </c>
      <c r="E865" s="53">
        <v>93856.469463191985</v>
      </c>
      <c r="F865" s="53" t="s">
        <v>890</v>
      </c>
      <c r="G865" s="25">
        <f t="shared" si="9"/>
        <v>-1.5740380878352167E-2</v>
      </c>
    </row>
    <row r="866" spans="1:7">
      <c r="A866" s="53">
        <v>50.334255560856185</v>
      </c>
      <c r="B866" s="53">
        <v>50.907572139966405</v>
      </c>
      <c r="C866" s="53">
        <v>49.584533880481281</v>
      </c>
      <c r="D866" s="53">
        <v>50.432258394892123</v>
      </c>
      <c r="E866" s="53">
        <v>93657.495625426745</v>
      </c>
      <c r="F866" s="53" t="s">
        <v>891</v>
      </c>
      <c r="G866" s="25">
        <f t="shared" si="9"/>
        <v>-1.9432568985620069E-3</v>
      </c>
    </row>
    <row r="867" spans="1:7">
      <c r="A867" s="53">
        <v>50.442058678295709</v>
      </c>
      <c r="B867" s="53">
        <v>51.706295237359271</v>
      </c>
      <c r="C867" s="53">
        <v>50.402857544681339</v>
      </c>
      <c r="D867" s="53">
        <v>50.883071431457424</v>
      </c>
      <c r="E867" s="53">
        <v>114437.50693870439</v>
      </c>
      <c r="F867" s="53" t="s">
        <v>892</v>
      </c>
      <c r="G867" s="25">
        <f t="shared" si="9"/>
        <v>-8.6671802773499174E-3</v>
      </c>
    </row>
    <row r="868" spans="1:7">
      <c r="A868" s="53">
        <v>50.647864629771178</v>
      </c>
      <c r="B868" s="53">
        <v>50.912472281668201</v>
      </c>
      <c r="C868" s="53">
        <v>49.932443941308854</v>
      </c>
      <c r="D868" s="53">
        <v>50.834070014439448</v>
      </c>
      <c r="E868" s="53">
        <v>47782.291666003723</v>
      </c>
      <c r="F868" s="53" t="s">
        <v>893</v>
      </c>
      <c r="G868" s="25">
        <f t="shared" si="9"/>
        <v>-3.663003663003539E-3</v>
      </c>
    </row>
    <row r="869" spans="1:7">
      <c r="A869" s="53">
        <v>50.647864629771178</v>
      </c>
      <c r="B869" s="53">
        <v>50.853670581246639</v>
      </c>
      <c r="C869" s="53">
        <v>49.775639406851354</v>
      </c>
      <c r="D869" s="53">
        <v>50.853670581246639</v>
      </c>
      <c r="E869" s="53">
        <v>47743.517277105879</v>
      </c>
      <c r="F869" s="53" t="s">
        <v>894</v>
      </c>
      <c r="G869" s="25">
        <f t="shared" si="9"/>
        <v>-4.0470225476970656E-3</v>
      </c>
    </row>
    <row r="870" spans="1:7">
      <c r="A870" s="53">
        <v>50.549861795735239</v>
      </c>
      <c r="B870" s="53">
        <v>50.81446944763227</v>
      </c>
      <c r="C870" s="53">
        <v>49.618834872393862</v>
      </c>
      <c r="D870" s="53">
        <v>49.844241390676508</v>
      </c>
      <c r="E870" s="53">
        <v>65364.436273864623</v>
      </c>
      <c r="F870" s="53" t="s">
        <v>895</v>
      </c>
      <c r="G870" s="25">
        <f t="shared" si="9"/>
        <v>1.415650806134483E-2</v>
      </c>
    </row>
    <row r="871" spans="1:7">
      <c r="A871" s="53">
        <v>50.020646491941193</v>
      </c>
      <c r="B871" s="53">
        <v>50.456759103401104</v>
      </c>
      <c r="C871" s="53">
        <v>49.971645074923224</v>
      </c>
      <c r="D871" s="53">
        <v>50.304854710645401</v>
      </c>
      <c r="E871" s="53">
        <v>60726.815285951685</v>
      </c>
      <c r="F871" s="53" t="s">
        <v>896</v>
      </c>
      <c r="G871" s="25">
        <f t="shared" si="9"/>
        <v>-5.6497175141242417E-3</v>
      </c>
    </row>
    <row r="872" spans="1:7">
      <c r="A872" s="53">
        <v>49.814840540465724</v>
      </c>
      <c r="B872" s="53">
        <v>49.90304309109807</v>
      </c>
      <c r="C872" s="53">
        <v>48.756409932877631</v>
      </c>
      <c r="D872" s="53">
        <v>48.756409932877631</v>
      </c>
      <c r="E872" s="53">
        <v>49025.112868045078</v>
      </c>
      <c r="F872" s="53" t="s">
        <v>897</v>
      </c>
      <c r="G872" s="25">
        <f t="shared" si="9"/>
        <v>2.1708542713567702E-2</v>
      </c>
    </row>
    <row r="873" spans="1:7">
      <c r="A873" s="53">
        <v>49.030817868178254</v>
      </c>
      <c r="B873" s="53">
        <v>49.656075949327516</v>
      </c>
      <c r="C873" s="53">
        <v>48.844612483509977</v>
      </c>
      <c r="D873" s="53">
        <v>48.972016167756685</v>
      </c>
      <c r="E873" s="53">
        <v>49102.661645840759</v>
      </c>
      <c r="F873" s="53" t="s">
        <v>898</v>
      </c>
      <c r="G873" s="25">
        <f t="shared" si="9"/>
        <v>1.2007204322594944E-3</v>
      </c>
    </row>
    <row r="874" spans="1:7">
      <c r="A874" s="53">
        <v>48.658407098841693</v>
      </c>
      <c r="B874" s="53">
        <v>49.981445358326816</v>
      </c>
      <c r="C874" s="53">
        <v>48.178193212065615</v>
      </c>
      <c r="D874" s="53">
        <v>49.609034588990262</v>
      </c>
      <c r="E874" s="53">
        <v>58854.420453648003</v>
      </c>
      <c r="F874" s="53" t="s">
        <v>899</v>
      </c>
      <c r="G874" s="25">
        <f t="shared" si="9"/>
        <v>-1.9162386408534182E-2</v>
      </c>
    </row>
    <row r="875" spans="1:7">
      <c r="A875" s="53">
        <v>49.8638419574837</v>
      </c>
      <c r="B875" s="53">
        <v>50.451858961699301</v>
      </c>
      <c r="C875" s="53">
        <v>49.236623819653715</v>
      </c>
      <c r="D875" s="53">
        <v>49.981445358326816</v>
      </c>
      <c r="E875" s="53">
        <v>73341.756600267996</v>
      </c>
      <c r="F875" s="53" t="s">
        <v>900</v>
      </c>
      <c r="G875" s="25">
        <f t="shared" si="9"/>
        <v>-2.3529411764704466E-3</v>
      </c>
    </row>
    <row r="876" spans="1:7">
      <c r="A876" s="53">
        <v>49.805040257062139</v>
      </c>
      <c r="B876" s="53">
        <v>49.805040257062139</v>
      </c>
      <c r="C876" s="53">
        <v>48.8054113498956</v>
      </c>
      <c r="D876" s="53">
        <v>48.952415600949507</v>
      </c>
      <c r="E876" s="53">
        <v>82307.823843566337</v>
      </c>
      <c r="F876" s="53" t="s">
        <v>901</v>
      </c>
      <c r="G876" s="25">
        <f t="shared" si="9"/>
        <v>1.7417417417417314E-2</v>
      </c>
    </row>
    <row r="877" spans="1:7">
      <c r="A877" s="53">
        <v>48.717208799263261</v>
      </c>
      <c r="B877" s="53">
        <v>49.45223005453277</v>
      </c>
      <c r="C877" s="53">
        <v>47.844983576343438</v>
      </c>
      <c r="D877" s="53">
        <v>49.45223005453277</v>
      </c>
      <c r="E877" s="53">
        <v>360307.94769723044</v>
      </c>
      <c r="F877" s="53" t="s">
        <v>902</v>
      </c>
      <c r="G877" s="25">
        <f t="shared" si="9"/>
        <v>-1.4863258026159287E-2</v>
      </c>
    </row>
    <row r="878" spans="1:7">
      <c r="A878" s="53">
        <v>49.550232888568708</v>
      </c>
      <c r="B878" s="53">
        <v>49.981445358326816</v>
      </c>
      <c r="C878" s="53">
        <v>48.334997746523115</v>
      </c>
      <c r="D878" s="53">
        <v>48.433000580559046</v>
      </c>
      <c r="E878" s="53">
        <v>80209.92532846205</v>
      </c>
      <c r="F878" s="53" t="s">
        <v>903</v>
      </c>
      <c r="G878" s="25">
        <f t="shared" si="9"/>
        <v>2.3067583974099692E-2</v>
      </c>
    </row>
    <row r="879" spans="1:7">
      <c r="A879" s="53">
        <v>48.795611066492008</v>
      </c>
      <c r="B879" s="53">
        <v>48.996516876265673</v>
      </c>
      <c r="C879" s="53">
        <v>47.285779405334395</v>
      </c>
      <c r="D879" s="53">
        <v>48.080190378029684</v>
      </c>
      <c r="E879" s="53">
        <v>100528.72548958642</v>
      </c>
      <c r="F879" s="53" t="s">
        <v>904</v>
      </c>
      <c r="G879" s="25">
        <f t="shared" si="9"/>
        <v>1.4879739094985744E-2</v>
      </c>
    </row>
    <row r="880" spans="1:7">
      <c r="A880" s="53">
        <v>48.864213050317161</v>
      </c>
      <c r="B880" s="53">
        <v>48.947515459247704</v>
      </c>
      <c r="C880" s="53">
        <v>47.454050271374093</v>
      </c>
      <c r="D880" s="53">
        <v>47.550975074235637</v>
      </c>
      <c r="E880" s="53">
        <v>119396.54720300734</v>
      </c>
      <c r="F880" s="53" t="s">
        <v>905</v>
      </c>
      <c r="G880" s="25">
        <f t="shared" si="9"/>
        <v>2.761747732893638E-2</v>
      </c>
    </row>
    <row r="881" spans="1:7">
      <c r="A881" s="53">
        <v>46.943357503212837</v>
      </c>
      <c r="B881" s="53">
        <v>47.639177624867976</v>
      </c>
      <c r="C881" s="53">
        <v>46.30633908197926</v>
      </c>
      <c r="D881" s="53">
        <v>46.30633908197926</v>
      </c>
      <c r="E881" s="53">
        <v>90342.285374661267</v>
      </c>
      <c r="F881" s="53" t="s">
        <v>906</v>
      </c>
      <c r="G881" s="25">
        <f t="shared" si="9"/>
        <v>1.3756613756613856E-2</v>
      </c>
    </row>
    <row r="882" spans="1:7">
      <c r="A882" s="53">
        <v>47.011959487037991</v>
      </c>
      <c r="B882" s="53">
        <v>47.815582726132654</v>
      </c>
      <c r="C882" s="53">
        <v>46.64934900110503</v>
      </c>
      <c r="D882" s="53">
        <v>47.541174790832038</v>
      </c>
      <c r="E882" s="53">
        <v>71762.210442008538</v>
      </c>
      <c r="F882" s="53" t="s">
        <v>907</v>
      </c>
      <c r="G882" s="25">
        <f t="shared" si="9"/>
        <v>-1.1131725417439675E-2</v>
      </c>
    </row>
    <row r="883" spans="1:7">
      <c r="A883" s="53">
        <v>47.825383009536246</v>
      </c>
      <c r="B883" s="53">
        <v>48.383999163541077</v>
      </c>
      <c r="C883" s="53">
        <v>47.766581309114692</v>
      </c>
      <c r="D883" s="53">
        <v>48.070390094626084</v>
      </c>
      <c r="E883" s="53">
        <v>57779.961729715702</v>
      </c>
      <c r="F883" s="53" t="s">
        <v>908</v>
      </c>
      <c r="G883" s="25">
        <f t="shared" si="9"/>
        <v>-5.0968399592252744E-3</v>
      </c>
    </row>
    <row r="884" spans="1:7">
      <c r="A884" s="53">
        <v>48.070390094626084</v>
      </c>
      <c r="B884" s="53">
        <v>48.295796612908738</v>
      </c>
      <c r="C884" s="53">
        <v>47.531374507428445</v>
      </c>
      <c r="D884" s="53">
        <v>47.972387260590153</v>
      </c>
      <c r="E884" s="53">
        <v>72610.145104485026</v>
      </c>
      <c r="F884" s="53" t="s">
        <v>909</v>
      </c>
      <c r="G884" s="25">
        <f t="shared" si="9"/>
        <v>2.0429009193052572E-3</v>
      </c>
    </row>
    <row r="885" spans="1:7">
      <c r="A885" s="53">
        <v>47.903785276764992</v>
      </c>
      <c r="B885" s="53">
        <v>48.900559266611999</v>
      </c>
      <c r="C885" s="53">
        <v>47.67902251434851</v>
      </c>
      <c r="D885" s="53">
        <v>48.51943979990579</v>
      </c>
      <c r="E885" s="53">
        <v>66116.512540736891</v>
      </c>
      <c r="F885" s="53" t="s">
        <v>910</v>
      </c>
      <c r="G885" s="25">
        <f t="shared" si="9"/>
        <v>-1.2688821752265822E-2</v>
      </c>
    </row>
    <row r="886" spans="1:7">
      <c r="A886" s="53">
        <v>48.607390446068763</v>
      </c>
      <c r="B886" s="53">
        <v>49.672570494042525</v>
      </c>
      <c r="C886" s="53">
        <v>47.972191334891747</v>
      </c>
      <c r="D886" s="53">
        <v>49.447807731626042</v>
      </c>
      <c r="E886" s="53">
        <v>108975.43586251931</v>
      </c>
      <c r="F886" s="53" t="s">
        <v>911</v>
      </c>
      <c r="G886" s="25">
        <f t="shared" si="9"/>
        <v>-1.6996047430830052E-2</v>
      </c>
    </row>
    <row r="887" spans="1:7">
      <c r="A887" s="53">
        <v>49.545530671807121</v>
      </c>
      <c r="B887" s="53">
        <v>50.444581721473043</v>
      </c>
      <c r="C887" s="53">
        <v>49.486896907698473</v>
      </c>
      <c r="D887" s="53">
        <v>49.858244080386577</v>
      </c>
      <c r="E887" s="53">
        <v>126309.13455047557</v>
      </c>
      <c r="F887" s="53" t="s">
        <v>912</v>
      </c>
      <c r="G887" s="25">
        <f t="shared" si="9"/>
        <v>-6.2720501764014225E-3</v>
      </c>
    </row>
    <row r="888" spans="1:7">
      <c r="A888" s="53">
        <v>49.760521140205498</v>
      </c>
      <c r="B888" s="53">
        <v>50.425037133436831</v>
      </c>
      <c r="C888" s="53">
        <v>48.773519444376589</v>
      </c>
      <c r="D888" s="53">
        <v>48.861470090539569</v>
      </c>
      <c r="E888" s="53">
        <v>112407.58802022669</v>
      </c>
      <c r="F888" s="53" t="s">
        <v>913</v>
      </c>
      <c r="G888" s="25">
        <f t="shared" si="9"/>
        <v>1.8399999999999972E-2</v>
      </c>
    </row>
    <row r="889" spans="1:7">
      <c r="A889" s="53">
        <v>49.125322029028482</v>
      </c>
      <c r="B889" s="53">
        <v>49.457580025644148</v>
      </c>
      <c r="C889" s="53">
        <v>48.434714010768793</v>
      </c>
      <c r="D889" s="53">
        <v>48.910331560630105</v>
      </c>
      <c r="E889" s="53">
        <v>120216.39932477797</v>
      </c>
      <c r="F889" s="53" t="s">
        <v>914</v>
      </c>
      <c r="G889" s="25">
        <f t="shared" ref="G889:G952" si="10">A889/D889-1</f>
        <v>4.39560439560438E-3</v>
      </c>
    </row>
    <row r="890" spans="1:7">
      <c r="A890" s="53">
        <v>48.968965324738754</v>
      </c>
      <c r="B890" s="53">
        <v>49.833813345341298</v>
      </c>
      <c r="C890" s="53">
        <v>48.001508216946064</v>
      </c>
      <c r="D890" s="53">
        <v>48.001508216946064</v>
      </c>
      <c r="E890" s="53">
        <v>158643.40523599667</v>
      </c>
      <c r="F890" s="53" t="s">
        <v>915</v>
      </c>
      <c r="G890" s="25">
        <f t="shared" si="10"/>
        <v>2.0154723127036034E-2</v>
      </c>
    </row>
    <row r="891" spans="1:7">
      <c r="A891" s="53">
        <v>48.011280510964177</v>
      </c>
      <c r="B891" s="53">
        <v>50.219818959056568</v>
      </c>
      <c r="C891" s="53">
        <v>47.894012982746879</v>
      </c>
      <c r="D891" s="53">
        <v>50.219818959056568</v>
      </c>
      <c r="E891" s="53">
        <v>151998.08737310112</v>
      </c>
      <c r="F891" s="53" t="s">
        <v>916</v>
      </c>
      <c r="G891" s="25">
        <f t="shared" si="10"/>
        <v>-4.3977427515080825E-2</v>
      </c>
    </row>
    <row r="892" spans="1:7">
      <c r="A892" s="53">
        <v>50.122096018875489</v>
      </c>
      <c r="B892" s="53">
        <v>51.793158295971942</v>
      </c>
      <c r="C892" s="53">
        <v>49.447807731626042</v>
      </c>
      <c r="D892" s="53">
        <v>49.701887376096849</v>
      </c>
      <c r="E892" s="53">
        <v>207785.39780295599</v>
      </c>
      <c r="F892" s="53" t="s">
        <v>917</v>
      </c>
      <c r="G892" s="25">
        <f t="shared" si="10"/>
        <v>8.4545812033032242E-3</v>
      </c>
    </row>
    <row r="893" spans="1:7">
      <c r="A893" s="53">
        <v>48.06014198105472</v>
      </c>
      <c r="B893" s="53">
        <v>48.109003451145256</v>
      </c>
      <c r="C893" s="53">
        <v>47.082912579243924</v>
      </c>
      <c r="D893" s="53">
        <v>47.571527280149319</v>
      </c>
      <c r="E893" s="53">
        <v>102346.49081850368</v>
      </c>
      <c r="F893" s="53" t="s">
        <v>918</v>
      </c>
      <c r="G893" s="25">
        <f t="shared" si="10"/>
        <v>1.0271158586688589E-2</v>
      </c>
    </row>
    <row r="894" spans="1:7">
      <c r="A894" s="53">
        <v>47.209952401479327</v>
      </c>
      <c r="B894" s="53">
        <v>48.636707328123087</v>
      </c>
      <c r="C894" s="53">
        <v>46.93632816897231</v>
      </c>
      <c r="D894" s="53">
        <v>48.17740950927201</v>
      </c>
      <c r="E894" s="53">
        <v>109357.12720265791</v>
      </c>
      <c r="F894" s="53" t="s">
        <v>919</v>
      </c>
      <c r="G894" s="25">
        <f t="shared" si="10"/>
        <v>-2.0081135902636937E-2</v>
      </c>
    </row>
    <row r="895" spans="1:7">
      <c r="A895" s="53">
        <v>48.294677037489308</v>
      </c>
      <c r="B895" s="53">
        <v>49.530872230779963</v>
      </c>
      <c r="C895" s="53">
        <v>48.255587861416878</v>
      </c>
      <c r="D895" s="53">
        <v>49.144866617064693</v>
      </c>
      <c r="E895" s="53">
        <v>135849.37145158049</v>
      </c>
      <c r="F895" s="53" t="s">
        <v>920</v>
      </c>
      <c r="G895" s="25">
        <f t="shared" si="10"/>
        <v>-1.7299661960628265E-2</v>
      </c>
    </row>
    <row r="896" spans="1:7">
      <c r="A896" s="53">
        <v>49.252361851263878</v>
      </c>
      <c r="B896" s="53">
        <v>49.565075259843333</v>
      </c>
      <c r="C896" s="53">
        <v>47.952646746855528</v>
      </c>
      <c r="D896" s="53">
        <v>48.343538507579844</v>
      </c>
      <c r="E896" s="53">
        <v>115575.72847349504</v>
      </c>
      <c r="F896" s="53" t="s">
        <v>921</v>
      </c>
      <c r="G896" s="25">
        <f t="shared" si="10"/>
        <v>1.8799272286234014E-2</v>
      </c>
    </row>
    <row r="897" spans="1:7">
      <c r="A897" s="53">
        <v>48.196954097308229</v>
      </c>
      <c r="B897" s="53">
        <v>48.538984387942008</v>
      </c>
      <c r="C897" s="53">
        <v>47.503121222022564</v>
      </c>
      <c r="D897" s="53">
        <v>47.93310215881931</v>
      </c>
      <c r="E897" s="53">
        <v>86261.219570142828</v>
      </c>
      <c r="F897" s="53" t="s">
        <v>922</v>
      </c>
      <c r="G897" s="25">
        <f t="shared" si="10"/>
        <v>5.5045871559633586E-3</v>
      </c>
    </row>
    <row r="898" spans="1:7">
      <c r="A898" s="53">
        <v>48.636707328123087</v>
      </c>
      <c r="B898" s="53">
        <v>48.636707328123087</v>
      </c>
      <c r="C898" s="53">
        <v>47.151318637370679</v>
      </c>
      <c r="D898" s="53">
        <v>47.385853693805274</v>
      </c>
      <c r="E898" s="53">
        <v>78510.736432851321</v>
      </c>
      <c r="F898" s="53" t="s">
        <v>923</v>
      </c>
      <c r="G898" s="25">
        <f t="shared" si="10"/>
        <v>2.6397195297999554E-2</v>
      </c>
    </row>
    <row r="899" spans="1:7">
      <c r="A899" s="53">
        <v>47.67902251434851</v>
      </c>
      <c r="B899" s="53">
        <v>48.089458863109044</v>
      </c>
      <c r="C899" s="53">
        <v>47.200180107461215</v>
      </c>
      <c r="D899" s="53">
        <v>47.698567102384729</v>
      </c>
      <c r="E899" s="53">
        <v>70830.861076979563</v>
      </c>
      <c r="F899" s="53" t="s">
        <v>924</v>
      </c>
      <c r="G899" s="25">
        <f t="shared" si="10"/>
        <v>-4.0975209997962114E-4</v>
      </c>
    </row>
    <row r="900" spans="1:7">
      <c r="A900" s="53">
        <v>47.75720086649337</v>
      </c>
      <c r="B900" s="53">
        <v>47.94277672989724</v>
      </c>
      <c r="C900" s="53">
        <v>46.916783580936091</v>
      </c>
      <c r="D900" s="53">
        <v>47.483576633986353</v>
      </c>
      <c r="E900" s="53">
        <v>60277.556007678366</v>
      </c>
      <c r="F900" s="53" t="s">
        <v>925</v>
      </c>
      <c r="G900" s="25">
        <f t="shared" si="10"/>
        <v>5.7625025725456247E-3</v>
      </c>
    </row>
    <row r="901" spans="1:7">
      <c r="A901" s="53">
        <v>47.356536811750949</v>
      </c>
      <c r="B901" s="53">
        <v>47.815834630602019</v>
      </c>
      <c r="C901" s="53">
        <v>46.819060640755012</v>
      </c>
      <c r="D901" s="53">
        <v>47.278358459606089</v>
      </c>
      <c r="E901" s="53">
        <v>104584.45049915546</v>
      </c>
      <c r="F901" s="53" t="s">
        <v>926</v>
      </c>
      <c r="G901" s="25">
        <f t="shared" si="10"/>
        <v>1.6535758577924664E-3</v>
      </c>
    </row>
    <row r="902" spans="1:7">
      <c r="A902" s="53">
        <v>47.561754986131213</v>
      </c>
      <c r="B902" s="53">
        <v>48.384484419515715</v>
      </c>
      <c r="C902" s="53">
        <v>47.161090931388784</v>
      </c>
      <c r="D902" s="53">
        <v>48.17740950927201</v>
      </c>
      <c r="E902" s="53">
        <v>67477.503110131889</v>
      </c>
      <c r="F902" s="53" t="s">
        <v>927</v>
      </c>
      <c r="G902" s="25">
        <f t="shared" si="10"/>
        <v>-1.2778904665314395E-2</v>
      </c>
    </row>
    <row r="903" spans="1:7">
      <c r="A903" s="53">
        <v>47.776745454529589</v>
      </c>
      <c r="B903" s="53">
        <v>48.328880066552685</v>
      </c>
      <c r="C903" s="53">
        <v>47.444487457913915</v>
      </c>
      <c r="D903" s="53">
        <v>47.93310215881931</v>
      </c>
      <c r="E903" s="53">
        <v>53895.226548041835</v>
      </c>
      <c r="F903" s="53" t="s">
        <v>928</v>
      </c>
      <c r="G903" s="25">
        <f t="shared" si="10"/>
        <v>-3.2619775739040069E-3</v>
      </c>
    </row>
    <row r="904" spans="1:7">
      <c r="A904" s="53">
        <v>48.069914275072826</v>
      </c>
      <c r="B904" s="53">
        <v>48.157864921235799</v>
      </c>
      <c r="C904" s="53">
        <v>46.907011286917985</v>
      </c>
      <c r="D904" s="53">
        <v>47.47380433996824</v>
      </c>
      <c r="E904" s="53">
        <v>79011.130709869482</v>
      </c>
      <c r="F904" s="53" t="s">
        <v>929</v>
      </c>
      <c r="G904" s="25">
        <f t="shared" si="10"/>
        <v>1.2556607657472352E-2</v>
      </c>
    </row>
    <row r="905" spans="1:7">
      <c r="A905" s="53">
        <v>47.405398281841485</v>
      </c>
      <c r="B905" s="53">
        <v>48.910331560630105</v>
      </c>
      <c r="C905" s="53">
        <v>47.209952401479327</v>
      </c>
      <c r="D905" s="53">
        <v>48.910331560630105</v>
      </c>
      <c r="E905" s="53">
        <v>86766.730353060964</v>
      </c>
      <c r="F905" s="53" t="s">
        <v>930</v>
      </c>
      <c r="G905" s="25">
        <f t="shared" si="10"/>
        <v>-3.0769230769230771E-2</v>
      </c>
    </row>
    <row r="906" spans="1:7">
      <c r="A906" s="53">
        <v>48.910331560630105</v>
      </c>
      <c r="B906" s="53">
        <v>49.721431964133068</v>
      </c>
      <c r="C906" s="53">
        <v>48.48035062383336</v>
      </c>
      <c r="D906" s="53">
        <v>48.48035062383336</v>
      </c>
      <c r="E906" s="53">
        <v>72825.275076792226</v>
      </c>
      <c r="F906" s="53" t="s">
        <v>931</v>
      </c>
      <c r="G906" s="25">
        <f t="shared" si="10"/>
        <v>8.8691796008868451E-3</v>
      </c>
    </row>
    <row r="907" spans="1:7">
      <c r="A907" s="53">
        <v>48.666024210177405</v>
      </c>
      <c r="B907" s="53">
        <v>49.024862846522332</v>
      </c>
      <c r="C907" s="53">
        <v>47.385853693805274</v>
      </c>
      <c r="D907" s="53">
        <v>47.385853693805274</v>
      </c>
      <c r="E907" s="53">
        <v>78327.565521632001</v>
      </c>
      <c r="F907" s="53" t="s">
        <v>932</v>
      </c>
      <c r="G907" s="25">
        <f t="shared" si="10"/>
        <v>2.7015879562796385E-2</v>
      </c>
    </row>
    <row r="908" spans="1:7">
      <c r="A908" s="53">
        <v>47.288130753624195</v>
      </c>
      <c r="B908" s="53">
        <v>47.464032045950134</v>
      </c>
      <c r="C908" s="53">
        <v>45.900465003052865</v>
      </c>
      <c r="D908" s="53">
        <v>46.125227765469354</v>
      </c>
      <c r="E908" s="53">
        <v>91296.884676904316</v>
      </c>
      <c r="F908" s="53" t="s">
        <v>933</v>
      </c>
      <c r="G908" s="25">
        <f t="shared" si="10"/>
        <v>2.5211864406779583E-2</v>
      </c>
    </row>
    <row r="909" spans="1:7">
      <c r="A909" s="53">
        <v>46.105683177433136</v>
      </c>
      <c r="B909" s="53">
        <v>46.349990527885829</v>
      </c>
      <c r="C909" s="53">
        <v>44.825512661060998</v>
      </c>
      <c r="D909" s="53">
        <v>44.825512661060998</v>
      </c>
      <c r="E909" s="53">
        <v>59970.565653679492</v>
      </c>
      <c r="F909" s="53" t="s">
        <v>934</v>
      </c>
      <c r="G909" s="25">
        <f t="shared" si="10"/>
        <v>2.8558971005014255E-2</v>
      </c>
    </row>
    <row r="910" spans="1:7">
      <c r="A910" s="53">
        <v>44.981869365350725</v>
      </c>
      <c r="B910" s="53">
        <v>45.792969768853681</v>
      </c>
      <c r="C910" s="53">
        <v>44.336897960155596</v>
      </c>
      <c r="D910" s="53">
        <v>44.639839074716946</v>
      </c>
      <c r="E910" s="53">
        <v>50938.909439032701</v>
      </c>
      <c r="F910" s="53" t="s">
        <v>935</v>
      </c>
      <c r="G910" s="25">
        <f t="shared" si="10"/>
        <v>7.6619964973729804E-3</v>
      </c>
    </row>
    <row r="911" spans="1:7">
      <c r="A911" s="53">
        <v>44.835284955079111</v>
      </c>
      <c r="B911" s="53">
        <v>45.433056180166766</v>
      </c>
      <c r="C911" s="53">
        <v>44.59097760462641</v>
      </c>
      <c r="D911" s="53">
        <v>44.884146425169646</v>
      </c>
      <c r="E911" s="53">
        <v>45358.848104513221</v>
      </c>
      <c r="F911" s="53" t="s">
        <v>936</v>
      </c>
      <c r="G911" s="25">
        <f t="shared" si="10"/>
        <v>-1.0886131069016702E-3</v>
      </c>
    </row>
    <row r="912" spans="1:7">
      <c r="A912" s="53">
        <v>44.903691013205865</v>
      </c>
      <c r="B912" s="53">
        <v>45.933299910953707</v>
      </c>
      <c r="C912" s="53">
        <v>44.810854220033832</v>
      </c>
      <c r="D912" s="53">
        <v>45.71479141670882</v>
      </c>
      <c r="E912" s="53">
        <v>58099.971096646375</v>
      </c>
      <c r="F912" s="53" t="s">
        <v>937</v>
      </c>
      <c r="G912" s="25">
        <f t="shared" si="10"/>
        <v>-1.7742625053441596E-2</v>
      </c>
    </row>
    <row r="913" spans="1:7">
      <c r="A913" s="53">
        <v>45.577979300455304</v>
      </c>
      <c r="B913" s="53">
        <v>46.144772353505566</v>
      </c>
      <c r="C913" s="53">
        <v>45.079592305531804</v>
      </c>
      <c r="D913" s="53">
        <v>45.63661306456396</v>
      </c>
      <c r="E913" s="53">
        <v>47553.829135605149</v>
      </c>
      <c r="F913" s="53" t="s">
        <v>938</v>
      </c>
      <c r="G913" s="25">
        <f t="shared" si="10"/>
        <v>-1.2847965738760347E-3</v>
      </c>
    </row>
    <row r="914" spans="1:7">
      <c r="A914" s="53">
        <v>45.832058944926111</v>
      </c>
      <c r="B914" s="53">
        <v>46.67247623048339</v>
      </c>
      <c r="C914" s="53">
        <v>45.51445938933761</v>
      </c>
      <c r="D914" s="53">
        <v>46.125227765469354</v>
      </c>
      <c r="E914" s="53">
        <v>51171.198806891851</v>
      </c>
      <c r="F914" s="53" t="s">
        <v>939</v>
      </c>
      <c r="G914" s="25">
        <f t="shared" si="10"/>
        <v>-6.3559322033899246E-3</v>
      </c>
    </row>
    <row r="915" spans="1:7">
      <c r="A915" s="53">
        <v>46.330445939849611</v>
      </c>
      <c r="B915" s="53">
        <v>46.609444934066602</v>
      </c>
      <c r="C915" s="53">
        <v>45.871148120998541</v>
      </c>
      <c r="D915" s="53">
        <v>46.105683177433136</v>
      </c>
      <c r="E915" s="53">
        <v>61718.364069113071</v>
      </c>
      <c r="F915" s="53" t="s">
        <v>940</v>
      </c>
      <c r="G915" s="25">
        <f t="shared" si="10"/>
        <v>4.8749470114453075E-3</v>
      </c>
    </row>
    <row r="916" spans="1:7">
      <c r="A916" s="53">
        <v>46.086138589396917</v>
      </c>
      <c r="B916" s="53">
        <v>46.21317841163232</v>
      </c>
      <c r="C916" s="53">
        <v>45.235949009821532</v>
      </c>
      <c r="D916" s="53">
        <v>45.988415649215838</v>
      </c>
      <c r="E916" s="53">
        <v>80505.150432663984</v>
      </c>
      <c r="F916" s="53" t="s">
        <v>941</v>
      </c>
      <c r="G916" s="25">
        <f t="shared" si="10"/>
        <v>2.1249468763280266E-3</v>
      </c>
    </row>
    <row r="917" spans="1:7">
      <c r="A917" s="53">
        <v>45.538890124382874</v>
      </c>
      <c r="B917" s="53">
        <v>45.812514356889899</v>
      </c>
      <c r="C917" s="53">
        <v>43.525797556652641</v>
      </c>
      <c r="D917" s="53">
        <v>43.809194083177772</v>
      </c>
      <c r="E917" s="53">
        <v>134338.97890990606</v>
      </c>
      <c r="F917" s="53" t="s">
        <v>942</v>
      </c>
      <c r="G917" s="25">
        <f t="shared" si="10"/>
        <v>3.9482489404416787E-2</v>
      </c>
    </row>
    <row r="918" spans="1:7">
      <c r="A918" s="53">
        <v>43.740788025051017</v>
      </c>
      <c r="B918" s="53">
        <v>45.020958541423155</v>
      </c>
      <c r="C918" s="53">
        <v>43.545342144688867</v>
      </c>
      <c r="D918" s="53">
        <v>44.346670254173709</v>
      </c>
      <c r="E918" s="53">
        <v>114164.59614628022</v>
      </c>
      <c r="F918" s="53" t="s">
        <v>943</v>
      </c>
      <c r="G918" s="25">
        <f t="shared" si="10"/>
        <v>-1.366240634640814E-2</v>
      </c>
    </row>
    <row r="919" spans="1:7">
      <c r="A919" s="53">
        <v>44.190313549883982</v>
      </c>
      <c r="B919" s="53">
        <v>45.177315245712883</v>
      </c>
      <c r="C919" s="53">
        <v>43.975323081485612</v>
      </c>
      <c r="D919" s="53">
        <v>45.055161570486533</v>
      </c>
      <c r="E919" s="53">
        <v>101325.23624086744</v>
      </c>
      <c r="F919" s="53" t="s">
        <v>944</v>
      </c>
      <c r="G919" s="25">
        <f t="shared" si="10"/>
        <v>-1.9195315041752536E-2</v>
      </c>
    </row>
    <row r="920" spans="1:7">
      <c r="A920" s="53">
        <v>45.079592305531804</v>
      </c>
      <c r="B920" s="53">
        <v>45.187087539730996</v>
      </c>
      <c r="C920" s="53">
        <v>43.482604017092612</v>
      </c>
      <c r="D920" s="53">
        <v>44.688700544807482</v>
      </c>
      <c r="E920" s="53">
        <v>54731.263612098759</v>
      </c>
      <c r="F920" s="53" t="s">
        <v>945</v>
      </c>
      <c r="G920" s="25">
        <f t="shared" si="10"/>
        <v>8.7469932210804124E-3</v>
      </c>
    </row>
    <row r="921" spans="1:7">
      <c r="A921" s="53">
        <v>44.952552483296401</v>
      </c>
      <c r="B921" s="53">
        <v>45.402078008129365</v>
      </c>
      <c r="C921" s="53">
        <v>44.268491902028842</v>
      </c>
      <c r="D921" s="53">
        <v>45.08936459954991</v>
      </c>
      <c r="E921" s="53">
        <v>50815.089996253155</v>
      </c>
      <c r="F921" s="53" t="s">
        <v>946</v>
      </c>
      <c r="G921" s="25">
        <f t="shared" si="10"/>
        <v>-3.0342436064152434E-3</v>
      </c>
    </row>
    <row r="922" spans="1:7">
      <c r="A922" s="53">
        <v>44.874374131151541</v>
      </c>
      <c r="B922" s="53">
        <v>45.504687095319497</v>
      </c>
      <c r="C922" s="53">
        <v>43.50625296861643</v>
      </c>
      <c r="D922" s="53">
        <v>44.385759430246146</v>
      </c>
      <c r="E922" s="53">
        <v>61310.066898294572</v>
      </c>
      <c r="F922" s="53" t="s">
        <v>947</v>
      </c>
      <c r="G922" s="25">
        <f t="shared" si="10"/>
        <v>1.1008366358432387E-2</v>
      </c>
    </row>
    <row r="923" spans="1:7">
      <c r="A923" s="53">
        <v>44.483482370427225</v>
      </c>
      <c r="B923" s="53">
        <v>44.802547770118444</v>
      </c>
      <c r="C923" s="53">
        <v>43.701698848978587</v>
      </c>
      <c r="D923" s="53">
        <v>43.887372435322632</v>
      </c>
      <c r="E923" s="53">
        <v>55237.797696196896</v>
      </c>
      <c r="F923" s="53" t="s">
        <v>948</v>
      </c>
      <c r="G923" s="25">
        <f t="shared" si="10"/>
        <v>1.3582720997550979E-2</v>
      </c>
    </row>
    <row r="924" spans="1:7">
      <c r="A924" s="53">
        <v>43.75056031906913</v>
      </c>
      <c r="B924" s="53">
        <v>44.952552483296401</v>
      </c>
      <c r="C924" s="53">
        <v>43.662609672906157</v>
      </c>
      <c r="D924" s="53">
        <v>44.512799252481543</v>
      </c>
      <c r="E924" s="53">
        <v>52132.078614908314</v>
      </c>
      <c r="F924" s="53" t="s">
        <v>949</v>
      </c>
      <c r="G924" s="25">
        <f t="shared" si="10"/>
        <v>-1.7124039517014134E-2</v>
      </c>
    </row>
    <row r="925" spans="1:7">
      <c r="A925" s="53">
        <v>44.493254664445331</v>
      </c>
      <c r="B925" s="53">
        <v>44.952552483296401</v>
      </c>
      <c r="C925" s="53">
        <v>43.017638267711035</v>
      </c>
      <c r="D925" s="53">
        <v>44.112135197739121</v>
      </c>
      <c r="E925" s="53">
        <v>55558.090965535717</v>
      </c>
      <c r="F925" s="53" t="s">
        <v>950</v>
      </c>
      <c r="G925" s="25">
        <f t="shared" si="10"/>
        <v>8.6397873283119431E-3</v>
      </c>
    </row>
    <row r="926" spans="1:7">
      <c r="A926" s="53">
        <v>43.711471142996693</v>
      </c>
      <c r="B926" s="53">
        <v>44.981771642410543</v>
      </c>
      <c r="C926" s="53">
        <v>43.613748202815621</v>
      </c>
      <c r="D926" s="53">
        <v>44.600749898644516</v>
      </c>
      <c r="E926" s="53">
        <v>77081.184684396576</v>
      </c>
      <c r="F926" s="53" t="s">
        <v>951</v>
      </c>
      <c r="G926" s="25">
        <f t="shared" si="10"/>
        <v>-1.9938650306748573E-2</v>
      </c>
    </row>
    <row r="927" spans="1:7">
      <c r="A927" s="53">
        <v>44.659383662753164</v>
      </c>
      <c r="B927" s="53">
        <v>45.353216538038822</v>
      </c>
      <c r="C927" s="53">
        <v>44.335529838993068</v>
      </c>
      <c r="D927" s="53">
        <v>44.805968073024786</v>
      </c>
      <c r="E927" s="53">
        <v>54463.158702939741</v>
      </c>
      <c r="F927" s="53" t="s">
        <v>952</v>
      </c>
      <c r="G927" s="25">
        <f t="shared" si="10"/>
        <v>-3.2715376226827297E-3</v>
      </c>
    </row>
    <row r="928" spans="1:7">
      <c r="A928" s="53">
        <v>44.395531724264252</v>
      </c>
      <c r="B928" s="53">
        <v>45.270152038884909</v>
      </c>
      <c r="C928" s="53">
        <v>43.476936086562105</v>
      </c>
      <c r="D928" s="53">
        <v>45.235949009821532</v>
      </c>
      <c r="E928" s="53">
        <v>86704.308981081194</v>
      </c>
      <c r="F928" s="53" t="s">
        <v>953</v>
      </c>
      <c r="G928" s="25">
        <f t="shared" si="10"/>
        <v>-1.8578526679628449E-2</v>
      </c>
    </row>
    <row r="929" spans="1:7">
      <c r="A929" s="53">
        <v>44.97209707133262</v>
      </c>
      <c r="B929" s="53">
        <v>45.079592305531804</v>
      </c>
      <c r="C929" s="53">
        <v>43.682154260942376</v>
      </c>
      <c r="D929" s="53">
        <v>44.415076312300471</v>
      </c>
      <c r="E929" s="53">
        <v>63582.818819066211</v>
      </c>
      <c r="F929" s="53" t="s">
        <v>954</v>
      </c>
      <c r="G929" s="25">
        <f t="shared" si="10"/>
        <v>1.2541254125412404E-2</v>
      </c>
    </row>
    <row r="930" spans="1:7">
      <c r="A930" s="53">
        <v>44.59097760462641</v>
      </c>
      <c r="B930" s="53">
        <v>44.942780189278295</v>
      </c>
      <c r="C930" s="53">
        <v>42.695152565113467</v>
      </c>
      <c r="D930" s="53">
        <v>43.437846910489675</v>
      </c>
      <c r="E930" s="53">
        <v>50396.559813634696</v>
      </c>
      <c r="F930" s="53" t="s">
        <v>955</v>
      </c>
      <c r="G930" s="25">
        <f t="shared" si="10"/>
        <v>2.6546681664791905E-2</v>
      </c>
    </row>
    <row r="931" spans="1:7">
      <c r="A931" s="53">
        <v>43.193539560036982</v>
      </c>
      <c r="B931" s="53">
        <v>43.659775707640911</v>
      </c>
      <c r="C931" s="53">
        <v>42.939459915566168</v>
      </c>
      <c r="D931" s="53">
        <v>43.457391498525887</v>
      </c>
      <c r="E931" s="53">
        <v>44296.661479677125</v>
      </c>
      <c r="F931" s="53" t="s">
        <v>956</v>
      </c>
      <c r="G931" s="25">
        <f t="shared" si="10"/>
        <v>-6.0715088823923846E-3</v>
      </c>
    </row>
    <row r="932" spans="1:7">
      <c r="A932" s="53">
        <v>43.457391498525887</v>
      </c>
      <c r="B932" s="53">
        <v>44.893918719187752</v>
      </c>
      <c r="C932" s="53">
        <v>43.359668558344808</v>
      </c>
      <c r="D932" s="53">
        <v>44.893918719187752</v>
      </c>
      <c r="E932" s="53">
        <v>67364.939980332303</v>
      </c>
      <c r="F932" s="53" t="s">
        <v>957</v>
      </c>
      <c r="G932" s="25">
        <f t="shared" si="10"/>
        <v>-3.1998258598171625E-2</v>
      </c>
    </row>
    <row r="933" spans="1:7">
      <c r="A933" s="53">
        <v>44.757106602934236</v>
      </c>
      <c r="B933" s="53">
        <v>45.294582773930181</v>
      </c>
      <c r="C933" s="53">
        <v>44.417519385804994</v>
      </c>
      <c r="D933" s="53">
        <v>44.825512661060998</v>
      </c>
      <c r="E933" s="53">
        <v>50890.81428357288</v>
      </c>
      <c r="F933" s="53" t="s">
        <v>958</v>
      </c>
      <c r="G933" s="25">
        <f t="shared" si="10"/>
        <v>-1.526051885764268E-3</v>
      </c>
    </row>
    <row r="934" spans="1:7">
      <c r="A934" s="53">
        <v>44.893918719187752</v>
      </c>
      <c r="B934" s="53">
        <v>45.597523888491523</v>
      </c>
      <c r="C934" s="53">
        <v>44.28803649006506</v>
      </c>
      <c r="D934" s="53">
        <v>45.382533420093147</v>
      </c>
      <c r="E934" s="53">
        <v>83786.877316911923</v>
      </c>
      <c r="F934" s="53" t="s">
        <v>959</v>
      </c>
      <c r="G934" s="25">
        <f t="shared" si="10"/>
        <v>-1.0766580534022352E-2</v>
      </c>
    </row>
    <row r="935" spans="1:7">
      <c r="A935" s="53">
        <v>45.607296182509636</v>
      </c>
      <c r="B935" s="53">
        <v>46.359762821903935</v>
      </c>
      <c r="C935" s="53">
        <v>45.147998363658559</v>
      </c>
      <c r="D935" s="53">
        <v>45.665929946618277</v>
      </c>
      <c r="E935" s="53">
        <v>63452.859569206688</v>
      </c>
      <c r="F935" s="53" t="s">
        <v>960</v>
      </c>
      <c r="G935" s="25">
        <f t="shared" si="10"/>
        <v>-1.2839717526212935E-3</v>
      </c>
    </row>
    <row r="936" spans="1:7">
      <c r="A936" s="53">
        <v>45.402078008129365</v>
      </c>
      <c r="B936" s="53">
        <v>45.490028654292331</v>
      </c>
      <c r="C936" s="53">
        <v>44.092590609702903</v>
      </c>
      <c r="D936" s="53">
        <v>44.375987136228034</v>
      </c>
      <c r="E936" s="53">
        <v>68505.920796028106</v>
      </c>
      <c r="F936" s="53" t="s">
        <v>961</v>
      </c>
      <c r="G936" s="25">
        <f t="shared" si="10"/>
        <v>2.3122660207002932E-2</v>
      </c>
    </row>
    <row r="937" spans="1:7">
      <c r="A937" s="53">
        <v>44.698472838825595</v>
      </c>
      <c r="B937" s="53">
        <v>45.407452769839324</v>
      </c>
      <c r="C937" s="53">
        <v>43.994867669521831</v>
      </c>
      <c r="D937" s="53">
        <v>44.7082451328437</v>
      </c>
      <c r="E937" s="53">
        <v>84640.310501028784</v>
      </c>
      <c r="F937" s="53" t="s">
        <v>962</v>
      </c>
      <c r="G937" s="25">
        <f t="shared" si="10"/>
        <v>-2.1857923497259346E-4</v>
      </c>
    </row>
    <row r="938" spans="1:7">
      <c r="A938" s="53">
        <v>44.503026958463437</v>
      </c>
      <c r="B938" s="53">
        <v>45.187087539730996</v>
      </c>
      <c r="C938" s="53">
        <v>43.379213146381026</v>
      </c>
      <c r="D938" s="53">
        <v>44.121907491757227</v>
      </c>
      <c r="E938" s="53">
        <v>400395.23910656781</v>
      </c>
      <c r="F938" s="53" t="s">
        <v>963</v>
      </c>
      <c r="G938" s="25">
        <f t="shared" si="10"/>
        <v>8.6378737541528139E-3</v>
      </c>
    </row>
    <row r="939" spans="1:7">
      <c r="A939" s="53">
        <v>44.610522192662621</v>
      </c>
      <c r="B939" s="53">
        <v>46.67247623048339</v>
      </c>
      <c r="C939" s="53">
        <v>44.532343840517761</v>
      </c>
      <c r="D939" s="53">
        <v>46.5552087022661</v>
      </c>
      <c r="E939" s="53">
        <v>67397.68561809219</v>
      </c>
      <c r="F939" s="53" t="s">
        <v>964</v>
      </c>
      <c r="G939" s="25">
        <f t="shared" si="10"/>
        <v>-4.1771620486985794E-2</v>
      </c>
    </row>
    <row r="940" spans="1:7">
      <c r="A940" s="53">
        <v>46.887466698881767</v>
      </c>
      <c r="B940" s="53">
        <v>47.607000707435049</v>
      </c>
      <c r="C940" s="53">
        <v>46.47703035012124</v>
      </c>
      <c r="D940" s="53">
        <v>46.809288346736906</v>
      </c>
      <c r="E940" s="53">
        <v>56654.046529311687</v>
      </c>
      <c r="F940" s="53" t="s">
        <v>965</v>
      </c>
      <c r="G940" s="25">
        <f t="shared" si="10"/>
        <v>1.670146137787043E-3</v>
      </c>
    </row>
    <row r="941" spans="1:7">
      <c r="A941" s="53">
        <v>46.887466698881767</v>
      </c>
      <c r="B941" s="53">
        <v>47.620388750239862</v>
      </c>
      <c r="C941" s="53">
        <v>46.584525584320424</v>
      </c>
      <c r="D941" s="53">
        <v>47.239269283533659</v>
      </c>
      <c r="E941" s="53">
        <v>120888.7082000355</v>
      </c>
      <c r="F941" s="53" t="s">
        <v>966</v>
      </c>
      <c r="G941" s="25">
        <f t="shared" si="10"/>
        <v>-7.447248655358063E-3</v>
      </c>
    </row>
    <row r="942" spans="1:7">
      <c r="A942" s="53">
        <v>46.115455471451241</v>
      </c>
      <c r="B942" s="53">
        <v>46.203406117614215</v>
      </c>
      <c r="C942" s="53">
        <v>45.372761126075041</v>
      </c>
      <c r="D942" s="53">
        <v>45.519345536346655</v>
      </c>
      <c r="E942" s="53">
        <v>84904.322205467819</v>
      </c>
      <c r="F942" s="53" t="s">
        <v>967</v>
      </c>
      <c r="G942" s="25">
        <f t="shared" si="10"/>
        <v>1.3095749248604571E-2</v>
      </c>
    </row>
    <row r="943" spans="1:7">
      <c r="A943" s="53">
        <v>45.362988832056935</v>
      </c>
      <c r="B943" s="53">
        <v>46.076366295378811</v>
      </c>
      <c r="C943" s="53">
        <v>45.226176715803426</v>
      </c>
      <c r="D943" s="53">
        <v>45.294582773930181</v>
      </c>
      <c r="E943" s="53">
        <v>56113.743506273677</v>
      </c>
      <c r="F943" s="53" t="s">
        <v>968</v>
      </c>
      <c r="G943" s="25">
        <f t="shared" si="10"/>
        <v>1.5102481121898048E-3</v>
      </c>
    </row>
    <row r="944" spans="1:7">
      <c r="A944" s="53">
        <v>45.450939478219901</v>
      </c>
      <c r="B944" s="53">
        <v>45.783197474835575</v>
      </c>
      <c r="C944" s="53">
        <v>44.376671196809298</v>
      </c>
      <c r="D944" s="53">
        <v>44.59097760462641</v>
      </c>
      <c r="E944" s="53">
        <v>64953.019099081175</v>
      </c>
      <c r="F944" s="53" t="s">
        <v>969</v>
      </c>
      <c r="G944" s="25">
        <f t="shared" si="10"/>
        <v>1.928555774709606E-2</v>
      </c>
    </row>
    <row r="945" spans="1:7">
      <c r="A945" s="53">
        <v>44.727789720879919</v>
      </c>
      <c r="B945" s="53">
        <v>45.206632127767207</v>
      </c>
      <c r="C945" s="53">
        <v>44.346670254173709</v>
      </c>
      <c r="D945" s="53">
        <v>44.522571546499655</v>
      </c>
      <c r="E945" s="53">
        <v>43667.331253979442</v>
      </c>
      <c r="F945" s="53" t="s">
        <v>970</v>
      </c>
      <c r="G945" s="25">
        <f t="shared" si="10"/>
        <v>4.60930640913082E-3</v>
      </c>
    </row>
    <row r="946" spans="1:7">
      <c r="A946" s="53">
        <v>44.424848606318577</v>
      </c>
      <c r="B946" s="53">
        <v>44.79619577900668</v>
      </c>
      <c r="C946" s="53">
        <v>44.015682655780395</v>
      </c>
      <c r="D946" s="53">
        <v>44.79619577900668</v>
      </c>
      <c r="E946" s="53">
        <v>40450.072344071268</v>
      </c>
      <c r="F946" s="53" t="s">
        <v>971</v>
      </c>
      <c r="G946" s="25">
        <f t="shared" si="10"/>
        <v>-8.2897033158814137E-3</v>
      </c>
    </row>
    <row r="947" spans="1:7">
      <c r="A947" s="53">
        <v>44.962324777314507</v>
      </c>
      <c r="B947" s="53">
        <v>46.271812175740969</v>
      </c>
      <c r="C947" s="53">
        <v>44.864601837133428</v>
      </c>
      <c r="D947" s="53">
        <v>45.744108298763145</v>
      </c>
      <c r="E947" s="53">
        <v>70569.919276080516</v>
      </c>
      <c r="F947" s="53" t="s">
        <v>972</v>
      </c>
      <c r="G947" s="25">
        <f t="shared" si="10"/>
        <v>-1.7090365306558497E-2</v>
      </c>
    </row>
    <row r="948" spans="1:7">
      <c r="A948" s="53">
        <v>46.09591088341503</v>
      </c>
      <c r="B948" s="53">
        <v>46.242495293686645</v>
      </c>
      <c r="C948" s="53">
        <v>45.783197474835575</v>
      </c>
      <c r="D948" s="53">
        <v>45.783197474835575</v>
      </c>
      <c r="E948" s="53">
        <v>49931.981077916404</v>
      </c>
      <c r="F948" s="53" t="s">
        <v>973</v>
      </c>
      <c r="G948" s="25">
        <f t="shared" si="10"/>
        <v>6.8303094983992452E-3</v>
      </c>
    </row>
    <row r="949" spans="1:7">
      <c r="A949" s="53">
        <v>46.340218233867724</v>
      </c>
      <c r="B949" s="53">
        <v>46.379307409940154</v>
      </c>
      <c r="C949" s="53">
        <v>44.869487984142481</v>
      </c>
      <c r="D949" s="53">
        <v>45.998187943233951</v>
      </c>
      <c r="E949" s="53">
        <v>96548.466332644995</v>
      </c>
      <c r="F949" s="53" t="s">
        <v>974</v>
      </c>
      <c r="G949" s="25">
        <f t="shared" si="10"/>
        <v>7.4357340131718797E-3</v>
      </c>
    </row>
    <row r="950" spans="1:7">
      <c r="A950" s="53">
        <v>45.783197474835575</v>
      </c>
      <c r="B950" s="53">
        <v>46.076366295378811</v>
      </c>
      <c r="C950" s="53">
        <v>43.910337326265193</v>
      </c>
      <c r="D950" s="53">
        <v>44.131679785775333</v>
      </c>
      <c r="E950" s="53">
        <v>95684.800136728183</v>
      </c>
      <c r="F950" s="53" t="s">
        <v>975</v>
      </c>
      <c r="G950" s="25">
        <f t="shared" si="10"/>
        <v>3.742249778565121E-2</v>
      </c>
    </row>
    <row r="951" spans="1:7">
      <c r="A951" s="53">
        <v>44.200085843902087</v>
      </c>
      <c r="B951" s="53">
        <v>44.625180633689787</v>
      </c>
      <c r="C951" s="53">
        <v>43.516025262634535</v>
      </c>
      <c r="D951" s="53">
        <v>43.594203614779403</v>
      </c>
      <c r="E951" s="53">
        <v>50387.350103014731</v>
      </c>
      <c r="F951" s="53" t="s">
        <v>976</v>
      </c>
      <c r="G951" s="25">
        <f t="shared" si="10"/>
        <v>1.3898229096614978E-2</v>
      </c>
    </row>
    <row r="952" spans="1:7">
      <c r="A952" s="53">
        <v>43.623520496833727</v>
      </c>
      <c r="B952" s="53">
        <v>45.265265891875856</v>
      </c>
      <c r="C952" s="53">
        <v>43.516025262634535</v>
      </c>
      <c r="D952" s="53">
        <v>44.913463307223971</v>
      </c>
      <c r="E952" s="53">
        <v>67069.205939313397</v>
      </c>
      <c r="F952" s="53" t="s">
        <v>977</v>
      </c>
      <c r="G952" s="25">
        <f t="shared" si="10"/>
        <v>-2.8720626631853818E-2</v>
      </c>
    </row>
    <row r="953" spans="1:7">
      <c r="A953" s="53">
        <v>45.108909187586121</v>
      </c>
      <c r="B953" s="53">
        <v>45.323899655984505</v>
      </c>
      <c r="C953" s="53">
        <v>44.63006678069884</v>
      </c>
      <c r="D953" s="53">
        <v>45.314127361966392</v>
      </c>
      <c r="E953" s="53">
        <v>27298.605578759627</v>
      </c>
      <c r="F953" s="53" t="s">
        <v>978</v>
      </c>
      <c r="G953" s="25">
        <f t="shared" ref="G953:G1016" si="11">A953/D953-1</f>
        <v>-4.528790166055785E-3</v>
      </c>
    </row>
    <row r="954" spans="1:7">
      <c r="A954" s="53">
        <v>45.314127361966392</v>
      </c>
      <c r="B954" s="53">
        <v>45.783197474835575</v>
      </c>
      <c r="C954" s="53">
        <v>44.59097760462641</v>
      </c>
      <c r="D954" s="53">
        <v>44.874374131151541</v>
      </c>
      <c r="E954" s="53">
        <v>34431.014803333397</v>
      </c>
      <c r="F954" s="53" t="s">
        <v>979</v>
      </c>
      <c r="G954" s="25">
        <f t="shared" si="11"/>
        <v>9.7996515679441565E-3</v>
      </c>
    </row>
    <row r="955" spans="1:7">
      <c r="A955" s="53">
        <v>45.01118624740505</v>
      </c>
      <c r="B955" s="53">
        <v>45.235949009821532</v>
      </c>
      <c r="C955" s="53">
        <v>43.848283259250202</v>
      </c>
      <c r="D955" s="53">
        <v>44.405304018282358</v>
      </c>
      <c r="E955" s="53">
        <v>52781.874864205929</v>
      </c>
      <c r="F955" s="53" t="s">
        <v>980</v>
      </c>
      <c r="G955" s="25">
        <f t="shared" si="11"/>
        <v>1.3644366197183233E-2</v>
      </c>
    </row>
    <row r="956" spans="1:7">
      <c r="A956" s="53">
        <v>44.336897960155596</v>
      </c>
      <c r="B956" s="53">
        <v>44.913463307223971</v>
      </c>
      <c r="C956" s="53">
        <v>44.151224373811552</v>
      </c>
      <c r="D956" s="53">
        <v>44.66915595677127</v>
      </c>
      <c r="E956" s="53">
        <v>51588.705688330316</v>
      </c>
      <c r="F956" s="53" t="s">
        <v>981</v>
      </c>
      <c r="G956" s="25">
        <f t="shared" si="11"/>
        <v>-7.4381973309999294E-3</v>
      </c>
    </row>
    <row r="957" spans="1:7">
      <c r="A957" s="53">
        <v>44.434620900336682</v>
      </c>
      <c r="B957" s="53">
        <v>45.374715584878665</v>
      </c>
      <c r="C957" s="53">
        <v>44.336897960155596</v>
      </c>
      <c r="D957" s="53">
        <v>45.05027542347748</v>
      </c>
      <c r="E957" s="53">
        <v>84049.865720170958</v>
      </c>
      <c r="F957" s="53" t="s">
        <v>982</v>
      </c>
      <c r="G957" s="25">
        <f t="shared" si="11"/>
        <v>-1.3665943600867703E-2</v>
      </c>
    </row>
    <row r="958" spans="1:7">
      <c r="A958" s="53">
        <v>44.131679785775333</v>
      </c>
      <c r="B958" s="53">
        <v>44.454165488372901</v>
      </c>
      <c r="C958" s="53">
        <v>43.105588913874001</v>
      </c>
      <c r="D958" s="53">
        <v>44.092590609702903</v>
      </c>
      <c r="E958" s="53">
        <v>56636.65040925175</v>
      </c>
      <c r="F958" s="53" t="s">
        <v>983</v>
      </c>
      <c r="G958" s="25">
        <f t="shared" si="11"/>
        <v>8.8652482269502286E-4</v>
      </c>
    </row>
    <row r="959" spans="1:7">
      <c r="A959" s="53">
        <v>44.463937782391007</v>
      </c>
      <c r="B959" s="53">
        <v>45.294582773930181</v>
      </c>
      <c r="C959" s="53">
        <v>43.633292790851833</v>
      </c>
      <c r="D959" s="53">
        <v>45.294582773930181</v>
      </c>
      <c r="E959" s="53">
        <v>84303.644412810027</v>
      </c>
      <c r="F959" s="53" t="s">
        <v>984</v>
      </c>
      <c r="G959" s="25">
        <f t="shared" si="11"/>
        <v>-1.8338727076591232E-2</v>
      </c>
    </row>
    <row r="960" spans="1:7">
      <c r="A960" s="53">
        <v>45.387419567102206</v>
      </c>
      <c r="B960" s="53">
        <v>46.157358614944393</v>
      </c>
      <c r="C960" s="53">
        <v>44.807528765246381</v>
      </c>
      <c r="D960" s="53">
        <v>45.211990416960951</v>
      </c>
      <c r="E960" s="53">
        <v>56695.708734787026</v>
      </c>
      <c r="F960" s="53" t="s">
        <v>985</v>
      </c>
      <c r="G960" s="25">
        <f t="shared" si="11"/>
        <v>3.8801465833153692E-3</v>
      </c>
    </row>
    <row r="961" spans="1:7">
      <c r="A961" s="53">
        <v>44.80265573329801</v>
      </c>
      <c r="B961" s="53">
        <v>45.260720736444625</v>
      </c>
      <c r="C961" s="53">
        <v>44.081447004939506</v>
      </c>
      <c r="D961" s="53">
        <v>44.734433286020852</v>
      </c>
      <c r="E961" s="53">
        <v>59151.058941141906</v>
      </c>
      <c r="F961" s="53" t="s">
        <v>986</v>
      </c>
      <c r="G961" s="25">
        <f t="shared" si="11"/>
        <v>1.5250544662310794E-3</v>
      </c>
    </row>
    <row r="962" spans="1:7">
      <c r="A962" s="53">
        <v>44.724687222124118</v>
      </c>
      <c r="B962" s="53">
        <v>45.543356589449985</v>
      </c>
      <c r="C962" s="53">
        <v>43.974240302075401</v>
      </c>
      <c r="D962" s="53">
        <v>43.974240302075401</v>
      </c>
      <c r="E962" s="53">
        <v>112033.94637763609</v>
      </c>
      <c r="F962" s="53" t="s">
        <v>987</v>
      </c>
      <c r="G962" s="25">
        <f t="shared" si="11"/>
        <v>1.7065602836879412E-2</v>
      </c>
    </row>
    <row r="963" spans="1:7">
      <c r="A963" s="53">
        <v>43.993732429868878</v>
      </c>
      <c r="B963" s="53">
        <v>44.63697264705349</v>
      </c>
      <c r="C963" s="53">
        <v>43.818303279727616</v>
      </c>
      <c r="D963" s="53">
        <v>43.906017854798243</v>
      </c>
      <c r="E963" s="53">
        <v>109969.52322043342</v>
      </c>
      <c r="F963" s="53" t="s">
        <v>988</v>
      </c>
      <c r="G963" s="25">
        <f t="shared" si="11"/>
        <v>1.9977802441732972E-3</v>
      </c>
    </row>
    <row r="964" spans="1:7">
      <c r="A964" s="53">
        <v>42.541568909255126</v>
      </c>
      <c r="B964" s="53">
        <v>43.136078806956057</v>
      </c>
      <c r="C964" s="53">
        <v>42.249186992353032</v>
      </c>
      <c r="D964" s="53">
        <v>42.76572837888007</v>
      </c>
      <c r="E964" s="53">
        <v>60184.296574990367</v>
      </c>
      <c r="F964" s="53" t="s">
        <v>989</v>
      </c>
      <c r="G964" s="25">
        <f t="shared" si="11"/>
        <v>-5.2415679124886427E-3</v>
      </c>
    </row>
    <row r="965" spans="1:7">
      <c r="A965" s="53">
        <v>42.911919337331121</v>
      </c>
      <c r="B965" s="53">
        <v>43.248158541768525</v>
      </c>
      <c r="C965" s="53">
        <v>42.322282471578553</v>
      </c>
      <c r="D965" s="53">
        <v>43.087348487472376</v>
      </c>
      <c r="E965" s="53">
        <v>107221.74726864972</v>
      </c>
      <c r="F965" s="53" t="s">
        <v>990</v>
      </c>
      <c r="G965" s="25">
        <f t="shared" si="11"/>
        <v>-4.0714770413933232E-3</v>
      </c>
    </row>
    <row r="966" spans="1:7">
      <c r="A966" s="53">
        <v>43.223793382026692</v>
      </c>
      <c r="B966" s="53">
        <v>43.837795407521085</v>
      </c>
      <c r="C966" s="53">
        <v>43.175063062543003</v>
      </c>
      <c r="D966" s="53">
        <v>43.837795407521085</v>
      </c>
      <c r="E966" s="53">
        <v>59358.322101059872</v>
      </c>
      <c r="F966" s="53" t="s">
        <v>991</v>
      </c>
      <c r="G966" s="25">
        <f t="shared" si="11"/>
        <v>-1.4006224988883709E-2</v>
      </c>
    </row>
    <row r="967" spans="1:7">
      <c r="A967" s="53">
        <v>43.681858385173307</v>
      </c>
      <c r="B967" s="53">
        <v>44.042462749352559</v>
      </c>
      <c r="C967" s="53">
        <v>42.434362206391022</v>
      </c>
      <c r="D967" s="53">
        <v>44.042462749352559</v>
      </c>
      <c r="E967" s="53">
        <v>83513.714728726656</v>
      </c>
      <c r="F967" s="53" t="s">
        <v>992</v>
      </c>
      <c r="G967" s="25">
        <f t="shared" si="11"/>
        <v>-8.1876521354281584E-3</v>
      </c>
    </row>
    <row r="968" spans="1:7">
      <c r="A968" s="53">
        <v>43.428460723858159</v>
      </c>
      <c r="B968" s="53">
        <v>43.82804934362435</v>
      </c>
      <c r="C968" s="53">
        <v>41.908074755967249</v>
      </c>
      <c r="D968" s="53">
        <v>42.755982314983328</v>
      </c>
      <c r="E968" s="53">
        <v>113903.41903788624</v>
      </c>
      <c r="F968" s="53" t="s">
        <v>993</v>
      </c>
      <c r="G968" s="25">
        <f t="shared" si="11"/>
        <v>1.5728288124002843E-2</v>
      </c>
    </row>
    <row r="969" spans="1:7">
      <c r="A969" s="53">
        <v>42.814458698363751</v>
      </c>
      <c r="B969" s="53">
        <v>43.691604449070041</v>
      </c>
      <c r="C969" s="53">
        <v>41.810614116999886</v>
      </c>
      <c r="D969" s="53">
        <v>42.122488161695451</v>
      </c>
      <c r="E969" s="53">
        <v>163886.67434602318</v>
      </c>
      <c r="F969" s="53" t="s">
        <v>994</v>
      </c>
      <c r="G969" s="25">
        <f t="shared" si="11"/>
        <v>1.6427579824155547E-2</v>
      </c>
    </row>
    <row r="970" spans="1:7">
      <c r="A970" s="53">
        <v>42.015281458831353</v>
      </c>
      <c r="B970" s="53">
        <v>43.073703998016938</v>
      </c>
      <c r="C970" s="53">
        <v>41.313564858266318</v>
      </c>
      <c r="D970" s="53">
        <v>42.346647631320401</v>
      </c>
      <c r="E970" s="53">
        <v>155916.27718640567</v>
      </c>
      <c r="F970" s="53" t="s">
        <v>995</v>
      </c>
      <c r="G970" s="25">
        <f t="shared" si="11"/>
        <v>-7.8250863060991271E-3</v>
      </c>
    </row>
    <row r="971" spans="1:7">
      <c r="A971" s="53">
        <v>42.297917311836713</v>
      </c>
      <c r="B971" s="53">
        <v>42.804712634467016</v>
      </c>
      <c r="C971" s="53">
        <v>40.735915651106744</v>
      </c>
      <c r="D971" s="53">
        <v>40.952960494087073</v>
      </c>
      <c r="E971" s="53">
        <v>180669.86002314262</v>
      </c>
      <c r="F971" s="53" t="s">
        <v>996</v>
      </c>
      <c r="G971" s="25">
        <f t="shared" si="11"/>
        <v>3.2841504045692416E-2</v>
      </c>
    </row>
    <row r="972" spans="1:7">
      <c r="A972" s="53">
        <v>40.870118950964809</v>
      </c>
      <c r="B972" s="53">
        <v>47.21967957968868</v>
      </c>
      <c r="C972" s="53">
        <v>40.719054960565387</v>
      </c>
      <c r="D972" s="53">
        <v>45.465388078276099</v>
      </c>
      <c r="E972" s="53">
        <v>485287.19389821577</v>
      </c>
      <c r="F972" s="53" t="s">
        <v>997</v>
      </c>
      <c r="G972" s="25">
        <f t="shared" si="11"/>
        <v>-0.10107181136120036</v>
      </c>
    </row>
    <row r="973" spans="1:7">
      <c r="A973" s="53">
        <v>50.513849176785641</v>
      </c>
      <c r="B973" s="53">
        <v>51.322772480214773</v>
      </c>
      <c r="C973" s="53">
        <v>50.406642473921536</v>
      </c>
      <c r="D973" s="53">
        <v>51.322772480214773</v>
      </c>
      <c r="E973" s="53">
        <v>89381.724686998103</v>
      </c>
      <c r="F973" s="53" t="s">
        <v>998</v>
      </c>
      <c r="G973" s="25">
        <f t="shared" si="11"/>
        <v>-1.5761488796050105E-2</v>
      </c>
    </row>
    <row r="974" spans="1:7">
      <c r="A974" s="53">
        <v>50.854961413171424</v>
      </c>
      <c r="B974" s="53">
        <v>51.79058354725813</v>
      </c>
      <c r="C974" s="53">
        <v>50.377404282231325</v>
      </c>
      <c r="D974" s="53">
        <v>50.806231093687742</v>
      </c>
      <c r="E974" s="53">
        <v>72849.922545422742</v>
      </c>
      <c r="F974" s="53" t="s">
        <v>999</v>
      </c>
      <c r="G974" s="25">
        <f t="shared" si="11"/>
        <v>9.5914061001334261E-4</v>
      </c>
    </row>
    <row r="975" spans="1:7">
      <c r="A975" s="53">
        <v>50.552833432372587</v>
      </c>
      <c r="B975" s="53">
        <v>50.833909915154472</v>
      </c>
      <c r="C975" s="53">
        <v>49.129908103449047</v>
      </c>
      <c r="D975" s="53">
        <v>49.617211298285874</v>
      </c>
      <c r="E975" s="53">
        <v>80489.929915468048</v>
      </c>
      <c r="F975" s="53" t="s">
        <v>1000</v>
      </c>
      <c r="G975" s="25">
        <f t="shared" si="11"/>
        <v>1.8856806128461967E-2</v>
      </c>
    </row>
    <row r="976" spans="1:7">
      <c r="A976" s="53">
        <v>49.354067573073991</v>
      </c>
      <c r="B976" s="53">
        <v>49.782894384530394</v>
      </c>
      <c r="C976" s="53">
        <v>48.4769218223677</v>
      </c>
      <c r="D976" s="53">
        <v>49.246860870209886</v>
      </c>
      <c r="E976" s="53">
        <v>106248.02083913414</v>
      </c>
      <c r="F976" s="53" t="s">
        <v>1001</v>
      </c>
      <c r="G976" s="25">
        <f t="shared" si="11"/>
        <v>2.1769245992480091E-3</v>
      </c>
    </row>
    <row r="977" spans="1:7">
      <c r="A977" s="53">
        <v>48.798541930960006</v>
      </c>
      <c r="B977" s="53">
        <v>49.227271281777448</v>
      </c>
      <c r="C977" s="53">
        <v>47.268409899172362</v>
      </c>
      <c r="D977" s="53">
        <v>47.414600857623412</v>
      </c>
      <c r="E977" s="53">
        <v>112624.95419997643</v>
      </c>
      <c r="F977" s="53" t="s">
        <v>1002</v>
      </c>
      <c r="G977" s="25">
        <f t="shared" si="11"/>
        <v>2.9188078108941529E-2</v>
      </c>
    </row>
    <row r="978" spans="1:7">
      <c r="A978" s="53">
        <v>47.122218940721318</v>
      </c>
      <c r="B978" s="53">
        <v>49.051939592275154</v>
      </c>
      <c r="C978" s="53">
        <v>46.634915745884491</v>
      </c>
      <c r="D978" s="53">
        <v>47.278155963069096</v>
      </c>
      <c r="E978" s="53">
        <v>74753.2550288278</v>
      </c>
      <c r="F978" s="53" t="s">
        <v>1003</v>
      </c>
      <c r="G978" s="25">
        <f t="shared" si="11"/>
        <v>-3.2982890125745623E-3</v>
      </c>
    </row>
    <row r="979" spans="1:7">
      <c r="A979" s="53">
        <v>47.424346921520147</v>
      </c>
      <c r="B979" s="53">
        <v>48.956915469281974</v>
      </c>
      <c r="C979" s="53">
        <v>46.820090959922481</v>
      </c>
      <c r="D979" s="53">
        <v>47.716728838422249</v>
      </c>
      <c r="E979" s="53">
        <v>67528.800033865526</v>
      </c>
      <c r="F979" s="53" t="s">
        <v>1004</v>
      </c>
      <c r="G979" s="25">
        <f t="shared" si="11"/>
        <v>-6.1274509803922461E-3</v>
      </c>
    </row>
    <row r="980" spans="1:7">
      <c r="A980" s="53">
        <v>47.960380435840662</v>
      </c>
      <c r="B980" s="53">
        <v>49.20787661462294</v>
      </c>
      <c r="C980" s="53">
        <v>47.619268199454879</v>
      </c>
      <c r="D980" s="53">
        <v>48.243016288846022</v>
      </c>
      <c r="E980" s="53">
        <v>58724.219958340553</v>
      </c>
      <c r="F980" s="53" t="s">
        <v>1005</v>
      </c>
      <c r="G980" s="25">
        <f t="shared" si="11"/>
        <v>-5.8585858585857853E-3</v>
      </c>
    </row>
    <row r="981" spans="1:7">
      <c r="A981" s="53">
        <v>47.736220966215718</v>
      </c>
      <c r="B981" s="53">
        <v>47.93114224415045</v>
      </c>
      <c r="C981" s="53">
        <v>46.03553281623519</v>
      </c>
      <c r="D981" s="53">
        <v>46.371772020672594</v>
      </c>
      <c r="E981" s="53">
        <v>71621.734414621737</v>
      </c>
      <c r="F981" s="53" t="s">
        <v>1006</v>
      </c>
      <c r="G981" s="25">
        <f t="shared" si="11"/>
        <v>2.9424127784783538E-2</v>
      </c>
    </row>
    <row r="982" spans="1:7">
      <c r="A982" s="53">
        <v>45.728531803487989</v>
      </c>
      <c r="B982" s="53">
        <v>47.531553624384252</v>
      </c>
      <c r="C982" s="53">
        <v>45.231482544754414</v>
      </c>
      <c r="D982" s="53">
        <v>47.531553624384252</v>
      </c>
      <c r="E982" s="53">
        <v>145273.00610804412</v>
      </c>
      <c r="F982" s="53" t="s">
        <v>1007</v>
      </c>
      <c r="G982" s="25">
        <f t="shared" si="11"/>
        <v>-3.7933155628460002E-2</v>
      </c>
    </row>
    <row r="983" spans="1:7">
      <c r="A983" s="53">
        <v>47.005266173960472</v>
      </c>
      <c r="B983" s="53">
        <v>48.291746608329703</v>
      </c>
      <c r="C983" s="53">
        <v>46.32304170118892</v>
      </c>
      <c r="D983" s="53">
        <v>46.32304170118892</v>
      </c>
      <c r="E983" s="53">
        <v>183693.64483640122</v>
      </c>
      <c r="F983" s="53" t="s">
        <v>1008</v>
      </c>
      <c r="G983" s="25">
        <f t="shared" si="11"/>
        <v>1.4727540500736103E-2</v>
      </c>
    </row>
    <row r="984" spans="1:7">
      <c r="A984" s="53">
        <v>47.131965004618053</v>
      </c>
      <c r="B984" s="53">
        <v>47.999364691427608</v>
      </c>
      <c r="C984" s="53">
        <v>46.254916714550724</v>
      </c>
      <c r="D984" s="53">
        <v>47.999364691427608</v>
      </c>
      <c r="E984" s="53">
        <v>90370.841945220469</v>
      </c>
      <c r="F984" s="53" t="s">
        <v>1009</v>
      </c>
      <c r="G984" s="25">
        <f t="shared" si="11"/>
        <v>-1.8071065989847757E-2</v>
      </c>
    </row>
    <row r="985" spans="1:7">
      <c r="A985" s="53">
        <v>47.726474902318984</v>
      </c>
      <c r="B985" s="53">
        <v>48.07246017065313</v>
      </c>
      <c r="C985" s="53">
        <v>46.571566330555697</v>
      </c>
      <c r="D985" s="53">
        <v>47.005266173960472</v>
      </c>
      <c r="E985" s="53">
        <v>152943.79513550299</v>
      </c>
      <c r="F985" s="53" t="s">
        <v>1010</v>
      </c>
      <c r="G985" s="25">
        <f t="shared" si="11"/>
        <v>1.5343147418619196E-2</v>
      </c>
    </row>
    <row r="986" spans="1:7">
      <c r="A986" s="53">
        <v>47.015012237857214</v>
      </c>
      <c r="B986" s="53">
        <v>47.648506391145091</v>
      </c>
      <c r="C986" s="53">
        <v>46.927297662786579</v>
      </c>
      <c r="D986" s="53">
        <v>47.648506391145091</v>
      </c>
      <c r="E986" s="53">
        <v>62911.551421831682</v>
      </c>
      <c r="F986" s="53" t="s">
        <v>1011</v>
      </c>
      <c r="G986" s="25">
        <f t="shared" si="11"/>
        <v>-1.3295152382900355E-2</v>
      </c>
    </row>
    <row r="987" spans="1:7">
      <c r="A987" s="53">
        <v>47.33663234644952</v>
      </c>
      <c r="B987" s="53">
        <v>48.584128525231804</v>
      </c>
      <c r="C987" s="53">
        <v>46.673900001471431</v>
      </c>
      <c r="D987" s="53">
        <v>48.584128525231804</v>
      </c>
      <c r="E987" s="53">
        <v>98184.252652028837</v>
      </c>
      <c r="F987" s="53" t="s">
        <v>1012</v>
      </c>
      <c r="G987" s="25">
        <f t="shared" si="11"/>
        <v>-2.5677031093279901E-2</v>
      </c>
    </row>
    <row r="988" spans="1:7">
      <c r="A988" s="53">
        <v>48.827780122650218</v>
      </c>
      <c r="B988" s="53">
        <v>50.494357048992171</v>
      </c>
      <c r="C988" s="53">
        <v>48.623112780818751</v>
      </c>
      <c r="D988" s="53">
        <v>50.055784173639019</v>
      </c>
      <c r="E988" s="53">
        <v>88557.802323561846</v>
      </c>
      <c r="F988" s="53" t="s">
        <v>1013</v>
      </c>
      <c r="G988" s="25">
        <f t="shared" si="11"/>
        <v>-2.4532710280373737E-2</v>
      </c>
    </row>
    <row r="989" spans="1:7">
      <c r="A989" s="53">
        <v>49.958323534671656</v>
      </c>
      <c r="B989" s="53">
        <v>51.43972524697562</v>
      </c>
      <c r="C989" s="53">
        <v>49.510004595421769</v>
      </c>
      <c r="D989" s="53">
        <v>50.582071624062799</v>
      </c>
      <c r="E989" s="53">
        <v>121638.8495459136</v>
      </c>
      <c r="F989" s="53" t="s">
        <v>1014</v>
      </c>
      <c r="G989" s="25">
        <f t="shared" si="11"/>
        <v>-1.2331406551059798E-2</v>
      </c>
    </row>
    <row r="990" spans="1:7">
      <c r="A990" s="53">
        <v>50.923183860448574</v>
      </c>
      <c r="B990" s="53">
        <v>52.427391362270896</v>
      </c>
      <c r="C990" s="53">
        <v>50.494357048992171</v>
      </c>
      <c r="D990" s="53">
        <v>50.494357048992171</v>
      </c>
      <c r="E990" s="53">
        <v>132994.20296577548</v>
      </c>
      <c r="F990" s="53" t="s">
        <v>1015</v>
      </c>
      <c r="G990" s="25">
        <f t="shared" si="11"/>
        <v>8.4925690021229183E-3</v>
      </c>
    </row>
    <row r="991" spans="1:7">
      <c r="A991" s="53">
        <v>49.782894384530394</v>
      </c>
      <c r="B991" s="53">
        <v>50.1824830042966</v>
      </c>
      <c r="C991" s="53">
        <v>47.209446212597108</v>
      </c>
      <c r="D991" s="53">
        <v>49.724418001149985</v>
      </c>
      <c r="E991" s="53">
        <v>60773.252286836461</v>
      </c>
      <c r="F991" s="53" t="s">
        <v>1016</v>
      </c>
      <c r="G991" s="25">
        <f t="shared" si="11"/>
        <v>1.1760094080750516E-3</v>
      </c>
    </row>
    <row r="992" spans="1:7">
      <c r="A992" s="53">
        <v>49.393051828660937</v>
      </c>
      <c r="B992" s="53">
        <v>51.303280352421304</v>
      </c>
      <c r="C992" s="53">
        <v>49.344321509177256</v>
      </c>
      <c r="D992" s="53">
        <v>49.987561726361868</v>
      </c>
      <c r="E992" s="53">
        <v>122220.62287102986</v>
      </c>
      <c r="F992" s="53" t="s">
        <v>1017</v>
      </c>
      <c r="G992" s="25">
        <f t="shared" si="11"/>
        <v>-1.1893156560733087E-2</v>
      </c>
    </row>
    <row r="993" spans="1:7">
      <c r="A993" s="53">
        <v>50.094768429225965</v>
      </c>
      <c r="B993" s="53">
        <v>50.318927898850916</v>
      </c>
      <c r="C993" s="53">
        <v>48.730319483682848</v>
      </c>
      <c r="D993" s="53">
        <v>49.334575445280514</v>
      </c>
      <c r="E993" s="53">
        <v>102316.17713217555</v>
      </c>
      <c r="F993" s="53" t="s">
        <v>1018</v>
      </c>
      <c r="G993" s="25">
        <f t="shared" si="11"/>
        <v>1.5408929276965688E-2</v>
      </c>
    </row>
    <row r="994" spans="1:7">
      <c r="A994" s="53">
        <v>49.63670342607935</v>
      </c>
      <c r="B994" s="53">
        <v>50.08502236532923</v>
      </c>
      <c r="C994" s="53">
        <v>47.702109742577143</v>
      </c>
      <c r="D994" s="53">
        <v>48.067587138704759</v>
      </c>
      <c r="E994" s="53">
        <v>112058.57170356695</v>
      </c>
      <c r="F994" s="53" t="s">
        <v>1019</v>
      </c>
      <c r="G994" s="25">
        <f t="shared" si="11"/>
        <v>3.2643957826439696E-2</v>
      </c>
    </row>
    <row r="995" spans="1:7">
      <c r="A995" s="53">
        <v>47.921396180253716</v>
      </c>
      <c r="B995" s="53">
        <v>48.593874589128539</v>
      </c>
      <c r="C995" s="53">
        <v>47.443839049313624</v>
      </c>
      <c r="D995" s="53">
        <v>48.145555649878652</v>
      </c>
      <c r="E995" s="53">
        <v>89303.744488217082</v>
      </c>
      <c r="F995" s="53" t="s">
        <v>1020</v>
      </c>
      <c r="G995" s="25">
        <f t="shared" si="11"/>
        <v>-4.6558704453439903E-3</v>
      </c>
    </row>
    <row r="996" spans="1:7">
      <c r="A996" s="53">
        <v>47.862919796873292</v>
      </c>
      <c r="B996" s="53">
        <v>48.457429694574223</v>
      </c>
      <c r="C996" s="53">
        <v>47.248917771378885</v>
      </c>
      <c r="D996" s="53">
        <v>47.59977607166141</v>
      </c>
      <c r="E996" s="53">
        <v>81961.293139836169</v>
      </c>
      <c r="F996" s="53" t="s">
        <v>1021</v>
      </c>
      <c r="G996" s="25">
        <f t="shared" si="11"/>
        <v>5.5282555282554213E-3</v>
      </c>
    </row>
    <row r="997" spans="1:7">
      <c r="A997" s="53">
        <v>47.638760327248356</v>
      </c>
      <c r="B997" s="53">
        <v>48.204032033259075</v>
      </c>
      <c r="C997" s="53">
        <v>46.157358614944393</v>
      </c>
      <c r="D997" s="53">
        <v>47.755713094009195</v>
      </c>
      <c r="E997" s="53">
        <v>82804.710552967692</v>
      </c>
      <c r="F997" s="53" t="s">
        <v>1022</v>
      </c>
      <c r="G997" s="25">
        <f t="shared" si="11"/>
        <v>-2.4489795918367641E-3</v>
      </c>
    </row>
    <row r="998" spans="1:7">
      <c r="A998" s="53">
        <v>48.155301713775387</v>
      </c>
      <c r="B998" s="53">
        <v>48.720573419786113</v>
      </c>
      <c r="C998" s="53">
        <v>46.91267856694148</v>
      </c>
      <c r="D998" s="53">
        <v>47.93114224415045</v>
      </c>
      <c r="E998" s="53">
        <v>94622.814889280067</v>
      </c>
      <c r="F998" s="53" t="s">
        <v>1023</v>
      </c>
      <c r="G998" s="25">
        <f t="shared" si="11"/>
        <v>4.676697844652189E-3</v>
      </c>
    </row>
    <row r="999" spans="1:7">
      <c r="A999" s="53">
        <v>48.135809585981917</v>
      </c>
      <c r="B999" s="53">
        <v>49.656195553872827</v>
      </c>
      <c r="C999" s="53">
        <v>47.833681605183081</v>
      </c>
      <c r="D999" s="53">
        <v>48.31123873612318</v>
      </c>
      <c r="E999" s="53">
        <v>122261.66508091461</v>
      </c>
      <c r="F999" s="53" t="s">
        <v>1024</v>
      </c>
      <c r="G999" s="25">
        <f t="shared" si="11"/>
        <v>-3.6312285656647791E-3</v>
      </c>
    </row>
    <row r="1000" spans="1:7">
      <c r="A1000" s="53">
        <v>48.087079266498236</v>
      </c>
      <c r="B1000" s="53">
        <v>48.165047777672129</v>
      </c>
      <c r="C1000" s="53">
        <v>47.346378410346254</v>
      </c>
      <c r="D1000" s="53">
        <v>48.087079266498236</v>
      </c>
      <c r="E1000" s="53">
        <v>38806.435501273707</v>
      </c>
      <c r="F1000" s="53" t="s">
        <v>1025</v>
      </c>
      <c r="G1000" s="25">
        <f t="shared" si="11"/>
        <v>0</v>
      </c>
    </row>
    <row r="1001" spans="1:7">
      <c r="A1001" s="53">
        <v>48.379461183400331</v>
      </c>
      <c r="B1001" s="53">
        <v>48.642604908612213</v>
      </c>
      <c r="C1001" s="53">
        <v>47.229425643585415</v>
      </c>
      <c r="D1001" s="53">
        <v>48.087079266498236</v>
      </c>
      <c r="E1001" s="53">
        <v>65032.407617625897</v>
      </c>
      <c r="F1001" s="53" t="s">
        <v>1026</v>
      </c>
      <c r="G1001" s="25">
        <f t="shared" si="11"/>
        <v>6.0802594244020458E-3</v>
      </c>
    </row>
    <row r="1002" spans="1:7">
      <c r="A1002" s="53">
        <v>48.184539905465599</v>
      </c>
      <c r="B1002" s="53">
        <v>49.20787661462294</v>
      </c>
      <c r="C1002" s="53">
        <v>47.853173732976558</v>
      </c>
      <c r="D1002" s="53">
        <v>49.129908103449047</v>
      </c>
      <c r="E1002" s="53">
        <v>247940.09413473425</v>
      </c>
      <c r="F1002" s="53" t="s">
        <v>1027</v>
      </c>
      <c r="G1002" s="25">
        <f t="shared" si="11"/>
        <v>-1.9242213846459078E-2</v>
      </c>
    </row>
    <row r="1003" spans="1:7">
      <c r="A1003" s="53">
        <v>49.276099061900098</v>
      </c>
      <c r="B1003" s="53">
        <v>50.279943643263969</v>
      </c>
      <c r="C1003" s="53">
        <v>48.769303739269795</v>
      </c>
      <c r="D1003" s="53">
        <v>49.587973106595669</v>
      </c>
      <c r="E1003" s="53">
        <v>62443.670229145588</v>
      </c>
      <c r="F1003" s="53" t="s">
        <v>1028</v>
      </c>
      <c r="G1003" s="25">
        <f t="shared" si="11"/>
        <v>-6.2893081761006275E-3</v>
      </c>
    </row>
    <row r="1004" spans="1:7">
      <c r="A1004" s="53">
        <v>49.73416406504672</v>
      </c>
      <c r="B1004" s="53">
        <v>49.860862895704287</v>
      </c>
      <c r="C1004" s="53">
        <v>48.896002569927376</v>
      </c>
      <c r="D1004" s="53">
        <v>48.896002569927376</v>
      </c>
      <c r="E1004" s="53">
        <v>50268.498666835927</v>
      </c>
      <c r="F1004" s="53" t="s">
        <v>1029</v>
      </c>
      <c r="G1004" s="25">
        <f t="shared" si="11"/>
        <v>1.7141718158261821E-2</v>
      </c>
    </row>
    <row r="1005" spans="1:7">
      <c r="A1005" s="53">
        <v>49.081177783965366</v>
      </c>
      <c r="B1005" s="53">
        <v>49.597719170492404</v>
      </c>
      <c r="C1005" s="53">
        <v>48.740065547579583</v>
      </c>
      <c r="D1005" s="53">
        <v>49.315083317487044</v>
      </c>
      <c r="E1005" s="53">
        <v>55913.854636482625</v>
      </c>
      <c r="F1005" s="53" t="s">
        <v>1030</v>
      </c>
      <c r="G1005" s="25">
        <f t="shared" si="11"/>
        <v>-4.7430830039525418E-3</v>
      </c>
    </row>
    <row r="1006" spans="1:7">
      <c r="A1006" s="53">
        <v>50.299435771057439</v>
      </c>
      <c r="B1006" s="53">
        <v>50.854961413171424</v>
      </c>
      <c r="C1006" s="53">
        <v>49.480766403731565</v>
      </c>
      <c r="D1006" s="53">
        <v>50.075276301432496</v>
      </c>
      <c r="E1006" s="53">
        <v>73398.862102631203</v>
      </c>
      <c r="F1006" s="53" t="s">
        <v>1031</v>
      </c>
      <c r="G1006" s="25">
        <f t="shared" si="11"/>
        <v>4.4764499805372004E-3</v>
      </c>
    </row>
    <row r="1007" spans="1:7">
      <c r="A1007" s="53">
        <v>50.094768429225965</v>
      </c>
      <c r="B1007" s="53">
        <v>50.368827746002196</v>
      </c>
      <c r="C1007" s="53">
        <v>49.110415975655577</v>
      </c>
      <c r="D1007" s="53">
        <v>49.997307790258603</v>
      </c>
      <c r="E1007" s="53">
        <v>55538.318416037211</v>
      </c>
      <c r="F1007" s="53" t="s">
        <v>1032</v>
      </c>
      <c r="G1007" s="25">
        <f t="shared" si="11"/>
        <v>1.9493177387912564E-3</v>
      </c>
    </row>
    <row r="1008" spans="1:7">
      <c r="A1008" s="53">
        <v>49.45152821204136</v>
      </c>
      <c r="B1008" s="53">
        <v>49.665941617769562</v>
      </c>
      <c r="C1008" s="53">
        <v>47.424346921520147</v>
      </c>
      <c r="D1008" s="53">
        <v>48.603620653025274</v>
      </c>
      <c r="E1008" s="53">
        <v>65457.194489933005</v>
      </c>
      <c r="F1008" s="53" t="s">
        <v>1033</v>
      </c>
      <c r="G1008" s="25">
        <f t="shared" si="11"/>
        <v>1.7445357930619743E-2</v>
      </c>
    </row>
    <row r="1009" spans="1:7">
      <c r="A1009" s="53">
        <v>48.954478953307785</v>
      </c>
      <c r="B1009" s="53">
        <v>48.954478953307785</v>
      </c>
      <c r="C1009" s="53">
        <v>46.781106704335535</v>
      </c>
      <c r="D1009" s="53">
        <v>47.677744582835302</v>
      </c>
      <c r="E1009" s="53">
        <v>71588.900646713941</v>
      </c>
      <c r="F1009" s="53" t="s">
        <v>1034</v>
      </c>
      <c r="G1009" s="25">
        <f t="shared" si="11"/>
        <v>2.6778413736712858E-2</v>
      </c>
    </row>
    <row r="1010" spans="1:7">
      <c r="A1010" s="53">
        <v>47.453585113210359</v>
      </c>
      <c r="B1010" s="53">
        <v>48.106571394291706</v>
      </c>
      <c r="C1010" s="53">
        <v>47.283028995017467</v>
      </c>
      <c r="D1010" s="53">
        <v>48.106571394291706</v>
      </c>
      <c r="E1010" s="53">
        <v>57661.226722325657</v>
      </c>
      <c r="F1010" s="53" t="s">
        <v>1035</v>
      </c>
      <c r="G1010" s="25">
        <f t="shared" si="11"/>
        <v>-1.3573743922204118E-2</v>
      </c>
    </row>
    <row r="1011" spans="1:7">
      <c r="A1011" s="53">
        <v>48.009110755324343</v>
      </c>
      <c r="B1011" s="53">
        <v>49.948577470774921</v>
      </c>
      <c r="C1011" s="53">
        <v>47.59977607166141</v>
      </c>
      <c r="D1011" s="53">
        <v>48.701081291992637</v>
      </c>
      <c r="E1011" s="53">
        <v>64182.833873011667</v>
      </c>
      <c r="F1011" s="53" t="s">
        <v>1036</v>
      </c>
      <c r="G1011" s="25">
        <f t="shared" si="11"/>
        <v>-1.4208525115068982E-2</v>
      </c>
    </row>
    <row r="1012" spans="1:7">
      <c r="A1012" s="53">
        <v>48.593874589128539</v>
      </c>
      <c r="B1012" s="53">
        <v>48.642604908612213</v>
      </c>
      <c r="C1012" s="53">
        <v>46.898059471096374</v>
      </c>
      <c r="D1012" s="53">
        <v>48.02860288311782</v>
      </c>
      <c r="E1012" s="53">
        <v>85131.803853432735</v>
      </c>
      <c r="F1012" s="53" t="s">
        <v>1037</v>
      </c>
      <c r="G1012" s="25">
        <f t="shared" si="11"/>
        <v>1.1769480519480569E-2</v>
      </c>
    </row>
    <row r="1013" spans="1:7">
      <c r="A1013" s="53">
        <v>48.126063522085182</v>
      </c>
      <c r="B1013" s="53">
        <v>48.744938579527954</v>
      </c>
      <c r="C1013" s="53">
        <v>47.892157988563504</v>
      </c>
      <c r="D1013" s="53">
        <v>48.282000544432968</v>
      </c>
      <c r="E1013" s="53">
        <v>97752.283392991885</v>
      </c>
      <c r="F1013" s="53" t="s">
        <v>1038</v>
      </c>
      <c r="G1013" s="25">
        <f t="shared" si="11"/>
        <v>-3.2297133629390906E-3</v>
      </c>
    </row>
    <row r="1014" spans="1:7">
      <c r="A1014" s="53">
        <v>47.970126499737397</v>
      </c>
      <c r="B1014" s="53">
        <v>48.121190490136811</v>
      </c>
      <c r="C1014" s="53">
        <v>47.50231543269404</v>
      </c>
      <c r="D1014" s="53">
        <v>47.814189477389611</v>
      </c>
      <c r="E1014" s="53">
        <v>63164.987067869988</v>
      </c>
      <c r="F1014" s="53" t="s">
        <v>1039</v>
      </c>
      <c r="G1014" s="25">
        <f t="shared" si="11"/>
        <v>3.2613126783529456E-3</v>
      </c>
    </row>
    <row r="1015" spans="1:7">
      <c r="A1015" s="53">
        <v>47.823935541286346</v>
      </c>
      <c r="B1015" s="53">
        <v>48.535398205748116</v>
      </c>
      <c r="C1015" s="53">
        <v>47.317140218656043</v>
      </c>
      <c r="D1015" s="53">
        <v>48.116317458188441</v>
      </c>
      <c r="E1015" s="53">
        <v>40499.426659019446</v>
      </c>
      <c r="F1015" s="53" t="s">
        <v>1040</v>
      </c>
      <c r="G1015" s="25">
        <f t="shared" si="11"/>
        <v>-6.0765647154141789E-3</v>
      </c>
    </row>
    <row r="1016" spans="1:7">
      <c r="A1016" s="53">
        <v>48.652350972508955</v>
      </c>
      <c r="B1016" s="53">
        <v>50.416388537818271</v>
      </c>
      <c r="C1016" s="53">
        <v>48.467175758470958</v>
      </c>
      <c r="D1016" s="53">
        <v>50.387150346128067</v>
      </c>
      <c r="E1016" s="53">
        <v>53125.036474814195</v>
      </c>
      <c r="F1016" s="53" t="s">
        <v>1041</v>
      </c>
      <c r="G1016" s="25">
        <f t="shared" si="11"/>
        <v>-3.4429400386847275E-2</v>
      </c>
    </row>
    <row r="1017" spans="1:7">
      <c r="A1017" s="53">
        <v>50.270197579367228</v>
      </c>
      <c r="B1017" s="53">
        <v>50.377404282231325</v>
      </c>
      <c r="C1017" s="53">
        <v>49.539242787111981</v>
      </c>
      <c r="D1017" s="53">
        <v>49.782894384530394</v>
      </c>
      <c r="E1017" s="53">
        <v>53801.20688266537</v>
      </c>
      <c r="F1017" s="53" t="s">
        <v>1042</v>
      </c>
      <c r="G1017" s="25">
        <f t="shared" ref="G1017:G1080" si="12">A1017/D1017-1</f>
        <v>9.7885669537980391E-3</v>
      </c>
    </row>
    <row r="1018" spans="1:7">
      <c r="A1018" s="53">
        <v>49.383305764764202</v>
      </c>
      <c r="B1018" s="53">
        <v>50.046622873576091</v>
      </c>
      <c r="C1018" s="53">
        <v>49.305337253590309</v>
      </c>
      <c r="D1018" s="53">
        <v>49.305337253590309</v>
      </c>
      <c r="E1018" s="53">
        <v>48091.209432450189</v>
      </c>
      <c r="F1018" s="53" t="s">
        <v>1043</v>
      </c>
      <c r="G1018" s="25">
        <f t="shared" si="12"/>
        <v>1.5813401858075782E-3</v>
      </c>
    </row>
    <row r="1019" spans="1:7">
      <c r="A1019" s="53">
        <v>49.485639435679921</v>
      </c>
      <c r="B1019" s="53">
        <v>49.893968876995942</v>
      </c>
      <c r="C1019" s="53">
        <v>48.970366569257315</v>
      </c>
      <c r="D1019" s="53">
        <v>49.845358229220231</v>
      </c>
      <c r="E1019" s="53">
        <v>78356.289707843083</v>
      </c>
      <c r="F1019" s="53" t="s">
        <v>1044</v>
      </c>
      <c r="G1019" s="25">
        <f t="shared" si="12"/>
        <v>-7.2166959235421269E-3</v>
      </c>
    </row>
    <row r="1020" spans="1:7">
      <c r="A1020" s="53">
        <v>49.816191840554801</v>
      </c>
      <c r="B1020" s="53">
        <v>50.418963872973684</v>
      </c>
      <c r="C1020" s="53">
        <v>49.330085362797625</v>
      </c>
      <c r="D1020" s="53">
        <v>49.913413136106236</v>
      </c>
      <c r="E1020" s="53">
        <v>78540.405748454054</v>
      </c>
      <c r="F1020" s="53" t="s">
        <v>1045</v>
      </c>
      <c r="G1020" s="25">
        <f t="shared" si="12"/>
        <v>-1.9477989871445889E-3</v>
      </c>
    </row>
    <row r="1021" spans="1:7">
      <c r="A1021" s="53">
        <v>50.360631095642823</v>
      </c>
      <c r="B1021" s="53">
        <v>51.002291646282295</v>
      </c>
      <c r="C1021" s="53">
        <v>50.287715123979254</v>
      </c>
      <c r="D1021" s="53">
        <v>50.730072018738277</v>
      </c>
      <c r="E1021" s="53">
        <v>71329.0227276519</v>
      </c>
      <c r="F1021" s="53" t="s">
        <v>1046</v>
      </c>
      <c r="G1021" s="25">
        <f t="shared" si="12"/>
        <v>-7.282483710233878E-3</v>
      </c>
    </row>
    <row r="1022" spans="1:7">
      <c r="A1022" s="53">
        <v>50.943958868951427</v>
      </c>
      <c r="B1022" s="53">
        <v>51.332844051157167</v>
      </c>
      <c r="C1022" s="53">
        <v>50.273131929646539</v>
      </c>
      <c r="D1022" s="53">
        <v>50.652294982297128</v>
      </c>
      <c r="E1022" s="53">
        <v>95756.798417429469</v>
      </c>
      <c r="F1022" s="53" t="s">
        <v>1047</v>
      </c>
      <c r="G1022" s="25">
        <f t="shared" si="12"/>
        <v>5.7581573896352545E-3</v>
      </c>
    </row>
    <row r="1023" spans="1:7">
      <c r="A1023" s="53">
        <v>50.759238407403707</v>
      </c>
      <c r="B1023" s="53">
        <v>52.596720893325809</v>
      </c>
      <c r="C1023" s="53">
        <v>50.662017111852272</v>
      </c>
      <c r="D1023" s="53">
        <v>52.596720893325809</v>
      </c>
      <c r="E1023" s="53">
        <v>125535.25367848258</v>
      </c>
      <c r="F1023" s="53" t="s">
        <v>1048</v>
      </c>
      <c r="G1023" s="25">
        <f t="shared" si="12"/>
        <v>-3.4935304990757809E-2</v>
      </c>
    </row>
    <row r="1024" spans="1:7">
      <c r="A1024" s="53">
        <v>52.995328205086686</v>
      </c>
      <c r="B1024" s="53">
        <v>54.210594399479611</v>
      </c>
      <c r="C1024" s="53">
        <v>51.853464088835096</v>
      </c>
      <c r="D1024" s="53">
        <v>54.210594399479611</v>
      </c>
      <c r="E1024" s="53">
        <v>136764.27499328749</v>
      </c>
      <c r="F1024" s="53" t="s">
        <v>1049</v>
      </c>
      <c r="G1024" s="25">
        <f t="shared" si="12"/>
        <v>-2.2417503586800613E-2</v>
      </c>
    </row>
    <row r="1025" spans="1:7">
      <c r="A1025" s="53">
        <v>54.434203379247911</v>
      </c>
      <c r="B1025" s="53">
        <v>54.813366431898508</v>
      </c>
      <c r="C1025" s="53">
        <v>52.616165152436096</v>
      </c>
      <c r="D1025" s="53">
        <v>53.043938852862411</v>
      </c>
      <c r="E1025" s="53">
        <v>105004.77227850951</v>
      </c>
      <c r="F1025" s="53" t="s">
        <v>1050</v>
      </c>
      <c r="G1025" s="25">
        <f t="shared" si="12"/>
        <v>2.620967741935476E-2</v>
      </c>
    </row>
    <row r="1026" spans="1:7">
      <c r="A1026" s="53">
        <v>53.257825703075561</v>
      </c>
      <c r="B1026" s="53">
        <v>53.54355909070123</v>
      </c>
      <c r="C1026" s="53">
        <v>52.907829039090402</v>
      </c>
      <c r="D1026" s="53">
        <v>53.296714221296135</v>
      </c>
      <c r="E1026" s="53">
        <v>84382.747148847193</v>
      </c>
      <c r="F1026" s="53" t="s">
        <v>1051</v>
      </c>
      <c r="G1026" s="25">
        <f t="shared" si="12"/>
        <v>-7.2966070777091829E-4</v>
      </c>
    </row>
    <row r="1027" spans="1:7">
      <c r="A1027" s="53">
        <v>53.306436350851278</v>
      </c>
      <c r="B1027" s="53">
        <v>54.511980415689059</v>
      </c>
      <c r="C1027" s="53">
        <v>52.956439686866112</v>
      </c>
      <c r="D1027" s="53">
        <v>53.685599403501868</v>
      </c>
      <c r="E1027" s="53">
        <v>152107.6212379467</v>
      </c>
      <c r="F1027" s="53" t="s">
        <v>1052</v>
      </c>
      <c r="G1027" s="25">
        <f t="shared" si="12"/>
        <v>-7.0626584570807616E-3</v>
      </c>
    </row>
    <row r="1028" spans="1:7">
      <c r="A1028" s="53">
        <v>53.530045330619579</v>
      </c>
      <c r="B1028" s="53">
        <v>53.695321533057012</v>
      </c>
      <c r="C1028" s="53">
        <v>52.363389784002365</v>
      </c>
      <c r="D1028" s="53">
        <v>52.936995427755832</v>
      </c>
      <c r="E1028" s="53">
        <v>106802.73227285585</v>
      </c>
      <c r="F1028" s="53" t="s">
        <v>1053</v>
      </c>
      <c r="G1028" s="25">
        <f t="shared" si="12"/>
        <v>1.120293847566578E-2</v>
      </c>
    </row>
    <row r="1029" spans="1:7">
      <c r="A1029" s="53">
        <v>51.964782472241488</v>
      </c>
      <c r="B1029" s="53">
        <v>53.403657646402714</v>
      </c>
      <c r="C1029" s="53">
        <v>51.643952196921752</v>
      </c>
      <c r="D1029" s="53">
        <v>53.111993759748415</v>
      </c>
      <c r="E1029" s="53">
        <v>111376.83301362139</v>
      </c>
      <c r="F1029" s="53" t="s">
        <v>1054</v>
      </c>
      <c r="G1029" s="25">
        <f t="shared" si="12"/>
        <v>-2.1599853560314908E-2</v>
      </c>
    </row>
    <row r="1030" spans="1:7">
      <c r="A1030" s="53">
        <v>53.374491257737283</v>
      </c>
      <c r="B1030" s="53">
        <v>53.505740006731713</v>
      </c>
      <c r="C1030" s="53">
        <v>51.896727565355484</v>
      </c>
      <c r="D1030" s="53">
        <v>51.896727565355484</v>
      </c>
      <c r="E1030" s="53">
        <v>121080.4683606828</v>
      </c>
      <c r="F1030" s="53" t="s">
        <v>1055</v>
      </c>
      <c r="G1030" s="25">
        <f t="shared" si="12"/>
        <v>2.8475084301236464E-2</v>
      </c>
    </row>
    <row r="1031" spans="1:7">
      <c r="A1031" s="53">
        <v>51.760617751583482</v>
      </c>
      <c r="B1031" s="53">
        <v>51.925893954020914</v>
      </c>
      <c r="C1031" s="53">
        <v>50.778682666513987</v>
      </c>
      <c r="D1031" s="53">
        <v>51.712007103807757</v>
      </c>
      <c r="E1031" s="53">
        <v>83156.678319750601</v>
      </c>
      <c r="F1031" s="53" t="s">
        <v>1056</v>
      </c>
      <c r="G1031" s="25">
        <f t="shared" si="12"/>
        <v>9.4002632073708625E-4</v>
      </c>
    </row>
    <row r="1032" spans="1:7">
      <c r="A1032" s="53">
        <v>52.392556172667796</v>
      </c>
      <c r="B1032" s="53">
        <v>52.392556172667796</v>
      </c>
      <c r="C1032" s="53">
        <v>50.518615700913905</v>
      </c>
      <c r="D1032" s="53">
        <v>52.110614415568641</v>
      </c>
      <c r="E1032" s="53">
        <v>193355.7858222012</v>
      </c>
      <c r="F1032" s="53" t="s">
        <v>1057</v>
      </c>
      <c r="G1032" s="25">
        <f t="shared" si="12"/>
        <v>5.4104477611940371E-3</v>
      </c>
    </row>
    <row r="1033" spans="1:7">
      <c r="A1033" s="53">
        <v>52.256446358895793</v>
      </c>
      <c r="B1033" s="53">
        <v>52.791163484428672</v>
      </c>
      <c r="C1033" s="53">
        <v>50.312020447867113</v>
      </c>
      <c r="D1033" s="53">
        <v>50.312020447867113</v>
      </c>
      <c r="E1033" s="53">
        <v>164619.28334963368</v>
      </c>
      <c r="F1033" s="53" t="s">
        <v>1058</v>
      </c>
      <c r="G1033" s="25">
        <f t="shared" si="12"/>
        <v>3.8647342995169032E-2</v>
      </c>
    </row>
    <row r="1034" spans="1:7">
      <c r="A1034" s="53">
        <v>50.088411468098812</v>
      </c>
      <c r="B1034" s="53">
        <v>50.564795816300837</v>
      </c>
      <c r="C1034" s="53">
        <v>49.903691006551085</v>
      </c>
      <c r="D1034" s="53">
        <v>50.117577856764235</v>
      </c>
      <c r="E1034" s="53">
        <v>98741.741154038769</v>
      </c>
      <c r="F1034" s="53" t="s">
        <v>1059</v>
      </c>
      <c r="G1034" s="25">
        <f t="shared" si="12"/>
        <v>-5.8195926285142807E-4</v>
      </c>
    </row>
    <row r="1035" spans="1:7">
      <c r="A1035" s="53">
        <v>50.457852391194258</v>
      </c>
      <c r="B1035" s="53">
        <v>51.293955532936593</v>
      </c>
      <c r="C1035" s="53">
        <v>48.756479719044165</v>
      </c>
      <c r="D1035" s="53">
        <v>48.756479719044165</v>
      </c>
      <c r="E1035" s="53">
        <v>140872.42843574702</v>
      </c>
      <c r="F1035" s="53" t="s">
        <v>1060</v>
      </c>
      <c r="G1035" s="25">
        <f t="shared" si="12"/>
        <v>3.4895314057826532E-2</v>
      </c>
    </row>
    <row r="1036" spans="1:7">
      <c r="A1036" s="53">
        <v>48.950922310147035</v>
      </c>
      <c r="B1036" s="53">
        <v>49.864802488330511</v>
      </c>
      <c r="C1036" s="53">
        <v>45.557899095401986</v>
      </c>
      <c r="D1036" s="53">
        <v>46.928719362677207</v>
      </c>
      <c r="E1036" s="53">
        <v>205460.12976583262</v>
      </c>
      <c r="F1036" s="53" t="s">
        <v>1061</v>
      </c>
      <c r="G1036" s="25">
        <f t="shared" si="12"/>
        <v>4.3090946757820658E-2</v>
      </c>
    </row>
    <row r="1037" spans="1:7">
      <c r="A1037" s="53">
        <v>47.473158617765236</v>
      </c>
      <c r="B1037" s="53">
        <v>47.589824172426958</v>
      </c>
      <c r="C1037" s="53">
        <v>46.228726034706881</v>
      </c>
      <c r="D1037" s="53">
        <v>47.006496399118355</v>
      </c>
      <c r="E1037" s="53">
        <v>80627.397069122657</v>
      </c>
      <c r="F1037" s="53" t="s">
        <v>1062</v>
      </c>
      <c r="G1037" s="25">
        <f t="shared" si="12"/>
        <v>9.9276111685624446E-3</v>
      </c>
    </row>
    <row r="1038" spans="1:7">
      <c r="A1038" s="53">
        <v>46.75372103068463</v>
      </c>
      <c r="B1038" s="53">
        <v>46.841220196680915</v>
      </c>
      <c r="C1038" s="53">
        <v>45.968659069106792</v>
      </c>
      <c r="D1038" s="53">
        <v>46.296780941592878</v>
      </c>
      <c r="E1038" s="53">
        <v>73086.86805393215</v>
      </c>
      <c r="F1038" s="53" t="s">
        <v>1063</v>
      </c>
      <c r="G1038" s="25">
        <f t="shared" si="12"/>
        <v>9.8698026039480968E-3</v>
      </c>
    </row>
    <row r="1039" spans="1:7">
      <c r="A1039" s="53">
        <v>45.888451500276865</v>
      </c>
      <c r="B1039" s="53">
        <v>46.160671127820876</v>
      </c>
      <c r="C1039" s="53">
        <v>45.309984791745826</v>
      </c>
      <c r="D1039" s="53">
        <v>45.606509743177696</v>
      </c>
      <c r="E1039" s="53">
        <v>77333.879962774285</v>
      </c>
      <c r="F1039" s="53" t="s">
        <v>1064</v>
      </c>
      <c r="G1039" s="25">
        <f t="shared" si="12"/>
        <v>6.1820507354510834E-3</v>
      </c>
    </row>
    <row r="1040" spans="1:7">
      <c r="A1040" s="53">
        <v>45.538454836291699</v>
      </c>
      <c r="B1040" s="53">
        <v>47.181494731110938</v>
      </c>
      <c r="C1040" s="53">
        <v>45.130125394975678</v>
      </c>
      <c r="D1040" s="53">
        <v>47.142606212890364</v>
      </c>
      <c r="E1040" s="53">
        <v>98080.363421564689</v>
      </c>
      <c r="F1040" s="53" t="s">
        <v>1065</v>
      </c>
      <c r="G1040" s="25">
        <f t="shared" si="12"/>
        <v>-3.4027634563827625E-2</v>
      </c>
    </row>
    <row r="1041" spans="1:7">
      <c r="A1041" s="53">
        <v>46.899552974011776</v>
      </c>
      <c r="B1041" s="53">
        <v>47.648156949757812</v>
      </c>
      <c r="C1041" s="53">
        <v>46.500945662250892</v>
      </c>
      <c r="D1041" s="53">
        <v>47.463436488210093</v>
      </c>
      <c r="E1041" s="53">
        <v>90371.147084250159</v>
      </c>
      <c r="F1041" s="53" t="s">
        <v>1066</v>
      </c>
      <c r="G1041" s="25">
        <f t="shared" si="12"/>
        <v>-1.1880376894715217E-2</v>
      </c>
    </row>
    <row r="1042" spans="1:7">
      <c r="A1042" s="53">
        <v>47.200938990221218</v>
      </c>
      <c r="B1042" s="53">
        <v>47.200938990221218</v>
      </c>
      <c r="C1042" s="53">
        <v>45.961367471940434</v>
      </c>
      <c r="D1042" s="53">
        <v>46.053727702714298</v>
      </c>
      <c r="E1042" s="53">
        <v>76485.30044599183</v>
      </c>
      <c r="F1042" s="53" t="s">
        <v>1067</v>
      </c>
      <c r="G1042" s="25">
        <f t="shared" si="12"/>
        <v>2.4910280768418724E-2</v>
      </c>
    </row>
    <row r="1043" spans="1:7">
      <c r="A1043" s="53">
        <v>45.917617888942289</v>
      </c>
      <c r="B1043" s="53">
        <v>46.520389921361186</v>
      </c>
      <c r="C1043" s="53">
        <v>45.412067152074833</v>
      </c>
      <c r="D1043" s="53">
        <v>45.742619556949705</v>
      </c>
      <c r="E1043" s="53">
        <v>74867.342167326613</v>
      </c>
      <c r="F1043" s="53" t="s">
        <v>1068</v>
      </c>
      <c r="G1043" s="25">
        <f t="shared" si="12"/>
        <v>3.8257173219979901E-3</v>
      </c>
    </row>
    <row r="1044" spans="1:7">
      <c r="A1044" s="53">
        <v>45.567621224957129</v>
      </c>
      <c r="B1044" s="53">
        <v>45.917617888942289</v>
      </c>
      <c r="C1044" s="53">
        <v>44.64401891721851</v>
      </c>
      <c r="D1044" s="53">
        <v>44.64401891721851</v>
      </c>
      <c r="E1044" s="53">
        <v>81722.836081696369</v>
      </c>
      <c r="F1044" s="53" t="s">
        <v>1069</v>
      </c>
      <c r="G1044" s="25">
        <f t="shared" si="12"/>
        <v>2.0688153310104429E-2</v>
      </c>
    </row>
    <row r="1045" spans="1:7">
      <c r="A1045" s="53">
        <v>44.031524755244469</v>
      </c>
      <c r="B1045" s="53">
        <v>46.219003905151737</v>
      </c>
      <c r="C1045" s="53">
        <v>43.632917443483592</v>
      </c>
      <c r="D1045" s="53">
        <v>45.732897427394569</v>
      </c>
      <c r="E1045" s="53">
        <v>137695.14100866701</v>
      </c>
      <c r="F1045" s="53" t="s">
        <v>1070</v>
      </c>
      <c r="G1045" s="25">
        <f t="shared" si="12"/>
        <v>-3.7202380952381042E-2</v>
      </c>
    </row>
    <row r="1046" spans="1:7">
      <c r="A1046" s="53">
        <v>45.519010577181412</v>
      </c>
      <c r="B1046" s="53">
        <v>47.200938990221218</v>
      </c>
      <c r="C1046" s="53">
        <v>45.198180301861683</v>
      </c>
      <c r="D1046" s="53">
        <v>46.160671127820876</v>
      </c>
      <c r="E1046" s="53">
        <v>161094.33546598101</v>
      </c>
      <c r="F1046" s="53" t="s">
        <v>1071</v>
      </c>
      <c r="G1046" s="25">
        <f t="shared" si="12"/>
        <v>-1.3900589721988155E-2</v>
      </c>
    </row>
    <row r="1047" spans="1:7">
      <c r="A1047" s="53">
        <v>45.198180301861683</v>
      </c>
      <c r="B1047" s="53">
        <v>45.275957338302824</v>
      </c>
      <c r="C1047" s="53">
        <v>43.700972350369597</v>
      </c>
      <c r="D1047" s="53">
        <v>44.235689475902483</v>
      </c>
      <c r="E1047" s="53">
        <v>110037.62024895381</v>
      </c>
      <c r="F1047" s="53" t="s">
        <v>1072</v>
      </c>
      <c r="G1047" s="25">
        <f t="shared" si="12"/>
        <v>2.1758241758241814E-2</v>
      </c>
    </row>
    <row r="1048" spans="1:7">
      <c r="A1048" s="53">
        <v>44.64401891721851</v>
      </c>
      <c r="B1048" s="53">
        <v>45.091236876755104</v>
      </c>
      <c r="C1048" s="53">
        <v>43.905137071027603</v>
      </c>
      <c r="D1048" s="53">
        <v>44.119023921240768</v>
      </c>
      <c r="E1048" s="53">
        <v>66346.575237598314</v>
      </c>
      <c r="F1048" s="53" t="s">
        <v>1073</v>
      </c>
      <c r="G1048" s="25">
        <f t="shared" si="12"/>
        <v>1.1899515204936151E-2</v>
      </c>
    </row>
    <row r="1049" spans="1:7">
      <c r="A1049" s="53">
        <v>44.556519751222211</v>
      </c>
      <c r="B1049" s="53">
        <v>44.770406601435369</v>
      </c>
      <c r="C1049" s="53">
        <v>44.08985753257533</v>
      </c>
      <c r="D1049" s="53">
        <v>44.585686139887642</v>
      </c>
      <c r="E1049" s="53">
        <v>48945.037946779463</v>
      </c>
      <c r="F1049" s="53" t="s">
        <v>1074</v>
      </c>
      <c r="G1049" s="25">
        <f t="shared" si="12"/>
        <v>-6.5416484954206044E-4</v>
      </c>
    </row>
    <row r="1050" spans="1:7">
      <c r="A1050" s="53">
        <v>44.517631233001637</v>
      </c>
      <c r="B1050" s="53">
        <v>45.120403265420528</v>
      </c>
      <c r="C1050" s="53">
        <v>43.944025589248184</v>
      </c>
      <c r="D1050" s="53">
        <v>45.120403265420528</v>
      </c>
      <c r="E1050" s="53">
        <v>69594.834769718305</v>
      </c>
      <c r="F1050" s="53" t="s">
        <v>1075</v>
      </c>
      <c r="G1050" s="25">
        <f t="shared" si="12"/>
        <v>-1.3359189829778018E-2</v>
      </c>
    </row>
    <row r="1051" spans="1:7">
      <c r="A1051" s="53">
        <v>45.130125394975678</v>
      </c>
      <c r="B1051" s="53">
        <v>45.946784277607719</v>
      </c>
      <c r="C1051" s="53">
        <v>44.55700585769997</v>
      </c>
      <c r="D1051" s="53">
        <v>45.499566318071125</v>
      </c>
      <c r="E1051" s="53">
        <v>85529.615223044078</v>
      </c>
      <c r="F1051" s="53" t="s">
        <v>1076</v>
      </c>
      <c r="G1051" s="25">
        <f t="shared" si="12"/>
        <v>-8.1196581196580908E-3</v>
      </c>
    </row>
    <row r="1052" spans="1:7">
      <c r="A1052" s="53">
        <v>45.684286779618851</v>
      </c>
      <c r="B1052" s="53">
        <v>46.189837516486307</v>
      </c>
      <c r="C1052" s="53">
        <v>44.605130398997936</v>
      </c>
      <c r="D1052" s="53">
        <v>45.091236876755104</v>
      </c>
      <c r="E1052" s="53">
        <v>80741.569585926118</v>
      </c>
      <c r="F1052" s="53" t="s">
        <v>1077</v>
      </c>
      <c r="G1052" s="25">
        <f t="shared" si="12"/>
        <v>1.3152220784820923E-2</v>
      </c>
    </row>
    <row r="1053" spans="1:7">
      <c r="A1053" s="53">
        <v>44.799572990100799</v>
      </c>
      <c r="B1053" s="53">
        <v>45.621092937510412</v>
      </c>
      <c r="C1053" s="53">
        <v>40.871832649822863</v>
      </c>
      <c r="D1053" s="53">
        <v>45.412067152074833</v>
      </c>
      <c r="E1053" s="53">
        <v>70087.525180068362</v>
      </c>
      <c r="F1053" s="53" t="s">
        <v>1078</v>
      </c>
      <c r="G1053" s="25">
        <f t="shared" si="12"/>
        <v>-1.3487475915221592E-2</v>
      </c>
    </row>
    <row r="1054" spans="1:7">
      <c r="A1054" s="53">
        <v>45.285679467857967</v>
      </c>
      <c r="B1054" s="53">
        <v>45.382900763409403</v>
      </c>
      <c r="C1054" s="53">
        <v>44.216245216792196</v>
      </c>
      <c r="D1054" s="53">
        <v>44.439854196560496</v>
      </c>
      <c r="E1054" s="53">
        <v>125694.68376951443</v>
      </c>
      <c r="F1054" s="53" t="s">
        <v>1079</v>
      </c>
      <c r="G1054" s="25">
        <f t="shared" si="12"/>
        <v>1.9033034346970013E-2</v>
      </c>
    </row>
    <row r="1055" spans="1:7">
      <c r="A1055" s="53">
        <v>45.110681135865384</v>
      </c>
      <c r="B1055" s="53">
        <v>45.139847524530822</v>
      </c>
      <c r="C1055" s="53">
        <v>44.235689475902483</v>
      </c>
      <c r="D1055" s="53">
        <v>44.313466512343631</v>
      </c>
      <c r="E1055" s="53">
        <v>76505.872070641097</v>
      </c>
      <c r="F1055" s="53" t="s">
        <v>1080</v>
      </c>
      <c r="G1055" s="25">
        <f t="shared" si="12"/>
        <v>1.7990346643264488E-2</v>
      </c>
    </row>
    <row r="1056" spans="1:7">
      <c r="A1056" s="53">
        <v>44.2843001236782</v>
      </c>
      <c r="B1056" s="53">
        <v>44.993918359908115</v>
      </c>
      <c r="C1056" s="53">
        <v>43.73013873903502</v>
      </c>
      <c r="D1056" s="53">
        <v>44.352355030564205</v>
      </c>
      <c r="E1056" s="53">
        <v>96709.264638690744</v>
      </c>
      <c r="F1056" s="53" t="s">
        <v>1081</v>
      </c>
      <c r="G1056" s="25">
        <f t="shared" si="12"/>
        <v>-1.534414730381406E-3</v>
      </c>
    </row>
    <row r="1057" spans="1:7">
      <c r="A1057" s="53">
        <v>44.85790576743166</v>
      </c>
      <c r="B1057" s="53">
        <v>45.149569654085958</v>
      </c>
      <c r="C1057" s="53">
        <v>43.769027257255601</v>
      </c>
      <c r="D1057" s="53">
        <v>44.527353362556781</v>
      </c>
      <c r="E1057" s="53">
        <v>64158.782956148279</v>
      </c>
      <c r="F1057" s="53" t="s">
        <v>1082</v>
      </c>
      <c r="G1057" s="25">
        <f t="shared" si="12"/>
        <v>7.4235807860263403E-3</v>
      </c>
    </row>
    <row r="1058" spans="1:7">
      <c r="A1058" s="53">
        <v>44.381521419229635</v>
      </c>
      <c r="B1058" s="53">
        <v>44.925960674317665</v>
      </c>
      <c r="C1058" s="53">
        <v>43.817637905031319</v>
      </c>
      <c r="D1058" s="53">
        <v>44.187078828126772</v>
      </c>
      <c r="E1058" s="53">
        <v>84558.634539598468</v>
      </c>
      <c r="F1058" s="53" t="s">
        <v>1083</v>
      </c>
      <c r="G1058" s="25">
        <f t="shared" si="12"/>
        <v>4.4004400440043057E-3</v>
      </c>
    </row>
    <row r="1059" spans="1:7">
      <c r="A1059" s="53">
        <v>44.050969014354763</v>
      </c>
      <c r="B1059" s="53">
        <v>44.47874271478107</v>
      </c>
      <c r="C1059" s="53">
        <v>43.5454182774873</v>
      </c>
      <c r="D1059" s="53">
        <v>44.177356698571622</v>
      </c>
      <c r="E1059" s="53">
        <v>53921.313949438263</v>
      </c>
      <c r="F1059" s="53" t="s">
        <v>1084</v>
      </c>
      <c r="G1059" s="25">
        <f t="shared" si="12"/>
        <v>-2.8609154929576386E-3</v>
      </c>
    </row>
    <row r="1060" spans="1:7">
      <c r="A1060" s="53">
        <v>43.87597068236218</v>
      </c>
      <c r="B1060" s="53">
        <v>44.342632901009061</v>
      </c>
      <c r="C1060" s="53">
        <v>42.874591338182405</v>
      </c>
      <c r="D1060" s="53">
        <v>44.002358366579038</v>
      </c>
      <c r="E1060" s="53">
        <v>167696.79839716473</v>
      </c>
      <c r="F1060" s="53" t="s">
        <v>1085</v>
      </c>
      <c r="G1060" s="25">
        <f t="shared" si="12"/>
        <v>-2.8722934158196267E-3</v>
      </c>
    </row>
    <row r="1061" spans="1:7">
      <c r="A1061" s="53">
        <v>43.555140407042444</v>
      </c>
      <c r="B1061" s="53">
        <v>43.652361702593879</v>
      </c>
      <c r="C1061" s="53">
        <v>42.339874212649519</v>
      </c>
      <c r="D1061" s="53">
        <v>42.339874212649519</v>
      </c>
      <c r="E1061" s="53">
        <v>56715.969158041815</v>
      </c>
      <c r="F1061" s="53" t="s">
        <v>1086</v>
      </c>
      <c r="G1061" s="25">
        <f t="shared" si="12"/>
        <v>2.8702640642939148E-2</v>
      </c>
    </row>
    <row r="1062" spans="1:7">
      <c r="A1062" s="53">
        <v>42.116265232881219</v>
      </c>
      <c r="B1062" s="53">
        <v>42.495428285531816</v>
      </c>
      <c r="C1062" s="53">
        <v>40.580168763168565</v>
      </c>
      <c r="D1062" s="53">
        <v>40.580168763168565</v>
      </c>
      <c r="E1062" s="53">
        <v>72192.002381688842</v>
      </c>
      <c r="F1062" s="53" t="s">
        <v>1087</v>
      </c>
      <c r="G1062" s="25">
        <f t="shared" si="12"/>
        <v>3.7853378054623743E-2</v>
      </c>
    </row>
    <row r="1063" spans="1:7">
      <c r="A1063" s="53">
        <v>40.978776074929442</v>
      </c>
      <c r="B1063" s="53">
        <v>42.281541435318658</v>
      </c>
      <c r="C1063" s="53">
        <v>39.685732844095369</v>
      </c>
      <c r="D1063" s="53">
        <v>41.873211994002638</v>
      </c>
      <c r="E1063" s="53">
        <v>70504.100579216101</v>
      </c>
      <c r="F1063" s="53" t="s">
        <v>1088</v>
      </c>
      <c r="G1063" s="25">
        <f t="shared" si="12"/>
        <v>-2.1360575806826154E-2</v>
      </c>
    </row>
    <row r="1064" spans="1:7">
      <c r="A1064" s="53">
        <v>41.134330147811738</v>
      </c>
      <c r="B1064" s="53">
        <v>42.213486528432654</v>
      </c>
      <c r="C1064" s="53">
        <v>40.900999038488294</v>
      </c>
      <c r="D1064" s="53">
        <v>41.260717832028597</v>
      </c>
      <c r="E1064" s="53">
        <v>131303.53723013832</v>
      </c>
      <c r="F1064" s="53" t="s">
        <v>1089</v>
      </c>
      <c r="G1064" s="25">
        <f t="shared" si="12"/>
        <v>-3.0631479736096257E-3</v>
      </c>
    </row>
    <row r="1065" spans="1:7">
      <c r="A1065" s="53">
        <v>40.852388390712584</v>
      </c>
      <c r="B1065" s="53">
        <v>41.766268568896059</v>
      </c>
      <c r="C1065" s="53">
        <v>40.385726172065695</v>
      </c>
      <c r="D1065" s="53">
        <v>41.766268568896059</v>
      </c>
      <c r="E1065" s="53">
        <v>69032.200835560725</v>
      </c>
      <c r="F1065" s="53" t="s">
        <v>1090</v>
      </c>
      <c r="G1065" s="25">
        <f t="shared" si="12"/>
        <v>-2.1880819366852822E-2</v>
      </c>
    </row>
    <row r="1066" spans="1:7">
      <c r="A1066" s="53">
        <v>42.505150415086959</v>
      </c>
      <c r="B1066" s="53">
        <v>43.273198649943282</v>
      </c>
      <c r="C1066" s="53">
        <v>41.319050609359465</v>
      </c>
      <c r="D1066" s="53">
        <v>41.659325143789481</v>
      </c>
      <c r="E1066" s="53">
        <v>101458.22418897509</v>
      </c>
      <c r="F1066" s="53" t="s">
        <v>1091</v>
      </c>
      <c r="G1066" s="25">
        <f t="shared" si="12"/>
        <v>2.0303383897316341E-2</v>
      </c>
    </row>
    <row r="1067" spans="1:7">
      <c r="A1067" s="53">
        <v>41.319050609359465</v>
      </c>
      <c r="B1067" s="53">
        <v>42.670426617524399</v>
      </c>
      <c r="C1067" s="53">
        <v>40.813499872492002</v>
      </c>
      <c r="D1067" s="53">
        <v>41.989877548664353</v>
      </c>
      <c r="E1067" s="53">
        <v>92615.511333485687</v>
      </c>
      <c r="F1067" s="53" t="s">
        <v>1092</v>
      </c>
      <c r="G1067" s="25">
        <f t="shared" si="12"/>
        <v>-1.5975920351933182E-2</v>
      </c>
    </row>
    <row r="1068" spans="1:7">
      <c r="A1068" s="53">
        <v>42.019043937329783</v>
      </c>
      <c r="B1068" s="53">
        <v>43.487085500156439</v>
      </c>
      <c r="C1068" s="53">
        <v>41.727380050675485</v>
      </c>
      <c r="D1068" s="53">
        <v>43.244032261277852</v>
      </c>
      <c r="E1068" s="53">
        <v>110584.82546462443</v>
      </c>
      <c r="F1068" s="53" t="s">
        <v>1093</v>
      </c>
      <c r="G1068" s="25">
        <f t="shared" si="12"/>
        <v>-2.8327338129496393E-2</v>
      </c>
    </row>
    <row r="1069" spans="1:7">
      <c r="A1069" s="53">
        <v>44.371799289674492</v>
      </c>
      <c r="B1069" s="53">
        <v>44.624574658108216</v>
      </c>
      <c r="C1069" s="53">
        <v>43.623195313928449</v>
      </c>
      <c r="D1069" s="53">
        <v>43.739860868590171</v>
      </c>
      <c r="E1069" s="53">
        <v>92799.627374096672</v>
      </c>
      <c r="F1069" s="53" t="s">
        <v>1094</v>
      </c>
      <c r="G1069" s="25">
        <f t="shared" si="12"/>
        <v>1.4447655034452112E-2</v>
      </c>
    </row>
    <row r="1070" spans="1:7">
      <c r="A1070" s="53">
        <v>44.352355030564205</v>
      </c>
      <c r="B1070" s="53">
        <v>45.207902431416827</v>
      </c>
      <c r="C1070" s="53">
        <v>44.245411605457626</v>
      </c>
      <c r="D1070" s="53">
        <v>44.994015581203669</v>
      </c>
      <c r="E1070" s="53">
        <v>109845.27555848312</v>
      </c>
      <c r="F1070" s="53" t="s">
        <v>1095</v>
      </c>
      <c r="G1070" s="25">
        <f t="shared" si="12"/>
        <v>-1.4261019878997416E-2</v>
      </c>
    </row>
    <row r="1071" spans="1:7">
      <c r="A1071" s="53">
        <v>44.955127062983095</v>
      </c>
      <c r="B1071" s="53">
        <v>45.309984791745826</v>
      </c>
      <c r="C1071" s="53">
        <v>43.851665358474314</v>
      </c>
      <c r="D1071" s="53">
        <v>44.070413273465043</v>
      </c>
      <c r="E1071" s="53">
        <v>148574.44470443431</v>
      </c>
      <c r="F1071" s="53" t="s">
        <v>1096</v>
      </c>
      <c r="G1071" s="25">
        <f t="shared" si="12"/>
        <v>2.0075005515111544E-2</v>
      </c>
    </row>
    <row r="1072" spans="1:7">
      <c r="A1072" s="53">
        <v>44.400965678339922</v>
      </c>
      <c r="B1072" s="53">
        <v>44.517631233001637</v>
      </c>
      <c r="C1072" s="53">
        <v>43.428752722825585</v>
      </c>
      <c r="D1072" s="53">
        <v>43.428752722825585</v>
      </c>
      <c r="E1072" s="53">
        <v>55056.867630078057</v>
      </c>
      <c r="F1072" s="53" t="s">
        <v>1097</v>
      </c>
      <c r="G1072" s="25">
        <f t="shared" si="12"/>
        <v>2.2386389075442104E-2</v>
      </c>
    </row>
    <row r="1073" spans="1:7">
      <c r="A1073" s="53">
        <v>43.652361702593879</v>
      </c>
      <c r="B1073" s="53">
        <v>44.780128730990519</v>
      </c>
      <c r="C1073" s="53">
        <v>43.613473184373305</v>
      </c>
      <c r="D1073" s="53">
        <v>44.780128730990519</v>
      </c>
      <c r="E1073" s="53">
        <v>49803.903275886551</v>
      </c>
      <c r="F1073" s="53" t="s">
        <v>1098</v>
      </c>
      <c r="G1073" s="25">
        <f t="shared" si="12"/>
        <v>-2.5184541901867252E-2</v>
      </c>
    </row>
    <row r="1074" spans="1:7">
      <c r="A1074" s="53">
        <v>44.391243548784772</v>
      </c>
      <c r="B1074" s="53">
        <v>45.169013913196252</v>
      </c>
      <c r="C1074" s="53">
        <v>44.070413273465043</v>
      </c>
      <c r="D1074" s="53">
        <v>44.712073824104515</v>
      </c>
      <c r="E1074" s="53">
        <v>89506.110267748285</v>
      </c>
      <c r="F1074" s="53" t="s">
        <v>1099</v>
      </c>
      <c r="G1074" s="25">
        <f t="shared" si="12"/>
        <v>-7.1754729288978636E-3</v>
      </c>
    </row>
    <row r="1075" spans="1:7">
      <c r="A1075" s="53">
        <v>44.721795953659651</v>
      </c>
      <c r="B1075" s="53">
        <v>45.028043034646664</v>
      </c>
      <c r="C1075" s="53">
        <v>43.560001471820016</v>
      </c>
      <c r="D1075" s="53">
        <v>44.070413273465043</v>
      </c>
      <c r="E1075" s="53">
        <v>83954.85735614234</v>
      </c>
      <c r="F1075" s="53" t="s">
        <v>1100</v>
      </c>
      <c r="G1075" s="25">
        <f t="shared" si="12"/>
        <v>1.478049856607111E-2</v>
      </c>
    </row>
    <row r="1076" spans="1:7">
      <c r="A1076" s="53">
        <v>43.700972350369597</v>
      </c>
      <c r="B1076" s="53">
        <v>45.139847524530822</v>
      </c>
      <c r="C1076" s="53">
        <v>42.485706155976672</v>
      </c>
      <c r="D1076" s="53">
        <v>44.721795953659651</v>
      </c>
      <c r="E1076" s="53">
        <v>102323.26100547696</v>
      </c>
      <c r="F1076" s="53" t="s">
        <v>1101</v>
      </c>
      <c r="G1076" s="25">
        <f t="shared" si="12"/>
        <v>-2.2826086956521663E-2</v>
      </c>
    </row>
    <row r="1077" spans="1:7">
      <c r="A1077" s="53">
        <v>44.44957632611564</v>
      </c>
      <c r="B1077" s="53">
        <v>44.950265998205523</v>
      </c>
      <c r="C1077" s="53">
        <v>43.623195313928449</v>
      </c>
      <c r="D1077" s="53">
        <v>44.187078828126772</v>
      </c>
      <c r="E1077" s="53">
        <v>104889.57118047359</v>
      </c>
      <c r="F1077" s="53" t="s">
        <v>1102</v>
      </c>
      <c r="G1077" s="25">
        <f t="shared" si="12"/>
        <v>5.9405940594059459E-3</v>
      </c>
    </row>
    <row r="1078" spans="1:7">
      <c r="A1078" s="53">
        <v>44.371799289674492</v>
      </c>
      <c r="B1078" s="53">
        <v>44.959988127760667</v>
      </c>
      <c r="C1078" s="53">
        <v>43.419030593270435</v>
      </c>
      <c r="D1078" s="53">
        <v>43.720416609479884</v>
      </c>
      <c r="E1078" s="53">
        <v>76481.186121061968</v>
      </c>
      <c r="F1078" s="53" t="s">
        <v>1103</v>
      </c>
      <c r="G1078" s="25">
        <f t="shared" si="12"/>
        <v>1.4898821436513332E-2</v>
      </c>
    </row>
    <row r="1079" spans="1:7">
      <c r="A1079" s="53">
        <v>43.331531427274143</v>
      </c>
      <c r="B1079" s="53">
        <v>43.769027257255601</v>
      </c>
      <c r="C1079" s="53">
        <v>42.831619525548668</v>
      </c>
      <c r="D1079" s="53">
        <v>43.769027257255601</v>
      </c>
      <c r="E1079" s="53">
        <v>74974.314615502823</v>
      </c>
      <c r="F1079" s="53" t="s">
        <v>1104</v>
      </c>
      <c r="G1079" s="25">
        <f t="shared" si="12"/>
        <v>-9.9955575299868205E-3</v>
      </c>
    </row>
    <row r="1080" spans="1:7">
      <c r="A1080" s="53">
        <v>43.360697815939581</v>
      </c>
      <c r="B1080" s="53">
        <v>44.050969014354763</v>
      </c>
      <c r="C1080" s="53">
        <v>42.719037265300109</v>
      </c>
      <c r="D1080" s="53">
        <v>42.719037265300109</v>
      </c>
      <c r="E1080" s="53">
        <v>75240.717154710888</v>
      </c>
      <c r="F1080" s="53" t="s">
        <v>1105</v>
      </c>
      <c r="G1080" s="25">
        <f t="shared" si="12"/>
        <v>1.5020482476103991E-2</v>
      </c>
    </row>
    <row r="1081" spans="1:7">
      <c r="A1081" s="53">
        <v>42.650982358414105</v>
      </c>
      <c r="B1081" s="53">
        <v>43.370419945494717</v>
      </c>
      <c r="C1081" s="53">
        <v>41.989877548664353</v>
      </c>
      <c r="D1081" s="53">
        <v>42.806536431296401</v>
      </c>
      <c r="E1081" s="53">
        <v>106910.73330226453</v>
      </c>
      <c r="F1081" s="53" t="s">
        <v>1106</v>
      </c>
      <c r="G1081" s="25">
        <f t="shared" ref="G1081:G1144" si="13">A1081/D1081-1</f>
        <v>-3.6338859868272344E-3</v>
      </c>
    </row>
    <row r="1082" spans="1:7">
      <c r="A1082" s="53">
        <v>43.098200317950706</v>
      </c>
      <c r="B1082" s="53">
        <v>44.36693822489692</v>
      </c>
      <c r="C1082" s="53">
        <v>42.670426617524399</v>
      </c>
      <c r="D1082" s="53">
        <v>44.157912439461334</v>
      </c>
      <c r="E1082" s="53">
        <v>219232.83246851995</v>
      </c>
      <c r="F1082" s="53" t="s">
        <v>1107</v>
      </c>
      <c r="G1082" s="25">
        <f t="shared" si="13"/>
        <v>-2.399823866138262E-2</v>
      </c>
    </row>
    <row r="1083" spans="1:7">
      <c r="A1083" s="53">
        <v>43.555140407042444</v>
      </c>
      <c r="B1083" s="53">
        <v>43.632917443483592</v>
      </c>
      <c r="C1083" s="53">
        <v>41.58154810734834</v>
      </c>
      <c r="D1083" s="53">
        <v>42.77737004263097</v>
      </c>
      <c r="E1083" s="53">
        <v>95682.740568692083</v>
      </c>
      <c r="F1083" s="53" t="s">
        <v>1108</v>
      </c>
      <c r="G1083" s="25">
        <f t="shared" si="13"/>
        <v>1.8181818181818299E-2</v>
      </c>
    </row>
    <row r="1084" spans="1:7">
      <c r="A1084" s="53">
        <v>42.320429953539232</v>
      </c>
      <c r="B1084" s="53">
        <v>43.457919111491016</v>
      </c>
      <c r="C1084" s="53">
        <v>41.931544771333499</v>
      </c>
      <c r="D1084" s="53">
        <v>41.931544771333499</v>
      </c>
      <c r="E1084" s="53">
        <v>152631.16908527067</v>
      </c>
      <c r="F1084" s="53" t="s">
        <v>1109</v>
      </c>
      <c r="G1084" s="25">
        <f t="shared" si="13"/>
        <v>9.2742870391837595E-3</v>
      </c>
    </row>
    <row r="1085" spans="1:7">
      <c r="A1085" s="53">
        <v>42.242652917098091</v>
      </c>
      <c r="B1085" s="53">
        <v>43.584306795707874</v>
      </c>
      <c r="C1085" s="53">
        <v>41.620436625568907</v>
      </c>
      <c r="D1085" s="53">
        <v>43.399586334160148</v>
      </c>
      <c r="E1085" s="53">
        <v>205445.72962857812</v>
      </c>
      <c r="F1085" s="53" t="s">
        <v>1110</v>
      </c>
      <c r="G1085" s="25">
        <f t="shared" si="13"/>
        <v>-2.6657706093189737E-2</v>
      </c>
    </row>
    <row r="1086" spans="1:7">
      <c r="A1086" s="53">
        <v>44.264855864567913</v>
      </c>
      <c r="B1086" s="53">
        <v>44.595408269442785</v>
      </c>
      <c r="C1086" s="53">
        <v>42.077376714660652</v>
      </c>
      <c r="D1086" s="53">
        <v>43.010701151954414</v>
      </c>
      <c r="E1086" s="53">
        <v>150659.378862638</v>
      </c>
      <c r="F1086" s="53" t="s">
        <v>1111</v>
      </c>
      <c r="G1086" s="25">
        <f t="shared" si="13"/>
        <v>2.9159132007233302E-2</v>
      </c>
    </row>
    <row r="1087" spans="1:7">
      <c r="A1087" s="53">
        <v>42.388484860425237</v>
      </c>
      <c r="B1087" s="53">
        <v>43.049589670174988</v>
      </c>
      <c r="C1087" s="53">
        <v>41.523215330017472</v>
      </c>
      <c r="D1087" s="53">
        <v>41.834323475782064</v>
      </c>
      <c r="E1087" s="53">
        <v>244626.44593558082</v>
      </c>
      <c r="F1087" s="53" t="s">
        <v>1112</v>
      </c>
      <c r="G1087" s="25">
        <f t="shared" si="13"/>
        <v>1.3246572158958747E-2</v>
      </c>
    </row>
    <row r="1088" spans="1:7">
      <c r="A1088" s="53">
        <v>42.082237779438209</v>
      </c>
      <c r="B1088" s="53">
        <v>42.237343931124691</v>
      </c>
      <c r="C1088" s="53">
        <v>40.366375976406523</v>
      </c>
      <c r="D1088" s="53">
        <v>40.938329910750419</v>
      </c>
      <c r="E1088" s="53">
        <v>163054.26783536421</v>
      </c>
      <c r="F1088" s="53" t="s">
        <v>1113</v>
      </c>
      <c r="G1088" s="25">
        <f t="shared" si="13"/>
        <v>2.7942221169784398E-2</v>
      </c>
    </row>
    <row r="1089" spans="1:7">
      <c r="A1089" s="53">
        <v>40.424540783288954</v>
      </c>
      <c r="B1089" s="53">
        <v>40.482705590171378</v>
      </c>
      <c r="C1089" s="53">
        <v>38.456631483766735</v>
      </c>
      <c r="D1089" s="53">
        <v>38.883173400904553</v>
      </c>
      <c r="E1089" s="53">
        <v>240314.38853143153</v>
      </c>
      <c r="F1089" s="53" t="s">
        <v>1114</v>
      </c>
      <c r="G1089" s="25">
        <f t="shared" si="13"/>
        <v>3.9640987284966345E-2</v>
      </c>
    </row>
    <row r="1090" spans="1:7">
      <c r="A1090" s="53">
        <v>39.096444359473459</v>
      </c>
      <c r="B1090" s="53">
        <v>40.308211169524093</v>
      </c>
      <c r="C1090" s="53">
        <v>38.834702728502528</v>
      </c>
      <c r="D1090" s="53">
        <v>39.1739974353167</v>
      </c>
      <c r="E1090" s="53">
        <v>116764.42103088171</v>
      </c>
      <c r="F1090" s="53" t="s">
        <v>1115</v>
      </c>
      <c r="G1090" s="25">
        <f t="shared" si="13"/>
        <v>-1.9797079930710115E-3</v>
      </c>
    </row>
    <row r="1091" spans="1:7">
      <c r="A1091" s="53">
        <v>39.135220897395079</v>
      </c>
      <c r="B1091" s="53">
        <v>39.629621755895741</v>
      </c>
      <c r="C1091" s="53">
        <v>37.942842356305263</v>
      </c>
      <c r="D1091" s="53">
        <v>38.495408021688355</v>
      </c>
      <c r="E1091" s="53">
        <v>152333.35198567426</v>
      </c>
      <c r="F1091" s="53" t="s">
        <v>1116</v>
      </c>
      <c r="G1091" s="25">
        <f t="shared" si="13"/>
        <v>1.662049861495829E-2</v>
      </c>
    </row>
    <row r="1092" spans="1:7">
      <c r="A1092" s="53">
        <v>37.855595145981617</v>
      </c>
      <c r="B1092" s="53">
        <v>39.804116176543033</v>
      </c>
      <c r="C1092" s="53">
        <v>37.147923328912057</v>
      </c>
      <c r="D1092" s="53">
        <v>39.716868966219387</v>
      </c>
      <c r="E1092" s="53">
        <v>190289.29335865044</v>
      </c>
      <c r="F1092" s="53" t="s">
        <v>1117</v>
      </c>
      <c r="G1092" s="25">
        <f t="shared" si="13"/>
        <v>-4.6863558701489061E-2</v>
      </c>
    </row>
    <row r="1093" spans="1:7">
      <c r="A1093" s="53">
        <v>40.327599438484903</v>
      </c>
      <c r="B1093" s="53">
        <v>41.423036634770668</v>
      </c>
      <c r="C1093" s="53">
        <v>39.997998866151129</v>
      </c>
      <c r="D1093" s="53">
        <v>41.151600869319331</v>
      </c>
      <c r="E1093" s="53">
        <v>147027.05052018739</v>
      </c>
      <c r="F1093" s="53" t="s">
        <v>1118</v>
      </c>
      <c r="G1093" s="25">
        <f t="shared" si="13"/>
        <v>-2.0023557126030656E-2</v>
      </c>
    </row>
    <row r="1094" spans="1:7">
      <c r="A1094" s="53">
        <v>41.403648365809858</v>
      </c>
      <c r="B1094" s="53">
        <v>46.880834347238697</v>
      </c>
      <c r="C1094" s="53">
        <v>40.952871112471023</v>
      </c>
      <c r="D1094" s="53">
        <v>43.216451513645595</v>
      </c>
      <c r="E1094" s="53">
        <v>107882.76169615349</v>
      </c>
      <c r="F1094" s="53" t="s">
        <v>1119</v>
      </c>
      <c r="G1094" s="25">
        <f t="shared" si="13"/>
        <v>-4.1947061462539237E-2</v>
      </c>
    </row>
    <row r="1095" spans="1:7">
      <c r="A1095" s="53">
        <v>43.749628910067877</v>
      </c>
      <c r="B1095" s="53">
        <v>44.016217608279014</v>
      </c>
      <c r="C1095" s="53">
        <v>41.946519896712545</v>
      </c>
      <c r="D1095" s="53">
        <v>43.109816034361145</v>
      </c>
      <c r="E1095" s="53">
        <v>192277.09330499437</v>
      </c>
      <c r="F1095" s="53" t="s">
        <v>1120</v>
      </c>
      <c r="G1095" s="25">
        <f t="shared" si="13"/>
        <v>1.4841466156959804E-2</v>
      </c>
    </row>
    <row r="1096" spans="1:7">
      <c r="A1096" s="53">
        <v>43.051651227478708</v>
      </c>
      <c r="B1096" s="53">
        <v>43.672075834224636</v>
      </c>
      <c r="C1096" s="53">
        <v>42.237343931124691</v>
      </c>
      <c r="D1096" s="53">
        <v>42.237343931124691</v>
      </c>
      <c r="E1096" s="53">
        <v>168241.94086606667</v>
      </c>
      <c r="F1096" s="53" t="s">
        <v>1121</v>
      </c>
      <c r="G1096" s="25">
        <f t="shared" si="13"/>
        <v>1.9279320633463159E-2</v>
      </c>
    </row>
    <row r="1097" spans="1:7">
      <c r="A1097" s="53">
        <v>42.276120469046312</v>
      </c>
      <c r="B1097" s="53">
        <v>43.759323044548282</v>
      </c>
      <c r="C1097" s="53">
        <v>41.742943072624037</v>
      </c>
      <c r="D1097" s="53">
        <v>41.907743358790917</v>
      </c>
      <c r="E1097" s="53">
        <v>211169.96098391974</v>
      </c>
      <c r="F1097" s="53" t="s">
        <v>1122</v>
      </c>
      <c r="G1097" s="25">
        <f t="shared" si="13"/>
        <v>8.790191996298935E-3</v>
      </c>
    </row>
    <row r="1098" spans="1:7">
      <c r="A1098" s="53">
        <v>41.888355089830114</v>
      </c>
      <c r="B1098" s="53">
        <v>44.195559096166512</v>
      </c>
      <c r="C1098" s="53">
        <v>40.831694431465962</v>
      </c>
      <c r="D1098" s="53">
        <v>43.332781127410463</v>
      </c>
      <c r="E1098" s="53">
        <v>415604.92152690561</v>
      </c>
      <c r="F1098" s="53" t="s">
        <v>1123</v>
      </c>
      <c r="G1098" s="25">
        <f t="shared" si="13"/>
        <v>-3.3333333333333326E-2</v>
      </c>
    </row>
    <row r="1099" spans="1:7">
      <c r="A1099" s="53">
        <v>44.408830054735418</v>
      </c>
      <c r="B1099" s="53">
        <v>45.504267251021183</v>
      </c>
      <c r="C1099" s="53">
        <v>42.353673544889553</v>
      </c>
      <c r="D1099" s="53">
        <v>43.778711313509085</v>
      </c>
      <c r="E1099" s="53">
        <v>180603.0237706019</v>
      </c>
      <c r="F1099" s="53" t="s">
        <v>1124</v>
      </c>
      <c r="G1099" s="25">
        <f t="shared" si="13"/>
        <v>1.4393268379096602E-2</v>
      </c>
    </row>
    <row r="1100" spans="1:7">
      <c r="A1100" s="53">
        <v>43.129204303321956</v>
      </c>
      <c r="B1100" s="53">
        <v>43.701158237665851</v>
      </c>
      <c r="C1100" s="53">
        <v>42.440920755213199</v>
      </c>
      <c r="D1100" s="53">
        <v>43.274616320528033</v>
      </c>
      <c r="E1100" s="53">
        <v>197045.95638332755</v>
      </c>
      <c r="F1100" s="53" t="s">
        <v>1125</v>
      </c>
      <c r="G1100" s="25">
        <f t="shared" si="13"/>
        <v>-3.3602150537634934E-3</v>
      </c>
    </row>
    <row r="1101" spans="1:7">
      <c r="A1101" s="53">
        <v>43.051651227478708</v>
      </c>
      <c r="B1101" s="53">
        <v>43.924123330715169</v>
      </c>
      <c r="C1101" s="53">
        <v>42.993486420596284</v>
      </c>
      <c r="D1101" s="53">
        <v>43.856264389352333</v>
      </c>
      <c r="E1101" s="53">
        <v>157299.24142091023</v>
      </c>
      <c r="F1101" s="53" t="s">
        <v>1126</v>
      </c>
      <c r="G1101" s="25">
        <f t="shared" si="13"/>
        <v>-1.8346595932802967E-2</v>
      </c>
    </row>
    <row r="1102" spans="1:7">
      <c r="A1102" s="53">
        <v>44.408830054735418</v>
      </c>
      <c r="B1102" s="53">
        <v>44.612406878823926</v>
      </c>
      <c r="C1102" s="53">
        <v>42.712356520664542</v>
      </c>
      <c r="D1102" s="53">
        <v>42.712356520664542</v>
      </c>
      <c r="E1102" s="53">
        <v>177878.6959769878</v>
      </c>
      <c r="F1102" s="53" t="s">
        <v>1127</v>
      </c>
      <c r="G1102" s="25">
        <f t="shared" si="13"/>
        <v>3.9718565592373967E-2</v>
      </c>
    </row>
    <row r="1103" spans="1:7">
      <c r="A1103" s="53">
        <v>42.915933344753043</v>
      </c>
      <c r="B1103" s="53">
        <v>45.562432057903614</v>
      </c>
      <c r="C1103" s="53">
        <v>42.760827193066561</v>
      </c>
      <c r="D1103" s="53">
        <v>45.300690426932675</v>
      </c>
      <c r="E1103" s="53">
        <v>157787.16533093652</v>
      </c>
      <c r="F1103" s="53" t="s">
        <v>1128</v>
      </c>
      <c r="G1103" s="25">
        <f t="shared" si="13"/>
        <v>-5.2642841857479028E-2</v>
      </c>
    </row>
    <row r="1104" spans="1:7">
      <c r="A1104" s="53">
        <v>45.68845580614888</v>
      </c>
      <c r="B1104" s="53">
        <v>46.454292430100878</v>
      </c>
      <c r="C1104" s="53">
        <v>45.572126192384019</v>
      </c>
      <c r="D1104" s="53">
        <v>46.376739354257637</v>
      </c>
      <c r="E1104" s="53">
        <v>144015.95137987708</v>
      </c>
      <c r="F1104" s="53" t="s">
        <v>1129</v>
      </c>
      <c r="G1104" s="25">
        <f t="shared" si="13"/>
        <v>-1.4841137123745796E-2</v>
      </c>
    </row>
    <row r="1105" spans="1:7">
      <c r="A1105" s="53">
        <v>46.095609454325889</v>
      </c>
      <c r="B1105" s="53">
        <v>46.425210026659663</v>
      </c>
      <c r="C1105" s="53">
        <v>45.756314747511716</v>
      </c>
      <c r="D1105" s="53">
        <v>45.959891571600217</v>
      </c>
      <c r="E1105" s="53">
        <v>117799.0672925231</v>
      </c>
      <c r="F1105" s="53" t="s">
        <v>1130</v>
      </c>
      <c r="G1105" s="25">
        <f t="shared" si="13"/>
        <v>2.9529635098080043E-3</v>
      </c>
    </row>
    <row r="1106" spans="1:7">
      <c r="A1106" s="53">
        <v>45.417020040697544</v>
      </c>
      <c r="B1106" s="53">
        <v>46.367045219777232</v>
      </c>
      <c r="C1106" s="53">
        <v>44.408830054735418</v>
      </c>
      <c r="D1106" s="53">
        <v>44.408830054735418</v>
      </c>
      <c r="E1106" s="53">
        <v>178997.92947038851</v>
      </c>
      <c r="F1106" s="53" t="s">
        <v>1131</v>
      </c>
      <c r="G1106" s="25">
        <f t="shared" si="13"/>
        <v>2.2702466710325275E-2</v>
      </c>
    </row>
    <row r="1107" spans="1:7">
      <c r="A1107" s="53">
        <v>44.418524189215823</v>
      </c>
      <c r="B1107" s="53">
        <v>45.475184847579968</v>
      </c>
      <c r="C1107" s="53">
        <v>43.914429196234757</v>
      </c>
      <c r="D1107" s="53">
        <v>44.835371971873236</v>
      </c>
      <c r="E1107" s="53">
        <v>358843.79436158383</v>
      </c>
      <c r="F1107" s="53" t="s">
        <v>1132</v>
      </c>
      <c r="G1107" s="25">
        <f t="shared" si="13"/>
        <v>-9.2972972972972245E-3</v>
      </c>
    </row>
    <row r="1108" spans="1:7">
      <c r="A1108" s="53">
        <v>45.08741946836377</v>
      </c>
      <c r="B1108" s="53">
        <v>46.008362244002249</v>
      </c>
      <c r="C1108" s="53">
        <v>44.496077265059064</v>
      </c>
      <c r="D1108" s="53">
        <v>45.717538209590089</v>
      </c>
      <c r="E1108" s="53">
        <v>93683.453828263373</v>
      </c>
      <c r="F1108" s="53" t="s">
        <v>1133</v>
      </c>
      <c r="G1108" s="25">
        <f t="shared" si="13"/>
        <v>-1.378286683630181E-2</v>
      </c>
    </row>
    <row r="1109" spans="1:7">
      <c r="A1109" s="53">
        <v>45.513961385501595</v>
      </c>
      <c r="B1109" s="53">
        <v>45.892032630237388</v>
      </c>
      <c r="C1109" s="53">
        <v>45.16981961144721</v>
      </c>
      <c r="D1109" s="53">
        <v>45.892032630237388</v>
      </c>
      <c r="E1109" s="53">
        <v>145609.69861241544</v>
      </c>
      <c r="F1109" s="53" t="s">
        <v>1134</v>
      </c>
      <c r="G1109" s="25">
        <f t="shared" si="13"/>
        <v>-8.2382762991127789E-3</v>
      </c>
    </row>
    <row r="1110" spans="1:7">
      <c r="A1110" s="53">
        <v>45.85325609231576</v>
      </c>
      <c r="B1110" s="53">
        <v>46.376739354257637</v>
      </c>
      <c r="C1110" s="53">
        <v>44.563936206421893</v>
      </c>
      <c r="D1110" s="53">
        <v>44.563936206421893</v>
      </c>
      <c r="E1110" s="53">
        <v>211659.94799715967</v>
      </c>
      <c r="F1110" s="53" t="s">
        <v>1135</v>
      </c>
      <c r="G1110" s="25">
        <f t="shared" si="13"/>
        <v>2.8931912116597847E-2</v>
      </c>
    </row>
    <row r="1111" spans="1:7">
      <c r="A1111" s="53">
        <v>44.234335634088126</v>
      </c>
      <c r="B1111" s="53">
        <v>45.320078695893493</v>
      </c>
      <c r="C1111" s="53">
        <v>44.14708842376448</v>
      </c>
      <c r="D1111" s="53">
        <v>45.038948795961744</v>
      </c>
      <c r="E1111" s="53">
        <v>178392.40867718463</v>
      </c>
      <c r="F1111" s="53" t="s">
        <v>1136</v>
      </c>
      <c r="G1111" s="25">
        <f t="shared" si="13"/>
        <v>-1.7864829961257045E-2</v>
      </c>
    </row>
    <row r="1112" spans="1:7">
      <c r="A1112" s="53">
        <v>45.097113602844175</v>
      </c>
      <c r="B1112" s="53">
        <v>45.824173688874552</v>
      </c>
      <c r="C1112" s="53">
        <v>44.58332447538271</v>
      </c>
      <c r="D1112" s="53">
        <v>45.232831485569839</v>
      </c>
      <c r="E1112" s="53">
        <v>178424.38677699608</v>
      </c>
      <c r="F1112" s="53" t="s">
        <v>1137</v>
      </c>
      <c r="G1112" s="25">
        <f t="shared" si="13"/>
        <v>-3.0004286326617002E-3</v>
      </c>
    </row>
    <row r="1113" spans="1:7">
      <c r="A1113" s="53">
        <v>45.620596864786044</v>
      </c>
      <c r="B1113" s="53">
        <v>46.085915319845483</v>
      </c>
      <c r="C1113" s="53">
        <v>44.980783989079313</v>
      </c>
      <c r="D1113" s="53">
        <v>45.581820326864431</v>
      </c>
      <c r="E1113" s="53">
        <v>153540.26736565476</v>
      </c>
      <c r="F1113" s="53" t="s">
        <v>1138</v>
      </c>
      <c r="G1113" s="25">
        <f t="shared" si="13"/>
        <v>8.5070182900870428E-4</v>
      </c>
    </row>
    <row r="1114" spans="1:7">
      <c r="A1114" s="53">
        <v>45.339466964854303</v>
      </c>
      <c r="B1114" s="53">
        <v>45.746620613031311</v>
      </c>
      <c r="C1114" s="53">
        <v>44.054994146200634</v>
      </c>
      <c r="D1114" s="53">
        <v>45.552737923423209</v>
      </c>
      <c r="E1114" s="53">
        <v>189686.86722026701</v>
      </c>
      <c r="F1114" s="53" t="s">
        <v>1139</v>
      </c>
      <c r="G1114" s="25">
        <f t="shared" si="13"/>
        <v>-4.6818472015320856E-3</v>
      </c>
    </row>
    <row r="1115" spans="1:7">
      <c r="A1115" s="53">
        <v>45.892032630237388</v>
      </c>
      <c r="B1115" s="53">
        <v>46.599704447306955</v>
      </c>
      <c r="C1115" s="53">
        <v>45.843561957835362</v>
      </c>
      <c r="D1115" s="53">
        <v>46.153774261208319</v>
      </c>
      <c r="E1115" s="53">
        <v>167754.01695604037</v>
      </c>
      <c r="F1115" s="53" t="s">
        <v>1140</v>
      </c>
      <c r="G1115" s="25">
        <f t="shared" si="13"/>
        <v>-5.671077504725841E-3</v>
      </c>
    </row>
    <row r="1116" spans="1:7">
      <c r="A1116" s="53">
        <v>46.134385992247516</v>
      </c>
      <c r="B1116" s="53">
        <v>46.686951657630594</v>
      </c>
      <c r="C1116" s="53">
        <v>45.581820326864431</v>
      </c>
      <c r="D1116" s="53">
        <v>46.386433488738042</v>
      </c>
      <c r="E1116" s="53">
        <v>191075.33568304798</v>
      </c>
      <c r="F1116" s="53" t="s">
        <v>1141</v>
      </c>
      <c r="G1116" s="25">
        <f t="shared" si="13"/>
        <v>-5.4336468129571047E-3</v>
      </c>
    </row>
    <row r="1117" spans="1:7">
      <c r="A1117" s="53">
        <v>46.386433488738042</v>
      </c>
      <c r="B1117" s="53">
        <v>46.609398581787353</v>
      </c>
      <c r="C1117" s="53">
        <v>44.980783989079313</v>
      </c>
      <c r="D1117" s="53">
        <v>44.980783989079313</v>
      </c>
      <c r="E1117" s="53">
        <v>142501.63362106396</v>
      </c>
      <c r="F1117" s="53" t="s">
        <v>1142</v>
      </c>
      <c r="G1117" s="25">
        <f t="shared" si="13"/>
        <v>3.125E-2</v>
      </c>
    </row>
    <row r="1118" spans="1:7">
      <c r="A1118" s="53">
        <v>45.048642930442149</v>
      </c>
      <c r="B1118" s="53">
        <v>45.475184847579968</v>
      </c>
      <c r="C1118" s="53">
        <v>44.418524189215823</v>
      </c>
      <c r="D1118" s="53">
        <v>44.92261918219689</v>
      </c>
      <c r="E1118" s="53">
        <v>118110.59587778302</v>
      </c>
      <c r="F1118" s="53" t="s">
        <v>1143</v>
      </c>
      <c r="G1118" s="25">
        <f t="shared" si="13"/>
        <v>2.8053517479498247E-3</v>
      </c>
    </row>
    <row r="1119" spans="1:7">
      <c r="A1119" s="53">
        <v>44.961395720118503</v>
      </c>
      <c r="B1119" s="53">
        <v>45.598688120860331</v>
      </c>
      <c r="C1119" s="53">
        <v>43.822334918670911</v>
      </c>
      <c r="D1119" s="53">
        <v>44.563936206421893</v>
      </c>
      <c r="E1119" s="53">
        <v>71965.16629825547</v>
      </c>
      <c r="F1119" s="53" t="s">
        <v>1144</v>
      </c>
      <c r="G1119" s="25">
        <f t="shared" si="13"/>
        <v>8.9188601261693812E-3</v>
      </c>
    </row>
    <row r="1120" spans="1:7">
      <c r="A1120" s="53">
        <v>44.874148509794857</v>
      </c>
      <c r="B1120" s="53">
        <v>45.116501871804985</v>
      </c>
      <c r="C1120" s="53">
        <v>43.759323044548282</v>
      </c>
      <c r="D1120" s="53">
        <v>43.759323044548282</v>
      </c>
      <c r="E1120" s="53">
        <v>137430.52592193225</v>
      </c>
      <c r="F1120" s="53" t="s">
        <v>1145</v>
      </c>
      <c r="G1120" s="25">
        <f t="shared" si="13"/>
        <v>2.5476295968099194E-2</v>
      </c>
    </row>
    <row r="1121" spans="1:7">
      <c r="A1121" s="53">
        <v>43.090427765400335</v>
      </c>
      <c r="B1121" s="53">
        <v>44.076030418023116</v>
      </c>
      <c r="C1121" s="53">
        <v>42.925627479233448</v>
      </c>
      <c r="D1121" s="53">
        <v>43.6042168928618</v>
      </c>
      <c r="E1121" s="53">
        <v>70535.435771201664</v>
      </c>
      <c r="F1121" s="53" t="s">
        <v>1146</v>
      </c>
      <c r="G1121" s="25">
        <f t="shared" si="13"/>
        <v>-1.1783014673188097E-2</v>
      </c>
    </row>
    <row r="1122" spans="1:7">
      <c r="A1122" s="53">
        <v>43.701158237665851</v>
      </c>
      <c r="B1122" s="53">
        <v>43.928291808541744</v>
      </c>
      <c r="C1122" s="53">
        <v>43.264922186047627</v>
      </c>
      <c r="D1122" s="53">
        <v>43.516969682538154</v>
      </c>
      <c r="E1122" s="53">
        <v>66747.5782709552</v>
      </c>
      <c r="F1122" s="53" t="s">
        <v>1147</v>
      </c>
      <c r="G1122" s="25">
        <f t="shared" si="13"/>
        <v>4.2325685007797986E-3</v>
      </c>
    </row>
    <row r="1123" spans="1:7">
      <c r="A1123" s="53">
        <v>43.420028337734102</v>
      </c>
      <c r="B1123" s="53">
        <v>43.497581413577343</v>
      </c>
      <c r="C1123" s="53">
        <v>42.062849510477399</v>
      </c>
      <c r="D1123" s="53">
        <v>42.993486420596284</v>
      </c>
      <c r="E1123" s="53">
        <v>124425.75481474077</v>
      </c>
      <c r="F1123" s="53" t="s">
        <v>1148</v>
      </c>
      <c r="G1123" s="25">
        <f t="shared" si="13"/>
        <v>9.9210822998871961E-3</v>
      </c>
    </row>
    <row r="1124" spans="1:7">
      <c r="A1124" s="53">
        <v>43.10012189988074</v>
      </c>
      <c r="B1124" s="53">
        <v>43.933817465195574</v>
      </c>
      <c r="C1124" s="53">
        <v>41.946616838057345</v>
      </c>
      <c r="D1124" s="53">
        <v>43.555746220459774</v>
      </c>
      <c r="E1124" s="53">
        <v>115595.6730603536</v>
      </c>
      <c r="F1124" s="53" t="s">
        <v>1149</v>
      </c>
      <c r="G1124" s="25">
        <f t="shared" si="13"/>
        <v>-1.0460716670376069E-2</v>
      </c>
    </row>
    <row r="1125" spans="1:7">
      <c r="A1125" s="53">
        <v>43.962899868636789</v>
      </c>
      <c r="B1125" s="53">
        <v>44.035605877239824</v>
      </c>
      <c r="C1125" s="53">
        <v>43.109816034361145</v>
      </c>
      <c r="D1125" s="53">
        <v>43.109816034361145</v>
      </c>
      <c r="E1125" s="53">
        <v>149985.54052854981</v>
      </c>
      <c r="F1125" s="53" t="s">
        <v>1150</v>
      </c>
      <c r="G1125" s="25">
        <f t="shared" si="13"/>
        <v>1.9788621542613072E-2</v>
      </c>
    </row>
    <row r="1126" spans="1:7">
      <c r="A1126" s="53">
        <v>42.751133058586156</v>
      </c>
      <c r="B1126" s="53">
        <v>44.772360097750607</v>
      </c>
      <c r="C1126" s="53">
        <v>42.305202872487527</v>
      </c>
      <c r="D1126" s="53">
        <v>44.563936206421893</v>
      </c>
      <c r="E1126" s="53">
        <v>155037.04874715192</v>
      </c>
      <c r="F1126" s="53" t="s">
        <v>1151</v>
      </c>
      <c r="G1126" s="25">
        <f t="shared" si="13"/>
        <v>-4.0678703502284086E-2</v>
      </c>
    </row>
    <row r="1127" spans="1:7">
      <c r="A1127" s="53">
        <v>44.52515966850028</v>
      </c>
      <c r="B1127" s="53">
        <v>44.825677837392838</v>
      </c>
      <c r="C1127" s="53">
        <v>43.206757379165197</v>
      </c>
      <c r="D1127" s="53">
        <v>43.6042168928618</v>
      </c>
      <c r="E1127" s="53">
        <v>312154.73708526167</v>
      </c>
      <c r="F1127" s="53" t="s">
        <v>1152</v>
      </c>
      <c r="G1127" s="25">
        <f t="shared" si="13"/>
        <v>2.1120497999110865E-2</v>
      </c>
    </row>
    <row r="1128" spans="1:7">
      <c r="A1128" s="53">
        <v>43.468499010136135</v>
      </c>
      <c r="B1128" s="53">
        <v>43.933817465195574</v>
      </c>
      <c r="C1128" s="53">
        <v>41.936825762232132</v>
      </c>
      <c r="D1128" s="53">
        <v>41.936825762232132</v>
      </c>
      <c r="E1128" s="53">
        <v>80641.546863226322</v>
      </c>
      <c r="F1128" s="53" t="s">
        <v>1153</v>
      </c>
      <c r="G1128" s="25">
        <f t="shared" si="13"/>
        <v>3.6523347202959133E-2</v>
      </c>
    </row>
    <row r="1129" spans="1:7">
      <c r="A1129" s="53">
        <v>42.392450082811166</v>
      </c>
      <c r="B1129" s="53">
        <v>42.586332772419269</v>
      </c>
      <c r="C1129" s="53">
        <v>40.870470969387583</v>
      </c>
      <c r="D1129" s="53">
        <v>40.870470969387583</v>
      </c>
      <c r="E1129" s="53">
        <v>106275.60429272648</v>
      </c>
      <c r="F1129" s="53" t="s">
        <v>1154</v>
      </c>
      <c r="G1129" s="25">
        <f t="shared" si="13"/>
        <v>3.7239089184060603E-2</v>
      </c>
    </row>
    <row r="1130" spans="1:7">
      <c r="A1130" s="53">
        <v>40.647505876338265</v>
      </c>
      <c r="B1130" s="53">
        <v>41.190377407240952</v>
      </c>
      <c r="C1130" s="53">
        <v>40.027081269592344</v>
      </c>
      <c r="D1130" s="53">
        <v>40.899553372828798</v>
      </c>
      <c r="E1130" s="53">
        <v>150838.63370739072</v>
      </c>
      <c r="F1130" s="53" t="s">
        <v>1155</v>
      </c>
      <c r="G1130" s="25">
        <f t="shared" si="13"/>
        <v>-6.1625977719839131E-3</v>
      </c>
    </row>
    <row r="1131" spans="1:7">
      <c r="A1131" s="53">
        <v>40.599035203936246</v>
      </c>
      <c r="B1131" s="53">
        <v>42.0580024432372</v>
      </c>
      <c r="C1131" s="53">
        <v>40.385764245367326</v>
      </c>
      <c r="D1131" s="53">
        <v>41.122518465878116</v>
      </c>
      <c r="E1131" s="53">
        <v>131639.39520123956</v>
      </c>
      <c r="F1131" s="53" t="s">
        <v>1156</v>
      </c>
      <c r="G1131" s="25">
        <f t="shared" si="13"/>
        <v>-1.2729844413012725E-2</v>
      </c>
    </row>
    <row r="1132" spans="1:7">
      <c r="A1132" s="53">
        <v>41.093436062436901</v>
      </c>
      <c r="B1132" s="53">
        <v>43.429722472214507</v>
      </c>
      <c r="C1132" s="53">
        <v>41.001341784873055</v>
      </c>
      <c r="D1132" s="53">
        <v>43.429722472214507</v>
      </c>
      <c r="E1132" s="53">
        <v>103429.55340950753</v>
      </c>
      <c r="F1132" s="53" t="s">
        <v>1157</v>
      </c>
      <c r="G1132" s="25">
        <f t="shared" si="13"/>
        <v>-5.3794642857142749E-2</v>
      </c>
    </row>
    <row r="1133" spans="1:7">
      <c r="A1133" s="53">
        <v>43.012874689557094</v>
      </c>
      <c r="B1133" s="53">
        <v>43.66238169974423</v>
      </c>
      <c r="C1133" s="53">
        <v>42.542709167257449</v>
      </c>
      <c r="D1133" s="53">
        <v>43.449110741175318</v>
      </c>
      <c r="E1133" s="53">
        <v>95819.797205989511</v>
      </c>
      <c r="F1133" s="53" t="s">
        <v>1158</v>
      </c>
      <c r="G1133" s="25">
        <f t="shared" si="13"/>
        <v>-1.0040160642570184E-2</v>
      </c>
    </row>
    <row r="1134" spans="1:7">
      <c r="A1134" s="53">
        <v>44.098617751362461</v>
      </c>
      <c r="B1134" s="53">
        <v>44.835371971873236</v>
      </c>
      <c r="C1134" s="53">
        <v>43.294004589488836</v>
      </c>
      <c r="D1134" s="53">
        <v>44.806289568432021</v>
      </c>
      <c r="E1134" s="53">
        <v>85205.131171802132</v>
      </c>
      <c r="F1134" s="53" t="s">
        <v>1159</v>
      </c>
      <c r="G1134" s="25">
        <f t="shared" si="13"/>
        <v>-1.5794028559065199E-2</v>
      </c>
    </row>
    <row r="1135" spans="1:7">
      <c r="A1135" s="53">
        <v>44.176170827205695</v>
      </c>
      <c r="B1135" s="53">
        <v>44.874148509794857</v>
      </c>
      <c r="C1135" s="53">
        <v>43.226145648126007</v>
      </c>
      <c r="D1135" s="53">
        <v>44.874148509794857</v>
      </c>
      <c r="E1135" s="53">
        <v>126485.76337356218</v>
      </c>
      <c r="F1135" s="53" t="s">
        <v>1160</v>
      </c>
      <c r="G1135" s="25">
        <f t="shared" si="13"/>
        <v>-1.5554115359688869E-2</v>
      </c>
    </row>
    <row r="1136" spans="1:7">
      <c r="A1136" s="53">
        <v>44.903230913236072</v>
      </c>
      <c r="B1136" s="53">
        <v>47.045634633405584</v>
      </c>
      <c r="C1136" s="53">
        <v>44.72873649258878</v>
      </c>
      <c r="D1136" s="53">
        <v>46.890528481719102</v>
      </c>
      <c r="E1136" s="53">
        <v>128955.29792029149</v>
      </c>
      <c r="F1136" s="53" t="s">
        <v>1161</v>
      </c>
      <c r="G1136" s="25">
        <f t="shared" si="13"/>
        <v>-4.2381641513334678E-2</v>
      </c>
    </row>
    <row r="1137" spans="1:7">
      <c r="A1137" s="53">
        <v>46.846904876557296</v>
      </c>
      <c r="B1137" s="53">
        <v>47.359368438674423</v>
      </c>
      <c r="C1137" s="53">
        <v>44.044309339205348</v>
      </c>
      <c r="D1137" s="53">
        <v>46.25708832393191</v>
      </c>
      <c r="E1137" s="53">
        <v>91655.667782412173</v>
      </c>
      <c r="F1137" s="53" t="s">
        <v>1162</v>
      </c>
      <c r="G1137" s="25">
        <f t="shared" si="13"/>
        <v>1.2750836120401399E-2</v>
      </c>
    </row>
    <row r="1138" spans="1:7">
      <c r="A1138" s="53">
        <v>46.411794304948401</v>
      </c>
      <c r="B1138" s="53">
        <v>47.001610857573787</v>
      </c>
      <c r="C1138" s="53">
        <v>46.170066209610127</v>
      </c>
      <c r="D1138" s="53">
        <v>46.682529771727268</v>
      </c>
      <c r="E1138" s="53">
        <v>71057.110576920342</v>
      </c>
      <c r="F1138" s="53" t="s">
        <v>1163</v>
      </c>
      <c r="G1138" s="25">
        <f t="shared" si="13"/>
        <v>-5.7995028997515075E-3</v>
      </c>
    </row>
    <row r="1139" spans="1:7">
      <c r="A1139" s="53">
        <v>46.547162038337831</v>
      </c>
      <c r="B1139" s="53">
        <v>47.04028735282791</v>
      </c>
      <c r="C1139" s="53">
        <v>45.831646876136546</v>
      </c>
      <c r="D1139" s="53">
        <v>46.421463428761932</v>
      </c>
      <c r="E1139" s="53">
        <v>124398.0347336933</v>
      </c>
      <c r="F1139" s="53" t="s">
        <v>1164</v>
      </c>
      <c r="G1139" s="25">
        <f t="shared" si="13"/>
        <v>2.7077692147468024E-3</v>
      </c>
    </row>
    <row r="1140" spans="1:7">
      <c r="A1140" s="53">
        <v>46.150727961983058</v>
      </c>
      <c r="B1140" s="53">
        <v>46.305433942999557</v>
      </c>
      <c r="C1140" s="53">
        <v>45.599587904611802</v>
      </c>
      <c r="D1140" s="53">
        <v>45.88966161901773</v>
      </c>
      <c r="E1140" s="53">
        <v>119653.0339575324</v>
      </c>
      <c r="F1140" s="53" t="s">
        <v>1165</v>
      </c>
      <c r="G1140" s="25">
        <f t="shared" si="13"/>
        <v>5.6890012642223375E-3</v>
      </c>
    </row>
    <row r="1141" spans="1:7">
      <c r="A1141" s="53">
        <v>45.89933074283126</v>
      </c>
      <c r="B1141" s="53">
        <v>46.03469847622069</v>
      </c>
      <c r="C1141" s="53">
        <v>44.11054283732804</v>
      </c>
      <c r="D1141" s="53">
        <v>44.690690266139896</v>
      </c>
      <c r="E1141" s="53">
        <v>188442.10035351969</v>
      </c>
      <c r="F1141" s="53" t="s">
        <v>1166</v>
      </c>
      <c r="G1141" s="25">
        <f t="shared" si="13"/>
        <v>2.7044569450454414E-2</v>
      </c>
    </row>
    <row r="1142" spans="1:7">
      <c r="A1142" s="53">
        <v>44.942087485291694</v>
      </c>
      <c r="B1142" s="53">
        <v>45.440047361688542</v>
      </c>
      <c r="C1142" s="53">
        <v>42.254071065130105</v>
      </c>
      <c r="D1142" s="53">
        <v>42.254071065130105</v>
      </c>
      <c r="E1142" s="53">
        <v>102856.26900425667</v>
      </c>
      <c r="F1142" s="53" t="s">
        <v>1167</v>
      </c>
      <c r="G1142" s="25">
        <f t="shared" si="13"/>
        <v>6.3615560640732038E-2</v>
      </c>
    </row>
    <row r="1143" spans="1:7">
      <c r="A1143" s="53">
        <v>44.352270932666315</v>
      </c>
      <c r="B1143" s="53">
        <v>44.439293046988091</v>
      </c>
      <c r="C1143" s="53">
        <v>41.306496931404077</v>
      </c>
      <c r="D1143" s="53">
        <v>41.364511674285261</v>
      </c>
      <c r="E1143" s="53">
        <v>212183.6517522881</v>
      </c>
      <c r="F1143" s="53" t="s">
        <v>1168</v>
      </c>
      <c r="G1143" s="25">
        <f t="shared" si="13"/>
        <v>7.2230014025245426E-2</v>
      </c>
    </row>
    <row r="1144" spans="1:7">
      <c r="A1144" s="53">
        <v>42.302416684197759</v>
      </c>
      <c r="B1144" s="53">
        <v>42.611828646230748</v>
      </c>
      <c r="C1144" s="53">
        <v>41.843133303055041</v>
      </c>
      <c r="D1144" s="53">
        <v>42.283078436570698</v>
      </c>
      <c r="E1144" s="53">
        <v>121002.69089146657</v>
      </c>
      <c r="F1144" s="53" t="s">
        <v>1169</v>
      </c>
      <c r="G1144" s="25">
        <f t="shared" si="13"/>
        <v>4.5735193231188909E-4</v>
      </c>
    </row>
    <row r="1145" spans="1:7">
      <c r="A1145" s="53">
        <v>41.934989979283586</v>
      </c>
      <c r="B1145" s="53">
        <v>42.370100550892474</v>
      </c>
      <c r="C1145" s="53">
        <v>40.503959654881008</v>
      </c>
      <c r="D1145" s="53">
        <v>40.503959654881008</v>
      </c>
      <c r="E1145" s="53">
        <v>111067.97479386379</v>
      </c>
      <c r="F1145" s="53" t="s">
        <v>1170</v>
      </c>
      <c r="G1145" s="25">
        <f t="shared" ref="G1145:G1208" si="14">A1145/D1145-1</f>
        <v>3.5330627834805561E-2</v>
      </c>
    </row>
    <row r="1146" spans="1:7">
      <c r="A1146" s="53">
        <v>40.871386359795189</v>
      </c>
      <c r="B1146" s="53">
        <v>41.557894150555875</v>
      </c>
      <c r="C1146" s="53">
        <v>40.59958728939683</v>
      </c>
      <c r="D1146" s="53">
        <v>40.881055483608719</v>
      </c>
      <c r="E1146" s="53">
        <v>65178.604820229288</v>
      </c>
      <c r="F1146" s="53" t="s">
        <v>1171</v>
      </c>
      <c r="G1146" s="25">
        <f t="shared" si="14"/>
        <v>-2.3651844843897152E-4</v>
      </c>
    </row>
    <row r="1147" spans="1:7">
      <c r="A1147" s="53">
        <v>40.987415845557557</v>
      </c>
      <c r="B1147" s="53">
        <v>42.379769674706004</v>
      </c>
      <c r="C1147" s="53">
        <v>40.881055483608719</v>
      </c>
      <c r="D1147" s="53">
        <v>42.060688588859485</v>
      </c>
      <c r="E1147" s="53">
        <v>51276.621290770971</v>
      </c>
      <c r="F1147" s="53" t="s">
        <v>1172</v>
      </c>
      <c r="G1147" s="25">
        <f t="shared" si="14"/>
        <v>-2.5517241379310218E-2</v>
      </c>
    </row>
    <row r="1148" spans="1:7">
      <c r="A1148" s="53">
        <v>42.50546828428191</v>
      </c>
      <c r="B1148" s="53">
        <v>42.524806531908965</v>
      </c>
      <c r="C1148" s="53">
        <v>41.084107083692864</v>
      </c>
      <c r="D1148" s="53">
        <v>41.683592760131781</v>
      </c>
      <c r="E1148" s="53">
        <v>49939.374995309758</v>
      </c>
      <c r="F1148" s="53" t="s">
        <v>1173</v>
      </c>
      <c r="G1148" s="25">
        <f t="shared" si="14"/>
        <v>1.9717003015541579E-2</v>
      </c>
    </row>
    <row r="1149" spans="1:7">
      <c r="A1149" s="53">
        <v>41.934989979283586</v>
      </c>
      <c r="B1149" s="53">
        <v>42.650505141484871</v>
      </c>
      <c r="C1149" s="53">
        <v>41.67392363631825</v>
      </c>
      <c r="D1149" s="53">
        <v>41.925320855470055</v>
      </c>
      <c r="E1149" s="53">
        <v>74605.518960313551</v>
      </c>
      <c r="F1149" s="53" t="s">
        <v>1174</v>
      </c>
      <c r="G1149" s="25">
        <f t="shared" si="14"/>
        <v>2.3062730627310124E-4</v>
      </c>
    </row>
    <row r="1150" spans="1:7">
      <c r="A1150" s="53">
        <v>41.470872036234098</v>
      </c>
      <c r="B1150" s="53">
        <v>42.191221760342152</v>
      </c>
      <c r="C1150" s="53">
        <v>41.113114455133463</v>
      </c>
      <c r="D1150" s="53">
        <v>41.586901521996467</v>
      </c>
      <c r="E1150" s="53">
        <v>76235.449479762014</v>
      </c>
      <c r="F1150" s="53" t="s">
        <v>1175</v>
      </c>
      <c r="G1150" s="25">
        <f t="shared" si="14"/>
        <v>-2.7900488258544298E-3</v>
      </c>
    </row>
    <row r="1151" spans="1:7">
      <c r="A1151" s="53">
        <v>41.480541160047629</v>
      </c>
      <c r="B1151" s="53">
        <v>41.586901521996467</v>
      </c>
      <c r="C1151" s="53">
        <v>40.639327388270445</v>
      </c>
      <c r="D1151" s="53">
        <v>40.736018626405752</v>
      </c>
      <c r="E1151" s="53">
        <v>110353.32886179596</v>
      </c>
      <c r="F1151" s="53" t="s">
        <v>1176</v>
      </c>
      <c r="G1151" s="25">
        <f t="shared" si="14"/>
        <v>1.8276762402088753E-2</v>
      </c>
    </row>
    <row r="1152" spans="1:7">
      <c r="A1152" s="53">
        <v>40.726349502592221</v>
      </c>
      <c r="B1152" s="53">
        <v>41.654585388691189</v>
      </c>
      <c r="C1152" s="53">
        <v>40.46566992457943</v>
      </c>
      <c r="D1152" s="53">
        <v>40.648996512083976</v>
      </c>
      <c r="E1152" s="53">
        <v>59250.456509646407</v>
      </c>
      <c r="F1152" s="53" t="s">
        <v>1177</v>
      </c>
      <c r="G1152" s="25">
        <f t="shared" si="14"/>
        <v>1.9029495718363432E-3</v>
      </c>
    </row>
    <row r="1153" spans="1:7">
      <c r="A1153" s="53">
        <v>41.461202912420575</v>
      </c>
      <c r="B1153" s="53">
        <v>44.168557580209225</v>
      </c>
      <c r="C1153" s="53">
        <v>41.209805693268763</v>
      </c>
      <c r="D1153" s="53">
        <v>42.273409312757167</v>
      </c>
      <c r="E1153" s="53">
        <v>79582.184987969653</v>
      </c>
      <c r="F1153" s="53" t="s">
        <v>1178</v>
      </c>
      <c r="G1153" s="25">
        <f t="shared" si="14"/>
        <v>-1.9213174748398787E-2</v>
      </c>
    </row>
    <row r="1154" spans="1:7">
      <c r="A1154" s="53">
        <v>42.0026738459783</v>
      </c>
      <c r="B1154" s="53">
        <v>42.263740188943636</v>
      </c>
      <c r="C1154" s="53">
        <v>40.542636150135131</v>
      </c>
      <c r="D1154" s="53">
        <v>40.542636150135131</v>
      </c>
      <c r="E1154" s="53">
        <v>66685.463174820921</v>
      </c>
      <c r="F1154" s="53" t="s">
        <v>1179</v>
      </c>
      <c r="G1154" s="25">
        <f t="shared" si="14"/>
        <v>3.6012401621750456E-2</v>
      </c>
    </row>
    <row r="1155" spans="1:7">
      <c r="A1155" s="53">
        <v>40.552305273948662</v>
      </c>
      <c r="B1155" s="53">
        <v>41.374180798098791</v>
      </c>
      <c r="C1155" s="53">
        <v>40.233224188102142</v>
      </c>
      <c r="D1155" s="53">
        <v>40.581312645389254</v>
      </c>
      <c r="E1155" s="53">
        <v>73307.573020016702</v>
      </c>
      <c r="F1155" s="53" t="s">
        <v>1180</v>
      </c>
      <c r="G1155" s="25">
        <f t="shared" si="14"/>
        <v>-7.1479628305926024E-4</v>
      </c>
    </row>
    <row r="1156" spans="1:7">
      <c r="A1156" s="53">
        <v>40.658665635897499</v>
      </c>
      <c r="B1156" s="53">
        <v>40.900393731235773</v>
      </c>
      <c r="C1156" s="53">
        <v>39.217966187681398</v>
      </c>
      <c r="D1156" s="53">
        <v>39.817451864120315</v>
      </c>
      <c r="E1156" s="53">
        <v>109650.05934832836</v>
      </c>
      <c r="F1156" s="53" t="s">
        <v>1181</v>
      </c>
      <c r="G1156" s="25">
        <f t="shared" si="14"/>
        <v>2.1126760563380031E-2</v>
      </c>
    </row>
    <row r="1157" spans="1:7">
      <c r="A1157" s="53">
        <v>39.856128359374438</v>
      </c>
      <c r="B1157" s="53">
        <v>40.774695121659875</v>
      </c>
      <c r="C1157" s="53">
        <v>39.633738511663232</v>
      </c>
      <c r="D1157" s="53">
        <v>40.416937540559232</v>
      </c>
      <c r="E1157" s="53">
        <v>89137.34239227447</v>
      </c>
      <c r="F1157" s="53" t="s">
        <v>1182</v>
      </c>
      <c r="G1157" s="25">
        <f t="shared" si="14"/>
        <v>-1.3875598086124374E-2</v>
      </c>
    </row>
    <row r="1158" spans="1:7">
      <c r="A1158" s="53">
        <v>40.736018626405752</v>
      </c>
      <c r="B1158" s="53">
        <v>41.238813064709355</v>
      </c>
      <c r="C1158" s="53">
        <v>40.262231559542734</v>
      </c>
      <c r="D1158" s="53">
        <v>41.238813064709355</v>
      </c>
      <c r="E1158" s="53">
        <v>92161.401300185214</v>
      </c>
      <c r="F1158" s="53" t="s">
        <v>1183</v>
      </c>
      <c r="G1158" s="25">
        <f t="shared" si="14"/>
        <v>-1.2192262602578996E-2</v>
      </c>
    </row>
    <row r="1159" spans="1:7">
      <c r="A1159" s="53">
        <v>41.229143940895831</v>
      </c>
      <c r="B1159" s="53">
        <v>41.325835179031138</v>
      </c>
      <c r="C1159" s="53">
        <v>39.778775368866192</v>
      </c>
      <c r="D1159" s="53">
        <v>40.70701125496516</v>
      </c>
      <c r="E1159" s="53">
        <v>104847.14225929366</v>
      </c>
      <c r="F1159" s="53" t="s">
        <v>1184</v>
      </c>
      <c r="G1159" s="25">
        <f t="shared" si="14"/>
        <v>1.2826603325415631E-2</v>
      </c>
    </row>
    <row r="1160" spans="1:7">
      <c r="A1160" s="53">
        <v>40.910062855049311</v>
      </c>
      <c r="B1160" s="53">
        <v>41.318003188742182</v>
      </c>
      <c r="C1160" s="53">
        <v>39.585392892595571</v>
      </c>
      <c r="D1160" s="53">
        <v>39.585392892595571</v>
      </c>
      <c r="E1160" s="53">
        <v>142596.16761454055</v>
      </c>
      <c r="F1160" s="53" t="s">
        <v>1185</v>
      </c>
      <c r="G1160" s="25">
        <f t="shared" si="14"/>
        <v>3.3463605276013775E-2</v>
      </c>
    </row>
    <row r="1161" spans="1:7">
      <c r="A1161" s="53">
        <v>39.653076759290286</v>
      </c>
      <c r="B1161" s="53">
        <v>39.827120987933846</v>
      </c>
      <c r="C1161" s="53">
        <v>38.173700815820055</v>
      </c>
      <c r="D1161" s="53">
        <v>39.333995673443766</v>
      </c>
      <c r="E1161" s="53">
        <v>129157.51458807265</v>
      </c>
      <c r="F1161" s="53" t="s">
        <v>1186</v>
      </c>
      <c r="G1161" s="25">
        <f t="shared" si="14"/>
        <v>8.1120943952801561E-3</v>
      </c>
    </row>
    <row r="1162" spans="1:7">
      <c r="A1162" s="53">
        <v>39.140613197173145</v>
      </c>
      <c r="B1162" s="53">
        <v>41.016423216998149</v>
      </c>
      <c r="C1162" s="53">
        <v>39.082598454291968</v>
      </c>
      <c r="D1162" s="53">
        <v>40.668334759711037</v>
      </c>
      <c r="E1162" s="53">
        <v>69510.951867164331</v>
      </c>
      <c r="F1162" s="53" t="s">
        <v>1187</v>
      </c>
      <c r="G1162" s="25">
        <f t="shared" si="14"/>
        <v>-3.7565382786495682E-2</v>
      </c>
    </row>
    <row r="1163" spans="1:7">
      <c r="A1163" s="53">
        <v>40.590981769202784</v>
      </c>
      <c r="B1163" s="53">
        <v>42.712484225129607</v>
      </c>
      <c r="C1163" s="53">
        <v>40.223555064288611</v>
      </c>
      <c r="D1163" s="53">
        <v>41.99300472216477</v>
      </c>
      <c r="E1163" s="53">
        <v>58379.643376793865</v>
      </c>
      <c r="F1163" s="53" t="s">
        <v>1188</v>
      </c>
      <c r="G1163" s="25">
        <f t="shared" si="14"/>
        <v>-3.3387059636196259E-2</v>
      </c>
    </row>
    <row r="1164" spans="1:7">
      <c r="A1164" s="53">
        <v>41.412857293352914</v>
      </c>
      <c r="B1164" s="53">
        <v>42.186387198435391</v>
      </c>
      <c r="C1164" s="53">
        <v>40.639424079508572</v>
      </c>
      <c r="D1164" s="53">
        <v>42.186387198435391</v>
      </c>
      <c r="E1164" s="53">
        <v>81616.495477662</v>
      </c>
      <c r="F1164" s="53" t="s">
        <v>1189</v>
      </c>
      <c r="G1164" s="25">
        <f t="shared" si="14"/>
        <v>-1.8336007334402993E-2</v>
      </c>
    </row>
    <row r="1165" spans="1:7">
      <c r="A1165" s="53">
        <v>42.718189008179586</v>
      </c>
      <c r="B1165" s="53">
        <v>42.950247979704336</v>
      </c>
      <c r="C1165" s="53">
        <v>40.300908054796857</v>
      </c>
      <c r="D1165" s="53">
        <v>41.925320855470055</v>
      </c>
      <c r="E1165" s="53">
        <v>119147.30043975938</v>
      </c>
      <c r="F1165" s="53" t="s">
        <v>1190</v>
      </c>
      <c r="G1165" s="25">
        <f t="shared" si="14"/>
        <v>1.8911439114390971E-2</v>
      </c>
    </row>
    <row r="1166" spans="1:7">
      <c r="A1166" s="53">
        <v>42.389438798519542</v>
      </c>
      <c r="B1166" s="53">
        <v>43.259659941737326</v>
      </c>
      <c r="C1166" s="53">
        <v>41.765780312546795</v>
      </c>
      <c r="D1166" s="53">
        <v>42.157379826994799</v>
      </c>
      <c r="E1166" s="53">
        <v>88252.050181203478</v>
      </c>
      <c r="F1166" s="53" t="s">
        <v>1191</v>
      </c>
      <c r="G1166" s="25">
        <f t="shared" si="14"/>
        <v>5.5045871559633586E-3</v>
      </c>
    </row>
    <row r="1167" spans="1:7">
      <c r="A1167" s="53">
        <v>42.563483027163095</v>
      </c>
      <c r="B1167" s="53">
        <v>43.714108760973275</v>
      </c>
      <c r="C1167" s="53">
        <v>42.215394569875976</v>
      </c>
      <c r="D1167" s="53">
        <v>42.292747560384228</v>
      </c>
      <c r="E1167" s="53">
        <v>80848.070112211353</v>
      </c>
      <c r="F1167" s="53" t="s">
        <v>1192</v>
      </c>
      <c r="G1167" s="25">
        <f t="shared" si="14"/>
        <v>6.4014631915867426E-3</v>
      </c>
    </row>
    <row r="1168" spans="1:7">
      <c r="A1168" s="53">
        <v>41.934989979283586</v>
      </c>
      <c r="B1168" s="53">
        <v>43.453042418007939</v>
      </c>
      <c r="C1168" s="53">
        <v>41.606239769623535</v>
      </c>
      <c r="D1168" s="53">
        <v>43.453042418007939</v>
      </c>
      <c r="E1168" s="53">
        <v>95975.604190874263</v>
      </c>
      <c r="F1168" s="53" t="s">
        <v>1193</v>
      </c>
      <c r="G1168" s="25">
        <f t="shared" si="14"/>
        <v>-3.4935469514908779E-2</v>
      </c>
    </row>
    <row r="1169" spans="1:7">
      <c r="A1169" s="53">
        <v>43.298336436991448</v>
      </c>
      <c r="B1169" s="53">
        <v>43.888152989616827</v>
      </c>
      <c r="C1169" s="53">
        <v>42.737527255806654</v>
      </c>
      <c r="D1169" s="53">
        <v>43.830138246735643</v>
      </c>
      <c r="E1169" s="53">
        <v>92637.142441648597</v>
      </c>
      <c r="F1169" s="53" t="s">
        <v>1194</v>
      </c>
      <c r="G1169" s="25">
        <f t="shared" si="14"/>
        <v>-1.2133245091550782E-2</v>
      </c>
    </row>
    <row r="1170" spans="1:7">
      <c r="A1170" s="53">
        <v>44.274917942158069</v>
      </c>
      <c r="B1170" s="53">
        <v>45.145139085375845</v>
      </c>
      <c r="C1170" s="53">
        <v>44.023520723006264</v>
      </c>
      <c r="D1170" s="53">
        <v>44.61333727563165</v>
      </c>
      <c r="E1170" s="53">
        <v>91471.576645063309</v>
      </c>
      <c r="F1170" s="53" t="s">
        <v>1195</v>
      </c>
      <c r="G1170" s="25">
        <f t="shared" si="14"/>
        <v>-7.5856090160381084E-3</v>
      </c>
    </row>
    <row r="1171" spans="1:7">
      <c r="A1171" s="53">
        <v>45.077455218681131</v>
      </c>
      <c r="B1171" s="53">
        <v>46.085848141194276</v>
      </c>
      <c r="C1171" s="53">
        <v>44.893741866224047</v>
      </c>
      <c r="D1171" s="53">
        <v>45.725286514187701</v>
      </c>
      <c r="E1171" s="53">
        <v>58598.89798981612</v>
      </c>
      <c r="F1171" s="53" t="s">
        <v>1196</v>
      </c>
      <c r="G1171" s="25">
        <f t="shared" si="14"/>
        <v>-1.4167900190315108E-2</v>
      </c>
    </row>
    <row r="1172" spans="1:7">
      <c r="A1172" s="53">
        <v>45.367528933087065</v>
      </c>
      <c r="B1172" s="53">
        <v>46.498816419270184</v>
      </c>
      <c r="C1172" s="53">
        <v>45.125800837748791</v>
      </c>
      <c r="D1172" s="53">
        <v>46.35377956206721</v>
      </c>
      <c r="E1172" s="53">
        <v>49971.4358113649</v>
      </c>
      <c r="F1172" s="53" t="s">
        <v>1197</v>
      </c>
      <c r="G1172" s="25">
        <f t="shared" si="14"/>
        <v>-2.127659574468066E-2</v>
      </c>
    </row>
    <row r="1173" spans="1:7">
      <c r="A1173" s="53">
        <v>46.247419200118372</v>
      </c>
      <c r="B1173" s="53">
        <v>46.653522400286676</v>
      </c>
      <c r="C1173" s="53">
        <v>45.304969702013516</v>
      </c>
      <c r="D1173" s="53">
        <v>45.773632133255362</v>
      </c>
      <c r="E1173" s="53">
        <v>68780.792637005317</v>
      </c>
      <c r="F1173" s="53" t="s">
        <v>1198</v>
      </c>
      <c r="G1173" s="25">
        <f t="shared" si="14"/>
        <v>1.0350654837346873E-2</v>
      </c>
    </row>
    <row r="1174" spans="1:7">
      <c r="A1174" s="53">
        <v>45.705948266560647</v>
      </c>
      <c r="B1174" s="53">
        <v>45.89933074283126</v>
      </c>
      <c r="C1174" s="53">
        <v>44.033189846819795</v>
      </c>
      <c r="D1174" s="53">
        <v>45.125800837748791</v>
      </c>
      <c r="E1174" s="53">
        <v>53362.642774100641</v>
      </c>
      <c r="F1174" s="53" t="s">
        <v>1199</v>
      </c>
      <c r="G1174" s="25">
        <f t="shared" si="14"/>
        <v>1.2856224555388929E-2</v>
      </c>
    </row>
    <row r="1175" spans="1:7">
      <c r="A1175" s="53">
        <v>45.212822952070567</v>
      </c>
      <c r="B1175" s="53">
        <v>48.007199734181</v>
      </c>
      <c r="C1175" s="53">
        <v>45.077455218681131</v>
      </c>
      <c r="D1175" s="53">
        <v>46.566500285964892</v>
      </c>
      <c r="E1175" s="53">
        <v>68458.116036708409</v>
      </c>
      <c r="F1175" s="53" t="s">
        <v>1200</v>
      </c>
      <c r="G1175" s="25">
        <f t="shared" si="14"/>
        <v>-2.9069767441860406E-2</v>
      </c>
    </row>
    <row r="1176" spans="1:7">
      <c r="A1176" s="53">
        <v>46.469809047829585</v>
      </c>
      <c r="B1176" s="53">
        <v>47.717126019775073</v>
      </c>
      <c r="C1176" s="53">
        <v>46.286095695372495</v>
      </c>
      <c r="D1176" s="53">
        <v>47.523743543504452</v>
      </c>
      <c r="E1176" s="53">
        <v>60426.364504959165</v>
      </c>
      <c r="F1176" s="53" t="s">
        <v>1201</v>
      </c>
      <c r="G1176" s="25">
        <f t="shared" si="14"/>
        <v>-2.217700915564591E-2</v>
      </c>
    </row>
    <row r="1177" spans="1:7">
      <c r="A1177" s="53">
        <v>47.533412667317982</v>
      </c>
      <c r="B1177" s="53">
        <v>49.14815634417765</v>
      </c>
      <c r="C1177" s="53">
        <v>47.359368438674423</v>
      </c>
      <c r="D1177" s="53">
        <v>48.896759125025845</v>
      </c>
      <c r="E1177" s="53">
        <v>83568.068377534626</v>
      </c>
      <c r="F1177" s="53" t="s">
        <v>1202</v>
      </c>
      <c r="G1177" s="25">
        <f t="shared" si="14"/>
        <v>-2.7882143563377593E-2</v>
      </c>
    </row>
    <row r="1178" spans="1:7">
      <c r="A1178" s="53">
        <v>48.713045772568762</v>
      </c>
      <c r="B1178" s="53">
        <v>50.008708363581903</v>
      </c>
      <c r="C1178" s="53">
        <v>48.171574839011029</v>
      </c>
      <c r="D1178" s="53">
        <v>49.79598763968422</v>
      </c>
      <c r="E1178" s="53">
        <v>115160.38283032166</v>
      </c>
      <c r="F1178" s="53" t="s">
        <v>1203</v>
      </c>
      <c r="G1178" s="25">
        <f t="shared" si="14"/>
        <v>-2.1747572815533855E-2</v>
      </c>
    </row>
    <row r="1179" spans="1:7">
      <c r="A1179" s="53">
        <v>49.79598763968422</v>
      </c>
      <c r="B1179" s="53">
        <v>49.892678877819527</v>
      </c>
      <c r="C1179" s="53">
        <v>48.306942572400459</v>
      </c>
      <c r="D1179" s="53">
        <v>48.539001543925202</v>
      </c>
      <c r="E1179" s="53">
        <v>56042.306464386798</v>
      </c>
      <c r="F1179" s="53" t="s">
        <v>1204</v>
      </c>
      <c r="G1179" s="25">
        <f t="shared" si="14"/>
        <v>2.5896414342629459E-2</v>
      </c>
    </row>
    <row r="1180" spans="1:7">
      <c r="A1180" s="53">
        <v>48.568008915365787</v>
      </c>
      <c r="B1180" s="53">
        <v>49.65095078248126</v>
      </c>
      <c r="C1180" s="53">
        <v>48.384295562908704</v>
      </c>
      <c r="D1180" s="53">
        <v>49.389884439515917</v>
      </c>
      <c r="E1180" s="53">
        <v>65133.099145828441</v>
      </c>
      <c r="F1180" s="53" t="s">
        <v>1205</v>
      </c>
      <c r="G1180" s="25">
        <f t="shared" si="14"/>
        <v>-1.6640563821456622E-2</v>
      </c>
    </row>
    <row r="1181" spans="1:7">
      <c r="A1181" s="53">
        <v>49.225509334685896</v>
      </c>
      <c r="B1181" s="53">
        <v>49.970031868327773</v>
      </c>
      <c r="C1181" s="53">
        <v>49.167494591804711</v>
      </c>
      <c r="D1181" s="53">
        <v>49.312531449007672</v>
      </c>
      <c r="E1181" s="53">
        <v>39702.666694865002</v>
      </c>
      <c r="F1181" s="53" t="s">
        <v>1206</v>
      </c>
      <c r="G1181" s="25">
        <f t="shared" si="14"/>
        <v>-1.7647058823528905E-3</v>
      </c>
    </row>
    <row r="1182" spans="1:7">
      <c r="A1182" s="53">
        <v>49.360877068075325</v>
      </c>
      <c r="B1182" s="53">
        <v>49.747642020616567</v>
      </c>
      <c r="C1182" s="53">
        <v>48.727549458289054</v>
      </c>
      <c r="D1182" s="53">
        <v>49.438230058583578</v>
      </c>
      <c r="E1182" s="53">
        <v>37072.645558470678</v>
      </c>
      <c r="F1182" s="53" t="s">
        <v>1207</v>
      </c>
      <c r="G1182" s="25">
        <f t="shared" si="14"/>
        <v>-1.5646391550949712E-3</v>
      </c>
    </row>
    <row r="1183" spans="1:7">
      <c r="A1183" s="53">
        <v>49.235178458499426</v>
      </c>
      <c r="B1183" s="53">
        <v>50.086061354090148</v>
      </c>
      <c r="C1183" s="53">
        <v>49.075637915576166</v>
      </c>
      <c r="D1183" s="53">
        <v>50.008708363581903</v>
      </c>
      <c r="E1183" s="53">
        <v>55756.861779508763</v>
      </c>
      <c r="F1183" s="53" t="s">
        <v>1208</v>
      </c>
      <c r="G1183" s="25">
        <f t="shared" si="14"/>
        <v>-1.5467904098994678E-2</v>
      </c>
    </row>
    <row r="1184" spans="1:7">
      <c r="A1184" s="53">
        <v>50.144076096971332</v>
      </c>
      <c r="B1184" s="53">
        <v>50.279443830360769</v>
      </c>
      <c r="C1184" s="53">
        <v>48.350453629561351</v>
      </c>
      <c r="D1184" s="53">
        <v>49.824995011124813</v>
      </c>
      <c r="E1184" s="53">
        <v>98613.89908625056</v>
      </c>
      <c r="F1184" s="53" t="s">
        <v>1209</v>
      </c>
      <c r="G1184" s="25">
        <f t="shared" si="14"/>
        <v>6.4040364836017716E-3</v>
      </c>
    </row>
    <row r="1185" spans="1:7">
      <c r="A1185" s="53">
        <v>49.834664134938343</v>
      </c>
      <c r="B1185" s="53">
        <v>50.018377487395426</v>
      </c>
      <c r="C1185" s="53">
        <v>46.991941733760257</v>
      </c>
      <c r="D1185" s="53">
        <v>48.597016286806387</v>
      </c>
      <c r="E1185" s="53">
        <v>67442.51212167136</v>
      </c>
      <c r="F1185" s="53" t="s">
        <v>1210</v>
      </c>
      <c r="G1185" s="25">
        <f t="shared" si="14"/>
        <v>2.5467568643056104E-2</v>
      </c>
    </row>
    <row r="1186" spans="1:7">
      <c r="A1186" s="53">
        <v>48.500325048671073</v>
      </c>
      <c r="B1186" s="53">
        <v>48.64536190587404</v>
      </c>
      <c r="C1186" s="53">
        <v>47.852493753164509</v>
      </c>
      <c r="D1186" s="53">
        <v>48.161905715197499</v>
      </c>
      <c r="E1186" s="53">
        <v>96891.922998127659</v>
      </c>
      <c r="F1186" s="53" t="s">
        <v>1211</v>
      </c>
      <c r="G1186" s="25">
        <f t="shared" si="14"/>
        <v>7.0267014655689408E-3</v>
      </c>
    </row>
    <row r="1187" spans="1:7">
      <c r="A1187" s="53">
        <v>48.219920458078676</v>
      </c>
      <c r="B1187" s="53">
        <v>48.248927829519275</v>
      </c>
      <c r="C1187" s="53">
        <v>45.803606417077305</v>
      </c>
      <c r="D1187" s="53">
        <v>46.179735333423658</v>
      </c>
      <c r="E1187" s="53">
        <v>98742.142350471127</v>
      </c>
      <c r="F1187" s="53" t="s">
        <v>1212</v>
      </c>
      <c r="G1187" s="25">
        <f t="shared" si="14"/>
        <v>4.4179229480736826E-2</v>
      </c>
    </row>
    <row r="1188" spans="1:7">
      <c r="A1188" s="53">
        <v>45.918668990458322</v>
      </c>
      <c r="B1188" s="53">
        <v>46.875912247997881</v>
      </c>
      <c r="C1188" s="53">
        <v>45.38686718071412</v>
      </c>
      <c r="D1188" s="53">
        <v>45.986352857153044</v>
      </c>
      <c r="E1188" s="53">
        <v>80043.447051214593</v>
      </c>
      <c r="F1188" s="53" t="s">
        <v>1213</v>
      </c>
      <c r="G1188" s="25">
        <f t="shared" si="14"/>
        <v>-1.4718250630783025E-3</v>
      </c>
    </row>
    <row r="1189" spans="1:7">
      <c r="A1189" s="53">
        <v>46.614845905032553</v>
      </c>
      <c r="B1189" s="53">
        <v>47.078963848082033</v>
      </c>
      <c r="C1189" s="53">
        <v>44.777712380461679</v>
      </c>
      <c r="D1189" s="53">
        <v>45.319183314019405</v>
      </c>
      <c r="E1189" s="53">
        <v>357790.4334163937</v>
      </c>
      <c r="F1189" s="53" t="s">
        <v>1214</v>
      </c>
      <c r="G1189" s="25">
        <f t="shared" si="14"/>
        <v>2.858971623639861E-2</v>
      </c>
    </row>
    <row r="1190" spans="1:7">
      <c r="A1190" s="53">
        <v>45.116131713935253</v>
      </c>
      <c r="B1190" s="53">
        <v>47.958854115113347</v>
      </c>
      <c r="C1190" s="53">
        <v>45.0677860948676</v>
      </c>
      <c r="D1190" s="53">
        <v>47.552750914945044</v>
      </c>
      <c r="E1190" s="53">
        <v>307558.37419709668</v>
      </c>
      <c r="F1190" s="53" t="s">
        <v>1215</v>
      </c>
      <c r="G1190" s="25">
        <f t="shared" si="14"/>
        <v>-5.1240341602277306E-2</v>
      </c>
    </row>
    <row r="1191" spans="1:7">
      <c r="A1191" s="53">
        <v>47.398044933928553</v>
      </c>
      <c r="B1191" s="53">
        <v>47.398044933928553</v>
      </c>
      <c r="C1191" s="53">
        <v>45.309514190205874</v>
      </c>
      <c r="D1191" s="53">
        <v>46.131389714356004</v>
      </c>
      <c r="E1191" s="53">
        <v>89877.843821160961</v>
      </c>
      <c r="F1191" s="53" t="s">
        <v>1216</v>
      </c>
      <c r="G1191" s="25">
        <f t="shared" si="14"/>
        <v>2.7457556067910227E-2</v>
      </c>
    </row>
    <row r="1192" spans="1:7">
      <c r="A1192" s="53">
        <v>45.870323371390668</v>
      </c>
      <c r="B1192" s="53">
        <v>47.272346324352654</v>
      </c>
      <c r="C1192" s="53">
        <v>45.618926152238863</v>
      </c>
      <c r="D1192" s="53">
        <v>46.774386447955806</v>
      </c>
      <c r="E1192" s="53">
        <v>104506.88392116006</v>
      </c>
      <c r="F1192" s="53" t="s">
        <v>1217</v>
      </c>
      <c r="G1192" s="25">
        <f t="shared" si="14"/>
        <v>-1.9328165374676964E-2</v>
      </c>
    </row>
    <row r="1193" spans="1:7">
      <c r="A1193" s="53">
        <v>46.682529771727268</v>
      </c>
      <c r="B1193" s="53">
        <v>46.875912247997881</v>
      </c>
      <c r="C1193" s="53">
        <v>46.135354055119549</v>
      </c>
      <c r="D1193" s="53">
        <v>46.779221009862574</v>
      </c>
      <c r="E1193" s="53">
        <v>84531.961298934359</v>
      </c>
      <c r="F1193" s="53" t="s">
        <v>1218</v>
      </c>
      <c r="G1193" s="25">
        <f t="shared" si="14"/>
        <v>-2.0669698222405275E-3</v>
      </c>
    </row>
    <row r="1194" spans="1:7">
      <c r="A1194" s="53">
        <v>46.991941733760257</v>
      </c>
      <c r="B1194" s="53">
        <v>47.697787772148011</v>
      </c>
      <c r="C1194" s="53">
        <v>46.634184152659607</v>
      </c>
      <c r="D1194" s="53">
        <v>47.378706686301491</v>
      </c>
      <c r="E1194" s="53">
        <v>81486.183773695942</v>
      </c>
      <c r="F1194" s="53" t="s">
        <v>1219</v>
      </c>
      <c r="G1194" s="25">
        <f t="shared" si="14"/>
        <v>-8.1632653061224358E-3</v>
      </c>
    </row>
    <row r="1195" spans="1:7">
      <c r="A1195" s="53">
        <v>47.098302095709094</v>
      </c>
      <c r="B1195" s="53">
        <v>48.46164855341695</v>
      </c>
      <c r="C1195" s="53">
        <v>47.078963848082033</v>
      </c>
      <c r="D1195" s="53">
        <v>48.345619067654582</v>
      </c>
      <c r="E1195" s="53">
        <v>66046.315293463587</v>
      </c>
      <c r="F1195" s="53" t="s">
        <v>1220</v>
      </c>
      <c r="G1195" s="25">
        <f t="shared" si="14"/>
        <v>-2.5799999999999934E-2</v>
      </c>
    </row>
    <row r="1196" spans="1:7">
      <c r="A1196" s="53">
        <v>48.074883600875715</v>
      </c>
      <c r="B1196" s="53">
        <v>48.422972058162827</v>
      </c>
      <c r="C1196" s="53">
        <v>46.740544514608452</v>
      </c>
      <c r="D1196" s="53">
        <v>48.306942572400459</v>
      </c>
      <c r="E1196" s="53">
        <v>66031.836215245145</v>
      </c>
      <c r="F1196" s="53" t="s">
        <v>1221</v>
      </c>
      <c r="G1196" s="25">
        <f t="shared" si="14"/>
        <v>-4.8038430744595795E-3</v>
      </c>
    </row>
    <row r="1197" spans="1:7">
      <c r="A1197" s="53">
        <v>48.094221848502784</v>
      </c>
      <c r="B1197" s="53">
        <v>48.683941709890028</v>
      </c>
      <c r="C1197" s="53">
        <v>47.485067048250329</v>
      </c>
      <c r="D1197" s="53">
        <v>47.485067048250329</v>
      </c>
      <c r="E1197" s="53">
        <v>80792.222239083043</v>
      </c>
      <c r="F1197" s="53" t="s">
        <v>1222</v>
      </c>
      <c r="G1197" s="25">
        <f t="shared" si="14"/>
        <v>1.2828344532681779E-2</v>
      </c>
    </row>
    <row r="1198" spans="1:7">
      <c r="A1198" s="53">
        <v>47.020949105200849</v>
      </c>
      <c r="B1198" s="53">
        <v>47.17565508621734</v>
      </c>
      <c r="C1198" s="53">
        <v>45.222492075884098</v>
      </c>
      <c r="D1198" s="53">
        <v>45.850985123763607</v>
      </c>
      <c r="E1198" s="53">
        <v>111835.36593944169</v>
      </c>
      <c r="F1198" s="53" t="s">
        <v>1223</v>
      </c>
      <c r="G1198" s="25">
        <f t="shared" si="14"/>
        <v>2.5516659637283778E-2</v>
      </c>
    </row>
    <row r="1199" spans="1:7">
      <c r="A1199" s="53">
        <v>45.25149944732469</v>
      </c>
      <c r="B1199" s="53">
        <v>47.078963848082033</v>
      </c>
      <c r="C1199" s="53">
        <v>44.792216066181972</v>
      </c>
      <c r="D1199" s="53">
        <v>47.078963848082033</v>
      </c>
      <c r="E1199" s="53">
        <v>74221.823387524593</v>
      </c>
      <c r="F1199" s="53" t="s">
        <v>1224</v>
      </c>
      <c r="G1199" s="25">
        <f t="shared" si="14"/>
        <v>-3.8817005545286443E-2</v>
      </c>
    </row>
    <row r="1200" spans="1:7">
      <c r="A1200" s="53">
        <v>46.924257867065542</v>
      </c>
      <c r="B1200" s="53">
        <v>47.504405295877397</v>
      </c>
      <c r="C1200" s="53">
        <v>45.37236349499382</v>
      </c>
      <c r="D1200" s="53">
        <v>45.986352857153044</v>
      </c>
      <c r="E1200" s="53">
        <v>120585.90028274975</v>
      </c>
      <c r="F1200" s="53" t="s">
        <v>1225</v>
      </c>
      <c r="G1200" s="25">
        <f t="shared" si="14"/>
        <v>2.039529015979813E-2</v>
      </c>
    </row>
    <row r="1201" spans="1:7">
      <c r="A1201" s="53">
        <v>45.831646876136546</v>
      </c>
      <c r="B1201" s="53">
        <v>47.514074419690921</v>
      </c>
      <c r="C1201" s="53">
        <v>45.812308628509484</v>
      </c>
      <c r="D1201" s="53">
        <v>46.03469847622069</v>
      </c>
      <c r="E1201" s="53">
        <v>112524.15637469085</v>
      </c>
      <c r="F1201" s="53" t="s">
        <v>1226</v>
      </c>
      <c r="G1201" s="25">
        <f t="shared" si="14"/>
        <v>-4.410838059231148E-3</v>
      </c>
    </row>
    <row r="1202" spans="1:7">
      <c r="A1202" s="53">
        <v>45.241830323511159</v>
      </c>
      <c r="B1202" s="53">
        <v>46.411794304948401</v>
      </c>
      <c r="C1202" s="53">
        <v>44.826057999529326</v>
      </c>
      <c r="D1202" s="53">
        <v>45.957345485712445</v>
      </c>
      <c r="E1202" s="53">
        <v>165047.01261212135</v>
      </c>
      <c r="F1202" s="53" t="s">
        <v>1227</v>
      </c>
      <c r="G1202" s="25">
        <f t="shared" si="14"/>
        <v>-1.5569114243635496E-2</v>
      </c>
    </row>
    <row r="1203" spans="1:7">
      <c r="A1203" s="53">
        <v>46.21841182867778</v>
      </c>
      <c r="B1203" s="53">
        <v>48.413302934349296</v>
      </c>
      <c r="C1203" s="53">
        <v>46.112051466728936</v>
      </c>
      <c r="D1203" s="53">
        <v>47.813817257910387</v>
      </c>
      <c r="E1203" s="53">
        <v>71461.490547164212</v>
      </c>
      <c r="F1203" s="53" t="s">
        <v>1228</v>
      </c>
      <c r="G1203" s="25">
        <f t="shared" si="14"/>
        <v>-3.3367037411526912E-2</v>
      </c>
    </row>
    <row r="1204" spans="1:7">
      <c r="A1204" s="53">
        <v>47.146647714776748</v>
      </c>
      <c r="B1204" s="53">
        <v>48.282769762866636</v>
      </c>
      <c r="C1204" s="53">
        <v>46.692198895540798</v>
      </c>
      <c r="D1204" s="53">
        <v>48.084552724689246</v>
      </c>
      <c r="E1204" s="53">
        <v>88886.026963197073</v>
      </c>
      <c r="F1204" s="53" t="s">
        <v>1229</v>
      </c>
      <c r="G1204" s="25">
        <f t="shared" si="14"/>
        <v>-1.9505328775387021E-2</v>
      </c>
    </row>
    <row r="1205" spans="1:7">
      <c r="A1205" s="53">
        <v>49.196501963245304</v>
      </c>
      <c r="B1205" s="53">
        <v>49.235178458499426</v>
      </c>
      <c r="C1205" s="53">
        <v>47.417383181555614</v>
      </c>
      <c r="D1205" s="53">
        <v>48.065214477062185</v>
      </c>
      <c r="E1205" s="53">
        <v>59987.855278914656</v>
      </c>
      <c r="F1205" s="53" t="s">
        <v>1230</v>
      </c>
      <c r="G1205" s="25">
        <f t="shared" si="14"/>
        <v>2.3536511768255997E-2</v>
      </c>
    </row>
    <row r="1206" spans="1:7">
      <c r="A1206" s="53">
        <v>48.36495731528165</v>
      </c>
      <c r="B1206" s="53">
        <v>48.935435620279968</v>
      </c>
      <c r="C1206" s="53">
        <v>47.80830585733667</v>
      </c>
      <c r="D1206" s="53">
        <v>48.519663296298141</v>
      </c>
      <c r="E1206" s="53">
        <v>90535.607660227732</v>
      </c>
      <c r="F1206" s="53" t="s">
        <v>1231</v>
      </c>
      <c r="G1206" s="25">
        <f t="shared" si="14"/>
        <v>-3.1885213232363263E-3</v>
      </c>
    </row>
    <row r="1207" spans="1:7">
      <c r="A1207" s="53">
        <v>48.674369277314639</v>
      </c>
      <c r="B1207" s="53">
        <v>50.680712468622296</v>
      </c>
      <c r="C1207" s="53">
        <v>48.422972058162827</v>
      </c>
      <c r="D1207" s="53">
        <v>50.492164554258444</v>
      </c>
      <c r="E1207" s="53">
        <v>83615.642491680963</v>
      </c>
      <c r="F1207" s="53" t="s">
        <v>1232</v>
      </c>
      <c r="G1207" s="25">
        <f t="shared" si="14"/>
        <v>-3.6001531980084156E-2</v>
      </c>
    </row>
    <row r="1208" spans="1:7">
      <c r="A1208" s="53">
        <v>50.173083468411924</v>
      </c>
      <c r="B1208" s="53">
        <v>52.493673183659347</v>
      </c>
      <c r="C1208" s="53">
        <v>49.196501963245304</v>
      </c>
      <c r="D1208" s="53">
        <v>49.196501963245304</v>
      </c>
      <c r="E1208" s="53">
        <v>96169.003307077859</v>
      </c>
      <c r="F1208" s="53" t="s">
        <v>1233</v>
      </c>
      <c r="G1208" s="25">
        <f t="shared" si="14"/>
        <v>1.9850628930817571E-2</v>
      </c>
    </row>
    <row r="1209" spans="1:7">
      <c r="A1209" s="53">
        <v>49.873340630192466</v>
      </c>
      <c r="B1209" s="53">
        <v>51.802330830991885</v>
      </c>
      <c r="C1209" s="53">
        <v>49.505913925278293</v>
      </c>
      <c r="D1209" s="53">
        <v>51.787827145271592</v>
      </c>
      <c r="E1209" s="53">
        <v>107959.10985638785</v>
      </c>
      <c r="F1209" s="53" t="s">
        <v>1234</v>
      </c>
      <c r="G1209" s="25">
        <f t="shared" ref="G1209:G1272" si="15">A1209/D1209-1</f>
        <v>-3.6967886482449641E-2</v>
      </c>
    </row>
    <row r="1210" spans="1:7">
      <c r="A1210" s="53">
        <v>51.652459411882177</v>
      </c>
      <c r="B1210" s="53">
        <v>52.62703411776674</v>
      </c>
      <c r="C1210" s="53">
        <v>50.84192203273065</v>
      </c>
      <c r="D1210" s="53">
        <v>51.555966866745088</v>
      </c>
      <c r="E1210" s="53">
        <v>109758.73820048591</v>
      </c>
      <c r="F1210" s="53" t="s">
        <v>1235</v>
      </c>
      <c r="G1210" s="25">
        <f t="shared" si="15"/>
        <v>1.8716077110239038E-3</v>
      </c>
    </row>
    <row r="1211" spans="1:7">
      <c r="A1211" s="53">
        <v>51.527019103203962</v>
      </c>
      <c r="B1211" s="53">
        <v>53.447220751431978</v>
      </c>
      <c r="C1211" s="53">
        <v>51.36298177647091</v>
      </c>
      <c r="D1211" s="53">
        <v>52.73317591741754</v>
      </c>
      <c r="E1211" s="53">
        <v>135315.11663880543</v>
      </c>
      <c r="F1211" s="53" t="s">
        <v>1236</v>
      </c>
      <c r="G1211" s="25">
        <f t="shared" si="15"/>
        <v>-2.2872827081427349E-2</v>
      </c>
    </row>
    <row r="1212" spans="1:7">
      <c r="A1212" s="53">
        <v>52.974407280260252</v>
      </c>
      <c r="B1212" s="53">
        <v>53.196340134075555</v>
      </c>
      <c r="C1212" s="53">
        <v>52.115623628540185</v>
      </c>
      <c r="D1212" s="53">
        <v>52.742825171931244</v>
      </c>
      <c r="E1212" s="53">
        <v>102417.23840904003</v>
      </c>
      <c r="F1212" s="53" t="s">
        <v>1237</v>
      </c>
      <c r="G1212" s="25">
        <f t="shared" si="15"/>
        <v>4.390779363337094E-3</v>
      </c>
    </row>
    <row r="1213" spans="1:7">
      <c r="A1213" s="53">
        <v>52.54019082714337</v>
      </c>
      <c r="B1213" s="53">
        <v>52.935810262205422</v>
      </c>
      <c r="C1213" s="53">
        <v>51.980534065348266</v>
      </c>
      <c r="D1213" s="53">
        <v>52.28931020978694</v>
      </c>
      <c r="E1213" s="53">
        <v>53498.433404011783</v>
      </c>
      <c r="F1213" s="53" t="s">
        <v>1238</v>
      </c>
      <c r="G1213" s="25">
        <f t="shared" si="15"/>
        <v>4.7979331980070317E-3</v>
      </c>
    </row>
    <row r="1214" spans="1:7">
      <c r="A1214" s="53">
        <v>52.279660955273236</v>
      </c>
      <c r="B1214" s="53">
        <v>52.414750518465155</v>
      </c>
      <c r="C1214" s="53">
        <v>51.247190722306414</v>
      </c>
      <c r="D1214" s="53">
        <v>52.183168410136147</v>
      </c>
      <c r="E1214" s="53">
        <v>71516.405647670472</v>
      </c>
      <c r="F1214" s="53" t="s">
        <v>1239</v>
      </c>
      <c r="G1214" s="25">
        <f t="shared" si="15"/>
        <v>1.8491124260355818E-3</v>
      </c>
    </row>
    <row r="1215" spans="1:7">
      <c r="A1215" s="53">
        <v>52.105974374026481</v>
      </c>
      <c r="B1215" s="53">
        <v>52.308608718814362</v>
      </c>
      <c r="C1215" s="53">
        <v>51.445772380198541</v>
      </c>
      <c r="D1215" s="53">
        <v>51.912989283752303</v>
      </c>
      <c r="E1215" s="53">
        <v>92636.171916709951</v>
      </c>
      <c r="F1215" s="53" t="s">
        <v>1240</v>
      </c>
      <c r="G1215" s="25">
        <f t="shared" si="15"/>
        <v>3.7174721189592308E-3</v>
      </c>
    </row>
    <row r="1216" spans="1:7">
      <c r="A1216" s="53">
        <v>51.961235556320851</v>
      </c>
      <c r="B1216" s="53">
        <v>52.694578899362703</v>
      </c>
      <c r="C1216" s="53">
        <v>51.584914630286214</v>
      </c>
      <c r="D1216" s="53">
        <v>52.694578899362703</v>
      </c>
      <c r="E1216" s="53">
        <v>66081.788918937804</v>
      </c>
      <c r="F1216" s="53" t="s">
        <v>1241</v>
      </c>
      <c r="G1216" s="25">
        <f t="shared" si="15"/>
        <v>-1.3916865043032356E-2</v>
      </c>
    </row>
    <row r="1217" spans="1:7">
      <c r="A1217" s="53">
        <v>52.77177293547237</v>
      </c>
      <c r="B1217" s="53">
        <v>53.833190931980319</v>
      </c>
      <c r="C1217" s="53">
        <v>52.762123680958666</v>
      </c>
      <c r="D1217" s="53">
        <v>53.06125057088363</v>
      </c>
      <c r="E1217" s="53">
        <v>157102.29197979454</v>
      </c>
      <c r="F1217" s="53" t="s">
        <v>1242</v>
      </c>
      <c r="G1217" s="25">
        <f t="shared" si="15"/>
        <v>-5.4555373704310295E-3</v>
      </c>
    </row>
    <row r="1218" spans="1:7">
      <c r="A1218" s="53">
        <v>52.723526662903829</v>
      </c>
      <c r="B1218" s="53">
        <v>52.820019208040918</v>
      </c>
      <c r="C1218" s="53">
        <v>49.124354729290516</v>
      </c>
      <c r="D1218" s="53">
        <v>49.934892108442043</v>
      </c>
      <c r="E1218" s="53">
        <v>117499.23254581472</v>
      </c>
      <c r="F1218" s="53" t="s">
        <v>1243</v>
      </c>
      <c r="G1218" s="25">
        <f t="shared" si="15"/>
        <v>5.5845410628019287E-2</v>
      </c>
    </row>
    <row r="1219" spans="1:7">
      <c r="A1219" s="53">
        <v>50.234018998367013</v>
      </c>
      <c r="B1219" s="53">
        <v>50.996310104949991</v>
      </c>
      <c r="C1219" s="53">
        <v>49.82875030879125</v>
      </c>
      <c r="D1219" s="53">
        <v>50.716481724052443</v>
      </c>
      <c r="E1219" s="53">
        <v>97868.700494774646</v>
      </c>
      <c r="F1219" s="53" t="s">
        <v>1244</v>
      </c>
      <c r="G1219" s="25">
        <f t="shared" si="15"/>
        <v>-9.5129375951293893E-3</v>
      </c>
    </row>
    <row r="1220" spans="1:7">
      <c r="A1220" s="53">
        <v>50.745429487593569</v>
      </c>
      <c r="B1220" s="53">
        <v>51.710354938964429</v>
      </c>
      <c r="C1220" s="53">
        <v>49.809451799763828</v>
      </c>
      <c r="D1220" s="53">
        <v>51.054205632032236</v>
      </c>
      <c r="E1220" s="53">
        <v>162875.79499195504</v>
      </c>
      <c r="F1220" s="53" t="s">
        <v>1245</v>
      </c>
      <c r="G1220" s="25">
        <f t="shared" si="15"/>
        <v>-6.0480060480059272E-3</v>
      </c>
    </row>
    <row r="1221" spans="1:7">
      <c r="A1221" s="53">
        <v>50.919116068840324</v>
      </c>
      <c r="B1221" s="53">
        <v>51.816496738615221</v>
      </c>
      <c r="C1221" s="53">
        <v>50.369108561558932</v>
      </c>
      <c r="D1221" s="53">
        <v>50.61033992440165</v>
      </c>
      <c r="E1221" s="53">
        <v>145402.9425803546</v>
      </c>
      <c r="F1221" s="53" t="s">
        <v>1246</v>
      </c>
      <c r="G1221" s="25">
        <f t="shared" si="15"/>
        <v>6.1010486177310863E-3</v>
      </c>
    </row>
    <row r="1222" spans="1:7">
      <c r="A1222" s="53">
        <v>50.716481724052443</v>
      </c>
      <c r="B1222" s="53">
        <v>50.851571287244361</v>
      </c>
      <c r="C1222" s="53">
        <v>49.162951747345353</v>
      </c>
      <c r="D1222" s="53">
        <v>50.176123471284754</v>
      </c>
      <c r="E1222" s="53">
        <v>150253.05819638603</v>
      </c>
      <c r="F1222" s="53" t="s">
        <v>1247</v>
      </c>
      <c r="G1222" s="25">
        <f t="shared" si="15"/>
        <v>1.0769230769230864E-2</v>
      </c>
    </row>
    <row r="1223" spans="1:7">
      <c r="A1223" s="53">
        <v>50.185772725798465</v>
      </c>
      <c r="B1223" s="53">
        <v>50.369108561558932</v>
      </c>
      <c r="C1223" s="53">
        <v>46.509406756075492</v>
      </c>
      <c r="D1223" s="53">
        <v>47.377839662309263</v>
      </c>
      <c r="E1223" s="53">
        <v>372138.59318339033</v>
      </c>
      <c r="F1223" s="53" t="s">
        <v>1248</v>
      </c>
      <c r="G1223" s="25">
        <f t="shared" si="15"/>
        <v>5.926680244399174E-2</v>
      </c>
    </row>
    <row r="1224" spans="1:7">
      <c r="A1224" s="53">
        <v>54.277056639610919</v>
      </c>
      <c r="B1224" s="53">
        <v>54.489340238912504</v>
      </c>
      <c r="C1224" s="53">
        <v>53.070899825397341</v>
      </c>
      <c r="D1224" s="53">
        <v>53.167392370534429</v>
      </c>
      <c r="E1224" s="53">
        <v>108643.62614859492</v>
      </c>
      <c r="F1224" s="53" t="s">
        <v>1249</v>
      </c>
      <c r="G1224" s="25">
        <f t="shared" si="15"/>
        <v>2.0871143375680523E-2</v>
      </c>
    </row>
    <row r="1225" spans="1:7">
      <c r="A1225" s="53">
        <v>52.964758025746548</v>
      </c>
      <c r="B1225" s="53">
        <v>53.421843212060921</v>
      </c>
      <c r="C1225" s="53">
        <v>52.356854991382903</v>
      </c>
      <c r="D1225" s="53">
        <v>53.302481933726348</v>
      </c>
      <c r="E1225" s="53">
        <v>71371.316718985763</v>
      </c>
      <c r="F1225" s="53" t="s">
        <v>1250</v>
      </c>
      <c r="G1225" s="25">
        <f t="shared" si="15"/>
        <v>-6.3359884141925837E-3</v>
      </c>
    </row>
    <row r="1226" spans="1:7">
      <c r="A1226" s="53">
        <v>53.225287897616674</v>
      </c>
      <c r="B1226" s="53">
        <v>53.948981986144823</v>
      </c>
      <c r="C1226" s="53">
        <v>52.048078846944222</v>
      </c>
      <c r="D1226" s="53">
        <v>53.948981986144823</v>
      </c>
      <c r="E1226" s="53">
        <v>107437.31534153069</v>
      </c>
      <c r="F1226" s="53" t="s">
        <v>1251</v>
      </c>
      <c r="G1226" s="25">
        <f t="shared" si="15"/>
        <v>-1.3414416025755771E-2</v>
      </c>
    </row>
    <row r="1227" spans="1:7">
      <c r="A1227" s="53">
        <v>53.273534170185222</v>
      </c>
      <c r="B1227" s="53">
        <v>53.379675969836015</v>
      </c>
      <c r="C1227" s="53">
        <v>51.777899720560384</v>
      </c>
      <c r="D1227" s="53">
        <v>52.376153500410318</v>
      </c>
      <c r="E1227" s="53">
        <v>86167.278396353489</v>
      </c>
      <c r="F1227" s="53" t="s">
        <v>1252</v>
      </c>
      <c r="G1227" s="25">
        <f t="shared" si="15"/>
        <v>1.7133382461311797E-2</v>
      </c>
    </row>
    <row r="1228" spans="1:7">
      <c r="A1228" s="53">
        <v>52.221765428190977</v>
      </c>
      <c r="B1228" s="53">
        <v>52.713877408390125</v>
      </c>
      <c r="C1228" s="53">
        <v>51.840619874899495</v>
      </c>
      <c r="D1228" s="53">
        <v>52.713877408390125</v>
      </c>
      <c r="E1228" s="53">
        <v>59652.276679224327</v>
      </c>
      <c r="F1228" s="53" t="s">
        <v>1253</v>
      </c>
      <c r="G1228" s="25">
        <f t="shared" si="15"/>
        <v>-9.3355299286108639E-3</v>
      </c>
    </row>
    <row r="1229" spans="1:7">
      <c r="A1229" s="53">
        <v>52.781422189986081</v>
      </c>
      <c r="B1229" s="53">
        <v>53.50511627851423</v>
      </c>
      <c r="C1229" s="53">
        <v>52.28931020978694</v>
      </c>
      <c r="D1229" s="53">
        <v>52.984056534773956</v>
      </c>
      <c r="E1229" s="53">
        <v>69000.149084481513</v>
      </c>
      <c r="F1229" s="53" t="s">
        <v>1254</v>
      </c>
      <c r="G1229" s="25">
        <f t="shared" si="15"/>
        <v>-3.8244399927152006E-3</v>
      </c>
    </row>
    <row r="1230" spans="1:7">
      <c r="A1230" s="53">
        <v>52.984056534773956</v>
      </c>
      <c r="B1230" s="53">
        <v>53.341078951781185</v>
      </c>
      <c r="C1230" s="53">
        <v>52.424399772978859</v>
      </c>
      <c r="D1230" s="53">
        <v>52.77177293547237</v>
      </c>
      <c r="E1230" s="53">
        <v>35968.581770428049</v>
      </c>
      <c r="F1230" s="53" t="s">
        <v>1255</v>
      </c>
      <c r="G1230" s="25">
        <f t="shared" si="15"/>
        <v>4.0226732492227857E-3</v>
      </c>
    </row>
    <row r="1231" spans="1:7">
      <c r="A1231" s="53">
        <v>52.598086354225615</v>
      </c>
      <c r="B1231" s="53">
        <v>52.993705789287674</v>
      </c>
      <c r="C1231" s="53">
        <v>51.256839976820117</v>
      </c>
      <c r="D1231" s="53">
        <v>51.912989283752303</v>
      </c>
      <c r="E1231" s="53">
        <v>47587.095909600808</v>
      </c>
      <c r="F1231" s="53" t="s">
        <v>1256</v>
      </c>
      <c r="G1231" s="25">
        <f t="shared" si="15"/>
        <v>1.3197026022304881E-2</v>
      </c>
    </row>
    <row r="1232" spans="1:7">
      <c r="A1232" s="53">
        <v>51.27613848584754</v>
      </c>
      <c r="B1232" s="53">
        <v>51.662108666395881</v>
      </c>
      <c r="C1232" s="53">
        <v>50.571742906346806</v>
      </c>
      <c r="D1232" s="53">
        <v>51.507720594176547</v>
      </c>
      <c r="E1232" s="53">
        <v>80117.070070201444</v>
      </c>
      <c r="F1232" s="53" t="s">
        <v>1257</v>
      </c>
      <c r="G1232" s="25">
        <f t="shared" si="15"/>
        <v>-4.4960659423004534E-3</v>
      </c>
    </row>
    <row r="1233" spans="1:7">
      <c r="A1233" s="53">
        <v>51.700705684450718</v>
      </c>
      <c r="B1233" s="53">
        <v>52.385802754924029</v>
      </c>
      <c r="C1233" s="53">
        <v>51.623511648341051</v>
      </c>
      <c r="D1233" s="53">
        <v>52.385802754924029</v>
      </c>
      <c r="E1233" s="53">
        <v>70286.258802322322</v>
      </c>
      <c r="F1233" s="53" t="s">
        <v>1258</v>
      </c>
      <c r="G1233" s="25">
        <f t="shared" si="15"/>
        <v>-1.3077914901455157E-2</v>
      </c>
    </row>
    <row r="1234" spans="1:7">
      <c r="A1234" s="53">
        <v>51.623511648341051</v>
      </c>
      <c r="B1234" s="53">
        <v>52.212116173677273</v>
      </c>
      <c r="C1234" s="53">
        <v>50.899817559812902</v>
      </c>
      <c r="D1234" s="53">
        <v>51.083153395573362</v>
      </c>
      <c r="E1234" s="53">
        <v>99254.299763713541</v>
      </c>
      <c r="F1234" s="53" t="s">
        <v>1259</v>
      </c>
      <c r="G1234" s="25">
        <f t="shared" si="15"/>
        <v>1.0578012844729923E-2</v>
      </c>
    </row>
    <row r="1235" spans="1:7">
      <c r="A1235" s="53">
        <v>50.832272778216939</v>
      </c>
      <c r="B1235" s="53">
        <v>51.097627277343925</v>
      </c>
      <c r="C1235" s="53">
        <v>50.320862288990384</v>
      </c>
      <c r="D1235" s="53">
        <v>50.726130978566147</v>
      </c>
      <c r="E1235" s="53">
        <v>36941.713942106158</v>
      </c>
      <c r="F1235" s="53" t="s">
        <v>1260</v>
      </c>
      <c r="G1235" s="25">
        <f t="shared" si="15"/>
        <v>2.0924481643522785E-3</v>
      </c>
    </row>
    <row r="1236" spans="1:7">
      <c r="A1236" s="53">
        <v>50.726130978566147</v>
      </c>
      <c r="B1236" s="53">
        <v>51.620713364532079</v>
      </c>
      <c r="C1236" s="53">
        <v>50.518672006521413</v>
      </c>
      <c r="D1236" s="53">
        <v>50.774377251134688</v>
      </c>
      <c r="E1236" s="53">
        <v>120262.14028776767</v>
      </c>
      <c r="F1236" s="53" t="s">
        <v>1261</v>
      </c>
      <c r="G1236" s="25">
        <f t="shared" si="15"/>
        <v>-9.5020904599008027E-4</v>
      </c>
    </row>
    <row r="1237" spans="1:7">
      <c r="A1237" s="53">
        <v>50.658586196970191</v>
      </c>
      <c r="B1237" s="53">
        <v>52.73317591741754</v>
      </c>
      <c r="C1237" s="53">
        <v>50.64893694245648</v>
      </c>
      <c r="D1237" s="53">
        <v>51.469123576121717</v>
      </c>
      <c r="E1237" s="53">
        <v>68436.374961592388</v>
      </c>
      <c r="F1237" s="53" t="s">
        <v>1262</v>
      </c>
      <c r="G1237" s="25">
        <f t="shared" si="15"/>
        <v>-1.5748031496063075E-2</v>
      </c>
    </row>
    <row r="1238" spans="1:7">
      <c r="A1238" s="53">
        <v>51.61386239382734</v>
      </c>
      <c r="B1238" s="53">
        <v>52.665631135821577</v>
      </c>
      <c r="C1238" s="53">
        <v>51.32438475841608</v>
      </c>
      <c r="D1238" s="53">
        <v>52.5787878451982</v>
      </c>
      <c r="E1238" s="53">
        <v>41212.5101928894</v>
      </c>
      <c r="F1238" s="53" t="s">
        <v>1263</v>
      </c>
      <c r="G1238" s="25">
        <f t="shared" si="15"/>
        <v>-1.8351991191044248E-2</v>
      </c>
    </row>
    <row r="1239" spans="1:7">
      <c r="A1239" s="53">
        <v>52.646332626794162</v>
      </c>
      <c r="B1239" s="53">
        <v>53.862138695521445</v>
      </c>
      <c r="C1239" s="53">
        <v>52.298959464300651</v>
      </c>
      <c r="D1239" s="53">
        <v>52.298959464300651</v>
      </c>
      <c r="E1239" s="53">
        <v>79782.329184736023</v>
      </c>
      <c r="F1239" s="53" t="s">
        <v>1264</v>
      </c>
      <c r="G1239" s="25">
        <f t="shared" si="15"/>
        <v>6.6420664206643387E-3</v>
      </c>
    </row>
    <row r="1240" spans="1:7">
      <c r="A1240" s="53">
        <v>51.999832574375688</v>
      </c>
      <c r="B1240" s="53">
        <v>52.09632511951277</v>
      </c>
      <c r="C1240" s="53">
        <v>50.359459307045221</v>
      </c>
      <c r="D1240" s="53">
        <v>51.121750413628199</v>
      </c>
      <c r="E1240" s="53">
        <v>113815.01010671392</v>
      </c>
      <c r="F1240" s="53" t="s">
        <v>1265</v>
      </c>
      <c r="G1240" s="25">
        <f t="shared" si="15"/>
        <v>1.7176292940732418E-2</v>
      </c>
    </row>
    <row r="1241" spans="1:7">
      <c r="A1241" s="53">
        <v>51.420877303553169</v>
      </c>
      <c r="B1241" s="53">
        <v>52.607735608739333</v>
      </c>
      <c r="C1241" s="53">
        <v>51.005959359463695</v>
      </c>
      <c r="D1241" s="53">
        <v>51.005959359463695</v>
      </c>
      <c r="E1241" s="53">
        <v>95893.4183656815</v>
      </c>
      <c r="F1241" s="53" t="s">
        <v>1266</v>
      </c>
      <c r="G1241" s="25">
        <f t="shared" si="15"/>
        <v>8.1346954218690648E-3</v>
      </c>
    </row>
    <row r="1242" spans="1:7">
      <c r="A1242" s="53">
        <v>50.957713086895154</v>
      </c>
      <c r="B1242" s="53">
        <v>51.903340029238599</v>
      </c>
      <c r="C1242" s="53">
        <v>50.509022752007702</v>
      </c>
      <c r="D1242" s="53">
        <v>51.555966866745088</v>
      </c>
      <c r="E1242" s="53">
        <v>114283.44007646738</v>
      </c>
      <c r="F1242" s="53" t="s">
        <v>1267</v>
      </c>
      <c r="G1242" s="25">
        <f t="shared" si="15"/>
        <v>-1.1603967808347382E-2</v>
      </c>
    </row>
    <row r="1243" spans="1:7">
      <c r="A1243" s="53">
        <v>51.797198229587806</v>
      </c>
      <c r="B1243" s="53">
        <v>52.009481828889392</v>
      </c>
      <c r="C1243" s="53">
        <v>50.320862288990384</v>
      </c>
      <c r="D1243" s="53">
        <v>51.391929540012043</v>
      </c>
      <c r="E1243" s="53">
        <v>96373.248179831615</v>
      </c>
      <c r="F1243" s="53" t="s">
        <v>1268</v>
      </c>
      <c r="G1243" s="25">
        <f t="shared" si="15"/>
        <v>7.8858430341719465E-3</v>
      </c>
    </row>
    <row r="1244" spans="1:7">
      <c r="A1244" s="53">
        <v>51.227892213278999</v>
      </c>
      <c r="B1244" s="53">
        <v>52.5787878451982</v>
      </c>
      <c r="C1244" s="53">
        <v>51.169996686196747</v>
      </c>
      <c r="D1244" s="53">
        <v>52.144571392081311</v>
      </c>
      <c r="E1244" s="53">
        <v>112177.57791155801</v>
      </c>
      <c r="F1244" s="53" t="s">
        <v>1269</v>
      </c>
      <c r="G1244" s="25">
        <f t="shared" si="15"/>
        <v>-1.7579570688378898E-2</v>
      </c>
    </row>
    <row r="1245" spans="1:7">
      <c r="A1245" s="53">
        <v>51.990183319861977</v>
      </c>
      <c r="B1245" s="53">
        <v>53.263884915671511</v>
      </c>
      <c r="C1245" s="53">
        <v>51.850269129413199</v>
      </c>
      <c r="D1245" s="53">
        <v>52.935810262205422</v>
      </c>
      <c r="E1245" s="53">
        <v>96872.768634303226</v>
      </c>
      <c r="F1245" s="53" t="s">
        <v>1270</v>
      </c>
      <c r="G1245" s="25">
        <f t="shared" si="15"/>
        <v>-1.7863652934743013E-2</v>
      </c>
    </row>
    <row r="1246" spans="1:7">
      <c r="A1246" s="53">
        <v>52.820019208040918</v>
      </c>
      <c r="B1246" s="53">
        <v>53.370026715322311</v>
      </c>
      <c r="C1246" s="53">
        <v>52.424399772978859</v>
      </c>
      <c r="D1246" s="53">
        <v>53.370026715322311</v>
      </c>
      <c r="E1246" s="53">
        <v>102529.16415402536</v>
      </c>
      <c r="F1246" s="53" t="s">
        <v>1271</v>
      </c>
      <c r="G1246" s="25">
        <f t="shared" si="15"/>
        <v>-1.0305550533357466E-2</v>
      </c>
    </row>
    <row r="1247" spans="1:7">
      <c r="A1247" s="53">
        <v>53.73669838684323</v>
      </c>
      <c r="B1247" s="53">
        <v>54.334952166693171</v>
      </c>
      <c r="C1247" s="53">
        <v>53.037127434599363</v>
      </c>
      <c r="D1247" s="53">
        <v>53.524414787541645</v>
      </c>
      <c r="E1247" s="53">
        <v>72744.479794037412</v>
      </c>
      <c r="F1247" s="53" t="s">
        <v>1272</v>
      </c>
      <c r="G1247" s="25">
        <f t="shared" si="15"/>
        <v>3.9661078060211352E-3</v>
      </c>
    </row>
    <row r="1248" spans="1:7">
      <c r="A1248" s="53">
        <v>53.765646150384356</v>
      </c>
      <c r="B1248" s="53">
        <v>53.920034222603697</v>
      </c>
      <c r="C1248" s="53">
        <v>53.003355043801378</v>
      </c>
      <c r="D1248" s="53">
        <v>53.572661060110192</v>
      </c>
      <c r="E1248" s="53">
        <v>197920.98936625404</v>
      </c>
      <c r="F1248" s="53" t="s">
        <v>1273</v>
      </c>
      <c r="G1248" s="25">
        <f t="shared" si="15"/>
        <v>3.6023054755041084E-3</v>
      </c>
    </row>
    <row r="1249" spans="1:7">
      <c r="A1249" s="53">
        <v>53.784944659411778</v>
      </c>
      <c r="B1249" s="53">
        <v>54.412146202802838</v>
      </c>
      <c r="C1249" s="53">
        <v>53.374851342579156</v>
      </c>
      <c r="D1249" s="53">
        <v>53.572661060110192</v>
      </c>
      <c r="E1249" s="53">
        <v>110058.24320327076</v>
      </c>
      <c r="F1249" s="53" t="s">
        <v>1274</v>
      </c>
      <c r="G1249" s="25">
        <f t="shared" si="15"/>
        <v>3.9625360230546303E-3</v>
      </c>
    </row>
    <row r="1250" spans="1:7">
      <c r="A1250" s="53">
        <v>53.225287897616674</v>
      </c>
      <c r="B1250" s="53">
        <v>53.707750623302104</v>
      </c>
      <c r="C1250" s="53">
        <v>51.893690774724888</v>
      </c>
      <c r="D1250" s="53">
        <v>52.501593809088526</v>
      </c>
      <c r="E1250" s="53">
        <v>99028.375574761652</v>
      </c>
      <c r="F1250" s="53" t="s">
        <v>1275</v>
      </c>
      <c r="G1250" s="25">
        <f t="shared" si="15"/>
        <v>1.3784230839919198E-2</v>
      </c>
    </row>
    <row r="1251" spans="1:7">
      <c r="A1251" s="53">
        <v>52.154220646595022</v>
      </c>
      <c r="B1251" s="53">
        <v>53.563011805596474</v>
      </c>
      <c r="C1251" s="53">
        <v>52.043254219687377</v>
      </c>
      <c r="D1251" s="53">
        <v>53.370026715322311</v>
      </c>
      <c r="E1251" s="53">
        <v>113949.73554049256</v>
      </c>
      <c r="F1251" s="53" t="s">
        <v>1276</v>
      </c>
      <c r="G1251" s="25">
        <f t="shared" si="15"/>
        <v>-2.2780690652684954E-2</v>
      </c>
    </row>
    <row r="1252" spans="1:7">
      <c r="A1252" s="53">
        <v>53.225287897616674</v>
      </c>
      <c r="B1252" s="53">
        <v>55.058646255221312</v>
      </c>
      <c r="C1252" s="53">
        <v>52.752474426444955</v>
      </c>
      <c r="D1252" s="53">
        <v>53.765646150384356</v>
      </c>
      <c r="E1252" s="53">
        <v>147389.62455384439</v>
      </c>
      <c r="F1252" s="53" t="s">
        <v>1277</v>
      </c>
      <c r="G1252" s="25">
        <f t="shared" si="15"/>
        <v>-1.0050251256281451E-2</v>
      </c>
    </row>
    <row r="1253" spans="1:7">
      <c r="A1253" s="53">
        <v>54.749870110782638</v>
      </c>
      <c r="B1253" s="53">
        <v>56.602526977414684</v>
      </c>
      <c r="C1253" s="53">
        <v>54.544340989640645</v>
      </c>
      <c r="D1253" s="53">
        <v>56.129713506242972</v>
      </c>
      <c r="E1253" s="53">
        <v>604221.80715794791</v>
      </c>
      <c r="F1253" s="53" t="s">
        <v>1278</v>
      </c>
      <c r="G1253" s="25">
        <f t="shared" si="15"/>
        <v>-2.4583118445934415E-2</v>
      </c>
    </row>
    <row r="1254" spans="1:7">
      <c r="A1254" s="53">
        <v>56.11041499721555</v>
      </c>
      <c r="B1254" s="53">
        <v>57.28279942063115</v>
      </c>
      <c r="C1254" s="53">
        <v>55.878832888886542</v>
      </c>
      <c r="D1254" s="53">
        <v>56.332347851030853</v>
      </c>
      <c r="E1254" s="53">
        <v>131304.44411016404</v>
      </c>
      <c r="F1254" s="53" t="s">
        <v>1279</v>
      </c>
      <c r="G1254" s="25">
        <f t="shared" si="15"/>
        <v>-3.9397053785543701E-3</v>
      </c>
    </row>
    <row r="1255" spans="1:7">
      <c r="A1255" s="53">
        <v>55.463914944797068</v>
      </c>
      <c r="B1255" s="53">
        <v>55.579705998961579</v>
      </c>
      <c r="C1255" s="53">
        <v>53.563011805596474</v>
      </c>
      <c r="D1255" s="53">
        <v>55.406019417714823</v>
      </c>
      <c r="E1255" s="53">
        <v>115723.96586840834</v>
      </c>
      <c r="F1255" s="53" t="s">
        <v>1280</v>
      </c>
      <c r="G1255" s="25">
        <f t="shared" si="15"/>
        <v>1.0449320794148065E-3</v>
      </c>
    </row>
    <row r="1256" spans="1:7">
      <c r="A1256" s="53">
        <v>55.328825381605157</v>
      </c>
      <c r="B1256" s="53">
        <v>55.999448570307898</v>
      </c>
      <c r="C1256" s="53">
        <v>54.530832033321452</v>
      </c>
      <c r="D1256" s="53">
        <v>55.29022836355032</v>
      </c>
      <c r="E1256" s="53">
        <v>116707.4615349925</v>
      </c>
      <c r="F1256" s="53" t="s">
        <v>1281</v>
      </c>
      <c r="G1256" s="25">
        <f t="shared" si="15"/>
        <v>6.9808027923223825E-4</v>
      </c>
    </row>
    <row r="1257" spans="1:7">
      <c r="A1257" s="53">
        <v>54.981452219111638</v>
      </c>
      <c r="B1257" s="53">
        <v>57.552978547014987</v>
      </c>
      <c r="C1257" s="53">
        <v>54.470041729885089</v>
      </c>
      <c r="D1257" s="53">
        <v>57.287624047887995</v>
      </c>
      <c r="E1257" s="53">
        <v>111548.51377076076</v>
      </c>
      <c r="F1257" s="53" t="s">
        <v>1282</v>
      </c>
      <c r="G1257" s="25">
        <f t="shared" si="15"/>
        <v>-4.0256021559710309E-2</v>
      </c>
    </row>
    <row r="1258" spans="1:7">
      <c r="A1258" s="53">
        <v>56.978847903449321</v>
      </c>
      <c r="B1258" s="53">
        <v>57.760437519059721</v>
      </c>
      <c r="C1258" s="53">
        <v>56.814810576716283</v>
      </c>
      <c r="D1258" s="53">
        <v>57.22972852080575</v>
      </c>
      <c r="E1258" s="53">
        <v>105319.01698273406</v>
      </c>
      <c r="F1258" s="53" t="s">
        <v>1283</v>
      </c>
      <c r="G1258" s="25">
        <f t="shared" si="15"/>
        <v>-4.383746417130463E-3</v>
      </c>
    </row>
    <row r="1259" spans="1:7">
      <c r="A1259" s="53">
        <v>56.940250885394491</v>
      </c>
      <c r="B1259" s="53">
        <v>58.098161427039528</v>
      </c>
      <c r="C1259" s="53">
        <v>56.853407594771113</v>
      </c>
      <c r="D1259" s="53">
        <v>57.71219124649118</v>
      </c>
      <c r="E1259" s="53">
        <v>77821.555948511348</v>
      </c>
      <c r="F1259" s="53" t="s">
        <v>1284</v>
      </c>
      <c r="G1259" s="25">
        <f t="shared" si="15"/>
        <v>-1.3375689683999381E-2</v>
      </c>
    </row>
    <row r="1260" spans="1:7">
      <c r="A1260" s="53">
        <v>57.606049446840387</v>
      </c>
      <c r="B1260" s="53">
        <v>58.368340553423366</v>
      </c>
      <c r="C1260" s="53">
        <v>56.583228468387276</v>
      </c>
      <c r="D1260" s="53">
        <v>57.287624047887995</v>
      </c>
      <c r="E1260" s="53">
        <v>96296.55831752684</v>
      </c>
      <c r="F1260" s="53" t="s">
        <v>1285</v>
      </c>
      <c r="G1260" s="25">
        <f t="shared" si="15"/>
        <v>5.5583628094999504E-3</v>
      </c>
    </row>
    <row r="1261" spans="1:7">
      <c r="A1261" s="53">
        <v>57.470959883648469</v>
      </c>
      <c r="B1261" s="53">
        <v>58.657818188834625</v>
      </c>
      <c r="C1261" s="53">
        <v>56.419191141654224</v>
      </c>
      <c r="D1261" s="53">
        <v>56.612176231928402</v>
      </c>
      <c r="E1261" s="53">
        <v>224683.67861163779</v>
      </c>
      <c r="F1261" s="53" t="s">
        <v>1286</v>
      </c>
      <c r="G1261" s="25">
        <f t="shared" si="15"/>
        <v>1.5169592636782081E-2</v>
      </c>
    </row>
    <row r="1262" spans="1:7">
      <c r="A1262" s="53">
        <v>56.467437414222772</v>
      </c>
      <c r="B1262" s="53">
        <v>56.89200461282595</v>
      </c>
      <c r="C1262" s="53">
        <v>56.158661269784098</v>
      </c>
      <c r="D1262" s="53">
        <v>56.44813890519535</v>
      </c>
      <c r="E1262" s="53">
        <v>83544.277835632209</v>
      </c>
      <c r="F1262" s="53" t="s">
        <v>1287</v>
      </c>
      <c r="G1262" s="25">
        <f t="shared" si="15"/>
        <v>3.4188034188042948E-4</v>
      </c>
    </row>
    <row r="1263" spans="1:7">
      <c r="A1263" s="53">
        <v>56.756915049634031</v>
      </c>
      <c r="B1263" s="53">
        <v>56.920952376367076</v>
      </c>
      <c r="C1263" s="53">
        <v>55.434967181255949</v>
      </c>
      <c r="D1263" s="53">
        <v>55.48321345382449</v>
      </c>
      <c r="E1263" s="53">
        <v>108925.51321003948</v>
      </c>
      <c r="F1263" s="53" t="s">
        <v>1288</v>
      </c>
      <c r="G1263" s="25">
        <f t="shared" si="15"/>
        <v>2.2956521739130542E-2</v>
      </c>
    </row>
    <row r="1264" spans="1:7">
      <c r="A1264" s="53">
        <v>55.357773145146275</v>
      </c>
      <c r="B1264" s="53">
        <v>55.463914944797068</v>
      </c>
      <c r="C1264" s="53">
        <v>54.248108876069786</v>
      </c>
      <c r="D1264" s="53">
        <v>54.585832784049593</v>
      </c>
      <c r="E1264" s="53">
        <v>79214.409663884479</v>
      </c>
      <c r="F1264" s="53" t="s">
        <v>1289</v>
      </c>
      <c r="G1264" s="25">
        <f t="shared" si="15"/>
        <v>1.41417712568499E-2</v>
      </c>
    </row>
    <row r="1265" spans="1:7">
      <c r="A1265" s="53">
        <v>54.634079056618134</v>
      </c>
      <c r="B1265" s="53">
        <v>55.029698491680186</v>
      </c>
      <c r="C1265" s="53">
        <v>54.325302912179453</v>
      </c>
      <c r="D1265" s="53">
        <v>54.643728311131845</v>
      </c>
      <c r="E1265" s="53">
        <v>142717.761050197</v>
      </c>
      <c r="F1265" s="53" t="s">
        <v>1290</v>
      </c>
      <c r="G1265" s="25">
        <f t="shared" si="15"/>
        <v>-1.7658484901994509E-4</v>
      </c>
    </row>
    <row r="1266" spans="1:7">
      <c r="A1266" s="53">
        <v>54.778817874323764</v>
      </c>
      <c r="B1266" s="53">
        <v>55.570056744447875</v>
      </c>
      <c r="C1266" s="53">
        <v>54.392847693775416</v>
      </c>
      <c r="D1266" s="53">
        <v>54.51828800245363</v>
      </c>
      <c r="E1266" s="53">
        <v>89293.944809508801</v>
      </c>
      <c r="F1266" s="53" t="s">
        <v>1291</v>
      </c>
      <c r="G1266" s="25">
        <f t="shared" si="15"/>
        <v>4.7787610619469678E-3</v>
      </c>
    </row>
    <row r="1267" spans="1:7">
      <c r="A1267" s="53">
        <v>54.306004403152045</v>
      </c>
      <c r="B1267" s="53">
        <v>54.4796909843988</v>
      </c>
      <c r="C1267" s="53">
        <v>52.491944554574822</v>
      </c>
      <c r="D1267" s="53">
        <v>52.491944554574822</v>
      </c>
      <c r="E1267" s="53">
        <v>113894.80901749051</v>
      </c>
      <c r="F1267" s="53" t="s">
        <v>1292</v>
      </c>
      <c r="G1267" s="25">
        <f t="shared" si="15"/>
        <v>3.4558823529411864E-2</v>
      </c>
    </row>
    <row r="1268" spans="1:7">
      <c r="A1268" s="53">
        <v>52.395452009437733</v>
      </c>
      <c r="B1268" s="53">
        <v>53.231077450324896</v>
      </c>
      <c r="C1268" s="53">
        <v>52.009481828889392</v>
      </c>
      <c r="D1268" s="53">
        <v>52.588437099711911</v>
      </c>
      <c r="E1268" s="53">
        <v>86972.521950553579</v>
      </c>
      <c r="F1268" s="53" t="s">
        <v>1293</v>
      </c>
      <c r="G1268" s="25">
        <f t="shared" si="15"/>
        <v>-3.6697247706423131E-3</v>
      </c>
    </row>
    <row r="1269" spans="1:7">
      <c r="A1269" s="53">
        <v>52.636683372280451</v>
      </c>
      <c r="B1269" s="53">
        <v>53.374851342579156</v>
      </c>
      <c r="C1269" s="53">
        <v>52.549840081657074</v>
      </c>
      <c r="D1269" s="53">
        <v>53.2542356611578</v>
      </c>
      <c r="E1269" s="53">
        <v>64924.186537932008</v>
      </c>
      <c r="F1269" s="53" t="s">
        <v>1294</v>
      </c>
      <c r="G1269" s="25">
        <f t="shared" si="15"/>
        <v>-1.1596303678202524E-2</v>
      </c>
    </row>
    <row r="1270" spans="1:7">
      <c r="A1270" s="53">
        <v>53.119146097965903</v>
      </c>
      <c r="B1270" s="53">
        <v>53.484990253198269</v>
      </c>
      <c r="C1270" s="53">
        <v>52.960250900247182</v>
      </c>
      <c r="D1270" s="53">
        <v>53.446566505386286</v>
      </c>
      <c r="E1270" s="53">
        <v>60072.614761444624</v>
      </c>
      <c r="F1270" s="53" t="s">
        <v>1295</v>
      </c>
      <c r="G1270" s="25">
        <f t="shared" si="15"/>
        <v>-6.1261261261260636E-3</v>
      </c>
    </row>
    <row r="1271" spans="1:7">
      <c r="A1271" s="53">
        <v>52.965065906238664</v>
      </c>
      <c r="B1271" s="53">
        <v>53.668056780994192</v>
      </c>
      <c r="C1271" s="53">
        <v>52.733945618647802</v>
      </c>
      <c r="D1271" s="53">
        <v>53.148036133914758</v>
      </c>
      <c r="E1271" s="53">
        <v>63660.356922218882</v>
      </c>
      <c r="F1271" s="53" t="s">
        <v>1296</v>
      </c>
      <c r="G1271" s="25">
        <f t="shared" si="15"/>
        <v>-3.442652654466305E-3</v>
      </c>
    </row>
    <row r="1272" spans="1:7">
      <c r="A1272" s="53">
        <v>52.791725690545519</v>
      </c>
      <c r="B1272" s="53">
        <v>52.849505762443236</v>
      </c>
      <c r="C1272" s="53">
        <v>51.693904324488933</v>
      </c>
      <c r="D1272" s="53">
        <v>51.713164348454846</v>
      </c>
      <c r="E1272" s="53">
        <v>85100.621001381325</v>
      </c>
      <c r="F1272" s="53" t="s">
        <v>1297</v>
      </c>
      <c r="G1272" s="25">
        <f t="shared" si="15"/>
        <v>2.0856610800744857E-2</v>
      </c>
    </row>
    <row r="1273" spans="1:7">
      <c r="A1273" s="53">
        <v>51.847984516216179</v>
      </c>
      <c r="B1273" s="53">
        <v>53.099886073999997</v>
      </c>
      <c r="C1273" s="53">
        <v>51.337593881119695</v>
      </c>
      <c r="D1273" s="53">
        <v>52.522085355022853</v>
      </c>
      <c r="E1273" s="53">
        <v>78227.316989177314</v>
      </c>
      <c r="F1273" s="53" t="s">
        <v>1298</v>
      </c>
      <c r="G1273" s="25">
        <f t="shared" ref="G1273:G1336" si="16">A1273/D1273-1</f>
        <v>-1.2834616795012854E-2</v>
      </c>
    </row>
    <row r="1274" spans="1:7">
      <c r="A1274" s="53">
        <v>52.849505762443236</v>
      </c>
      <c r="B1274" s="53">
        <v>54.139927368158865</v>
      </c>
      <c r="C1274" s="53">
        <v>52.743575630630758</v>
      </c>
      <c r="D1274" s="53">
        <v>53.427306481420381</v>
      </c>
      <c r="E1274" s="53">
        <v>62559.631396771496</v>
      </c>
      <c r="F1274" s="53" t="s">
        <v>1299</v>
      </c>
      <c r="G1274" s="25">
        <f t="shared" si="16"/>
        <v>-1.0814708002883866E-2</v>
      </c>
    </row>
    <row r="1275" spans="1:7">
      <c r="A1275" s="53">
        <v>53.465826529352199</v>
      </c>
      <c r="B1275" s="53">
        <v>54.65031800325535</v>
      </c>
      <c r="C1275" s="53">
        <v>52.859135774426186</v>
      </c>
      <c r="D1275" s="53">
        <v>54.082147296261148</v>
      </c>
      <c r="E1275" s="53">
        <v>76650.994963112098</v>
      </c>
      <c r="F1275" s="53" t="s">
        <v>1300</v>
      </c>
      <c r="G1275" s="25">
        <f t="shared" si="16"/>
        <v>-1.1396011396011207E-2</v>
      </c>
    </row>
    <row r="1276" spans="1:7">
      <c r="A1276" s="53">
        <v>54.149557380141815</v>
      </c>
      <c r="B1276" s="53">
        <v>54.409567703681539</v>
      </c>
      <c r="C1276" s="53">
        <v>53.225172529898209</v>
      </c>
      <c r="D1276" s="53">
        <v>53.244336253744287</v>
      </c>
      <c r="E1276" s="53">
        <v>158835.73174236488</v>
      </c>
      <c r="F1276" s="53" t="s">
        <v>1301</v>
      </c>
      <c r="G1276" s="25">
        <f t="shared" si="16"/>
        <v>1.7001266051727137E-2</v>
      </c>
    </row>
    <row r="1277" spans="1:7">
      <c r="A1277" s="53">
        <v>53.167296157880671</v>
      </c>
      <c r="B1277" s="53">
        <v>53.253966265727236</v>
      </c>
      <c r="C1277" s="53">
        <v>52.146514887687701</v>
      </c>
      <c r="D1277" s="53">
        <v>52.146514887687701</v>
      </c>
      <c r="E1277" s="53">
        <v>49898.172593205476</v>
      </c>
      <c r="F1277" s="53" t="s">
        <v>1302</v>
      </c>
      <c r="G1277" s="25">
        <f t="shared" si="16"/>
        <v>1.9575253924284608E-2</v>
      </c>
    </row>
    <row r="1278" spans="1:7">
      <c r="A1278" s="53">
        <v>52.830245738477331</v>
      </c>
      <c r="B1278" s="53">
        <v>53.504346577284004</v>
      </c>
      <c r="C1278" s="53">
        <v>52.262267631722793</v>
      </c>
      <c r="D1278" s="53">
        <v>53.090256062017048</v>
      </c>
      <c r="E1278" s="53">
        <v>57057.042189841595</v>
      </c>
      <c r="F1278" s="53" t="s">
        <v>1303</v>
      </c>
      <c r="G1278" s="25">
        <f t="shared" si="16"/>
        <v>-4.8975149646290905E-3</v>
      </c>
    </row>
    <row r="1279" spans="1:7">
      <c r="A1279" s="53">
        <v>52.955435894255714</v>
      </c>
      <c r="B1279" s="53">
        <v>55.362938889993835</v>
      </c>
      <c r="C1279" s="53">
        <v>52.628015486835324</v>
      </c>
      <c r="D1279" s="53">
        <v>54.929588350760973</v>
      </c>
      <c r="E1279" s="53">
        <v>156265.64148247591</v>
      </c>
      <c r="F1279" s="53" t="s">
        <v>1304</v>
      </c>
      <c r="G1279" s="25">
        <f t="shared" si="16"/>
        <v>-3.5939691444600297E-2</v>
      </c>
    </row>
    <row r="1280" spans="1:7">
      <c r="A1280" s="53">
        <v>54.582907919374684</v>
      </c>
      <c r="B1280" s="53">
        <v>55.988889668885747</v>
      </c>
      <c r="C1280" s="53">
        <v>54.404752697690057</v>
      </c>
      <c r="D1280" s="53">
        <v>55.18959867430069</v>
      </c>
      <c r="E1280" s="53">
        <v>97724.696673894417</v>
      </c>
      <c r="F1280" s="53" t="s">
        <v>1305</v>
      </c>
      <c r="G1280" s="25">
        <f t="shared" si="16"/>
        <v>-1.0992845925667405E-2</v>
      </c>
    </row>
    <row r="1281" spans="1:7">
      <c r="A1281" s="53">
        <v>55.112558578437067</v>
      </c>
      <c r="B1281" s="53">
        <v>56.277693728254491</v>
      </c>
      <c r="C1281" s="53">
        <v>54.188077428073633</v>
      </c>
      <c r="D1281" s="53">
        <v>55.680729285431262</v>
      </c>
      <c r="E1281" s="53">
        <v>92499.365688940408</v>
      </c>
      <c r="F1281" s="53" t="s">
        <v>1306</v>
      </c>
      <c r="G1281" s="25">
        <f t="shared" si="16"/>
        <v>-1.0204081632653073E-2</v>
      </c>
    </row>
    <row r="1282" spans="1:7">
      <c r="A1282" s="53">
        <v>55.699989309397175</v>
      </c>
      <c r="B1282" s="53">
        <v>55.79628942922669</v>
      </c>
      <c r="C1282" s="53">
        <v>53.056551020076711</v>
      </c>
      <c r="D1282" s="53">
        <v>54.85254825489735</v>
      </c>
      <c r="E1282" s="53">
        <v>100771.42185470821</v>
      </c>
      <c r="F1282" s="53" t="s">
        <v>1307</v>
      </c>
      <c r="G1282" s="25">
        <f t="shared" si="16"/>
        <v>1.5449438202247201E-2</v>
      </c>
    </row>
    <row r="1283" spans="1:7">
      <c r="A1283" s="53">
        <v>54.698468063170111</v>
      </c>
      <c r="B1283" s="53">
        <v>54.708098075153067</v>
      </c>
      <c r="C1283" s="53">
        <v>53.14322112792329</v>
      </c>
      <c r="D1283" s="53">
        <v>53.359896397539714</v>
      </c>
      <c r="E1283" s="53">
        <v>105191.9771017172</v>
      </c>
      <c r="F1283" s="53" t="s">
        <v>1308</v>
      </c>
      <c r="G1283" s="25">
        <f t="shared" si="16"/>
        <v>2.5085724598447934E-2</v>
      </c>
    </row>
    <row r="1284" spans="1:7">
      <c r="A1284" s="53">
        <v>53.244336253744287</v>
      </c>
      <c r="B1284" s="53">
        <v>54.193181334424594</v>
      </c>
      <c r="C1284" s="53">
        <v>50.547932898517594</v>
      </c>
      <c r="D1284" s="53">
        <v>53.793246936772576</v>
      </c>
      <c r="E1284" s="53">
        <v>90544.020250810761</v>
      </c>
      <c r="F1284" s="53" t="s">
        <v>1309</v>
      </c>
      <c r="G1284" s="25">
        <f t="shared" si="16"/>
        <v>-1.0204081632653073E-2</v>
      </c>
    </row>
    <row r="1285" spans="1:7">
      <c r="A1285" s="53">
        <v>53.879917044619155</v>
      </c>
      <c r="B1285" s="53">
        <v>54.166698801471476</v>
      </c>
      <c r="C1285" s="53">
        <v>52.656905522784186</v>
      </c>
      <c r="D1285" s="53">
        <v>52.69542557071599</v>
      </c>
      <c r="E1285" s="53">
        <v>191518.97248569602</v>
      </c>
      <c r="F1285" s="53" t="s">
        <v>1310</v>
      </c>
      <c r="G1285" s="25">
        <f t="shared" si="16"/>
        <v>2.2478070175438791E-2</v>
      </c>
    </row>
    <row r="1286" spans="1:7">
      <c r="A1286" s="53">
        <v>52.685795558733041</v>
      </c>
      <c r="B1286" s="53">
        <v>53.668056780994192</v>
      </c>
      <c r="C1286" s="53">
        <v>52.396895199244462</v>
      </c>
      <c r="D1286" s="53">
        <v>52.830245738477331</v>
      </c>
      <c r="E1286" s="53">
        <v>111929.24805370082</v>
      </c>
      <c r="F1286" s="53" t="s">
        <v>1311</v>
      </c>
      <c r="G1286" s="25">
        <f t="shared" si="16"/>
        <v>-2.7342325920525212E-3</v>
      </c>
    </row>
    <row r="1287" spans="1:7">
      <c r="A1287" s="53">
        <v>52.44504525915923</v>
      </c>
      <c r="B1287" s="53">
        <v>53.504346577284004</v>
      </c>
      <c r="C1287" s="53">
        <v>52.127254863721802</v>
      </c>
      <c r="D1287" s="53">
        <v>52.628015486835324</v>
      </c>
      <c r="E1287" s="53">
        <v>100772.46027501524</v>
      </c>
      <c r="F1287" s="53" t="s">
        <v>1312</v>
      </c>
      <c r="G1287" s="25">
        <f t="shared" si="16"/>
        <v>-3.4766697163768345E-3</v>
      </c>
    </row>
    <row r="1288" spans="1:7">
      <c r="A1288" s="53">
        <v>52.570235414937613</v>
      </c>
      <c r="B1288" s="53">
        <v>53.475456541335149</v>
      </c>
      <c r="C1288" s="53">
        <v>52.570235414937613</v>
      </c>
      <c r="D1288" s="53">
        <v>52.676165546750092</v>
      </c>
      <c r="E1288" s="53">
        <v>184447.3301948501</v>
      </c>
      <c r="F1288" s="53" t="s">
        <v>1313</v>
      </c>
      <c r="G1288" s="25">
        <f t="shared" si="16"/>
        <v>-2.0109689213894111E-3</v>
      </c>
    </row>
    <row r="1289" spans="1:7">
      <c r="A1289" s="53">
        <v>52.685795558733041</v>
      </c>
      <c r="B1289" s="53">
        <v>53.003585954170475</v>
      </c>
      <c r="C1289" s="53">
        <v>51.472414048881035</v>
      </c>
      <c r="D1289" s="53">
        <v>52.300595079414947</v>
      </c>
      <c r="E1289" s="53">
        <v>78396.579499222527</v>
      </c>
      <c r="F1289" s="53" t="s">
        <v>1314</v>
      </c>
      <c r="G1289" s="25">
        <f t="shared" si="16"/>
        <v>7.3651261277847269E-3</v>
      </c>
    </row>
    <row r="1290" spans="1:7">
      <c r="A1290" s="53">
        <v>52.146514887687701</v>
      </c>
      <c r="B1290" s="53">
        <v>52.560605402954657</v>
      </c>
      <c r="C1290" s="53">
        <v>51.876874552165035</v>
      </c>
      <c r="D1290" s="53">
        <v>52.262075031483135</v>
      </c>
      <c r="E1290" s="53">
        <v>198571.92321101553</v>
      </c>
      <c r="F1290" s="53" t="s">
        <v>1315</v>
      </c>
      <c r="G1290" s="25">
        <f t="shared" si="16"/>
        <v>-2.2111663902709688E-3</v>
      </c>
    </row>
    <row r="1291" spans="1:7">
      <c r="A1291" s="53">
        <v>52.541345378988758</v>
      </c>
      <c r="B1291" s="53">
        <v>53.494716565301047</v>
      </c>
      <c r="C1291" s="53">
        <v>52.281335055449034</v>
      </c>
      <c r="D1291" s="53">
        <v>53.022845978136381</v>
      </c>
      <c r="E1291" s="53">
        <v>110238.69979386276</v>
      </c>
      <c r="F1291" s="53" t="s">
        <v>1316</v>
      </c>
      <c r="G1291" s="25">
        <f t="shared" si="16"/>
        <v>-9.0810025426806273E-3</v>
      </c>
    </row>
    <row r="1292" spans="1:7">
      <c r="A1292" s="53">
        <v>52.733945618647802</v>
      </c>
      <c r="B1292" s="53">
        <v>52.984325930204569</v>
      </c>
      <c r="C1292" s="53">
        <v>52.117624851738846</v>
      </c>
      <c r="D1292" s="53">
        <v>52.733945618647802</v>
      </c>
      <c r="E1292" s="53">
        <v>57496.293979713519</v>
      </c>
      <c r="F1292" s="53" t="s">
        <v>1317</v>
      </c>
      <c r="G1292" s="25">
        <f t="shared" si="16"/>
        <v>0</v>
      </c>
    </row>
    <row r="1293" spans="1:7">
      <c r="A1293" s="53">
        <v>52.531715367005802</v>
      </c>
      <c r="B1293" s="53">
        <v>53.610276709096482</v>
      </c>
      <c r="C1293" s="53">
        <v>52.136884875704752</v>
      </c>
      <c r="D1293" s="53">
        <v>53.610276709096482</v>
      </c>
      <c r="E1293" s="53">
        <v>68898.148950857198</v>
      </c>
      <c r="F1293" s="53" t="s">
        <v>1318</v>
      </c>
      <c r="G1293" s="25">
        <f t="shared" si="16"/>
        <v>-2.0118555775103353E-2</v>
      </c>
    </row>
    <row r="1294" spans="1:7">
      <c r="A1294" s="53">
        <v>53.436936493403337</v>
      </c>
      <c r="B1294" s="53">
        <v>53.581386673147627</v>
      </c>
      <c r="C1294" s="53">
        <v>52.204391259705247</v>
      </c>
      <c r="D1294" s="53">
        <v>52.666535534767135</v>
      </c>
      <c r="E1294" s="53">
        <v>131851.3416439915</v>
      </c>
      <c r="F1294" s="53" t="s">
        <v>1319</v>
      </c>
      <c r="G1294" s="25">
        <f t="shared" si="16"/>
        <v>1.4627902724446917E-2</v>
      </c>
    </row>
    <row r="1295" spans="1:7">
      <c r="A1295" s="53">
        <v>52.753205642613707</v>
      </c>
      <c r="B1295" s="53">
        <v>53.706576828926011</v>
      </c>
      <c r="C1295" s="53">
        <v>52.377635175278563</v>
      </c>
      <c r="D1295" s="53">
        <v>52.724315606664852</v>
      </c>
      <c r="E1295" s="53">
        <v>156831.58054980502</v>
      </c>
      <c r="F1295" s="53" t="s">
        <v>1320</v>
      </c>
      <c r="G1295" s="25">
        <f t="shared" si="16"/>
        <v>5.4794520547951642E-4</v>
      </c>
    </row>
    <row r="1296" spans="1:7">
      <c r="A1296" s="53">
        <v>52.377635175278563</v>
      </c>
      <c r="B1296" s="53">
        <v>53.552496637198765</v>
      </c>
      <c r="C1296" s="53">
        <v>52.011694719926368</v>
      </c>
      <c r="D1296" s="53">
        <v>52.223554983551317</v>
      </c>
      <c r="E1296" s="53">
        <v>264276.92971776827</v>
      </c>
      <c r="F1296" s="53" t="s">
        <v>1321</v>
      </c>
      <c r="G1296" s="25">
        <f t="shared" si="16"/>
        <v>2.9503964595243293E-3</v>
      </c>
    </row>
    <row r="1297" spans="1:7">
      <c r="A1297" s="53">
        <v>52.974695918221613</v>
      </c>
      <c r="B1297" s="53">
        <v>53.157666145897714</v>
      </c>
      <c r="C1297" s="53">
        <v>52.26689003747461</v>
      </c>
      <c r="D1297" s="53">
        <v>52.705055582698947</v>
      </c>
      <c r="E1297" s="53">
        <v>158988.37952749766</v>
      </c>
      <c r="F1297" s="53" t="s">
        <v>1322</v>
      </c>
      <c r="G1297" s="25">
        <f t="shared" si="16"/>
        <v>5.1160241183993982E-3</v>
      </c>
    </row>
    <row r="1298" spans="1:7">
      <c r="A1298" s="53">
        <v>52.319855103380846</v>
      </c>
      <c r="B1298" s="53">
        <v>52.599125450886469</v>
      </c>
      <c r="C1298" s="53">
        <v>50.884983317920934</v>
      </c>
      <c r="D1298" s="53">
        <v>52.599125450886469</v>
      </c>
      <c r="E1298" s="53">
        <v>276023.54023084452</v>
      </c>
      <c r="F1298" s="53" t="s">
        <v>1323</v>
      </c>
      <c r="G1298" s="25">
        <f t="shared" si="16"/>
        <v>-5.3094104723544477E-3</v>
      </c>
    </row>
    <row r="1299" spans="1:7">
      <c r="A1299" s="53">
        <v>52.502825331056947</v>
      </c>
      <c r="B1299" s="53">
        <v>53.928067104533909</v>
      </c>
      <c r="C1299" s="53">
        <v>52.319855103380846</v>
      </c>
      <c r="D1299" s="53">
        <v>53.928067104533909</v>
      </c>
      <c r="E1299" s="53">
        <v>925091.26839826454</v>
      </c>
      <c r="F1299" s="53" t="s">
        <v>1324</v>
      </c>
      <c r="G1299" s="25">
        <f t="shared" si="16"/>
        <v>-2.6428571428571357E-2</v>
      </c>
    </row>
    <row r="1300" spans="1:7">
      <c r="A1300" s="53">
        <v>57.808961933663767</v>
      </c>
      <c r="B1300" s="53">
        <v>58.309722556777288</v>
      </c>
      <c r="C1300" s="53">
        <v>57.077081022959376</v>
      </c>
      <c r="D1300" s="53">
        <v>57.837851969612622</v>
      </c>
      <c r="E1300" s="53">
        <v>64416.326905733695</v>
      </c>
      <c r="F1300" s="53" t="s">
        <v>1325</v>
      </c>
      <c r="G1300" s="25">
        <f t="shared" si="16"/>
        <v>-4.9950049950042708E-4</v>
      </c>
    </row>
    <row r="1301" spans="1:7">
      <c r="A1301" s="53">
        <v>58.213422436947774</v>
      </c>
      <c r="B1301" s="53">
        <v>58.309722556777288</v>
      </c>
      <c r="C1301" s="53">
        <v>57.00967093907871</v>
      </c>
      <c r="D1301" s="53">
        <v>57.577841646072905</v>
      </c>
      <c r="E1301" s="53">
        <v>70811.957576705812</v>
      </c>
      <c r="F1301" s="53" t="s">
        <v>1326</v>
      </c>
      <c r="G1301" s="25">
        <f t="shared" si="16"/>
        <v>1.1038635223281634E-2</v>
      </c>
    </row>
    <row r="1302" spans="1:7">
      <c r="A1302" s="53">
        <v>57.664511753919477</v>
      </c>
      <c r="B1302" s="53">
        <v>58.762333119976063</v>
      </c>
      <c r="C1302" s="53">
        <v>57.346721358482043</v>
      </c>
      <c r="D1302" s="53">
        <v>57.953412113408049</v>
      </c>
      <c r="E1302" s="53">
        <v>73592.847158921009</v>
      </c>
      <c r="F1302" s="53" t="s">
        <v>1327</v>
      </c>
      <c r="G1302" s="25">
        <f t="shared" si="16"/>
        <v>-4.9850448654037427E-3</v>
      </c>
    </row>
    <row r="1303" spans="1:7">
      <c r="A1303" s="53">
        <v>57.674141765902426</v>
      </c>
      <c r="B1303" s="53">
        <v>57.953412113408049</v>
      </c>
      <c r="C1303" s="53">
        <v>56.518540327948131</v>
      </c>
      <c r="D1303" s="53">
        <v>56.903740807266232</v>
      </c>
      <c r="E1303" s="53">
        <v>79017.554842823971</v>
      </c>
      <c r="F1303" s="53" t="s">
        <v>1328</v>
      </c>
      <c r="G1303" s="25">
        <f t="shared" si="16"/>
        <v>1.3538669825689631E-2</v>
      </c>
    </row>
    <row r="1304" spans="1:7">
      <c r="A1304" s="53">
        <v>57.674141765902426</v>
      </c>
      <c r="B1304" s="53">
        <v>58.33861259272615</v>
      </c>
      <c r="C1304" s="53">
        <v>55.882959537073269</v>
      </c>
      <c r="D1304" s="53">
        <v>56.66299050769242</v>
      </c>
      <c r="E1304" s="53">
        <v>136625.99821569628</v>
      </c>
      <c r="F1304" s="53" t="s">
        <v>1329</v>
      </c>
      <c r="G1304" s="25">
        <f t="shared" si="16"/>
        <v>1.7845003399048265E-2</v>
      </c>
    </row>
    <row r="1305" spans="1:7">
      <c r="A1305" s="53">
        <v>56.576320399845848</v>
      </c>
      <c r="B1305" s="53">
        <v>57.183011154771854</v>
      </c>
      <c r="C1305" s="53">
        <v>55.382198913959733</v>
      </c>
      <c r="D1305" s="53">
        <v>57.183011154771854</v>
      </c>
      <c r="E1305" s="53">
        <v>231178.32085162678</v>
      </c>
      <c r="F1305" s="53" t="s">
        <v>1330</v>
      </c>
      <c r="G1305" s="25">
        <f t="shared" si="16"/>
        <v>-1.0609632873021191E-2</v>
      </c>
    </row>
    <row r="1306" spans="1:7">
      <c r="A1306" s="53">
        <v>57.529691586158144</v>
      </c>
      <c r="B1306" s="53">
        <v>58.637142964197679</v>
      </c>
      <c r="C1306" s="53">
        <v>57.288941286584333</v>
      </c>
      <c r="D1306" s="53">
        <v>58.637142964197679</v>
      </c>
      <c r="E1306" s="53">
        <v>161047.5669963299</v>
      </c>
      <c r="F1306" s="53" t="s">
        <v>1331</v>
      </c>
      <c r="G1306" s="25">
        <f t="shared" si="16"/>
        <v>-1.8886516669403886E-2</v>
      </c>
    </row>
    <row r="1307" spans="1:7">
      <c r="A1307" s="53">
        <v>58.328982580743201</v>
      </c>
      <c r="B1307" s="53">
        <v>59.311243803004352</v>
      </c>
      <c r="C1307" s="53">
        <v>58.165272377033006</v>
      </c>
      <c r="D1307" s="53">
        <v>58.868263251788541</v>
      </c>
      <c r="E1307" s="53">
        <v>119879.39392429063</v>
      </c>
      <c r="F1307" s="53" t="s">
        <v>1332</v>
      </c>
      <c r="G1307" s="25">
        <f t="shared" si="16"/>
        <v>-9.1608048421397692E-3</v>
      </c>
    </row>
    <row r="1308" spans="1:7">
      <c r="A1308" s="53">
        <v>58.762333119976063</v>
      </c>
      <c r="B1308" s="53">
        <v>59.975714629828076</v>
      </c>
      <c r="C1308" s="53">
        <v>58.019955496210251</v>
      </c>
      <c r="D1308" s="53">
        <v>59.937194581896264</v>
      </c>
      <c r="E1308" s="53">
        <v>140263.58455120778</v>
      </c>
      <c r="F1308" s="53" t="s">
        <v>1333</v>
      </c>
      <c r="G1308" s="25">
        <f t="shared" si="16"/>
        <v>-1.96015424164524E-2</v>
      </c>
    </row>
    <row r="1309" spans="1:7">
      <c r="A1309" s="53">
        <v>59.994974653793975</v>
      </c>
      <c r="B1309" s="53">
        <v>60.197204905435981</v>
      </c>
      <c r="C1309" s="53">
        <v>58.590341105960526</v>
      </c>
      <c r="D1309" s="53">
        <v>58.926043323686251</v>
      </c>
      <c r="E1309" s="53">
        <v>82046.626878418334</v>
      </c>
      <c r="F1309" s="53" t="s">
        <v>1334</v>
      </c>
      <c r="G1309" s="25">
        <f t="shared" si="16"/>
        <v>1.8140218990031043E-2</v>
      </c>
    </row>
    <row r="1310" spans="1:7">
      <c r="A1310" s="53">
        <v>58.88752327575444</v>
      </c>
      <c r="B1310" s="53">
        <v>61.402304604982653</v>
      </c>
      <c r="C1310" s="53">
        <v>58.791223155924918</v>
      </c>
      <c r="D1310" s="53">
        <v>61.266136235543705</v>
      </c>
      <c r="E1310" s="53">
        <v>144910.51542514842</v>
      </c>
      <c r="F1310" s="53" t="s">
        <v>1335</v>
      </c>
      <c r="G1310" s="25">
        <f t="shared" si="16"/>
        <v>-3.8824269097768038E-2</v>
      </c>
    </row>
    <row r="1311" spans="1:7">
      <c r="A1311" s="53">
        <v>60.986865888038082</v>
      </c>
      <c r="B1311" s="53">
        <v>62.108762284052055</v>
      </c>
      <c r="C1311" s="53">
        <v>59.850524474049692</v>
      </c>
      <c r="D1311" s="53">
        <v>60.187574893453025</v>
      </c>
      <c r="E1311" s="53">
        <v>663639.88033591351</v>
      </c>
      <c r="F1311" s="53" t="s">
        <v>1336</v>
      </c>
      <c r="G1311" s="25">
        <f t="shared" si="16"/>
        <v>1.3279999999999959E-2</v>
      </c>
    </row>
    <row r="1312" spans="1:7">
      <c r="A1312" s="53">
        <v>60.043124713708742</v>
      </c>
      <c r="B1312" s="53">
        <v>60.488031267321141</v>
      </c>
      <c r="C1312" s="53">
        <v>59.407543922833874</v>
      </c>
      <c r="D1312" s="53">
        <v>60.35128509716322</v>
      </c>
      <c r="E1312" s="53">
        <v>167594.80703212781</v>
      </c>
      <c r="F1312" s="53" t="s">
        <v>1337</v>
      </c>
      <c r="G1312" s="25">
        <f t="shared" si="16"/>
        <v>-5.106111377054412E-3</v>
      </c>
    </row>
    <row r="1313" spans="1:7">
      <c r="A1313" s="53">
        <v>60.033494701725793</v>
      </c>
      <c r="B1313" s="53">
        <v>60.803895660361988</v>
      </c>
      <c r="C1313" s="53">
        <v>59.157163611277113</v>
      </c>
      <c r="D1313" s="53">
        <v>60.216464929401887</v>
      </c>
      <c r="E1313" s="53">
        <v>221806.57758071861</v>
      </c>
      <c r="F1313" s="53" t="s">
        <v>1338</v>
      </c>
      <c r="G1313" s="25">
        <f t="shared" si="16"/>
        <v>-3.0385415000798721E-3</v>
      </c>
    </row>
    <row r="1314" spans="1:7">
      <c r="A1314" s="53">
        <v>59.994974653793975</v>
      </c>
      <c r="B1314" s="53">
        <v>61.275766247526661</v>
      </c>
      <c r="C1314" s="53">
        <v>58.502322796436346</v>
      </c>
      <c r="D1314" s="53">
        <v>60.669075492600655</v>
      </c>
      <c r="E1314" s="53">
        <v>184594.78587844776</v>
      </c>
      <c r="F1314" s="53" t="s">
        <v>1339</v>
      </c>
      <c r="G1314" s="25">
        <f t="shared" si="16"/>
        <v>-1.1111111111111183E-2</v>
      </c>
    </row>
    <row r="1315" spans="1:7">
      <c r="A1315" s="53">
        <v>60.563145360788177</v>
      </c>
      <c r="B1315" s="53">
        <v>61.285396259509611</v>
      </c>
      <c r="C1315" s="53">
        <v>59.484584018697497</v>
      </c>
      <c r="D1315" s="53">
        <v>59.889044521981496</v>
      </c>
      <c r="E1315" s="53">
        <v>218449.36472810406</v>
      </c>
      <c r="F1315" s="53" t="s">
        <v>1340</v>
      </c>
      <c r="G1315" s="25">
        <f t="shared" si="16"/>
        <v>1.1255828911400645E-2</v>
      </c>
    </row>
    <row r="1316" spans="1:7">
      <c r="A1316" s="53">
        <v>59.330503826970258</v>
      </c>
      <c r="B1316" s="53">
        <v>59.397913910850924</v>
      </c>
      <c r="C1316" s="53">
        <v>57.356447670584828</v>
      </c>
      <c r="D1316" s="53">
        <v>58.184532400998911</v>
      </c>
      <c r="E1316" s="53">
        <v>252500.20501578826</v>
      </c>
      <c r="F1316" s="53" t="s">
        <v>1341</v>
      </c>
      <c r="G1316" s="25">
        <f t="shared" si="16"/>
        <v>1.9695465077788743E-2</v>
      </c>
    </row>
    <row r="1317" spans="1:7">
      <c r="A1317" s="53">
        <v>58.88752327575444</v>
      </c>
      <c r="B1317" s="53">
        <v>59.176327335123183</v>
      </c>
      <c r="C1317" s="53">
        <v>56.571505393854366</v>
      </c>
      <c r="D1317" s="53">
        <v>56.701510555624232</v>
      </c>
      <c r="E1317" s="53">
        <v>156593.78229949609</v>
      </c>
      <c r="F1317" s="53" t="s">
        <v>1342</v>
      </c>
      <c r="G1317" s="25">
        <f t="shared" si="16"/>
        <v>3.855298913043459E-2</v>
      </c>
    </row>
    <row r="1318" spans="1:7">
      <c r="A1318" s="53">
        <v>56.778550651487848</v>
      </c>
      <c r="B1318" s="53">
        <v>57.760811873748999</v>
      </c>
      <c r="C1318" s="53">
        <v>55.112558578437067</v>
      </c>
      <c r="D1318" s="53">
        <v>56.980780903129855</v>
      </c>
      <c r="E1318" s="53">
        <v>131198.17527087225</v>
      </c>
      <c r="F1318" s="53" t="s">
        <v>1343</v>
      </c>
      <c r="G1318" s="25">
        <f t="shared" si="16"/>
        <v>-3.5490958255873784E-3</v>
      </c>
    </row>
    <row r="1319" spans="1:7">
      <c r="A1319" s="53">
        <v>56.884480783300326</v>
      </c>
      <c r="B1319" s="53">
        <v>56.942260855198043</v>
      </c>
      <c r="C1319" s="53">
        <v>54.602167943340589</v>
      </c>
      <c r="D1319" s="53">
        <v>55.87332952509032</v>
      </c>
      <c r="E1319" s="53">
        <v>261760.83731384468</v>
      </c>
      <c r="F1319" s="53" t="s">
        <v>1344</v>
      </c>
      <c r="G1319" s="25">
        <f t="shared" si="16"/>
        <v>1.8097207859358866E-2</v>
      </c>
    </row>
    <row r="1320" spans="1:7">
      <c r="A1320" s="53">
        <v>55.825179465175552</v>
      </c>
      <c r="B1320" s="53">
        <v>55.911849573022124</v>
      </c>
      <c r="C1320" s="53">
        <v>54.380677667732677</v>
      </c>
      <c r="D1320" s="53">
        <v>54.640687991272401</v>
      </c>
      <c r="E1320" s="53">
        <v>253892.7266475099</v>
      </c>
      <c r="F1320" s="53" t="s">
        <v>1345</v>
      </c>
      <c r="G1320" s="25">
        <f t="shared" si="16"/>
        <v>2.1677828692280521E-2</v>
      </c>
    </row>
    <row r="1321" spans="1:7">
      <c r="A1321" s="53">
        <v>54.322897595834959</v>
      </c>
      <c r="B1321" s="53">
        <v>54.332527607817916</v>
      </c>
      <c r="C1321" s="53">
        <v>52.936175870289809</v>
      </c>
      <c r="D1321" s="53">
        <v>53.340636373573808</v>
      </c>
      <c r="E1321" s="53">
        <v>120432.8719479354</v>
      </c>
      <c r="F1321" s="53" t="s">
        <v>1346</v>
      </c>
      <c r="G1321" s="25">
        <f t="shared" si="16"/>
        <v>1.8414876331467767E-2</v>
      </c>
    </row>
    <row r="1322" spans="1:7">
      <c r="A1322" s="53">
        <v>52.945805882272758</v>
      </c>
      <c r="B1322" s="53">
        <v>53.003585954170475</v>
      </c>
      <c r="C1322" s="53">
        <v>51.544639138753169</v>
      </c>
      <c r="D1322" s="53">
        <v>51.973174671994556</v>
      </c>
      <c r="E1322" s="53">
        <v>116401.7243160611</v>
      </c>
      <c r="F1322" s="53" t="s">
        <v>1347</v>
      </c>
      <c r="G1322" s="25">
        <f t="shared" si="16"/>
        <v>1.8714100426162616E-2</v>
      </c>
    </row>
    <row r="1323" spans="1:7">
      <c r="A1323" s="53">
        <v>51.89613457613094</v>
      </c>
      <c r="B1323" s="53">
        <v>51.963544660011607</v>
      </c>
      <c r="C1323" s="53">
        <v>50.692383078261877</v>
      </c>
      <c r="D1323" s="53">
        <v>51.193143701375405</v>
      </c>
      <c r="E1323" s="53">
        <v>114336.30632538671</v>
      </c>
      <c r="F1323" s="53" t="s">
        <v>1348</v>
      </c>
      <c r="G1323" s="25">
        <f t="shared" si="16"/>
        <v>1.373212942061719E-2</v>
      </c>
    </row>
    <row r="1324" spans="1:7">
      <c r="A1324" s="53">
        <v>51.549454144744651</v>
      </c>
      <c r="B1324" s="53">
        <v>52.002064707943418</v>
      </c>
      <c r="C1324" s="53">
        <v>50.336072634892638</v>
      </c>
      <c r="D1324" s="53">
        <v>50.490152826619877</v>
      </c>
      <c r="E1324" s="53">
        <v>80539.879012923848</v>
      </c>
      <c r="F1324" s="53" t="s">
        <v>1349</v>
      </c>
      <c r="G1324" s="25">
        <f t="shared" si="16"/>
        <v>2.098035475872595E-2</v>
      </c>
    </row>
    <row r="1325" spans="1:7">
      <c r="A1325" s="53">
        <v>50.259032539029015</v>
      </c>
      <c r="B1325" s="53">
        <v>50.413112730756254</v>
      </c>
      <c r="C1325" s="53">
        <v>49.190101208921291</v>
      </c>
      <c r="D1325" s="53">
        <v>49.199731220904248</v>
      </c>
      <c r="E1325" s="53">
        <v>76478.617192145801</v>
      </c>
      <c r="F1325" s="53" t="s">
        <v>1350</v>
      </c>
      <c r="G1325" s="25">
        <f t="shared" si="16"/>
        <v>2.1530632217654944E-2</v>
      </c>
    </row>
    <row r="1326" spans="1:7">
      <c r="A1326" s="53">
        <v>49.421221496512153</v>
      </c>
      <c r="B1326" s="53">
        <v>49.921982119625682</v>
      </c>
      <c r="C1326" s="53">
        <v>49.296031340733762</v>
      </c>
      <c r="D1326" s="53">
        <v>49.575301688239385</v>
      </c>
      <c r="E1326" s="53">
        <v>85814.015752308071</v>
      </c>
      <c r="F1326" s="53" t="s">
        <v>1351</v>
      </c>
      <c r="G1326" s="25">
        <f t="shared" si="16"/>
        <v>-3.1080031080029658E-3</v>
      </c>
    </row>
    <row r="1327" spans="1:7">
      <c r="A1327" s="53">
        <v>49.498261592375769</v>
      </c>
      <c r="B1327" s="53">
        <v>49.902722095659776</v>
      </c>
      <c r="C1327" s="53">
        <v>48.26562005855785</v>
      </c>
      <c r="D1327" s="53">
        <v>49.209361232887197</v>
      </c>
      <c r="E1327" s="53">
        <v>87657.211797278927</v>
      </c>
      <c r="F1327" s="53" t="s">
        <v>1352</v>
      </c>
      <c r="G1327" s="25">
        <f t="shared" si="16"/>
        <v>5.8708414872798986E-3</v>
      </c>
    </row>
    <row r="1328" spans="1:7">
      <c r="A1328" s="53">
        <v>49.575301688239385</v>
      </c>
      <c r="B1328" s="53">
        <v>49.719751867983682</v>
      </c>
      <c r="C1328" s="53">
        <v>48.727860633739574</v>
      </c>
      <c r="D1328" s="53">
        <v>49.479001568409871</v>
      </c>
      <c r="E1328" s="53">
        <v>142253.19785946931</v>
      </c>
      <c r="F1328" s="53" t="s">
        <v>1353</v>
      </c>
      <c r="G1328" s="25">
        <f t="shared" si="16"/>
        <v>1.9462826002334399E-3</v>
      </c>
    </row>
    <row r="1329" spans="1:7">
      <c r="A1329" s="53">
        <v>49.594561712205298</v>
      </c>
      <c r="B1329" s="53">
        <v>49.729381879966631</v>
      </c>
      <c r="C1329" s="53">
        <v>49.074541065125864</v>
      </c>
      <c r="D1329" s="53">
        <v>49.68123182005187</v>
      </c>
      <c r="E1329" s="53">
        <v>182617.63361387057</v>
      </c>
      <c r="F1329" s="53" t="s">
        <v>1354</v>
      </c>
      <c r="G1329" s="25">
        <f t="shared" si="16"/>
        <v>-1.7445241325838579E-3</v>
      </c>
    </row>
    <row r="1330" spans="1:7">
      <c r="A1330" s="53">
        <v>49.315291364699675</v>
      </c>
      <c r="B1330" s="53">
        <v>50.162732419199493</v>
      </c>
      <c r="C1330" s="53">
        <v>49.007130981245197</v>
      </c>
      <c r="D1330" s="53">
        <v>49.546411652290537</v>
      </c>
      <c r="E1330" s="53">
        <v>76817.142212236227</v>
      </c>
      <c r="F1330" s="53" t="s">
        <v>1355</v>
      </c>
      <c r="G1330" s="25">
        <f t="shared" si="16"/>
        <v>-4.6647230320699951E-3</v>
      </c>
    </row>
    <row r="1331" spans="1:7">
      <c r="A1331" s="53">
        <v>49.35381141263148</v>
      </c>
      <c r="B1331" s="53">
        <v>49.430851508495103</v>
      </c>
      <c r="C1331" s="53">
        <v>48.660450549858908</v>
      </c>
      <c r="D1331" s="53">
        <v>48.660450549858908</v>
      </c>
      <c r="E1331" s="53">
        <v>116342.53435856063</v>
      </c>
      <c r="F1331" s="53" t="s">
        <v>1356</v>
      </c>
      <c r="G1331" s="25">
        <f t="shared" si="16"/>
        <v>1.4248961013259231E-2</v>
      </c>
    </row>
    <row r="1332" spans="1:7">
      <c r="A1332" s="53">
        <v>48.650820537875951</v>
      </c>
      <c r="B1332" s="53">
        <v>48.776010693654335</v>
      </c>
      <c r="C1332" s="53">
        <v>47.148538668535366</v>
      </c>
      <c r="D1332" s="53">
        <v>48.01523974700109</v>
      </c>
      <c r="E1332" s="53">
        <v>89812.972354664569</v>
      </c>
      <c r="F1332" s="53" t="s">
        <v>1357</v>
      </c>
      <c r="G1332" s="25">
        <f t="shared" si="16"/>
        <v>1.3237063778579916E-2</v>
      </c>
    </row>
    <row r="1333" spans="1:7">
      <c r="A1333" s="53">
        <v>48.092279842864706</v>
      </c>
      <c r="B1333" s="53">
        <v>48.968610933313386</v>
      </c>
      <c r="C1333" s="53">
        <v>47.822639507342032</v>
      </c>
      <c r="D1333" s="53">
        <v>48.140429902779474</v>
      </c>
      <c r="E1333" s="53">
        <v>102750.65095989946</v>
      </c>
      <c r="F1333" s="53" t="s">
        <v>1358</v>
      </c>
      <c r="G1333" s="25">
        <f t="shared" si="16"/>
        <v>-1.0002000400081146E-3</v>
      </c>
    </row>
    <row r="1334" spans="1:7">
      <c r="A1334" s="53">
        <v>48.130799890796517</v>
      </c>
      <c r="B1334" s="53">
        <v>49.262326298793432</v>
      </c>
      <c r="C1334" s="53">
        <v>47.995979723035184</v>
      </c>
      <c r="D1334" s="53">
        <v>48.313770118472618</v>
      </c>
      <c r="E1334" s="53">
        <v>75089.210821345245</v>
      </c>
      <c r="F1334" s="53" t="s">
        <v>1359</v>
      </c>
      <c r="G1334" s="25">
        <f t="shared" si="16"/>
        <v>-3.7871237791509138E-3</v>
      </c>
    </row>
    <row r="1335" spans="1:7">
      <c r="A1335" s="53">
        <v>48.26562005855785</v>
      </c>
      <c r="B1335" s="53">
        <v>48.737490645722524</v>
      </c>
      <c r="C1335" s="53">
        <v>47.774489447427271</v>
      </c>
      <c r="D1335" s="53">
        <v>47.774489447427271</v>
      </c>
      <c r="E1335" s="53">
        <v>70185.790131569243</v>
      </c>
      <c r="F1335" s="53" t="s">
        <v>1360</v>
      </c>
      <c r="G1335" s="25">
        <f t="shared" si="16"/>
        <v>1.0280185446482681E-2</v>
      </c>
    </row>
    <row r="1336" spans="1:7">
      <c r="A1336" s="53">
        <v>47.292988848279649</v>
      </c>
      <c r="B1336" s="53">
        <v>47.774489447427271</v>
      </c>
      <c r="C1336" s="53">
        <v>46.079607338427643</v>
      </c>
      <c r="D1336" s="53">
        <v>46.811488249132026</v>
      </c>
      <c r="E1336" s="53">
        <v>107842.02572524713</v>
      </c>
      <c r="F1336" s="53" t="s">
        <v>1361</v>
      </c>
      <c r="G1336" s="25">
        <f t="shared" si="16"/>
        <v>1.0285949393128879E-2</v>
      </c>
    </row>
    <row r="1337" spans="1:7">
      <c r="A1337" s="53">
        <v>46.946308416893359</v>
      </c>
      <c r="B1337" s="53">
        <v>47.110018620603554</v>
      </c>
      <c r="C1337" s="53">
        <v>45.395876487638013</v>
      </c>
      <c r="D1337" s="53">
        <v>46.089237350410592</v>
      </c>
      <c r="E1337" s="53">
        <v>96441.209174410484</v>
      </c>
      <c r="F1337" s="53" t="s">
        <v>1362</v>
      </c>
      <c r="G1337" s="25">
        <f t="shared" ref="G1337:G1400" si="17">A1337/D1337-1</f>
        <v>1.8595904722106038E-2</v>
      </c>
    </row>
    <row r="1338" spans="1:7">
      <c r="A1338" s="53">
        <v>46.503327865677548</v>
      </c>
      <c r="B1338" s="53">
        <v>48.371550190370328</v>
      </c>
      <c r="C1338" s="53">
        <v>46.243317542137831</v>
      </c>
      <c r="D1338" s="53">
        <v>47.052238548705837</v>
      </c>
      <c r="E1338" s="53">
        <v>109908.48213622854</v>
      </c>
      <c r="F1338" s="53" t="s">
        <v>1363</v>
      </c>
      <c r="G1338" s="25">
        <f t="shared" si="17"/>
        <v>-1.166598444535405E-2</v>
      </c>
    </row>
    <row r="1339" spans="1:7">
      <c r="A1339" s="53">
        <v>47.042608536722874</v>
      </c>
      <c r="B1339" s="53">
        <v>47.753628355292626</v>
      </c>
      <c r="C1339" s="53">
        <v>46.917699649676834</v>
      </c>
      <c r="D1339" s="53">
        <v>47.157909047842296</v>
      </c>
      <c r="E1339" s="53">
        <v>73819.967642506861</v>
      </c>
      <c r="F1339" s="53" t="s">
        <v>1364</v>
      </c>
      <c r="G1339" s="25">
        <f t="shared" si="17"/>
        <v>-2.4449877750611915E-3</v>
      </c>
    </row>
    <row r="1340" spans="1:7">
      <c r="A1340" s="53">
        <v>47.263601183035092</v>
      </c>
      <c r="B1340" s="53">
        <v>47.801670234925716</v>
      </c>
      <c r="C1340" s="53">
        <v>46.542972988538729</v>
      </c>
      <c r="D1340" s="53">
        <v>46.88887452189698</v>
      </c>
      <c r="E1340" s="53">
        <v>105921.12629362957</v>
      </c>
      <c r="F1340" s="53" t="s">
        <v>1365</v>
      </c>
      <c r="G1340" s="25">
        <f t="shared" si="17"/>
        <v>7.9918032786885362E-3</v>
      </c>
    </row>
    <row r="1341" spans="1:7">
      <c r="A1341" s="53">
        <v>46.735140507071094</v>
      </c>
      <c r="B1341" s="53">
        <v>46.879266145970362</v>
      </c>
      <c r="C1341" s="53">
        <v>45.63017727551</v>
      </c>
      <c r="D1341" s="53">
        <v>45.995295560721488</v>
      </c>
      <c r="E1341" s="53">
        <v>107645.6633149274</v>
      </c>
      <c r="F1341" s="53" t="s">
        <v>1366</v>
      </c>
      <c r="G1341" s="25">
        <f t="shared" si="17"/>
        <v>1.6085230833507547E-2</v>
      </c>
    </row>
    <row r="1342" spans="1:7">
      <c r="A1342" s="53">
        <v>46.072162568134438</v>
      </c>
      <c r="B1342" s="53">
        <v>46.956133153383313</v>
      </c>
      <c r="C1342" s="53">
        <v>45.514876764390571</v>
      </c>
      <c r="D1342" s="53">
        <v>45.841561545895594</v>
      </c>
      <c r="E1342" s="53">
        <v>150137.75595557186</v>
      </c>
      <c r="F1342" s="53" t="s">
        <v>1367</v>
      </c>
      <c r="G1342" s="25">
        <f t="shared" si="17"/>
        <v>5.0303919513730033E-3</v>
      </c>
    </row>
    <row r="1343" spans="1:7">
      <c r="A1343" s="53">
        <v>45.870386673675455</v>
      </c>
      <c r="B1343" s="53">
        <v>47.109867168209206</v>
      </c>
      <c r="C1343" s="53">
        <v>45.361142749564685</v>
      </c>
      <c r="D1343" s="53">
        <v>46.120204447767527</v>
      </c>
      <c r="E1343" s="53">
        <v>146650.17384430507</v>
      </c>
      <c r="F1343" s="53" t="s">
        <v>1368</v>
      </c>
      <c r="G1343" s="25">
        <f t="shared" si="17"/>
        <v>-5.4166666666666252E-3</v>
      </c>
    </row>
    <row r="1344" spans="1:7">
      <c r="A1344" s="53">
        <v>46.715923755217851</v>
      </c>
      <c r="B1344" s="53">
        <v>48.59916543683503</v>
      </c>
      <c r="C1344" s="53">
        <v>46.667881875584769</v>
      </c>
      <c r="D1344" s="53">
        <v>48.59916543683503</v>
      </c>
      <c r="E1344" s="53">
        <v>103118.36334954081</v>
      </c>
      <c r="F1344" s="53" t="s">
        <v>1369</v>
      </c>
      <c r="G1344" s="25">
        <f t="shared" si="17"/>
        <v>-3.8750494266508562E-2</v>
      </c>
    </row>
    <row r="1345" spans="1:7">
      <c r="A1345" s="53">
        <v>48.877808338706956</v>
      </c>
      <c r="B1345" s="53">
        <v>49.560003029496855</v>
      </c>
      <c r="C1345" s="53">
        <v>48.676032444247973</v>
      </c>
      <c r="D1345" s="53">
        <v>49.06036748131271</v>
      </c>
      <c r="E1345" s="53">
        <v>151683.28249547968</v>
      </c>
      <c r="F1345" s="53" t="s">
        <v>1370</v>
      </c>
      <c r="G1345" s="25">
        <f t="shared" si="17"/>
        <v>-3.7211124167647602E-3</v>
      </c>
    </row>
    <row r="1346" spans="1:7">
      <c r="A1346" s="53">
        <v>49.069975857239321</v>
      </c>
      <c r="B1346" s="53">
        <v>50.424756862892494</v>
      </c>
      <c r="C1346" s="53">
        <v>48.738486887770996</v>
      </c>
      <c r="D1346" s="53">
        <v>49.704128668396123</v>
      </c>
      <c r="E1346" s="53">
        <v>164623.03432758345</v>
      </c>
      <c r="F1346" s="53" t="s">
        <v>1371</v>
      </c>
      <c r="G1346" s="25">
        <f t="shared" si="17"/>
        <v>-1.2758554030543157E-2</v>
      </c>
    </row>
    <row r="1347" spans="1:7">
      <c r="A1347" s="53">
        <v>49.829037555442163</v>
      </c>
      <c r="B1347" s="53">
        <v>50.309456351773072</v>
      </c>
      <c r="C1347" s="53">
        <v>48.455039797935754</v>
      </c>
      <c r="D1347" s="53">
        <v>49.780995675809073</v>
      </c>
      <c r="E1347" s="53">
        <v>151839.39628738957</v>
      </c>
      <c r="F1347" s="53" t="s">
        <v>1372</v>
      </c>
      <c r="G1347" s="25">
        <f t="shared" si="17"/>
        <v>9.6506465933221541E-4</v>
      </c>
    </row>
    <row r="1348" spans="1:7">
      <c r="A1348" s="53">
        <v>49.310185255404782</v>
      </c>
      <c r="B1348" s="53">
        <v>49.905904562855106</v>
      </c>
      <c r="C1348" s="53">
        <v>48.676032444247973</v>
      </c>
      <c r="D1348" s="53">
        <v>49.012325601679613</v>
      </c>
      <c r="E1348" s="53">
        <v>101293.91350142065</v>
      </c>
      <c r="F1348" s="53" t="s">
        <v>1373</v>
      </c>
      <c r="G1348" s="25">
        <f t="shared" si="17"/>
        <v>6.0772397569104353E-3</v>
      </c>
    </row>
    <row r="1349" spans="1:7">
      <c r="A1349" s="53">
        <v>49.444702518377433</v>
      </c>
      <c r="B1349" s="53">
        <v>50.986846854599662</v>
      </c>
      <c r="C1349" s="53">
        <v>48.522298429422086</v>
      </c>
      <c r="D1349" s="53">
        <v>50.463190366598973</v>
      </c>
      <c r="E1349" s="53">
        <v>264768.99107916013</v>
      </c>
      <c r="F1349" s="53" t="s">
        <v>1374</v>
      </c>
      <c r="G1349" s="25">
        <f t="shared" si="17"/>
        <v>-2.0182787509520295E-2</v>
      </c>
    </row>
    <row r="1350" spans="1:7">
      <c r="A1350" s="53">
        <v>50.415148486965876</v>
      </c>
      <c r="B1350" s="53">
        <v>51.260685568508279</v>
      </c>
      <c r="C1350" s="53">
        <v>46.494931108905639</v>
      </c>
      <c r="D1350" s="53">
        <v>51.260685568508279</v>
      </c>
      <c r="E1350" s="53">
        <v>439352.08533059404</v>
      </c>
      <c r="F1350" s="53" t="s">
        <v>1375</v>
      </c>
      <c r="G1350" s="25">
        <f t="shared" si="17"/>
        <v>-1.6494845360824684E-2</v>
      </c>
    </row>
    <row r="1351" spans="1:7">
      <c r="A1351" s="53">
        <v>51.750712740765813</v>
      </c>
      <c r="B1351" s="53">
        <v>52.782652315284608</v>
      </c>
      <c r="C1351" s="53">
        <v>51.395202831480937</v>
      </c>
      <c r="D1351" s="53">
        <v>52.077397522270836</v>
      </c>
      <c r="E1351" s="53">
        <v>125904.73241670721</v>
      </c>
      <c r="F1351" s="53" t="s">
        <v>1376</v>
      </c>
      <c r="G1351" s="25">
        <f t="shared" si="17"/>
        <v>-6.2730627306273323E-3</v>
      </c>
    </row>
    <row r="1352" spans="1:7">
      <c r="A1352" s="53">
        <v>51.85640487595861</v>
      </c>
      <c r="B1352" s="53">
        <v>52.077397522270836</v>
      </c>
      <c r="C1352" s="53">
        <v>50.31906472769969</v>
      </c>
      <c r="D1352" s="53">
        <v>50.972434290709728</v>
      </c>
      <c r="E1352" s="53">
        <v>76358.377898961553</v>
      </c>
      <c r="F1352" s="53" t="s">
        <v>1377</v>
      </c>
      <c r="G1352" s="25">
        <f t="shared" si="17"/>
        <v>1.7342130065975514E-2</v>
      </c>
    </row>
    <row r="1353" spans="1:7">
      <c r="A1353" s="53">
        <v>50.934000787003257</v>
      </c>
      <c r="B1353" s="53">
        <v>51.577761974086684</v>
      </c>
      <c r="C1353" s="53">
        <v>50.5352531860486</v>
      </c>
      <c r="D1353" s="53">
        <v>51.251077192581668</v>
      </c>
      <c r="E1353" s="53">
        <v>81420.62779129266</v>
      </c>
      <c r="F1353" s="53" t="s">
        <v>1378</v>
      </c>
      <c r="G1353" s="25">
        <f t="shared" si="17"/>
        <v>-6.1867266591677517E-3</v>
      </c>
    </row>
    <row r="1354" spans="1:7">
      <c r="A1354" s="53">
        <v>50.501623870305444</v>
      </c>
      <c r="B1354" s="53">
        <v>52.067693062584951</v>
      </c>
      <c r="C1354" s="53">
        <v>50.434365238819112</v>
      </c>
      <c r="D1354" s="53">
        <v>51.914055131518325</v>
      </c>
      <c r="E1354" s="53">
        <v>49426.66727728142</v>
      </c>
      <c r="F1354" s="53" t="s">
        <v>1379</v>
      </c>
      <c r="G1354" s="25">
        <f t="shared" si="17"/>
        <v>-2.7207107162687372E-2</v>
      </c>
    </row>
    <row r="1355" spans="1:7">
      <c r="A1355" s="53">
        <v>51.452853087040644</v>
      </c>
      <c r="B1355" s="53">
        <v>52.058180770417593</v>
      </c>
      <c r="C1355" s="53">
        <v>51.375986079627701</v>
      </c>
      <c r="D1355" s="53">
        <v>51.741104364839195</v>
      </c>
      <c r="E1355" s="53">
        <v>81665.206065284816</v>
      </c>
      <c r="F1355" s="53" t="s">
        <v>1380</v>
      </c>
      <c r="G1355" s="25">
        <f t="shared" si="17"/>
        <v>-5.5710306406685506E-3</v>
      </c>
    </row>
    <row r="1356" spans="1:7">
      <c r="A1356" s="53">
        <v>51.452853087040644</v>
      </c>
      <c r="B1356" s="53">
        <v>52.327215296362908</v>
      </c>
      <c r="C1356" s="53">
        <v>50.770658396250752</v>
      </c>
      <c r="D1356" s="53">
        <v>50.982042666636353</v>
      </c>
      <c r="E1356" s="53">
        <v>108399.17255054576</v>
      </c>
      <c r="F1356" s="53" t="s">
        <v>1381</v>
      </c>
      <c r="G1356" s="25">
        <f t="shared" si="17"/>
        <v>9.23482849604218E-3</v>
      </c>
    </row>
    <row r="1357" spans="1:7">
      <c r="A1357" s="53">
        <v>51.03969292219606</v>
      </c>
      <c r="B1357" s="53">
        <v>51.174210185168718</v>
      </c>
      <c r="C1357" s="53">
        <v>48.320522534963104</v>
      </c>
      <c r="D1357" s="53">
        <v>48.397389542376047</v>
      </c>
      <c r="E1357" s="53">
        <v>114719.69960567052</v>
      </c>
      <c r="F1357" s="53" t="s">
        <v>1382</v>
      </c>
      <c r="G1357" s="25">
        <f t="shared" si="17"/>
        <v>5.4595989676394563E-2</v>
      </c>
    </row>
    <row r="1358" spans="1:7">
      <c r="A1358" s="53">
        <v>48.070704760871031</v>
      </c>
      <c r="B1358" s="53">
        <v>48.671228256284671</v>
      </c>
      <c r="C1358" s="53">
        <v>47.388510070081132</v>
      </c>
      <c r="D1358" s="53">
        <v>48.282089031256625</v>
      </c>
      <c r="E1358" s="53">
        <v>85039.345487763727</v>
      </c>
      <c r="F1358" s="53" t="s">
        <v>1383</v>
      </c>
      <c r="G1358" s="25">
        <f t="shared" si="17"/>
        <v>-4.3781094527362008E-3</v>
      </c>
    </row>
    <row r="1359" spans="1:7">
      <c r="A1359" s="53">
        <v>48.493473301642226</v>
      </c>
      <c r="B1359" s="53">
        <v>48.531906805348697</v>
      </c>
      <c r="C1359" s="53">
        <v>47.518607480127542</v>
      </c>
      <c r="D1359" s="53">
        <v>48.503081677568844</v>
      </c>
      <c r="E1359" s="53">
        <v>81163.560413947722</v>
      </c>
      <c r="F1359" s="53" t="s">
        <v>1384</v>
      </c>
      <c r="G1359" s="25">
        <f t="shared" si="17"/>
        <v>-1.980982567353351E-4</v>
      </c>
    </row>
    <row r="1360" spans="1:7">
      <c r="A1360" s="53">
        <v>48.512690053495469</v>
      </c>
      <c r="B1360" s="53">
        <v>48.868199962780338</v>
      </c>
      <c r="C1360" s="53">
        <v>48.16678852013721</v>
      </c>
      <c r="D1360" s="53">
        <v>48.464648173862372</v>
      </c>
      <c r="E1360" s="53">
        <v>79950.035871501575</v>
      </c>
      <c r="F1360" s="53" t="s">
        <v>1385</v>
      </c>
      <c r="G1360" s="25">
        <f t="shared" si="17"/>
        <v>9.9127676447285928E-4</v>
      </c>
    </row>
    <row r="1361" spans="1:7">
      <c r="A1361" s="53">
        <v>48.109138264577503</v>
      </c>
      <c r="B1361" s="53">
        <v>48.752899451660923</v>
      </c>
      <c r="C1361" s="53">
        <v>47.744019979366001</v>
      </c>
      <c r="D1361" s="53">
        <v>48.051488009017788</v>
      </c>
      <c r="E1361" s="53">
        <v>115562.71408198388</v>
      </c>
      <c r="F1361" s="53" t="s">
        <v>1386</v>
      </c>
      <c r="G1361" s="25">
        <f t="shared" si="17"/>
        <v>1.1997600479904946E-3</v>
      </c>
    </row>
    <row r="1362" spans="1:7">
      <c r="A1362" s="53">
        <v>47.955404249751602</v>
      </c>
      <c r="B1362" s="53">
        <v>48.397389542376047</v>
      </c>
      <c r="C1362" s="53">
        <v>47.313660821612778</v>
      </c>
      <c r="D1362" s="53">
        <v>48.03227125716456</v>
      </c>
      <c r="E1362" s="53">
        <v>107748.69841758792</v>
      </c>
      <c r="F1362" s="53" t="s">
        <v>1387</v>
      </c>
      <c r="G1362" s="25">
        <f t="shared" si="17"/>
        <v>-1.6003200640130055E-3</v>
      </c>
    </row>
    <row r="1363" spans="1:7">
      <c r="A1363" s="53">
        <v>48.03227125716456</v>
      </c>
      <c r="B1363" s="53">
        <v>48.791332955367395</v>
      </c>
      <c r="C1363" s="53">
        <v>47.273209558961717</v>
      </c>
      <c r="D1363" s="53">
        <v>47.945795873824991</v>
      </c>
      <c r="E1363" s="53">
        <v>166802.38286264541</v>
      </c>
      <c r="F1363" s="53" t="s">
        <v>1388</v>
      </c>
      <c r="G1363" s="25">
        <f t="shared" si="17"/>
        <v>1.8036072144289594E-3</v>
      </c>
    </row>
    <row r="1364" spans="1:7">
      <c r="A1364" s="53">
        <v>47.945795873824991</v>
      </c>
      <c r="B1364" s="53">
        <v>49.819429179515545</v>
      </c>
      <c r="C1364" s="53">
        <v>47.033000160796263</v>
      </c>
      <c r="D1364" s="53">
        <v>49.425485766524197</v>
      </c>
      <c r="E1364" s="53">
        <v>103103.79272896255</v>
      </c>
      <c r="F1364" s="53" t="s">
        <v>1389</v>
      </c>
      <c r="G1364" s="25">
        <f t="shared" si="17"/>
        <v>-2.9937791601866159E-2</v>
      </c>
    </row>
    <row r="1365" spans="1:7">
      <c r="A1365" s="53">
        <v>49.425485766524197</v>
      </c>
      <c r="B1365" s="53">
        <v>49.62726166098318</v>
      </c>
      <c r="C1365" s="53">
        <v>48.051488009017788</v>
      </c>
      <c r="D1365" s="53">
        <v>48.137963392357356</v>
      </c>
      <c r="E1365" s="53">
        <v>75830.713282306155</v>
      </c>
      <c r="F1365" s="53" t="s">
        <v>1390</v>
      </c>
      <c r="G1365" s="25">
        <f t="shared" si="17"/>
        <v>2.6746506986027985E-2</v>
      </c>
    </row>
    <row r="1366" spans="1:7">
      <c r="A1366" s="53">
        <v>48.416606294229283</v>
      </c>
      <c r="B1366" s="53">
        <v>48.59916543683503</v>
      </c>
      <c r="C1366" s="53">
        <v>47.263601183035092</v>
      </c>
      <c r="D1366" s="53">
        <v>47.436551949714222</v>
      </c>
      <c r="E1366" s="53">
        <v>77209.718444176775</v>
      </c>
      <c r="F1366" s="53" t="s">
        <v>1391</v>
      </c>
      <c r="G1366" s="25">
        <f t="shared" si="17"/>
        <v>2.0660320032408475E-2</v>
      </c>
    </row>
    <row r="1367" spans="1:7">
      <c r="A1367" s="53">
        <v>46.994566657089784</v>
      </c>
      <c r="B1367" s="53">
        <v>48.608773812761655</v>
      </c>
      <c r="C1367" s="53">
        <v>46.869657770043752</v>
      </c>
      <c r="D1367" s="53">
        <v>48.474256549788997</v>
      </c>
      <c r="E1367" s="53">
        <v>83034.844399640846</v>
      </c>
      <c r="F1367" s="53" t="s">
        <v>1392</v>
      </c>
      <c r="G1367" s="25">
        <f t="shared" si="17"/>
        <v>-3.0525272547076376E-2</v>
      </c>
    </row>
    <row r="1368" spans="1:7">
      <c r="A1368" s="53">
        <v>48.637598940541501</v>
      </c>
      <c r="B1368" s="53">
        <v>49.002717225752995</v>
      </c>
      <c r="C1368" s="53">
        <v>47.715194851586148</v>
      </c>
      <c r="D1368" s="53">
        <v>47.715194851586148</v>
      </c>
      <c r="E1368" s="53">
        <v>75943.115212481265</v>
      </c>
      <c r="F1368" s="53" t="s">
        <v>1393</v>
      </c>
      <c r="G1368" s="25">
        <f t="shared" si="17"/>
        <v>1.9331453886427763E-2</v>
      </c>
    </row>
    <row r="1369" spans="1:7">
      <c r="A1369" s="53">
        <v>47.811278610852334</v>
      </c>
      <c r="B1369" s="53">
        <v>47.85932049048543</v>
      </c>
      <c r="C1369" s="53">
        <v>46.600623244098436</v>
      </c>
      <c r="D1369" s="53">
        <v>46.840832642263891</v>
      </c>
      <c r="E1369" s="53">
        <v>82452.019576510618</v>
      </c>
      <c r="F1369" s="53" t="s">
        <v>1394</v>
      </c>
      <c r="G1369" s="25">
        <f t="shared" si="17"/>
        <v>2.0717948717948742E-2</v>
      </c>
    </row>
    <row r="1370" spans="1:7">
      <c r="A1370" s="53">
        <v>46.677490251511379</v>
      </c>
      <c r="B1370" s="53">
        <v>47.273209558961717</v>
      </c>
      <c r="C1370" s="53">
        <v>45.745477786629415</v>
      </c>
      <c r="D1370" s="53">
        <v>47.081042040429352</v>
      </c>
      <c r="E1370" s="53">
        <v>87387.296918088352</v>
      </c>
      <c r="F1370" s="53" t="s">
        <v>1395</v>
      </c>
      <c r="G1370" s="25">
        <f t="shared" si="17"/>
        <v>-8.5714285714286742E-3</v>
      </c>
    </row>
    <row r="1371" spans="1:7">
      <c r="A1371" s="53">
        <v>46.869657770043752</v>
      </c>
      <c r="B1371" s="53">
        <v>47.724803227512773</v>
      </c>
      <c r="C1371" s="53">
        <v>46.331588718153128</v>
      </c>
      <c r="D1371" s="53">
        <v>46.331588718153128</v>
      </c>
      <c r="E1371" s="53">
        <v>142540.21808262425</v>
      </c>
      <c r="F1371" s="53" t="s">
        <v>1396</v>
      </c>
      <c r="G1371" s="25">
        <f t="shared" si="17"/>
        <v>1.1613438407299892E-2</v>
      </c>
    </row>
    <row r="1372" spans="1:7">
      <c r="A1372" s="53">
        <v>45.774302914409269</v>
      </c>
      <c r="B1372" s="53">
        <v>46.264330086666796</v>
      </c>
      <c r="C1372" s="53">
        <v>43.823802601305765</v>
      </c>
      <c r="D1372" s="53">
        <v>44.208137638370495</v>
      </c>
      <c r="E1372" s="53">
        <v>121362.86183074237</v>
      </c>
      <c r="F1372" s="53" t="s">
        <v>1397</v>
      </c>
      <c r="G1372" s="25">
        <f t="shared" si="17"/>
        <v>3.54270810693329E-2</v>
      </c>
    </row>
    <row r="1373" spans="1:7">
      <c r="A1373" s="53">
        <v>44.102445503177698</v>
      </c>
      <c r="B1373" s="53">
        <v>45.851169921822212</v>
      </c>
      <c r="C1373" s="53">
        <v>43.996753367984894</v>
      </c>
      <c r="D1373" s="53">
        <v>44.563647547655371</v>
      </c>
      <c r="E1373" s="53">
        <v>85853.218722920588</v>
      </c>
      <c r="F1373" s="53" t="s">
        <v>1398</v>
      </c>
      <c r="G1373" s="25">
        <f t="shared" si="17"/>
        <v>-1.0349288486416475E-2</v>
      </c>
    </row>
    <row r="1374" spans="1:7">
      <c r="A1374" s="53">
        <v>44.890332329160387</v>
      </c>
      <c r="B1374" s="53">
        <v>46.129812823694145</v>
      </c>
      <c r="C1374" s="53">
        <v>44.381088405049624</v>
      </c>
      <c r="D1374" s="53">
        <v>45.274667366225117</v>
      </c>
      <c r="E1374" s="53">
        <v>76250.13900323736</v>
      </c>
      <c r="F1374" s="53" t="s">
        <v>1399</v>
      </c>
      <c r="G1374" s="25">
        <f t="shared" si="17"/>
        <v>-8.4889643463497144E-3</v>
      </c>
    </row>
    <row r="1375" spans="1:7">
      <c r="A1375" s="53">
        <v>44.957590960646719</v>
      </c>
      <c r="B1375" s="53">
        <v>45.101716599545988</v>
      </c>
      <c r="C1375" s="53">
        <v>43.410642436461181</v>
      </c>
      <c r="D1375" s="53">
        <v>43.775760721672675</v>
      </c>
      <c r="E1375" s="53">
        <v>78954.029879116526</v>
      </c>
      <c r="F1375" s="53" t="s">
        <v>1400</v>
      </c>
      <c r="G1375" s="25">
        <f t="shared" si="17"/>
        <v>2.6997366110623311E-2</v>
      </c>
    </row>
    <row r="1376" spans="1:7">
      <c r="A1376" s="53">
        <v>43.958319864278423</v>
      </c>
      <c r="B1376" s="53">
        <v>46.38155227297154</v>
      </c>
      <c r="C1376" s="53">
        <v>43.958319864278423</v>
      </c>
      <c r="D1376" s="53">
        <v>45.226625486592027</v>
      </c>
      <c r="E1376" s="53">
        <v>82938.053848656709</v>
      </c>
      <c r="F1376" s="53" t="s">
        <v>1401</v>
      </c>
      <c r="G1376" s="25">
        <f t="shared" si="17"/>
        <v>-2.8043339706819603E-2</v>
      </c>
    </row>
    <row r="1377" spans="1:7">
      <c r="A1377" s="53">
        <v>45.24584223844527</v>
      </c>
      <c r="B1377" s="53">
        <v>46.960937341346622</v>
      </c>
      <c r="C1377" s="53">
        <v>44.688556434701404</v>
      </c>
      <c r="D1377" s="53">
        <v>46.639056747804908</v>
      </c>
      <c r="E1377" s="53">
        <v>125498.83655774151</v>
      </c>
      <c r="F1377" s="53" t="s">
        <v>1402</v>
      </c>
      <c r="G1377" s="25">
        <f t="shared" si="17"/>
        <v>-2.9872270292542136E-2</v>
      </c>
    </row>
    <row r="1378" spans="1:7">
      <c r="A1378" s="53">
        <v>46.965741529309931</v>
      </c>
      <c r="B1378" s="53">
        <v>47.984229377531463</v>
      </c>
      <c r="C1378" s="53">
        <v>45.668610779216472</v>
      </c>
      <c r="D1378" s="53">
        <v>46.562189740391965</v>
      </c>
      <c r="E1378" s="53">
        <v>121357.6580376787</v>
      </c>
      <c r="F1378" s="53" t="s">
        <v>1403</v>
      </c>
      <c r="G1378" s="25">
        <f t="shared" si="17"/>
        <v>8.6669418076763538E-3</v>
      </c>
    </row>
    <row r="1379" spans="1:7">
      <c r="A1379" s="53">
        <v>45.976078808868252</v>
      </c>
      <c r="B1379" s="53">
        <v>47.085846228392661</v>
      </c>
      <c r="C1379" s="53">
        <v>45.207408734738792</v>
      </c>
      <c r="D1379" s="53">
        <v>46.658273499658151</v>
      </c>
      <c r="E1379" s="53">
        <v>277691.05001484742</v>
      </c>
      <c r="F1379" s="53" t="s">
        <v>1404</v>
      </c>
      <c r="G1379" s="25">
        <f t="shared" si="17"/>
        <v>-1.4621087314662384E-2</v>
      </c>
    </row>
    <row r="1380" spans="1:7">
      <c r="A1380" s="53">
        <v>46.225896582960324</v>
      </c>
      <c r="B1380" s="53">
        <v>48.877808338706956</v>
      </c>
      <c r="C1380" s="53">
        <v>46.072162568134438</v>
      </c>
      <c r="D1380" s="53">
        <v>46.879266145970362</v>
      </c>
      <c r="E1380" s="53">
        <v>158662.60975246414</v>
      </c>
      <c r="F1380" s="53" t="s">
        <v>1405</v>
      </c>
      <c r="G1380" s="25">
        <f t="shared" si="17"/>
        <v>-1.3937282229965153E-2</v>
      </c>
    </row>
    <row r="1381" spans="1:7">
      <c r="A1381" s="53">
        <v>46.168246327400617</v>
      </c>
      <c r="B1381" s="53">
        <v>48.387781166449429</v>
      </c>
      <c r="C1381" s="53">
        <v>43.958319864278423</v>
      </c>
      <c r="D1381" s="53">
        <v>44.390696780976249</v>
      </c>
      <c r="E1381" s="53">
        <v>491474.31741485273</v>
      </c>
      <c r="F1381" s="53" t="s">
        <v>1406</v>
      </c>
      <c r="G1381" s="25">
        <f t="shared" si="17"/>
        <v>4.0043290043289881E-2</v>
      </c>
    </row>
    <row r="1382" spans="1:7">
      <c r="A1382" s="53">
        <v>43.900669608718708</v>
      </c>
      <c r="B1382" s="53">
        <v>45.207408734738792</v>
      </c>
      <c r="C1382" s="53">
        <v>42.944636204020199</v>
      </c>
      <c r="D1382" s="53">
        <v>44.630906179141704</v>
      </c>
      <c r="E1382" s="53">
        <v>190295.42702785719</v>
      </c>
      <c r="F1382" s="53" t="s">
        <v>1407</v>
      </c>
      <c r="G1382" s="25">
        <f t="shared" si="17"/>
        <v>-1.6361679224973336E-2</v>
      </c>
    </row>
    <row r="1383" spans="1:7">
      <c r="A1383" s="53">
        <v>44.967199336573337</v>
      </c>
      <c r="B1383" s="53">
        <v>47.042608536722874</v>
      </c>
      <c r="C1383" s="53">
        <v>44.674143870811477</v>
      </c>
      <c r="D1383" s="53">
        <v>46.120204447767527</v>
      </c>
      <c r="E1383" s="53">
        <v>104920.95726679359</v>
      </c>
      <c r="F1383" s="53" t="s">
        <v>1408</v>
      </c>
      <c r="G1383" s="25">
        <f t="shared" si="17"/>
        <v>-2.5000000000000022E-2</v>
      </c>
    </row>
    <row r="1384" spans="1:7">
      <c r="A1384" s="53">
        <v>46.216288207033706</v>
      </c>
      <c r="B1384" s="53">
        <v>46.542972988538729</v>
      </c>
      <c r="C1384" s="53">
        <v>45.149758479179084</v>
      </c>
      <c r="D1384" s="53">
        <v>45.380359501417921</v>
      </c>
      <c r="E1384" s="53">
        <v>112788.05162043891</v>
      </c>
      <c r="F1384" s="53" t="s">
        <v>1409</v>
      </c>
      <c r="G1384" s="25">
        <f t="shared" si="17"/>
        <v>1.842049544780866E-2</v>
      </c>
    </row>
    <row r="1385" spans="1:7">
      <c r="A1385" s="53">
        <v>45.582135395876904</v>
      </c>
      <c r="B1385" s="53">
        <v>47.748824167329317</v>
      </c>
      <c r="C1385" s="53">
        <v>45.543701892170432</v>
      </c>
      <c r="D1385" s="53">
        <v>47.484593829347318</v>
      </c>
      <c r="E1385" s="53">
        <v>166109.23762656553</v>
      </c>
      <c r="F1385" s="53" t="s">
        <v>1410</v>
      </c>
      <c r="G1385" s="25">
        <f t="shared" si="17"/>
        <v>-4.0064751112909858E-2</v>
      </c>
    </row>
    <row r="1386" spans="1:7">
      <c r="A1386" s="53">
        <v>46.783182386704183</v>
      </c>
      <c r="B1386" s="53">
        <v>48.258068091440087</v>
      </c>
      <c r="C1386" s="53">
        <v>46.341197094079739</v>
      </c>
      <c r="D1386" s="53">
        <v>46.821615890410655</v>
      </c>
      <c r="E1386" s="53">
        <v>82060.694338123183</v>
      </c>
      <c r="F1386" s="53" t="s">
        <v>1411</v>
      </c>
      <c r="G1386" s="25">
        <f t="shared" si="17"/>
        <v>-8.2084957931460867E-4</v>
      </c>
    </row>
    <row r="1387" spans="1:7">
      <c r="A1387" s="53">
        <v>46.398847349639453</v>
      </c>
      <c r="B1387" s="53">
        <v>47.571069212686879</v>
      </c>
      <c r="C1387" s="53">
        <v>44.678948058774793</v>
      </c>
      <c r="D1387" s="53">
        <v>45.274667366225117</v>
      </c>
      <c r="E1387" s="53">
        <v>135081.10110517009</v>
      </c>
      <c r="F1387" s="53" t="s">
        <v>1412</v>
      </c>
      <c r="G1387" s="25">
        <f t="shared" si="17"/>
        <v>2.4830220713073059E-2</v>
      </c>
    </row>
    <row r="1388" spans="1:7">
      <c r="A1388" s="53">
        <v>44.957590960646719</v>
      </c>
      <c r="B1388" s="53">
        <v>46.062554192207813</v>
      </c>
      <c r="C1388" s="53">
        <v>43.866079455382888</v>
      </c>
      <c r="D1388" s="53">
        <v>44.736598314334501</v>
      </c>
      <c r="E1388" s="53">
        <v>89956.929932925021</v>
      </c>
      <c r="F1388" s="53" t="s">
        <v>1413</v>
      </c>
      <c r="G1388" s="25">
        <f t="shared" si="17"/>
        <v>4.9398625429553089E-3</v>
      </c>
    </row>
    <row r="1389" spans="1:7">
      <c r="A1389" s="53">
        <v>44.851898825453929</v>
      </c>
      <c r="B1389" s="53">
        <v>45.177815594008209</v>
      </c>
      <c r="C1389" s="53">
        <v>43.183971833440893</v>
      </c>
      <c r="D1389" s="53">
        <v>45.139472444766525</v>
      </c>
      <c r="E1389" s="53">
        <v>132273.95506905735</v>
      </c>
      <c r="F1389" s="53" t="s">
        <v>1414</v>
      </c>
      <c r="G1389" s="25">
        <f t="shared" si="17"/>
        <v>-6.3707793586749162E-3</v>
      </c>
    </row>
    <row r="1390" spans="1:7">
      <c r="A1390" s="53">
        <v>44.880656187385192</v>
      </c>
      <c r="B1390" s="53">
        <v>48.638284813069731</v>
      </c>
      <c r="C1390" s="53">
        <v>44.38459169407097</v>
      </c>
      <c r="D1390" s="53">
        <v>48.321953831825873</v>
      </c>
      <c r="E1390" s="53">
        <v>212824.45916387337</v>
      </c>
      <c r="F1390" s="53" t="s">
        <v>1415</v>
      </c>
      <c r="G1390" s="25">
        <f t="shared" si="17"/>
        <v>-7.1216028565760703E-2</v>
      </c>
    </row>
    <row r="1391" spans="1:7">
      <c r="A1391" s="53">
        <v>48.676627962311407</v>
      </c>
      <c r="B1391" s="53">
        <v>50.373312316255699</v>
      </c>
      <c r="C1391" s="53">
        <v>48.178167022169575</v>
      </c>
      <c r="D1391" s="53">
        <v>49.759821928388831</v>
      </c>
      <c r="E1391" s="53">
        <v>219263.15825047946</v>
      </c>
      <c r="F1391" s="53" t="s">
        <v>1416</v>
      </c>
      <c r="G1391" s="25">
        <f t="shared" si="17"/>
        <v>-2.1768445386245339E-2</v>
      </c>
    </row>
    <row r="1392" spans="1:7">
      <c r="A1392" s="53">
        <v>49.251775200936592</v>
      </c>
      <c r="B1392" s="53">
        <v>50.785501170603744</v>
      </c>
      <c r="C1392" s="53">
        <v>48.274120753146882</v>
      </c>
      <c r="D1392" s="53">
        <v>49.098402603969873</v>
      </c>
      <c r="E1392" s="53">
        <v>179432.3141439163</v>
      </c>
      <c r="F1392" s="53" t="s">
        <v>1417</v>
      </c>
      <c r="G1392" s="25">
        <f t="shared" si="17"/>
        <v>3.1237797735259587E-3</v>
      </c>
    </row>
    <row r="1393" spans="1:7">
      <c r="A1393" s="53">
        <v>49.366804648661628</v>
      </c>
      <c r="B1393" s="53">
        <v>51.734494114335298</v>
      </c>
      <c r="C1393" s="53">
        <v>48.552012727275951</v>
      </c>
      <c r="D1393" s="53">
        <v>51.734494114335298</v>
      </c>
      <c r="E1393" s="53">
        <v>284802.89741380239</v>
      </c>
      <c r="F1393" s="53" t="s">
        <v>1418</v>
      </c>
      <c r="G1393" s="25">
        <f t="shared" si="17"/>
        <v>-4.5766166388734431E-2</v>
      </c>
    </row>
    <row r="1394" spans="1:7">
      <c r="A1394" s="53">
        <v>49.261360988247013</v>
      </c>
      <c r="B1394" s="53">
        <v>52.682528479335815</v>
      </c>
      <c r="C1394" s="53">
        <v>45.168229806697781</v>
      </c>
      <c r="D1394" s="53">
        <v>48.063137574444546</v>
      </c>
      <c r="E1394" s="53">
        <v>322953.12839195947</v>
      </c>
      <c r="F1394" s="53" t="s">
        <v>1419</v>
      </c>
      <c r="G1394" s="25">
        <f t="shared" si="17"/>
        <v>2.493019545273234E-2</v>
      </c>
    </row>
    <row r="1395" spans="1:7">
      <c r="A1395" s="53">
        <v>44.525982056899664</v>
      </c>
      <c r="B1395" s="53">
        <v>47.23684270828636</v>
      </c>
      <c r="C1395" s="53">
        <v>44.525982056899664</v>
      </c>
      <c r="D1395" s="53">
        <v>46.107636963118921</v>
      </c>
      <c r="E1395" s="53">
        <v>125144.65021522292</v>
      </c>
      <c r="F1395" s="53" t="s">
        <v>1420</v>
      </c>
      <c r="G1395" s="25">
        <f t="shared" si="17"/>
        <v>-3.4303534303534278E-2</v>
      </c>
    </row>
    <row r="1396" spans="1:7">
      <c r="A1396" s="53">
        <v>45.695448108770869</v>
      </c>
      <c r="B1396" s="53">
        <v>46.586926328639905</v>
      </c>
      <c r="C1396" s="53">
        <v>45.244916105181147</v>
      </c>
      <c r="D1396" s="53">
        <v>45.532489724493736</v>
      </c>
      <c r="E1396" s="53">
        <v>107178.46815599893</v>
      </c>
      <c r="F1396" s="53" t="s">
        <v>1421</v>
      </c>
      <c r="G1396" s="25">
        <f t="shared" si="17"/>
        <v>3.5789473684209039E-3</v>
      </c>
    </row>
    <row r="1397" spans="1:7">
      <c r="A1397" s="53">
        <v>45.235330317870719</v>
      </c>
      <c r="B1397" s="53">
        <v>46.663612627123264</v>
      </c>
      <c r="C1397" s="53">
        <v>43.912491669032804</v>
      </c>
      <c r="D1397" s="53">
        <v>45.522903937183315</v>
      </c>
      <c r="E1397" s="53">
        <v>125910.36718372079</v>
      </c>
      <c r="F1397" s="53" t="s">
        <v>1422</v>
      </c>
      <c r="G1397" s="25">
        <f t="shared" si="17"/>
        <v>-6.3171193935566139E-3</v>
      </c>
    </row>
    <row r="1398" spans="1:7">
      <c r="A1398" s="53">
        <v>45.896749642289684</v>
      </c>
      <c r="B1398" s="53">
        <v>47.363375100783898</v>
      </c>
      <c r="C1398" s="53">
        <v>45.244916105181147</v>
      </c>
      <c r="D1398" s="53">
        <v>47.363375100783898</v>
      </c>
      <c r="E1398" s="53">
        <v>109234.63729075275</v>
      </c>
      <c r="F1398" s="53" t="s">
        <v>1423</v>
      </c>
      <c r="G1398" s="25">
        <f t="shared" si="17"/>
        <v>-3.0965391621129212E-2</v>
      </c>
    </row>
    <row r="1399" spans="1:7">
      <c r="A1399" s="53">
        <v>47.162073567265089</v>
      </c>
      <c r="B1399" s="53">
        <v>47.919350764788248</v>
      </c>
      <c r="C1399" s="53">
        <v>46.48148266822529</v>
      </c>
      <c r="D1399" s="53">
        <v>46.48148266822529</v>
      </c>
      <c r="E1399" s="53">
        <v>104829.15669406812</v>
      </c>
      <c r="F1399" s="53" t="s">
        <v>1424</v>
      </c>
      <c r="G1399" s="25">
        <f t="shared" si="17"/>
        <v>1.4642194266859088E-2</v>
      </c>
    </row>
    <row r="1400" spans="1:7">
      <c r="A1400" s="53">
        <v>46.462311093604448</v>
      </c>
      <c r="B1400" s="53">
        <v>46.730713138296203</v>
      </c>
      <c r="C1400" s="53">
        <v>44.93817091124771</v>
      </c>
      <c r="D1400" s="53">
        <v>46.213080623533536</v>
      </c>
      <c r="E1400" s="53">
        <v>92438.938117979196</v>
      </c>
      <c r="F1400" s="53" t="s">
        <v>1425</v>
      </c>
      <c r="G1400" s="25">
        <f t="shared" si="17"/>
        <v>5.3930719767683044E-3</v>
      </c>
    </row>
    <row r="1401" spans="1:7">
      <c r="A1401" s="53">
        <v>46.31852428394815</v>
      </c>
      <c r="B1401" s="53">
        <v>47.200416716506766</v>
      </c>
      <c r="C1401" s="53">
        <v>45.292845041733237</v>
      </c>
      <c r="D1401" s="53">
        <v>46.500654242846124</v>
      </c>
      <c r="E1401" s="53">
        <v>74863.960232034093</v>
      </c>
      <c r="F1401" s="53" t="s">
        <v>1426</v>
      </c>
      <c r="G1401" s="25">
        <f t="shared" ref="G1401:G1464" si="18">A1401/D1401-1</f>
        <v>-3.9167182024324454E-3</v>
      </c>
    </row>
    <row r="1402" spans="1:7">
      <c r="A1402" s="53">
        <v>46.558168966708642</v>
      </c>
      <c r="B1402" s="53">
        <v>47.833078678994468</v>
      </c>
      <c r="C1402" s="53">
        <v>46.241837985464798</v>
      </c>
      <c r="D1402" s="53">
        <v>47.459232973888099</v>
      </c>
      <c r="E1402" s="53">
        <v>77173.629671072646</v>
      </c>
      <c r="F1402" s="53" t="s">
        <v>1427</v>
      </c>
      <c r="G1402" s="25">
        <f t="shared" si="18"/>
        <v>-1.8986063421531085E-2</v>
      </c>
    </row>
    <row r="1403" spans="1:7">
      <c r="A1403" s="53">
        <v>47.114144630712985</v>
      </c>
      <c r="B1403" s="53">
        <v>47.564676634302714</v>
      </c>
      <c r="C1403" s="53">
        <v>45.446217638699956</v>
      </c>
      <c r="D1403" s="53">
        <v>45.647519172218765</v>
      </c>
      <c r="E1403" s="53">
        <v>108054.76550414364</v>
      </c>
      <c r="F1403" s="53" t="s">
        <v>1428</v>
      </c>
      <c r="G1403" s="25">
        <f t="shared" si="18"/>
        <v>3.2129357412851833E-2</v>
      </c>
    </row>
    <row r="1404" spans="1:7">
      <c r="A1404" s="53">
        <v>45.561247086424991</v>
      </c>
      <c r="B1404" s="53">
        <v>46.376039007810675</v>
      </c>
      <c r="C1404" s="53">
        <v>44.569118099796547</v>
      </c>
      <c r="D1404" s="53">
        <v>46.23225219815437</v>
      </c>
      <c r="E1404" s="53">
        <v>139404.30313402053</v>
      </c>
      <c r="F1404" s="53" t="s">
        <v>1429</v>
      </c>
      <c r="G1404" s="25">
        <f t="shared" si="18"/>
        <v>-1.4513788098693747E-2</v>
      </c>
    </row>
    <row r="1405" spans="1:7">
      <c r="A1405" s="53">
        <v>45.743377045322966</v>
      </c>
      <c r="B1405" s="53">
        <v>47.593433996233976</v>
      </c>
      <c r="C1405" s="53">
        <v>45.196987168629043</v>
      </c>
      <c r="D1405" s="53">
        <v>47.047044119540047</v>
      </c>
      <c r="E1405" s="53">
        <v>114899.27371983105</v>
      </c>
      <c r="F1405" s="53" t="s">
        <v>1430</v>
      </c>
      <c r="G1405" s="25">
        <f t="shared" si="18"/>
        <v>-2.7709861450692652E-2</v>
      </c>
    </row>
    <row r="1406" spans="1:7">
      <c r="A1406" s="53">
        <v>46.711541563675354</v>
      </c>
      <c r="B1406" s="53">
        <v>47.118937524368199</v>
      </c>
      <c r="C1406" s="53">
        <v>45.379117127527017</v>
      </c>
      <c r="D1406" s="53">
        <v>46.069293813877238</v>
      </c>
      <c r="E1406" s="53">
        <v>99734.113541283892</v>
      </c>
      <c r="F1406" s="53" t="s">
        <v>1431</v>
      </c>
      <c r="G1406" s="25">
        <f t="shared" si="18"/>
        <v>1.3940907199333941E-2</v>
      </c>
    </row>
    <row r="1407" spans="1:7">
      <c r="A1407" s="53">
        <v>46.203494836223115</v>
      </c>
      <c r="B1407" s="53">
        <v>46.759470500227458</v>
      </c>
      <c r="C1407" s="53">
        <v>46.01177909001472</v>
      </c>
      <c r="D1407" s="53">
        <v>46.586926328639905</v>
      </c>
      <c r="E1407" s="53">
        <v>129490.66777756916</v>
      </c>
      <c r="F1407" s="53" t="s">
        <v>1432</v>
      </c>
      <c r="G1407" s="25">
        <f t="shared" si="18"/>
        <v>-8.2304526748970819E-3</v>
      </c>
    </row>
    <row r="1408" spans="1:7">
      <c r="A1408" s="53">
        <v>46.270595347396053</v>
      </c>
      <c r="B1408" s="53">
        <v>47.583848208923555</v>
      </c>
      <c r="C1408" s="53">
        <v>45.810477556495904</v>
      </c>
      <c r="D1408" s="53">
        <v>46.979943608367108</v>
      </c>
      <c r="E1408" s="53">
        <v>150836.85389392276</v>
      </c>
      <c r="F1408" s="53" t="s">
        <v>1433</v>
      </c>
      <c r="G1408" s="25">
        <f t="shared" si="18"/>
        <v>-1.5098959396041556E-2</v>
      </c>
    </row>
    <row r="1409" spans="1:7">
      <c r="A1409" s="53">
        <v>46.692369989054519</v>
      </c>
      <c r="B1409" s="53">
        <v>48.063041716571433</v>
      </c>
      <c r="C1409" s="53">
        <v>46.021364877325141</v>
      </c>
      <c r="D1409" s="53">
        <v>46.31852428394815</v>
      </c>
      <c r="E1409" s="53">
        <v>101837.22717683119</v>
      </c>
      <c r="F1409" s="53" t="s">
        <v>1434</v>
      </c>
      <c r="G1409" s="25">
        <f t="shared" si="18"/>
        <v>8.0711920529801251E-3</v>
      </c>
    </row>
    <row r="1410" spans="1:7">
      <c r="A1410" s="53">
        <v>46.0980511758085</v>
      </c>
      <c r="B1410" s="53">
        <v>46.486275561880497</v>
      </c>
      <c r="C1410" s="53">
        <v>44.046692691378681</v>
      </c>
      <c r="D1410" s="53">
        <v>44.890241974695613</v>
      </c>
      <c r="E1410" s="53">
        <v>166643.58891664728</v>
      </c>
      <c r="F1410" s="53" t="s">
        <v>1435</v>
      </c>
      <c r="G1410" s="25">
        <f t="shared" si="18"/>
        <v>2.6905829596412634E-2</v>
      </c>
    </row>
    <row r="1411" spans="1:7">
      <c r="A1411" s="53">
        <v>45.005271422420648</v>
      </c>
      <c r="B1411" s="53">
        <v>46.91284309719417</v>
      </c>
      <c r="C1411" s="53">
        <v>44.439709971105884</v>
      </c>
      <c r="D1411" s="53">
        <v>46.39521058243151</v>
      </c>
      <c r="E1411" s="53">
        <v>132122.68945538951</v>
      </c>
      <c r="F1411" s="53" t="s">
        <v>1436</v>
      </c>
      <c r="G1411" s="25">
        <f t="shared" si="18"/>
        <v>-2.9958677685950397E-2</v>
      </c>
    </row>
    <row r="1412" spans="1:7">
      <c r="A1412" s="53">
        <v>46.069293813877238</v>
      </c>
      <c r="B1412" s="53">
        <v>46.884085735262914</v>
      </c>
      <c r="C1412" s="53">
        <v>45.034028784351904</v>
      </c>
      <c r="D1412" s="53">
        <v>46.673198414433678</v>
      </c>
      <c r="E1412" s="53">
        <v>146828.83673728944</v>
      </c>
      <c r="F1412" s="53" t="s">
        <v>1437</v>
      </c>
      <c r="G1412" s="25">
        <f t="shared" si="18"/>
        <v>-1.2939001848428777E-2</v>
      </c>
    </row>
    <row r="1413" spans="1:7">
      <c r="A1413" s="53">
        <v>46.069293813877238</v>
      </c>
      <c r="B1413" s="53">
        <v>47.157280673609876</v>
      </c>
      <c r="C1413" s="53">
        <v>43.509984459868271</v>
      </c>
      <c r="D1413" s="53">
        <v>47.094973056092151</v>
      </c>
      <c r="E1413" s="53">
        <v>242305.6056621703</v>
      </c>
      <c r="F1413" s="53" t="s">
        <v>1438</v>
      </c>
      <c r="G1413" s="25">
        <f t="shared" si="18"/>
        <v>-2.1778953796051326E-2</v>
      </c>
    </row>
    <row r="1414" spans="1:7">
      <c r="A1414" s="53">
        <v>46.519825817466966</v>
      </c>
      <c r="B1414" s="53">
        <v>47.919350764788248</v>
      </c>
      <c r="C1414" s="53">
        <v>45.911128323255319</v>
      </c>
      <c r="D1414" s="53">
        <v>46.289766922016888</v>
      </c>
      <c r="E1414" s="53">
        <v>152688.55364744281</v>
      </c>
      <c r="F1414" s="53" t="s">
        <v>1439</v>
      </c>
      <c r="G1414" s="25">
        <f t="shared" si="18"/>
        <v>4.969973079312684E-3</v>
      </c>
    </row>
    <row r="1415" spans="1:7">
      <c r="A1415" s="53">
        <v>46.721127350985782</v>
      </c>
      <c r="B1415" s="53">
        <v>48.436983279550915</v>
      </c>
      <c r="C1415" s="53">
        <v>43.701604348203567</v>
      </c>
      <c r="D1415" s="53">
        <v>44.631425717314279</v>
      </c>
      <c r="E1415" s="53">
        <v>183006.35547099222</v>
      </c>
      <c r="F1415" s="53" t="s">
        <v>1440</v>
      </c>
      <c r="G1415" s="25">
        <f t="shared" si="18"/>
        <v>4.6821305841924454E-2</v>
      </c>
    </row>
    <row r="1416" spans="1:7">
      <c r="A1416" s="53">
        <v>45.62834759759793</v>
      </c>
      <c r="B1416" s="53">
        <v>45.79130598187507</v>
      </c>
      <c r="C1416" s="53">
        <v>44.25758001220791</v>
      </c>
      <c r="D1416" s="53">
        <v>44.813555676212253</v>
      </c>
      <c r="E1416" s="53">
        <v>83002.050247363703</v>
      </c>
      <c r="F1416" s="53" t="s">
        <v>1441</v>
      </c>
      <c r="G1416" s="25">
        <f t="shared" si="18"/>
        <v>1.8181818181818077E-2</v>
      </c>
    </row>
    <row r="1417" spans="1:7">
      <c r="A1417" s="53">
        <v>44.832727250833095</v>
      </c>
      <c r="B1417" s="53">
        <v>45.11071508283527</v>
      </c>
      <c r="C1417" s="53">
        <v>43.433202303511813</v>
      </c>
      <c r="D1417" s="53">
        <v>43.538645963926427</v>
      </c>
      <c r="E1417" s="53">
        <v>115121.47769025345</v>
      </c>
      <c r="F1417" s="53" t="s">
        <v>1442</v>
      </c>
      <c r="G1417" s="25">
        <f t="shared" si="18"/>
        <v>2.9722589167767488E-2</v>
      </c>
    </row>
    <row r="1418" spans="1:7">
      <c r="A1418" s="53">
        <v>43.548231751236848</v>
      </c>
      <c r="B1418" s="53">
        <v>43.807048008618182</v>
      </c>
      <c r="C1418" s="53">
        <v>42.445866210538583</v>
      </c>
      <c r="D1418" s="53">
        <v>42.445866210538583</v>
      </c>
      <c r="E1418" s="53">
        <v>68519.150147014923</v>
      </c>
      <c r="F1418" s="53" t="s">
        <v>1443</v>
      </c>
      <c r="G1418" s="25">
        <f t="shared" si="18"/>
        <v>2.5971093044263593E-2</v>
      </c>
    </row>
    <row r="1419" spans="1:7">
      <c r="A1419" s="53">
        <v>42.915569788749146</v>
      </c>
      <c r="B1419" s="53">
        <v>43.672846986272305</v>
      </c>
      <c r="C1419" s="53">
        <v>41.813204248050873</v>
      </c>
      <c r="D1419" s="53">
        <v>43.078528173026278</v>
      </c>
      <c r="E1419" s="53">
        <v>112857.70954087963</v>
      </c>
      <c r="F1419" s="53" t="s">
        <v>1444</v>
      </c>
      <c r="G1419" s="25">
        <f t="shared" si="18"/>
        <v>-3.782821539830783E-3</v>
      </c>
    </row>
    <row r="1420" spans="1:7">
      <c r="A1420" s="53">
        <v>43.049770811095016</v>
      </c>
      <c r="B1420" s="53">
        <v>43.87414851979112</v>
      </c>
      <c r="C1420" s="53">
        <v>42.546516977297983</v>
      </c>
      <c r="D1420" s="53">
        <v>42.867640852197049</v>
      </c>
      <c r="E1420" s="53">
        <v>119219.21100395871</v>
      </c>
      <c r="F1420" s="53" t="s">
        <v>1445</v>
      </c>
      <c r="G1420" s="25">
        <f t="shared" si="18"/>
        <v>4.2486583184255799E-3</v>
      </c>
    </row>
    <row r="1421" spans="1:7">
      <c r="A1421" s="53">
        <v>42.733439829851172</v>
      </c>
      <c r="B1421" s="53">
        <v>43.040185023784602</v>
      </c>
      <c r="C1421" s="53">
        <v>41.333914882529889</v>
      </c>
      <c r="D1421" s="53">
        <v>41.333914882529889</v>
      </c>
      <c r="E1421" s="53">
        <v>97368.110701293175</v>
      </c>
      <c r="F1421" s="53" t="s">
        <v>1446</v>
      </c>
      <c r="G1421" s="25">
        <f t="shared" si="18"/>
        <v>3.3858998144712382E-2</v>
      </c>
    </row>
    <row r="1422" spans="1:7">
      <c r="A1422" s="53">
        <v>40.921726028181837</v>
      </c>
      <c r="B1422" s="53">
        <v>42.119949441984303</v>
      </c>
      <c r="C1422" s="53">
        <v>40.2698924910733</v>
      </c>
      <c r="D1422" s="53">
        <v>41.218885434804854</v>
      </c>
      <c r="E1422" s="53">
        <v>89490.823468149509</v>
      </c>
      <c r="F1422" s="53" t="s">
        <v>1447</v>
      </c>
      <c r="G1422" s="25">
        <f t="shared" si="18"/>
        <v>-7.2093023255814792E-3</v>
      </c>
    </row>
    <row r="1423" spans="1:7">
      <c r="A1423" s="53">
        <v>41.477701692186187</v>
      </c>
      <c r="B1423" s="53">
        <v>42.675925105988654</v>
      </c>
      <c r="C1423" s="53">
        <v>39.97273308445029</v>
      </c>
      <c r="D1423" s="53">
        <v>39.97273308445029</v>
      </c>
      <c r="E1423" s="53">
        <v>121736.47945761726</v>
      </c>
      <c r="F1423" s="53" t="s">
        <v>1448</v>
      </c>
      <c r="G1423" s="25">
        <f t="shared" si="18"/>
        <v>3.7649880095923294E-2</v>
      </c>
    </row>
    <row r="1424" spans="1:7">
      <c r="A1424" s="53">
        <v>39.876875211346089</v>
      </c>
      <c r="B1424" s="53">
        <v>40.57663768500673</v>
      </c>
      <c r="C1424" s="53">
        <v>38.669161868106308</v>
      </c>
      <c r="D1424" s="53">
        <v>39.742674189000212</v>
      </c>
      <c r="E1424" s="53">
        <v>69255.657203907962</v>
      </c>
      <c r="F1424" s="53" t="s">
        <v>1449</v>
      </c>
      <c r="G1424" s="25">
        <f t="shared" si="18"/>
        <v>3.3767486734201935E-3</v>
      </c>
    </row>
    <row r="1425" spans="1:7">
      <c r="A1425" s="53">
        <v>39.905632573277352</v>
      </c>
      <c r="B1425" s="53">
        <v>41.621488501842485</v>
      </c>
      <c r="C1425" s="53">
        <v>39.483857931618878</v>
      </c>
      <c r="D1425" s="53">
        <v>41.017583901286038</v>
      </c>
      <c r="E1425" s="53">
        <v>91960.104209885845</v>
      </c>
      <c r="F1425" s="53" t="s">
        <v>1450</v>
      </c>
      <c r="G1425" s="25">
        <f t="shared" si="18"/>
        <v>-2.7109137648983372E-2</v>
      </c>
    </row>
    <row r="1426" spans="1:7">
      <c r="A1426" s="53">
        <v>40.892968666250582</v>
      </c>
      <c r="B1426" s="53">
        <v>41.391429606392407</v>
      </c>
      <c r="C1426" s="53">
        <v>40.503210554208913</v>
      </c>
      <c r="D1426" s="53">
        <v>40.864211304319326</v>
      </c>
      <c r="E1426" s="53">
        <v>82231.1172232221</v>
      </c>
      <c r="F1426" s="53" t="s">
        <v>1451</v>
      </c>
      <c r="G1426" s="25">
        <f t="shared" si="18"/>
        <v>7.0372976776900131E-4</v>
      </c>
    </row>
    <row r="1427" spans="1:7">
      <c r="A1427" s="53">
        <v>41.075098625148556</v>
      </c>
      <c r="B1427" s="53">
        <v>41.70766472976316</v>
      </c>
      <c r="C1427" s="53">
        <v>40.471194024592116</v>
      </c>
      <c r="D1427" s="53">
        <v>41.238057009425695</v>
      </c>
      <c r="E1427" s="53">
        <v>102593.55524517037</v>
      </c>
      <c r="F1427" s="53" t="s">
        <v>1452</v>
      </c>
      <c r="G1427" s="25">
        <f t="shared" si="18"/>
        <v>-3.9516503951650961E-3</v>
      </c>
    </row>
    <row r="1428" spans="1:7">
      <c r="A1428" s="53">
        <v>41.132613349011073</v>
      </c>
      <c r="B1428" s="53">
        <v>41.67861979421258</v>
      </c>
      <c r="C1428" s="53">
        <v>40.730010281973449</v>
      </c>
      <c r="D1428" s="53">
        <v>41.218885434804854</v>
      </c>
      <c r="E1428" s="53">
        <v>93057.56231732422</v>
      </c>
      <c r="F1428" s="53" t="s">
        <v>1453</v>
      </c>
      <c r="G1428" s="25">
        <f t="shared" si="18"/>
        <v>-2.0930232558140638E-3</v>
      </c>
    </row>
    <row r="1429" spans="1:7">
      <c r="A1429" s="53">
        <v>41.03675547590688</v>
      </c>
      <c r="B1429" s="53">
        <v>41.247642796736116</v>
      </c>
      <c r="C1429" s="53">
        <v>40.327407214935818</v>
      </c>
      <c r="D1429" s="53">
        <v>40.327407214935818</v>
      </c>
      <c r="E1429" s="53">
        <v>146329.13860662121</v>
      </c>
      <c r="F1429" s="53" t="s">
        <v>1454</v>
      </c>
      <c r="G1429" s="25">
        <f t="shared" si="18"/>
        <v>1.7589731400047492E-2</v>
      </c>
    </row>
    <row r="1430" spans="1:7">
      <c r="A1430" s="53">
        <v>39.809774700173151</v>
      </c>
      <c r="B1430" s="53">
        <v>40.452022449971274</v>
      </c>
      <c r="C1430" s="53">
        <v>38.649894435612367</v>
      </c>
      <c r="D1430" s="53">
        <v>38.649894435612367</v>
      </c>
      <c r="E1430" s="53">
        <v>125350.16280758542</v>
      </c>
      <c r="F1430" s="53" t="s">
        <v>1455</v>
      </c>
      <c r="G1430" s="25">
        <f t="shared" si="18"/>
        <v>3.0009920634920473E-2</v>
      </c>
    </row>
    <row r="1431" spans="1:7">
      <c r="A1431" s="53">
        <v>38.525279200576904</v>
      </c>
      <c r="B1431" s="53">
        <v>39.524597527688165</v>
      </c>
      <c r="C1431" s="53">
        <v>37.74883042843291</v>
      </c>
      <c r="D1431" s="53">
        <v>39.129183801133351</v>
      </c>
      <c r="E1431" s="53">
        <v>103989.37173542943</v>
      </c>
      <c r="F1431" s="53" t="s">
        <v>1456</v>
      </c>
      <c r="G1431" s="25">
        <f t="shared" si="18"/>
        <v>-1.5433610975012391E-2</v>
      </c>
    </row>
    <row r="1432" spans="1:7">
      <c r="A1432" s="53">
        <v>38.822438607199921</v>
      </c>
      <c r="B1432" s="53">
        <v>38.870367543752018</v>
      </c>
      <c r="C1432" s="53">
        <v>37.806345152295428</v>
      </c>
      <c r="D1432" s="53">
        <v>37.806345152295428</v>
      </c>
      <c r="E1432" s="53">
        <v>121865.83763758147</v>
      </c>
      <c r="F1432" s="53" t="s">
        <v>1457</v>
      </c>
      <c r="G1432" s="25">
        <f t="shared" si="18"/>
        <v>2.6876267748478622E-2</v>
      </c>
    </row>
    <row r="1433" spans="1:7">
      <c r="A1433" s="53">
        <v>37.902203025399622</v>
      </c>
      <c r="B1433" s="53">
        <v>38.151433495470535</v>
      </c>
      <c r="C1433" s="53">
        <v>37.164097402497312</v>
      </c>
      <c r="D1433" s="53">
        <v>37.307884212153603</v>
      </c>
      <c r="E1433" s="53">
        <v>53521.946960195499</v>
      </c>
      <c r="F1433" s="53" t="s">
        <v>1458</v>
      </c>
      <c r="G1433" s="25">
        <f t="shared" si="18"/>
        <v>1.5930113052415207E-2</v>
      </c>
    </row>
    <row r="1434" spans="1:7">
      <c r="A1434" s="53">
        <v>37.23119791367025</v>
      </c>
      <c r="B1434" s="53">
        <v>37.709912131952606</v>
      </c>
      <c r="C1434" s="53">
        <v>36.50267807807834</v>
      </c>
      <c r="D1434" s="53">
        <v>37.451671021809901</v>
      </c>
      <c r="E1434" s="53">
        <v>61897.889112878656</v>
      </c>
      <c r="F1434" s="53" t="s">
        <v>1459</v>
      </c>
      <c r="G1434" s="25">
        <f t="shared" si="18"/>
        <v>-5.8868697210134879E-3</v>
      </c>
    </row>
    <row r="1435" spans="1:7">
      <c r="A1435" s="53">
        <v>37.269541062911927</v>
      </c>
      <c r="B1435" s="53">
        <v>37.537943107603674</v>
      </c>
      <c r="C1435" s="53">
        <v>36.847766421253453</v>
      </c>
      <c r="D1435" s="53">
        <v>37.288712637532761</v>
      </c>
      <c r="E1435" s="53">
        <v>70116.306385121527</v>
      </c>
      <c r="F1435" s="53" t="s">
        <v>1460</v>
      </c>
      <c r="G1435" s="25">
        <f t="shared" si="18"/>
        <v>-5.1413881748063606E-4</v>
      </c>
    </row>
    <row r="1436" spans="1:7">
      <c r="A1436" s="53">
        <v>36.780665910080515</v>
      </c>
      <c r="B1436" s="53">
        <v>37.144925827876463</v>
      </c>
      <c r="C1436" s="53">
        <v>36.435577566905401</v>
      </c>
      <c r="D1436" s="53">
        <v>36.97238165628891</v>
      </c>
      <c r="E1436" s="53">
        <v>37091.371682482233</v>
      </c>
      <c r="F1436" s="53" t="s">
        <v>1461</v>
      </c>
      <c r="G1436" s="25">
        <f t="shared" si="18"/>
        <v>-5.1853772361939443E-3</v>
      </c>
    </row>
    <row r="1437" spans="1:7">
      <c r="A1437" s="53">
        <v>36.713565398907576</v>
      </c>
      <c r="B1437" s="53">
        <v>36.934038507047234</v>
      </c>
      <c r="C1437" s="53">
        <v>35.860430328280216</v>
      </c>
      <c r="D1437" s="53">
        <v>35.860430328280216</v>
      </c>
      <c r="E1437" s="53">
        <v>73275.149682957446</v>
      </c>
      <c r="F1437" s="53" t="s">
        <v>1462</v>
      </c>
      <c r="G1437" s="25">
        <f t="shared" si="18"/>
        <v>2.3790430366212423E-2</v>
      </c>
    </row>
    <row r="1438" spans="1:7">
      <c r="A1438" s="53">
        <v>35.831672966348968</v>
      </c>
      <c r="B1438" s="53">
        <v>37.154511615186884</v>
      </c>
      <c r="C1438" s="53">
        <v>35.76457245517603</v>
      </c>
      <c r="D1438" s="53">
        <v>36.876523783184716</v>
      </c>
      <c r="E1438" s="53">
        <v>118822.7907750361</v>
      </c>
      <c r="F1438" s="53" t="s">
        <v>1463</v>
      </c>
      <c r="G1438" s="25">
        <f t="shared" si="18"/>
        <v>-2.8333766571354224E-2</v>
      </c>
    </row>
    <row r="1439" spans="1:7">
      <c r="A1439" s="53">
        <v>36.579364376561699</v>
      </c>
      <c r="B1439" s="53">
        <v>36.924452719736813</v>
      </c>
      <c r="C1439" s="53">
        <v>35.342797813517556</v>
      </c>
      <c r="D1439" s="53">
        <v>35.639957220140566</v>
      </c>
      <c r="E1439" s="53">
        <v>98535.463954357372</v>
      </c>
      <c r="F1439" s="53" t="s">
        <v>1464</v>
      </c>
      <c r="G1439" s="25">
        <f t="shared" si="18"/>
        <v>2.635825712748785E-2</v>
      </c>
    </row>
    <row r="1440" spans="1:7">
      <c r="A1440" s="53">
        <v>36.368477055732463</v>
      </c>
      <c r="B1440" s="53">
        <v>36.579364376561699</v>
      </c>
      <c r="C1440" s="53">
        <v>35.467413048553013</v>
      </c>
      <c r="D1440" s="53">
        <v>35.60161407089889</v>
      </c>
      <c r="E1440" s="53">
        <v>314508.33430477924</v>
      </c>
      <c r="F1440" s="53" t="s">
        <v>1465</v>
      </c>
      <c r="G1440" s="25">
        <f t="shared" si="18"/>
        <v>2.1540118470651404E-2</v>
      </c>
    </row>
    <row r="1441" spans="1:7">
      <c r="A1441" s="53">
        <v>35.400312537380074</v>
      </c>
      <c r="B1441" s="53">
        <v>35.870016115590644</v>
      </c>
      <c r="C1441" s="53">
        <v>34.978537895721608</v>
      </c>
      <c r="D1441" s="53">
        <v>35.275697302344618</v>
      </c>
      <c r="E1441" s="53">
        <v>119702.21775656704</v>
      </c>
      <c r="F1441" s="53" t="s">
        <v>1466</v>
      </c>
      <c r="G1441" s="25">
        <f t="shared" si="18"/>
        <v>3.5326086956521952E-3</v>
      </c>
    </row>
    <row r="1442" spans="1:7">
      <c r="A1442" s="53">
        <v>35.036052619584126</v>
      </c>
      <c r="B1442" s="53">
        <v>35.476998835863434</v>
      </c>
      <c r="C1442" s="53">
        <v>34.580727722339191</v>
      </c>
      <c r="D1442" s="53">
        <v>34.777236362202792</v>
      </c>
      <c r="E1442" s="53">
        <v>117805.659924511</v>
      </c>
      <c r="F1442" s="53" t="s">
        <v>1467</v>
      </c>
      <c r="G1442" s="25">
        <f t="shared" si="18"/>
        <v>7.4421168687983652E-3</v>
      </c>
    </row>
    <row r="1443" spans="1:7">
      <c r="A1443" s="53">
        <v>34.547177466752721</v>
      </c>
      <c r="B1443" s="53">
        <v>34.684445941037929</v>
      </c>
      <c r="C1443" s="53">
        <v>33.061380433637659</v>
      </c>
      <c r="D1443" s="53">
        <v>33.185995668673115</v>
      </c>
      <c r="E1443" s="53">
        <v>147231.51623298452</v>
      </c>
      <c r="F1443" s="53" t="s">
        <v>1468</v>
      </c>
      <c r="G1443" s="25">
        <f t="shared" si="18"/>
        <v>4.1016753321779342E-2</v>
      </c>
    </row>
    <row r="1444" spans="1:7">
      <c r="A1444" s="53">
        <v>33.061380433637659</v>
      </c>
      <c r="B1444" s="53">
        <v>34.029544951990054</v>
      </c>
      <c r="C1444" s="53">
        <v>32.836114431842802</v>
      </c>
      <c r="D1444" s="53">
        <v>33.387297202191931</v>
      </c>
      <c r="E1444" s="53">
        <v>136142.181934439</v>
      </c>
      <c r="F1444" s="53" t="s">
        <v>1469</v>
      </c>
      <c r="G1444" s="25">
        <f t="shared" si="18"/>
        <v>-9.7616996841803916E-3</v>
      </c>
    </row>
    <row r="1445" spans="1:7">
      <c r="A1445" s="53">
        <v>33.224338817914791</v>
      </c>
      <c r="B1445" s="53">
        <v>34.269189634750546</v>
      </c>
      <c r="C1445" s="53">
        <v>32.812149963566746</v>
      </c>
      <c r="D1445" s="53">
        <v>34.096645463162993</v>
      </c>
      <c r="E1445" s="53">
        <v>153491.82621657546</v>
      </c>
      <c r="F1445" s="53" t="s">
        <v>1470</v>
      </c>
      <c r="G1445" s="25">
        <f t="shared" si="18"/>
        <v>-2.5583356761315845E-2</v>
      </c>
    </row>
    <row r="1446" spans="1:7">
      <c r="A1446" s="53">
        <v>34.23084648550887</v>
      </c>
      <c r="B1446" s="53">
        <v>34.930608959169504</v>
      </c>
      <c r="C1446" s="53">
        <v>33.7611429072983</v>
      </c>
      <c r="D1446" s="53">
        <v>34.288361209371388</v>
      </c>
      <c r="E1446" s="53">
        <v>222751.6562649984</v>
      </c>
      <c r="F1446" s="53" t="s">
        <v>1471</v>
      </c>
      <c r="G1446" s="25">
        <f t="shared" si="18"/>
        <v>-1.6773832820798917E-3</v>
      </c>
    </row>
    <row r="1447" spans="1:7">
      <c r="A1447" s="53">
        <v>34.489662742890197</v>
      </c>
      <c r="B1447" s="53">
        <v>35.333212026207136</v>
      </c>
      <c r="C1447" s="53">
        <v>34.221260698198449</v>
      </c>
      <c r="D1447" s="53">
        <v>34.74847900027153</v>
      </c>
      <c r="E1447" s="53">
        <v>208426.28104508991</v>
      </c>
      <c r="F1447" s="53" t="s">
        <v>1472</v>
      </c>
      <c r="G1447" s="25">
        <f t="shared" si="18"/>
        <v>-7.448275862068976E-3</v>
      </c>
    </row>
    <row r="1448" spans="1:7">
      <c r="A1448" s="53">
        <v>34.805993724134055</v>
      </c>
      <c r="B1448" s="53">
        <v>35.467413048553013</v>
      </c>
      <c r="C1448" s="53">
        <v>34.714928744685068</v>
      </c>
      <c r="D1448" s="53">
        <v>34.949780533790346</v>
      </c>
      <c r="E1448" s="53">
        <v>305367.71839472692</v>
      </c>
      <c r="F1448" s="53" t="s">
        <v>1473</v>
      </c>
      <c r="G1448" s="25">
        <f t="shared" si="18"/>
        <v>-4.1140976412505914E-3</v>
      </c>
    </row>
    <row r="1449" spans="1:7">
      <c r="A1449" s="53">
        <v>35.112738918067485</v>
      </c>
      <c r="B1449" s="53">
        <v>36.646464887734638</v>
      </c>
      <c r="C1449" s="53">
        <v>34.853922660686152</v>
      </c>
      <c r="D1449" s="53">
        <v>36.052146074488618</v>
      </c>
      <c r="E1449" s="53">
        <v>169100.35112483869</v>
      </c>
      <c r="F1449" s="53" t="s">
        <v>1474</v>
      </c>
      <c r="G1449" s="25">
        <f t="shared" si="18"/>
        <v>-2.6056899760701913E-2</v>
      </c>
    </row>
    <row r="1450" spans="1:7">
      <c r="A1450" s="53">
        <v>35.937116626763583</v>
      </c>
      <c r="B1450" s="53">
        <v>36.234276033386593</v>
      </c>
      <c r="C1450" s="53">
        <v>34.844336873375731</v>
      </c>
      <c r="D1450" s="53">
        <v>35.361969388138398</v>
      </c>
      <c r="E1450" s="53">
        <v>112125.37532850156</v>
      </c>
      <c r="F1450" s="53" t="s">
        <v>1475</v>
      </c>
      <c r="G1450" s="25">
        <f t="shared" si="18"/>
        <v>1.626457034426676E-2</v>
      </c>
    </row>
    <row r="1451" spans="1:7">
      <c r="A1451" s="53">
        <v>35.055224194204968</v>
      </c>
      <c r="B1451" s="53">
        <v>36.282204969938689</v>
      </c>
      <c r="C1451" s="53">
        <v>34.643035339856915</v>
      </c>
      <c r="D1451" s="53">
        <v>35.927530839453155</v>
      </c>
      <c r="E1451" s="53">
        <v>124191.15524355118</v>
      </c>
      <c r="F1451" s="53" t="s">
        <v>1476</v>
      </c>
      <c r="G1451" s="25">
        <f t="shared" si="18"/>
        <v>-2.4279615795090526E-2</v>
      </c>
    </row>
    <row r="1452" spans="1:7">
      <c r="A1452" s="53">
        <v>35.745400880555188</v>
      </c>
      <c r="B1452" s="53">
        <v>36.665636462355479</v>
      </c>
      <c r="C1452" s="53">
        <v>35.649543007450987</v>
      </c>
      <c r="D1452" s="53">
        <v>35.917945052142741</v>
      </c>
      <c r="E1452" s="53">
        <v>135856.34208516323</v>
      </c>
      <c r="F1452" s="53" t="s">
        <v>1477</v>
      </c>
      <c r="G1452" s="25">
        <f t="shared" si="18"/>
        <v>-4.8038430744594685E-3</v>
      </c>
    </row>
    <row r="1453" spans="1:7">
      <c r="A1453" s="53">
        <v>35.937116626763583</v>
      </c>
      <c r="B1453" s="53">
        <v>38.151433495470535</v>
      </c>
      <c r="C1453" s="53">
        <v>35.563270921657214</v>
      </c>
      <c r="D1453" s="53">
        <v>38.113090346228859</v>
      </c>
      <c r="E1453" s="53">
        <v>170162.34005389977</v>
      </c>
      <c r="F1453" s="53" t="s">
        <v>1478</v>
      </c>
      <c r="G1453" s="25">
        <f t="shared" si="18"/>
        <v>-5.7092555331991868E-2</v>
      </c>
    </row>
    <row r="1454" spans="1:7">
      <c r="A1454" s="53">
        <v>37.758416215743331</v>
      </c>
      <c r="B1454" s="53">
        <v>38.345066399141018</v>
      </c>
      <c r="C1454" s="53">
        <v>37.451671021809901</v>
      </c>
      <c r="D1454" s="53">
        <v>37.873445663468367</v>
      </c>
      <c r="E1454" s="53">
        <v>121403.69510754802</v>
      </c>
      <c r="F1454" s="53" t="s">
        <v>1479</v>
      </c>
      <c r="G1454" s="25">
        <f t="shared" si="18"/>
        <v>-3.0372057706908873E-3</v>
      </c>
    </row>
    <row r="1455" spans="1:7">
      <c r="A1455" s="53">
        <v>37.940546174641305</v>
      </c>
      <c r="B1455" s="53">
        <v>39.445514782377202</v>
      </c>
      <c r="C1455" s="53">
        <v>37.480428383741156</v>
      </c>
      <c r="D1455" s="53">
        <v>39.445514782377202</v>
      </c>
      <c r="E1455" s="53">
        <v>65166.26957923267</v>
      </c>
      <c r="F1455" s="53" t="s">
        <v>1480</v>
      </c>
      <c r="G1455" s="25">
        <f t="shared" si="18"/>
        <v>-3.8153098420413145E-2</v>
      </c>
    </row>
    <row r="1456" spans="1:7">
      <c r="A1456" s="53">
        <v>39.560544230102245</v>
      </c>
      <c r="B1456" s="53">
        <v>40.126105681417002</v>
      </c>
      <c r="C1456" s="53">
        <v>38.314391879747674</v>
      </c>
      <c r="D1456" s="53">
        <v>39.464686356998044</v>
      </c>
      <c r="E1456" s="53">
        <v>171683.34187960808</v>
      </c>
      <c r="F1456" s="53" t="s">
        <v>1481</v>
      </c>
      <c r="G1456" s="25">
        <f t="shared" si="18"/>
        <v>2.4289531212049464E-3</v>
      </c>
    </row>
    <row r="1457" spans="1:7">
      <c r="A1457" s="53">
        <v>39.464686356998044</v>
      </c>
      <c r="B1457" s="53">
        <v>39.637230528585597</v>
      </c>
      <c r="C1457" s="53">
        <v>37.552321788569301</v>
      </c>
      <c r="D1457" s="53">
        <v>37.710487279191234</v>
      </c>
      <c r="E1457" s="53">
        <v>185238.82728650371</v>
      </c>
      <c r="F1457" s="53" t="s">
        <v>1482</v>
      </c>
      <c r="G1457" s="25">
        <f t="shared" si="18"/>
        <v>4.6517539400101615E-2</v>
      </c>
    </row>
    <row r="1458" spans="1:7">
      <c r="A1458" s="53">
        <v>37.269541062911927</v>
      </c>
      <c r="B1458" s="53">
        <v>37.768002003053745</v>
      </c>
      <c r="C1458" s="53">
        <v>35.333212026207136</v>
      </c>
      <c r="D1458" s="53">
        <v>36.358891268422049</v>
      </c>
      <c r="E1458" s="53">
        <v>175119.67933768983</v>
      </c>
      <c r="F1458" s="53" t="s">
        <v>1483</v>
      </c>
      <c r="G1458" s="25">
        <f t="shared" si="18"/>
        <v>2.5046137621935305E-2</v>
      </c>
    </row>
    <row r="1459" spans="1:7">
      <c r="A1459" s="53">
        <v>36.186347096834496</v>
      </c>
      <c r="B1459" s="53">
        <v>36.665636462355479</v>
      </c>
      <c r="C1459" s="53">
        <v>35.122324705377906</v>
      </c>
      <c r="D1459" s="53">
        <v>35.774158242486443</v>
      </c>
      <c r="E1459" s="53">
        <v>80063.324497692694</v>
      </c>
      <c r="F1459" s="53" t="s">
        <v>1484</v>
      </c>
      <c r="G1459" s="25">
        <f t="shared" si="18"/>
        <v>1.1521972132904734E-2</v>
      </c>
    </row>
    <row r="1460" spans="1:7">
      <c r="A1460" s="53">
        <v>36.148003947592812</v>
      </c>
      <c r="B1460" s="53">
        <v>36.713565398907576</v>
      </c>
      <c r="C1460" s="53">
        <v>35.467413048553013</v>
      </c>
      <c r="D1460" s="53">
        <v>36.387648630353311</v>
      </c>
      <c r="E1460" s="53">
        <v>68392.921600436923</v>
      </c>
      <c r="F1460" s="53" t="s">
        <v>1485</v>
      </c>
      <c r="G1460" s="25">
        <f t="shared" si="18"/>
        <v>-6.5858798735513036E-3</v>
      </c>
    </row>
    <row r="1461" spans="1:7">
      <c r="A1461" s="53">
        <v>36.425991779594987</v>
      </c>
      <c r="B1461" s="53">
        <v>37.557114682224515</v>
      </c>
      <c r="C1461" s="53">
        <v>36.205518671455337</v>
      </c>
      <c r="D1461" s="53">
        <v>37.202440551738988</v>
      </c>
      <c r="E1461" s="53">
        <v>108114.22853848203</v>
      </c>
      <c r="F1461" s="53" t="s">
        <v>1486</v>
      </c>
      <c r="G1461" s="25">
        <f t="shared" si="18"/>
        <v>-2.087090955939197E-2</v>
      </c>
    </row>
    <row r="1462" spans="1:7">
      <c r="A1462" s="53">
        <v>37.053860848427469</v>
      </c>
      <c r="B1462" s="53">
        <v>37.665847195343439</v>
      </c>
      <c r="C1462" s="53">
        <v>35.696016141207679</v>
      </c>
      <c r="D1462" s="53">
        <v>36.508810508205443</v>
      </c>
      <c r="E1462" s="53">
        <v>142454.41984013966</v>
      </c>
      <c r="F1462" s="53" t="s">
        <v>1487</v>
      </c>
      <c r="G1462" s="25">
        <f t="shared" si="18"/>
        <v>1.4929282346778372E-2</v>
      </c>
    </row>
    <row r="1463" spans="1:7">
      <c r="A1463" s="53">
        <v>36.508810508205443</v>
      </c>
      <c r="B1463" s="53">
        <v>36.881739688357356</v>
      </c>
      <c r="C1463" s="53">
        <v>35.66732928119599</v>
      </c>
      <c r="D1463" s="53">
        <v>36.097632181371281</v>
      </c>
      <c r="E1463" s="53">
        <v>117678.96516470709</v>
      </c>
      <c r="F1463" s="53" t="s">
        <v>1488</v>
      </c>
      <c r="G1463" s="25">
        <f t="shared" si="18"/>
        <v>1.1390728476821099E-2</v>
      </c>
    </row>
    <row r="1464" spans="1:7">
      <c r="A1464" s="53">
        <v>35.571706414490372</v>
      </c>
      <c r="B1464" s="53">
        <v>36.317564774794199</v>
      </c>
      <c r="C1464" s="53">
        <v>34.988406927586098</v>
      </c>
      <c r="D1464" s="53">
        <v>35.657766994525431</v>
      </c>
      <c r="E1464" s="53">
        <v>71755.849164442421</v>
      </c>
      <c r="F1464" s="53" t="s">
        <v>1489</v>
      </c>
      <c r="G1464" s="25">
        <f t="shared" si="18"/>
        <v>-2.4135156878520858E-3</v>
      </c>
    </row>
    <row r="1465" spans="1:7">
      <c r="A1465" s="53">
        <v>35.323086961055758</v>
      </c>
      <c r="B1465" s="53">
        <v>35.609955561172619</v>
      </c>
      <c r="C1465" s="53">
        <v>34.376898695003661</v>
      </c>
      <c r="D1465" s="53">
        <v>35.189214947667892</v>
      </c>
      <c r="E1465" s="53">
        <v>70802.102397147057</v>
      </c>
      <c r="F1465" s="53" t="s">
        <v>1490</v>
      </c>
      <c r="G1465" s="25">
        <f t="shared" ref="G1465:G1503" si="19">A1465/D1465-1</f>
        <v>3.8043478260869623E-3</v>
      </c>
    </row>
    <row r="1466" spans="1:7">
      <c r="A1466" s="53">
        <v>35.45695897444363</v>
      </c>
      <c r="B1466" s="53">
        <v>36.805241394992862</v>
      </c>
      <c r="C1466" s="53">
        <v>34.911908634221597</v>
      </c>
      <c r="D1466" s="53">
        <v>36.346251634805888</v>
      </c>
      <c r="E1466" s="53">
        <v>103434.46437816085</v>
      </c>
      <c r="F1466" s="53" t="s">
        <v>1491</v>
      </c>
      <c r="G1466" s="25">
        <f t="shared" si="19"/>
        <v>-2.4467245461720522E-2</v>
      </c>
    </row>
    <row r="1467" spans="1:7">
      <c r="A1467" s="53">
        <v>36.040258461347904</v>
      </c>
      <c r="B1467" s="53">
        <v>36.42274992817039</v>
      </c>
      <c r="C1467" s="53">
        <v>34.45291887403463</v>
      </c>
      <c r="D1467" s="53">
        <v>35.772514434572173</v>
      </c>
      <c r="E1467" s="53">
        <v>185122.03837703756</v>
      </c>
      <c r="F1467" s="53" t="s">
        <v>1492</v>
      </c>
      <c r="G1467" s="25">
        <f t="shared" si="19"/>
        <v>7.4846297781341331E-3</v>
      </c>
    </row>
    <row r="1468" spans="1:7">
      <c r="A1468" s="53">
        <v>35.380460681079136</v>
      </c>
      <c r="B1468" s="53">
        <v>36.241066481429705</v>
      </c>
      <c r="C1468" s="53">
        <v>34.137363413906087</v>
      </c>
      <c r="D1468" s="53">
        <v>34.472043447375746</v>
      </c>
      <c r="E1468" s="53">
        <v>322420.78764396871</v>
      </c>
      <c r="F1468" s="53" t="s">
        <v>1493</v>
      </c>
      <c r="G1468" s="25">
        <f t="shared" si="19"/>
        <v>2.6352288488211029E-2</v>
      </c>
    </row>
    <row r="1469" spans="1:7">
      <c r="A1469" s="53">
        <v>34.127801127235522</v>
      </c>
      <c r="B1469" s="53">
        <v>34.22342399394114</v>
      </c>
      <c r="C1469" s="53">
        <v>33.095074166814832</v>
      </c>
      <c r="D1469" s="53">
        <v>33.142885600167638</v>
      </c>
      <c r="E1469" s="53">
        <v>90576.661194063781</v>
      </c>
      <c r="F1469" s="53" t="s">
        <v>1494</v>
      </c>
      <c r="G1469" s="25">
        <f t="shared" si="19"/>
        <v>2.9717253317945946E-2</v>
      </c>
    </row>
    <row r="1470" spans="1:7">
      <c r="A1470" s="53">
        <v>33.13332331349708</v>
      </c>
      <c r="B1470" s="53">
        <v>34.309484573976199</v>
      </c>
      <c r="C1470" s="53">
        <v>32.989889013438649</v>
      </c>
      <c r="D1470" s="53">
        <v>33.238508466873263</v>
      </c>
      <c r="E1470" s="53">
        <v>72509.852913587107</v>
      </c>
      <c r="F1470" s="53" t="s">
        <v>1495</v>
      </c>
      <c r="G1470" s="25">
        <f t="shared" si="19"/>
        <v>-3.1645569620253333E-3</v>
      </c>
    </row>
    <row r="1471" spans="1:7">
      <c r="A1471" s="53">
        <v>32.942077580085844</v>
      </c>
      <c r="B1471" s="53">
        <v>34.299922287305634</v>
      </c>
      <c r="C1471" s="53">
        <v>32.626522119957293</v>
      </c>
      <c r="D1471" s="53">
        <v>33.410629626943376</v>
      </c>
      <c r="E1471" s="53">
        <v>71150.345460205557</v>
      </c>
      <c r="F1471" s="53" t="s">
        <v>1496</v>
      </c>
      <c r="G1471" s="25">
        <f t="shared" si="19"/>
        <v>-1.4024041213508753E-2</v>
      </c>
    </row>
    <row r="1472" spans="1:7">
      <c r="A1472" s="53">
        <v>33.381942766931687</v>
      </c>
      <c r="B1472" s="53">
        <v>33.989147970512377</v>
      </c>
      <c r="C1472" s="53">
        <v>32.827330140039095</v>
      </c>
      <c r="D1472" s="53">
        <v>32.894266146733031</v>
      </c>
      <c r="E1472" s="53">
        <v>109646.36766515039</v>
      </c>
      <c r="F1472" s="53" t="s">
        <v>1497</v>
      </c>
      <c r="G1472" s="25">
        <f t="shared" si="19"/>
        <v>1.4825581395348841E-2</v>
      </c>
    </row>
    <row r="1473" spans="1:7">
      <c r="A1473" s="53">
        <v>32.492650106569428</v>
      </c>
      <c r="B1473" s="53">
        <v>33.36281819359057</v>
      </c>
      <c r="C1473" s="53">
        <v>31.134805399349641</v>
      </c>
      <c r="D1473" s="53">
        <v>31.545983726183803</v>
      </c>
      <c r="E1473" s="53">
        <v>165981.21920838946</v>
      </c>
      <c r="F1473" s="53" t="s">
        <v>1498</v>
      </c>
      <c r="G1473" s="25">
        <f t="shared" si="19"/>
        <v>3.00090936647468E-2</v>
      </c>
    </row>
    <row r="1474" spans="1:7">
      <c r="A1474" s="53">
        <v>31.05830710598514</v>
      </c>
      <c r="B1474" s="53">
        <v>34.347733720658447</v>
      </c>
      <c r="C1474" s="53">
        <v>31.000933385961773</v>
      </c>
      <c r="D1474" s="53">
        <v>34.041740547200462</v>
      </c>
      <c r="E1474" s="53">
        <v>216436.7239032354</v>
      </c>
      <c r="F1474" s="53" t="s">
        <v>1499</v>
      </c>
      <c r="G1474" s="25">
        <f t="shared" si="19"/>
        <v>-8.7640449438202261E-2</v>
      </c>
    </row>
    <row r="1475" spans="1:7">
      <c r="A1475" s="53">
        <v>33.984366827177091</v>
      </c>
      <c r="B1475" s="53">
        <v>33.993929113847649</v>
      </c>
      <c r="C1475" s="53">
        <v>31.306926559419754</v>
      </c>
      <c r="D1475" s="53">
        <v>31.58423287286605</v>
      </c>
      <c r="E1475" s="53">
        <v>258440.27533790463</v>
      </c>
      <c r="F1475" s="53" t="s">
        <v>1500</v>
      </c>
      <c r="G1475" s="25">
        <f t="shared" si="19"/>
        <v>7.5991522858007698E-2</v>
      </c>
    </row>
    <row r="1476" spans="1:7">
      <c r="A1476" s="53">
        <v>31.60335744620717</v>
      </c>
      <c r="B1476" s="53">
        <v>31.804165466288971</v>
      </c>
      <c r="C1476" s="53">
        <v>30.886185945915024</v>
      </c>
      <c r="D1476" s="53">
        <v>31.230428266055252</v>
      </c>
      <c r="E1476" s="53">
        <v>145810.31170006379</v>
      </c>
      <c r="F1476" s="53" t="s">
        <v>1501</v>
      </c>
      <c r="G1476" s="25">
        <f t="shared" si="19"/>
        <v>1.1941212492345477E-2</v>
      </c>
    </row>
    <row r="1477" spans="1:7">
      <c r="A1477" s="53">
        <v>31.756354032936162</v>
      </c>
      <c r="B1477" s="53">
        <v>32.205781506452574</v>
      </c>
      <c r="C1477" s="53">
        <v>31.421673999466496</v>
      </c>
      <c r="D1477" s="53">
        <v>31.421673999466496</v>
      </c>
      <c r="E1477" s="53">
        <v>125762.80563750661</v>
      </c>
      <c r="F1477" s="53" t="s">
        <v>1502</v>
      </c>
      <c r="G1477" s="25">
        <f t="shared" si="19"/>
        <v>1.065124771758974E-2</v>
      </c>
    </row>
    <row r="1478" spans="1:7">
      <c r="A1478" s="53">
        <v>31.775478606277282</v>
      </c>
      <c r="B1478" s="53">
        <v>31.91891290633572</v>
      </c>
      <c r="C1478" s="53">
        <v>30.70450249917435</v>
      </c>
      <c r="D1478" s="53">
        <v>31.125243112679073</v>
      </c>
      <c r="E1478" s="53">
        <v>68620.615821951738</v>
      </c>
      <c r="F1478" s="53" t="s">
        <v>1503</v>
      </c>
      <c r="G1478" s="25">
        <f t="shared" si="19"/>
        <v>2.0890937019969247E-2</v>
      </c>
    </row>
    <row r="1479" spans="1:7">
      <c r="A1479" s="53">
        <v>31.383424852784248</v>
      </c>
      <c r="B1479" s="53">
        <v>31.47904771948987</v>
      </c>
      <c r="C1479" s="53">
        <v>30.838374512562218</v>
      </c>
      <c r="D1479" s="53">
        <v>31.259115126066941</v>
      </c>
      <c r="E1479" s="53">
        <v>48683.961905593351</v>
      </c>
      <c r="F1479" s="53" t="s">
        <v>1504</v>
      </c>
      <c r="G1479" s="25">
        <f t="shared" si="19"/>
        <v>3.9767513000918964E-3</v>
      </c>
    </row>
    <row r="1480" spans="1:7">
      <c r="A1480" s="53">
        <v>31.067869392655705</v>
      </c>
      <c r="B1480" s="53">
        <v>31.163492259361327</v>
      </c>
      <c r="C1480" s="53">
        <v>30.063829292246702</v>
      </c>
      <c r="D1480" s="53">
        <v>30.063829292246702</v>
      </c>
      <c r="E1480" s="53">
        <v>77442.773419433855</v>
      </c>
      <c r="F1480" s="53" t="s">
        <v>1505</v>
      </c>
      <c r="G1480" s="25">
        <f t="shared" si="19"/>
        <v>3.3396946564885566E-2</v>
      </c>
    </row>
    <row r="1481" spans="1:7">
      <c r="A1481" s="53">
        <v>30.063829292246702</v>
      </c>
      <c r="B1481" s="53">
        <v>31.134805399349641</v>
      </c>
      <c r="C1481" s="53">
        <v>29.843896698823777</v>
      </c>
      <c r="D1481" s="53">
        <v>30.312448745681312</v>
      </c>
      <c r="E1481" s="53">
        <v>133964.81868125394</v>
      </c>
      <c r="F1481" s="53" t="s">
        <v>1506</v>
      </c>
      <c r="G1481" s="25">
        <f t="shared" si="19"/>
        <v>-8.2018927444794665E-3</v>
      </c>
    </row>
    <row r="1482" spans="1:7">
      <c r="A1482" s="53">
        <v>30.40807161238693</v>
      </c>
      <c r="B1482" s="53">
        <v>31.259115126066941</v>
      </c>
      <c r="C1482" s="53">
        <v>30.169014445622885</v>
      </c>
      <c r="D1482" s="53">
        <v>30.637566492480417</v>
      </c>
      <c r="E1482" s="53">
        <v>52861.832887331271</v>
      </c>
      <c r="F1482" s="53" t="s">
        <v>1507</v>
      </c>
      <c r="G1482" s="25">
        <f t="shared" si="19"/>
        <v>-7.4906367041198685E-3</v>
      </c>
    </row>
    <row r="1483" spans="1:7">
      <c r="A1483" s="53">
        <v>30.694940212503791</v>
      </c>
      <c r="B1483" s="53">
        <v>31.402549426125375</v>
      </c>
      <c r="C1483" s="53">
        <v>30.580192772457046</v>
      </c>
      <c r="D1483" s="53">
        <v>30.905310519256151</v>
      </c>
      <c r="E1483" s="53">
        <v>92034.47149407446</v>
      </c>
      <c r="F1483" s="53" t="s">
        <v>1508</v>
      </c>
      <c r="G1483" s="25">
        <f t="shared" si="19"/>
        <v>-6.8069306930692575E-3</v>
      </c>
    </row>
    <row r="1484" spans="1:7">
      <c r="A1484" s="53">
        <v>30.895748232585593</v>
      </c>
      <c r="B1484" s="53">
        <v>31.352156175371512</v>
      </c>
      <c r="C1484" s="53">
        <v>30.274199598999065</v>
      </c>
      <c r="D1484" s="53">
        <v>30.465445332410301</v>
      </c>
      <c r="E1484" s="53">
        <v>117724.97926312922</v>
      </c>
      <c r="F1484" s="53" t="s">
        <v>1509</v>
      </c>
      <c r="G1484" s="25">
        <f t="shared" si="19"/>
        <v>1.4124293785310993E-2</v>
      </c>
    </row>
    <row r="1485" spans="1:7">
      <c r="A1485" s="53">
        <v>30.594536202462891</v>
      </c>
      <c r="B1485" s="53">
        <v>31.373862566113687</v>
      </c>
      <c r="C1485" s="53">
        <v>30.503694479092548</v>
      </c>
      <c r="D1485" s="53">
        <v>30.991371099291207</v>
      </c>
      <c r="E1485" s="53">
        <v>138537.99259943663</v>
      </c>
      <c r="F1485" s="53" t="s">
        <v>1510</v>
      </c>
      <c r="G1485" s="25">
        <f t="shared" si="19"/>
        <v>-1.2804689910521305E-2</v>
      </c>
    </row>
    <row r="1486" spans="1:7">
      <c r="A1486" s="53">
        <v>31.287801986078627</v>
      </c>
      <c r="B1486" s="53">
        <v>31.718009263387209</v>
      </c>
      <c r="C1486" s="53">
        <v>31.268677412737507</v>
      </c>
      <c r="D1486" s="53">
        <v>31.679855739571671</v>
      </c>
      <c r="E1486" s="53">
        <v>33678.136945153448</v>
      </c>
      <c r="F1486" s="53" t="s">
        <v>1511</v>
      </c>
      <c r="G1486" s="25">
        <f t="shared" si="19"/>
        <v>-1.2375490492001373E-2</v>
      </c>
    </row>
    <row r="1487" spans="1:7">
      <c r="A1487" s="53">
        <v>31.679855739571671</v>
      </c>
      <c r="B1487" s="53">
        <v>32.148407786429196</v>
      </c>
      <c r="C1487" s="53">
        <v>31.545983726183803</v>
      </c>
      <c r="D1487" s="53">
        <v>31.68941802624223</v>
      </c>
      <c r="E1487" s="53">
        <v>61838.765179506074</v>
      </c>
      <c r="F1487" s="53" t="s">
        <v>1512</v>
      </c>
      <c r="G1487" s="25">
        <f t="shared" si="19"/>
        <v>-3.017501508749687E-4</v>
      </c>
    </row>
    <row r="1488" spans="1:7">
      <c r="A1488" s="53">
        <v>31.861539186312346</v>
      </c>
      <c r="B1488" s="53">
        <v>32.655208979968982</v>
      </c>
      <c r="C1488" s="53">
        <v>31.469485432819301</v>
      </c>
      <c r="D1488" s="53">
        <v>32.04322263305302</v>
      </c>
      <c r="E1488" s="53">
        <v>66275.988352350629</v>
      </c>
      <c r="F1488" s="53" t="s">
        <v>1513</v>
      </c>
      <c r="G1488" s="25">
        <f t="shared" si="19"/>
        <v>-5.6699492688748743E-3</v>
      </c>
    </row>
    <row r="1489" spans="1:7">
      <c r="A1489" s="53">
        <v>31.976286626359084</v>
      </c>
      <c r="B1489" s="53">
        <v>32.014535773041331</v>
      </c>
      <c r="C1489" s="53">
        <v>31.077431679326267</v>
      </c>
      <c r="D1489" s="53">
        <v>31.077431679326267</v>
      </c>
      <c r="E1489" s="53">
        <v>104409.12664473901</v>
      </c>
      <c r="F1489" s="53" t="s">
        <v>1514</v>
      </c>
      <c r="G1489" s="25">
        <f t="shared" si="19"/>
        <v>2.8923076923076829E-2</v>
      </c>
    </row>
    <row r="1490" spans="1:7">
      <c r="A1490" s="53">
        <v>30.991371099291207</v>
      </c>
      <c r="B1490" s="53">
        <v>31.364300279443121</v>
      </c>
      <c r="C1490" s="53">
        <v>30.274199598999065</v>
      </c>
      <c r="D1490" s="53">
        <v>30.914872805926713</v>
      </c>
      <c r="E1490" s="53">
        <v>119955.61726163911</v>
      </c>
      <c r="F1490" s="53" t="s">
        <v>1515</v>
      </c>
      <c r="G1490" s="25">
        <f t="shared" si="19"/>
        <v>2.4744819053510447E-3</v>
      </c>
    </row>
    <row r="1491" spans="1:7">
      <c r="A1491" s="53">
        <v>30.637566492480417</v>
      </c>
      <c r="B1491" s="53">
        <v>30.790563079209409</v>
      </c>
      <c r="C1491" s="53">
        <v>29.958644138870518</v>
      </c>
      <c r="D1491" s="53">
        <v>30.513256765763114</v>
      </c>
      <c r="E1491" s="53">
        <v>122561.68847227513</v>
      </c>
      <c r="F1491" s="53" t="s">
        <v>1516</v>
      </c>
      <c r="G1491" s="25">
        <f t="shared" si="19"/>
        <v>4.0739580068942516E-3</v>
      </c>
    </row>
    <row r="1492" spans="1:7">
      <c r="A1492" s="53">
        <v>30.379384752375245</v>
      </c>
      <c r="B1492" s="53">
        <v>31.871101472982904</v>
      </c>
      <c r="C1492" s="53">
        <v>30.216825878975694</v>
      </c>
      <c r="D1492" s="53">
        <v>30.886185945915024</v>
      </c>
      <c r="E1492" s="53">
        <v>89238.069239965029</v>
      </c>
      <c r="F1492" s="53" t="s">
        <v>1517</v>
      </c>
      <c r="G1492" s="25">
        <f t="shared" si="19"/>
        <v>-1.6408668730650056E-2</v>
      </c>
    </row>
    <row r="1493" spans="1:7">
      <c r="A1493" s="53">
        <v>30.570630485786484</v>
      </c>
      <c r="B1493" s="53">
        <v>31.345175706102001</v>
      </c>
      <c r="C1493" s="53">
        <v>30.403290469051651</v>
      </c>
      <c r="D1493" s="53">
        <v>30.589755059127608</v>
      </c>
      <c r="E1493" s="53">
        <v>70211.239542408148</v>
      </c>
      <c r="F1493" s="53" t="s">
        <v>1518</v>
      </c>
      <c r="G1493" s="25">
        <f t="shared" si="19"/>
        <v>-6.251953735542104E-4</v>
      </c>
    </row>
    <row r="1494" spans="1:7">
      <c r="A1494" s="53">
        <v>30.455883045739743</v>
      </c>
      <c r="B1494" s="53">
        <v>30.972246525950087</v>
      </c>
      <c r="C1494" s="53">
        <v>30.207263592305132</v>
      </c>
      <c r="D1494" s="53">
        <v>30.274199598999065</v>
      </c>
      <c r="E1494" s="53">
        <v>47623.546091955744</v>
      </c>
      <c r="F1494" s="53" t="s">
        <v>1519</v>
      </c>
      <c r="G1494" s="25">
        <f t="shared" si="19"/>
        <v>6.0012634238788554E-3</v>
      </c>
    </row>
    <row r="1495" spans="1:7">
      <c r="A1495" s="53">
        <v>30.733189359186039</v>
      </c>
      <c r="B1495" s="53">
        <v>31.880663759653473</v>
      </c>
      <c r="C1495" s="53">
        <v>30.178576732293443</v>
      </c>
      <c r="D1495" s="53">
        <v>31.259115126066941</v>
      </c>
      <c r="E1495" s="53">
        <v>152674.7785646765</v>
      </c>
      <c r="F1495" s="53" t="s">
        <v>1520</v>
      </c>
      <c r="G1495" s="25">
        <f t="shared" si="19"/>
        <v>-1.682471703884969E-2</v>
      </c>
    </row>
    <row r="1496" spans="1:7">
      <c r="A1496" s="53">
        <v>31.106118539337952</v>
      </c>
      <c r="B1496" s="53">
        <v>31.469485432819301</v>
      </c>
      <c r="C1496" s="53">
        <v>30.761876219197724</v>
      </c>
      <c r="D1496" s="53">
        <v>30.867061372573904</v>
      </c>
      <c r="E1496" s="53">
        <v>89255.847414355405</v>
      </c>
      <c r="F1496" s="53" t="s">
        <v>1521</v>
      </c>
      <c r="G1496" s="25">
        <f t="shared" si="19"/>
        <v>7.7447335811648976E-3</v>
      </c>
    </row>
    <row r="1497" spans="1:7">
      <c r="A1497" s="53">
        <v>30.943559665938398</v>
      </c>
      <c r="B1497" s="53">
        <v>32.502212393239994</v>
      </c>
      <c r="C1497" s="53">
        <v>30.580192772457046</v>
      </c>
      <c r="D1497" s="53">
        <v>30.895748232585593</v>
      </c>
      <c r="E1497" s="53">
        <v>88570.864812843924</v>
      </c>
      <c r="F1497" s="53" t="s">
        <v>1522</v>
      </c>
      <c r="G1497" s="25">
        <f t="shared" si="19"/>
        <v>1.5475085112965914E-3</v>
      </c>
    </row>
    <row r="1498" spans="1:7">
      <c r="A1498" s="53">
        <v>30.93399737926784</v>
      </c>
      <c r="B1498" s="53">
        <v>32.664771266639541</v>
      </c>
      <c r="C1498" s="53">
        <v>30.867061372573904</v>
      </c>
      <c r="D1498" s="53">
        <v>32.636084406627866</v>
      </c>
      <c r="E1498" s="53">
        <v>119948.29683689013</v>
      </c>
      <c r="F1498" s="53" t="s">
        <v>1523</v>
      </c>
      <c r="G1498" s="25">
        <f t="shared" si="19"/>
        <v>-5.2153530618224475E-2</v>
      </c>
    </row>
    <row r="1499" spans="1:7">
      <c r="A1499" s="53">
        <v>32.492650106569428</v>
      </c>
      <c r="B1499" s="53">
        <v>32.69345812665123</v>
      </c>
      <c r="C1499" s="53">
        <v>31.474266576154584</v>
      </c>
      <c r="D1499" s="53">
        <v>32.224906079793698</v>
      </c>
      <c r="E1499" s="53">
        <v>234141.69404611975</v>
      </c>
      <c r="F1499" s="53" t="s">
        <v>1524</v>
      </c>
      <c r="G1499" s="25">
        <f t="shared" si="19"/>
        <v>8.3086053412462224E-3</v>
      </c>
    </row>
    <row r="1500" spans="1:7">
      <c r="A1500" s="53">
        <v>32.377902666522687</v>
      </c>
      <c r="B1500" s="53">
        <v>32.473525533228312</v>
      </c>
      <c r="C1500" s="53">
        <v>31.086993965996825</v>
      </c>
      <c r="D1500" s="53">
        <v>31.928475193006278</v>
      </c>
      <c r="E1500" s="53">
        <v>218821.0908214738</v>
      </c>
      <c r="F1500" s="53" t="s">
        <v>1525</v>
      </c>
      <c r="G1500" s="25">
        <f t="shared" si="19"/>
        <v>1.4076070679844177E-2</v>
      </c>
    </row>
    <row r="1501" spans="1:7">
      <c r="A1501" s="53">
        <v>31.985848913029653</v>
      </c>
      <c r="B1501" s="53">
        <v>32.320528946499316</v>
      </c>
      <c r="C1501" s="53">
        <v>31.03918253264402</v>
      </c>
      <c r="D1501" s="53">
        <v>31.03918253264402</v>
      </c>
      <c r="E1501" s="53">
        <v>226491.85018343816</v>
      </c>
      <c r="F1501" s="53" t="s">
        <v>1526</v>
      </c>
      <c r="G1501" s="25">
        <f t="shared" si="19"/>
        <v>3.0499075785582308E-2</v>
      </c>
    </row>
    <row r="1502" spans="1:7">
      <c r="A1502" s="53">
        <v>31.077431679326267</v>
      </c>
      <c r="B1502" s="53">
        <v>31.120461969343797</v>
      </c>
      <c r="C1502" s="53">
        <v>30.431977329063336</v>
      </c>
      <c r="D1502" s="53">
        <v>30.886185945915024</v>
      </c>
      <c r="E1502" s="53">
        <v>59805.778649218584</v>
      </c>
      <c r="F1502" s="53" t="s">
        <v>1527</v>
      </c>
      <c r="G1502" s="25">
        <f t="shared" si="19"/>
        <v>6.1919504643963563E-3</v>
      </c>
    </row>
    <row r="1503" spans="1:7">
      <c r="A1503" s="53">
        <v>30.733189359186039</v>
      </c>
      <c r="B1503" s="53">
        <v>30.895748232585593</v>
      </c>
      <c r="C1503" s="53">
        <v>29.996893285552769</v>
      </c>
      <c r="D1503" s="53">
        <v>30.895748232585593</v>
      </c>
      <c r="E1503" s="53">
        <v>75149.388923075603</v>
      </c>
      <c r="F1503" s="53" t="s">
        <v>1528</v>
      </c>
      <c r="G1503" s="25">
        <f t="shared" si="19"/>
        <v>-5.2615289384092545E-3</v>
      </c>
    </row>
    <row r="1504" spans="1:7">
      <c r="G1504" s="25"/>
    </row>
    <row r="1505" spans="7:7">
      <c r="G1505" s="25"/>
    </row>
    <row r="1506" spans="7:7">
      <c r="G1506" s="25"/>
    </row>
    <row r="1507" spans="7:7">
      <c r="G1507" s="25"/>
    </row>
    <row r="1508" spans="7:7">
      <c r="G1508" s="25"/>
    </row>
    <row r="1509" spans="7:7">
      <c r="G1509" s="25"/>
    </row>
    <row r="1510" spans="7:7">
      <c r="G1510" s="25"/>
    </row>
    <row r="1511" spans="7:7">
      <c r="G1511" s="25"/>
    </row>
    <row r="1512" spans="7:7">
      <c r="G1512" s="25"/>
    </row>
    <row r="1513" spans="7:7">
      <c r="G1513" s="25"/>
    </row>
    <row r="1514" spans="7:7">
      <c r="G1514" s="25"/>
    </row>
    <row r="1515" spans="7:7">
      <c r="G1515" s="25"/>
    </row>
    <row r="1516" spans="7:7">
      <c r="G1516" s="25"/>
    </row>
    <row r="1517" spans="7:7">
      <c r="G1517" s="25"/>
    </row>
    <row r="1518" spans="7:7">
      <c r="G1518" s="25"/>
    </row>
    <row r="1519" spans="7:7">
      <c r="G1519" s="25"/>
    </row>
    <row r="1520" spans="7:7">
      <c r="G1520" s="25"/>
    </row>
    <row r="1521" spans="7:7">
      <c r="G1521" s="25"/>
    </row>
    <row r="1522" spans="7:7">
      <c r="G1522" s="25"/>
    </row>
    <row r="1523" spans="7:7">
      <c r="G1523" s="25"/>
    </row>
    <row r="1524" spans="7:7">
      <c r="G1524" s="25"/>
    </row>
    <row r="1525" spans="7:7">
      <c r="G1525" s="25"/>
    </row>
    <row r="1526" spans="7:7">
      <c r="G1526" s="25"/>
    </row>
    <row r="1527" spans="7:7">
      <c r="G1527" s="25"/>
    </row>
    <row r="1528" spans="7:7">
      <c r="G1528" s="25"/>
    </row>
    <row r="1529" spans="7:7">
      <c r="G1529" s="25"/>
    </row>
    <row r="1530" spans="7:7">
      <c r="G1530" s="25"/>
    </row>
    <row r="1531" spans="7:7">
      <c r="G1531" s="25"/>
    </row>
    <row r="1532" spans="7:7">
      <c r="G1532" s="25"/>
    </row>
    <row r="1533" spans="7:7">
      <c r="G1533" s="25"/>
    </row>
    <row r="1534" spans="7:7">
      <c r="G1534" s="25"/>
    </row>
    <row r="1535" spans="7:7">
      <c r="G1535" s="25"/>
    </row>
    <row r="1536" spans="7:7">
      <c r="G1536" s="25"/>
    </row>
    <row r="1537" spans="7:7">
      <c r="G1537" s="25"/>
    </row>
    <row r="1538" spans="7:7">
      <c r="G1538" s="25"/>
    </row>
    <row r="1539" spans="7:7">
      <c r="G1539" s="25"/>
    </row>
    <row r="1540" spans="7:7">
      <c r="G1540" s="25"/>
    </row>
    <row r="1541" spans="7:7">
      <c r="G1541" s="25"/>
    </row>
    <row r="1542" spans="7:7">
      <c r="G1542" s="25"/>
    </row>
    <row r="1543" spans="7:7">
      <c r="G1543" s="25"/>
    </row>
    <row r="1544" spans="7:7">
      <c r="G1544" s="25"/>
    </row>
    <row r="1545" spans="7:7">
      <c r="G1545" s="25"/>
    </row>
    <row r="1546" spans="7:7">
      <c r="G1546" s="25"/>
    </row>
    <row r="1547" spans="7:7">
      <c r="G1547" s="25"/>
    </row>
    <row r="1548" spans="7:7">
      <c r="G1548" s="25"/>
    </row>
    <row r="1549" spans="7:7">
      <c r="G1549" s="25"/>
    </row>
    <row r="1550" spans="7:7">
      <c r="G1550" s="25"/>
    </row>
    <row r="1551" spans="7:7">
      <c r="G1551" s="25"/>
    </row>
    <row r="1552" spans="7:7">
      <c r="G1552" s="25"/>
    </row>
    <row r="1553" spans="7:7">
      <c r="G1553" s="25"/>
    </row>
    <row r="1554" spans="7:7">
      <c r="G1554" s="25"/>
    </row>
    <row r="1555" spans="7:7">
      <c r="G1555" s="25"/>
    </row>
    <row r="1556" spans="7:7">
      <c r="G1556" s="25"/>
    </row>
    <row r="1557" spans="7:7">
      <c r="G1557" s="25"/>
    </row>
    <row r="1558" spans="7:7">
      <c r="G1558" s="25"/>
    </row>
    <row r="1559" spans="7:7">
      <c r="G1559" s="25"/>
    </row>
    <row r="1560" spans="7:7">
      <c r="G1560" s="25"/>
    </row>
    <row r="1561" spans="7:7">
      <c r="G1561" s="25"/>
    </row>
    <row r="1562" spans="7:7">
      <c r="G1562" s="25"/>
    </row>
    <row r="1563" spans="7:7">
      <c r="G1563" s="25"/>
    </row>
    <row r="1564" spans="7:7">
      <c r="G1564" s="25"/>
    </row>
    <row r="1565" spans="7:7">
      <c r="G1565" s="25"/>
    </row>
    <row r="1566" spans="7:7">
      <c r="G1566" s="25"/>
    </row>
    <row r="1567" spans="7:7">
      <c r="G1567" s="25"/>
    </row>
    <row r="1568" spans="7:7">
      <c r="G1568" s="25"/>
    </row>
    <row r="1569" spans="7:7">
      <c r="G1569" s="25"/>
    </row>
    <row r="1570" spans="7:7">
      <c r="G1570" s="25"/>
    </row>
    <row r="1571" spans="7:7">
      <c r="G1571" s="25"/>
    </row>
    <row r="1572" spans="7:7">
      <c r="G1572" s="25"/>
    </row>
    <row r="1573" spans="7:7">
      <c r="G1573" s="25"/>
    </row>
    <row r="1574" spans="7:7">
      <c r="G1574" s="25"/>
    </row>
    <row r="1575" spans="7:7">
      <c r="G1575" s="25"/>
    </row>
    <row r="1576" spans="7:7">
      <c r="G1576" s="25"/>
    </row>
    <row r="1577" spans="7:7">
      <c r="G1577" s="25"/>
    </row>
    <row r="1578" spans="7:7">
      <c r="G1578" s="25"/>
    </row>
    <row r="1579" spans="7:7">
      <c r="G1579" s="25"/>
    </row>
    <row r="1580" spans="7:7">
      <c r="G1580" s="25"/>
    </row>
    <row r="1581" spans="7:7">
      <c r="G1581" s="25"/>
    </row>
    <row r="1582" spans="7:7">
      <c r="G1582" s="25"/>
    </row>
    <row r="1583" spans="7:7">
      <c r="G1583" s="25"/>
    </row>
    <row r="1584" spans="7:7">
      <c r="G1584" s="25"/>
    </row>
    <row r="1585" spans="7:7">
      <c r="G1585" s="25"/>
    </row>
    <row r="1586" spans="7:7">
      <c r="G1586" s="25"/>
    </row>
    <row r="1587" spans="7:7">
      <c r="G1587" s="25"/>
    </row>
    <row r="1588" spans="7:7">
      <c r="G1588" s="25"/>
    </row>
    <row r="1589" spans="7:7">
      <c r="G1589" s="25"/>
    </row>
    <row r="1590" spans="7:7">
      <c r="G1590" s="25"/>
    </row>
    <row r="1591" spans="7:7">
      <c r="G1591" s="25"/>
    </row>
    <row r="1592" spans="7:7">
      <c r="G1592" s="25"/>
    </row>
    <row r="1593" spans="7:7">
      <c r="G1593" s="25"/>
    </row>
    <row r="1594" spans="7:7">
      <c r="G1594" s="25"/>
    </row>
    <row r="1595" spans="7:7">
      <c r="G1595" s="25"/>
    </row>
    <row r="1596" spans="7:7">
      <c r="G1596" s="25"/>
    </row>
    <row r="1597" spans="7:7">
      <c r="G1597" s="25"/>
    </row>
    <row r="1598" spans="7:7">
      <c r="G1598" s="25"/>
    </row>
    <row r="1599" spans="7:7">
      <c r="G1599" s="25"/>
    </row>
    <row r="1600" spans="7:7">
      <c r="G1600" s="25"/>
    </row>
    <row r="1601" spans="7:7">
      <c r="G1601" s="25"/>
    </row>
    <row r="1602" spans="7:7">
      <c r="G1602" s="25"/>
    </row>
    <row r="1603" spans="7:7">
      <c r="G1603" s="25"/>
    </row>
    <row r="1604" spans="7:7">
      <c r="G1604" s="25"/>
    </row>
    <row r="1605" spans="7:7">
      <c r="G1605" s="25"/>
    </row>
    <row r="1606" spans="7:7">
      <c r="G1606" s="25"/>
    </row>
    <row r="1607" spans="7:7">
      <c r="G1607" s="25"/>
    </row>
    <row r="1608" spans="7:7">
      <c r="G1608" s="25"/>
    </row>
    <row r="1609" spans="7:7">
      <c r="G1609" s="25"/>
    </row>
    <row r="1610" spans="7:7">
      <c r="G1610" s="25"/>
    </row>
    <row r="1611" spans="7:7">
      <c r="G1611" s="25"/>
    </row>
    <row r="1612" spans="7:7">
      <c r="G1612" s="25"/>
    </row>
    <row r="1613" spans="7:7">
      <c r="G1613" s="25"/>
    </row>
    <row r="1614" spans="7:7">
      <c r="G1614" s="25"/>
    </row>
    <row r="1615" spans="7:7">
      <c r="G1615" s="25"/>
    </row>
    <row r="1616" spans="7:7">
      <c r="G1616" s="25"/>
    </row>
    <row r="1617" spans="7:7">
      <c r="G1617" s="25"/>
    </row>
    <row r="1618" spans="7:7">
      <c r="G1618" s="25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63948-7FD9-4D33-AAA7-BDE5D55568DA}">
  <dimension ref="A1"/>
  <sheetViews>
    <sheetView workbookViewId="0">
      <selection sqref="A1:XFD1048576"/>
    </sheetView>
  </sheetViews>
  <sheetFormatPr defaultColWidth="9.140625" defaultRowHeight="14.25"/>
  <cols>
    <col min="1" max="1" width="3" style="1" customWidth="1"/>
    <col min="2" max="16384" width="9.140625" style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36E60-677E-467E-9C59-7853ADE8E695}">
  <dimension ref="A1"/>
  <sheetViews>
    <sheetView workbookViewId="0">
      <selection sqref="A1:XFD1048576"/>
    </sheetView>
  </sheetViews>
  <sheetFormatPr defaultColWidth="9.140625" defaultRowHeight="14.25"/>
  <cols>
    <col min="1" max="1" width="3" style="1" customWidth="1"/>
    <col min="2" max="16384" width="9.140625" style="1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CC31F-8910-447E-89B3-28B6120F3B0A}">
  <dimension ref="B2:Z8"/>
  <sheetViews>
    <sheetView workbookViewId="0">
      <selection activeCell="D15" sqref="D15"/>
    </sheetView>
  </sheetViews>
  <sheetFormatPr defaultColWidth="9.140625" defaultRowHeight="14.25"/>
  <cols>
    <col min="1" max="1" width="3.140625" style="1" customWidth="1"/>
    <col min="2" max="16384" width="9.140625" style="1"/>
  </cols>
  <sheetData>
    <row r="2" spans="2:26" ht="15">
      <c r="B2" s="3" t="s">
        <v>11</v>
      </c>
      <c r="C2" s="4"/>
      <c r="D2" s="4"/>
      <c r="E2" s="4"/>
      <c r="F2" s="4"/>
      <c r="G2" s="3" t="s">
        <v>11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</row>
    <row r="3" spans="2:26" ht="15">
      <c r="B3" s="7" t="s">
        <v>12</v>
      </c>
      <c r="C3" s="8"/>
      <c r="D3" s="8"/>
      <c r="E3" s="8"/>
      <c r="F3" s="9"/>
      <c r="G3" s="10" t="s">
        <v>13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1"/>
    </row>
    <row r="4" spans="2:26" ht="15">
      <c r="B4" s="12" t="s">
        <v>12</v>
      </c>
      <c r="C4" s="13"/>
      <c r="D4" s="13"/>
      <c r="E4" s="13"/>
      <c r="F4" s="14"/>
      <c r="G4" s="15" t="s">
        <v>14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6"/>
    </row>
    <row r="5" spans="2:26" ht="15">
      <c r="B5" s="12" t="s">
        <v>12</v>
      </c>
      <c r="C5" s="13"/>
      <c r="D5" s="13"/>
      <c r="E5" s="13"/>
      <c r="F5" s="14"/>
      <c r="G5" s="17" t="s">
        <v>13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8"/>
    </row>
    <row r="6" spans="2:26" ht="15">
      <c r="B6" s="12" t="s">
        <v>12</v>
      </c>
      <c r="C6" s="13"/>
      <c r="D6" s="13"/>
      <c r="E6" s="13"/>
      <c r="F6" s="14"/>
      <c r="G6" s="15" t="s">
        <v>14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6"/>
    </row>
    <row r="7" spans="2:26" ht="15">
      <c r="B7" s="12" t="s">
        <v>12</v>
      </c>
      <c r="C7" s="13"/>
      <c r="D7" s="13"/>
      <c r="E7" s="13"/>
      <c r="F7" s="14"/>
      <c r="G7" s="17" t="s">
        <v>13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8"/>
    </row>
    <row r="8" spans="2:26" ht="15">
      <c r="B8" s="19" t="s">
        <v>12</v>
      </c>
      <c r="C8" s="20"/>
      <c r="D8" s="20"/>
      <c r="E8" s="20"/>
      <c r="F8" s="21"/>
      <c r="G8" s="22" t="s">
        <v>14</v>
      </c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</vt:lpstr>
      <vt:lpstr>Model</vt:lpstr>
      <vt:lpstr>Notes | Quant Analysis</vt:lpstr>
      <vt:lpstr>Product Lines</vt:lpstr>
      <vt:lpstr>Management</vt:lpstr>
      <vt:lpstr>Table Formatting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Jacob H</cp:lastModifiedBy>
  <dcterms:created xsi:type="dcterms:W3CDTF">2015-06-05T18:17:20Z</dcterms:created>
  <dcterms:modified xsi:type="dcterms:W3CDTF">2026-01-12T09:29:59Z</dcterms:modified>
</cp:coreProperties>
</file>