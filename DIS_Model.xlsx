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Communication Services\"/>
    </mc:Choice>
  </mc:AlternateContent>
  <xr:revisionPtr revIDLastSave="0" documentId="13_ncr:1_{0A293054-D074-4D1E-B8E1-FB77AB46183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  <externalReference r:id="rId8"/>
    <externalReference r:id="rId9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61" i="2" l="1"/>
  <c r="BK61" i="2"/>
  <c r="BJ61" i="2"/>
  <c r="BI61" i="2"/>
  <c r="BH61" i="2"/>
  <c r="BG61" i="2"/>
  <c r="BL60" i="2"/>
  <c r="BK60" i="2"/>
  <c r="BJ60" i="2"/>
  <c r="BI60" i="2"/>
  <c r="BH60" i="2"/>
  <c r="BG60" i="2"/>
  <c r="BL59" i="2"/>
  <c r="BK59" i="2"/>
  <c r="BJ59" i="2"/>
  <c r="BI59" i="2"/>
  <c r="BH59" i="2"/>
  <c r="BG59" i="2"/>
  <c r="BL58" i="2"/>
  <c r="BK58" i="2"/>
  <c r="BJ58" i="2"/>
  <c r="BI58" i="2"/>
  <c r="BH58" i="2"/>
  <c r="BG58" i="2"/>
  <c r="Z59" i="2"/>
  <c r="Z61" i="2" s="1"/>
  <c r="Y59" i="2"/>
  <c r="Y61" i="2" s="1"/>
  <c r="X59" i="2"/>
  <c r="X61" i="2" s="1"/>
  <c r="W59" i="2"/>
  <c r="W61" i="2" s="1"/>
  <c r="V59" i="2"/>
  <c r="V61" i="2" s="1"/>
  <c r="U59" i="2"/>
  <c r="U61" i="2" s="1"/>
  <c r="T59" i="2"/>
  <c r="T61" i="2" s="1"/>
  <c r="S59" i="2"/>
  <c r="S61" i="2" s="1"/>
  <c r="R59" i="2"/>
  <c r="R61" i="2" s="1"/>
  <c r="Q59" i="2"/>
  <c r="Q61" i="2" s="1"/>
  <c r="P59" i="2"/>
  <c r="P61" i="2" s="1"/>
  <c r="O59" i="2"/>
  <c r="O61" i="2" s="1"/>
  <c r="N59" i="2"/>
  <c r="N61" i="2" s="1"/>
  <c r="M59" i="2"/>
  <c r="M61" i="2" s="1"/>
  <c r="L59" i="2"/>
  <c r="L61" i="2" s="1"/>
  <c r="K59" i="2"/>
  <c r="K61" i="2" s="1"/>
  <c r="J59" i="2"/>
  <c r="J61" i="2" s="1"/>
  <c r="I59" i="2"/>
  <c r="I61" i="2" s="1"/>
  <c r="H59" i="2"/>
  <c r="H61" i="2" s="1"/>
  <c r="G59" i="2"/>
  <c r="G61" i="2" s="1"/>
  <c r="F59" i="2"/>
  <c r="F61" i="2" s="1"/>
  <c r="E59" i="2"/>
  <c r="E61" i="2" s="1"/>
  <c r="D59" i="2"/>
  <c r="D61" i="2" s="1"/>
  <c r="C59" i="2"/>
  <c r="C61" i="2" s="1"/>
  <c r="CL75" i="2"/>
  <c r="BS54" i="2" l="1"/>
  <c r="BS68" i="2"/>
  <c r="BT90" i="2"/>
  <c r="BU90" i="2" s="1"/>
  <c r="BV90" i="2" s="1"/>
  <c r="BW90" i="2" s="1"/>
  <c r="BX90" i="2" s="1"/>
  <c r="BY90" i="2" s="1"/>
  <c r="BZ90" i="2" s="1"/>
  <c r="CA90" i="2" s="1"/>
  <c r="CB90" i="2" s="1"/>
  <c r="BS90" i="2"/>
  <c r="BO62" i="2"/>
  <c r="BN62" i="2"/>
  <c r="BM62" i="2"/>
  <c r="BL62" i="2"/>
  <c r="BK62" i="2"/>
  <c r="BJ62" i="2"/>
  <c r="BI62" i="2"/>
  <c r="BH62" i="2"/>
  <c r="BG62" i="2"/>
  <c r="BP62" i="2"/>
  <c r="BQ62" i="2"/>
  <c r="BR62" i="2"/>
  <c r="AH103" i="2"/>
  <c r="AH101" i="2"/>
  <c r="AH94" i="2"/>
  <c r="AH102" i="2" s="1"/>
  <c r="AH85" i="2"/>
  <c r="AQ6" i="2"/>
  <c r="AR6" i="2"/>
  <c r="AV6" i="2"/>
  <c r="AX5" i="2"/>
  <c r="AS6" i="2"/>
  <c r="AW6" i="2"/>
  <c r="AT20" i="2"/>
  <c r="AT19" i="2"/>
  <c r="AT18" i="2"/>
  <c r="BQ18" i="2" s="1"/>
  <c r="AT5" i="2"/>
  <c r="AT4" i="2"/>
  <c r="AT34" i="2"/>
  <c r="AT33" i="2"/>
  <c r="AT32" i="2"/>
  <c r="AX34" i="2"/>
  <c r="AX33" i="2"/>
  <c r="AX32" i="2"/>
  <c r="AX20" i="2"/>
  <c r="AX19" i="2"/>
  <c r="BR19" i="2" s="1"/>
  <c r="AX18" i="2"/>
  <c r="BR18" i="2" s="1"/>
  <c r="BS18" i="2" s="1"/>
  <c r="AX4" i="2"/>
  <c r="AU6" i="2"/>
  <c r="AX6" i="2" s="1"/>
  <c r="AY6" i="2"/>
  <c r="AY35" i="2"/>
  <c r="AY44" i="2" s="1"/>
  <c r="AW35" i="2"/>
  <c r="AW42" i="2" s="1"/>
  <c r="AV35" i="2"/>
  <c r="AV44" i="2" s="1"/>
  <c r="AU35" i="2"/>
  <c r="AU43" i="2" s="1"/>
  <c r="AS35" i="2"/>
  <c r="AS42" i="2" s="1"/>
  <c r="AR35" i="2"/>
  <c r="AR42" i="2" s="1"/>
  <c r="AQ35" i="2"/>
  <c r="AQ43" i="2" s="1"/>
  <c r="AY25" i="2"/>
  <c r="AW25" i="2"/>
  <c r="AV25" i="2"/>
  <c r="AU25" i="2"/>
  <c r="AY24" i="2"/>
  <c r="AW24" i="2"/>
  <c r="AV24" i="2"/>
  <c r="AU24" i="2"/>
  <c r="AY23" i="2"/>
  <c r="AW23" i="2"/>
  <c r="AV23" i="2"/>
  <c r="AU23" i="2"/>
  <c r="AY21" i="2"/>
  <c r="AY30" i="2" s="1"/>
  <c r="AW21" i="2"/>
  <c r="AW30" i="2" s="1"/>
  <c r="AV21" i="2"/>
  <c r="AV30" i="2" s="1"/>
  <c r="AU21" i="2"/>
  <c r="AU28" i="2" s="1"/>
  <c r="AS21" i="2"/>
  <c r="AR21" i="2"/>
  <c r="AR29" i="2" s="1"/>
  <c r="AQ21" i="2"/>
  <c r="AQ30" i="2" s="1"/>
  <c r="AH96" i="2" l="1"/>
  <c r="AT6" i="2"/>
  <c r="AQ42" i="2"/>
  <c r="AQ44" i="2"/>
  <c r="AQ29" i="2"/>
  <c r="AQ28" i="2"/>
  <c r="AR44" i="2"/>
  <c r="AR43" i="2"/>
  <c r="BQ19" i="2"/>
  <c r="AY42" i="2"/>
  <c r="AV43" i="2"/>
  <c r="AY43" i="2"/>
  <c r="AV42" i="2"/>
  <c r="BQ20" i="2"/>
  <c r="AX25" i="2"/>
  <c r="AS44" i="2"/>
  <c r="AS43" i="2"/>
  <c r="AW44" i="2"/>
  <c r="AW43" i="2"/>
  <c r="AX35" i="2"/>
  <c r="AX43" i="2" s="1"/>
  <c r="BR20" i="2"/>
  <c r="AX21" i="2"/>
  <c r="AX30" i="2" s="1"/>
  <c r="AX24" i="2"/>
  <c r="AT35" i="2"/>
  <c r="AT42" i="2" s="1"/>
  <c r="AX23" i="2"/>
  <c r="AT21" i="2"/>
  <c r="AT28" i="2" s="1"/>
  <c r="AU42" i="2"/>
  <c r="AU44" i="2"/>
  <c r="AU26" i="2"/>
  <c r="AV26" i="2"/>
  <c r="AU29" i="2"/>
  <c r="AV29" i="2"/>
  <c r="BS19" i="2"/>
  <c r="BT19" i="2" s="1"/>
  <c r="BU19" i="2" s="1"/>
  <c r="BV19" i="2" s="1"/>
  <c r="BW19" i="2" s="1"/>
  <c r="BX19" i="2" s="1"/>
  <c r="BY19" i="2" s="1"/>
  <c r="BZ19" i="2" s="1"/>
  <c r="CA19" i="2" s="1"/>
  <c r="CB19" i="2" s="1"/>
  <c r="AY29" i="2"/>
  <c r="AY28" i="2"/>
  <c r="BR23" i="2"/>
  <c r="AV28" i="2"/>
  <c r="AS29" i="2"/>
  <c r="AR30" i="2"/>
  <c r="AW28" i="2"/>
  <c r="AS30" i="2"/>
  <c r="AU30" i="2"/>
  <c r="AR28" i="2"/>
  <c r="AW29" i="2"/>
  <c r="AY26" i="2"/>
  <c r="AS28" i="2"/>
  <c r="AW26" i="2"/>
  <c r="BT18" i="2"/>
  <c r="BS20" i="2" l="1"/>
  <c r="BT20" i="2" s="1"/>
  <c r="BU20" i="2" s="1"/>
  <c r="BV20" i="2" s="1"/>
  <c r="BW20" i="2" s="1"/>
  <c r="BX20" i="2" s="1"/>
  <c r="BY20" i="2" s="1"/>
  <c r="BZ20" i="2" s="1"/>
  <c r="CA20" i="2" s="1"/>
  <c r="CB20" i="2" s="1"/>
  <c r="AH98" i="2"/>
  <c r="AH100" i="2"/>
  <c r="AH99" i="2"/>
  <c r="BR24" i="2"/>
  <c r="BR21" i="2"/>
  <c r="BR25" i="2"/>
  <c r="AX42" i="2"/>
  <c r="AX28" i="2"/>
  <c r="AX44" i="2"/>
  <c r="AT29" i="2"/>
  <c r="AX26" i="2"/>
  <c r="BQ21" i="2"/>
  <c r="BQ30" i="2" s="1"/>
  <c r="AX29" i="2"/>
  <c r="AT43" i="2"/>
  <c r="AT44" i="2"/>
  <c r="AT30" i="2"/>
  <c r="BU18" i="2"/>
  <c r="BT21" i="2" l="1"/>
  <c r="BS21" i="2"/>
  <c r="BS26" i="2" s="1"/>
  <c r="BQ29" i="2"/>
  <c r="BR28" i="2"/>
  <c r="BR29" i="2"/>
  <c r="BR30" i="2"/>
  <c r="BR26" i="2"/>
  <c r="BQ28" i="2"/>
  <c r="BU21" i="2"/>
  <c r="BU26" i="2" s="1"/>
  <c r="BV18" i="2"/>
  <c r="BT26" i="2" l="1"/>
  <c r="BV21" i="2"/>
  <c r="BV26" i="2" s="1"/>
  <c r="BW18" i="2"/>
  <c r="BX18" i="2" l="1"/>
  <c r="BW21" i="2"/>
  <c r="BW26" i="2" s="1"/>
  <c r="BX21" i="2" l="1"/>
  <c r="BX26" i="2" s="1"/>
  <c r="BY18" i="2"/>
  <c r="BR60" i="2"/>
  <c r="BQ60" i="2"/>
  <c r="BP60" i="2"/>
  <c r="BO60" i="2"/>
  <c r="BN60" i="2"/>
  <c r="BM60" i="2"/>
  <c r="BR58" i="2"/>
  <c r="BQ58" i="2"/>
  <c r="BP58" i="2"/>
  <c r="BO58" i="2"/>
  <c r="BN58" i="2"/>
  <c r="BM58" i="2"/>
  <c r="BQ109" i="2"/>
  <c r="BO109" i="2"/>
  <c r="BN109" i="2"/>
  <c r="BK109" i="2"/>
  <c r="BJ109" i="2"/>
  <c r="BI109" i="2"/>
  <c r="BG109" i="2"/>
  <c r="BH109" i="2"/>
  <c r="BL109" i="2"/>
  <c r="BM109" i="2"/>
  <c r="BP109" i="2"/>
  <c r="BR109" i="2"/>
  <c r="AY110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Y21" i="2" l="1"/>
  <c r="BY26" i="2" s="1"/>
  <c r="BZ18" i="2"/>
  <c r="AY112" i="2"/>
  <c r="BZ21" i="2" l="1"/>
  <c r="BZ26" i="2" s="1"/>
  <c r="CA18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C3" i="2" a="1"/>
  <c r="C3" i="2" s="1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CA21" i="2" l="1"/>
  <c r="CA26" i="2" s="1"/>
  <c r="CB18" i="2"/>
  <c r="CB21" i="2" s="1"/>
  <c r="CB26" i="2" l="1"/>
  <c r="AY103" i="2"/>
  <c r="AY94" i="2"/>
  <c r="AY96" i="2" s="1"/>
  <c r="AY100" i="2" s="1"/>
  <c r="AY85" i="2"/>
  <c r="AY40" i="2"/>
  <c r="AY39" i="2"/>
  <c r="AY38" i="2"/>
  <c r="AY37" i="2"/>
  <c r="AY11" i="2"/>
  <c r="AY10" i="2"/>
  <c r="AY9" i="2"/>
  <c r="AY7" i="2"/>
  <c r="AY16" i="2" s="1"/>
  <c r="Z48" i="2"/>
  <c r="Z65" i="2" s="1"/>
  <c r="Y48" i="2"/>
  <c r="Y65" i="2" s="1"/>
  <c r="X48" i="2"/>
  <c r="X65" i="2" s="1"/>
  <c r="W48" i="2"/>
  <c r="W65" i="2" s="1"/>
  <c r="V48" i="2"/>
  <c r="V65" i="2" s="1"/>
  <c r="U48" i="2"/>
  <c r="U65" i="2" s="1"/>
  <c r="T48" i="2"/>
  <c r="T65" i="2" s="1"/>
  <c r="S48" i="2"/>
  <c r="S65" i="2" s="1"/>
  <c r="R48" i="2"/>
  <c r="R65" i="2" s="1"/>
  <c r="Q48" i="2"/>
  <c r="Q65" i="2" s="1"/>
  <c r="P48" i="2"/>
  <c r="P65" i="2" s="1"/>
  <c r="O48" i="2"/>
  <c r="O65" i="2" s="1"/>
  <c r="N48" i="2"/>
  <c r="N65" i="2" s="1"/>
  <c r="M48" i="2"/>
  <c r="M65" i="2" s="1"/>
  <c r="L48" i="2"/>
  <c r="L65" i="2" s="1"/>
  <c r="K48" i="2"/>
  <c r="K65" i="2" s="1"/>
  <c r="J48" i="2"/>
  <c r="J65" i="2" s="1"/>
  <c r="I48" i="2"/>
  <c r="I65" i="2" s="1"/>
  <c r="H48" i="2"/>
  <c r="H65" i="2" s="1"/>
  <c r="G48" i="2"/>
  <c r="G65" i="2" s="1"/>
  <c r="F48" i="2"/>
  <c r="F65" i="2" s="1"/>
  <c r="E48" i="2"/>
  <c r="E65" i="2" s="1"/>
  <c r="D48" i="2"/>
  <c r="D65" i="2" s="1"/>
  <c r="C48" i="2"/>
  <c r="C65" i="2" s="1"/>
  <c r="AW94" i="2"/>
  <c r="AW96" i="2" s="1"/>
  <c r="AV94" i="2"/>
  <c r="AV96" i="2" s="1"/>
  <c r="AU94" i="2"/>
  <c r="AT94" i="2"/>
  <c r="AS94" i="2"/>
  <c r="AR94" i="2"/>
  <c r="AQ94" i="2"/>
  <c r="AP94" i="2"/>
  <c r="AO94" i="2"/>
  <c r="AO96" i="2" s="1"/>
  <c r="AN94" i="2"/>
  <c r="AN96" i="2" s="1"/>
  <c r="AM94" i="2"/>
  <c r="AL94" i="2"/>
  <c r="AK94" i="2"/>
  <c r="AJ94" i="2"/>
  <c r="AI94" i="2"/>
  <c r="AX94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X85" i="2"/>
  <c r="AI103" i="2"/>
  <c r="AJ103" i="2"/>
  <c r="AK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Y14" i="2" l="1"/>
  <c r="AY15" i="2"/>
  <c r="AY66" i="2"/>
  <c r="AY102" i="2"/>
  <c r="AY101" i="2"/>
  <c r="AY48" i="2"/>
  <c r="AY99" i="2"/>
  <c r="AY98" i="2"/>
  <c r="AP96" i="2"/>
  <c r="AP99" i="2" s="1"/>
  <c r="AJ96" i="2"/>
  <c r="AK96" i="2"/>
  <c r="AK100" i="2" s="1"/>
  <c r="AS96" i="2"/>
  <c r="AS98" i="2" s="1"/>
  <c r="AT96" i="2"/>
  <c r="AR96" i="2"/>
  <c r="AR100" i="2" s="1"/>
  <c r="AL96" i="2"/>
  <c r="AM96" i="2"/>
  <c r="AM98" i="2" s="1"/>
  <c r="AU96" i="2"/>
  <c r="AU98" i="2" s="1"/>
  <c r="AQ96" i="2"/>
  <c r="AQ100" i="2" s="1"/>
  <c r="AI96" i="2"/>
  <c r="AV100" i="2"/>
  <c r="AV99" i="2"/>
  <c r="AV98" i="2"/>
  <c r="AW98" i="2"/>
  <c r="AW99" i="2"/>
  <c r="AW100" i="2"/>
  <c r="AN100" i="2"/>
  <c r="AN99" i="2"/>
  <c r="AN98" i="2"/>
  <c r="AO100" i="2"/>
  <c r="AO99" i="2"/>
  <c r="AO98" i="2"/>
  <c r="AU99" i="2" l="1"/>
  <c r="AY65" i="2"/>
  <c r="AK98" i="2"/>
  <c r="AR98" i="2"/>
  <c r="AR99" i="2"/>
  <c r="AS99" i="2"/>
  <c r="AT100" i="2"/>
  <c r="AT99" i="2"/>
  <c r="AP98" i="2"/>
  <c r="AP100" i="2"/>
  <c r="AK99" i="2"/>
  <c r="AT98" i="2"/>
  <c r="AM99" i="2"/>
  <c r="AU100" i="2"/>
  <c r="AM100" i="2"/>
  <c r="AS100" i="2"/>
  <c r="AJ99" i="2"/>
  <c r="AJ100" i="2"/>
  <c r="AL98" i="2"/>
  <c r="AL99" i="2"/>
  <c r="AJ98" i="2"/>
  <c r="AQ99" i="2"/>
  <c r="AQ98" i="2"/>
  <c r="AL100" i="2"/>
  <c r="AI100" i="2"/>
  <c r="AI98" i="2"/>
  <c r="AI99" i="2"/>
  <c r="BQ96" i="2" l="1"/>
  <c r="BP96" i="2"/>
  <c r="BO96" i="2"/>
  <c r="BR95" i="2"/>
  <c r="BQ95" i="2"/>
  <c r="BP95" i="2"/>
  <c r="BO95" i="2"/>
  <c r="BQ94" i="2"/>
  <c r="BP94" i="2"/>
  <c r="BO94" i="2"/>
  <c r="BR93" i="2"/>
  <c r="BQ93" i="2"/>
  <c r="BP93" i="2"/>
  <c r="BO93" i="2"/>
  <c r="BR92" i="2"/>
  <c r="BQ92" i="2"/>
  <c r="BP92" i="2"/>
  <c r="BO92" i="2"/>
  <c r="BR91" i="2"/>
  <c r="BQ91" i="2"/>
  <c r="BP91" i="2"/>
  <c r="BO91" i="2"/>
  <c r="BR90" i="2"/>
  <c r="BQ90" i="2"/>
  <c r="BP90" i="2"/>
  <c r="BO90" i="2"/>
  <c r="BR89" i="2"/>
  <c r="BQ89" i="2"/>
  <c r="BP89" i="2"/>
  <c r="BO89" i="2"/>
  <c r="BR88" i="2"/>
  <c r="BQ88" i="2"/>
  <c r="BP88" i="2"/>
  <c r="BO88" i="2"/>
  <c r="BR87" i="2"/>
  <c r="BQ87" i="2"/>
  <c r="BP87" i="2"/>
  <c r="BO87" i="2"/>
  <c r="BR85" i="2"/>
  <c r="BQ85" i="2"/>
  <c r="BP85" i="2"/>
  <c r="BO85" i="2"/>
  <c r="BR84" i="2"/>
  <c r="BQ84" i="2"/>
  <c r="BP84" i="2"/>
  <c r="BO84" i="2"/>
  <c r="BR83" i="2"/>
  <c r="BQ83" i="2"/>
  <c r="BP83" i="2"/>
  <c r="BO83" i="2"/>
  <c r="BR82" i="2"/>
  <c r="BQ82" i="2"/>
  <c r="BP82" i="2"/>
  <c r="BO82" i="2"/>
  <c r="BR81" i="2"/>
  <c r="BQ81" i="2"/>
  <c r="BP81" i="2"/>
  <c r="BO81" i="2"/>
  <c r="BQ80" i="2"/>
  <c r="BP80" i="2"/>
  <c r="BO80" i="2"/>
  <c r="BR79" i="2"/>
  <c r="BQ79" i="2"/>
  <c r="BP79" i="2"/>
  <c r="BO79" i="2"/>
  <c r="BR78" i="2"/>
  <c r="BQ78" i="2"/>
  <c r="BP78" i="2"/>
  <c r="BO78" i="2"/>
  <c r="BR77" i="2"/>
  <c r="BQ77" i="2"/>
  <c r="BP77" i="2"/>
  <c r="BO77" i="2"/>
  <c r="BR76" i="2"/>
  <c r="BQ76" i="2"/>
  <c r="BP76" i="2"/>
  <c r="BO76" i="2"/>
  <c r="BR75" i="2"/>
  <c r="BQ75" i="2"/>
  <c r="BP75" i="2"/>
  <c r="BO75" i="2"/>
  <c r="BR74" i="2"/>
  <c r="BQ74" i="2"/>
  <c r="BP74" i="2"/>
  <c r="BO74" i="2"/>
  <c r="BR73" i="2"/>
  <c r="BQ73" i="2"/>
  <c r="BP73" i="2"/>
  <c r="BO73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L48" i="2"/>
  <c r="BK48" i="2"/>
  <c r="BJ48" i="2"/>
  <c r="BI48" i="2"/>
  <c r="BH48" i="2"/>
  <c r="BG48" i="2"/>
  <c r="BR108" i="2"/>
  <c r="BQ108" i="2"/>
  <c r="BP108" i="2"/>
  <c r="BP110" i="2" s="1"/>
  <c r="BO108" i="2"/>
  <c r="BN108" i="2"/>
  <c r="BM108" i="2"/>
  <c r="BL108" i="2"/>
  <c r="BK108" i="2"/>
  <c r="BJ108" i="2"/>
  <c r="BI108" i="2"/>
  <c r="BH108" i="2"/>
  <c r="BH110" i="2" s="1"/>
  <c r="BG108" i="2"/>
  <c r="BR110" i="2" l="1"/>
  <c r="BR112" i="2" s="1"/>
  <c r="CG80" i="2"/>
  <c r="BG110" i="2"/>
  <c r="BO110" i="2"/>
  <c r="BO112" i="2" s="1"/>
  <c r="BN110" i="2"/>
  <c r="BN112" i="2" s="1"/>
  <c r="BR94" i="2"/>
  <c r="BM110" i="2"/>
  <c r="BM112" i="2" s="1"/>
  <c r="BO100" i="2"/>
  <c r="BO98" i="2"/>
  <c r="BO99" i="2"/>
  <c r="BP100" i="2"/>
  <c r="BP99" i="2"/>
  <c r="BP98" i="2"/>
  <c r="BI110" i="2"/>
  <c r="BI112" i="2" s="1"/>
  <c r="BQ110" i="2"/>
  <c r="BQ112" i="2" s="1"/>
  <c r="BQ99" i="2"/>
  <c r="BQ100" i="2"/>
  <c r="BQ98" i="2"/>
  <c r="BL110" i="2"/>
  <c r="BL112" i="2" s="1"/>
  <c r="BK110" i="2"/>
  <c r="BK112" i="2" s="1"/>
  <c r="BG112" i="2"/>
  <c r="BJ110" i="2"/>
  <c r="BJ112" i="2" s="1"/>
  <c r="BP112" i="2"/>
  <c r="BH112" i="2"/>
  <c r="CL82" i="2" l="1"/>
  <c r="CL80" i="2"/>
  <c r="CL76" i="2"/>
  <c r="CG84" i="2"/>
  <c r="BR72" i="2"/>
  <c r="BR47" i="2"/>
  <c r="BR103" i="2" s="1"/>
  <c r="BR35" i="2"/>
  <c r="BR34" i="2"/>
  <c r="BR33" i="2"/>
  <c r="BR32" i="2"/>
  <c r="BR6" i="2"/>
  <c r="BR5" i="2"/>
  <c r="BR4" i="2"/>
  <c r="C7" i="1"/>
  <c r="U259" i="3"/>
  <c r="T260" i="3"/>
  <c r="U260" i="3" s="1"/>
  <c r="T258" i="3"/>
  <c r="T257" i="3" s="1"/>
  <c r="T256" i="3" s="1"/>
  <c r="T255" i="3" s="1"/>
  <c r="T254" i="3" s="1"/>
  <c r="T253" i="3" s="1"/>
  <c r="T252" i="3" s="1"/>
  <c r="T251" i="3" s="1"/>
  <c r="T250" i="3" s="1"/>
  <c r="T249" i="3" s="1"/>
  <c r="T248" i="3" s="1"/>
  <c r="T247" i="3" s="1"/>
  <c r="T246" i="3" s="1"/>
  <c r="T245" i="3" s="1"/>
  <c r="T244" i="3" s="1"/>
  <c r="T243" i="3" s="1"/>
  <c r="T242" i="3" s="1"/>
  <c r="T241" i="3" s="1"/>
  <c r="T240" i="3" s="1"/>
  <c r="T239" i="3" s="1"/>
  <c r="T238" i="3" s="1"/>
  <c r="T237" i="3" s="1"/>
  <c r="T236" i="3" s="1"/>
  <c r="T235" i="3" s="1"/>
  <c r="T234" i="3" s="1"/>
  <c r="T233" i="3" s="1"/>
  <c r="T232" i="3" s="1"/>
  <c r="T231" i="3" s="1"/>
  <c r="T230" i="3" s="1"/>
  <c r="T229" i="3" s="1"/>
  <c r="T228" i="3" s="1"/>
  <c r="T227" i="3" s="1"/>
  <c r="T226" i="3" s="1"/>
  <c r="T225" i="3" s="1"/>
  <c r="T224" i="3" s="1"/>
  <c r="T223" i="3" s="1"/>
  <c r="T222" i="3" s="1"/>
  <c r="T221" i="3" s="1"/>
  <c r="T220" i="3" s="1"/>
  <c r="T219" i="3" s="1"/>
  <c r="T218" i="3" s="1"/>
  <c r="T217" i="3" s="1"/>
  <c r="U217" i="3" s="1"/>
  <c r="CE74" i="2" l="1"/>
  <c r="BR42" i="2"/>
  <c r="BR44" i="2"/>
  <c r="BR43" i="2"/>
  <c r="U238" i="3"/>
  <c r="U245" i="3"/>
  <c r="U229" i="3"/>
  <c r="U221" i="3"/>
  <c r="T261" i="3"/>
  <c r="U252" i="3"/>
  <c r="U244" i="3"/>
  <c r="U236" i="3"/>
  <c r="U228" i="3"/>
  <c r="U220" i="3"/>
  <c r="U254" i="3"/>
  <c r="T216" i="3"/>
  <c r="U251" i="3"/>
  <c r="U243" i="3"/>
  <c r="U235" i="3"/>
  <c r="U227" i="3"/>
  <c r="U219" i="3"/>
  <c r="U246" i="3"/>
  <c r="U237" i="3"/>
  <c r="U258" i="3"/>
  <c r="U250" i="3"/>
  <c r="U242" i="3"/>
  <c r="U234" i="3"/>
  <c r="U226" i="3"/>
  <c r="U218" i="3"/>
  <c r="U230" i="3"/>
  <c r="U257" i="3"/>
  <c r="U241" i="3"/>
  <c r="U233" i="3"/>
  <c r="U256" i="3"/>
  <c r="U248" i="3"/>
  <c r="U240" i="3"/>
  <c r="U232" i="3"/>
  <c r="U224" i="3"/>
  <c r="U222" i="3"/>
  <c r="U253" i="3"/>
  <c r="U249" i="3"/>
  <c r="U225" i="3"/>
  <c r="U255" i="3"/>
  <c r="U247" i="3"/>
  <c r="U239" i="3"/>
  <c r="U231" i="3"/>
  <c r="U223" i="3"/>
  <c r="T262" i="3" l="1"/>
  <c r="U261" i="3"/>
  <c r="T215" i="3"/>
  <c r="U216" i="3"/>
  <c r="T214" i="3" l="1"/>
  <c r="U214" i="3" s="1"/>
  <c r="U215" i="3"/>
  <c r="T263" i="3"/>
  <c r="U262" i="3"/>
  <c r="S207" i="3"/>
  <c r="S206" i="3"/>
  <c r="S205" i="3"/>
  <c r="S204" i="3"/>
  <c r="S203" i="3"/>
  <c r="S209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940" i="3"/>
  <c r="C5" i="1"/>
  <c r="AX110" i="2"/>
  <c r="AX112" i="2" s="1"/>
  <c r="AW110" i="2"/>
  <c r="AW112" i="2" s="1"/>
  <c r="AV110" i="2"/>
  <c r="AV112" i="2" s="1"/>
  <c r="AU110" i="2"/>
  <c r="AU112" i="2" s="1"/>
  <c r="AT110" i="2"/>
  <c r="AT112" i="2" s="1"/>
  <c r="AS110" i="2"/>
  <c r="AS112" i="2" s="1"/>
  <c r="AR110" i="2"/>
  <c r="AR112" i="2" s="1"/>
  <c r="AQ110" i="2"/>
  <c r="AQ112" i="2" s="1"/>
  <c r="AP110" i="2"/>
  <c r="AP112" i="2" s="1"/>
  <c r="AO110" i="2"/>
  <c r="AO112" i="2" s="1"/>
  <c r="AN110" i="2"/>
  <c r="AN112" i="2" s="1"/>
  <c r="AM110" i="2"/>
  <c r="AM112" i="2" s="1"/>
  <c r="AL110" i="2"/>
  <c r="AL112" i="2" s="1"/>
  <c r="AK110" i="2"/>
  <c r="AK112" i="2" s="1"/>
  <c r="AJ110" i="2"/>
  <c r="AJ112" i="2" s="1"/>
  <c r="AI110" i="2"/>
  <c r="AI112" i="2" s="1"/>
  <c r="AH110" i="2"/>
  <c r="AH112" i="2" s="1"/>
  <c r="AG110" i="2"/>
  <c r="AG112" i="2" s="1"/>
  <c r="AF110" i="2"/>
  <c r="AF112" i="2" s="1"/>
  <c r="AE110" i="2"/>
  <c r="AE112" i="2" s="1"/>
  <c r="AD110" i="2"/>
  <c r="AD112" i="2" s="1"/>
  <c r="AC110" i="2"/>
  <c r="AC112" i="2" s="1"/>
  <c r="AB110" i="2"/>
  <c r="AB112" i="2" s="1"/>
  <c r="AA110" i="2"/>
  <c r="AA112" i="2" s="1"/>
  <c r="Z110" i="2"/>
  <c r="Z112" i="2" s="1"/>
  <c r="Y110" i="2"/>
  <c r="Y112" i="2" s="1"/>
  <c r="X110" i="2"/>
  <c r="X112" i="2" s="1"/>
  <c r="W110" i="2"/>
  <c r="W112" i="2" s="1"/>
  <c r="V110" i="2"/>
  <c r="V112" i="2" s="1"/>
  <c r="U110" i="2"/>
  <c r="U112" i="2" s="1"/>
  <c r="T110" i="2"/>
  <c r="T112" i="2" s="1"/>
  <c r="S110" i="2"/>
  <c r="S112" i="2" s="1"/>
  <c r="R110" i="2"/>
  <c r="R112" i="2" s="1"/>
  <c r="Q110" i="2"/>
  <c r="Q112" i="2" s="1"/>
  <c r="P110" i="2"/>
  <c r="P112" i="2" s="1"/>
  <c r="O110" i="2"/>
  <c r="O112" i="2" s="1"/>
  <c r="N110" i="2"/>
  <c r="N112" i="2" s="1"/>
  <c r="M110" i="2"/>
  <c r="M112" i="2" s="1"/>
  <c r="L110" i="2"/>
  <c r="L112" i="2" s="1"/>
  <c r="K110" i="2"/>
  <c r="K112" i="2" s="1"/>
  <c r="J110" i="2"/>
  <c r="J112" i="2" s="1"/>
  <c r="I110" i="2"/>
  <c r="I112" i="2" s="1"/>
  <c r="H110" i="2"/>
  <c r="H112" i="2" s="1"/>
  <c r="G110" i="2"/>
  <c r="G112" i="2" s="1"/>
  <c r="F110" i="2"/>
  <c r="F112" i="2" s="1"/>
  <c r="E110" i="2"/>
  <c r="E112" i="2" s="1"/>
  <c r="D110" i="2"/>
  <c r="D112" i="2" s="1"/>
  <c r="C110" i="2"/>
  <c r="C112" i="2" s="1"/>
  <c r="CG91" i="2"/>
  <c r="AX96" i="2"/>
  <c r="CG86" i="2"/>
  <c r="BR80" i="2"/>
  <c r="CL74" i="2"/>
  <c r="BQ72" i="2"/>
  <c r="CD74" i="2" s="1"/>
  <c r="BP72" i="2"/>
  <c r="BO72" i="2"/>
  <c r="BQ47" i="2"/>
  <c r="BQ103" i="2" s="1"/>
  <c r="BP47" i="2"/>
  <c r="BP103" i="2" s="1"/>
  <c r="BO47" i="2"/>
  <c r="BO103" i="2" s="1"/>
  <c r="BN47" i="2"/>
  <c r="BM47" i="2"/>
  <c r="BL47" i="2"/>
  <c r="BK47" i="2"/>
  <c r="BJ47" i="2"/>
  <c r="BI47" i="2"/>
  <c r="BH47" i="2"/>
  <c r="BG47" i="2"/>
  <c r="BL46" i="2"/>
  <c r="BK46" i="2"/>
  <c r="BJ46" i="2"/>
  <c r="BI46" i="2"/>
  <c r="BH46" i="2"/>
  <c r="BG46" i="2"/>
  <c r="AX40" i="2"/>
  <c r="AW40" i="2"/>
  <c r="AV40" i="2"/>
  <c r="AU40" i="2"/>
  <c r="AX39" i="2"/>
  <c r="AW39" i="2"/>
  <c r="AV39" i="2"/>
  <c r="AU39" i="2"/>
  <c r="AX38" i="2"/>
  <c r="AW38" i="2"/>
  <c r="AV38" i="2"/>
  <c r="AU38" i="2"/>
  <c r="AX37" i="2"/>
  <c r="AW37" i="2"/>
  <c r="AV37" i="2"/>
  <c r="AU37" i="2"/>
  <c r="BQ35" i="2"/>
  <c r="BR40" i="2" s="1"/>
  <c r="BQ34" i="2"/>
  <c r="BQ33" i="2"/>
  <c r="BQ32" i="2"/>
  <c r="AX11" i="2"/>
  <c r="AW11" i="2"/>
  <c r="AV11" i="2"/>
  <c r="AU11" i="2"/>
  <c r="AX10" i="2"/>
  <c r="AW10" i="2"/>
  <c r="AV10" i="2"/>
  <c r="AU10" i="2"/>
  <c r="AX9" i="2"/>
  <c r="AW9" i="2"/>
  <c r="AV9" i="2"/>
  <c r="AU9" i="2"/>
  <c r="AX7" i="2"/>
  <c r="AW7" i="2"/>
  <c r="AV7" i="2"/>
  <c r="AU7" i="2"/>
  <c r="AY12" i="2" s="1"/>
  <c r="AT7" i="2"/>
  <c r="AS7" i="2"/>
  <c r="AR7" i="2"/>
  <c r="AQ7" i="2"/>
  <c r="BQ6" i="2"/>
  <c r="BS5" i="2"/>
  <c r="BT5" i="2" s="1"/>
  <c r="BU5" i="2" s="1"/>
  <c r="BV5" i="2" s="1"/>
  <c r="BW5" i="2" s="1"/>
  <c r="BX5" i="2" s="1"/>
  <c r="BY5" i="2" s="1"/>
  <c r="BZ5" i="2" s="1"/>
  <c r="CA5" i="2" s="1"/>
  <c r="CB5" i="2" s="1"/>
  <c r="BQ5" i="2"/>
  <c r="BQ4" i="2"/>
  <c r="BH3" i="2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C8" i="1" l="1"/>
  <c r="CG77" i="2"/>
  <c r="BQ42" i="2"/>
  <c r="BR37" i="2"/>
  <c r="BQ43" i="2"/>
  <c r="BR38" i="2"/>
  <c r="BQ44" i="2"/>
  <c r="BR39" i="2"/>
  <c r="AX12" i="2"/>
  <c r="BJ66" i="2"/>
  <c r="BJ65" i="2"/>
  <c r="BI65" i="2"/>
  <c r="BI66" i="2"/>
  <c r="BK65" i="2"/>
  <c r="BK66" i="2"/>
  <c r="BL66" i="2"/>
  <c r="BL65" i="2"/>
  <c r="BG65" i="2"/>
  <c r="BG66" i="2"/>
  <c r="BH65" i="2"/>
  <c r="BH66" i="2"/>
  <c r="AW14" i="2"/>
  <c r="AW15" i="2"/>
  <c r="AW16" i="2"/>
  <c r="AJ48" i="2"/>
  <c r="AR101" i="2"/>
  <c r="AR14" i="2"/>
  <c r="AR15" i="2"/>
  <c r="AR16" i="2"/>
  <c r="AQ14" i="2"/>
  <c r="AQ15" i="2"/>
  <c r="AQ16" i="2"/>
  <c r="AK66" i="2"/>
  <c r="AS15" i="2"/>
  <c r="AS16" i="2"/>
  <c r="AS14" i="2"/>
  <c r="AT16" i="2"/>
  <c r="AT14" i="2"/>
  <c r="AT15" i="2"/>
  <c r="AO102" i="2"/>
  <c r="AP101" i="2"/>
  <c r="AU14" i="2"/>
  <c r="AU15" i="2"/>
  <c r="AU16" i="2"/>
  <c r="AG48" i="2"/>
  <c r="AX15" i="2"/>
  <c r="AX16" i="2"/>
  <c r="AV14" i="2"/>
  <c r="AV15" i="2"/>
  <c r="AV16" i="2"/>
  <c r="AW101" i="2"/>
  <c r="AW102" i="2"/>
  <c r="AJ102" i="2"/>
  <c r="AK101" i="2"/>
  <c r="AX98" i="2"/>
  <c r="AX99" i="2"/>
  <c r="AX100" i="2"/>
  <c r="BR96" i="2"/>
  <c r="BR7" i="2"/>
  <c r="AW48" i="2"/>
  <c r="AW66" i="2"/>
  <c r="AA48" i="2"/>
  <c r="AA66" i="2"/>
  <c r="BR9" i="2"/>
  <c r="AB48" i="2"/>
  <c r="AB66" i="2"/>
  <c r="AC48" i="2"/>
  <c r="AC66" i="2"/>
  <c r="AD48" i="2"/>
  <c r="AD66" i="2"/>
  <c r="BQ7" i="2"/>
  <c r="BQ14" i="2" s="1"/>
  <c r="CG74" i="2"/>
  <c r="AV12" i="2"/>
  <c r="AW12" i="2"/>
  <c r="BR11" i="2"/>
  <c r="T264" i="3"/>
  <c r="U263" i="3"/>
  <c r="X215" i="3"/>
  <c r="S208" i="3"/>
  <c r="X219" i="3"/>
  <c r="CL77" i="2"/>
  <c r="AU12" i="2"/>
  <c r="BR10" i="2"/>
  <c r="AX14" i="2"/>
  <c r="BM46" i="2"/>
  <c r="BM66" i="2" s="1"/>
  <c r="BS4" i="2"/>
  <c r="BS6" i="2"/>
  <c r="BT6" i="2" s="1"/>
  <c r="BU6" i="2" s="1"/>
  <c r="BV6" i="2" s="1"/>
  <c r="BW6" i="2" s="1"/>
  <c r="BX6" i="2" s="1"/>
  <c r="BY6" i="2" s="1"/>
  <c r="BZ6" i="2" s="1"/>
  <c r="CA6" i="2" s="1"/>
  <c r="CB6" i="2" s="1"/>
  <c r="CG79" i="2" l="1"/>
  <c r="CG92" i="2" s="1"/>
  <c r="CG78" i="2"/>
  <c r="BR16" i="2"/>
  <c r="BR15" i="2"/>
  <c r="BQ15" i="2"/>
  <c r="BQ16" i="2"/>
  <c r="BR12" i="2"/>
  <c r="AG66" i="2"/>
  <c r="AK48" i="2"/>
  <c r="AK65" i="2" s="1"/>
  <c r="AR66" i="2"/>
  <c r="AK102" i="2"/>
  <c r="AP66" i="2"/>
  <c r="AR102" i="2"/>
  <c r="AO101" i="2"/>
  <c r="AO66" i="2"/>
  <c r="AR48" i="2"/>
  <c r="AR65" i="2" s="1"/>
  <c r="AO48" i="2"/>
  <c r="AP48" i="2"/>
  <c r="AJ66" i="2"/>
  <c r="AP102" i="2"/>
  <c r="AJ101" i="2"/>
  <c r="AX101" i="2"/>
  <c r="AX102" i="2"/>
  <c r="AV101" i="2"/>
  <c r="AV102" i="2"/>
  <c r="AL101" i="2"/>
  <c r="AL102" i="2"/>
  <c r="AS101" i="2"/>
  <c r="AS102" i="2"/>
  <c r="AN101" i="2"/>
  <c r="AN102" i="2"/>
  <c r="AT101" i="2"/>
  <c r="AT102" i="2"/>
  <c r="AQ101" i="2"/>
  <c r="AQ102" i="2"/>
  <c r="AI101" i="2"/>
  <c r="AI102" i="2"/>
  <c r="AU101" i="2"/>
  <c r="AU102" i="2"/>
  <c r="AM101" i="2"/>
  <c r="AM102" i="2"/>
  <c r="BR98" i="2"/>
  <c r="BR100" i="2"/>
  <c r="BR99" i="2"/>
  <c r="BM48" i="2"/>
  <c r="BM65" i="2" s="1"/>
  <c r="BR46" i="2"/>
  <c r="BR66" i="2" s="1"/>
  <c r="AN48" i="2"/>
  <c r="AN66" i="2"/>
  <c r="AW65" i="2"/>
  <c r="AJ65" i="2"/>
  <c r="AU48" i="2"/>
  <c r="AU66" i="2"/>
  <c r="AS48" i="2"/>
  <c r="AS66" i="2"/>
  <c r="AG65" i="2"/>
  <c r="AQ66" i="2"/>
  <c r="AB65" i="2"/>
  <c r="AL48" i="2"/>
  <c r="AL66" i="2"/>
  <c r="AI66" i="2"/>
  <c r="AC65" i="2"/>
  <c r="AH48" i="2"/>
  <c r="AH66" i="2"/>
  <c r="AE66" i="2"/>
  <c r="AA65" i="2"/>
  <c r="AF48" i="2"/>
  <c r="AF66" i="2"/>
  <c r="AM66" i="2"/>
  <c r="AD65" i="2"/>
  <c r="AV48" i="2"/>
  <c r="AV66" i="2"/>
  <c r="AT48" i="2"/>
  <c r="AT66" i="2"/>
  <c r="AX48" i="2"/>
  <c r="AX66" i="2"/>
  <c r="T265" i="3"/>
  <c r="U264" i="3"/>
  <c r="X224" i="3"/>
  <c r="X217" i="3"/>
  <c r="X222" i="3"/>
  <c r="X227" i="3"/>
  <c r="X226" i="3"/>
  <c r="X220" i="3"/>
  <c r="X218" i="3"/>
  <c r="X216" i="3"/>
  <c r="X225" i="3"/>
  <c r="X214" i="3"/>
  <c r="X223" i="3"/>
  <c r="X221" i="3"/>
  <c r="AE48" i="2"/>
  <c r="BN46" i="2"/>
  <c r="BN66" i="2" s="1"/>
  <c r="BQ46" i="2"/>
  <c r="BQ66" i="2" s="1"/>
  <c r="AQ48" i="2"/>
  <c r="AM48" i="2"/>
  <c r="BP46" i="2"/>
  <c r="BP66" i="2" s="1"/>
  <c r="BS7" i="2"/>
  <c r="BT4" i="2"/>
  <c r="BO46" i="2"/>
  <c r="BO66" i="2" s="1"/>
  <c r="AI48" i="2"/>
  <c r="BR14" i="2"/>
  <c r="BS12" i="2" l="1"/>
  <c r="BS15" i="2"/>
  <c r="BS46" i="2"/>
  <c r="BS16" i="2"/>
  <c r="BS14" i="2"/>
  <c r="AO65" i="2"/>
  <c r="AP65" i="2"/>
  <c r="BO48" i="2"/>
  <c r="BO65" i="2" s="1"/>
  <c r="BR48" i="2"/>
  <c r="BR65" i="2" s="1"/>
  <c r="BN48" i="2"/>
  <c r="BN65" i="2" s="1"/>
  <c r="BR102" i="2"/>
  <c r="BR101" i="2"/>
  <c r="BO102" i="2"/>
  <c r="BO101" i="2"/>
  <c r="BP102" i="2"/>
  <c r="BP101" i="2"/>
  <c r="BP48" i="2"/>
  <c r="BP65" i="2" s="1"/>
  <c r="BQ102" i="2"/>
  <c r="BQ101" i="2"/>
  <c r="BQ48" i="2"/>
  <c r="BQ65" i="2" s="1"/>
  <c r="AL65" i="2"/>
  <c r="AM65" i="2"/>
  <c r="AF65" i="2"/>
  <c r="AH65" i="2"/>
  <c r="AV65" i="2"/>
  <c r="AQ65" i="2"/>
  <c r="AE65" i="2"/>
  <c r="AI65" i="2"/>
  <c r="AS65" i="2"/>
  <c r="AU65" i="2"/>
  <c r="AT65" i="2"/>
  <c r="AN65" i="2"/>
  <c r="AX65" i="2"/>
  <c r="T266" i="3"/>
  <c r="U265" i="3"/>
  <c r="BU4" i="2"/>
  <c r="BT7" i="2"/>
  <c r="BT12" i="2" l="1"/>
  <c r="BT46" i="2"/>
  <c r="BT15" i="2"/>
  <c r="BT16" i="2"/>
  <c r="BT14" i="2"/>
  <c r="BS47" i="2"/>
  <c r="BS48" i="2" s="1"/>
  <c r="BS50" i="2"/>
  <c r="BS49" i="2"/>
  <c r="T267" i="3"/>
  <c r="U266" i="3"/>
  <c r="BV4" i="2"/>
  <c r="BU7" i="2"/>
  <c r="BS51" i="2" l="1"/>
  <c r="BS55" i="2" s="1"/>
  <c r="BS56" i="2" s="1"/>
  <c r="BS57" i="2" s="1"/>
  <c r="BS70" i="2" s="1"/>
  <c r="BU12" i="2"/>
  <c r="BU15" i="2"/>
  <c r="BU46" i="2"/>
  <c r="BU16" i="2"/>
  <c r="BU14" i="2"/>
  <c r="BT50" i="2"/>
  <c r="BT49" i="2"/>
  <c r="BT47" i="2"/>
  <c r="BT48" i="2" s="1"/>
  <c r="T268" i="3"/>
  <c r="U267" i="3"/>
  <c r="BW4" i="2"/>
  <c r="BV7" i="2"/>
  <c r="BV14" i="2" s="1"/>
  <c r="CI74" i="2" l="1"/>
  <c r="CI75" i="2" s="1"/>
  <c r="BT51" i="2"/>
  <c r="BT68" i="2" s="1"/>
  <c r="BS59" i="2"/>
  <c r="BS61" i="2" s="1"/>
  <c r="BU49" i="2"/>
  <c r="BU47" i="2"/>
  <c r="BU48" i="2" s="1"/>
  <c r="BU50" i="2"/>
  <c r="BV12" i="2"/>
  <c r="BV46" i="2"/>
  <c r="BV15" i="2"/>
  <c r="BV16" i="2"/>
  <c r="T269" i="3"/>
  <c r="U268" i="3"/>
  <c r="BW7" i="2"/>
  <c r="BX4" i="2"/>
  <c r="BU51" i="2" l="1"/>
  <c r="BU68" i="2" s="1"/>
  <c r="BW12" i="2"/>
  <c r="BW46" i="2"/>
  <c r="BW16" i="2"/>
  <c r="BW15" i="2"/>
  <c r="BV50" i="2"/>
  <c r="BV47" i="2"/>
  <c r="BV48" i="2" s="1"/>
  <c r="BV49" i="2"/>
  <c r="BS63" i="2"/>
  <c r="BS72" i="2"/>
  <c r="BT54" i="2" s="1"/>
  <c r="BW14" i="2"/>
  <c r="T270" i="3"/>
  <c r="U269" i="3"/>
  <c r="BX7" i="2"/>
  <c r="BX14" i="2" s="1"/>
  <c r="BY4" i="2"/>
  <c r="BV51" i="2" l="1"/>
  <c r="BV68" i="2" s="1"/>
  <c r="BT55" i="2"/>
  <c r="BW47" i="2"/>
  <c r="BW48" i="2" s="1"/>
  <c r="BW50" i="2"/>
  <c r="BW49" i="2"/>
  <c r="BX12" i="2"/>
  <c r="BX46" i="2"/>
  <c r="BX16" i="2"/>
  <c r="BX15" i="2"/>
  <c r="T271" i="3"/>
  <c r="U270" i="3"/>
  <c r="BZ4" i="2"/>
  <c r="BY7" i="2"/>
  <c r="BY14" i="2" s="1"/>
  <c r="BT56" i="2" l="1"/>
  <c r="BT57" i="2" s="1"/>
  <c r="BT70" i="2" s="1"/>
  <c r="BW51" i="2"/>
  <c r="BW68" i="2" s="1"/>
  <c r="BY12" i="2"/>
  <c r="BY16" i="2"/>
  <c r="BY46" i="2"/>
  <c r="BY15" i="2"/>
  <c r="BX47" i="2"/>
  <c r="BX48" i="2" s="1"/>
  <c r="BX49" i="2"/>
  <c r="BX50" i="2"/>
  <c r="T272" i="3"/>
  <c r="U271" i="3"/>
  <c r="BZ7" i="2"/>
  <c r="CA4" i="2"/>
  <c r="BT59" i="2" l="1"/>
  <c r="BT61" i="2" s="1"/>
  <c r="BT63" i="2" s="1"/>
  <c r="BX51" i="2"/>
  <c r="BX68" i="2" s="1"/>
  <c r="BZ12" i="2"/>
  <c r="BZ46" i="2"/>
  <c r="BZ15" i="2"/>
  <c r="BZ16" i="2"/>
  <c r="BY47" i="2"/>
  <c r="BY48" i="2" s="1"/>
  <c r="BY50" i="2"/>
  <c r="BY49" i="2"/>
  <c r="BZ14" i="2"/>
  <c r="T273" i="3"/>
  <c r="U272" i="3"/>
  <c r="CA7" i="2"/>
  <c r="CA14" i="2" s="1"/>
  <c r="CB4" i="2"/>
  <c r="BT72" i="2" l="1"/>
  <c r="BY51" i="2"/>
  <c r="BY68" i="2" s="1"/>
  <c r="CA12" i="2"/>
  <c r="CA15" i="2"/>
  <c r="CA16" i="2"/>
  <c r="CA46" i="2"/>
  <c r="BZ50" i="2"/>
  <c r="BZ47" i="2"/>
  <c r="BZ48" i="2" s="1"/>
  <c r="BZ49" i="2"/>
  <c r="CB7" i="2"/>
  <c r="CB12" i="2" s="1"/>
  <c r="T274" i="3"/>
  <c r="U273" i="3"/>
  <c r="BU54" i="2" l="1"/>
  <c r="BU55" i="2" s="1"/>
  <c r="BU56" i="2" s="1"/>
  <c r="BU57" i="2" s="1"/>
  <c r="BZ51" i="2"/>
  <c r="BZ68" i="2" s="1"/>
  <c r="CA50" i="2"/>
  <c r="CA49" i="2"/>
  <c r="CA47" i="2"/>
  <c r="CA48" i="2" s="1"/>
  <c r="CB46" i="2"/>
  <c r="CB16" i="2"/>
  <c r="CB15" i="2"/>
  <c r="CB14" i="2"/>
  <c r="T275" i="3"/>
  <c r="U274" i="3"/>
  <c r="BU70" i="2" l="1"/>
  <c r="BU59" i="2"/>
  <c r="BU61" i="2" s="1"/>
  <c r="BU63" i="2" s="1"/>
  <c r="CA51" i="2"/>
  <c r="CA68" i="2" s="1"/>
  <c r="BU72" i="2"/>
  <c r="BV54" i="2" s="1"/>
  <c r="CB50" i="2"/>
  <c r="CB49" i="2"/>
  <c r="CB47" i="2"/>
  <c r="CB48" i="2" s="1"/>
  <c r="T276" i="3"/>
  <c r="U275" i="3"/>
  <c r="CB51" i="2" l="1"/>
  <c r="CB68" i="2" s="1"/>
  <c r="BV55" i="2"/>
  <c r="BV56" i="2" s="1"/>
  <c r="BV57" i="2" s="1"/>
  <c r="T277" i="3"/>
  <c r="U276" i="3"/>
  <c r="BV59" i="2" l="1"/>
  <c r="BV61" i="2" s="1"/>
  <c r="BV63" i="2" s="1"/>
  <c r="BV70" i="2"/>
  <c r="T278" i="3"/>
  <c r="U277" i="3"/>
  <c r="BV72" i="2" l="1"/>
  <c r="T279" i="3"/>
  <c r="U278" i="3"/>
  <c r="BW54" i="2" l="1"/>
  <c r="BW55" i="2" s="1"/>
  <c r="BW56" i="2" s="1"/>
  <c r="BW57" i="2" s="1"/>
  <c r="T280" i="3"/>
  <c r="U279" i="3"/>
  <c r="BW70" i="2" l="1"/>
  <c r="BW59" i="2"/>
  <c r="BW61" i="2" s="1"/>
  <c r="BW72" i="2" s="1"/>
  <c r="BX54" i="2" s="1"/>
  <c r="BW63" i="2"/>
  <c r="BX55" i="2"/>
  <c r="BX56" i="2" s="1"/>
  <c r="BX57" i="2" s="1"/>
  <c r="BX70" i="2" s="1"/>
  <c r="T281" i="3"/>
  <c r="U280" i="3"/>
  <c r="BX59" i="2" l="1"/>
  <c r="BX61" i="2" s="1"/>
  <c r="T282" i="3"/>
  <c r="U281" i="3"/>
  <c r="BX63" i="2" l="1"/>
  <c r="BX72" i="2"/>
  <c r="BY54" i="2" s="1"/>
  <c r="T283" i="3"/>
  <c r="U282" i="3"/>
  <c r="BY55" i="2" l="1"/>
  <c r="BY56" i="2" s="1"/>
  <c r="BY57" i="2" s="1"/>
  <c r="BY70" i="2" s="1"/>
  <c r="T284" i="3"/>
  <c r="U283" i="3"/>
  <c r="BY59" i="2" l="1"/>
  <c r="BY61" i="2" s="1"/>
  <c r="T285" i="3"/>
  <c r="U284" i="3"/>
  <c r="BY63" i="2" l="1"/>
  <c r="BY72" i="2"/>
  <c r="BZ54" i="2" s="1"/>
  <c r="T286" i="3"/>
  <c r="U285" i="3"/>
  <c r="T287" i="3" l="1"/>
  <c r="U286" i="3"/>
  <c r="BZ55" i="2" l="1"/>
  <c r="BZ56" i="2" s="1"/>
  <c r="BZ57" i="2" s="1"/>
  <c r="BZ70" i="2" s="1"/>
  <c r="T288" i="3"/>
  <c r="U287" i="3"/>
  <c r="BZ59" i="2" l="1"/>
  <c r="BZ61" i="2" s="1"/>
  <c r="T289" i="3"/>
  <c r="U288" i="3"/>
  <c r="BZ63" i="2" l="1"/>
  <c r="BZ72" i="2"/>
  <c r="CA54" i="2" s="1"/>
  <c r="T290" i="3"/>
  <c r="U289" i="3"/>
  <c r="CA55" i="2" l="1"/>
  <c r="CA56" i="2" s="1"/>
  <c r="CA57" i="2" s="1"/>
  <c r="CA70" i="2" s="1"/>
  <c r="T291" i="3"/>
  <c r="U290" i="3"/>
  <c r="CA59" i="2" l="1"/>
  <c r="CA61" i="2" s="1"/>
  <c r="T292" i="3"/>
  <c r="U291" i="3"/>
  <c r="CA63" i="2" l="1"/>
  <c r="CA72" i="2"/>
  <c r="CB54" i="2" s="1"/>
  <c r="T293" i="3"/>
  <c r="U292" i="3"/>
  <c r="CB55" i="2" l="1"/>
  <c r="CB56" i="2" s="1"/>
  <c r="CB57" i="2" s="1"/>
  <c r="T294" i="3"/>
  <c r="U293" i="3"/>
  <c r="CC57" i="2" l="1"/>
  <c r="CD57" i="2" s="1"/>
  <c r="CE57" i="2" s="1"/>
  <c r="CF57" i="2" s="1"/>
  <c r="CG57" i="2" s="1"/>
  <c r="CH57" i="2" s="1"/>
  <c r="CI57" i="2" s="1"/>
  <c r="CJ57" i="2" s="1"/>
  <c r="CK57" i="2" s="1"/>
  <c r="CL57" i="2" s="1"/>
  <c r="CM57" i="2" s="1"/>
  <c r="CN57" i="2" s="1"/>
  <c r="CO57" i="2" s="1"/>
  <c r="CP57" i="2" s="1"/>
  <c r="CQ57" i="2" s="1"/>
  <c r="CR57" i="2" s="1"/>
  <c r="CS57" i="2" s="1"/>
  <c r="CT57" i="2" s="1"/>
  <c r="CU57" i="2" s="1"/>
  <c r="CV57" i="2" s="1"/>
  <c r="CW57" i="2" s="1"/>
  <c r="CX57" i="2" s="1"/>
  <c r="CY57" i="2" s="1"/>
  <c r="CZ57" i="2" s="1"/>
  <c r="DA57" i="2" s="1"/>
  <c r="DB57" i="2" s="1"/>
  <c r="DC57" i="2" s="1"/>
  <c r="DD57" i="2" s="1"/>
  <c r="DE57" i="2" s="1"/>
  <c r="DF57" i="2" s="1"/>
  <c r="DG57" i="2" s="1"/>
  <c r="DH57" i="2" s="1"/>
  <c r="DI57" i="2" s="1"/>
  <c r="DJ57" i="2" s="1"/>
  <c r="DK57" i="2" s="1"/>
  <c r="DL57" i="2" s="1"/>
  <c r="DM57" i="2" s="1"/>
  <c r="DN57" i="2" s="1"/>
  <c r="DO57" i="2" s="1"/>
  <c r="DP57" i="2" s="1"/>
  <c r="DQ57" i="2" s="1"/>
  <c r="DR57" i="2" s="1"/>
  <c r="DS57" i="2" s="1"/>
  <c r="DT57" i="2" s="1"/>
  <c r="DU57" i="2" s="1"/>
  <c r="DV57" i="2" s="1"/>
  <c r="DW57" i="2" s="1"/>
  <c r="DX57" i="2" s="1"/>
  <c r="DY57" i="2" s="1"/>
  <c r="DZ57" i="2" s="1"/>
  <c r="CL79" i="2" s="1"/>
  <c r="CL81" i="2" s="1"/>
  <c r="CL83" i="2" s="1"/>
  <c r="CM83" i="2" s="1"/>
  <c r="CB70" i="2"/>
  <c r="CB59" i="2"/>
  <c r="CB61" i="2" s="1"/>
  <c r="CB63" i="2" s="1"/>
  <c r="T295" i="3"/>
  <c r="U294" i="3"/>
  <c r="CB72" i="2" l="1"/>
  <c r="CK84" i="2" a="1"/>
  <c r="CK84" i="2" s="1"/>
  <c r="T296" i="3"/>
  <c r="U295" i="3"/>
  <c r="T297" i="3" l="1"/>
  <c r="U296" i="3"/>
  <c r="T298" i="3" l="1"/>
  <c r="U297" i="3"/>
  <c r="T299" i="3" l="1"/>
  <c r="U298" i="3"/>
  <c r="T300" i="3" l="1"/>
  <c r="U299" i="3"/>
  <c r="T301" i="3" l="1"/>
  <c r="U300" i="3"/>
  <c r="U301" i="3" l="1"/>
  <c r="T302" i="3"/>
  <c r="T303" i="3" l="1"/>
  <c r="U302" i="3"/>
  <c r="T304" i="3" l="1"/>
  <c r="U304" i="3" s="1"/>
  <c r="U303" i="3"/>
  <c r="BK50" i="2" l="1"/>
  <c r="BK67" i="2" s="1"/>
  <c r="BI50" i="2"/>
  <c r="BI67" i="2" s="1"/>
  <c r="BG50" i="2"/>
  <c r="BG67" i="2" s="1"/>
  <c r="S51" i="2"/>
  <c r="BJ50" i="2"/>
  <c r="BJ67" i="2" s="1"/>
  <c r="O51" i="2"/>
  <c r="C51" i="2"/>
  <c r="BH50" i="2"/>
  <c r="BH67" i="2" s="1"/>
  <c r="W51" i="2"/>
  <c r="BL50" i="2"/>
  <c r="BL67" i="2" s="1"/>
  <c r="K51" i="2"/>
  <c r="G51" i="2"/>
  <c r="V51" i="2"/>
  <c r="L51" i="2"/>
  <c r="X51" i="2"/>
  <c r="F51" i="2"/>
  <c r="Z51" i="2"/>
  <c r="T51" i="2"/>
  <c r="P51" i="2"/>
  <c r="P68" i="2" s="1"/>
  <c r="U51" i="2"/>
  <c r="R51" i="2"/>
  <c r="D51" i="2"/>
  <c r="H51" i="2"/>
  <c r="M51" i="2"/>
  <c r="J51" i="2"/>
  <c r="E51" i="2"/>
  <c r="Y51" i="2"/>
  <c r="N51" i="2"/>
  <c r="Q51" i="2"/>
  <c r="I51" i="2"/>
  <c r="J55" i="2" l="1"/>
  <c r="J68" i="2"/>
  <c r="C55" i="2"/>
  <c r="C69" i="2" s="1"/>
  <c r="C68" i="2"/>
  <c r="E55" i="2"/>
  <c r="E68" i="2"/>
  <c r="W55" i="2"/>
  <c r="W69" i="2" s="1"/>
  <c r="W68" i="2"/>
  <c r="F55" i="2"/>
  <c r="F68" i="2"/>
  <c r="O55" i="2"/>
  <c r="O69" i="2" s="1"/>
  <c r="O68" i="2"/>
  <c r="H55" i="2"/>
  <c r="H68" i="2"/>
  <c r="X55" i="2"/>
  <c r="X68" i="2"/>
  <c r="D55" i="2"/>
  <c r="D68" i="2"/>
  <c r="Q55" i="2"/>
  <c r="Q68" i="2"/>
  <c r="R55" i="2"/>
  <c r="R68" i="2"/>
  <c r="V55" i="2"/>
  <c r="V68" i="2"/>
  <c r="M55" i="2"/>
  <c r="M68" i="2"/>
  <c r="I55" i="2"/>
  <c r="I68" i="2"/>
  <c r="L55" i="2"/>
  <c r="L68" i="2"/>
  <c r="N55" i="2"/>
  <c r="N68" i="2"/>
  <c r="U55" i="2"/>
  <c r="U68" i="2"/>
  <c r="G55" i="2"/>
  <c r="G69" i="2" s="1"/>
  <c r="G68" i="2"/>
  <c r="S55" i="2"/>
  <c r="S69" i="2" s="1"/>
  <c r="S68" i="2"/>
  <c r="T55" i="2"/>
  <c r="T68" i="2"/>
  <c r="Z55" i="2"/>
  <c r="Z68" i="2"/>
  <c r="Y55" i="2"/>
  <c r="Y68" i="2"/>
  <c r="K55" i="2"/>
  <c r="K69" i="2" s="1"/>
  <c r="K68" i="2"/>
  <c r="C57" i="2"/>
  <c r="C70" i="2" s="1"/>
  <c r="BJ51" i="2"/>
  <c r="BJ68" i="2" s="1"/>
  <c r="P55" i="2"/>
  <c r="BG51" i="2"/>
  <c r="BG68" i="2" s="1"/>
  <c r="BL51" i="2"/>
  <c r="BL68" i="2" s="1"/>
  <c r="BH51" i="2"/>
  <c r="BH68" i="2" s="1"/>
  <c r="BI51" i="2"/>
  <c r="BI68" i="2" s="1"/>
  <c r="BK51" i="2"/>
  <c r="BK68" i="2" s="1"/>
  <c r="BG55" i="2" l="1"/>
  <c r="BG69" i="2" s="1"/>
  <c r="O57" i="2"/>
  <c r="O70" i="2" s="1"/>
  <c r="BH55" i="2"/>
  <c r="BH69" i="2" s="1"/>
  <c r="K57" i="2"/>
  <c r="K70" i="2" s="1"/>
  <c r="S57" i="2"/>
  <c r="S70" i="2" s="1"/>
  <c r="G57" i="2"/>
  <c r="G70" i="2" s="1"/>
  <c r="N57" i="2"/>
  <c r="N69" i="2"/>
  <c r="V57" i="2"/>
  <c r="V69" i="2"/>
  <c r="X57" i="2"/>
  <c r="X69" i="2"/>
  <c r="L57" i="2"/>
  <c r="L69" i="2"/>
  <c r="R57" i="2"/>
  <c r="R69" i="2"/>
  <c r="H57" i="2"/>
  <c r="H69" i="2"/>
  <c r="E57" i="2"/>
  <c r="E69" i="2"/>
  <c r="BI55" i="2"/>
  <c r="BI69" i="2" s="1"/>
  <c r="Y57" i="2"/>
  <c r="Y69" i="2"/>
  <c r="I57" i="2"/>
  <c r="I69" i="2"/>
  <c r="Q57" i="2"/>
  <c r="Q69" i="2"/>
  <c r="T57" i="2"/>
  <c r="T69" i="2"/>
  <c r="BK55" i="2"/>
  <c r="BK69" i="2" s="1"/>
  <c r="BL55" i="2"/>
  <c r="BL69" i="2" s="1"/>
  <c r="P57" i="2"/>
  <c r="P70" i="2" s="1"/>
  <c r="P69" i="2"/>
  <c r="W57" i="2"/>
  <c r="W70" i="2" s="1"/>
  <c r="Z57" i="2"/>
  <c r="Z69" i="2"/>
  <c r="U57" i="2"/>
  <c r="U69" i="2"/>
  <c r="M57" i="2"/>
  <c r="M69" i="2"/>
  <c r="D57" i="2"/>
  <c r="D69" i="2"/>
  <c r="F57" i="2"/>
  <c r="F69" i="2"/>
  <c r="J57" i="2"/>
  <c r="J69" i="2"/>
  <c r="BJ55" i="2"/>
  <c r="BJ69" i="2" s="1"/>
  <c r="C63" i="2"/>
  <c r="C107" i="2"/>
  <c r="O63" i="2"/>
  <c r="O107" i="2"/>
  <c r="W63" i="2"/>
  <c r="S63" i="2"/>
  <c r="BI57" i="2" l="1"/>
  <c r="BI70" i="2" s="1"/>
  <c r="K63" i="2"/>
  <c r="K107" i="2"/>
  <c r="BG57" i="2"/>
  <c r="BG70" i="2" s="1"/>
  <c r="G107" i="2"/>
  <c r="S107" i="2"/>
  <c r="G63" i="2"/>
  <c r="P107" i="2"/>
  <c r="W107" i="2"/>
  <c r="BK57" i="2"/>
  <c r="BK70" i="2" s="1"/>
  <c r="BL57" i="2"/>
  <c r="BL70" i="2" s="1"/>
  <c r="Y70" i="2"/>
  <c r="Y107" i="2"/>
  <c r="Y63" i="2"/>
  <c r="J70" i="2"/>
  <c r="J63" i="2"/>
  <c r="J107" i="2"/>
  <c r="U70" i="2"/>
  <c r="U63" i="2"/>
  <c r="U107" i="2"/>
  <c r="L70" i="2"/>
  <c r="L107" i="2"/>
  <c r="L63" i="2"/>
  <c r="T70" i="2"/>
  <c r="T107" i="2"/>
  <c r="T63" i="2"/>
  <c r="Z70" i="2"/>
  <c r="Z107" i="2"/>
  <c r="Z63" i="2"/>
  <c r="E70" i="2"/>
  <c r="E63" i="2"/>
  <c r="E107" i="2"/>
  <c r="P63" i="2"/>
  <c r="Q70" i="2"/>
  <c r="Q63" i="2"/>
  <c r="Q107" i="2"/>
  <c r="F70" i="2"/>
  <c r="F63" i="2"/>
  <c r="F107" i="2"/>
  <c r="X70" i="2"/>
  <c r="X63" i="2"/>
  <c r="X107" i="2"/>
  <c r="BJ57" i="2"/>
  <c r="BJ70" i="2" s="1"/>
  <c r="D70" i="2"/>
  <c r="D63" i="2"/>
  <c r="D107" i="2"/>
  <c r="H70" i="2"/>
  <c r="H63" i="2"/>
  <c r="H107" i="2"/>
  <c r="V70" i="2"/>
  <c r="V107" i="2"/>
  <c r="V63" i="2"/>
  <c r="I70" i="2"/>
  <c r="I63" i="2"/>
  <c r="I107" i="2"/>
  <c r="BH57" i="2"/>
  <c r="M70" i="2"/>
  <c r="M63" i="2"/>
  <c r="M107" i="2"/>
  <c r="R70" i="2"/>
  <c r="R63" i="2"/>
  <c r="R107" i="2"/>
  <c r="N70" i="2"/>
  <c r="N63" i="2"/>
  <c r="N107" i="2"/>
  <c r="BI107" i="2"/>
  <c r="BQ50" i="2"/>
  <c r="BQ67" i="2" s="1"/>
  <c r="BP50" i="2"/>
  <c r="BP67" i="2" s="1"/>
  <c r="BO50" i="2"/>
  <c r="BO67" i="2" s="1"/>
  <c r="BR50" i="2"/>
  <c r="BR67" i="2" s="1"/>
  <c r="BN50" i="2"/>
  <c r="BN67" i="2" s="1"/>
  <c r="AF67" i="2"/>
  <c r="AO67" i="2"/>
  <c r="BM50" i="2"/>
  <c r="BM67" i="2" s="1"/>
  <c r="AV67" i="2"/>
  <c r="AS67" i="2"/>
  <c r="AK67" i="2"/>
  <c r="AL67" i="2"/>
  <c r="AX67" i="2"/>
  <c r="AH67" i="2"/>
  <c r="AJ67" i="2"/>
  <c r="AR67" i="2"/>
  <c r="AN67" i="2"/>
  <c r="AT67" i="2"/>
  <c r="AP67" i="2"/>
  <c r="AG67" i="2"/>
  <c r="AC67" i="2"/>
  <c r="AB67" i="2"/>
  <c r="AD67" i="2"/>
  <c r="AW67" i="2"/>
  <c r="AA67" i="2"/>
  <c r="AE67" i="2"/>
  <c r="AI67" i="2"/>
  <c r="AM67" i="2"/>
  <c r="AQ67" i="2"/>
  <c r="AU67" i="2"/>
  <c r="AY67" i="2"/>
  <c r="AI51" i="2"/>
  <c r="AJ51" i="2"/>
  <c r="AJ55" i="2" s="1"/>
  <c r="AC51" i="2"/>
  <c r="AC55" i="2" s="1"/>
  <c r="AS51" i="2"/>
  <c r="AS55" i="2" s="1"/>
  <c r="AD51" i="2"/>
  <c r="AD68" i="2" s="1"/>
  <c r="AL51" i="2"/>
  <c r="AL55" i="2" s="1"/>
  <c r="AT51" i="2"/>
  <c r="AT55" i="2" s="1"/>
  <c r="AA51" i="2"/>
  <c r="AA68" i="2" s="1"/>
  <c r="AB51" i="2"/>
  <c r="AB68" i="2" s="1"/>
  <c r="AR51" i="2"/>
  <c r="AR55" i="2" s="1"/>
  <c r="AK51" i="2"/>
  <c r="AK55" i="2" s="1"/>
  <c r="AE51" i="2"/>
  <c r="AE55" i="2" s="1"/>
  <c r="AM51" i="2"/>
  <c r="AM55" i="2" s="1"/>
  <c r="AU51" i="2"/>
  <c r="AQ51" i="2"/>
  <c r="AQ55" i="2" s="1"/>
  <c r="AN51" i="2"/>
  <c r="AN68" i="2" s="1"/>
  <c r="AG51" i="2"/>
  <c r="AG68" i="2" s="1"/>
  <c r="AO51" i="2"/>
  <c r="AO55" i="2" s="1"/>
  <c r="AW51" i="2"/>
  <c r="AW55" i="2" s="1"/>
  <c r="AF51" i="2"/>
  <c r="AF68" i="2" s="1"/>
  <c r="AV51" i="2"/>
  <c r="AV55" i="2" s="1"/>
  <c r="AH51" i="2"/>
  <c r="AH55" i="2" s="1"/>
  <c r="AP51" i="2"/>
  <c r="AP55" i="2" s="1"/>
  <c r="AX51" i="2"/>
  <c r="AX68" i="2" s="1"/>
  <c r="AY51" i="2"/>
  <c r="AY55" i="2" s="1"/>
  <c r="BL107" i="2" l="1"/>
  <c r="BG107" i="2"/>
  <c r="BK107" i="2"/>
  <c r="AW68" i="2"/>
  <c r="AK68" i="2"/>
  <c r="AS68" i="2"/>
  <c r="BJ107" i="2"/>
  <c r="BL63" i="2"/>
  <c r="BH107" i="2"/>
  <c r="BH70" i="2"/>
  <c r="BH63" i="2"/>
  <c r="BI63" i="2"/>
  <c r="BJ63" i="2"/>
  <c r="BG63" i="2"/>
  <c r="BK63" i="2"/>
  <c r="AP68" i="2"/>
  <c r="AQ68" i="2"/>
  <c r="BR51" i="2"/>
  <c r="BR68" i="2" s="1"/>
  <c r="AP57" i="2"/>
  <c r="AP69" i="2"/>
  <c r="AS57" i="2"/>
  <c r="AS69" i="2"/>
  <c r="AE68" i="2"/>
  <c r="AG55" i="2"/>
  <c r="AU68" i="2"/>
  <c r="BO51" i="2"/>
  <c r="BO68" i="2" s="1"/>
  <c r="AM68" i="2"/>
  <c r="AE57" i="2"/>
  <c r="AE59" i="2" s="1"/>
  <c r="AE69" i="2"/>
  <c r="AQ57" i="2"/>
  <c r="AQ59" i="2" s="1"/>
  <c r="BQ55" i="2"/>
  <c r="BQ69" i="2" s="1"/>
  <c r="AQ69" i="2"/>
  <c r="AL57" i="2"/>
  <c r="AL59" i="2" s="1"/>
  <c r="AL61" i="2" s="1"/>
  <c r="AL69" i="2"/>
  <c r="AH69" i="2"/>
  <c r="AH57" i="2"/>
  <c r="AC69" i="2"/>
  <c r="AC57" i="2"/>
  <c r="AC59" i="2" s="1"/>
  <c r="AC61" i="2" s="1"/>
  <c r="AJ69" i="2"/>
  <c r="AJ57" i="2"/>
  <c r="AJ59" i="2" s="1"/>
  <c r="AJ61" i="2" s="1"/>
  <c r="AV69" i="2"/>
  <c r="AV57" i="2"/>
  <c r="AV59" i="2" s="1"/>
  <c r="AV61" i="2" s="1"/>
  <c r="AR69" i="2"/>
  <c r="AR57" i="2"/>
  <c r="AR59" i="2" s="1"/>
  <c r="AR61" i="2" s="1"/>
  <c r="AW57" i="2"/>
  <c r="AW59" i="2" s="1"/>
  <c r="AW61" i="2" s="1"/>
  <c r="AW69" i="2"/>
  <c r="AM57" i="2"/>
  <c r="AM59" i="2" s="1"/>
  <c r="AM69" i="2"/>
  <c r="AK57" i="2"/>
  <c r="AK59" i="2" s="1"/>
  <c r="AK61" i="2" s="1"/>
  <c r="AK69" i="2"/>
  <c r="AY57" i="2"/>
  <c r="AY59" i="2" s="1"/>
  <c r="AY61" i="2" s="1"/>
  <c r="AY69" i="2"/>
  <c r="AO69" i="2"/>
  <c r="AO57" i="2"/>
  <c r="AO59" i="2" s="1"/>
  <c r="AO61" i="2" s="1"/>
  <c r="AT57" i="2"/>
  <c r="AT59" i="2" s="1"/>
  <c r="AT61" i="2" s="1"/>
  <c r="AT69" i="2"/>
  <c r="AD55" i="2"/>
  <c r="AI68" i="2"/>
  <c r="BM51" i="2"/>
  <c r="BM68" i="2" s="1"/>
  <c r="AH68" i="2"/>
  <c r="AO68" i="2"/>
  <c r="BQ51" i="2"/>
  <c r="BQ68" i="2" s="1"/>
  <c r="AR68" i="2"/>
  <c r="AT68" i="2"/>
  <c r="AC68" i="2"/>
  <c r="AA55" i="2"/>
  <c r="AB55" i="2"/>
  <c r="AU55" i="2"/>
  <c r="AX55" i="2"/>
  <c r="AI55" i="2"/>
  <c r="AN55" i="2"/>
  <c r="BP55" i="2" s="1"/>
  <c r="BP69" i="2" s="1"/>
  <c r="BP51" i="2"/>
  <c r="BP68" i="2" s="1"/>
  <c r="AY68" i="2"/>
  <c r="AV68" i="2"/>
  <c r="BN51" i="2"/>
  <c r="BN68" i="2" s="1"/>
  <c r="AL68" i="2"/>
  <c r="AJ68" i="2"/>
  <c r="AF55" i="2"/>
  <c r="AH59" i="2" l="1"/>
  <c r="AH61" i="2" s="1"/>
  <c r="AH105" i="2"/>
  <c r="AH104" i="2"/>
  <c r="AP70" i="2"/>
  <c r="AP59" i="2"/>
  <c r="AP61" i="2" s="1"/>
  <c r="AM61" i="2"/>
  <c r="AQ61" i="2"/>
  <c r="AS63" i="2"/>
  <c r="AS59" i="2"/>
  <c r="AS61" i="2" s="1"/>
  <c r="AE61" i="2"/>
  <c r="AP105" i="2"/>
  <c r="AP107" i="2"/>
  <c r="AP63" i="2"/>
  <c r="AP104" i="2"/>
  <c r="AS105" i="2"/>
  <c r="AS104" i="2"/>
  <c r="AS70" i="2"/>
  <c r="AS107" i="2"/>
  <c r="AG57" i="2"/>
  <c r="AG59" i="2" s="1"/>
  <c r="AG61" i="2" s="1"/>
  <c r="AG69" i="2"/>
  <c r="BN55" i="2"/>
  <c r="BN69" i="2" s="1"/>
  <c r="AW104" i="2"/>
  <c r="AW70" i="2"/>
  <c r="AW107" i="2"/>
  <c r="AW105" i="2"/>
  <c r="AW63" i="2"/>
  <c r="AA57" i="2"/>
  <c r="AA59" i="2" s="1"/>
  <c r="AA69" i="2"/>
  <c r="BM55" i="2"/>
  <c r="BM69" i="2" s="1"/>
  <c r="AD57" i="2"/>
  <c r="AD59" i="2" s="1"/>
  <c r="AD61" i="2" s="1"/>
  <c r="AD69" i="2"/>
  <c r="AJ104" i="2"/>
  <c r="AJ105" i="2"/>
  <c r="AJ107" i="2"/>
  <c r="AJ70" i="2"/>
  <c r="AJ63" i="2"/>
  <c r="AC70" i="2"/>
  <c r="AC63" i="2"/>
  <c r="AC107" i="2"/>
  <c r="AQ63" i="2"/>
  <c r="AQ107" i="2"/>
  <c r="AQ70" i="2"/>
  <c r="AQ104" i="2"/>
  <c r="AQ105" i="2"/>
  <c r="BQ57" i="2"/>
  <c r="BQ70" i="2" s="1"/>
  <c r="AK104" i="2"/>
  <c r="AK107" i="2"/>
  <c r="AK105" i="2"/>
  <c r="AK70" i="2"/>
  <c r="AK63" i="2"/>
  <c r="AB57" i="2"/>
  <c r="AB59" i="2" s="1"/>
  <c r="AB61" i="2" s="1"/>
  <c r="AB69" i="2"/>
  <c r="AO70" i="2"/>
  <c r="AO104" i="2"/>
  <c r="AO105" i="2"/>
  <c r="AO107" i="2"/>
  <c r="AO63" i="2"/>
  <c r="AV107" i="2"/>
  <c r="AV104" i="2"/>
  <c r="AV70" i="2"/>
  <c r="AV105" i="2"/>
  <c r="AV63" i="2"/>
  <c r="AR105" i="2"/>
  <c r="AR107" i="2"/>
  <c r="AR70" i="2"/>
  <c r="AR104" i="2"/>
  <c r="AR63" i="2"/>
  <c r="AT104" i="2"/>
  <c r="AT70" i="2"/>
  <c r="AT63" i="2"/>
  <c r="AT105" i="2"/>
  <c r="AT107" i="2"/>
  <c r="AN57" i="2"/>
  <c r="AN69" i="2"/>
  <c r="AY104" i="2"/>
  <c r="AY107" i="2"/>
  <c r="AY70" i="2"/>
  <c r="AY63" i="2"/>
  <c r="AY105" i="2"/>
  <c r="AM70" i="2"/>
  <c r="AM104" i="2"/>
  <c r="AM63" i="2"/>
  <c r="AM107" i="2"/>
  <c r="AM105" i="2"/>
  <c r="AH70" i="2"/>
  <c r="AH63" i="2"/>
  <c r="AH107" i="2"/>
  <c r="AU69" i="2"/>
  <c r="AU57" i="2"/>
  <c r="AU59" i="2" s="1"/>
  <c r="BR55" i="2"/>
  <c r="BR69" i="2" s="1"/>
  <c r="AL105" i="2"/>
  <c r="AL107" i="2"/>
  <c r="AL63" i="2"/>
  <c r="AL70" i="2"/>
  <c r="AL104" i="2"/>
  <c r="AF57" i="2"/>
  <c r="AF59" i="2" s="1"/>
  <c r="AF61" i="2" s="1"/>
  <c r="AF69" i="2"/>
  <c r="AI57" i="2"/>
  <c r="AI59" i="2" s="1"/>
  <c r="BO55" i="2"/>
  <c r="BO69" i="2" s="1"/>
  <c r="AI69" i="2"/>
  <c r="AX57" i="2"/>
  <c r="AX59" i="2" s="1"/>
  <c r="AX61" i="2" s="1"/>
  <c r="AX69" i="2"/>
  <c r="AE63" i="2"/>
  <c r="AE107" i="2"/>
  <c r="AE70" i="2"/>
  <c r="BQ59" i="2" l="1"/>
  <c r="BQ61" i="2"/>
  <c r="AA61" i="2"/>
  <c r="BM61" i="2" s="1"/>
  <c r="BM59" i="2"/>
  <c r="AI61" i="2"/>
  <c r="BO61" i="2" s="1"/>
  <c r="BO59" i="2"/>
  <c r="BN61" i="2"/>
  <c r="BR59" i="2"/>
  <c r="AU61" i="2"/>
  <c r="BR61" i="2" s="1"/>
  <c r="BP57" i="2"/>
  <c r="BP70" i="2" s="1"/>
  <c r="AN59" i="2"/>
  <c r="BN59" i="2"/>
  <c r="BN57" i="2"/>
  <c r="BN70" i="2" s="1"/>
  <c r="BQ63" i="2"/>
  <c r="AG107" i="2"/>
  <c r="AG70" i="2"/>
  <c r="AG63" i="2"/>
  <c r="BP107" i="2"/>
  <c r="BP105" i="2"/>
  <c r="BQ104" i="2"/>
  <c r="BQ107" i="2"/>
  <c r="BQ105" i="2"/>
  <c r="AB63" i="2"/>
  <c r="AB107" i="2"/>
  <c r="AB70" i="2"/>
  <c r="AF70" i="2"/>
  <c r="AF63" i="2"/>
  <c r="AF107" i="2"/>
  <c r="AI104" i="2"/>
  <c r="AI107" i="2"/>
  <c r="BO57" i="2"/>
  <c r="BO70" i="2" s="1"/>
  <c r="AI105" i="2"/>
  <c r="AI63" i="2"/>
  <c r="BO63" i="2" s="1"/>
  <c r="AI70" i="2"/>
  <c r="AA107" i="2"/>
  <c r="AA63" i="2"/>
  <c r="AA70" i="2"/>
  <c r="BM57" i="2"/>
  <c r="BM70" i="2" s="1"/>
  <c r="AU105" i="2"/>
  <c r="AU107" i="2"/>
  <c r="BR57" i="2"/>
  <c r="BR70" i="2" s="1"/>
  <c r="AU70" i="2"/>
  <c r="AU63" i="2"/>
  <c r="AU104" i="2"/>
  <c r="AN70" i="2"/>
  <c r="AN104" i="2"/>
  <c r="AN107" i="2"/>
  <c r="AN63" i="2"/>
  <c r="BP63" i="2" s="1"/>
  <c r="AN105" i="2"/>
  <c r="AX105" i="2"/>
  <c r="AX104" i="2"/>
  <c r="AX70" i="2"/>
  <c r="AX107" i="2"/>
  <c r="AX63" i="2"/>
  <c r="AD63" i="2"/>
  <c r="AD70" i="2"/>
  <c r="AD107" i="2"/>
  <c r="BP104" i="2" l="1"/>
  <c r="BN107" i="2"/>
  <c r="AN61" i="2"/>
  <c r="BP61" i="2" s="1"/>
  <c r="BP59" i="2"/>
  <c r="BR63" i="2"/>
  <c r="BN63" i="2"/>
  <c r="BM63" i="2"/>
  <c r="BM107" i="2"/>
  <c r="BR104" i="2"/>
  <c r="BR105" i="2"/>
  <c r="BR107" i="2"/>
  <c r="BO104" i="2"/>
  <c r="BO107" i="2"/>
  <c r="BO10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<sst xmlns="http://schemas.openxmlformats.org/spreadsheetml/2006/main" count="1808" uniqueCount="1003">
  <si>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</si>
  <si>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</si>
  <si>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</si>
  <si>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</si>
  <si>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</si>
  <si>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</si>
  <si>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</si>
  <si>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</si>
  <si>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</si>
  <si>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</si>
  <si>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</si>
  <si>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</si>
  <si>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</si>
  <si>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</si>
  <si>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</si>
  <si>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</si>
  <si>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</si>
  <si>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</si>
  <si>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</si>
  <si>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</si>
  <si>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</si>
  <si>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</si>
  <si>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</si>
  <si>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</si>
  <si>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</si>
  <si>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</si>
  <si>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</si>
  <si>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</si>
  <si>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</si>
  <si>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</si>
  <si>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</si>
  <si>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</si>
  <si>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</si>
  <si>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</si>
  <si>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</si>
  <si>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</si>
  <si>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</si>
  <si>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</si>
  <si>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</si>
  <si>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</si>
  <si>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</si>
  <si>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</si>
  <si>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</si>
  <si>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</si>
  <si>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</si>
  <si>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</si>
  <si>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</si>
  <si>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</si>
  <si>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</si>
  <si>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</si>
  <si>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</si>
  <si>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</si>
  <si>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</si>
  <si>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U.S. % of Revenues</t>
  </si>
  <si>
    <t>COGS</t>
  </si>
  <si>
    <t>GP</t>
  </si>
  <si>
    <t>Gross Profit Margin</t>
  </si>
  <si>
    <t>SG&amp;A as % of Revenue</t>
  </si>
  <si>
    <t>Operating Profit Margin</t>
  </si>
  <si>
    <t>Effective Tax Rate</t>
  </si>
  <si>
    <t>Net Profit Margin</t>
  </si>
  <si>
    <t xml:space="preserve">Cash &amp; CEs </t>
  </si>
  <si>
    <t>Current Ratio</t>
  </si>
  <si>
    <t>Quick Ratio</t>
  </si>
  <si>
    <t>Cash Ratio</t>
  </si>
  <si>
    <t>Inventory Turnover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</si>
  <si>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</si>
  <si>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</si>
  <si>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</si>
  <si>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</si>
  <si>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</si>
  <si>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</si>
  <si>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</si>
  <si>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</si>
  <si>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</si>
  <si>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[Godel Snapshot of projected sales]</t>
  </si>
  <si>
    <t>Earnings Scope:</t>
  </si>
  <si>
    <t>Balance Sheet Scope:</t>
  </si>
  <si>
    <t>[Godel Snapshot of projected balances (assets, liabilities, equity)]</t>
  </si>
  <si>
    <t>[Equity Preformance Compared to Peers]</t>
  </si>
  <si>
    <t>Use Godel CMS command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</si>
  <si>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</si>
  <si>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</si>
  <si>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</si>
  <si>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</si>
  <si>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</si>
  <si>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</si>
  <si>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</si>
  <si>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</si>
  <si>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</si>
  <si>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</si>
  <si>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</si>
  <si>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</si>
  <si>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</si>
  <si>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</si>
  <si>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</si>
  <si>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</si>
  <si>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</si>
  <si>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</si>
  <si>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</si>
  <si>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</si>
  <si>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</si>
  <si>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</si>
  <si>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</si>
  <si>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</si>
  <si>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</si>
  <si>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</si>
  <si>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</si>
  <si>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</si>
  <si>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</si>
  <si>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</si>
  <si>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</si>
  <si>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</si>
  <si>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</si>
  <si>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</si>
  <si>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</si>
  <si>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</si>
  <si>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[Godel Snapshot of projected earnings/EPS + CFFO]</t>
  </si>
  <si>
    <t>VOO Historical Returns</t>
  </si>
  <si>
    <t>EPS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</si>
  <si>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</si>
  <si>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2024-2025</t>
  </si>
  <si>
    <t>Capital Structure</t>
  </si>
  <si>
    <t>Mkt Cap</t>
  </si>
  <si>
    <t>Ttl Assets</t>
  </si>
  <si>
    <t>Debt to Ttl Mkt Cap</t>
  </si>
  <si>
    <t>Mkt Equity to Ttl Mkt Cap</t>
  </si>
  <si>
    <t>LT Debt / Equity</t>
  </si>
  <si>
    <t>Cost of Equity</t>
  </si>
  <si>
    <t>Market Return(1-year avg.)</t>
  </si>
  <si>
    <t xml:space="preserve">Cost of Equity </t>
  </si>
  <si>
    <t>Cost of Debt</t>
  </si>
  <si>
    <t>Ttl Liabilities</t>
  </si>
  <si>
    <t>Tax Rate</t>
  </si>
  <si>
    <t>Ttl SE</t>
  </si>
  <si>
    <t>After Tax Cost of Debt</t>
  </si>
  <si>
    <t>Ttl L + SE</t>
  </si>
  <si>
    <t>WACC</t>
  </si>
  <si>
    <t>Fixed Asset Turnover Ratio</t>
  </si>
  <si>
    <t>Ttl Asset Turnover Ratio</t>
  </si>
  <si>
    <t>General Notes/Observations (Updated Q1'26)</t>
  </si>
  <si>
    <t>Financial Stmts. Notes/Observations (Updated Q1'26)</t>
  </si>
  <si>
    <t>Q4'25</t>
  </si>
  <si>
    <t>2/20/26</t>
  </si>
  <si>
    <t>DIS</t>
  </si>
  <si>
    <t>The Walt Disney Company (DIS)</t>
  </si>
  <si>
    <t>https://www.sec.gov/edgar/browse/?CIK=1744489&amp;owner=exclude</t>
  </si>
  <si>
    <t>https://www.disney.com/</t>
  </si>
  <si>
    <t>https://thewaltdisneycompany.com/</t>
  </si>
  <si>
    <t>https://investors.thewaltdisneycompany.com/</t>
  </si>
  <si>
    <t>https://seekingalpha.com/symbol/DIS/earnings/transcripts</t>
  </si>
  <si>
    <t>Fri, 06 Feb 2026 00:00:00 GMT</t>
  </si>
  <si>
    <t>Thu, 05 Feb 2026 00:00:00 GMT</t>
  </si>
  <si>
    <t>Wed, 04 Feb 2026 00:00:00 GMT</t>
  </si>
  <si>
    <t>Tue, 03 Feb 2026 00:00:00 GMT</t>
  </si>
  <si>
    <t>Mon, 02 Feb 2026 00:00:00 GMT</t>
  </si>
  <si>
    <t>Fri, 30 Jan 2026 00:00:00 GMT</t>
  </si>
  <si>
    <t>Thu, 29 Jan 2026 00:00:00 GMT</t>
  </si>
  <si>
    <t>Wed, 28 Jan 2026 00:00:00 GMT</t>
  </si>
  <si>
    <t>Tue, 27 Jan 2026 00:00:00 GMT</t>
  </si>
  <si>
    <t>Mon, 26 Jan 2026 00:00:00 GMT</t>
  </si>
  <si>
    <t>Fri, 23 Jan 2026 00:00:00 GMT</t>
  </si>
  <si>
    <t>Thu, 22 Jan 2026 00:00:00 GMT</t>
  </si>
  <si>
    <t>Wed, 21 Jan 2026 00:00:00 GMT</t>
  </si>
  <si>
    <t>Tue, 20 Jan 2026 00:00:00 GMT</t>
  </si>
  <si>
    <t>Fri, 16 Jan 2026 00:00:00 GMT</t>
  </si>
  <si>
    <t>Thu, 15 Jan 2026 00:00:00 GMT</t>
  </si>
  <si>
    <t>Wed, 14 Jan 2026 00:00:00 GMT</t>
  </si>
  <si>
    <t>Tue, 13 Jan 2026 00:00:00 GMT</t>
  </si>
  <si>
    <t>Mon, 12 Jan 2026 00:00:00 GMT</t>
  </si>
  <si>
    <t>Fri, 09 Jan 2026 00:00:00 GMT</t>
  </si>
  <si>
    <t>Thu, 08 Jan 2026 00:00:00 GMT</t>
  </si>
  <si>
    <t>Wed, 07 Jan 2026 00:00:00 GMT</t>
  </si>
  <si>
    <t>Tue, 06 Jan 2026 00:00:00 GMT</t>
  </si>
  <si>
    <t>Mon, 05 Jan 2026 00:00:00 GMT</t>
  </si>
  <si>
    <t>Fri, 02 Jan 2026 00:00:00 GMT</t>
  </si>
  <si>
    <t>Wed, 31 Dec 2025 00:00:00 GMT</t>
  </si>
  <si>
    <t>Tue, 30 Dec 2025 00:00:00 GMT</t>
  </si>
  <si>
    <t>Mon, 29 Dec 2025 00:00:00 GMT</t>
  </si>
  <si>
    <t>Fri, 26 Dec 2025 00:00:00 GMT</t>
  </si>
  <si>
    <t>Wed, 24 Dec 2025 00:00:00 GMT</t>
  </si>
  <si>
    <t>Tue, 23 Dec 2025 00:00:00 GMT</t>
  </si>
  <si>
    <t>Mon, 22 Dec 2025 00:00:00 GMT</t>
  </si>
  <si>
    <t>Fri, 19 Dec 2025 00:00:00 GMT</t>
  </si>
  <si>
    <t>Thu, 18 Dec 2025 00:00:00 GMT</t>
  </si>
  <si>
    <t>Wed, 17 Dec 2025 00:00:00 GMT</t>
  </si>
  <si>
    <t>Tue, 16 Dec 2025 00:00:00 GMT</t>
  </si>
  <si>
    <t>Mon, 15 Dec 2025 00:00:00 GMT</t>
  </si>
  <si>
    <t>Fri, 12 Dec 2025 00:00:00 GMT</t>
  </si>
  <si>
    <t>Thu, 11 Dec 2025 00:00:00 GMT</t>
  </si>
  <si>
    <t>Wed, 10 Dec 2025 00:00:00 GMT</t>
  </si>
  <si>
    <t>Tue, 09 Dec 2025 00:00:00 GMT</t>
  </si>
  <si>
    <t>Mon, 08 Dec 2025 00:00:00 GMT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</si>
  <si>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</si>
  <si>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</si>
  <si>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</si>
  <si>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</si>
  <si>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</si>
  <si>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</si>
  <si>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</si>
  <si>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</si>
  <si>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</si>
  <si>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</si>
  <si>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</si>
  <si>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</si>
  <si>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</si>
  <si>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</si>
  <si>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</si>
  <si>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</si>
  <si>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</si>
  <si>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</si>
  <si>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</si>
  <si>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</si>
  <si>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</si>
  <si>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</si>
  <si>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</si>
  <si>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</si>
  <si>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</si>
  <si>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</si>
  <si>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</si>
  <si>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</si>
  <si>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</si>
  <si>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</si>
  <si>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</si>
  <si>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</si>
  <si>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t>Tue, 21 Oct 2025 00:00:00 GMT</t>
  </si>
  <si>
    <t>Mon, 20 Oct 2025 00:00:00 GMT</t>
  </si>
  <si>
    <t>Fri, 17 Oct 2025 00:00:00 GMT</t>
  </si>
  <si>
    <t>Thu, 16 Oct 2025 00:00:00 GMT</t>
  </si>
  <si>
    <t>Wed, 15 Oct 2025 00:00:00 GMT</t>
  </si>
  <si>
    <t>Tue, 14 Oct 2025 00:00:00 GMT</t>
  </si>
  <si>
    <t>Mon, 13 Oct 2025 00:00:00 GMT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</si>
  <si>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</si>
  <si>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</si>
  <si>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</si>
  <si>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</si>
  <si>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</si>
  <si>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</si>
  <si>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</si>
  <si>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</si>
  <si>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</si>
  <si>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</si>
  <si>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</si>
  <si>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</si>
  <si>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</si>
  <si>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</si>
  <si>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</si>
  <si>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</si>
  <si>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</si>
  <si>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</si>
  <si>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</si>
  <si>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</si>
  <si>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</si>
  <si>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</si>
  <si>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</si>
  <si>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</si>
  <si>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</si>
  <si>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</si>
  <si>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</si>
  <si>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</si>
  <si>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</si>
  <si>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</si>
  <si>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</si>
  <si>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</si>
  <si>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</si>
  <si>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</si>
  <si>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</si>
  <si>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</si>
  <si>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</si>
  <si>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</si>
  <si>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</si>
  <si>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</si>
  <si>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</si>
  <si>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</si>
  <si>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</si>
  <si>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</si>
  <si>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</si>
  <si>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</si>
  <si>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</si>
  <si>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</si>
  <si>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</si>
  <si>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</si>
  <si>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</si>
  <si>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</si>
  <si>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</si>
  <si>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</si>
  <si>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</si>
  <si>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</si>
  <si>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</si>
  <si>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</si>
  <si>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</si>
  <si>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</si>
  <si>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</si>
  <si>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</si>
  <si>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</si>
  <si>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</si>
  <si>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</si>
  <si>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</si>
  <si>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</si>
  <si>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</si>
  <si>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</si>
  <si>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</si>
  <si>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</si>
  <si>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</si>
  <si>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</si>
  <si>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</si>
  <si>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</si>
  <si>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</si>
  <si>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</si>
  <si>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</si>
  <si>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</si>
  <si>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</si>
  <si>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</si>
  <si>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</si>
  <si>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</si>
  <si>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</si>
  <si>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</si>
  <si>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</si>
  <si>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</si>
  <si>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</si>
  <si>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</si>
  <si>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</si>
  <si>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</si>
  <si>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</si>
  <si>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</si>
  <si>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</si>
  <si>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</si>
  <si>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</si>
  <si>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</si>
  <si>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</si>
  <si>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</si>
  <si>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</si>
  <si>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</si>
  <si>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</si>
  <si>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</si>
  <si>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</si>
  <si>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</si>
  <si>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</si>
  <si>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</si>
  <si>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</si>
  <si>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</si>
  <si>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</si>
  <si>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</si>
  <si>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</si>
  <si>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</si>
  <si>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</si>
  <si>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</si>
  <si>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</si>
  <si>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</si>
  <si>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</si>
  <si>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</si>
  <si>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</si>
  <si>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</si>
  <si>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</si>
  <si>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</si>
  <si>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</si>
  <si>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</si>
  <si>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</si>
  <si>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</si>
  <si>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</si>
  <si>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</si>
  <si>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</si>
  <si>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</si>
  <si>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</si>
  <si>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</si>
  <si>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</si>
  <si>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</si>
  <si>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</si>
  <si>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</si>
  <si>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</si>
  <si>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</si>
  <si>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</si>
  <si>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</si>
  <si>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</si>
  <si>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</si>
  <si>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</si>
  <si>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</si>
  <si>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</si>
  <si>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</si>
  <si>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</si>
  <si>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</si>
  <si>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</si>
  <si>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</si>
  <si>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</si>
  <si>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</si>
  <si>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</si>
  <si>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</si>
  <si>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</si>
  <si>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</si>
  <si>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</si>
  <si>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</si>
  <si>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</si>
  <si>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</si>
  <si>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</si>
  <si>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</si>
  <si>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</si>
  <si>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</si>
  <si>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</si>
  <si>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</si>
  <si>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</si>
  <si>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</si>
  <si>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</si>
  <si>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</si>
  <si>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</si>
  <si>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</si>
  <si>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</si>
  <si>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</si>
  <si>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</si>
  <si>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</si>
  <si>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</si>
  <si>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</si>
  <si>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</si>
  <si>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</si>
  <si>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</si>
  <si>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</si>
  <si>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</si>
  <si>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</si>
  <si>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</si>
  <si>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</si>
  <si>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</si>
  <si>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</si>
  <si>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</si>
  <si>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</si>
  <si>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</si>
  <si>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</si>
  <si>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</si>
  <si>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</si>
  <si>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</si>
  <si>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</si>
  <si>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</si>
  <si>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</si>
  <si>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</si>
  <si>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</si>
  <si>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</si>
  <si>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</si>
  <si>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</si>
  <si>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</si>
  <si>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</si>
  <si>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</si>
  <si>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</si>
  <si>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</si>
  <si>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</si>
  <si>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</si>
  <si>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</si>
  <si>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</si>
  <si>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</si>
  <si>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</si>
  <si>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</si>
  <si>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</si>
  <si>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</si>
  <si>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</si>
  <si>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</si>
  <si>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</si>
  <si>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</si>
  <si>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</si>
  <si>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</si>
  <si>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</si>
  <si>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</si>
  <si>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</si>
  <si>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</si>
  <si>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</si>
  <si>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</si>
  <si>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</si>
  <si>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</si>
  <si>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</si>
  <si>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</si>
  <si>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</si>
  <si>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</si>
  <si>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</si>
  <si>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</si>
  <si>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</si>
  <si>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</si>
  <si>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</si>
  <si>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</si>
  <si>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</si>
  <si>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</si>
  <si>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</si>
  <si>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</si>
  <si>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</si>
  <si>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</si>
  <si>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</si>
  <si>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</si>
  <si>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</si>
  <si>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</si>
  <si>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</si>
  <si>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</si>
  <si>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</si>
  <si>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</si>
  <si>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</si>
  <si>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</si>
  <si>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</si>
  <si>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</si>
  <si>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</si>
  <si>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</si>
  <si>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</si>
  <si>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</si>
  <si>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</si>
  <si>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</si>
  <si>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</si>
  <si>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</si>
  <si>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</si>
  <si>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</si>
  <si>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</si>
  <si>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</si>
  <si>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</si>
  <si>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</si>
  <si>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</si>
  <si>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</si>
  <si>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</si>
  <si>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</si>
  <si>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</si>
  <si>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</si>
  <si>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</si>
  <si>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</si>
  <si>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</si>
  <si>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</si>
  <si>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</si>
  <si>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</si>
  <si>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</si>
  <si>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</si>
  <si>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</si>
  <si>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</si>
  <si>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</si>
  <si>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</si>
  <si>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</si>
  <si>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</si>
  <si>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</si>
  <si>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</si>
  <si>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</si>
  <si>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</si>
  <si>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</si>
  <si>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</si>
  <si>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</si>
  <si>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</si>
  <si>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</si>
  <si>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</si>
  <si>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</si>
  <si>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</si>
  <si>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</si>
  <si>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</si>
  <si>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</si>
  <si>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</si>
  <si>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</si>
  <si>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</si>
  <si>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</si>
  <si>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</si>
  <si>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</si>
  <si>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</si>
  <si>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</si>
  <si>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</si>
  <si>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</si>
  <si>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</si>
  <si>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</si>
  <si>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</si>
  <si>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</si>
  <si>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</si>
  <si>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</si>
  <si>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</si>
  <si>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</si>
  <si>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</si>
  <si>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</si>
  <si>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</si>
  <si>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</si>
  <si>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</si>
  <si>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</si>
  <si>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</si>
  <si>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</si>
  <si>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</si>
  <si>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</si>
  <si>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</si>
  <si>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</si>
  <si>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</si>
  <si>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</si>
  <si>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</si>
  <si>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</si>
  <si>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</si>
  <si>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</si>
  <si>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</si>
  <si>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</si>
  <si>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</si>
  <si>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</si>
  <si>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</si>
  <si>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</si>
  <si>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</si>
  <si>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</si>
  <si>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</si>
  <si>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</si>
  <si>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</si>
  <si>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</si>
  <si>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</si>
  <si>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</si>
  <si>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</si>
  <si>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</si>
  <si>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</si>
  <si>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</si>
  <si>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</si>
  <si>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</si>
  <si>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</si>
  <si>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</si>
  <si>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</si>
  <si>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</si>
  <si>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</si>
  <si>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</si>
  <si>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</si>
  <si>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</si>
  <si>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</si>
  <si>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</si>
  <si>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</si>
  <si>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</si>
  <si>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</si>
  <si>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</si>
  <si>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</si>
  <si>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</si>
  <si>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</si>
  <si>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</si>
  <si>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</si>
  <si>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</si>
  <si>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</si>
  <si>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</si>
  <si>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</si>
  <si>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</si>
  <si>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</si>
  <si>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</si>
  <si>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</si>
  <si>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</si>
  <si>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</si>
  <si>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</si>
  <si>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</si>
  <si>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</si>
  <si>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</si>
  <si>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</si>
  <si>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</si>
  <si>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</si>
  <si>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</si>
  <si>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</si>
  <si>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</si>
  <si>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</si>
  <si>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</si>
  <si>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</si>
  <si>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</si>
  <si>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</si>
  <si>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</si>
  <si>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</si>
  <si>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</si>
  <si>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</si>
  <si>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</si>
  <si>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</si>
  <si>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</si>
  <si>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</si>
  <si>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</si>
  <si>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</si>
  <si>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</si>
  <si>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</si>
  <si>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</si>
  <si>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</si>
  <si>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</si>
  <si>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</si>
  <si>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</si>
  <si>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</si>
  <si>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</si>
  <si>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</si>
  <si>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</si>
  <si>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</si>
  <si>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</si>
  <si>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</si>
  <si>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</si>
  <si>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</si>
  <si>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</si>
  <si>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</si>
  <si>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</si>
  <si>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</si>
  <si>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</si>
  <si>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</si>
  <si>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</si>
  <si>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</si>
  <si>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</si>
  <si>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</si>
  <si>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</si>
  <si>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</si>
  <si>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</si>
  <si>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</si>
  <si>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</si>
  <si>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</si>
  <si>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</si>
  <si>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</si>
  <si>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</si>
  <si>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</si>
  <si>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</si>
  <si>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</si>
  <si>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</si>
  <si>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</si>
  <si>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</si>
  <si>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</si>
  <si>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</si>
  <si>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</si>
  <si>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</si>
  <si>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</si>
  <si>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</si>
  <si>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</si>
  <si>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</si>
  <si>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</si>
  <si>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</si>
  <si>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</si>
  <si>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</si>
  <si>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</si>
  <si>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</si>
  <si>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</si>
  <si>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</si>
  <si>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</si>
  <si>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</si>
  <si>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</si>
  <si>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</si>
  <si>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</si>
  <si>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</si>
  <si>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</si>
  <si>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</si>
  <si>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</si>
  <si>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</si>
  <si>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</si>
  <si>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</si>
  <si>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</si>
  <si>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</si>
  <si>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</si>
  <si>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</si>
  <si>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</si>
  <si>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</si>
  <si>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</si>
  <si>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</si>
  <si>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</si>
  <si>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</si>
  <si>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</si>
  <si>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</si>
  <si>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</si>
  <si>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</si>
  <si>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</si>
  <si>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</si>
  <si>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</si>
  <si>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</si>
  <si>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</si>
  <si>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</si>
  <si>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</si>
  <si>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</si>
  <si>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</si>
  <si>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</si>
  <si>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</si>
  <si>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</si>
  <si>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</si>
  <si>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</si>
  <si>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</si>
  <si>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</si>
  <si>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</si>
  <si>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</si>
  <si>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</si>
  <si>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</si>
  <si>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</si>
  <si>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</si>
  <si>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</si>
  <si>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</si>
  <si>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</si>
  <si>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</si>
  <si>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</si>
  <si>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</si>
  <si>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</si>
  <si>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</si>
  <si>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</si>
  <si>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</si>
  <si>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</si>
  <si>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</si>
  <si>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</si>
  <si>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</si>
  <si>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</si>
  <si>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</si>
  <si>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</si>
  <si>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</si>
  <si>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</si>
  <si>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</si>
  <si>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</si>
  <si>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</si>
  <si>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</si>
  <si>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</si>
  <si>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</si>
  <si>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</si>
  <si>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</si>
  <si>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</si>
  <si>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</si>
  <si>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</si>
  <si>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</si>
  <si>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</si>
  <si>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</si>
  <si>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</si>
  <si>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</si>
  <si>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</si>
  <si>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</si>
  <si>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</si>
  <si>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</si>
  <si>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</si>
  <si>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</si>
  <si>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</si>
  <si>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</si>
  <si>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</si>
  <si>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</si>
  <si>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</si>
  <si>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</si>
  <si>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</si>
  <si>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</si>
  <si>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</si>
  <si>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</si>
  <si>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</si>
  <si>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</si>
  <si>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</si>
  <si>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</si>
  <si>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</si>
  <si>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</si>
  <si>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</si>
  <si>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</si>
  <si>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</si>
  <si>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</si>
  <si>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</si>
  <si>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</si>
  <si>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</si>
  <si>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</si>
  <si>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</si>
  <si>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</si>
  <si>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</si>
  <si>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</si>
  <si>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</si>
  <si>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</si>
  <si>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</si>
  <si>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</si>
  <si>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</si>
  <si>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</si>
  <si>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</si>
  <si>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</si>
  <si>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</si>
  <si>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</si>
  <si>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</si>
  <si>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</si>
  <si>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</si>
  <si>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</si>
  <si>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</si>
  <si>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</si>
  <si>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</si>
  <si>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</si>
  <si>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</si>
  <si>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</si>
  <si>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</si>
  <si>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</si>
  <si>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</si>
  <si>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</si>
  <si>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</si>
  <si>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</si>
  <si>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</si>
  <si>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</si>
  <si>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</si>
  <si>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</si>
  <si>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</si>
  <si>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</si>
  <si>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</si>
  <si>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</si>
  <si>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</si>
  <si>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</si>
  <si>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</si>
  <si>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</si>
  <si>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</si>
  <si>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</si>
  <si>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</si>
  <si>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</si>
  <si>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</si>
  <si>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</si>
  <si>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</si>
  <si>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</si>
  <si>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</si>
  <si>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</si>
  <si>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</si>
  <si>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</si>
  <si>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</si>
  <si>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</si>
  <si>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</si>
  <si>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</si>
  <si>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</si>
  <si>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</si>
  <si>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</si>
  <si>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</si>
  <si>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</si>
  <si>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</si>
  <si>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</si>
  <si>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</si>
  <si>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</si>
  <si>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</si>
  <si>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</si>
  <si>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</si>
  <si>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</si>
  <si>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</si>
  <si>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</si>
  <si>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</si>
  <si>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</si>
  <si>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</si>
  <si>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</si>
  <si>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</si>
  <si>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</si>
  <si>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</si>
  <si>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</si>
  <si>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</si>
  <si>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</si>
  <si>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</si>
  <si>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r>
      <rPr>
        <i/>
        <sz val="11"/>
        <color theme="1"/>
        <rFont val="Calibre"/>
      </rPr>
      <t>753</t>
    </r>
    <r>
      <rPr>
        <sz val="11"/>
        <color theme="1"/>
        <rFont val="Calibre"/>
      </rPr>
      <t xml:space="preserve"> Trading Days (From: </t>
    </r>
    <r>
      <rPr>
        <i/>
        <sz val="11"/>
        <color theme="1"/>
        <rFont val="Calibre"/>
      </rPr>
      <t>2/20/2023 - 2/20/2026</t>
    </r>
    <r>
      <rPr>
        <sz val="11"/>
        <color theme="1"/>
        <rFont val="Calibre"/>
      </rPr>
      <t>)</t>
    </r>
  </si>
  <si>
    <t>DIS Historical Returns</t>
  </si>
  <si>
    <t>More</t>
  </si>
  <si>
    <t>https://stockanalysis.com/stocks/dis/company/</t>
  </si>
  <si>
    <t>https://www.macrotrends.net/stocks/charts/DIS/disney/net-income</t>
  </si>
  <si>
    <t>https://www.gurufocus.com/term/wacc/DIS</t>
  </si>
  <si>
    <t>Founder(s): Walt Disney &amp; Roy Disney</t>
  </si>
  <si>
    <t>Founded: October 16, 1923</t>
  </si>
  <si>
    <t>Headquarters: Burbank, CA</t>
  </si>
  <si>
    <t>Employees: 231,000</t>
  </si>
  <si>
    <t>Industry: Entertainment</t>
  </si>
  <si>
    <t>Sector: Communication Services</t>
  </si>
  <si>
    <t>IPO: Nov 12th, 1957</t>
  </si>
  <si>
    <t>Fiscal Year: [October - September]</t>
  </si>
  <si>
    <t>Registered Exchange: NYSE</t>
  </si>
  <si>
    <t>Address: 500 South Buena Vista Street Burbank, CA  91521 U.S.</t>
  </si>
  <si>
    <t>The Walt Disney Company operates as an entertainment company in Americas, Europe, and the Asia Pacific</t>
  </si>
  <si>
    <t>(818) 560 - 1000</t>
  </si>
  <si>
    <t>SG&amp;A</t>
  </si>
  <si>
    <t>Depreciation &amp; Amortization</t>
  </si>
  <si>
    <t>Operating Income</t>
  </si>
  <si>
    <t>Restructuring &amp; Impairment</t>
  </si>
  <si>
    <t>Interest Expenses</t>
  </si>
  <si>
    <t>Interest Income</t>
  </si>
  <si>
    <t>Pretax Income</t>
  </si>
  <si>
    <t>Taxes</t>
  </si>
  <si>
    <t>Dep. &amp; Am. as % of Revenue</t>
  </si>
  <si>
    <t>A/R</t>
  </si>
  <si>
    <t>Inventories</t>
  </si>
  <si>
    <t>Content Advances</t>
  </si>
  <si>
    <t>Other ST Assets</t>
  </si>
  <si>
    <t>LT Product &amp; Licenses</t>
  </si>
  <si>
    <t>LT Investments</t>
  </si>
  <si>
    <t>Attractions, Buildings and Equipment, Net</t>
  </si>
  <si>
    <t>Projects in Progress</t>
  </si>
  <si>
    <t>Land</t>
  </si>
  <si>
    <t>LT Intangible Assets</t>
  </si>
  <si>
    <t>Goodwill</t>
  </si>
  <si>
    <t>Other LT Assets</t>
  </si>
  <si>
    <t>The Company was founded in 1923 as the Disney Brothers Cartoon Studio; the modern company traces its start to an October 16, 1923 distribution deal for the Alice Comedies</t>
  </si>
  <si>
    <t>Over the decades, Disney expanded from animation into feature films, TV, consumer products, and theme parks (Disneyland 1955; Walt Disney World 1971), and later into cable networks (ABC/ESPN), studios (Pixar, Marvel, Lucasfilm, 21st Century Fox assets), and streaming</t>
  </si>
  <si>
    <t>It operates in three segments: Entertainment (film/TV and streaming), Sports (ESPN), and Experiences (parks, resorts, cruise, and consumer products), with Disney+ as the core of its direct‑to‑consumer infrastructure strategy and Parks as its economic/cashflow engine</t>
  </si>
  <si>
    <t xml:space="preserve">Entertainment is ~45% of The Company's revenues, Sports is ~35% of The Company's revenues, Entertainment is ~20% of The Company's revenues </t>
  </si>
  <si>
    <t>Entertainment Segment</t>
  </si>
  <si>
    <t>Linear Networks: Domestic and international channels including ABC, Disney Channel, FX, Freeform, and National Geographic</t>
  </si>
  <si>
    <t>Direct-to-Consumer (DTC): Streaming services Disney+, Disney+ Hotstar, Hulu, and Star+</t>
  </si>
  <si>
    <t>Content Sales/Licensing and Other: Theatrical distribution of films (Disney, Pixar, Marvel, Lucasfilm, 20th Century Studios), licensing to third‑party TV and SVOD platforms, home entertainment, music, and production/post‑production services via Industrial Light &amp; Magic and Skywalker Sound</t>
  </si>
  <si>
    <t>Sports Segment (ESPN)</t>
  </si>
  <si>
    <t>Domestic and international ESPN branded networks (ESPN, ESPN2, ESPNU, SEC Network, etc.), ESPN+ streaming, and sports content on Hulu</t>
  </si>
  <si>
    <t>ESPN is being repositioned around a long‑planned standalone ESPN streaming app, with bundling alongside Disney+ and Hulu to anchor the sports piece of the DTC portfolio</t>
  </si>
  <si>
    <t>Disney+ and Streaming:</t>
  </si>
  <si>
    <t>Disney+ sits at the center of the company’s effort to pivot from linear TV to subscription streaming</t>
  </si>
  <si>
    <t>Disney executives have put a great deal of time, effort, and capital into this segment in hopes of developing it into the underpinning for The Company's content distrubution</t>
  </si>
  <si>
    <t>The strategic objective: reach sustainable profitability in streaming while maintaining scale, shifting investor focus from net adds to ARPU and engagement</t>
  </si>
  <si>
    <t>Management has already signaled it will de‑emphasize subscriber numbers and instead track profitability and engagement, similar to Netflix</t>
  </si>
  <si>
    <t>The Company is focuesed on wider penetration with Disney+ and subsidiary distributors … There is a plan to consolidate streaming platforms (Disney+, ESPN, Hulu) into a package offering … They literally just recreated cable packages under new management (No more Dish or DirectTV)</t>
  </si>
  <si>
    <t>Experiences Segment:</t>
  </si>
  <si>
    <t>Disney’s Experiences segment is The Company’s money printing, economic powerhouse ... Generates the majority of The Firm's operating income on the financial statements … milking Disney adults is the real business driver</t>
  </si>
  <si>
    <t>Domestic parks in California and Florida … International parks in Paris, Hong Kong, Shanghai, and a specialized deal in Tokoyo</t>
  </si>
  <si>
    <t>A/R and other Accrued Liabilities</t>
  </si>
  <si>
    <t>ST Debt</t>
  </si>
  <si>
    <t>ST Deferred Revenues</t>
  </si>
  <si>
    <t>LT Debt</t>
  </si>
  <si>
    <t>LT Deffered Income Tax Liabilities</t>
  </si>
  <si>
    <t>Other LT Liabilities</t>
  </si>
  <si>
    <t>LT Commitments and Contingencies</t>
  </si>
  <si>
    <t>Entertainment</t>
  </si>
  <si>
    <t>Sports</t>
  </si>
  <si>
    <t>Experiences</t>
  </si>
  <si>
    <t>Entertainment Growth Y/y</t>
  </si>
  <si>
    <t>Sports Growth Y/y</t>
  </si>
  <si>
    <t>Experiences Growth Y/y</t>
  </si>
  <si>
    <t>Entertainment % of Ttl Revenues</t>
  </si>
  <si>
    <t>Sports % of Ttl Revenues</t>
  </si>
  <si>
    <t>Experiences % of Ttl Revenues</t>
  </si>
  <si>
    <t>Q1 2026</t>
  </si>
  <si>
    <t>NI from Continued Operations</t>
  </si>
  <si>
    <t>Loss from Discontinued Operations</t>
  </si>
  <si>
    <t xml:space="preserve">NI </t>
  </si>
  <si>
    <t>Noncontrolling Interests</t>
  </si>
  <si>
    <t>NI to The Company</t>
  </si>
  <si>
    <t>Ttl Operating Income</t>
  </si>
  <si>
    <t>Ttl Operating Income Growth Y/y</t>
  </si>
  <si>
    <t>Euro Revenues</t>
  </si>
  <si>
    <t>Americas Revenues</t>
  </si>
  <si>
    <t>APac Revenues</t>
  </si>
  <si>
    <t>Americas Revenue Growth Y/y</t>
  </si>
  <si>
    <t>Euro Revenue Growth Y/y</t>
  </si>
  <si>
    <t>APac Revenue Growth Y/y</t>
  </si>
  <si>
    <t>Euro Revenues % of Revenues</t>
  </si>
  <si>
    <t>APac Revenues % of Revenues</t>
  </si>
  <si>
    <t>Bob Iger stepped down as CEO of The Company on March 18th, 2026</t>
  </si>
  <si>
    <t>Current CEO: Josh D'Amaro</t>
  </si>
  <si>
    <t>Entertainment % of Operating Income</t>
  </si>
  <si>
    <t>Sports % of Operating Income</t>
  </si>
  <si>
    <t>Experiences % of Operating Income</t>
  </si>
  <si>
    <t>Institutional Ownership Snapshot Q1'26</t>
  </si>
  <si>
    <t xml:space="preserve">Revenue Breakdown by Segment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</si>
</sst>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top" indent="1"/>
    </xf>
    <xf numFmtId="0" fontId="13" fillId="0" borderId="0" xfId="0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indent="1"/>
    </xf>
    <xf numFmtId="10" fontId="13" fillId="0" borderId="0" xfId="1" applyNumberFormat="1" applyFont="1"/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9" fontId="13" fillId="0" borderId="0" xfId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vertical="top" wrapText="1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0" fontId="13" fillId="0" borderId="0" xfId="0" applyFont="1" applyAlignment="1">
      <alignment horizontal="right"/>
    </xf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43" fontId="2" fillId="0" borderId="0" xfId="3" applyFont="1" applyAlignment="1">
      <alignment horizontal="left"/>
    </xf>
    <xf numFmtId="166" fontId="2" fillId="0" borderId="0" xfId="3" applyNumberFormat="1" applyFont="1" applyAlignment="1">
      <alignment horizontal="left"/>
    </xf>
    <xf numFmtId="167" fontId="2" fillId="0" borderId="0" xfId="3" applyNumberFormat="1" applyFont="1" applyAlignment="1">
      <alignment horizontal="left"/>
    </xf>
    <xf numFmtId="0" fontId="17" fillId="0" borderId="0" xfId="0" applyFont="1"/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65" fontId="2" fillId="0" borderId="0" xfId="1" applyNumberFormat="1" applyFont="1"/>
    <xf numFmtId="165" fontId="3" fillId="0" borderId="0" xfId="1" applyNumberFormat="1" applyFont="1"/>
    <xf numFmtId="0" fontId="2" fillId="0" borderId="0" xfId="0" applyFont="1" applyAlignment="1">
      <alignment horizontal="left" indent="1"/>
    </xf>
    <xf numFmtId="165" fontId="13" fillId="0" borderId="0" xfId="0" applyNumberFormat="1" applyFont="1"/>
    <xf numFmtId="165" fontId="12" fillId="0" borderId="0" xfId="0" applyNumberFormat="1" applyFont="1"/>
    <xf numFmtId="1" fontId="12" fillId="0" borderId="0" xfId="0" applyNumberFormat="1" applyFont="1"/>
    <xf numFmtId="165" fontId="13" fillId="0" borderId="0" xfId="1" applyNumberFormat="1" applyFont="1"/>
    <xf numFmtId="1" fontId="2" fillId="0" borderId="0" xfId="0" applyNumberFormat="1" applyFont="1"/>
    <xf numFmtId="0" fontId="13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[1]Model!$B$6</c:f>
              <c:strCache>
                <c:ptCount val="1"/>
                <c:pt idx="0">
                  <c:v>Medical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[1]Model!$AW$6:$BQ$6</c:f>
              <c:numCache>
                <c:formatCode>General</c:formatCode>
                <c:ptCount val="21"/>
                <c:pt idx="0">
                  <c:v>600</c:v>
                </c:pt>
                <c:pt idx="1">
                  <c:v>705</c:v>
                </c:pt>
                <c:pt idx="2">
                  <c:v>622</c:v>
                </c:pt>
                <c:pt idx="3">
                  <c:v>640</c:v>
                </c:pt>
                <c:pt idx="4">
                  <c:v>636</c:v>
                </c:pt>
                <c:pt idx="5">
                  <c:v>709</c:v>
                </c:pt>
                <c:pt idx="6">
                  <c:v>664</c:v>
                </c:pt>
                <c:pt idx="7">
                  <c:v>666</c:v>
                </c:pt>
                <c:pt idx="8">
                  <c:v>765</c:v>
                </c:pt>
                <c:pt idx="9">
                  <c:v>936</c:v>
                </c:pt>
                <c:pt idx="10">
                  <c:v>778</c:v>
                </c:pt>
                <c:pt idx="11">
                  <c:v>841</c:v>
                </c:pt>
                <c:pt idx="12">
                  <c:v>798</c:v>
                </c:pt>
                <c:pt idx="13">
                  <c:v>1042</c:v>
                </c:pt>
                <c:pt idx="14">
                  <c:v>864</c:v>
                </c:pt>
                <c:pt idx="15">
                  <c:v>908</c:v>
                </c:pt>
                <c:pt idx="16">
                  <c:v>938</c:v>
                </c:pt>
                <c:pt idx="17">
                  <c:v>1142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[1]Model!$B$12</c:f>
              <c:strCache>
                <c:ptCount val="1"/>
                <c:pt idx="0">
                  <c:v>Trauma and Extremities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[1]Model!$AW$12:$BQ$12</c:f>
              <c:numCache>
                <c:formatCode>General</c:formatCode>
                <c:ptCount val="21"/>
                <c:pt idx="0">
                  <c:v>430</c:v>
                </c:pt>
                <c:pt idx="1">
                  <c:v>570</c:v>
                </c:pt>
                <c:pt idx="2">
                  <c:v>640</c:v>
                </c:pt>
                <c:pt idx="3">
                  <c:v>674</c:v>
                </c:pt>
                <c:pt idx="4">
                  <c:v>639</c:v>
                </c:pt>
                <c:pt idx="5">
                  <c:v>711</c:v>
                </c:pt>
                <c:pt idx="6">
                  <c:v>685</c:v>
                </c:pt>
                <c:pt idx="7">
                  <c:v>676</c:v>
                </c:pt>
                <c:pt idx="8">
                  <c:v>672</c:v>
                </c:pt>
                <c:pt idx="9">
                  <c:v>774</c:v>
                </c:pt>
                <c:pt idx="10">
                  <c:v>769</c:v>
                </c:pt>
                <c:pt idx="11">
                  <c:v>766</c:v>
                </c:pt>
                <c:pt idx="12">
                  <c:v>752</c:v>
                </c:pt>
                <c:pt idx="13">
                  <c:v>860</c:v>
                </c:pt>
                <c:pt idx="14">
                  <c:v>830</c:v>
                </c:pt>
                <c:pt idx="15">
                  <c:v>832</c:v>
                </c:pt>
                <c:pt idx="16">
                  <c:v>849</c:v>
                </c:pt>
                <c:pt idx="17">
                  <c:v>996</c:v>
                </c:pt>
                <c:pt idx="18">
                  <c:v>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[1]Model!$B$5</c:f>
              <c:strCache>
                <c:ptCount val="1"/>
                <c:pt idx="0">
                  <c:v>Endoscopy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[1]Model!$AW$5:$BQ$5</c:f>
              <c:numCache>
                <c:formatCode>General</c:formatCode>
                <c:ptCount val="21"/>
                <c:pt idx="0">
                  <c:v>467</c:v>
                </c:pt>
                <c:pt idx="1">
                  <c:v>525</c:v>
                </c:pt>
                <c:pt idx="2">
                  <c:v>469</c:v>
                </c:pt>
                <c:pt idx="3">
                  <c:v>518</c:v>
                </c:pt>
                <c:pt idx="4">
                  <c:v>525</c:v>
                </c:pt>
                <c:pt idx="5">
                  <c:v>629</c:v>
                </c:pt>
                <c:pt idx="6">
                  <c:v>538</c:v>
                </c:pt>
                <c:pt idx="7">
                  <c:v>600</c:v>
                </c:pt>
                <c:pt idx="8">
                  <c:v>590</c:v>
                </c:pt>
                <c:pt idx="9">
                  <c:v>997</c:v>
                </c:pt>
                <c:pt idx="10">
                  <c:v>707</c:v>
                </c:pt>
                <c:pt idx="11">
                  <c:v>713</c:v>
                </c:pt>
                <c:pt idx="12">
                  <c:v>746</c:v>
                </c:pt>
                <c:pt idx="13">
                  <c:v>902</c:v>
                </c:pt>
                <c:pt idx="14">
                  <c:v>778</c:v>
                </c:pt>
                <c:pt idx="15">
                  <c:v>768</c:v>
                </c:pt>
                <c:pt idx="16">
                  <c:v>837</c:v>
                </c:pt>
                <c:pt idx="17">
                  <c:v>1006</c:v>
                </c:pt>
                <c:pt idx="18">
                  <c:v>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[1]Model!$B$4</c:f>
              <c:strCache>
                <c:ptCount val="1"/>
                <c:pt idx="0">
                  <c:v>Instruments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[1]Model!$AW$4:$BQ$4</c:f>
              <c:numCache>
                <c:formatCode>General</c:formatCode>
                <c:ptCount val="21"/>
                <c:pt idx="0">
                  <c:v>467</c:v>
                </c:pt>
                <c:pt idx="1">
                  <c:v>555</c:v>
                </c:pt>
                <c:pt idx="2">
                  <c:v>469</c:v>
                </c:pt>
                <c:pt idx="3">
                  <c:v>517</c:v>
                </c:pt>
                <c:pt idx="4">
                  <c:v>525</c:v>
                </c:pt>
                <c:pt idx="5">
                  <c:v>600</c:v>
                </c:pt>
                <c:pt idx="6">
                  <c:v>528</c:v>
                </c:pt>
                <c:pt idx="7">
                  <c:v>563</c:v>
                </c:pt>
                <c:pt idx="8">
                  <c:v>535</c:v>
                </c:pt>
                <c:pt idx="9">
                  <c:v>653</c:v>
                </c:pt>
                <c:pt idx="10">
                  <c:v>566</c:v>
                </c:pt>
                <c:pt idx="11">
                  <c:v>622</c:v>
                </c:pt>
                <c:pt idx="12">
                  <c:v>620</c:v>
                </c:pt>
                <c:pt idx="13">
                  <c:v>726</c:v>
                </c:pt>
                <c:pt idx="14">
                  <c:v>667</c:v>
                </c:pt>
                <c:pt idx="15">
                  <c:v>698</c:v>
                </c:pt>
                <c:pt idx="16">
                  <c:v>679</c:v>
                </c:pt>
                <c:pt idx="17">
                  <c:v>790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ser>
          <c:idx val="4"/>
          <c:order val="4"/>
          <c:tx>
            <c:strRef>
              <c:f>[1]Model!$B$10</c:f>
              <c:strCache>
                <c:ptCount val="1"/>
                <c:pt idx="0">
                  <c:v>Knees</c:v>
                </c:pt>
              </c:strCache>
            </c:strRef>
          </c:tx>
          <c:spPr>
            <a:solidFill>
              <a:srgbClr val="CDE1F3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[1]Model!$AW$10:$BQ$10</c:f>
              <c:numCache>
                <c:formatCode>General</c:formatCode>
                <c:ptCount val="21"/>
                <c:pt idx="0">
                  <c:v>435</c:v>
                </c:pt>
                <c:pt idx="1">
                  <c:v>459</c:v>
                </c:pt>
                <c:pt idx="2">
                  <c:v>412</c:v>
                </c:pt>
                <c:pt idx="3">
                  <c:v>474</c:v>
                </c:pt>
                <c:pt idx="4">
                  <c:v>439</c:v>
                </c:pt>
                <c:pt idx="5">
                  <c:v>523</c:v>
                </c:pt>
                <c:pt idx="6">
                  <c:v>464</c:v>
                </c:pt>
                <c:pt idx="7">
                  <c:v>500</c:v>
                </c:pt>
                <c:pt idx="8">
                  <c:v>481</c:v>
                </c:pt>
                <c:pt idx="9">
                  <c:v>552</c:v>
                </c:pt>
                <c:pt idx="10">
                  <c:v>566</c:v>
                </c:pt>
                <c:pt idx="11">
                  <c:v>562</c:v>
                </c:pt>
                <c:pt idx="12">
                  <c:v>515</c:v>
                </c:pt>
                <c:pt idx="13">
                  <c:v>630</c:v>
                </c:pt>
                <c:pt idx="14">
                  <c:v>588</c:v>
                </c:pt>
                <c:pt idx="15">
                  <c:v>602</c:v>
                </c:pt>
                <c:pt idx="16">
                  <c:v>570</c:v>
                </c:pt>
                <c:pt idx="17">
                  <c:v>687</c:v>
                </c:pt>
                <c:pt idx="18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3E-43B3-B662-D76C6E829219}"/>
            </c:ext>
          </c:extLst>
        </c:ser>
        <c:ser>
          <c:idx val="5"/>
          <c:order val="5"/>
          <c:tx>
            <c:strRef>
              <c:f>[1]Model!$B$8</c:f>
              <c:strCache>
                <c:ptCount val="1"/>
                <c:pt idx="0">
                  <c:v>Neuro Cranial</c:v>
                </c:pt>
              </c:strCache>
            </c:strRef>
          </c:tx>
          <c:spPr>
            <a:solidFill>
              <a:srgbClr val="94346D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[1]Model!$AW$8:$BQ$8</c:f>
              <c:numCache>
                <c:formatCode>General</c:formatCode>
                <c:ptCount val="21"/>
                <c:pt idx="0">
                  <c:v>518</c:v>
                </c:pt>
                <c:pt idx="1">
                  <c:v>312</c:v>
                </c:pt>
                <c:pt idx="2">
                  <c:v>281</c:v>
                </c:pt>
                <c:pt idx="3">
                  <c:v>310</c:v>
                </c:pt>
                <c:pt idx="4">
                  <c:v>299</c:v>
                </c:pt>
                <c:pt idx="5">
                  <c:v>324</c:v>
                </c:pt>
                <c:pt idx="6">
                  <c:v>323</c:v>
                </c:pt>
                <c:pt idx="7">
                  <c:v>337</c:v>
                </c:pt>
                <c:pt idx="8">
                  <c:v>332</c:v>
                </c:pt>
                <c:pt idx="9">
                  <c:v>384</c:v>
                </c:pt>
                <c:pt idx="10">
                  <c:v>355</c:v>
                </c:pt>
                <c:pt idx="11">
                  <c:v>373</c:v>
                </c:pt>
                <c:pt idx="12">
                  <c:v>384</c:v>
                </c:pt>
                <c:pt idx="13">
                  <c:v>764</c:v>
                </c:pt>
                <c:pt idx="14">
                  <c:v>478</c:v>
                </c:pt>
                <c:pt idx="15">
                  <c:v>416</c:v>
                </c:pt>
                <c:pt idx="16">
                  <c:v>441</c:v>
                </c:pt>
                <c:pt idx="17">
                  <c:v>801</c:v>
                </c:pt>
                <c:pt idx="18">
                  <c:v>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63E-43B3-B662-D76C6E829219}"/>
            </c:ext>
          </c:extLst>
        </c:ser>
        <c:ser>
          <c:idx val="6"/>
          <c:order val="6"/>
          <c:tx>
            <c:strRef>
              <c:f>[1]Model!$B$11</c:f>
              <c:strCache>
                <c:ptCount val="1"/>
                <c:pt idx="0">
                  <c:v>Hips</c:v>
                </c:pt>
              </c:strCache>
            </c:strRef>
          </c:tx>
          <c:spPr>
            <a:solidFill>
              <a:srgbClr val="B03E82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[1]Model!$AW$11:$BQ$11</c:f>
              <c:numCache>
                <c:formatCode>General</c:formatCode>
                <c:ptCount val="21"/>
                <c:pt idx="0">
                  <c:v>334</c:v>
                </c:pt>
                <c:pt idx="1">
                  <c:v>340</c:v>
                </c:pt>
                <c:pt idx="2">
                  <c:v>309</c:v>
                </c:pt>
                <c:pt idx="3">
                  <c:v>353</c:v>
                </c:pt>
                <c:pt idx="4">
                  <c:v>328</c:v>
                </c:pt>
                <c:pt idx="5">
                  <c:v>352</c:v>
                </c:pt>
                <c:pt idx="6">
                  <c:v>327</c:v>
                </c:pt>
                <c:pt idx="7">
                  <c:v>364</c:v>
                </c:pt>
                <c:pt idx="8">
                  <c:v>347</c:v>
                </c:pt>
                <c:pt idx="9">
                  <c:v>375</c:v>
                </c:pt>
                <c:pt idx="10">
                  <c:v>375</c:v>
                </c:pt>
                <c:pt idx="11">
                  <c:v>393</c:v>
                </c:pt>
                <c:pt idx="12">
                  <c:v>362</c:v>
                </c:pt>
                <c:pt idx="13">
                  <c:v>414</c:v>
                </c:pt>
                <c:pt idx="14">
                  <c:v>393</c:v>
                </c:pt>
                <c:pt idx="15">
                  <c:v>428</c:v>
                </c:pt>
                <c:pt idx="16">
                  <c:v>420</c:v>
                </c:pt>
                <c:pt idx="17">
                  <c:v>463</c:v>
                </c:pt>
                <c:pt idx="1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3E-43B3-B662-D76C6E829219}"/>
            </c:ext>
          </c:extLst>
        </c:ser>
        <c:ser>
          <c:idx val="7"/>
          <c:order val="7"/>
          <c:tx>
            <c:strRef>
              <c:f>[1]Model!$B$7</c:f>
              <c:strCache>
                <c:ptCount val="1"/>
                <c:pt idx="0">
                  <c:v>Vascular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[1]Model!$AW$7:$BQ$7</c:f>
              <c:numCache>
                <c:formatCode>General</c:formatCode>
                <c:ptCount val="21"/>
                <c:pt idx="0">
                  <c:v>66</c:v>
                </c:pt>
                <c:pt idx="1">
                  <c:v>82</c:v>
                </c:pt>
                <c:pt idx="2">
                  <c:v>289</c:v>
                </c:pt>
                <c:pt idx="3">
                  <c:v>301</c:v>
                </c:pt>
                <c:pt idx="4">
                  <c:v>295</c:v>
                </c:pt>
                <c:pt idx="5">
                  <c:v>303</c:v>
                </c:pt>
                <c:pt idx="6">
                  <c:v>301</c:v>
                </c:pt>
                <c:pt idx="7">
                  <c:v>306</c:v>
                </c:pt>
                <c:pt idx="8">
                  <c:v>294</c:v>
                </c:pt>
                <c:pt idx="9">
                  <c:v>299</c:v>
                </c:pt>
                <c:pt idx="10">
                  <c:v>284</c:v>
                </c:pt>
                <c:pt idx="11">
                  <c:v>311</c:v>
                </c:pt>
                <c:pt idx="12">
                  <c:v>311</c:v>
                </c:pt>
                <c:pt idx="13">
                  <c:v>320</c:v>
                </c:pt>
                <c:pt idx="14">
                  <c:v>310</c:v>
                </c:pt>
                <c:pt idx="15">
                  <c:v>327</c:v>
                </c:pt>
                <c:pt idx="16">
                  <c:v>329</c:v>
                </c:pt>
                <c:pt idx="17">
                  <c:v>341</c:v>
                </c:pt>
                <c:pt idx="18">
                  <c:v>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63E-43B3-B662-D76C6E829219}"/>
            </c:ext>
          </c:extLst>
        </c:ser>
        <c:ser>
          <c:idx val="8"/>
          <c:order val="8"/>
          <c:tx>
            <c:strRef>
              <c:f>[1]Model!$B$13</c:f>
              <c:strCache>
                <c:ptCount val="1"/>
                <c:pt idx="0">
                  <c:v>Spinal Implants</c:v>
                </c:pt>
              </c:strCache>
            </c:strRef>
          </c:tx>
          <c:spPr>
            <a:solidFill>
              <a:srgbClr val="E1A9CA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[1]Model!$AW$13:$BQ$13</c:f>
              <c:numCache>
                <c:formatCode>General</c:formatCode>
                <c:ptCount val="21"/>
                <c:pt idx="0">
                  <c:v>302</c:v>
                </c:pt>
                <c:pt idx="1">
                  <c:v>307</c:v>
                </c:pt>
                <c:pt idx="2">
                  <c:v>278</c:v>
                </c:pt>
                <c:pt idx="3">
                  <c:v>307</c:v>
                </c:pt>
                <c:pt idx="4">
                  <c:v>282</c:v>
                </c:pt>
                <c:pt idx="5">
                  <c:v>300</c:v>
                </c:pt>
                <c:pt idx="6">
                  <c:v>279</c:v>
                </c:pt>
                <c:pt idx="7">
                  <c:v>290</c:v>
                </c:pt>
                <c:pt idx="8">
                  <c:v>280</c:v>
                </c:pt>
                <c:pt idx="9">
                  <c:v>297</c:v>
                </c:pt>
                <c:pt idx="10">
                  <c:v>284</c:v>
                </c:pt>
                <c:pt idx="11">
                  <c:v>296</c:v>
                </c:pt>
                <c:pt idx="12">
                  <c:v>291</c:v>
                </c:pt>
                <c:pt idx="13">
                  <c:v>122</c:v>
                </c:pt>
                <c:pt idx="14">
                  <c:v>171</c:v>
                </c:pt>
                <c:pt idx="15">
                  <c:v>307</c:v>
                </c:pt>
                <c:pt idx="16">
                  <c:v>304</c:v>
                </c:pt>
                <c:pt idx="17">
                  <c:v>85</c:v>
                </c:pt>
                <c:pt idx="18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3E-43B3-B662-D76C6E829219}"/>
            </c:ext>
          </c:extLst>
        </c:ser>
        <c:ser>
          <c:idx val="9"/>
          <c:order val="9"/>
          <c:tx>
            <c:strRef>
              <c:f>[1]Model!$B$14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0D4E5"/>
            </a:solidFill>
            <a:ln>
              <a:noFill/>
            </a:ln>
            <a:effectLst/>
          </c:spPr>
          <c:invertIfNegative val="0"/>
          <c:cat>
            <c:strRef>
              <c:f>[1]Model!$AW$1:$BQ$1</c:f>
              <c:strCache>
                <c:ptCount val="21"/>
                <c:pt idx="2">
                  <c:v>Q1 2021</c:v>
                </c:pt>
                <c:pt idx="6">
                  <c:v>Q1 2022</c:v>
                </c:pt>
                <c:pt idx="10">
                  <c:v>Q1 2023</c:v>
                </c:pt>
                <c:pt idx="14">
                  <c:v>Q1 2024</c:v>
                </c:pt>
                <c:pt idx="18">
                  <c:v>Q1 2025</c:v>
                </c:pt>
              </c:strCache>
            </c:strRef>
          </c:cat>
          <c:val>
            <c:numRef>
              <c:f>[1]Model!$AW$14:$BQ$14</c:f>
              <c:numCache>
                <c:formatCode>General</c:formatCode>
                <c:ptCount val="21"/>
                <c:pt idx="0">
                  <c:v>118</c:v>
                </c:pt>
                <c:pt idx="1">
                  <c:v>157</c:v>
                </c:pt>
                <c:pt idx="2">
                  <c:v>123</c:v>
                </c:pt>
                <c:pt idx="3">
                  <c:v>127</c:v>
                </c:pt>
                <c:pt idx="4">
                  <c:v>123</c:v>
                </c:pt>
                <c:pt idx="5">
                  <c:v>176</c:v>
                </c:pt>
                <c:pt idx="6">
                  <c:v>97</c:v>
                </c:pt>
                <c:pt idx="7">
                  <c:v>114</c:v>
                </c:pt>
                <c:pt idx="8">
                  <c:v>111</c:v>
                </c:pt>
                <c:pt idx="9">
                  <c:v>153</c:v>
                </c:pt>
                <c:pt idx="10">
                  <c:v>94</c:v>
                </c:pt>
                <c:pt idx="11">
                  <c:v>119</c:v>
                </c:pt>
                <c:pt idx="12">
                  <c:v>130</c:v>
                </c:pt>
                <c:pt idx="13">
                  <c:v>35</c:v>
                </c:pt>
                <c:pt idx="14">
                  <c:v>164</c:v>
                </c:pt>
                <c:pt idx="15">
                  <c:v>136</c:v>
                </c:pt>
                <c:pt idx="16">
                  <c:v>127</c:v>
                </c:pt>
                <c:pt idx="17">
                  <c:v>125</c:v>
                </c:pt>
                <c:pt idx="1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(Ticker) Historical Return Histogram + Normal Distribution Overlay</a:t>
            </a:r>
          </a:p>
        </c:rich>
      </c:tx>
      <c:layout>
        <c:manualLayout>
          <c:xMode val="edge"/>
          <c:yMode val="edge"/>
          <c:x val="0.30108591378517141"/>
          <c:y val="1.8888948670044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152794667284949E-2"/>
          <c:y val="7.3102355294668728E-2"/>
          <c:w val="0.94945999344094489"/>
          <c:h val="0.87235123078333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Analysis'!$Q$212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Analysis'!$Q$214:$Q$276</c:f>
              <c:numCache>
                <c:formatCode>0.00%</c:formatCode>
                <c:ptCount val="63"/>
                <c:pt idx="0">
                  <c:v>-4.200000000000003E-2</c:v>
                </c:pt>
                <c:pt idx="1">
                  <c:v>-4.1000000000000029E-2</c:v>
                </c:pt>
                <c:pt idx="2">
                  <c:v>-4.0000000000000029E-2</c:v>
                </c:pt>
                <c:pt idx="3">
                  <c:v>-3.9000000000000028E-2</c:v>
                </c:pt>
                <c:pt idx="4">
                  <c:v>-3.8000000000000027E-2</c:v>
                </c:pt>
                <c:pt idx="5">
                  <c:v>-3.7000000000000026E-2</c:v>
                </c:pt>
                <c:pt idx="6">
                  <c:v>-3.6000000000000025E-2</c:v>
                </c:pt>
                <c:pt idx="7">
                  <c:v>-3.5000000000000024E-2</c:v>
                </c:pt>
                <c:pt idx="8">
                  <c:v>-3.4000000000000023E-2</c:v>
                </c:pt>
                <c:pt idx="9">
                  <c:v>-3.3000000000000022E-2</c:v>
                </c:pt>
                <c:pt idx="10">
                  <c:v>-3.2000000000000021E-2</c:v>
                </c:pt>
                <c:pt idx="11">
                  <c:v>-3.1000000000000021E-2</c:v>
                </c:pt>
                <c:pt idx="12">
                  <c:v>-3.000000000000002E-2</c:v>
                </c:pt>
                <c:pt idx="13">
                  <c:v>-2.9000000000000019E-2</c:v>
                </c:pt>
                <c:pt idx="14">
                  <c:v>-2.8000000000000018E-2</c:v>
                </c:pt>
                <c:pt idx="15">
                  <c:v>-2.7000000000000017E-2</c:v>
                </c:pt>
                <c:pt idx="16">
                  <c:v>-2.6000000000000016E-2</c:v>
                </c:pt>
                <c:pt idx="17">
                  <c:v>-2.5000000000000015E-2</c:v>
                </c:pt>
                <c:pt idx="18">
                  <c:v>-2.4000000000000014E-2</c:v>
                </c:pt>
                <c:pt idx="19">
                  <c:v>-2.3000000000000013E-2</c:v>
                </c:pt>
                <c:pt idx="20">
                  <c:v>-2.2000000000000013E-2</c:v>
                </c:pt>
                <c:pt idx="21">
                  <c:v>-2.1000000000000012E-2</c:v>
                </c:pt>
                <c:pt idx="22">
                  <c:v>-2.0000000000000011E-2</c:v>
                </c:pt>
                <c:pt idx="23">
                  <c:v>-1.900000000000001E-2</c:v>
                </c:pt>
                <c:pt idx="24">
                  <c:v>-1.8000000000000009E-2</c:v>
                </c:pt>
                <c:pt idx="25">
                  <c:v>-1.7000000000000008E-2</c:v>
                </c:pt>
                <c:pt idx="26">
                  <c:v>-1.6000000000000007E-2</c:v>
                </c:pt>
                <c:pt idx="27">
                  <c:v>-1.5000000000000006E-2</c:v>
                </c:pt>
                <c:pt idx="28">
                  <c:v>-1.4000000000000005E-2</c:v>
                </c:pt>
                <c:pt idx="29">
                  <c:v>-1.3000000000000005E-2</c:v>
                </c:pt>
                <c:pt idx="30">
                  <c:v>-1.2000000000000004E-2</c:v>
                </c:pt>
                <c:pt idx="31">
                  <c:v>-1.1000000000000003E-2</c:v>
                </c:pt>
                <c:pt idx="32">
                  <c:v>-1.0000000000000002E-2</c:v>
                </c:pt>
                <c:pt idx="33">
                  <c:v>-9.0000000000000011E-3</c:v>
                </c:pt>
                <c:pt idx="34">
                  <c:v>-8.0000000000000002E-3</c:v>
                </c:pt>
                <c:pt idx="35">
                  <c:v>-7.0000000000000001E-3</c:v>
                </c:pt>
                <c:pt idx="36">
                  <c:v>-6.0000000000000001E-3</c:v>
                </c:pt>
                <c:pt idx="37">
                  <c:v>-5.0000000000000001E-3</c:v>
                </c:pt>
                <c:pt idx="38">
                  <c:v>-4.0000000000000001E-3</c:v>
                </c:pt>
                <c:pt idx="39">
                  <c:v>-3.0000000000000001E-3</c:v>
                </c:pt>
                <c:pt idx="40">
                  <c:v>-2E-3</c:v>
                </c:pt>
                <c:pt idx="41">
                  <c:v>-1E-3</c:v>
                </c:pt>
                <c:pt idx="42">
                  <c:v>0</c:v>
                </c:pt>
                <c:pt idx="43">
                  <c:v>1E-3</c:v>
                </c:pt>
                <c:pt idx="44">
                  <c:v>2E-3</c:v>
                </c:pt>
                <c:pt idx="45">
                  <c:v>3.0000000000000001E-3</c:v>
                </c:pt>
                <c:pt idx="46">
                  <c:v>4.0000000000000001E-3</c:v>
                </c:pt>
                <c:pt idx="47">
                  <c:v>5.0000000000000001E-3</c:v>
                </c:pt>
                <c:pt idx="48">
                  <c:v>6.0000000000000001E-3</c:v>
                </c:pt>
                <c:pt idx="49">
                  <c:v>7.0000000000000001E-3</c:v>
                </c:pt>
                <c:pt idx="50">
                  <c:v>8.0000000000000002E-3</c:v>
                </c:pt>
                <c:pt idx="51">
                  <c:v>9.0000000000000011E-3</c:v>
                </c:pt>
                <c:pt idx="52">
                  <c:v>1.0000000000000002E-2</c:v>
                </c:pt>
                <c:pt idx="53">
                  <c:v>1.1000000000000003E-2</c:v>
                </c:pt>
                <c:pt idx="54">
                  <c:v>1.2000000000000004E-2</c:v>
                </c:pt>
                <c:pt idx="55">
                  <c:v>1.3000000000000005E-2</c:v>
                </c:pt>
                <c:pt idx="56">
                  <c:v>1.4000000000000005E-2</c:v>
                </c:pt>
                <c:pt idx="57">
                  <c:v>1.5000000000000006E-2</c:v>
                </c:pt>
                <c:pt idx="58">
                  <c:v>1.6000000000000007E-2</c:v>
                </c:pt>
                <c:pt idx="59">
                  <c:v>1.7000000000000008E-2</c:v>
                </c:pt>
                <c:pt idx="60">
                  <c:v>1.8000000000000009E-2</c:v>
                </c:pt>
                <c:pt idx="61">
                  <c:v>1.900000000000001E-2</c:v>
                </c:pt>
                <c:pt idx="62">
                  <c:v>2.0000000000000011E-2</c:v>
                </c:pt>
              </c:numCache>
            </c:numRef>
          </c:xVal>
          <c:yVal>
            <c:numRef>
              <c:f>'Notes | Quant Analysis'!$R$214:$R$276</c:f>
              <c:numCache>
                <c:formatCode>General</c:formatCode>
                <c:ptCount val="63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3</c:v>
                </c:pt>
                <c:pt idx="25">
                  <c:v>9</c:v>
                </c:pt>
                <c:pt idx="26">
                  <c:v>4</c:v>
                </c:pt>
                <c:pt idx="27">
                  <c:v>9</c:v>
                </c:pt>
                <c:pt idx="28">
                  <c:v>6</c:v>
                </c:pt>
                <c:pt idx="29">
                  <c:v>8</c:v>
                </c:pt>
                <c:pt idx="30">
                  <c:v>7</c:v>
                </c:pt>
                <c:pt idx="31">
                  <c:v>14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25</c:v>
                </c:pt>
                <c:pt idx="36">
                  <c:v>24</c:v>
                </c:pt>
                <c:pt idx="37">
                  <c:v>28</c:v>
                </c:pt>
                <c:pt idx="38">
                  <c:v>21</c:v>
                </c:pt>
                <c:pt idx="39">
                  <c:v>29</c:v>
                </c:pt>
                <c:pt idx="40">
                  <c:v>28</c:v>
                </c:pt>
                <c:pt idx="41">
                  <c:v>21</c:v>
                </c:pt>
                <c:pt idx="42">
                  <c:v>19</c:v>
                </c:pt>
                <c:pt idx="43">
                  <c:v>28</c:v>
                </c:pt>
                <c:pt idx="44">
                  <c:v>34</c:v>
                </c:pt>
                <c:pt idx="45">
                  <c:v>20</c:v>
                </c:pt>
                <c:pt idx="46">
                  <c:v>29</c:v>
                </c:pt>
                <c:pt idx="47">
                  <c:v>25</c:v>
                </c:pt>
                <c:pt idx="48">
                  <c:v>24</c:v>
                </c:pt>
                <c:pt idx="49">
                  <c:v>15</c:v>
                </c:pt>
                <c:pt idx="50">
                  <c:v>27</c:v>
                </c:pt>
                <c:pt idx="51">
                  <c:v>19</c:v>
                </c:pt>
                <c:pt idx="52">
                  <c:v>23</c:v>
                </c:pt>
                <c:pt idx="53">
                  <c:v>16</c:v>
                </c:pt>
                <c:pt idx="54">
                  <c:v>15</c:v>
                </c:pt>
                <c:pt idx="55">
                  <c:v>20</c:v>
                </c:pt>
                <c:pt idx="56">
                  <c:v>12</c:v>
                </c:pt>
                <c:pt idx="57">
                  <c:v>16</c:v>
                </c:pt>
                <c:pt idx="58">
                  <c:v>9</c:v>
                </c:pt>
                <c:pt idx="59">
                  <c:v>4</c:v>
                </c:pt>
                <c:pt idx="60">
                  <c:v>10</c:v>
                </c:pt>
                <c:pt idx="61">
                  <c:v>8</c:v>
                </c:pt>
                <c:pt idx="62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C8-46E7-8417-05DC731C65AA}"/>
            </c:ext>
          </c:extLst>
        </c:ser>
        <c:ser>
          <c:idx val="1"/>
          <c:order val="1"/>
          <c:tx>
            <c:strRef>
              <c:f>'Notes | Quant Analysis'!$T$212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xVal>
            <c:numRef>
              <c:f>'Notes | Quant Analysis'!$T$214:$T$276</c:f>
              <c:numCache>
                <c:formatCode>0.00%</c:formatCode>
                <c:ptCount val="63"/>
                <c:pt idx="0">
                  <c:v>-4.5000000000000033E-2</c:v>
                </c:pt>
                <c:pt idx="1">
                  <c:v>-4.4000000000000032E-2</c:v>
                </c:pt>
                <c:pt idx="2">
                  <c:v>-4.3000000000000031E-2</c:v>
                </c:pt>
                <c:pt idx="3">
                  <c:v>-4.200000000000003E-2</c:v>
                </c:pt>
                <c:pt idx="4">
                  <c:v>-4.1000000000000029E-2</c:v>
                </c:pt>
                <c:pt idx="5">
                  <c:v>-4.0000000000000029E-2</c:v>
                </c:pt>
                <c:pt idx="6">
                  <c:v>-3.9000000000000028E-2</c:v>
                </c:pt>
                <c:pt idx="7">
                  <c:v>-3.8000000000000027E-2</c:v>
                </c:pt>
                <c:pt idx="8">
                  <c:v>-3.7000000000000026E-2</c:v>
                </c:pt>
                <c:pt idx="9">
                  <c:v>-3.6000000000000025E-2</c:v>
                </c:pt>
                <c:pt idx="10">
                  <c:v>-3.5000000000000024E-2</c:v>
                </c:pt>
                <c:pt idx="11">
                  <c:v>-3.4000000000000023E-2</c:v>
                </c:pt>
                <c:pt idx="12">
                  <c:v>-3.3000000000000022E-2</c:v>
                </c:pt>
                <c:pt idx="13">
                  <c:v>-3.2000000000000021E-2</c:v>
                </c:pt>
                <c:pt idx="14">
                  <c:v>-3.1000000000000021E-2</c:v>
                </c:pt>
                <c:pt idx="15">
                  <c:v>-3.000000000000002E-2</c:v>
                </c:pt>
                <c:pt idx="16">
                  <c:v>-2.9000000000000019E-2</c:v>
                </c:pt>
                <c:pt idx="17">
                  <c:v>-2.8000000000000018E-2</c:v>
                </c:pt>
                <c:pt idx="18">
                  <c:v>-2.7000000000000017E-2</c:v>
                </c:pt>
                <c:pt idx="19">
                  <c:v>-2.6000000000000016E-2</c:v>
                </c:pt>
                <c:pt idx="20">
                  <c:v>-2.5000000000000015E-2</c:v>
                </c:pt>
                <c:pt idx="21">
                  <c:v>-2.4000000000000014E-2</c:v>
                </c:pt>
                <c:pt idx="22">
                  <c:v>-2.3000000000000013E-2</c:v>
                </c:pt>
                <c:pt idx="23">
                  <c:v>-2.2000000000000013E-2</c:v>
                </c:pt>
                <c:pt idx="24">
                  <c:v>-2.1000000000000012E-2</c:v>
                </c:pt>
                <c:pt idx="25">
                  <c:v>-2.0000000000000011E-2</c:v>
                </c:pt>
                <c:pt idx="26">
                  <c:v>-1.900000000000001E-2</c:v>
                </c:pt>
                <c:pt idx="27">
                  <c:v>-1.8000000000000009E-2</c:v>
                </c:pt>
                <c:pt idx="28">
                  <c:v>-1.7000000000000008E-2</c:v>
                </c:pt>
                <c:pt idx="29">
                  <c:v>-1.6000000000000007E-2</c:v>
                </c:pt>
                <c:pt idx="30">
                  <c:v>-1.5000000000000006E-2</c:v>
                </c:pt>
                <c:pt idx="31">
                  <c:v>-1.4000000000000005E-2</c:v>
                </c:pt>
                <c:pt idx="32">
                  <c:v>-1.3000000000000005E-2</c:v>
                </c:pt>
                <c:pt idx="33">
                  <c:v>-1.2000000000000004E-2</c:v>
                </c:pt>
                <c:pt idx="34">
                  <c:v>-1.1000000000000003E-2</c:v>
                </c:pt>
                <c:pt idx="35">
                  <c:v>-1.0000000000000002E-2</c:v>
                </c:pt>
                <c:pt idx="36">
                  <c:v>-9.0000000000000011E-3</c:v>
                </c:pt>
                <c:pt idx="37">
                  <c:v>-8.0000000000000002E-3</c:v>
                </c:pt>
                <c:pt idx="38">
                  <c:v>-7.0000000000000001E-3</c:v>
                </c:pt>
                <c:pt idx="39">
                  <c:v>-6.0000000000000001E-3</c:v>
                </c:pt>
                <c:pt idx="40">
                  <c:v>-5.0000000000000001E-3</c:v>
                </c:pt>
                <c:pt idx="41">
                  <c:v>-4.0000000000000001E-3</c:v>
                </c:pt>
                <c:pt idx="42">
                  <c:v>-3.0000000000000001E-3</c:v>
                </c:pt>
                <c:pt idx="43">
                  <c:v>-2E-3</c:v>
                </c:pt>
                <c:pt idx="44">
                  <c:v>-1E-3</c:v>
                </c:pt>
                <c:pt idx="45">
                  <c:v>0</c:v>
                </c:pt>
                <c:pt idx="46">
                  <c:v>1E-3</c:v>
                </c:pt>
                <c:pt idx="47">
                  <c:v>2E-3</c:v>
                </c:pt>
                <c:pt idx="48">
                  <c:v>3.0000000000000001E-3</c:v>
                </c:pt>
                <c:pt idx="49">
                  <c:v>4.0000000000000001E-3</c:v>
                </c:pt>
                <c:pt idx="50">
                  <c:v>5.0000000000000001E-3</c:v>
                </c:pt>
                <c:pt idx="51">
                  <c:v>6.0000000000000001E-3</c:v>
                </c:pt>
                <c:pt idx="52">
                  <c:v>7.0000000000000001E-3</c:v>
                </c:pt>
                <c:pt idx="53">
                  <c:v>8.0000000000000002E-3</c:v>
                </c:pt>
                <c:pt idx="54">
                  <c:v>9.0000000000000011E-3</c:v>
                </c:pt>
                <c:pt idx="55">
                  <c:v>1.0000000000000002E-2</c:v>
                </c:pt>
                <c:pt idx="56">
                  <c:v>1.1000000000000003E-2</c:v>
                </c:pt>
                <c:pt idx="57">
                  <c:v>1.2000000000000004E-2</c:v>
                </c:pt>
                <c:pt idx="58">
                  <c:v>1.3000000000000005E-2</c:v>
                </c:pt>
                <c:pt idx="59">
                  <c:v>1.4000000000000005E-2</c:v>
                </c:pt>
                <c:pt idx="60">
                  <c:v>1.5000000000000006E-2</c:v>
                </c:pt>
                <c:pt idx="61">
                  <c:v>1.6000000000000007E-2</c:v>
                </c:pt>
                <c:pt idx="62">
                  <c:v>1.7000000000000008E-2</c:v>
                </c:pt>
              </c:numCache>
            </c:numRef>
          </c:xVal>
          <c:yVal>
            <c:numRef>
              <c:f>'Notes | Quant Analysis'!$U$214:$U$276</c:f>
              <c:numCache>
                <c:formatCode>General</c:formatCode>
                <c:ptCount val="63"/>
                <c:pt idx="0">
                  <c:v>7.9451930057095277E-2</c:v>
                </c:pt>
                <c:pt idx="1">
                  <c:v>0.10275504248552476</c:v>
                </c:pt>
                <c:pt idx="2">
                  <c:v>0.13213828247574319</c:v>
                </c:pt>
                <c:pt idx="3">
                  <c:v>0.16895886945706853</c:v>
                </c:pt>
                <c:pt idx="4">
                  <c:v>0.21481279955772051</c:v>
                </c:pt>
                <c:pt idx="5">
                  <c:v>0.27156021147656267</c:v>
                </c:pt>
                <c:pt idx="6">
                  <c:v>0.34134924310304549</c:v>
                </c:pt>
                <c:pt idx="7">
                  <c:v>0.42663705524682072</c:v>
                </c:pt>
                <c:pt idx="8">
                  <c:v>0.53020647221491168</c:v>
                </c:pt>
                <c:pt idx="9">
                  <c:v>0.65517648165426456</c:v>
                </c:pt>
                <c:pt idx="10">
                  <c:v>0.80500466491070222</c:v>
                </c:pt>
                <c:pt idx="11">
                  <c:v>0.98347951300960823</c:v>
                </c:pt>
                <c:pt idx="12">
                  <c:v>1.1947005423227863</c:v>
                </c:pt>
                <c:pt idx="13">
                  <c:v>1.4430441782556664</c:v>
                </c:pt>
                <c:pt idx="14">
                  <c:v>1.7331135438309455</c:v>
                </c:pt>
                <c:pt idx="15">
                  <c:v>2.0696705889826683</c:v>
                </c:pt>
                <c:pt idx="16">
                  <c:v>2.4575494372528643</c:v>
                </c:pt>
                <c:pt idx="17">
                  <c:v>2.9015504145807385</c:v>
                </c:pt>
                <c:pt idx="18">
                  <c:v>3.4063149571171873</c:v>
                </c:pt>
                <c:pt idx="19">
                  <c:v>3.9761824591130663</c:v>
                </c:pt>
                <c:pt idx="20">
                  <c:v>4.6150310950241948</c:v>
                </c:pt>
                <c:pt idx="21">
                  <c:v>5.3261056981848354</c:v>
                </c:pt>
                <c:pt idx="22">
                  <c:v>6.1118368571685151</c:v>
                </c:pt>
                <c:pt idx="23">
                  <c:v>6.9736564461440675</c:v>
                </c:pt>
                <c:pt idx="24">
                  <c:v>7.9118157754367626</c:v>
                </c:pt>
                <c:pt idx="25">
                  <c:v>8.9252133667291975</c:v>
                </c:pt>
                <c:pt idx="26">
                  <c:v>10.011239956509092</c:v>
                </c:pt>
                <c:pt idx="27">
                  <c:v>11.165648647464096</c:v>
                </c:pt>
                <c:pt idx="28">
                  <c:v>12.382458104582861</c:v>
                </c:pt>
                <c:pt idx="29">
                  <c:v>13.653896287672541</c:v>
                </c:pt>
                <c:pt idx="30">
                  <c:v>14.970391399170955</c:v>
                </c:pt>
                <c:pt idx="31">
                  <c:v>16.320615501092565</c:v>
                </c:pt>
                <c:pt idx="32">
                  <c:v>17.691584637319281</c:v>
                </c:pt>
                <c:pt idx="33">
                  <c:v>19.068817332291566</c:v>
                </c:pt>
                <c:pt idx="34">
                  <c:v>20.436551094716769</c:v>
                </c:pt>
                <c:pt idx="35">
                  <c:v>21.778014128547813</c:v>
                </c:pt>
                <c:pt idx="36">
                  <c:v>23.075746955760319</c:v>
                </c:pt>
                <c:pt idx="37">
                  <c:v>24.31196621253434</c:v>
                </c:pt>
                <c:pt idx="38">
                  <c:v>25.46896062505558</c:v>
                </c:pt>
                <c:pt idx="39">
                  <c:v>26.529507234546301</c:v>
                </c:pt>
                <c:pt idx="40">
                  <c:v>27.477294444590893</c:v>
                </c:pt>
                <c:pt idx="41">
                  <c:v>28.297337510259602</c:v>
                </c:pt>
                <c:pt idx="42">
                  <c:v>28.976371754942452</c:v>
                </c:pt>
                <c:pt idx="43">
                  <c:v>29.503209132038897</c:v>
                </c:pt>
                <c:pt idx="44">
                  <c:v>29.869044753163788</c:v>
                </c:pt>
                <c:pt idx="45">
                  <c:v>30.067701652451042</c:v>
                </c:pt>
                <c:pt idx="46">
                  <c:v>30.095804280286409</c:v>
                </c:pt>
                <c:pt idx="47">
                  <c:v>29.952873917334962</c:v>
                </c:pt>
                <c:pt idx="48">
                  <c:v>29.641342240202306</c:v>
                </c:pt>
                <c:pt idx="49">
                  <c:v>29.166482501565287</c:v>
                </c:pt>
                <c:pt idx="50">
                  <c:v>28.53626104640032</c:v>
                </c:pt>
                <c:pt idx="51">
                  <c:v>27.761115006606474</c:v>
                </c:pt>
                <c:pt idx="52">
                  <c:v>26.853664841997567</c:v>
                </c:pt>
                <c:pt idx="53">
                  <c:v>25.828372787625121</c:v>
                </c:pt>
                <c:pt idx="54">
                  <c:v>24.70116011346375</c:v>
                </c:pt>
                <c:pt idx="55">
                  <c:v>23.488997323276021</c:v>
                </c:pt>
                <c:pt idx="56">
                  <c:v>22.209481972531901</c:v>
                </c:pt>
                <c:pt idx="57">
                  <c:v>20.880418666559631</c:v>
                </c:pt>
                <c:pt idx="58">
                  <c:v>19.519415042925917</c:v>
                </c:pt>
                <c:pt idx="59">
                  <c:v>18.1435062134268</c:v>
                </c:pt>
                <c:pt idx="60">
                  <c:v>16.768818336210032</c:v>
                </c:pt>
                <c:pt idx="61">
                  <c:v>15.410279823596643</c:v>
                </c:pt>
                <c:pt idx="62">
                  <c:v>14.081386295046416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C8-46E7-8417-05DC731C65AA}"/>
            </c:ext>
          </c:extLst>
        </c:ser>
        <c:ser>
          <c:idx val="2"/>
          <c:order val="2"/>
          <c:tx>
            <c:strRef>
              <c:f>'Notes | Quant Analysis'!$W$214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Analysis'!$X$214:$X$215</c:f>
              <c:numCache>
                <c:formatCode>0.00%</c:formatCode>
                <c:ptCount val="2"/>
                <c:pt idx="0">
                  <c:v>6.6404874646711011E-4</c:v>
                </c:pt>
                <c:pt idx="1">
                  <c:v>6.6404874646711011E-4</c:v>
                </c:pt>
              </c:numCache>
            </c:numRef>
          </c:xVal>
          <c:yVal>
            <c:numRef>
              <c:f>'Notes | Quant Analysis'!$Y$214:$Y$215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C8-46E7-8417-05DC731C65AA}"/>
            </c:ext>
          </c:extLst>
        </c:ser>
        <c:ser>
          <c:idx val="3"/>
          <c:order val="3"/>
          <c:tx>
            <c:strRef>
              <c:f>'Notes | Quant Analysis'!$W$216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Analysis'!$X$216:$X$217</c:f>
              <c:numCache>
                <c:formatCode>0.00%</c:formatCode>
                <c:ptCount val="2"/>
                <c:pt idx="0">
                  <c:v>-3.9090405998877302E-2</c:v>
                </c:pt>
                <c:pt idx="1">
                  <c:v>-3.9090405998877302E-2</c:v>
                </c:pt>
              </c:numCache>
            </c:numRef>
          </c:xVal>
          <c:yVal>
            <c:numRef>
              <c:f>'Notes | Quant Analysis'!$Y$216:$Y$217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4C8-46E7-8417-05DC731C65AA}"/>
            </c:ext>
          </c:extLst>
        </c:ser>
        <c:ser>
          <c:idx val="4"/>
          <c:order val="4"/>
          <c:tx>
            <c:strRef>
              <c:f>'Notes | Quant Analysis'!$W$218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Analysis'!$X$218:$X$219</c:f>
              <c:numCache>
                <c:formatCode>0.00%</c:formatCode>
                <c:ptCount val="2"/>
                <c:pt idx="0">
                  <c:v>-2.5838921083762498E-2</c:v>
                </c:pt>
                <c:pt idx="1">
                  <c:v>-2.5838921083762498E-2</c:v>
                </c:pt>
              </c:numCache>
            </c:numRef>
          </c:xVal>
          <c:yVal>
            <c:numRef>
              <c:f>'Notes | Quant Analysis'!$Y$218:$Y$219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4C8-46E7-8417-05DC731C65AA}"/>
            </c:ext>
          </c:extLst>
        </c:ser>
        <c:ser>
          <c:idx val="5"/>
          <c:order val="5"/>
          <c:tx>
            <c:strRef>
              <c:f>'Notes | Quant Analysis'!$W$220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Analysis'!$X$220:$X$221</c:f>
              <c:numCache>
                <c:formatCode>0.00%</c:formatCode>
                <c:ptCount val="2"/>
                <c:pt idx="0">
                  <c:v>-1.2587436168647693E-2</c:v>
                </c:pt>
                <c:pt idx="1">
                  <c:v>-1.2587436168647693E-2</c:v>
                </c:pt>
              </c:numCache>
            </c:numRef>
          </c:xVal>
          <c:yVal>
            <c:numRef>
              <c:f>'Notes | Quant Analysis'!$Y$220:$Y$221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4C8-46E7-8417-05DC731C65AA}"/>
            </c:ext>
          </c:extLst>
        </c:ser>
        <c:ser>
          <c:idx val="6"/>
          <c:order val="6"/>
          <c:tx>
            <c:strRef>
              <c:f>'Notes | Quant Analysis'!$W$222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Analysis'!$X$222:$X$223</c:f>
              <c:numCache>
                <c:formatCode>0.00%</c:formatCode>
                <c:ptCount val="2"/>
                <c:pt idx="0">
                  <c:v>1.3915533661581915E-2</c:v>
                </c:pt>
                <c:pt idx="1">
                  <c:v>1.3915533661581915E-2</c:v>
                </c:pt>
              </c:numCache>
            </c:numRef>
          </c:xVal>
          <c:yVal>
            <c:numRef>
              <c:f>'Notes | Quant Analysis'!$Y$222:$Y$223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4C8-46E7-8417-05DC731C65AA}"/>
            </c:ext>
          </c:extLst>
        </c:ser>
        <c:ser>
          <c:idx val="7"/>
          <c:order val="7"/>
          <c:tx>
            <c:strRef>
              <c:f>'Notes | Quant Analysis'!$W$224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Analysis'!$X$224:$X$225</c:f>
              <c:numCache>
                <c:formatCode>0.00%</c:formatCode>
                <c:ptCount val="2"/>
                <c:pt idx="0">
                  <c:v>2.7167018576696719E-2</c:v>
                </c:pt>
                <c:pt idx="1">
                  <c:v>2.7167018576696719E-2</c:v>
                </c:pt>
              </c:numCache>
            </c:numRef>
          </c:xVal>
          <c:yVal>
            <c:numRef>
              <c:f>'Notes | Quant Analysis'!$Y$224:$Y$225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4C8-46E7-8417-05DC731C65AA}"/>
            </c:ext>
          </c:extLst>
        </c:ser>
        <c:ser>
          <c:idx val="8"/>
          <c:order val="8"/>
          <c:tx>
            <c:strRef>
              <c:f>'Notes | Quant Analysis'!$W$226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Analysis'!$X$226:$X$227</c:f>
              <c:numCache>
                <c:formatCode>0.00%</c:formatCode>
                <c:ptCount val="2"/>
                <c:pt idx="0">
                  <c:v>4.0418503491811524E-2</c:v>
                </c:pt>
                <c:pt idx="1">
                  <c:v>4.0418503491811524E-2</c:v>
                </c:pt>
              </c:numCache>
            </c:numRef>
          </c:xVal>
          <c:yVal>
            <c:numRef>
              <c:f>'Notes | Quant Analysis'!$Y$226:$Y$227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64C8-46E7-8417-05DC731C6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843279"/>
        <c:axId val="1297840879"/>
      </c:scatterChart>
      <c:valAx>
        <c:axId val="1297843279"/>
        <c:scaling>
          <c:orientation val="minMax"/>
          <c:max val="4.5000000000000012E-2"/>
          <c:min val="-4.5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0879"/>
        <c:crosses val="autoZero"/>
        <c:crossBetween val="midCat"/>
        <c:majorUnit val="5.000000000000001E-3"/>
      </c:valAx>
      <c:valAx>
        <c:axId val="129784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843279"/>
        <c:crossesAt val="-1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[2]Model!$AW$70:$BQ$70</c:f>
              <c:numCache>
                <c:formatCode>General</c:formatCode>
                <c:ptCount val="21"/>
                <c:pt idx="0">
                  <c:v>11</c:v>
                </c:pt>
                <c:pt idx="1">
                  <c:v>-152</c:v>
                </c:pt>
                <c:pt idx="2">
                  <c:v>-169</c:v>
                </c:pt>
                <c:pt idx="3">
                  <c:v>196</c:v>
                </c:pt>
                <c:pt idx="4">
                  <c:v>327</c:v>
                </c:pt>
                <c:pt idx="5">
                  <c:v>172</c:v>
                </c:pt>
                <c:pt idx="6">
                  <c:v>405</c:v>
                </c:pt>
                <c:pt idx="7">
                  <c:v>80</c:v>
                </c:pt>
                <c:pt idx="8">
                  <c:v>97</c:v>
                </c:pt>
                <c:pt idx="9">
                  <c:v>246</c:v>
                </c:pt>
                <c:pt idx="10">
                  <c:v>174</c:v>
                </c:pt>
                <c:pt idx="11">
                  <c:v>124</c:v>
                </c:pt>
                <c:pt idx="12">
                  <c:v>300</c:v>
                </c:pt>
                <c:pt idx="13">
                  <c:v>261</c:v>
                </c:pt>
                <c:pt idx="14">
                  <c:v>504</c:v>
                </c:pt>
                <c:pt idx="15">
                  <c:v>504</c:v>
                </c:pt>
                <c:pt idx="16">
                  <c:v>495</c:v>
                </c:pt>
                <c:pt idx="17">
                  <c:v>324</c:v>
                </c:pt>
                <c:pt idx="18">
                  <c:v>468</c:v>
                </c:pt>
                <c:pt idx="19">
                  <c:v>565</c:v>
                </c:pt>
                <c:pt idx="20">
                  <c:v>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[2]Model!$AW$115:$BQ$115</c:f>
              <c:numCache>
                <c:formatCode>General</c:formatCode>
                <c:ptCount val="21"/>
                <c:pt idx="3">
                  <c:v>1.4515077424612877</c:v>
                </c:pt>
                <c:pt idx="4">
                  <c:v>1.3834364868847628</c:v>
                </c:pt>
                <c:pt idx="5">
                  <c:v>1.3083722072182666</c:v>
                </c:pt>
                <c:pt idx="6">
                  <c:v>1.1499254102436598</c:v>
                </c:pt>
                <c:pt idx="7">
                  <c:v>1.1015679850222326</c:v>
                </c:pt>
                <c:pt idx="8">
                  <c:v>0.77889564810481982</c:v>
                </c:pt>
                <c:pt idx="9">
                  <c:v>0.85784187483904195</c:v>
                </c:pt>
                <c:pt idx="10">
                  <c:v>0.94561848408002258</c:v>
                </c:pt>
                <c:pt idx="11">
                  <c:v>1.0236655272153563</c:v>
                </c:pt>
                <c:pt idx="12">
                  <c:v>0.89468528043105555</c:v>
                </c:pt>
                <c:pt idx="13">
                  <c:v>0.79701885138097328</c:v>
                </c:pt>
                <c:pt idx="14">
                  <c:v>0.89561039528281283</c:v>
                </c:pt>
                <c:pt idx="15">
                  <c:v>0.8169841913254966</c:v>
                </c:pt>
                <c:pt idx="16">
                  <c:v>1.1438161106590725</c:v>
                </c:pt>
                <c:pt idx="17">
                  <c:v>1.144906743185079</c:v>
                </c:pt>
                <c:pt idx="18">
                  <c:v>1.016579259008628</c:v>
                </c:pt>
                <c:pt idx="19">
                  <c:v>0.64223194748358858</c:v>
                </c:pt>
                <c:pt idx="20">
                  <c:v>0.88335310399367339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[2]Model!$AW$50:$BQ$50</c:f>
              <c:numCache>
                <c:formatCode>General</c:formatCode>
                <c:ptCount val="21"/>
                <c:pt idx="0">
                  <c:v>2543</c:v>
                </c:pt>
                <c:pt idx="1">
                  <c:v>2003</c:v>
                </c:pt>
                <c:pt idx="2">
                  <c:v>2659</c:v>
                </c:pt>
                <c:pt idx="3">
                  <c:v>2708</c:v>
                </c:pt>
                <c:pt idx="4">
                  <c:v>2752</c:v>
                </c:pt>
                <c:pt idx="5">
                  <c:v>3077</c:v>
                </c:pt>
                <c:pt idx="6">
                  <c:v>2932</c:v>
                </c:pt>
                <c:pt idx="7">
                  <c:v>3127</c:v>
                </c:pt>
                <c:pt idx="8">
                  <c:v>3026</c:v>
                </c:pt>
                <c:pt idx="9">
                  <c:v>3244</c:v>
                </c:pt>
                <c:pt idx="10">
                  <c:v>3170</c:v>
                </c:pt>
                <c:pt idx="11">
                  <c:v>3242</c:v>
                </c:pt>
                <c:pt idx="12">
                  <c:v>3389</c:v>
                </c:pt>
                <c:pt idx="13">
                  <c:v>3599</c:v>
                </c:pt>
                <c:pt idx="14">
                  <c:v>3527</c:v>
                </c:pt>
                <c:pt idx="15">
                  <c:v>3725</c:v>
                </c:pt>
                <c:pt idx="16">
                  <c:v>3857</c:v>
                </c:pt>
                <c:pt idx="17">
                  <c:v>4120</c:v>
                </c:pt>
                <c:pt idx="18">
                  <c:v>4209</c:v>
                </c:pt>
                <c:pt idx="19">
                  <c:v>4561</c:v>
                </c:pt>
                <c:pt idx="20">
                  <c:v>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Model!$B$5</c:f>
              <c:strCache>
                <c:ptCount val="1"/>
                <c:pt idx="0">
                  <c:v>Sports</c:v>
                </c:pt>
              </c:strCache>
            </c:strRef>
          </c:tx>
          <c:spPr>
            <a:solidFill>
              <a:srgbClr val="4472C4">
                <a:lumMod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Model!$AQ$1:$AY$1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Model!$AQ$5:$AY$5</c:f>
              <c:numCache>
                <c:formatCode>General</c:formatCode>
                <c:ptCount val="9"/>
                <c:pt idx="0">
                  <c:v>4835</c:v>
                </c:pt>
                <c:pt idx="1">
                  <c:v>4312</c:v>
                </c:pt>
                <c:pt idx="2">
                  <c:v>4558</c:v>
                </c:pt>
                <c:pt idx="3">
                  <c:v>3914</c:v>
                </c:pt>
                <c:pt idx="4">
                  <c:v>4850</c:v>
                </c:pt>
                <c:pt idx="5">
                  <c:v>4534</c:v>
                </c:pt>
                <c:pt idx="6">
                  <c:v>4308</c:v>
                </c:pt>
                <c:pt idx="7">
                  <c:v>3980</c:v>
                </c:pt>
                <c:pt idx="8">
                  <c:v>4909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1E-46EB-8B6A-239410CB8BDC}"/>
            </c:ext>
          </c:extLst>
        </c:ser>
        <c:ser>
          <c:idx val="3"/>
          <c:order val="1"/>
          <c:tx>
            <c:strRef>
              <c:f>Model!$B$6</c:f>
              <c:strCache>
                <c:ptCount val="1"/>
                <c:pt idx="0">
                  <c:v>Experiences</c:v>
                </c:pt>
              </c:strCache>
            </c:strRef>
          </c:tx>
          <c:spPr>
            <a:solidFill>
              <a:srgbClr val="5B9BD5">
                <a:lumMod val="75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Model!$AQ$1:$AY$1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Model!$AQ$6:$AY$6</c:f>
              <c:numCache>
                <c:formatCode>General</c:formatCode>
                <c:ptCount val="9"/>
                <c:pt idx="0">
                  <c:v>8733</c:v>
                </c:pt>
                <c:pt idx="1">
                  <c:v>7975</c:v>
                </c:pt>
                <c:pt idx="2">
                  <c:v>8017</c:v>
                </c:pt>
                <c:pt idx="3">
                  <c:v>7831</c:v>
                </c:pt>
                <c:pt idx="4">
                  <c:v>8968</c:v>
                </c:pt>
                <c:pt idx="5">
                  <c:v>8405</c:v>
                </c:pt>
                <c:pt idx="6">
                  <c:v>8638</c:v>
                </c:pt>
                <c:pt idx="7">
                  <c:v>8276</c:v>
                </c:pt>
                <c:pt idx="8">
                  <c:v>9463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91E-46EB-8B6A-239410CB8BDC}"/>
            </c:ext>
          </c:extLst>
        </c:ser>
        <c:ser>
          <c:idx val="0"/>
          <c:order val="2"/>
          <c:tx>
            <c:strRef>
              <c:f>Model!$B$4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rgbClr val="5B9BD5">
                <a:lumMod val="40000"/>
                <a:lumOff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Model!$AQ$1:$AY$1</c:f>
              <c:strCache>
                <c:ptCount val="9"/>
                <c:pt idx="0">
                  <c:v>Q1 2024</c:v>
                </c:pt>
                <c:pt idx="4">
                  <c:v>Q1 2025</c:v>
                </c:pt>
                <c:pt idx="8">
                  <c:v>Q1 2026</c:v>
                </c:pt>
              </c:strCache>
            </c:strRef>
          </c:cat>
          <c:val>
            <c:numRef>
              <c:f>Model!$AQ$4:$AY$4</c:f>
              <c:numCache>
                <c:formatCode>General</c:formatCode>
                <c:ptCount val="9"/>
                <c:pt idx="0">
                  <c:v>9981</c:v>
                </c:pt>
                <c:pt idx="1">
                  <c:v>9796</c:v>
                </c:pt>
                <c:pt idx="2">
                  <c:v>10580</c:v>
                </c:pt>
                <c:pt idx="3">
                  <c:v>10829</c:v>
                </c:pt>
                <c:pt idx="4">
                  <c:v>10872</c:v>
                </c:pt>
                <c:pt idx="5">
                  <c:v>10682</c:v>
                </c:pt>
                <c:pt idx="6">
                  <c:v>10704</c:v>
                </c:pt>
                <c:pt idx="7">
                  <c:v>10208</c:v>
                </c:pt>
                <c:pt idx="8">
                  <c:v>11609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E-46EB-8B6A-239410CB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  <c:extLst xmlns:c15="http://schemas.microsoft.com/office/drawing/2012/chart"/>
            </c:strRef>
          </c:cat>
          <c:val>
            <c:numRef>
              <c:f>Model!$AA$61:$AY$61</c:f>
              <c:numCache>
                <c:formatCode>General</c:formatCode>
                <c:ptCount val="25"/>
                <c:pt idx="0">
                  <c:v>2168</c:v>
                </c:pt>
                <c:pt idx="1">
                  <c:v>528</c:v>
                </c:pt>
                <c:pt idx="2">
                  <c:v>-4509</c:v>
                </c:pt>
                <c:pt idx="3">
                  <c:v>-629</c:v>
                </c:pt>
                <c:pt idx="4">
                  <c:v>30</c:v>
                </c:pt>
                <c:pt idx="5">
                  <c:v>1122</c:v>
                </c:pt>
                <c:pt idx="6">
                  <c:v>1128</c:v>
                </c:pt>
                <c:pt idx="7">
                  <c:v>256</c:v>
                </c:pt>
                <c:pt idx="8">
                  <c:v>1200</c:v>
                </c:pt>
                <c:pt idx="9">
                  <c:v>597</c:v>
                </c:pt>
                <c:pt idx="10">
                  <c:v>1502</c:v>
                </c:pt>
                <c:pt idx="11">
                  <c:v>254</c:v>
                </c:pt>
                <c:pt idx="12">
                  <c:v>1361</c:v>
                </c:pt>
                <c:pt idx="13">
                  <c:v>1488</c:v>
                </c:pt>
                <c:pt idx="14">
                  <c:v>-153</c:v>
                </c:pt>
                <c:pt idx="15">
                  <c:v>694</c:v>
                </c:pt>
                <c:pt idx="16">
                  <c:v>2151</c:v>
                </c:pt>
                <c:pt idx="17">
                  <c:v>216</c:v>
                </c:pt>
                <c:pt idx="18">
                  <c:v>2842</c:v>
                </c:pt>
                <c:pt idx="19">
                  <c:v>564</c:v>
                </c:pt>
                <c:pt idx="20">
                  <c:v>2644</c:v>
                </c:pt>
                <c:pt idx="21">
                  <c:v>3401</c:v>
                </c:pt>
                <c:pt idx="22">
                  <c:v>5943</c:v>
                </c:pt>
                <c:pt idx="23">
                  <c:v>1443</c:v>
                </c:pt>
                <c:pt idx="24">
                  <c:v>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24-4435-82A4-E7FC2BE40EBE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  <c:extLst xmlns:c15="http://schemas.microsoft.com/office/drawing/2012/chart"/>
            </c:strRef>
          </c:cat>
          <c:val>
            <c:numRef>
              <c:f>Model!$AA$110:$AY$110</c:f>
              <c:numCache>
                <c:formatCode>General</c:formatCode>
                <c:ptCount val="25"/>
                <c:pt idx="0">
                  <c:v>292</c:v>
                </c:pt>
                <c:pt idx="1">
                  <c:v>1910</c:v>
                </c:pt>
                <c:pt idx="2">
                  <c:v>454</c:v>
                </c:pt>
                <c:pt idx="3">
                  <c:v>938</c:v>
                </c:pt>
                <c:pt idx="4">
                  <c:v>-685</c:v>
                </c:pt>
                <c:pt idx="5">
                  <c:v>623</c:v>
                </c:pt>
                <c:pt idx="6">
                  <c:v>528</c:v>
                </c:pt>
                <c:pt idx="7">
                  <c:v>1522</c:v>
                </c:pt>
                <c:pt idx="8">
                  <c:v>-1190</c:v>
                </c:pt>
                <c:pt idx="9">
                  <c:v>686</c:v>
                </c:pt>
                <c:pt idx="10">
                  <c:v>187</c:v>
                </c:pt>
                <c:pt idx="11">
                  <c:v>1376</c:v>
                </c:pt>
                <c:pt idx="12">
                  <c:v>-2155</c:v>
                </c:pt>
                <c:pt idx="13">
                  <c:v>1987</c:v>
                </c:pt>
                <c:pt idx="14">
                  <c:v>1637</c:v>
                </c:pt>
                <c:pt idx="15">
                  <c:v>3428</c:v>
                </c:pt>
                <c:pt idx="16">
                  <c:v>886</c:v>
                </c:pt>
                <c:pt idx="17">
                  <c:v>2407</c:v>
                </c:pt>
                <c:pt idx="18">
                  <c:v>1237</c:v>
                </c:pt>
                <c:pt idx="19">
                  <c:v>3529</c:v>
                </c:pt>
                <c:pt idx="20">
                  <c:v>739</c:v>
                </c:pt>
                <c:pt idx="21">
                  <c:v>4891</c:v>
                </c:pt>
                <c:pt idx="22">
                  <c:v>1889</c:v>
                </c:pt>
                <c:pt idx="23">
                  <c:v>2558</c:v>
                </c:pt>
                <c:pt idx="24">
                  <c:v>-2278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24-4435-82A4-E7FC2BE4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Model!$AA$1:$AY$1</c:f>
              <c:strCache>
                <c:ptCount val="25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  <c:pt idx="24">
                  <c:v>Q1 2026</c:v>
                </c:pt>
              </c:strCache>
            </c:strRef>
          </c:cat>
          <c:val>
            <c:numRef>
              <c:f>Model!$AA$46:$AY$46</c:f>
              <c:numCache>
                <c:formatCode>General</c:formatCode>
                <c:ptCount val="25"/>
                <c:pt idx="0">
                  <c:v>20877</c:v>
                </c:pt>
                <c:pt idx="1">
                  <c:v>18025</c:v>
                </c:pt>
                <c:pt idx="2">
                  <c:v>11779</c:v>
                </c:pt>
                <c:pt idx="3">
                  <c:v>14707</c:v>
                </c:pt>
                <c:pt idx="4">
                  <c:v>16249</c:v>
                </c:pt>
                <c:pt idx="5">
                  <c:v>15613</c:v>
                </c:pt>
                <c:pt idx="6">
                  <c:v>17022</c:v>
                </c:pt>
                <c:pt idx="7">
                  <c:v>18534</c:v>
                </c:pt>
                <c:pt idx="8">
                  <c:v>21819</c:v>
                </c:pt>
                <c:pt idx="9">
                  <c:v>19249</c:v>
                </c:pt>
                <c:pt idx="10">
                  <c:v>21504</c:v>
                </c:pt>
                <c:pt idx="11">
                  <c:v>20150</c:v>
                </c:pt>
                <c:pt idx="12">
                  <c:v>23512</c:v>
                </c:pt>
                <c:pt idx="13">
                  <c:v>21815</c:v>
                </c:pt>
                <c:pt idx="14">
                  <c:v>22330</c:v>
                </c:pt>
                <c:pt idx="15">
                  <c:v>21241</c:v>
                </c:pt>
                <c:pt idx="16">
                  <c:v>23549</c:v>
                </c:pt>
                <c:pt idx="17">
                  <c:v>22083</c:v>
                </c:pt>
                <c:pt idx="18">
                  <c:v>23155</c:v>
                </c:pt>
                <c:pt idx="19">
                  <c:v>22574</c:v>
                </c:pt>
                <c:pt idx="20">
                  <c:v>24690</c:v>
                </c:pt>
                <c:pt idx="21">
                  <c:v>23621</c:v>
                </c:pt>
                <c:pt idx="22">
                  <c:v>23650</c:v>
                </c:pt>
                <c:pt idx="23">
                  <c:v>22464</c:v>
                </c:pt>
                <c:pt idx="24">
                  <c:v>25981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24-4435-82A4-E7FC2BE40E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(Ticker)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Analysis'!$Q$212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Analysis'!$Q$214:$Q$298</c:f>
              <c:numCache>
                <c:formatCode>0.00%</c:formatCode>
                <c:ptCount val="85"/>
                <c:pt idx="0">
                  <c:v>-4.200000000000003E-2</c:v>
                </c:pt>
                <c:pt idx="1">
                  <c:v>-4.1000000000000029E-2</c:v>
                </c:pt>
                <c:pt idx="2">
                  <c:v>-4.0000000000000029E-2</c:v>
                </c:pt>
                <c:pt idx="3">
                  <c:v>-3.9000000000000028E-2</c:v>
                </c:pt>
                <c:pt idx="4">
                  <c:v>-3.8000000000000027E-2</c:v>
                </c:pt>
                <c:pt idx="5">
                  <c:v>-3.7000000000000026E-2</c:v>
                </c:pt>
                <c:pt idx="6">
                  <c:v>-3.6000000000000025E-2</c:v>
                </c:pt>
                <c:pt idx="7">
                  <c:v>-3.5000000000000024E-2</c:v>
                </c:pt>
                <c:pt idx="8">
                  <c:v>-3.4000000000000023E-2</c:v>
                </c:pt>
                <c:pt idx="9">
                  <c:v>-3.3000000000000022E-2</c:v>
                </c:pt>
                <c:pt idx="10">
                  <c:v>-3.2000000000000021E-2</c:v>
                </c:pt>
                <c:pt idx="11">
                  <c:v>-3.1000000000000021E-2</c:v>
                </c:pt>
                <c:pt idx="12">
                  <c:v>-3.000000000000002E-2</c:v>
                </c:pt>
                <c:pt idx="13">
                  <c:v>-2.9000000000000019E-2</c:v>
                </c:pt>
                <c:pt idx="14">
                  <c:v>-2.8000000000000018E-2</c:v>
                </c:pt>
                <c:pt idx="15">
                  <c:v>-2.7000000000000017E-2</c:v>
                </c:pt>
                <c:pt idx="16">
                  <c:v>-2.6000000000000016E-2</c:v>
                </c:pt>
                <c:pt idx="17">
                  <c:v>-2.5000000000000015E-2</c:v>
                </c:pt>
                <c:pt idx="18">
                  <c:v>-2.4000000000000014E-2</c:v>
                </c:pt>
                <c:pt idx="19">
                  <c:v>-2.3000000000000013E-2</c:v>
                </c:pt>
                <c:pt idx="20">
                  <c:v>-2.2000000000000013E-2</c:v>
                </c:pt>
                <c:pt idx="21">
                  <c:v>-2.1000000000000012E-2</c:v>
                </c:pt>
                <c:pt idx="22">
                  <c:v>-2.0000000000000011E-2</c:v>
                </c:pt>
                <c:pt idx="23">
                  <c:v>-1.900000000000001E-2</c:v>
                </c:pt>
                <c:pt idx="24">
                  <c:v>-1.8000000000000009E-2</c:v>
                </c:pt>
                <c:pt idx="25">
                  <c:v>-1.7000000000000008E-2</c:v>
                </c:pt>
                <c:pt idx="26">
                  <c:v>-1.6000000000000007E-2</c:v>
                </c:pt>
                <c:pt idx="27">
                  <c:v>-1.5000000000000006E-2</c:v>
                </c:pt>
                <c:pt idx="28">
                  <c:v>-1.4000000000000005E-2</c:v>
                </c:pt>
                <c:pt idx="29">
                  <c:v>-1.3000000000000005E-2</c:v>
                </c:pt>
                <c:pt idx="30">
                  <c:v>-1.2000000000000004E-2</c:v>
                </c:pt>
                <c:pt idx="31">
                  <c:v>-1.1000000000000003E-2</c:v>
                </c:pt>
                <c:pt idx="32">
                  <c:v>-1.0000000000000002E-2</c:v>
                </c:pt>
                <c:pt idx="33">
                  <c:v>-9.0000000000000011E-3</c:v>
                </c:pt>
                <c:pt idx="34">
                  <c:v>-8.0000000000000002E-3</c:v>
                </c:pt>
                <c:pt idx="35">
                  <c:v>-7.0000000000000001E-3</c:v>
                </c:pt>
                <c:pt idx="36">
                  <c:v>-6.0000000000000001E-3</c:v>
                </c:pt>
                <c:pt idx="37">
                  <c:v>-5.0000000000000001E-3</c:v>
                </c:pt>
                <c:pt idx="38">
                  <c:v>-4.0000000000000001E-3</c:v>
                </c:pt>
                <c:pt idx="39">
                  <c:v>-3.0000000000000001E-3</c:v>
                </c:pt>
                <c:pt idx="40">
                  <c:v>-2E-3</c:v>
                </c:pt>
                <c:pt idx="41">
                  <c:v>-1E-3</c:v>
                </c:pt>
                <c:pt idx="42">
                  <c:v>0</c:v>
                </c:pt>
                <c:pt idx="43">
                  <c:v>1E-3</c:v>
                </c:pt>
                <c:pt idx="44">
                  <c:v>2E-3</c:v>
                </c:pt>
                <c:pt idx="45">
                  <c:v>3.0000000000000001E-3</c:v>
                </c:pt>
                <c:pt idx="46">
                  <c:v>4.0000000000000001E-3</c:v>
                </c:pt>
                <c:pt idx="47">
                  <c:v>5.0000000000000001E-3</c:v>
                </c:pt>
                <c:pt idx="48">
                  <c:v>6.0000000000000001E-3</c:v>
                </c:pt>
                <c:pt idx="49">
                  <c:v>7.0000000000000001E-3</c:v>
                </c:pt>
                <c:pt idx="50">
                  <c:v>8.0000000000000002E-3</c:v>
                </c:pt>
                <c:pt idx="51">
                  <c:v>9.0000000000000011E-3</c:v>
                </c:pt>
                <c:pt idx="52">
                  <c:v>1.0000000000000002E-2</c:v>
                </c:pt>
                <c:pt idx="53">
                  <c:v>1.1000000000000003E-2</c:v>
                </c:pt>
                <c:pt idx="54">
                  <c:v>1.2000000000000004E-2</c:v>
                </c:pt>
                <c:pt idx="55">
                  <c:v>1.3000000000000005E-2</c:v>
                </c:pt>
                <c:pt idx="56">
                  <c:v>1.4000000000000005E-2</c:v>
                </c:pt>
                <c:pt idx="57">
                  <c:v>1.5000000000000006E-2</c:v>
                </c:pt>
                <c:pt idx="58">
                  <c:v>1.6000000000000007E-2</c:v>
                </c:pt>
                <c:pt idx="59">
                  <c:v>1.7000000000000008E-2</c:v>
                </c:pt>
                <c:pt idx="60">
                  <c:v>1.8000000000000009E-2</c:v>
                </c:pt>
                <c:pt idx="61">
                  <c:v>1.900000000000001E-2</c:v>
                </c:pt>
                <c:pt idx="62">
                  <c:v>2.0000000000000011E-2</c:v>
                </c:pt>
                <c:pt idx="63">
                  <c:v>2.1000000000000012E-2</c:v>
                </c:pt>
                <c:pt idx="64">
                  <c:v>2.2000000000000013E-2</c:v>
                </c:pt>
                <c:pt idx="65">
                  <c:v>2.3000000000000013E-2</c:v>
                </c:pt>
                <c:pt idx="66">
                  <c:v>2.4000000000000014E-2</c:v>
                </c:pt>
                <c:pt idx="67">
                  <c:v>2.5000000000000015E-2</c:v>
                </c:pt>
                <c:pt idx="68">
                  <c:v>2.6000000000000016E-2</c:v>
                </c:pt>
                <c:pt idx="69">
                  <c:v>2.7000000000000017E-2</c:v>
                </c:pt>
                <c:pt idx="70">
                  <c:v>2.8000000000000018E-2</c:v>
                </c:pt>
                <c:pt idx="71">
                  <c:v>2.9000000000000019E-2</c:v>
                </c:pt>
                <c:pt idx="72">
                  <c:v>3.000000000000002E-2</c:v>
                </c:pt>
                <c:pt idx="73">
                  <c:v>3.1000000000000021E-2</c:v>
                </c:pt>
                <c:pt idx="74">
                  <c:v>3.2000000000000021E-2</c:v>
                </c:pt>
                <c:pt idx="75">
                  <c:v>3.3000000000000022E-2</c:v>
                </c:pt>
                <c:pt idx="76">
                  <c:v>3.4000000000000023E-2</c:v>
                </c:pt>
                <c:pt idx="77">
                  <c:v>3.5000000000000024E-2</c:v>
                </c:pt>
                <c:pt idx="78">
                  <c:v>3.6000000000000025E-2</c:v>
                </c:pt>
                <c:pt idx="79">
                  <c:v>3.7000000000000026E-2</c:v>
                </c:pt>
                <c:pt idx="80">
                  <c:v>3.8000000000000027E-2</c:v>
                </c:pt>
                <c:pt idx="81">
                  <c:v>3.9000000000000028E-2</c:v>
                </c:pt>
                <c:pt idx="82">
                  <c:v>4.0000000000000029E-2</c:v>
                </c:pt>
                <c:pt idx="83">
                  <c:v>4.1000000000000029E-2</c:v>
                </c:pt>
                <c:pt idx="84">
                  <c:v>4.200000000000003E-2</c:v>
                </c:pt>
              </c:numCache>
            </c:numRef>
          </c:xVal>
          <c:yVal>
            <c:numRef>
              <c:f>'Notes | Quant Analysis'!$R$214:$R$298</c:f>
              <c:numCache>
                <c:formatCode>General</c:formatCode>
                <c:ptCount val="85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6</c:v>
                </c:pt>
                <c:pt idx="23">
                  <c:v>6</c:v>
                </c:pt>
                <c:pt idx="24">
                  <c:v>3</c:v>
                </c:pt>
                <c:pt idx="25">
                  <c:v>9</c:v>
                </c:pt>
                <c:pt idx="26">
                  <c:v>4</c:v>
                </c:pt>
                <c:pt idx="27">
                  <c:v>9</c:v>
                </c:pt>
                <c:pt idx="28">
                  <c:v>6</c:v>
                </c:pt>
                <c:pt idx="29">
                  <c:v>8</c:v>
                </c:pt>
                <c:pt idx="30">
                  <c:v>7</c:v>
                </c:pt>
                <c:pt idx="31">
                  <c:v>14</c:v>
                </c:pt>
                <c:pt idx="32">
                  <c:v>15</c:v>
                </c:pt>
                <c:pt idx="33">
                  <c:v>18</c:v>
                </c:pt>
                <c:pt idx="34">
                  <c:v>18</c:v>
                </c:pt>
                <c:pt idx="35">
                  <c:v>25</c:v>
                </c:pt>
                <c:pt idx="36">
                  <c:v>24</c:v>
                </c:pt>
                <c:pt idx="37">
                  <c:v>28</c:v>
                </c:pt>
                <c:pt idx="38">
                  <c:v>21</c:v>
                </c:pt>
                <c:pt idx="39">
                  <c:v>29</c:v>
                </c:pt>
                <c:pt idx="40">
                  <c:v>28</c:v>
                </c:pt>
                <c:pt idx="41">
                  <c:v>21</c:v>
                </c:pt>
                <c:pt idx="42">
                  <c:v>19</c:v>
                </c:pt>
                <c:pt idx="43">
                  <c:v>28</c:v>
                </c:pt>
                <c:pt idx="44">
                  <c:v>34</c:v>
                </c:pt>
                <c:pt idx="45">
                  <c:v>20</c:v>
                </c:pt>
                <c:pt idx="46">
                  <c:v>29</c:v>
                </c:pt>
                <c:pt idx="47">
                  <c:v>25</c:v>
                </c:pt>
                <c:pt idx="48">
                  <c:v>24</c:v>
                </c:pt>
                <c:pt idx="49">
                  <c:v>15</c:v>
                </c:pt>
                <c:pt idx="50">
                  <c:v>27</c:v>
                </c:pt>
                <c:pt idx="51">
                  <c:v>19</c:v>
                </c:pt>
                <c:pt idx="52">
                  <c:v>23</c:v>
                </c:pt>
                <c:pt idx="53">
                  <c:v>16</c:v>
                </c:pt>
                <c:pt idx="54">
                  <c:v>15</c:v>
                </c:pt>
                <c:pt idx="55">
                  <c:v>20</c:v>
                </c:pt>
                <c:pt idx="56">
                  <c:v>12</c:v>
                </c:pt>
                <c:pt idx="57">
                  <c:v>16</c:v>
                </c:pt>
                <c:pt idx="58">
                  <c:v>9</c:v>
                </c:pt>
                <c:pt idx="59">
                  <c:v>4</c:v>
                </c:pt>
                <c:pt idx="60">
                  <c:v>10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7</c:v>
                </c:pt>
                <c:pt idx="65">
                  <c:v>1</c:v>
                </c:pt>
                <c:pt idx="66">
                  <c:v>9</c:v>
                </c:pt>
                <c:pt idx="67">
                  <c:v>2</c:v>
                </c:pt>
                <c:pt idx="68">
                  <c:v>0</c:v>
                </c:pt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Analysis'!$T$212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'Notes | Quant Analysis'!$T$214:$T$304</c:f>
              <c:numCache>
                <c:formatCode>0.00%</c:formatCode>
                <c:ptCount val="91"/>
                <c:pt idx="0">
                  <c:v>-4.5000000000000033E-2</c:v>
                </c:pt>
                <c:pt idx="1">
                  <c:v>-4.4000000000000032E-2</c:v>
                </c:pt>
                <c:pt idx="2">
                  <c:v>-4.3000000000000031E-2</c:v>
                </c:pt>
                <c:pt idx="3">
                  <c:v>-4.200000000000003E-2</c:v>
                </c:pt>
                <c:pt idx="4">
                  <c:v>-4.1000000000000029E-2</c:v>
                </c:pt>
                <c:pt idx="5">
                  <c:v>-4.0000000000000029E-2</c:v>
                </c:pt>
                <c:pt idx="6">
                  <c:v>-3.9000000000000028E-2</c:v>
                </c:pt>
                <c:pt idx="7">
                  <c:v>-3.8000000000000027E-2</c:v>
                </c:pt>
                <c:pt idx="8">
                  <c:v>-3.7000000000000026E-2</c:v>
                </c:pt>
                <c:pt idx="9">
                  <c:v>-3.6000000000000025E-2</c:v>
                </c:pt>
                <c:pt idx="10">
                  <c:v>-3.5000000000000024E-2</c:v>
                </c:pt>
                <c:pt idx="11">
                  <c:v>-3.4000000000000023E-2</c:v>
                </c:pt>
                <c:pt idx="12">
                  <c:v>-3.3000000000000022E-2</c:v>
                </c:pt>
                <c:pt idx="13">
                  <c:v>-3.2000000000000021E-2</c:v>
                </c:pt>
                <c:pt idx="14">
                  <c:v>-3.1000000000000021E-2</c:v>
                </c:pt>
                <c:pt idx="15">
                  <c:v>-3.000000000000002E-2</c:v>
                </c:pt>
                <c:pt idx="16">
                  <c:v>-2.9000000000000019E-2</c:v>
                </c:pt>
                <c:pt idx="17">
                  <c:v>-2.8000000000000018E-2</c:v>
                </c:pt>
                <c:pt idx="18">
                  <c:v>-2.7000000000000017E-2</c:v>
                </c:pt>
                <c:pt idx="19">
                  <c:v>-2.6000000000000016E-2</c:v>
                </c:pt>
                <c:pt idx="20">
                  <c:v>-2.5000000000000015E-2</c:v>
                </c:pt>
                <c:pt idx="21">
                  <c:v>-2.4000000000000014E-2</c:v>
                </c:pt>
                <c:pt idx="22">
                  <c:v>-2.3000000000000013E-2</c:v>
                </c:pt>
                <c:pt idx="23">
                  <c:v>-2.2000000000000013E-2</c:v>
                </c:pt>
                <c:pt idx="24">
                  <c:v>-2.1000000000000012E-2</c:v>
                </c:pt>
                <c:pt idx="25">
                  <c:v>-2.0000000000000011E-2</c:v>
                </c:pt>
                <c:pt idx="26">
                  <c:v>-1.900000000000001E-2</c:v>
                </c:pt>
                <c:pt idx="27">
                  <c:v>-1.8000000000000009E-2</c:v>
                </c:pt>
                <c:pt idx="28">
                  <c:v>-1.7000000000000008E-2</c:v>
                </c:pt>
                <c:pt idx="29">
                  <c:v>-1.6000000000000007E-2</c:v>
                </c:pt>
                <c:pt idx="30">
                  <c:v>-1.5000000000000006E-2</c:v>
                </c:pt>
                <c:pt idx="31">
                  <c:v>-1.4000000000000005E-2</c:v>
                </c:pt>
                <c:pt idx="32">
                  <c:v>-1.3000000000000005E-2</c:v>
                </c:pt>
                <c:pt idx="33">
                  <c:v>-1.2000000000000004E-2</c:v>
                </c:pt>
                <c:pt idx="34">
                  <c:v>-1.1000000000000003E-2</c:v>
                </c:pt>
                <c:pt idx="35">
                  <c:v>-1.0000000000000002E-2</c:v>
                </c:pt>
                <c:pt idx="36">
                  <c:v>-9.0000000000000011E-3</c:v>
                </c:pt>
                <c:pt idx="37">
                  <c:v>-8.0000000000000002E-3</c:v>
                </c:pt>
                <c:pt idx="38">
                  <c:v>-7.0000000000000001E-3</c:v>
                </c:pt>
                <c:pt idx="39">
                  <c:v>-6.0000000000000001E-3</c:v>
                </c:pt>
                <c:pt idx="40">
                  <c:v>-5.0000000000000001E-3</c:v>
                </c:pt>
                <c:pt idx="41">
                  <c:v>-4.0000000000000001E-3</c:v>
                </c:pt>
                <c:pt idx="42">
                  <c:v>-3.0000000000000001E-3</c:v>
                </c:pt>
                <c:pt idx="43">
                  <c:v>-2E-3</c:v>
                </c:pt>
                <c:pt idx="44">
                  <c:v>-1E-3</c:v>
                </c:pt>
                <c:pt idx="45">
                  <c:v>0</c:v>
                </c:pt>
                <c:pt idx="46">
                  <c:v>1E-3</c:v>
                </c:pt>
                <c:pt idx="47">
                  <c:v>2E-3</c:v>
                </c:pt>
                <c:pt idx="48">
                  <c:v>3.0000000000000001E-3</c:v>
                </c:pt>
                <c:pt idx="49">
                  <c:v>4.0000000000000001E-3</c:v>
                </c:pt>
                <c:pt idx="50">
                  <c:v>5.0000000000000001E-3</c:v>
                </c:pt>
                <c:pt idx="51">
                  <c:v>6.0000000000000001E-3</c:v>
                </c:pt>
                <c:pt idx="52">
                  <c:v>7.0000000000000001E-3</c:v>
                </c:pt>
                <c:pt idx="53">
                  <c:v>8.0000000000000002E-3</c:v>
                </c:pt>
                <c:pt idx="54">
                  <c:v>9.0000000000000011E-3</c:v>
                </c:pt>
                <c:pt idx="55">
                  <c:v>1.0000000000000002E-2</c:v>
                </c:pt>
                <c:pt idx="56">
                  <c:v>1.1000000000000003E-2</c:v>
                </c:pt>
                <c:pt idx="57">
                  <c:v>1.2000000000000004E-2</c:v>
                </c:pt>
                <c:pt idx="58">
                  <c:v>1.3000000000000005E-2</c:v>
                </c:pt>
                <c:pt idx="59">
                  <c:v>1.4000000000000005E-2</c:v>
                </c:pt>
                <c:pt idx="60">
                  <c:v>1.5000000000000006E-2</c:v>
                </c:pt>
                <c:pt idx="61">
                  <c:v>1.6000000000000007E-2</c:v>
                </c:pt>
                <c:pt idx="62">
                  <c:v>1.7000000000000008E-2</c:v>
                </c:pt>
                <c:pt idx="63">
                  <c:v>1.8000000000000009E-2</c:v>
                </c:pt>
                <c:pt idx="64">
                  <c:v>1.900000000000001E-2</c:v>
                </c:pt>
                <c:pt idx="65">
                  <c:v>2.0000000000000011E-2</c:v>
                </c:pt>
                <c:pt idx="66">
                  <c:v>2.1000000000000012E-2</c:v>
                </c:pt>
                <c:pt idx="67">
                  <c:v>2.2000000000000013E-2</c:v>
                </c:pt>
                <c:pt idx="68">
                  <c:v>2.3000000000000013E-2</c:v>
                </c:pt>
                <c:pt idx="69">
                  <c:v>2.4000000000000014E-2</c:v>
                </c:pt>
                <c:pt idx="70">
                  <c:v>2.5000000000000015E-2</c:v>
                </c:pt>
                <c:pt idx="71">
                  <c:v>2.6000000000000016E-2</c:v>
                </c:pt>
                <c:pt idx="72">
                  <c:v>2.7000000000000017E-2</c:v>
                </c:pt>
                <c:pt idx="73">
                  <c:v>2.8000000000000018E-2</c:v>
                </c:pt>
                <c:pt idx="74">
                  <c:v>2.9000000000000019E-2</c:v>
                </c:pt>
                <c:pt idx="75">
                  <c:v>3.000000000000002E-2</c:v>
                </c:pt>
                <c:pt idx="76">
                  <c:v>3.1000000000000021E-2</c:v>
                </c:pt>
                <c:pt idx="77">
                  <c:v>3.2000000000000021E-2</c:v>
                </c:pt>
                <c:pt idx="78">
                  <c:v>3.3000000000000022E-2</c:v>
                </c:pt>
                <c:pt idx="79">
                  <c:v>3.4000000000000023E-2</c:v>
                </c:pt>
                <c:pt idx="80">
                  <c:v>3.5000000000000024E-2</c:v>
                </c:pt>
                <c:pt idx="81">
                  <c:v>3.6000000000000025E-2</c:v>
                </c:pt>
                <c:pt idx="82">
                  <c:v>3.7000000000000026E-2</c:v>
                </c:pt>
                <c:pt idx="83">
                  <c:v>3.8000000000000027E-2</c:v>
                </c:pt>
                <c:pt idx="84">
                  <c:v>3.9000000000000028E-2</c:v>
                </c:pt>
                <c:pt idx="85">
                  <c:v>4.0000000000000029E-2</c:v>
                </c:pt>
                <c:pt idx="86">
                  <c:v>4.1000000000000029E-2</c:v>
                </c:pt>
                <c:pt idx="87">
                  <c:v>4.200000000000003E-2</c:v>
                </c:pt>
                <c:pt idx="88">
                  <c:v>4.3000000000000031E-2</c:v>
                </c:pt>
                <c:pt idx="89">
                  <c:v>4.4000000000000032E-2</c:v>
                </c:pt>
                <c:pt idx="90">
                  <c:v>4.5000000000000033E-2</c:v>
                </c:pt>
              </c:numCache>
            </c:numRef>
          </c:xVal>
          <c:yVal>
            <c:numRef>
              <c:f>'Notes | Quant Analysis'!$U$214:$U$304</c:f>
              <c:numCache>
                <c:formatCode>General</c:formatCode>
                <c:ptCount val="91"/>
                <c:pt idx="0">
                  <c:v>7.9451930057095277E-2</c:v>
                </c:pt>
                <c:pt idx="1">
                  <c:v>0.10275504248552476</c:v>
                </c:pt>
                <c:pt idx="2">
                  <c:v>0.13213828247574319</c:v>
                </c:pt>
                <c:pt idx="3">
                  <c:v>0.16895886945706853</c:v>
                </c:pt>
                <c:pt idx="4">
                  <c:v>0.21481279955772051</c:v>
                </c:pt>
                <c:pt idx="5">
                  <c:v>0.27156021147656267</c:v>
                </c:pt>
                <c:pt idx="6">
                  <c:v>0.34134924310304549</c:v>
                </c:pt>
                <c:pt idx="7">
                  <c:v>0.42663705524682072</c:v>
                </c:pt>
                <c:pt idx="8">
                  <c:v>0.53020647221491168</c:v>
                </c:pt>
                <c:pt idx="9">
                  <c:v>0.65517648165426456</c:v>
                </c:pt>
                <c:pt idx="10">
                  <c:v>0.80500466491070222</c:v>
                </c:pt>
                <c:pt idx="11">
                  <c:v>0.98347951300960823</c:v>
                </c:pt>
                <c:pt idx="12">
                  <c:v>1.1947005423227863</c:v>
                </c:pt>
                <c:pt idx="13">
                  <c:v>1.4430441782556664</c:v>
                </c:pt>
                <c:pt idx="14">
                  <c:v>1.7331135438309455</c:v>
                </c:pt>
                <c:pt idx="15">
                  <c:v>2.0696705889826683</c:v>
                </c:pt>
                <c:pt idx="16">
                  <c:v>2.4575494372528643</c:v>
                </c:pt>
                <c:pt idx="17">
                  <c:v>2.9015504145807385</c:v>
                </c:pt>
                <c:pt idx="18">
                  <c:v>3.4063149571171873</c:v>
                </c:pt>
                <c:pt idx="19">
                  <c:v>3.9761824591130663</c:v>
                </c:pt>
                <c:pt idx="20">
                  <c:v>4.6150310950241948</c:v>
                </c:pt>
                <c:pt idx="21">
                  <c:v>5.3261056981848354</c:v>
                </c:pt>
                <c:pt idx="22">
                  <c:v>6.1118368571685151</c:v>
                </c:pt>
                <c:pt idx="23">
                  <c:v>6.9736564461440675</c:v>
                </c:pt>
                <c:pt idx="24">
                  <c:v>7.9118157754367626</c:v>
                </c:pt>
                <c:pt idx="25">
                  <c:v>8.9252133667291975</c:v>
                </c:pt>
                <c:pt idx="26">
                  <c:v>10.011239956509092</c:v>
                </c:pt>
                <c:pt idx="27">
                  <c:v>11.165648647464096</c:v>
                </c:pt>
                <c:pt idx="28">
                  <c:v>12.382458104582861</c:v>
                </c:pt>
                <c:pt idx="29">
                  <c:v>13.653896287672541</c:v>
                </c:pt>
                <c:pt idx="30">
                  <c:v>14.970391399170955</c:v>
                </c:pt>
                <c:pt idx="31">
                  <c:v>16.320615501092565</c:v>
                </c:pt>
                <c:pt idx="32">
                  <c:v>17.691584637319281</c:v>
                </c:pt>
                <c:pt idx="33">
                  <c:v>19.068817332291566</c:v>
                </c:pt>
                <c:pt idx="34">
                  <c:v>20.436551094716769</c:v>
                </c:pt>
                <c:pt idx="35">
                  <c:v>21.778014128547813</c:v>
                </c:pt>
                <c:pt idx="36">
                  <c:v>23.075746955760319</c:v>
                </c:pt>
                <c:pt idx="37">
                  <c:v>24.31196621253434</c:v>
                </c:pt>
                <c:pt idx="38">
                  <c:v>25.46896062505558</c:v>
                </c:pt>
                <c:pt idx="39">
                  <c:v>26.529507234546301</c:v>
                </c:pt>
                <c:pt idx="40">
                  <c:v>27.477294444590893</c:v>
                </c:pt>
                <c:pt idx="41">
                  <c:v>28.297337510259602</c:v>
                </c:pt>
                <c:pt idx="42">
                  <c:v>28.976371754942452</c:v>
                </c:pt>
                <c:pt idx="43">
                  <c:v>29.503209132038897</c:v>
                </c:pt>
                <c:pt idx="44">
                  <c:v>29.869044753163788</c:v>
                </c:pt>
                <c:pt idx="45">
                  <c:v>30.067701652451042</c:v>
                </c:pt>
                <c:pt idx="46">
                  <c:v>30.095804280286409</c:v>
                </c:pt>
                <c:pt idx="47">
                  <c:v>29.952873917334962</c:v>
                </c:pt>
                <c:pt idx="48">
                  <c:v>29.641342240202306</c:v>
                </c:pt>
                <c:pt idx="49">
                  <c:v>29.166482501565287</c:v>
                </c:pt>
                <c:pt idx="50">
                  <c:v>28.53626104640032</c:v>
                </c:pt>
                <c:pt idx="51">
                  <c:v>27.761115006606474</c:v>
                </c:pt>
                <c:pt idx="52">
                  <c:v>26.853664841997567</c:v>
                </c:pt>
                <c:pt idx="53">
                  <c:v>25.828372787625121</c:v>
                </c:pt>
                <c:pt idx="54">
                  <c:v>24.70116011346375</c:v>
                </c:pt>
                <c:pt idx="55">
                  <c:v>23.488997323276021</c:v>
                </c:pt>
                <c:pt idx="56">
                  <c:v>22.209481972531901</c:v>
                </c:pt>
                <c:pt idx="57">
                  <c:v>20.880418666559631</c:v>
                </c:pt>
                <c:pt idx="58">
                  <c:v>19.519415042925917</c:v>
                </c:pt>
                <c:pt idx="59">
                  <c:v>18.1435062134268</c:v>
                </c:pt>
                <c:pt idx="60">
                  <c:v>16.768818336210032</c:v>
                </c:pt>
                <c:pt idx="61">
                  <c:v>15.410279823596643</c:v>
                </c:pt>
                <c:pt idx="62">
                  <c:v>14.081386295046416</c:v>
                </c:pt>
                <c:pt idx="63">
                  <c:v>12.794022890586374</c:v>
                </c:pt>
                <c:pt idx="64">
                  <c:v>11.558345097043398</c:v>
                </c:pt>
                <c:pt idx="65">
                  <c:v>10.382716925314254</c:v>
                </c:pt>
                <c:pt idx="66">
                  <c:v>9.2737032118442215</c:v>
                </c:pt>
                <c:pt idx="67">
                  <c:v>8.2361110796169701</c:v>
                </c:pt>
                <c:pt idx="68">
                  <c:v>7.2730742367212011</c:v>
                </c:pt>
                <c:pt idx="69">
                  <c:v>6.3861728418433854</c:v>
                </c:pt>
                <c:pt idx="70">
                  <c:v>5.5755811290571025</c:v>
                </c:pt>
                <c:pt idx="71">
                  <c:v>4.8402348399564401</c:v>
                </c:pt>
                <c:pt idx="72">
                  <c:v>4.1780107216734876</c:v>
                </c:pt>
                <c:pt idx="73">
                  <c:v>3.5859108623769886</c:v>
                </c:pt>
                <c:pt idx="74">
                  <c:v>3.0602453895597121</c:v>
                </c:pt>
                <c:pt idx="75">
                  <c:v>2.596807984007429</c:v>
                </c:pt>
                <c:pt idx="76">
                  <c:v>2.1910396966463441</c:v>
                </c:pt>
                <c:pt idx="77">
                  <c:v>1.8381776328832165</c:v>
                </c:pt>
                <c:pt idx="78">
                  <c:v>1.5333861326970575</c:v>
                </c:pt>
                <c:pt idx="79">
                  <c:v>1.2718690767481622</c:v>
                </c:pt>
                <c:pt idx="80">
                  <c:v>1.0489628516977136</c:v>
                </c:pt>
                <c:pt idx="81">
                  <c:v>0.86021028530209365</c:v>
                </c:pt>
                <c:pt idx="82">
                  <c:v>0.70141649792449234</c:v>
                </c:pt>
                <c:pt idx="83">
                  <c:v>0.56868810604340547</c:v>
                </c:pt>
                <c:pt idx="84">
                  <c:v>0.45845755784778347</c:v>
                </c:pt>
                <c:pt idx="85">
                  <c:v>0.36749459074285551</c:v>
                </c:pt>
                <c:pt idx="86">
                  <c:v>0.29290689036695283</c:v>
                </c:pt>
                <c:pt idx="87">
                  <c:v>0.23213201875318745</c:v>
                </c:pt>
                <c:pt idx="88">
                  <c:v>0.18292258552114754</c:v>
                </c:pt>
                <c:pt idx="89">
                  <c:v>0.14332648071107207</c:v>
                </c:pt>
                <c:pt idx="90">
                  <c:v>0.11166379044577983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Analysis'!$W$214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6.4946327812243854E-2"/>
                  <c:y val="-3.23412161165876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887874302439737"/>
                      <c:h val="7.22102348666997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Analysis'!$X$214:$X$215</c:f>
              <c:numCache>
                <c:formatCode>0.00%</c:formatCode>
                <c:ptCount val="2"/>
                <c:pt idx="0">
                  <c:v>6.6404874646711011E-4</c:v>
                </c:pt>
                <c:pt idx="1">
                  <c:v>6.6404874646711011E-4</c:v>
                </c:pt>
              </c:numCache>
            </c:numRef>
          </c:xVal>
          <c:yVal>
            <c:numRef>
              <c:f>'Notes | Quant Analysis'!$Y$214:$Y$215</c:f>
              <c:numCache>
                <c:formatCode>General</c:formatCode>
                <c:ptCount val="2"/>
                <c:pt idx="0">
                  <c:v>0</c:v>
                </c:pt>
                <c:pt idx="1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Analysis'!$W$216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Analysis'!$X$216:$X$217</c:f>
              <c:numCache>
                <c:formatCode>0.00%</c:formatCode>
                <c:ptCount val="2"/>
                <c:pt idx="0">
                  <c:v>-3.9090405998877302E-2</c:v>
                </c:pt>
                <c:pt idx="1">
                  <c:v>-3.9090405998877302E-2</c:v>
                </c:pt>
              </c:numCache>
            </c:numRef>
          </c:xVal>
          <c:yVal>
            <c:numRef>
              <c:f>'Notes | Quant Analysis'!$Y$216:$Y$217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Analysis'!$W$218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5.9747497977902859E-2"/>
                  <c:y val="-6.09182215800858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Analysis'!$X$218:$X$219</c:f>
              <c:numCache>
                <c:formatCode>0.00%</c:formatCode>
                <c:ptCount val="2"/>
                <c:pt idx="0">
                  <c:v>-2.5838921083762498E-2</c:v>
                </c:pt>
                <c:pt idx="1">
                  <c:v>-2.5838921083762498E-2</c:v>
                </c:pt>
              </c:numCache>
            </c:numRef>
          </c:xVal>
          <c:yVal>
            <c:numRef>
              <c:f>'Notes | Quant Analysis'!$Y$218:$Y$219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Analysis'!$W$220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Analysis'!$X$220:$X$221</c:f>
              <c:numCache>
                <c:formatCode>0.00%</c:formatCode>
                <c:ptCount val="2"/>
                <c:pt idx="0">
                  <c:v>-1.2587436168647693E-2</c:v>
                </c:pt>
                <c:pt idx="1">
                  <c:v>-1.2587436168647693E-2</c:v>
                </c:pt>
              </c:numCache>
            </c:numRef>
          </c:xVal>
          <c:yVal>
            <c:numRef>
              <c:f>'Notes | Quant Analysis'!$Y$220:$Y$221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Analysis'!$W$222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Analysis'!$X$222:$X$223</c:f>
              <c:numCache>
                <c:formatCode>0.00%</c:formatCode>
                <c:ptCount val="2"/>
                <c:pt idx="0">
                  <c:v>1.3915533661581915E-2</c:v>
                </c:pt>
                <c:pt idx="1">
                  <c:v>1.3915533661581915E-2</c:v>
                </c:pt>
              </c:numCache>
            </c:numRef>
          </c:xVal>
          <c:yVal>
            <c:numRef>
              <c:f>'Notes | Quant Analysis'!$Y$222:$Y$223</c:f>
              <c:numCache>
                <c:formatCode>General</c:formatCode>
                <c:ptCount val="2"/>
                <c:pt idx="0">
                  <c:v>0</c:v>
                </c:pt>
                <c:pt idx="1">
                  <c:v>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Analysis'!$W$224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Analysis'!$X$224:$X$225</c:f>
              <c:numCache>
                <c:formatCode>0.00%</c:formatCode>
                <c:ptCount val="2"/>
                <c:pt idx="0">
                  <c:v>2.7167018576696719E-2</c:v>
                </c:pt>
                <c:pt idx="1">
                  <c:v>2.7167018576696719E-2</c:v>
                </c:pt>
              </c:numCache>
            </c:numRef>
          </c:xVal>
          <c:yVal>
            <c:numRef>
              <c:f>'Notes | Quant Analysis'!$Y$224:$Y$225</c:f>
              <c:numCache>
                <c:formatCode>General</c:formatCode>
                <c:ptCount val="2"/>
                <c:pt idx="0">
                  <c:v>0</c:v>
                </c:pt>
                <c:pt idx="1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Analysis'!$W$226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Analysis'!$X$226:$X$227</c:f>
              <c:numCache>
                <c:formatCode>0.00%</c:formatCode>
                <c:ptCount val="2"/>
                <c:pt idx="0">
                  <c:v>4.0418503491811524E-2</c:v>
                </c:pt>
                <c:pt idx="1">
                  <c:v>4.0418503491811524E-2</c:v>
                </c:pt>
              </c:numCache>
            </c:numRef>
          </c:xVal>
          <c:yVal>
            <c:numRef>
              <c:f>'Notes | Quant Analysis'!$Y$226:$Y$227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5.000000000000001E-2"/>
          <c:min val="-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(BSX)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00B05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  <c:extLst xmlns:c15="http://schemas.microsoft.com/office/drawing/2012/chart"/>
            </c:strRef>
          </c:cat>
          <c:val>
            <c:numRef>
              <c:f>Model!$BG$61:$BR$61</c:f>
              <c:numCache>
                <c:formatCode>General</c:formatCode>
                <c:ptCount val="12"/>
                <c:pt idx="0">
                  <c:v>8004</c:v>
                </c:pt>
                <c:pt idx="1">
                  <c:v>8852</c:v>
                </c:pt>
                <c:pt idx="2">
                  <c:v>9790</c:v>
                </c:pt>
                <c:pt idx="3">
                  <c:v>9366</c:v>
                </c:pt>
                <c:pt idx="4">
                  <c:v>13066</c:v>
                </c:pt>
                <c:pt idx="5">
                  <c:v>10897</c:v>
                </c:pt>
                <c:pt idx="6">
                  <c:v>-2442</c:v>
                </c:pt>
                <c:pt idx="7">
                  <c:v>2536</c:v>
                </c:pt>
                <c:pt idx="8">
                  <c:v>3553</c:v>
                </c:pt>
                <c:pt idx="9">
                  <c:v>3390</c:v>
                </c:pt>
                <c:pt idx="10">
                  <c:v>5773</c:v>
                </c:pt>
                <c:pt idx="11">
                  <c:v>13431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D-4777-949F-4E453494151A}"/>
            </c:ext>
          </c:extLst>
        </c:ser>
        <c:ser>
          <c:idx val="2"/>
          <c:order val="2"/>
          <c:tx>
            <c:v>FCF</c:v>
          </c:tx>
          <c:spPr>
            <a:solidFill>
              <a:srgbClr val="FFC000"/>
            </a:solidFill>
          </c:spPr>
          <c:invertIfNegative val="0"/>
          <c:cat>
            <c:strRef>
              <c:f>[2]Model!$AW$3:$BQ$3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  <c:extLst xmlns:c15="http://schemas.microsoft.com/office/drawing/2012/chart"/>
            </c:strRef>
          </c:cat>
          <c:val>
            <c:numRef>
              <c:f>Model!$BG$110:$BR$110</c:f>
              <c:numCache>
                <c:formatCode>General</c:formatCode>
                <c:ptCount val="12"/>
                <c:pt idx="0">
                  <c:v>6469</c:v>
                </c:pt>
                <c:pt idx="1">
                  <c:v>7120</c:v>
                </c:pt>
                <c:pt idx="2">
                  <c:v>7513</c:v>
                </c:pt>
                <c:pt idx="3">
                  <c:v>8860</c:v>
                </c:pt>
                <c:pt idx="4">
                  <c:v>9830</c:v>
                </c:pt>
                <c:pt idx="5">
                  <c:v>1108</c:v>
                </c:pt>
                <c:pt idx="6">
                  <c:v>3594</c:v>
                </c:pt>
                <c:pt idx="7">
                  <c:v>1988</c:v>
                </c:pt>
                <c:pt idx="8">
                  <c:v>1059</c:v>
                </c:pt>
                <c:pt idx="9">
                  <c:v>4897</c:v>
                </c:pt>
                <c:pt idx="10">
                  <c:v>8059</c:v>
                </c:pt>
                <c:pt idx="11">
                  <c:v>10077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D-4777-949F-4E4534941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Model!$BG$3:$BR$3</c:f>
              <c:numCache>
                <c:formatCode>General</c:formatCode>
                <c:ptCount val="12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</c:numCache>
            </c:numRef>
          </c:cat>
          <c:val>
            <c:numRef>
              <c:f>Model!$BG$46:$BR$46</c:f>
              <c:numCache>
                <c:formatCode>General</c:formatCode>
                <c:ptCount val="12"/>
                <c:pt idx="0">
                  <c:v>48813</c:v>
                </c:pt>
                <c:pt idx="1">
                  <c:v>52465</c:v>
                </c:pt>
                <c:pt idx="2">
                  <c:v>55632</c:v>
                </c:pt>
                <c:pt idx="3">
                  <c:v>55137</c:v>
                </c:pt>
                <c:pt idx="4">
                  <c:v>59434</c:v>
                </c:pt>
                <c:pt idx="5">
                  <c:v>69607</c:v>
                </c:pt>
                <c:pt idx="6">
                  <c:v>65388</c:v>
                </c:pt>
                <c:pt idx="7">
                  <c:v>67418</c:v>
                </c:pt>
                <c:pt idx="8">
                  <c:v>82722</c:v>
                </c:pt>
                <c:pt idx="9">
                  <c:v>88898</c:v>
                </c:pt>
                <c:pt idx="10">
                  <c:v>91361</c:v>
                </c:pt>
                <c:pt idx="11">
                  <c:v>94425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2D-4777-949F-4E4534941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9524</xdr:colOff>
      <xdr:row>2</xdr:row>
      <xdr:rowOff>9525</xdr:rowOff>
    </xdr:from>
    <xdr:to>
      <xdr:col>9</xdr:col>
      <xdr:colOff>4481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0A41AF-4F31-29A4-42CD-C41B0AE85D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26" r="5338"/>
        <a:stretch>
          <a:fillRect/>
        </a:stretch>
      </xdr:blipFill>
      <xdr:spPr>
        <a:xfrm>
          <a:off x="3448049" y="381000"/>
          <a:ext cx="1819275" cy="1076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51</xdr:col>
      <xdr:colOff>0</xdr:colOff>
      <xdr:row>0</xdr:row>
      <xdr:rowOff>0</xdr:rowOff>
    </xdr:from>
    <xdr:to>
      <xdr:col>51</xdr:col>
      <xdr:colOff>0</xdr:colOff>
      <xdr:row>120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A774479-E594-444E-9531-A200A913F107}"/>
            </a:ext>
          </a:extLst>
        </xdr:cNvPr>
        <xdr:cNvCxnSpPr/>
      </xdr:nvCxnSpPr>
      <xdr:spPr>
        <a:xfrm>
          <a:off x="45182118" y="0"/>
          <a:ext cx="0" cy="187541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0</xdr:colOff>
      <xdr:row>0</xdr:row>
      <xdr:rowOff>0</xdr:rowOff>
    </xdr:from>
    <xdr:to>
      <xdr:col>70</xdr:col>
      <xdr:colOff>0</xdr:colOff>
      <xdr:row>119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6A72968-9F31-446F-881C-919E5708ADB6}"/>
            </a:ext>
          </a:extLst>
        </xdr:cNvPr>
        <xdr:cNvCxnSpPr/>
      </xdr:nvCxnSpPr>
      <xdr:spPr>
        <a:xfrm>
          <a:off x="64817625" y="0"/>
          <a:ext cx="0" cy="233934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74BBAA-4B76-40FC-A8E5-A62056E8DD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68</xdr:row>
      <xdr:rowOff>190499</xdr:rowOff>
    </xdr:from>
    <xdr:to>
      <xdr:col>31</xdr:col>
      <xdr:colOff>0</xdr:colOff>
      <xdr:row>100</xdr:row>
      <xdr:rowOff>7792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CACC48-669E-41B7-B839-EFB569D57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B2192C7-8206-448C-A3CC-25F4EB4BAD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0</xdr:colOff>
      <xdr:row>170</xdr:row>
      <xdr:rowOff>0</xdr:rowOff>
    </xdr:from>
    <xdr:to>
      <xdr:col>31</xdr:col>
      <xdr:colOff>0</xdr:colOff>
      <xdr:row>198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61AAFD2-AEF5-49A4-808A-3D720B902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1A84755-CD83-4DC4-A11D-B8B5A1797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204106</xdr:colOff>
      <xdr:row>35</xdr:row>
      <xdr:rowOff>190499</xdr:rowOff>
    </xdr:from>
    <xdr:to>
      <xdr:col>25</xdr:col>
      <xdr:colOff>13607</xdr:colOff>
      <xdr:row>63</xdr:row>
      <xdr:rowOff>174771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EEBA1A-29C5-582F-CE23-4D59B99C6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106" y="6408963"/>
          <a:ext cx="5524501" cy="4950879"/>
        </a:xfrm>
        <a:prstGeom prst="rect">
          <a:avLst/>
        </a:prstGeom>
      </xdr:spPr>
    </xdr:pic>
    <xdr:clientData/>
  </xdr:twoCellAnchor>
  <xdr:twoCellAnchor editAs="oneCell">
    <xdr:from>
      <xdr:col>16</xdr:col>
      <xdr:colOff>13608</xdr:colOff>
      <xdr:row>2</xdr:row>
      <xdr:rowOff>13608</xdr:rowOff>
    </xdr:from>
    <xdr:to>
      <xdr:col>26</xdr:col>
      <xdr:colOff>2682</xdr:colOff>
      <xdr:row>28</xdr:row>
      <xdr:rowOff>40822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29459A4-348B-AEC6-CE4C-19B1CEB12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7715" y="381001"/>
          <a:ext cx="6112288" cy="462642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13607</xdr:rowOff>
    </xdr:from>
    <xdr:to>
      <xdr:col>36</xdr:col>
      <xdr:colOff>0</xdr:colOff>
      <xdr:row>34</xdr:row>
      <xdr:rowOff>190499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7B74E9-F259-5FC4-A046-16CAE2165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27321" y="381000"/>
          <a:ext cx="6123215" cy="58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SYK_Model.xlsx" TargetMode="External"/><Relationship Id="rId1" Type="http://schemas.openxmlformats.org/officeDocument/2006/relationships/externalLinkPath" Target="https://d.docs.live.net/Users/User/Desktop/Equity%20Research/Models/Health%20Care/MedTech/SYK_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file:///C:\Users\User\Desktop\Equity%20Research\Models\Health%20Care\MedTech\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Notes | Quant Analysis"/>
      <sheetName val="M&amp;A"/>
      <sheetName val="Management"/>
      <sheetName val="Markets | Product Lines"/>
      <sheetName val="Debt Schedule"/>
    </sheetNames>
    <sheetDataSet>
      <sheetData sheetId="0"/>
      <sheetData sheetId="1">
        <row r="1">
          <cell r="AY1" t="str">
            <v>Q1 2021</v>
          </cell>
          <cell r="BC1" t="str">
            <v>Q1 2022</v>
          </cell>
          <cell r="BG1" t="str">
            <v>Q1 2023</v>
          </cell>
          <cell r="BK1" t="str">
            <v>Q1 2024</v>
          </cell>
          <cell r="BO1" t="str">
            <v>Q1 2025</v>
          </cell>
        </row>
        <row r="4">
          <cell r="B4" t="str">
            <v>Instruments</v>
          </cell>
          <cell r="AW4">
            <v>467</v>
          </cell>
          <cell r="AX4">
            <v>555</v>
          </cell>
          <cell r="AY4">
            <v>469</v>
          </cell>
          <cell r="AZ4">
            <v>517</v>
          </cell>
          <cell r="BA4">
            <v>525</v>
          </cell>
          <cell r="BB4">
            <v>600</v>
          </cell>
          <cell r="BC4">
            <v>528</v>
          </cell>
          <cell r="BD4">
            <v>563</v>
          </cell>
          <cell r="BE4">
            <v>535</v>
          </cell>
          <cell r="BF4">
            <v>653</v>
          </cell>
          <cell r="BG4">
            <v>566</v>
          </cell>
          <cell r="BH4">
            <v>622</v>
          </cell>
          <cell r="BI4">
            <v>620</v>
          </cell>
          <cell r="BJ4">
            <v>726</v>
          </cell>
          <cell r="BK4">
            <v>667</v>
          </cell>
          <cell r="BL4">
            <v>698</v>
          </cell>
          <cell r="BM4">
            <v>679</v>
          </cell>
          <cell r="BN4">
            <v>790</v>
          </cell>
          <cell r="BO4">
            <v>730</v>
          </cell>
          <cell r="BP4"/>
          <cell r="BQ4"/>
        </row>
        <row r="5">
          <cell r="B5" t="str">
            <v>Endoscopy</v>
          </cell>
          <cell r="AW5">
            <v>467</v>
          </cell>
          <cell r="AX5">
            <v>525</v>
          </cell>
          <cell r="AY5">
            <v>469</v>
          </cell>
          <cell r="AZ5">
            <v>518</v>
          </cell>
          <cell r="BA5">
            <v>525</v>
          </cell>
          <cell r="BB5">
            <v>629</v>
          </cell>
          <cell r="BC5">
            <v>538</v>
          </cell>
          <cell r="BD5">
            <v>600</v>
          </cell>
          <cell r="BE5">
            <v>590</v>
          </cell>
          <cell r="BF5">
            <v>997</v>
          </cell>
          <cell r="BG5">
            <v>707</v>
          </cell>
          <cell r="BH5">
            <v>713</v>
          </cell>
          <cell r="BI5">
            <v>746</v>
          </cell>
          <cell r="BJ5">
            <v>902</v>
          </cell>
          <cell r="BK5">
            <v>778</v>
          </cell>
          <cell r="BL5">
            <v>768</v>
          </cell>
          <cell r="BM5">
            <v>837</v>
          </cell>
          <cell r="BN5">
            <v>1006</v>
          </cell>
          <cell r="BO5">
            <v>867</v>
          </cell>
          <cell r="BP5"/>
          <cell r="BQ5"/>
        </row>
        <row r="6">
          <cell r="B6" t="str">
            <v>Medical</v>
          </cell>
          <cell r="AW6">
            <v>600</v>
          </cell>
          <cell r="AX6">
            <v>705</v>
          </cell>
          <cell r="AY6">
            <v>622</v>
          </cell>
          <cell r="AZ6">
            <v>640</v>
          </cell>
          <cell r="BA6">
            <v>636</v>
          </cell>
          <cell r="BB6">
            <v>709</v>
          </cell>
          <cell r="BC6">
            <v>664</v>
          </cell>
          <cell r="BD6">
            <v>666</v>
          </cell>
          <cell r="BE6">
            <v>765</v>
          </cell>
          <cell r="BF6">
            <v>936</v>
          </cell>
          <cell r="BG6">
            <v>778</v>
          </cell>
          <cell r="BH6">
            <v>841</v>
          </cell>
          <cell r="BI6">
            <v>798</v>
          </cell>
          <cell r="BJ6">
            <v>1042</v>
          </cell>
          <cell r="BK6">
            <v>864</v>
          </cell>
          <cell r="BL6">
            <v>908</v>
          </cell>
          <cell r="BM6">
            <v>938</v>
          </cell>
          <cell r="BN6">
            <v>1142</v>
          </cell>
          <cell r="BO6">
            <v>945</v>
          </cell>
          <cell r="BP6"/>
          <cell r="BQ6"/>
        </row>
        <row r="7">
          <cell r="B7" t="str">
            <v>Vascular</v>
          </cell>
          <cell r="AW7">
            <v>66</v>
          </cell>
          <cell r="AX7">
            <v>82</v>
          </cell>
          <cell r="AY7">
            <v>289</v>
          </cell>
          <cell r="AZ7">
            <v>301</v>
          </cell>
          <cell r="BA7">
            <v>295</v>
          </cell>
          <cell r="BB7">
            <v>303</v>
          </cell>
          <cell r="BC7">
            <v>301</v>
          </cell>
          <cell r="BD7">
            <v>306</v>
          </cell>
          <cell r="BE7">
            <v>294</v>
          </cell>
          <cell r="BF7">
            <v>299</v>
          </cell>
          <cell r="BG7">
            <v>284</v>
          </cell>
          <cell r="BH7">
            <v>311</v>
          </cell>
          <cell r="BI7">
            <v>311</v>
          </cell>
          <cell r="BJ7">
            <v>320</v>
          </cell>
          <cell r="BK7">
            <v>310</v>
          </cell>
          <cell r="BL7">
            <v>327</v>
          </cell>
          <cell r="BM7">
            <v>329</v>
          </cell>
          <cell r="BN7">
            <v>341</v>
          </cell>
          <cell r="BO7">
            <v>406</v>
          </cell>
          <cell r="BP7"/>
          <cell r="BQ7"/>
        </row>
        <row r="8">
          <cell r="B8" t="str">
            <v>Neuro Cranial</v>
          </cell>
          <cell r="AW8">
            <v>518</v>
          </cell>
          <cell r="AX8">
            <v>312</v>
          </cell>
          <cell r="AY8">
            <v>281</v>
          </cell>
          <cell r="AZ8">
            <v>310</v>
          </cell>
          <cell r="BA8">
            <v>299</v>
          </cell>
          <cell r="BB8">
            <v>324</v>
          </cell>
          <cell r="BC8">
            <v>323</v>
          </cell>
          <cell r="BD8">
            <v>337</v>
          </cell>
          <cell r="BE8">
            <v>332</v>
          </cell>
          <cell r="BF8">
            <v>384</v>
          </cell>
          <cell r="BG8">
            <v>355</v>
          </cell>
          <cell r="BH8">
            <v>373</v>
          </cell>
          <cell r="BI8">
            <v>384</v>
          </cell>
          <cell r="BJ8">
            <v>764</v>
          </cell>
          <cell r="BK8">
            <v>478</v>
          </cell>
          <cell r="BL8">
            <v>416</v>
          </cell>
          <cell r="BM8">
            <v>441</v>
          </cell>
          <cell r="BN8">
            <v>801</v>
          </cell>
          <cell r="BO8">
            <v>563</v>
          </cell>
          <cell r="BP8"/>
          <cell r="BQ8"/>
        </row>
        <row r="10">
          <cell r="B10" t="str">
            <v>Knees</v>
          </cell>
          <cell r="AW10">
            <v>435</v>
          </cell>
          <cell r="AX10">
            <v>459</v>
          </cell>
          <cell r="AY10">
            <v>412</v>
          </cell>
          <cell r="AZ10">
            <v>474</v>
          </cell>
          <cell r="BA10">
            <v>439</v>
          </cell>
          <cell r="BB10">
            <v>523</v>
          </cell>
          <cell r="BC10">
            <v>464</v>
          </cell>
          <cell r="BD10">
            <v>500</v>
          </cell>
          <cell r="BE10">
            <v>481</v>
          </cell>
          <cell r="BF10">
            <v>552</v>
          </cell>
          <cell r="BG10">
            <v>566</v>
          </cell>
          <cell r="BH10">
            <v>562</v>
          </cell>
          <cell r="BI10">
            <v>515</v>
          </cell>
          <cell r="BJ10">
            <v>630</v>
          </cell>
          <cell r="BK10">
            <v>588</v>
          </cell>
          <cell r="BL10">
            <v>602</v>
          </cell>
          <cell r="BM10">
            <v>570</v>
          </cell>
          <cell r="BN10">
            <v>687</v>
          </cell>
          <cell r="BO10">
            <v>639</v>
          </cell>
          <cell r="BP10"/>
          <cell r="BQ10"/>
        </row>
        <row r="11">
          <cell r="B11" t="str">
            <v>Hips</v>
          </cell>
          <cell r="AW11">
            <v>334</v>
          </cell>
          <cell r="AX11">
            <v>340</v>
          </cell>
          <cell r="AY11">
            <v>309</v>
          </cell>
          <cell r="AZ11">
            <v>353</v>
          </cell>
          <cell r="BA11">
            <v>328</v>
          </cell>
          <cell r="BB11">
            <v>352</v>
          </cell>
          <cell r="BC11">
            <v>327</v>
          </cell>
          <cell r="BD11">
            <v>364</v>
          </cell>
          <cell r="BE11">
            <v>347</v>
          </cell>
          <cell r="BF11">
            <v>375</v>
          </cell>
          <cell r="BG11">
            <v>375</v>
          </cell>
          <cell r="BH11">
            <v>393</v>
          </cell>
          <cell r="BI11">
            <v>362</v>
          </cell>
          <cell r="BJ11">
            <v>414</v>
          </cell>
          <cell r="BK11">
            <v>393</v>
          </cell>
          <cell r="BL11">
            <v>428</v>
          </cell>
          <cell r="BM11">
            <v>420</v>
          </cell>
          <cell r="BN11">
            <v>463</v>
          </cell>
          <cell r="BO11">
            <v>443</v>
          </cell>
          <cell r="BP11"/>
          <cell r="BQ11"/>
        </row>
        <row r="12">
          <cell r="B12" t="str">
            <v>Trauma and Extremities</v>
          </cell>
          <cell r="AW12">
            <v>430</v>
          </cell>
          <cell r="AX12">
            <v>570</v>
          </cell>
          <cell r="AY12">
            <v>640</v>
          </cell>
          <cell r="AZ12">
            <v>674</v>
          </cell>
          <cell r="BA12">
            <v>639</v>
          </cell>
          <cell r="BB12">
            <v>711</v>
          </cell>
          <cell r="BC12">
            <v>685</v>
          </cell>
          <cell r="BD12">
            <v>676</v>
          </cell>
          <cell r="BE12">
            <v>672</v>
          </cell>
          <cell r="BF12">
            <v>774</v>
          </cell>
          <cell r="BG12">
            <v>769</v>
          </cell>
          <cell r="BH12">
            <v>766</v>
          </cell>
          <cell r="BI12">
            <v>752</v>
          </cell>
          <cell r="BJ12">
            <v>860</v>
          </cell>
          <cell r="BK12">
            <v>830</v>
          </cell>
          <cell r="BL12">
            <v>832</v>
          </cell>
          <cell r="BM12">
            <v>849</v>
          </cell>
          <cell r="BN12">
            <v>996</v>
          </cell>
          <cell r="BO12">
            <v>945</v>
          </cell>
          <cell r="BP12"/>
          <cell r="BQ12"/>
        </row>
        <row r="13">
          <cell r="B13" t="str">
            <v>Spinal Implants</v>
          </cell>
          <cell r="AW13">
            <v>302</v>
          </cell>
          <cell r="AX13">
            <v>307</v>
          </cell>
          <cell r="AY13">
            <v>278</v>
          </cell>
          <cell r="AZ13">
            <v>307</v>
          </cell>
          <cell r="BA13">
            <v>282</v>
          </cell>
          <cell r="BB13">
            <v>300</v>
          </cell>
          <cell r="BC13">
            <v>279</v>
          </cell>
          <cell r="BD13">
            <v>290</v>
          </cell>
          <cell r="BE13">
            <v>280</v>
          </cell>
          <cell r="BF13">
            <v>297</v>
          </cell>
          <cell r="BG13">
            <v>284</v>
          </cell>
          <cell r="BH13">
            <v>296</v>
          </cell>
          <cell r="BI13">
            <v>291</v>
          </cell>
          <cell r="BJ13">
            <v>122</v>
          </cell>
          <cell r="BK13">
            <v>171</v>
          </cell>
          <cell r="BL13">
            <v>307</v>
          </cell>
          <cell r="BM13">
            <v>304</v>
          </cell>
          <cell r="BN13">
            <v>85</v>
          </cell>
          <cell r="BO13">
            <v>166</v>
          </cell>
          <cell r="BP13"/>
          <cell r="BQ13"/>
        </row>
        <row r="14">
          <cell r="B14" t="str">
            <v>Other</v>
          </cell>
          <cell r="AW14">
            <v>118</v>
          </cell>
          <cell r="AX14">
            <v>157</v>
          </cell>
          <cell r="AY14">
            <v>123</v>
          </cell>
          <cell r="AZ14">
            <v>127</v>
          </cell>
          <cell r="BA14">
            <v>123</v>
          </cell>
          <cell r="BB14">
            <v>176</v>
          </cell>
          <cell r="BC14">
            <v>97</v>
          </cell>
          <cell r="BD14">
            <v>114</v>
          </cell>
          <cell r="BE14">
            <v>111</v>
          </cell>
          <cell r="BF14">
            <v>153</v>
          </cell>
          <cell r="BG14">
            <v>94</v>
          </cell>
          <cell r="BH14">
            <v>119</v>
          </cell>
          <cell r="BI14">
            <v>130</v>
          </cell>
          <cell r="BJ14">
            <v>35</v>
          </cell>
          <cell r="BK14">
            <v>164</v>
          </cell>
          <cell r="BL14">
            <v>136</v>
          </cell>
          <cell r="BM14">
            <v>127</v>
          </cell>
          <cell r="BN14">
            <v>125</v>
          </cell>
          <cell r="BO14">
            <v>162</v>
          </cell>
          <cell r="BP14"/>
          <cell r="BQ14"/>
        </row>
      </sheetData>
      <sheetData sheetId="2">
        <row r="188">
          <cell r="I188" t="str">
            <v>Notes: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  <row r="50">
          <cell r="AW50">
            <v>2543</v>
          </cell>
          <cell r="AX50">
            <v>2003</v>
          </cell>
          <cell r="AY50">
            <v>2659</v>
          </cell>
          <cell r="AZ50">
            <v>2708</v>
          </cell>
          <cell r="BA50">
            <v>2752</v>
          </cell>
          <cell r="BB50">
            <v>3077</v>
          </cell>
          <cell r="BC50">
            <v>2932</v>
          </cell>
          <cell r="BD50">
            <v>3127</v>
          </cell>
          <cell r="BE50">
            <v>3026</v>
          </cell>
          <cell r="BF50">
            <v>3244</v>
          </cell>
          <cell r="BG50">
            <v>3170</v>
          </cell>
          <cell r="BH50">
            <v>3242</v>
          </cell>
          <cell r="BI50">
            <v>3389</v>
          </cell>
          <cell r="BJ50">
            <v>3599</v>
          </cell>
          <cell r="BK50">
            <v>3527</v>
          </cell>
          <cell r="BL50">
            <v>3725</v>
          </cell>
          <cell r="BM50">
            <v>3857</v>
          </cell>
          <cell r="BN50">
            <v>4120</v>
          </cell>
          <cell r="BO50">
            <v>4209</v>
          </cell>
          <cell r="BP50">
            <v>4561</v>
          </cell>
          <cell r="BQ50">
            <v>4663</v>
          </cell>
        </row>
        <row r="70">
          <cell r="AW70">
            <v>11</v>
          </cell>
          <cell r="AX70">
            <v>-152</v>
          </cell>
          <cell r="AY70">
            <v>-169</v>
          </cell>
          <cell r="AZ70">
            <v>196</v>
          </cell>
          <cell r="BA70">
            <v>327</v>
          </cell>
          <cell r="BB70">
            <v>172</v>
          </cell>
          <cell r="BC70">
            <v>405</v>
          </cell>
          <cell r="BD70">
            <v>80</v>
          </cell>
          <cell r="BE70">
            <v>97</v>
          </cell>
          <cell r="BF70">
            <v>246</v>
          </cell>
          <cell r="BG70">
            <v>174</v>
          </cell>
          <cell r="BH70">
            <v>124</v>
          </cell>
          <cell r="BI70">
            <v>300</v>
          </cell>
          <cell r="BJ70">
            <v>261</v>
          </cell>
          <cell r="BK70">
            <v>504</v>
          </cell>
          <cell r="BL70">
            <v>504</v>
          </cell>
          <cell r="BM70">
            <v>495</v>
          </cell>
          <cell r="BN70">
            <v>324</v>
          </cell>
          <cell r="BO70">
            <v>468</v>
          </cell>
          <cell r="BP70">
            <v>565</v>
          </cell>
          <cell r="BQ70">
            <v>674</v>
          </cell>
        </row>
        <row r="115">
          <cell r="AZ115">
            <v>1.4515077424612877</v>
          </cell>
          <cell r="BA115">
            <v>1.3834364868847628</v>
          </cell>
          <cell r="BB115">
            <v>1.3083722072182666</v>
          </cell>
          <cell r="BC115">
            <v>1.1499254102436598</v>
          </cell>
          <cell r="BD115">
            <v>1.1015679850222326</v>
          </cell>
          <cell r="BE115">
            <v>0.77889564810481982</v>
          </cell>
          <cell r="BF115">
            <v>0.85784187483904195</v>
          </cell>
          <cell r="BG115">
            <v>0.94561848408002258</v>
          </cell>
          <cell r="BH115">
            <v>1.0236655272153563</v>
          </cell>
          <cell r="BI115">
            <v>0.89468528043105555</v>
          </cell>
          <cell r="BJ115">
            <v>0.79701885138097328</v>
          </cell>
          <cell r="BK115">
            <v>0.89561039528281283</v>
          </cell>
          <cell r="BL115">
            <v>0.8169841913254966</v>
          </cell>
          <cell r="BM115">
            <v>1.1438161106590725</v>
          </cell>
          <cell r="BN115">
            <v>1.144906743185079</v>
          </cell>
          <cell r="BO115">
            <v>1.016579259008628</v>
          </cell>
          <cell r="BP115">
            <v>0.64223194748358858</v>
          </cell>
          <cell r="BQ115">
            <v>0.88335310399367339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disney.com/" TargetMode="External"/><Relationship Id="rId1" Type="http://schemas.openxmlformats.org/officeDocument/2006/relationships/hyperlink" Target="https://app.godelterminal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42"/>
  <sheetViews>
    <sheetView zoomScale="85" zoomScaleNormal="85" workbookViewId="0">
      <selection activeCell="E15" sqref="E15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0" style="1" customWidth="1"/>
    <col min="4" max="4" width="9.140625" style="1" customWidth="1"/>
    <col min="5" max="16384" width="9.140625" style="1"/>
  </cols>
  <sheetData>
    <row r="2" spans="2:18" ht="15">
      <c r="B2" s="2" t="s">
        <v>144</v>
      </c>
    </row>
    <row r="3" spans="2:18">
      <c r="B3" s="1" t="s">
        <v>0</v>
      </c>
      <c r="C3" s="78">
        <v>106</v>
      </c>
      <c r="D3" s="42" t="s">
        <v>143</v>
      </c>
    </row>
    <row r="4" spans="2:18">
      <c r="B4" s="1" t="s">
        <v>1</v>
      </c>
      <c r="C4" s="79">
        <v>1771.519</v>
      </c>
      <c r="D4" s="1" t="s">
        <v>142</v>
      </c>
    </row>
    <row r="5" spans="2:18">
      <c r="B5" s="1" t="s">
        <v>2</v>
      </c>
      <c r="C5" s="80">
        <f>C3*C4</f>
        <v>187781.014</v>
      </c>
    </row>
    <row r="6" spans="2:18">
      <c r="B6" s="1" t="s">
        <v>3</v>
      </c>
      <c r="C6" s="80">
        <v>5678</v>
      </c>
      <c r="D6" s="1" t="s">
        <v>142</v>
      </c>
    </row>
    <row r="7" spans="2:18">
      <c r="B7" s="1" t="s">
        <v>4</v>
      </c>
      <c r="C7" s="80">
        <f>35821+10819</f>
        <v>46640</v>
      </c>
      <c r="D7" s="1" t="s">
        <v>142</v>
      </c>
    </row>
    <row r="8" spans="2:18">
      <c r="B8" s="1" t="s">
        <v>5</v>
      </c>
      <c r="C8" s="80">
        <f>C5-C6+C7</f>
        <v>228743.014</v>
      </c>
    </row>
    <row r="10" spans="2:18" ht="15">
      <c r="B10" s="2" t="s">
        <v>145</v>
      </c>
    </row>
    <row r="12" spans="2:18" ht="15">
      <c r="B12" s="1" t="s">
        <v>911</v>
      </c>
      <c r="G12" s="1" t="s">
        <v>919</v>
      </c>
      <c r="N12" s="1" t="s">
        <v>97</v>
      </c>
      <c r="Q12" s="2"/>
    </row>
    <row r="13" spans="2:18">
      <c r="B13" s="1" t="s">
        <v>912</v>
      </c>
      <c r="G13" s="1" t="s">
        <v>920</v>
      </c>
      <c r="N13" s="1" t="s">
        <v>7</v>
      </c>
      <c r="Q13" s="43" t="s">
        <v>146</v>
      </c>
    </row>
    <row r="14" spans="2:18">
      <c r="B14" s="1" t="s">
        <v>913</v>
      </c>
      <c r="G14" s="1" t="s">
        <v>6</v>
      </c>
      <c r="N14" s="1" t="s">
        <v>101</v>
      </c>
      <c r="Q14" s="43" t="s">
        <v>147</v>
      </c>
    </row>
    <row r="15" spans="2:18">
      <c r="B15" s="1" t="s">
        <v>997</v>
      </c>
      <c r="G15" s="1" t="s">
        <v>94</v>
      </c>
      <c r="N15" s="1" t="s">
        <v>101</v>
      </c>
      <c r="Q15" s="43" t="s">
        <v>148</v>
      </c>
    </row>
    <row r="16" spans="2:18">
      <c r="B16" s="1" t="s">
        <v>914</v>
      </c>
      <c r="G16" s="1" t="s">
        <v>88</v>
      </c>
      <c r="H16" s="1" t="s">
        <v>922</v>
      </c>
      <c r="J16" s="1" t="s">
        <v>89</v>
      </c>
      <c r="O16" s="1" t="s">
        <v>100</v>
      </c>
      <c r="R16" s="43" t="s">
        <v>149</v>
      </c>
    </row>
    <row r="17" spans="1:17">
      <c r="B17" s="1" t="s">
        <v>915</v>
      </c>
      <c r="N17" s="1" t="s">
        <v>91</v>
      </c>
      <c r="Q17" s="43" t="s">
        <v>150</v>
      </c>
    </row>
    <row r="18" spans="1:17">
      <c r="B18" s="1" t="s">
        <v>916</v>
      </c>
      <c r="N18" s="1" t="s">
        <v>92</v>
      </c>
      <c r="Q18" s="43" t="s">
        <v>908</v>
      </c>
    </row>
    <row r="19" spans="1:17">
      <c r="B19" s="1" t="s">
        <v>917</v>
      </c>
      <c r="N19" s="1" t="s">
        <v>102</v>
      </c>
      <c r="Q19" s="43" t="s">
        <v>909</v>
      </c>
    </row>
    <row r="20" spans="1:17">
      <c r="B20" s="1" t="s">
        <v>918</v>
      </c>
      <c r="N20" s="1" t="s">
        <v>103</v>
      </c>
      <c r="Q20" s="43" t="s">
        <v>910</v>
      </c>
    </row>
    <row r="21" spans="1:17">
      <c r="N21" s="1" t="s">
        <v>8</v>
      </c>
      <c r="Q21" s="43" t="s">
        <v>93</v>
      </c>
    </row>
    <row r="22" spans="1:17" ht="15">
      <c r="A22" s="2" t="s">
        <v>9</v>
      </c>
      <c r="Q22" s="43"/>
    </row>
    <row r="23" spans="1:17">
      <c r="B23" s="1" t="s">
        <v>921</v>
      </c>
    </row>
    <row r="24" spans="1:17">
      <c r="C24" s="1" t="s">
        <v>946</v>
      </c>
    </row>
    <row r="25" spans="1:17">
      <c r="C25" s="1" t="s">
        <v>948</v>
      </c>
      <c r="F25" s="1" t="s">
        <v>949</v>
      </c>
    </row>
    <row r="26" spans="1:17">
      <c r="F26" s="1" t="s">
        <v>950</v>
      </c>
    </row>
    <row r="27" spans="1:17">
      <c r="F27" s="1" t="s">
        <v>951</v>
      </c>
    </row>
    <row r="28" spans="1:17">
      <c r="C28" s="1" t="s">
        <v>952</v>
      </c>
      <c r="F28" s="1" t="s">
        <v>953</v>
      </c>
    </row>
    <row r="29" spans="1:17">
      <c r="G29" s="1" t="s">
        <v>954</v>
      </c>
    </row>
    <row r="30" spans="1:17">
      <c r="C30" s="1" t="s">
        <v>955</v>
      </c>
      <c r="F30" s="1" t="s">
        <v>956</v>
      </c>
    </row>
    <row r="31" spans="1:17">
      <c r="G31" s="1" t="s">
        <v>957</v>
      </c>
    </row>
    <row r="32" spans="1:17">
      <c r="G32" s="1" t="s">
        <v>958</v>
      </c>
    </row>
    <row r="33" spans="1:7">
      <c r="G33" s="1" t="s">
        <v>959</v>
      </c>
    </row>
    <row r="34" spans="1:7">
      <c r="F34" s="1" t="s">
        <v>960</v>
      </c>
    </row>
    <row r="35" spans="1:7">
      <c r="C35" s="1" t="s">
        <v>961</v>
      </c>
      <c r="F35" s="1" t="s">
        <v>962</v>
      </c>
    </row>
    <row r="36" spans="1:7">
      <c r="G36" s="1" t="s">
        <v>963</v>
      </c>
    </row>
    <row r="37" spans="1:7">
      <c r="C37" s="1" t="s">
        <v>947</v>
      </c>
    </row>
    <row r="38" spans="1:7">
      <c r="B38" s="1" t="s">
        <v>944</v>
      </c>
    </row>
    <row r="39" spans="1:7">
      <c r="C39" s="1" t="s">
        <v>945</v>
      </c>
    </row>
    <row r="40" spans="1:7">
      <c r="C40" s="1" t="s">
        <v>996</v>
      </c>
    </row>
    <row r="42" spans="1:7" ht="15">
      <c r="A42" s="2" t="s">
        <v>95</v>
      </c>
    </row>
  </sheetData>
  <hyperlinks>
    <hyperlink ref="Q21" r:id="rId1" xr:uid="{14375537-5C3D-4253-9650-337AB6789785}"/>
    <hyperlink ref="Q14" r:id="rId2" xr:uid="{B5681F41-653C-4F52-A53A-2BA112522E91}"/>
  </hyperlinks>
  <pageMargins left="0.7" right="0.7" top="0.75" bottom="0.75" header="0.3" footer="0.3"/>
  <ignoredErrors>
    <ignoredError sqref="D3" twoDigitTextYear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EC112"/>
  <sheetViews>
    <sheetView tabSelected="1" zoomScale="85" zoomScaleNormal="85" workbookViewId="0">
      <pane xSplit="2" ySplit="3" topLeftCell="BP51" activePane="bottomRight" state="frozen"/>
      <selection pane="topRight" activeCell="C1" sqref="C1"/>
      <selection pane="bottomLeft" activeCell="A4" sqref="A4"/>
      <selection pane="bottomRight" activeCell="BF60" sqref="BF60"/>
    </sheetView>
  </sheetViews>
  <sheetFormatPr defaultColWidth="9.140625" defaultRowHeight="14.25"/>
  <cols>
    <col min="1" max="1" width="3.140625" style="1" customWidth="1"/>
    <col min="2" max="2" width="39.140625" style="1" customWidth="1"/>
    <col min="3" max="51" width="9.140625" style="1"/>
    <col min="52" max="54" width="9.140625" style="35"/>
    <col min="55" max="70" width="9.140625" style="1"/>
    <col min="71" max="71" width="9.140625" style="35"/>
    <col min="72" max="72" width="9" style="35" customWidth="1"/>
    <col min="73" max="132" width="9.140625" style="35"/>
    <col min="133" max="16384" width="9.140625" style="1"/>
  </cols>
  <sheetData>
    <row r="1" spans="2:133" ht="15">
      <c r="B1" s="1" t="s">
        <v>49</v>
      </c>
      <c r="AA1" s="33" t="s">
        <v>43</v>
      </c>
      <c r="AE1" s="33" t="s">
        <v>44</v>
      </c>
      <c r="AI1" s="33" t="s">
        <v>45</v>
      </c>
      <c r="AM1" s="33" t="s">
        <v>46</v>
      </c>
      <c r="AQ1" s="33" t="s">
        <v>47</v>
      </c>
      <c r="AU1" s="33" t="s">
        <v>48</v>
      </c>
      <c r="AY1" s="33" t="s">
        <v>980</v>
      </c>
    </row>
    <row r="2" spans="2:133">
      <c r="B2" s="1" t="s">
        <v>50</v>
      </c>
    </row>
    <row r="3" spans="2:133" ht="15">
      <c r="B3" s="2" t="s">
        <v>51</v>
      </c>
      <c r="C3" s="2" t="str" cm="1">
        <f t="array" ref="C3:BB3">"Q"&amp;MOD(_xlfn.SEQUENCE(1,52)-1,4)+1&amp;" "&amp;(2014+INT((_xlfn.SEQUENCE(1,52)-1)/4))</f>
        <v>Q1 2014</v>
      </c>
      <c r="D3" s="33" t="str">
        <v>Q2 2014</v>
      </c>
      <c r="E3" s="33" t="str">
        <v>Q3 2014</v>
      </c>
      <c r="F3" s="33" t="str">
        <v>Q4 2014</v>
      </c>
      <c r="G3" s="33" t="str">
        <v>Q1 2015</v>
      </c>
      <c r="H3" s="33" t="str">
        <v>Q2 2015</v>
      </c>
      <c r="I3" s="33" t="str">
        <v>Q3 2015</v>
      </c>
      <c r="J3" s="33" t="str">
        <v>Q4 2015</v>
      </c>
      <c r="K3" s="33" t="str">
        <v>Q1 2016</v>
      </c>
      <c r="L3" s="33" t="str">
        <v>Q2 2016</v>
      </c>
      <c r="M3" s="33" t="str">
        <v>Q3 2016</v>
      </c>
      <c r="N3" s="33" t="str">
        <v>Q4 2016</v>
      </c>
      <c r="O3" s="33" t="str">
        <v>Q1 2017</v>
      </c>
      <c r="P3" s="33" t="str">
        <v>Q2 2017</v>
      </c>
      <c r="Q3" s="33" t="str">
        <v>Q3 2017</v>
      </c>
      <c r="R3" s="33" t="str">
        <v>Q4 2017</v>
      </c>
      <c r="S3" s="33" t="str">
        <v>Q1 2018</v>
      </c>
      <c r="T3" s="33" t="str">
        <v>Q2 2018</v>
      </c>
      <c r="U3" s="33" t="str">
        <v>Q3 2018</v>
      </c>
      <c r="V3" s="33" t="str">
        <v>Q4 2018</v>
      </c>
      <c r="W3" s="33" t="str">
        <v>Q1 2019</v>
      </c>
      <c r="X3" s="33" t="str">
        <v>Q2 2019</v>
      </c>
      <c r="Y3" s="33" t="str">
        <v>Q3 2019</v>
      </c>
      <c r="Z3" s="33" t="str">
        <v>Q4 2019</v>
      </c>
      <c r="AA3" s="33" t="str">
        <v>Q1 2020</v>
      </c>
      <c r="AB3" s="33" t="str">
        <v>Q2 2020</v>
      </c>
      <c r="AC3" s="33" t="str">
        <v>Q3 2020</v>
      </c>
      <c r="AD3" s="33" t="str">
        <v>Q4 2020</v>
      </c>
      <c r="AE3" s="33" t="str">
        <v>Q1 2021</v>
      </c>
      <c r="AF3" s="33" t="str">
        <v>Q2 2021</v>
      </c>
      <c r="AG3" s="33" t="str">
        <v>Q3 2021</v>
      </c>
      <c r="AH3" s="33" t="str">
        <v>Q4 2021</v>
      </c>
      <c r="AI3" s="33" t="str">
        <v>Q1 2022</v>
      </c>
      <c r="AJ3" s="33" t="str">
        <v>Q2 2022</v>
      </c>
      <c r="AK3" s="33" t="str">
        <v>Q3 2022</v>
      </c>
      <c r="AL3" s="33" t="str">
        <v>Q4 2022</v>
      </c>
      <c r="AM3" s="33" t="str">
        <v>Q1 2023</v>
      </c>
      <c r="AN3" s="33" t="str">
        <v>Q2 2023</v>
      </c>
      <c r="AO3" s="33" t="str">
        <v>Q3 2023</v>
      </c>
      <c r="AP3" s="33" t="str">
        <v>Q4 2023</v>
      </c>
      <c r="AQ3" s="33" t="str">
        <v>Q1 2024</v>
      </c>
      <c r="AR3" s="33" t="str">
        <v>Q2 2024</v>
      </c>
      <c r="AS3" s="33" t="str">
        <v>Q3 2024</v>
      </c>
      <c r="AT3" s="33" t="str">
        <v>Q4 2024</v>
      </c>
      <c r="AU3" s="33" t="str">
        <v>Q1 2025</v>
      </c>
      <c r="AV3" s="2" t="str">
        <v>Q2 2025</v>
      </c>
      <c r="AW3" s="2" t="str">
        <v>Q3 2025</v>
      </c>
      <c r="AX3" s="2" t="str">
        <v>Q4 2025</v>
      </c>
      <c r="AY3" s="2" t="str">
        <v>Q1 2026</v>
      </c>
      <c r="AZ3" s="34" t="str">
        <v>Q2 2026</v>
      </c>
      <c r="BA3" s="34" t="str">
        <v>Q3 2026</v>
      </c>
      <c r="BB3" s="34" t="str">
        <v>Q4 2026</v>
      </c>
      <c r="BG3" s="2">
        <v>2014</v>
      </c>
      <c r="BH3" s="2">
        <f t="shared" ref="BH3:DN3" si="0">BG3+1</f>
        <v>2015</v>
      </c>
      <c r="BI3" s="2">
        <f t="shared" si="0"/>
        <v>2016</v>
      </c>
      <c r="BJ3" s="2">
        <f t="shared" si="0"/>
        <v>2017</v>
      </c>
      <c r="BK3" s="2">
        <f t="shared" si="0"/>
        <v>2018</v>
      </c>
      <c r="BL3" s="2">
        <f t="shared" si="0"/>
        <v>2019</v>
      </c>
      <c r="BM3" s="2">
        <f t="shared" si="0"/>
        <v>2020</v>
      </c>
      <c r="BN3" s="2">
        <f t="shared" si="0"/>
        <v>2021</v>
      </c>
      <c r="BO3" s="2">
        <f t="shared" si="0"/>
        <v>2022</v>
      </c>
      <c r="BP3" s="2">
        <f t="shared" si="0"/>
        <v>2023</v>
      </c>
      <c r="BQ3" s="2">
        <f t="shared" si="0"/>
        <v>2024</v>
      </c>
      <c r="BR3" s="2">
        <f t="shared" si="0"/>
        <v>2025</v>
      </c>
      <c r="BS3" s="34">
        <f>BR3+1</f>
        <v>2026</v>
      </c>
      <c r="BT3" s="34">
        <f t="shared" si="0"/>
        <v>2027</v>
      </c>
      <c r="BU3" s="34">
        <f t="shared" si="0"/>
        <v>2028</v>
      </c>
      <c r="BV3" s="34">
        <f t="shared" si="0"/>
        <v>2029</v>
      </c>
      <c r="BW3" s="34">
        <f t="shared" si="0"/>
        <v>2030</v>
      </c>
      <c r="BX3" s="34">
        <f t="shared" si="0"/>
        <v>2031</v>
      </c>
      <c r="BY3" s="34">
        <f t="shared" si="0"/>
        <v>2032</v>
      </c>
      <c r="BZ3" s="34">
        <f t="shared" si="0"/>
        <v>2033</v>
      </c>
      <c r="CA3" s="34">
        <f t="shared" si="0"/>
        <v>2034</v>
      </c>
      <c r="CB3" s="34">
        <f t="shared" si="0"/>
        <v>2035</v>
      </c>
      <c r="CC3" s="34">
        <f t="shared" si="0"/>
        <v>2036</v>
      </c>
      <c r="CD3" s="34">
        <f t="shared" si="0"/>
        <v>2037</v>
      </c>
      <c r="CE3" s="34">
        <f t="shared" si="0"/>
        <v>2038</v>
      </c>
      <c r="CF3" s="34">
        <f t="shared" si="0"/>
        <v>2039</v>
      </c>
      <c r="CG3" s="34">
        <f t="shared" si="0"/>
        <v>2040</v>
      </c>
      <c r="CH3" s="34">
        <f t="shared" si="0"/>
        <v>2041</v>
      </c>
      <c r="CI3" s="34">
        <f t="shared" si="0"/>
        <v>2042</v>
      </c>
      <c r="CJ3" s="34">
        <f t="shared" si="0"/>
        <v>2043</v>
      </c>
      <c r="CK3" s="34">
        <f t="shared" si="0"/>
        <v>2044</v>
      </c>
      <c r="CL3" s="34">
        <f t="shared" si="0"/>
        <v>2045</v>
      </c>
      <c r="CM3" s="34">
        <f t="shared" si="0"/>
        <v>2046</v>
      </c>
      <c r="CN3" s="34">
        <f t="shared" si="0"/>
        <v>2047</v>
      </c>
      <c r="CO3" s="34">
        <f t="shared" si="0"/>
        <v>2048</v>
      </c>
      <c r="CP3" s="34">
        <f t="shared" si="0"/>
        <v>2049</v>
      </c>
      <c r="CQ3" s="34">
        <f t="shared" si="0"/>
        <v>2050</v>
      </c>
      <c r="CR3" s="34">
        <f t="shared" si="0"/>
        <v>2051</v>
      </c>
      <c r="CS3" s="34">
        <f t="shared" si="0"/>
        <v>2052</v>
      </c>
      <c r="CT3" s="34">
        <f t="shared" si="0"/>
        <v>2053</v>
      </c>
      <c r="CU3" s="34">
        <f t="shared" si="0"/>
        <v>2054</v>
      </c>
      <c r="CV3" s="34">
        <f t="shared" si="0"/>
        <v>2055</v>
      </c>
      <c r="CW3" s="34">
        <f t="shared" si="0"/>
        <v>2056</v>
      </c>
      <c r="CX3" s="34">
        <f t="shared" si="0"/>
        <v>2057</v>
      </c>
      <c r="CY3" s="34">
        <f t="shared" si="0"/>
        <v>2058</v>
      </c>
      <c r="CZ3" s="34">
        <f t="shared" si="0"/>
        <v>2059</v>
      </c>
      <c r="DA3" s="34">
        <f t="shared" si="0"/>
        <v>2060</v>
      </c>
      <c r="DB3" s="34">
        <f t="shared" si="0"/>
        <v>2061</v>
      </c>
      <c r="DC3" s="34">
        <f t="shared" si="0"/>
        <v>2062</v>
      </c>
      <c r="DD3" s="34">
        <f t="shared" si="0"/>
        <v>2063</v>
      </c>
      <c r="DE3" s="34">
        <f t="shared" si="0"/>
        <v>2064</v>
      </c>
      <c r="DF3" s="34">
        <f t="shared" si="0"/>
        <v>2065</v>
      </c>
      <c r="DG3" s="34">
        <f t="shared" si="0"/>
        <v>2066</v>
      </c>
      <c r="DH3" s="34">
        <f t="shared" si="0"/>
        <v>2067</v>
      </c>
      <c r="DI3" s="34">
        <f t="shared" si="0"/>
        <v>2068</v>
      </c>
      <c r="DJ3" s="34">
        <f t="shared" si="0"/>
        <v>2069</v>
      </c>
      <c r="DK3" s="34">
        <f t="shared" si="0"/>
        <v>2070</v>
      </c>
      <c r="DL3" s="34">
        <f t="shared" si="0"/>
        <v>2071</v>
      </c>
      <c r="DM3" s="34">
        <f t="shared" si="0"/>
        <v>2072</v>
      </c>
      <c r="DN3" s="34">
        <f t="shared" si="0"/>
        <v>2073</v>
      </c>
      <c r="DO3" s="34">
        <f t="shared" ref="DO3:DZ3" si="1">DN3+1</f>
        <v>2074</v>
      </c>
      <c r="DP3" s="34">
        <f t="shared" si="1"/>
        <v>2075</v>
      </c>
      <c r="DQ3" s="34">
        <f t="shared" si="1"/>
        <v>2076</v>
      </c>
      <c r="DR3" s="34">
        <f t="shared" si="1"/>
        <v>2077</v>
      </c>
      <c r="DS3" s="34">
        <f t="shared" si="1"/>
        <v>2078</v>
      </c>
      <c r="DT3" s="34">
        <f t="shared" si="1"/>
        <v>2079</v>
      </c>
      <c r="DU3" s="34">
        <f t="shared" si="1"/>
        <v>2080</v>
      </c>
      <c r="DV3" s="34">
        <f t="shared" si="1"/>
        <v>2081</v>
      </c>
      <c r="DW3" s="34">
        <f t="shared" si="1"/>
        <v>2082</v>
      </c>
      <c r="DX3" s="34">
        <f t="shared" si="1"/>
        <v>2083</v>
      </c>
      <c r="DY3" s="34">
        <f t="shared" si="1"/>
        <v>2084</v>
      </c>
      <c r="DZ3" s="34">
        <f t="shared" si="1"/>
        <v>2085</v>
      </c>
      <c r="EA3" s="34"/>
      <c r="EB3" s="34"/>
      <c r="EC3" s="2"/>
    </row>
    <row r="4" spans="2:133">
      <c r="B4" s="36" t="s">
        <v>971</v>
      </c>
      <c r="AQ4" s="1">
        <v>9981</v>
      </c>
      <c r="AR4" s="1">
        <v>9796</v>
      </c>
      <c r="AS4" s="1">
        <v>10580</v>
      </c>
      <c r="AT4" s="1">
        <f>41186-SUM(AQ4:AS4)</f>
        <v>10829</v>
      </c>
      <c r="AU4" s="1">
        <v>10872</v>
      </c>
      <c r="AV4" s="1">
        <v>10682</v>
      </c>
      <c r="AW4" s="1">
        <v>10704</v>
      </c>
      <c r="AX4" s="1">
        <f>42466-SUM(AU4:AW4)</f>
        <v>10208</v>
      </c>
      <c r="AY4" s="1">
        <v>11609</v>
      </c>
      <c r="BQ4" s="1">
        <f>SUM(AQ4:AT4)</f>
        <v>41186</v>
      </c>
      <c r="BR4" s="1">
        <f>SUM(AU4:AX4)</f>
        <v>42466</v>
      </c>
      <c r="BS4" s="66">
        <f t="shared" ref="BS4:CB4" si="2">BR4*(1+BS9)</f>
        <v>44164.639999999999</v>
      </c>
      <c r="BT4" s="66">
        <f t="shared" si="2"/>
        <v>46372.872000000003</v>
      </c>
      <c r="BU4" s="66">
        <f t="shared" si="2"/>
        <v>48227.786880000007</v>
      </c>
      <c r="BV4" s="66">
        <f t="shared" si="2"/>
        <v>49674.62048640001</v>
      </c>
      <c r="BW4" s="66">
        <f t="shared" si="2"/>
        <v>51040.672549776013</v>
      </c>
      <c r="BX4" s="66">
        <f t="shared" si="2"/>
        <v>52316.689363520411</v>
      </c>
      <c r="BY4" s="66">
        <f t="shared" si="2"/>
        <v>53493.814874199619</v>
      </c>
      <c r="BZ4" s="66">
        <f t="shared" si="2"/>
        <v>54563.691171683611</v>
      </c>
      <c r="CA4" s="66">
        <f t="shared" si="2"/>
        <v>55518.555767188082</v>
      </c>
      <c r="CB4" s="66">
        <f t="shared" si="2"/>
        <v>56351.334103695895</v>
      </c>
    </row>
    <row r="5" spans="2:133">
      <c r="B5" s="36" t="s">
        <v>972</v>
      </c>
      <c r="AQ5" s="1">
        <v>4835</v>
      </c>
      <c r="AR5" s="1">
        <v>4312</v>
      </c>
      <c r="AS5" s="1">
        <v>4558</v>
      </c>
      <c r="AT5" s="1">
        <f>17619-SUM(AQ5:AS5)</f>
        <v>3914</v>
      </c>
      <c r="AU5" s="1">
        <v>4850</v>
      </c>
      <c r="AV5" s="1">
        <v>4534</v>
      </c>
      <c r="AW5" s="1">
        <v>4308</v>
      </c>
      <c r="AX5" s="1">
        <f>17672-SUM(AU5:AW5)</f>
        <v>3980</v>
      </c>
      <c r="AY5" s="1">
        <v>4909</v>
      </c>
      <c r="BQ5" s="1">
        <f>SUM(AQ5:AT5)</f>
        <v>17619</v>
      </c>
      <c r="BR5" s="1">
        <f>SUM(AU5:AX5)</f>
        <v>17672</v>
      </c>
      <c r="BS5" s="66">
        <f t="shared" ref="BS5:CB5" si="3">BR5*(1+BS10)</f>
        <v>18555.600000000002</v>
      </c>
      <c r="BT5" s="66">
        <f t="shared" si="3"/>
        <v>19854.492000000002</v>
      </c>
      <c r="BU5" s="66">
        <f t="shared" si="3"/>
        <v>21045.761520000004</v>
      </c>
      <c r="BV5" s="66">
        <f t="shared" si="3"/>
        <v>22413.736018800002</v>
      </c>
      <c r="BW5" s="66">
        <f t="shared" si="3"/>
        <v>23982.697540116005</v>
      </c>
      <c r="BX5" s="66">
        <f t="shared" si="3"/>
        <v>25301.745904822383</v>
      </c>
      <c r="BY5" s="66">
        <f t="shared" si="3"/>
        <v>26566.833200063502</v>
      </c>
      <c r="BZ5" s="66">
        <f t="shared" si="3"/>
        <v>27762.340694066359</v>
      </c>
      <c r="CA5" s="66">
        <f t="shared" si="3"/>
        <v>28942.24017356418</v>
      </c>
      <c r="CB5" s="66">
        <f t="shared" si="3"/>
        <v>30099.929780506747</v>
      </c>
    </row>
    <row r="6" spans="2:133">
      <c r="B6" s="36" t="s">
        <v>973</v>
      </c>
      <c r="AQ6" s="1">
        <f>9132-399</f>
        <v>8733</v>
      </c>
      <c r="AR6" s="1">
        <f>8393-418</f>
        <v>7975</v>
      </c>
      <c r="AS6" s="1">
        <f>8386-369</f>
        <v>8017</v>
      </c>
      <c r="AT6" s="1">
        <f>34151-1595-SUM(AQ6:AS6)</f>
        <v>7831</v>
      </c>
      <c r="AU6" s="1">
        <f>9415-447</f>
        <v>8968</v>
      </c>
      <c r="AV6" s="1">
        <f>8889-484</f>
        <v>8405</v>
      </c>
      <c r="AW6" s="1">
        <f>9086-448</f>
        <v>8638</v>
      </c>
      <c r="AX6" s="1">
        <f>36156-1869-SUM(AU6:AW6)</f>
        <v>8276</v>
      </c>
      <c r="AY6" s="1">
        <f>10006-543</f>
        <v>9463</v>
      </c>
      <c r="BQ6" s="1">
        <f>SUM(AQ6:AT6)</f>
        <v>32556</v>
      </c>
      <c r="BR6" s="1">
        <f>SUM(AU6:AX6)</f>
        <v>34287</v>
      </c>
      <c r="BS6" s="66">
        <f t="shared" ref="BS6:CB6" si="4">BR6*(1+BS11)</f>
        <v>36344.22</v>
      </c>
      <c r="BT6" s="66">
        <f t="shared" si="4"/>
        <v>38161.431000000004</v>
      </c>
      <c r="BU6" s="66">
        <f t="shared" si="4"/>
        <v>38924.659620000006</v>
      </c>
      <c r="BV6" s="66">
        <f t="shared" si="4"/>
        <v>40092.399408600009</v>
      </c>
      <c r="BW6" s="66">
        <f t="shared" si="4"/>
        <v>40493.323402686008</v>
      </c>
      <c r="BX6" s="66">
        <f t="shared" si="4"/>
        <v>42517.989572820312</v>
      </c>
      <c r="BY6" s="66">
        <f t="shared" si="4"/>
        <v>45069.068947189531</v>
      </c>
      <c r="BZ6" s="66">
        <f t="shared" si="4"/>
        <v>46871.831705077115</v>
      </c>
      <c r="CA6" s="66">
        <f t="shared" si="4"/>
        <v>48277.986656229426</v>
      </c>
      <c r="CB6" s="66">
        <f t="shared" si="4"/>
        <v>49243.546389354015</v>
      </c>
    </row>
    <row r="7" spans="2:133" s="2" customFormat="1" ht="15">
      <c r="B7" s="33" t="s">
        <v>52</v>
      </c>
      <c r="AQ7" s="2">
        <f t="shared" ref="AQ7:AY7" si="5">SUM(AQ4:AQ6)</f>
        <v>23549</v>
      </c>
      <c r="AR7" s="2">
        <f t="shared" si="5"/>
        <v>22083</v>
      </c>
      <c r="AS7" s="2">
        <f t="shared" si="5"/>
        <v>23155</v>
      </c>
      <c r="AT7" s="2">
        <f t="shared" si="5"/>
        <v>22574</v>
      </c>
      <c r="AU7" s="2">
        <f t="shared" si="5"/>
        <v>24690</v>
      </c>
      <c r="AV7" s="2">
        <f t="shared" si="5"/>
        <v>23621</v>
      </c>
      <c r="AW7" s="2">
        <f t="shared" si="5"/>
        <v>23650</v>
      </c>
      <c r="AX7" s="2">
        <f t="shared" si="5"/>
        <v>22464</v>
      </c>
      <c r="AY7" s="2">
        <f t="shared" si="5"/>
        <v>25981</v>
      </c>
      <c r="AZ7" s="34"/>
      <c r="BA7" s="34"/>
      <c r="BB7" s="34"/>
      <c r="BQ7" s="2">
        <f>SUM(AQ7:AT7)</f>
        <v>91361</v>
      </c>
      <c r="BR7" s="2">
        <f>SUM(AU7:AX7)</f>
        <v>94425</v>
      </c>
      <c r="BS7" s="90">
        <f t="shared" ref="BS7:CB7" si="6">SUM(BS4:BS6)</f>
        <v>99064.46</v>
      </c>
      <c r="BT7" s="90">
        <f t="shared" si="6"/>
        <v>104388.79500000001</v>
      </c>
      <c r="BU7" s="90">
        <f t="shared" si="6"/>
        <v>108198.20802000002</v>
      </c>
      <c r="BV7" s="90">
        <f t="shared" si="6"/>
        <v>112180.75591380001</v>
      </c>
      <c r="BW7" s="90">
        <f t="shared" si="6"/>
        <v>115516.69349257802</v>
      </c>
      <c r="BX7" s="90">
        <f t="shared" si="6"/>
        <v>120136.4248411631</v>
      </c>
      <c r="BY7" s="90">
        <f t="shared" si="6"/>
        <v>125129.71702145266</v>
      </c>
      <c r="BZ7" s="90">
        <f t="shared" si="6"/>
        <v>129197.86357082709</v>
      </c>
      <c r="CA7" s="90">
        <f t="shared" si="6"/>
        <v>132738.78259698168</v>
      </c>
      <c r="CB7" s="90">
        <f t="shared" si="6"/>
        <v>135694.81027355665</v>
      </c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</row>
    <row r="8" spans="2:133">
      <c r="B8" s="36"/>
    </row>
    <row r="9" spans="2:133">
      <c r="B9" s="36" t="s">
        <v>974</v>
      </c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>
        <f t="shared" ref="AU9:AX12" si="7">AU4/AQ4-1</f>
        <v>8.9269612263300324E-2</v>
      </c>
      <c r="AV9" s="85">
        <f t="shared" si="7"/>
        <v>9.0445079624336566E-2</v>
      </c>
      <c r="AW9" s="85">
        <f t="shared" si="7"/>
        <v>1.1720226843100257E-2</v>
      </c>
      <c r="AX9" s="85">
        <f t="shared" si="7"/>
        <v>-5.7346015329208577E-2</v>
      </c>
      <c r="AY9" s="85">
        <f t="shared" ref="AY9:AY12" si="8">AY4/AU4-1</f>
        <v>6.7788815305371619E-2</v>
      </c>
      <c r="BQ9" s="85"/>
      <c r="BR9" s="85">
        <f t="shared" ref="BR9" si="9">BR4/BQ4-1</f>
        <v>3.1078521827805572E-2</v>
      </c>
      <c r="BS9" s="88">
        <v>0.04</v>
      </c>
      <c r="BT9" s="88">
        <v>0.05</v>
      </c>
      <c r="BU9" s="88">
        <v>0.04</v>
      </c>
      <c r="BV9" s="88">
        <v>0.03</v>
      </c>
      <c r="BW9" s="88">
        <v>2.75E-2</v>
      </c>
      <c r="BX9" s="88">
        <v>2.5000000000000001E-2</v>
      </c>
      <c r="BY9" s="88">
        <v>2.2499999999999999E-2</v>
      </c>
      <c r="BZ9" s="88">
        <v>0.02</v>
      </c>
      <c r="CA9" s="88">
        <v>1.7500000000000002E-2</v>
      </c>
      <c r="CB9" s="88">
        <v>1.4999999999999999E-2</v>
      </c>
    </row>
    <row r="10" spans="2:133">
      <c r="B10" s="36" t="s">
        <v>975</v>
      </c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>
        <f t="shared" si="7"/>
        <v>3.1023784901758056E-3</v>
      </c>
      <c r="AV10" s="85">
        <f t="shared" si="7"/>
        <v>5.1484230055658609E-2</v>
      </c>
      <c r="AW10" s="85">
        <f t="shared" si="7"/>
        <v>-5.484861781483108E-2</v>
      </c>
      <c r="AX10" s="85">
        <f t="shared" si="7"/>
        <v>1.6862544711292893E-2</v>
      </c>
      <c r="AY10" s="85">
        <f t="shared" si="8"/>
        <v>1.216494845360816E-2</v>
      </c>
      <c r="BQ10" s="85"/>
      <c r="BR10" s="85">
        <f t="shared" ref="BR10" si="10">BR5/BQ5-1</f>
        <v>3.0081162381518922E-3</v>
      </c>
      <c r="BS10" s="88">
        <v>0.05</v>
      </c>
      <c r="BT10" s="88">
        <v>7.0000000000000007E-2</v>
      </c>
      <c r="BU10" s="88">
        <v>0.06</v>
      </c>
      <c r="BV10" s="88">
        <v>6.5000000000000002E-2</v>
      </c>
      <c r="BW10" s="88">
        <v>7.0000000000000007E-2</v>
      </c>
      <c r="BX10" s="88">
        <v>5.5E-2</v>
      </c>
      <c r="BY10" s="88">
        <v>0.05</v>
      </c>
      <c r="BZ10" s="88">
        <v>4.4999999999999998E-2</v>
      </c>
      <c r="CA10" s="88">
        <v>4.2500000000000003E-2</v>
      </c>
      <c r="CB10" s="88">
        <v>0.04</v>
      </c>
    </row>
    <row r="11" spans="2:133">
      <c r="B11" s="36" t="s">
        <v>976</v>
      </c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>
        <f t="shared" si="7"/>
        <v>2.6909424023817685E-2</v>
      </c>
      <c r="AV11" s="85">
        <f t="shared" si="7"/>
        <v>5.3918495297805569E-2</v>
      </c>
      <c r="AW11" s="85">
        <f t="shared" si="7"/>
        <v>7.7460396657103692E-2</v>
      </c>
      <c r="AX11" s="85">
        <f t="shared" si="7"/>
        <v>5.682543736432133E-2</v>
      </c>
      <c r="AY11" s="85">
        <f t="shared" si="8"/>
        <v>5.5196253345227486E-2</v>
      </c>
      <c r="BQ11" s="85"/>
      <c r="BR11" s="85">
        <f t="shared" ref="BR11" si="11">BR6/BQ6-1</f>
        <v>5.3169922594913377E-2</v>
      </c>
      <c r="BS11" s="88">
        <v>0.06</v>
      </c>
      <c r="BT11" s="88">
        <v>0.05</v>
      </c>
      <c r="BU11" s="88">
        <v>0.02</v>
      </c>
      <c r="BV11" s="88">
        <v>0.03</v>
      </c>
      <c r="BW11" s="88">
        <v>0.01</v>
      </c>
      <c r="BX11" s="88">
        <v>0.05</v>
      </c>
      <c r="BY11" s="88">
        <v>0.06</v>
      </c>
      <c r="BZ11" s="88">
        <v>0.04</v>
      </c>
      <c r="CA11" s="88">
        <v>0.03</v>
      </c>
      <c r="CB11" s="88">
        <v>0.02</v>
      </c>
    </row>
    <row r="12" spans="2:133" s="2" customFormat="1" ht="15">
      <c r="B12" s="33" t="s">
        <v>104</v>
      </c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>
        <f t="shared" si="7"/>
        <v>4.8452163573824869E-2</v>
      </c>
      <c r="AV12" s="86">
        <f t="shared" si="7"/>
        <v>6.9646334284291012E-2</v>
      </c>
      <c r="AW12" s="86">
        <f t="shared" si="7"/>
        <v>2.1377672209026199E-2</v>
      </c>
      <c r="AX12" s="86">
        <f>AX7/AT7-1</f>
        <v>-4.872862585275084E-3</v>
      </c>
      <c r="AY12" s="86">
        <f t="shared" si="8"/>
        <v>5.2288375860672254E-2</v>
      </c>
      <c r="AZ12" s="34"/>
      <c r="BA12" s="34"/>
      <c r="BB12" s="34"/>
      <c r="BQ12" s="86"/>
      <c r="BR12" s="86">
        <f t="shared" ref="BR12" si="12">BR7/BQ7-1</f>
        <v>3.3537286150545631E-2</v>
      </c>
      <c r="BS12" s="89">
        <f t="shared" ref="BS12:CB12" si="13">BS7/BR7-1</f>
        <v>4.9133809902038639E-2</v>
      </c>
      <c r="BT12" s="89">
        <f t="shared" si="13"/>
        <v>5.3746166889720115E-2</v>
      </c>
      <c r="BU12" s="89">
        <f t="shared" si="13"/>
        <v>3.6492547116766749E-2</v>
      </c>
      <c r="BV12" s="89">
        <f t="shared" si="13"/>
        <v>3.6807891430732598E-2</v>
      </c>
      <c r="BW12" s="89">
        <f t="shared" si="13"/>
        <v>2.973716437907914E-2</v>
      </c>
      <c r="BX12" s="89">
        <f t="shared" si="13"/>
        <v>3.9991893889188335E-2</v>
      </c>
      <c r="BY12" s="89">
        <f t="shared" si="13"/>
        <v>4.1563515702180975E-2</v>
      </c>
      <c r="BZ12" s="89">
        <f t="shared" si="13"/>
        <v>3.2511434103834613E-2</v>
      </c>
      <c r="CA12" s="89">
        <f t="shared" si="13"/>
        <v>2.7406947207090804E-2</v>
      </c>
      <c r="CB12" s="89">
        <f t="shared" si="13"/>
        <v>2.2269510227090006E-2</v>
      </c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</row>
    <row r="13" spans="2:133"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BQ13" s="85"/>
      <c r="BR13" s="85"/>
    </row>
    <row r="14" spans="2:133">
      <c r="B14" s="36" t="s">
        <v>977</v>
      </c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>
        <f t="shared" ref="AQ14:AW14" si="14">AQ4/AQ7</f>
        <v>0.42383965348847086</v>
      </c>
      <c r="AR14" s="85">
        <f t="shared" si="14"/>
        <v>0.44359914866639494</v>
      </c>
      <c r="AS14" s="85">
        <f t="shared" si="14"/>
        <v>0.45692075145756855</v>
      </c>
      <c r="AT14" s="85">
        <f t="shared" si="14"/>
        <v>0.47971117214494552</v>
      </c>
      <c r="AU14" s="85">
        <f t="shared" si="14"/>
        <v>0.44034021871202916</v>
      </c>
      <c r="AV14" s="85">
        <f t="shared" si="14"/>
        <v>0.45222471529571145</v>
      </c>
      <c r="AW14" s="85">
        <f t="shared" si="14"/>
        <v>0.45260042283298096</v>
      </c>
      <c r="AX14" s="85">
        <f>AX4/AX7</f>
        <v>0.45441595441595439</v>
      </c>
      <c r="AY14" s="85">
        <f>AY4/AY7</f>
        <v>0.44682652707747972</v>
      </c>
      <c r="BQ14" s="85">
        <f t="shared" ref="BQ14" si="15">BQ4/BQ7</f>
        <v>0.45080504810586575</v>
      </c>
      <c r="BR14" s="85">
        <f>BR4/BR7</f>
        <v>0.44973259200423615</v>
      </c>
      <c r="BS14" s="88">
        <f t="shared" ref="BS14:CB14" si="16">BS4/BS7</f>
        <v>0.4458171982161917</v>
      </c>
      <c r="BT14" s="88">
        <f t="shared" si="16"/>
        <v>0.44423227607905619</v>
      </c>
      <c r="BU14" s="88">
        <f t="shared" si="16"/>
        <v>0.44573554185930037</v>
      </c>
      <c r="BV14" s="88">
        <f t="shared" si="16"/>
        <v>0.44280875165942118</v>
      </c>
      <c r="BW14" s="88">
        <f t="shared" si="16"/>
        <v>0.44184672367769418</v>
      </c>
      <c r="BX14" s="88">
        <f t="shared" si="16"/>
        <v>0.43547732865107547</v>
      </c>
      <c r="BY14" s="88">
        <f t="shared" si="16"/>
        <v>0.42750687964097656</v>
      </c>
      <c r="BZ14" s="88">
        <f t="shared" si="16"/>
        <v>0.42232657463233864</v>
      </c>
      <c r="CA14" s="88">
        <f t="shared" si="16"/>
        <v>0.41825421840542409</v>
      </c>
      <c r="CB14" s="88">
        <f t="shared" si="16"/>
        <v>0.41527995057506845</v>
      </c>
    </row>
    <row r="15" spans="2:133">
      <c r="B15" s="36" t="s">
        <v>978</v>
      </c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>
        <f t="shared" ref="AQ15:AW15" si="17">AQ5/AQ7</f>
        <v>0.20531657395218481</v>
      </c>
      <c r="AR15" s="85">
        <f t="shared" si="17"/>
        <v>0.19526332472942987</v>
      </c>
      <c r="AS15" s="85">
        <f t="shared" si="17"/>
        <v>0.19684733318937594</v>
      </c>
      <c r="AT15" s="85">
        <f t="shared" si="17"/>
        <v>0.17338531053424294</v>
      </c>
      <c r="AU15" s="85">
        <f t="shared" si="17"/>
        <v>0.19643580396921831</v>
      </c>
      <c r="AV15" s="85">
        <f t="shared" si="17"/>
        <v>0.19194784302104059</v>
      </c>
      <c r="AW15" s="85">
        <f t="shared" si="17"/>
        <v>0.18215644820295984</v>
      </c>
      <c r="AX15" s="85">
        <f>AX5/AX7</f>
        <v>0.17717236467236466</v>
      </c>
      <c r="AY15" s="85">
        <f>AY5/AY7</f>
        <v>0.18894576806127555</v>
      </c>
      <c r="BQ15" s="85">
        <f t="shared" ref="BQ15" si="18">BQ5/BQ7</f>
        <v>0.19285034095511214</v>
      </c>
      <c r="BR15" s="85">
        <f>BR5/BR7</f>
        <v>0.18715382578766215</v>
      </c>
      <c r="BS15" s="88">
        <f t="shared" ref="BS15:CB15" si="19">BS5/BS7</f>
        <v>0.18730834448600436</v>
      </c>
      <c r="BT15" s="88">
        <f t="shared" si="19"/>
        <v>0.19019753987963939</v>
      </c>
      <c r="BU15" s="88">
        <f t="shared" si="19"/>
        <v>0.19451118373522208</v>
      </c>
      <c r="BV15" s="88">
        <f t="shared" si="19"/>
        <v>0.19980018708398414</v>
      </c>
      <c r="BW15" s="88">
        <f t="shared" si="19"/>
        <v>0.20761239622615149</v>
      </c>
      <c r="BX15" s="88">
        <f t="shared" si="19"/>
        <v>0.21060844734038636</v>
      </c>
      <c r="BY15" s="88">
        <f t="shared" si="19"/>
        <v>0.21231433933083055</v>
      </c>
      <c r="BZ15" s="88">
        <f t="shared" si="19"/>
        <v>0.2148823511996146</v>
      </c>
      <c r="CA15" s="88">
        <f t="shared" si="19"/>
        <v>0.21803906595586248</v>
      </c>
      <c r="CB15" s="88">
        <f t="shared" si="19"/>
        <v>0.22182078828089444</v>
      </c>
    </row>
    <row r="16" spans="2:133">
      <c r="B16" s="36" t="s">
        <v>979</v>
      </c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>
        <f t="shared" ref="AQ16:AW16" si="20">AQ6/AQ7</f>
        <v>0.37084377255934436</v>
      </c>
      <c r="AR16" s="85">
        <f t="shared" si="20"/>
        <v>0.36113752660417514</v>
      </c>
      <c r="AS16" s="85">
        <f t="shared" si="20"/>
        <v>0.34623191535305547</v>
      </c>
      <c r="AT16" s="85">
        <f t="shared" si="20"/>
        <v>0.34690351732081154</v>
      </c>
      <c r="AU16" s="85">
        <f t="shared" si="20"/>
        <v>0.36322397731875256</v>
      </c>
      <c r="AV16" s="85">
        <f t="shared" si="20"/>
        <v>0.35582744168324798</v>
      </c>
      <c r="AW16" s="85">
        <f t="shared" si="20"/>
        <v>0.36524312896405919</v>
      </c>
      <c r="AX16" s="85">
        <f>AX6/AX7</f>
        <v>0.36841168091168092</v>
      </c>
      <c r="AY16" s="85">
        <f>AY6/AY7</f>
        <v>0.36422770486124478</v>
      </c>
      <c r="BQ16" s="85">
        <f t="shared" ref="BQ16" si="21">BQ6/BQ7</f>
        <v>0.35634461093902214</v>
      </c>
      <c r="BR16" s="85">
        <f>BR6/BR7</f>
        <v>0.36311358220810169</v>
      </c>
      <c r="BS16" s="88">
        <f t="shared" ref="BS16:CB16" si="22">BS6/BS7</f>
        <v>0.36687445729780388</v>
      </c>
      <c r="BT16" s="88">
        <f t="shared" si="22"/>
        <v>0.36557018404130442</v>
      </c>
      <c r="BU16" s="88">
        <f t="shared" si="22"/>
        <v>0.3597532744054775</v>
      </c>
      <c r="BV16" s="88">
        <f t="shared" si="22"/>
        <v>0.35739106125659481</v>
      </c>
      <c r="BW16" s="88">
        <f t="shared" si="22"/>
        <v>0.35054088009615436</v>
      </c>
      <c r="BX16" s="88">
        <f t="shared" si="22"/>
        <v>0.35391422400853823</v>
      </c>
      <c r="BY16" s="88">
        <f t="shared" si="22"/>
        <v>0.36017878102819284</v>
      </c>
      <c r="BZ16" s="88">
        <f t="shared" si="22"/>
        <v>0.36279107416804673</v>
      </c>
      <c r="CA16" s="88">
        <f t="shared" si="22"/>
        <v>0.36370671563871348</v>
      </c>
      <c r="CB16" s="88">
        <f t="shared" si="22"/>
        <v>0.3628992611440372</v>
      </c>
    </row>
    <row r="18" spans="2:132">
      <c r="B18" s="36" t="s">
        <v>971</v>
      </c>
      <c r="AQ18" s="1">
        <v>874</v>
      </c>
      <c r="AR18" s="1">
        <v>781</v>
      </c>
      <c r="AS18" s="1">
        <v>1201</v>
      </c>
      <c r="AT18" s="1">
        <f>3923-SUM(AQ18:AS18)</f>
        <v>1067</v>
      </c>
      <c r="AU18" s="1">
        <v>1703</v>
      </c>
      <c r="AV18" s="1">
        <v>1258</v>
      </c>
      <c r="AW18" s="1">
        <v>1201</v>
      </c>
      <c r="AX18" s="1">
        <f>4674-SUM(AU18:AW18)</f>
        <v>512</v>
      </c>
      <c r="AY18" s="1">
        <v>1100</v>
      </c>
      <c r="BQ18" s="1">
        <f>SUM(AQ18:AT18)</f>
        <v>3923</v>
      </c>
      <c r="BR18" s="1">
        <f>SUM(AU18:AX18)</f>
        <v>4674</v>
      </c>
      <c r="BS18" s="66">
        <f t="shared" ref="BS18:BS20" si="23">BR18*(1+BS23)</f>
        <v>5562.0599999999995</v>
      </c>
      <c r="BT18" s="66">
        <f t="shared" ref="BT18:BT20" si="24">BS18*(1+BT23)</f>
        <v>6624.4134599999998</v>
      </c>
      <c r="BU18" s="66">
        <f t="shared" ref="BU18:BU20" si="25">BT18*(1+BU23)</f>
        <v>7916.1740847000001</v>
      </c>
      <c r="BV18" s="66">
        <f t="shared" ref="BV18:BV20" si="26">BU18*(1+BV23)</f>
        <v>9467.7442053012001</v>
      </c>
      <c r="BW18" s="66">
        <f t="shared" ref="BW18:BW20" si="27">BV18*(1+BW23)</f>
        <v>11332.889813745536</v>
      </c>
      <c r="BX18" s="66">
        <f t="shared" ref="BX18:BX20" si="28">BW18*(1+BX23)</f>
        <v>13599.467776494643</v>
      </c>
      <c r="BY18" s="66">
        <f t="shared" ref="BY18:BY20" si="29">BX18*(1+BY23)</f>
        <v>16346.56026734656</v>
      </c>
      <c r="BZ18" s="66">
        <f t="shared" ref="BZ18:BZ20" si="30">BY18*(1+BZ23)</f>
        <v>19681.258561885257</v>
      </c>
      <c r="CA18" s="66">
        <f t="shared" ref="CA18:CA20" si="31">BZ18*(1+CA23)</f>
        <v>23715.916567071738</v>
      </c>
      <c r="CB18" s="66">
        <f t="shared" ref="CB18:CB20" si="32">CA18*(1+CB23)</f>
        <v>28601.395379888516</v>
      </c>
    </row>
    <row r="19" spans="2:132">
      <c r="B19" s="36" t="s">
        <v>972</v>
      </c>
      <c r="AQ19" s="1">
        <v>-103</v>
      </c>
      <c r="AR19" s="1">
        <v>778</v>
      </c>
      <c r="AS19" s="1">
        <v>802</v>
      </c>
      <c r="AT19" s="1">
        <f>2406-SUM(AQ19:AS19)</f>
        <v>929</v>
      </c>
      <c r="AU19" s="1">
        <v>247</v>
      </c>
      <c r="AV19" s="1">
        <v>687</v>
      </c>
      <c r="AW19" s="1">
        <v>802</v>
      </c>
      <c r="AX19" s="1">
        <f>2882-SUM(AU19:AW19)</f>
        <v>1146</v>
      </c>
      <c r="AY19" s="1">
        <v>191</v>
      </c>
      <c r="BQ19" s="1">
        <f>SUM(AQ19:AT19)</f>
        <v>2406</v>
      </c>
      <c r="BR19" s="1">
        <f>SUM(AU19:AX19)</f>
        <v>2882</v>
      </c>
      <c r="BS19" s="66">
        <f t="shared" si="23"/>
        <v>3461.2820000000002</v>
      </c>
      <c r="BT19" s="66">
        <f t="shared" si="24"/>
        <v>4167.3835280000003</v>
      </c>
      <c r="BU19" s="66">
        <f t="shared" si="25"/>
        <v>5025.8645347680003</v>
      </c>
      <c r="BV19" s="66">
        <f t="shared" si="26"/>
        <v>6071.2443579997444</v>
      </c>
      <c r="BW19" s="66">
        <f t="shared" si="27"/>
        <v>7291.5644739576937</v>
      </c>
      <c r="BX19" s="66">
        <f t="shared" si="28"/>
        <v>8786.3351911190221</v>
      </c>
      <c r="BY19" s="66">
        <f t="shared" si="29"/>
        <v>10609.499743276219</v>
      </c>
      <c r="BZ19" s="66">
        <f t="shared" si="30"/>
        <v>12837.494689364225</v>
      </c>
      <c r="CA19" s="66">
        <f t="shared" si="31"/>
        <v>15546.206068820076</v>
      </c>
      <c r="CB19" s="66">
        <f t="shared" si="32"/>
        <v>18842.001755409932</v>
      </c>
    </row>
    <row r="20" spans="2:132">
      <c r="B20" s="36" t="s">
        <v>973</v>
      </c>
      <c r="AQ20" s="1">
        <v>3105</v>
      </c>
      <c r="AR20" s="1">
        <v>2286</v>
      </c>
      <c r="AS20" s="1">
        <v>2222</v>
      </c>
      <c r="AT20" s="1">
        <f>9272-SUM(AQ20:AS20)</f>
        <v>1659</v>
      </c>
      <c r="AU20" s="1">
        <v>3110</v>
      </c>
      <c r="AV20" s="1">
        <v>2491</v>
      </c>
      <c r="AW20" s="1">
        <v>2222</v>
      </c>
      <c r="AX20" s="1">
        <f>9995-SUM(AU20:AW20)</f>
        <v>2172</v>
      </c>
      <c r="AY20" s="1">
        <v>3309</v>
      </c>
      <c r="BQ20" s="1">
        <f>SUM(AQ20:AT20)</f>
        <v>9272</v>
      </c>
      <c r="BR20" s="1">
        <f>SUM(AU20:AX20)</f>
        <v>9995</v>
      </c>
      <c r="BS20" s="66">
        <f t="shared" si="23"/>
        <v>10794.6</v>
      </c>
      <c r="BT20" s="66">
        <f t="shared" si="24"/>
        <v>11766.114000000001</v>
      </c>
      <c r="BU20" s="66">
        <f t="shared" si="25"/>
        <v>12942.725400000003</v>
      </c>
      <c r="BV20" s="66">
        <f t="shared" si="26"/>
        <v>14301.711567000004</v>
      </c>
      <c r="BW20" s="66">
        <f t="shared" si="27"/>
        <v>15874.899839370006</v>
      </c>
      <c r="BX20" s="66">
        <f t="shared" si="28"/>
        <v>17700.513320897557</v>
      </c>
      <c r="BY20" s="66">
        <f t="shared" si="29"/>
        <v>19780.323636103018</v>
      </c>
      <c r="BZ20" s="66">
        <f t="shared" si="30"/>
        <v>22153.962472435382</v>
      </c>
      <c r="CA20" s="66">
        <f t="shared" si="31"/>
        <v>24812.43796912763</v>
      </c>
      <c r="CB20" s="66">
        <f t="shared" si="32"/>
        <v>27789.930525422948</v>
      </c>
    </row>
    <row r="21" spans="2:132" s="2" customFormat="1" ht="15">
      <c r="B21" s="33" t="s">
        <v>986</v>
      </c>
      <c r="AQ21" s="2">
        <f t="shared" ref="AQ21:AY21" si="33">SUM(AQ18:AQ20)</f>
        <v>3876</v>
      </c>
      <c r="AR21" s="2">
        <f t="shared" si="33"/>
        <v>3845</v>
      </c>
      <c r="AS21" s="2">
        <f t="shared" si="33"/>
        <v>4225</v>
      </c>
      <c r="AT21" s="2">
        <f t="shared" si="33"/>
        <v>3655</v>
      </c>
      <c r="AU21" s="2">
        <f t="shared" si="33"/>
        <v>5060</v>
      </c>
      <c r="AV21" s="2">
        <f t="shared" si="33"/>
        <v>4436</v>
      </c>
      <c r="AW21" s="2">
        <f t="shared" si="33"/>
        <v>4225</v>
      </c>
      <c r="AX21" s="2">
        <f t="shared" si="33"/>
        <v>3830</v>
      </c>
      <c r="AY21" s="2">
        <f t="shared" si="33"/>
        <v>4600</v>
      </c>
      <c r="AZ21" s="34"/>
      <c r="BA21" s="34"/>
      <c r="BB21" s="34"/>
      <c r="BQ21" s="2">
        <f>SUM(AQ21:AT21)</f>
        <v>15601</v>
      </c>
      <c r="BR21" s="2">
        <f>SUM(AU21:AX21)</f>
        <v>17551</v>
      </c>
      <c r="BS21" s="90">
        <f t="shared" ref="BS21:CB21" si="34">SUM(BS18:BS20)</f>
        <v>19817.942000000003</v>
      </c>
      <c r="BT21" s="90">
        <f t="shared" si="34"/>
        <v>22557.910988000003</v>
      </c>
      <c r="BU21" s="90">
        <f t="shared" si="34"/>
        <v>25884.764019468003</v>
      </c>
      <c r="BV21" s="90">
        <f t="shared" si="34"/>
        <v>29840.700130300946</v>
      </c>
      <c r="BW21" s="90">
        <f t="shared" si="34"/>
        <v>34499.354127073238</v>
      </c>
      <c r="BX21" s="90">
        <f t="shared" si="34"/>
        <v>40086.316288511225</v>
      </c>
      <c r="BY21" s="90">
        <f t="shared" si="34"/>
        <v>46736.383646725793</v>
      </c>
      <c r="BZ21" s="90">
        <f t="shared" si="34"/>
        <v>54672.715723684858</v>
      </c>
      <c r="CA21" s="90">
        <f t="shared" si="34"/>
        <v>64074.560605019447</v>
      </c>
      <c r="CB21" s="90">
        <f t="shared" si="34"/>
        <v>75233.327660721407</v>
      </c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</row>
    <row r="22" spans="2:132">
      <c r="B22" s="36"/>
    </row>
    <row r="23" spans="2:132">
      <c r="B23" s="36" t="s">
        <v>974</v>
      </c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>
        <f t="shared" ref="AU23:AU26" si="35">AU18/AQ18-1</f>
        <v>0.94851258581235709</v>
      </c>
      <c r="AV23" s="85">
        <f t="shared" ref="AV23:AV26" si="36">AV18/AR18-1</f>
        <v>0.61075544174135721</v>
      </c>
      <c r="AW23" s="85">
        <f t="shared" ref="AW23:AW26" si="37">AW18/AS18-1</f>
        <v>0</v>
      </c>
      <c r="AX23" s="85">
        <f t="shared" ref="AX23:AX26" si="38">AX18/AT18-1</f>
        <v>-0.52014995313964385</v>
      </c>
      <c r="AY23" s="85">
        <f t="shared" ref="AY23:AY26" si="39">AY18/AU18-1</f>
        <v>-0.35408103347034647</v>
      </c>
      <c r="BQ23" s="85"/>
      <c r="BR23" s="85">
        <f t="shared" ref="BR23:BR26" si="40">BR18/BQ18-1</f>
        <v>0.19143512617894465</v>
      </c>
      <c r="BS23" s="88">
        <v>0.19</v>
      </c>
      <c r="BT23" s="88">
        <v>0.191</v>
      </c>
      <c r="BU23" s="88">
        <v>0.19500000000000001</v>
      </c>
      <c r="BV23" s="88">
        <v>0.19600000000000001</v>
      </c>
      <c r="BW23" s="88">
        <v>0.19700000000000001</v>
      </c>
      <c r="BX23" s="88">
        <v>0.2</v>
      </c>
      <c r="BY23" s="88">
        <v>0.20200000000000001</v>
      </c>
      <c r="BZ23" s="88">
        <v>0.20399999999999999</v>
      </c>
      <c r="CA23" s="88">
        <v>0.20499999999999999</v>
      </c>
      <c r="CB23" s="88">
        <v>0.20599999999999999</v>
      </c>
    </row>
    <row r="24" spans="2:132">
      <c r="B24" s="36" t="s">
        <v>975</v>
      </c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>
        <f t="shared" si="35"/>
        <v>-3.3980582524271843</v>
      </c>
      <c r="AV24" s="85">
        <f t="shared" si="36"/>
        <v>-0.11696658097686374</v>
      </c>
      <c r="AW24" s="85">
        <f t="shared" si="37"/>
        <v>0</v>
      </c>
      <c r="AX24" s="85">
        <f t="shared" si="38"/>
        <v>0.23358449946178683</v>
      </c>
      <c r="AY24" s="85">
        <f t="shared" si="39"/>
        <v>-0.22672064777327938</v>
      </c>
      <c r="BQ24" s="85"/>
      <c r="BR24" s="85">
        <f t="shared" si="40"/>
        <v>0.19783873649210304</v>
      </c>
      <c r="BS24" s="88">
        <v>0.20100000000000001</v>
      </c>
      <c r="BT24" s="88">
        <v>0.20399999999999999</v>
      </c>
      <c r="BU24" s="88">
        <v>0.20599999999999999</v>
      </c>
      <c r="BV24" s="88">
        <v>0.20799999999999999</v>
      </c>
      <c r="BW24" s="88">
        <v>0.20100000000000001</v>
      </c>
      <c r="BX24" s="88">
        <v>0.20499999999999999</v>
      </c>
      <c r="BY24" s="88">
        <v>0.20749999999999999</v>
      </c>
      <c r="BZ24" s="88">
        <v>0.21</v>
      </c>
      <c r="CA24" s="88">
        <v>0.21099999999999999</v>
      </c>
      <c r="CB24" s="88">
        <v>0.21199999999999999</v>
      </c>
    </row>
    <row r="25" spans="2:132">
      <c r="B25" s="36" t="s">
        <v>976</v>
      </c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>
        <f t="shared" si="35"/>
        <v>1.6103059581320522E-3</v>
      </c>
      <c r="AV25" s="85">
        <f t="shared" si="36"/>
        <v>8.9676290463692077E-2</v>
      </c>
      <c r="AW25" s="85">
        <f t="shared" si="37"/>
        <v>0</v>
      </c>
      <c r="AX25" s="85">
        <f t="shared" si="38"/>
        <v>0.30922242314647375</v>
      </c>
      <c r="AY25" s="85">
        <f t="shared" si="39"/>
        <v>6.3987138263665644E-2</v>
      </c>
      <c r="BQ25" s="85"/>
      <c r="BR25" s="85">
        <f t="shared" si="40"/>
        <v>7.7976704055219948E-2</v>
      </c>
      <c r="BS25" s="88">
        <v>0.08</v>
      </c>
      <c r="BT25" s="88">
        <v>0.09</v>
      </c>
      <c r="BU25" s="88">
        <v>0.1</v>
      </c>
      <c r="BV25" s="88">
        <v>0.105</v>
      </c>
      <c r="BW25" s="88">
        <v>0.11</v>
      </c>
      <c r="BX25" s="88">
        <v>0.115</v>
      </c>
      <c r="BY25" s="88">
        <v>0.11749999999999999</v>
      </c>
      <c r="BZ25" s="88">
        <v>0.12</v>
      </c>
      <c r="CA25" s="88">
        <v>0.12</v>
      </c>
      <c r="CB25" s="88">
        <v>0.12</v>
      </c>
    </row>
    <row r="26" spans="2:132" s="2" customFormat="1" ht="15">
      <c r="B26" s="33" t="s">
        <v>987</v>
      </c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>
        <f t="shared" si="35"/>
        <v>0.3054695562435501</v>
      </c>
      <c r="AV26" s="86">
        <f t="shared" si="36"/>
        <v>0.1537061118335501</v>
      </c>
      <c r="AW26" s="86">
        <f t="shared" si="37"/>
        <v>0</v>
      </c>
      <c r="AX26" s="86">
        <f t="shared" si="38"/>
        <v>4.7879616963064198E-2</v>
      </c>
      <c r="AY26" s="86">
        <f t="shared" si="39"/>
        <v>-9.0909090909090939E-2</v>
      </c>
      <c r="AZ26" s="34"/>
      <c r="BA26" s="34"/>
      <c r="BB26" s="34"/>
      <c r="BQ26" s="86"/>
      <c r="BR26" s="86">
        <f t="shared" si="40"/>
        <v>0.1249919876930965</v>
      </c>
      <c r="BS26" s="89">
        <f t="shared" ref="BS26" si="41">BS21/BR21-1</f>
        <v>0.1291631246082845</v>
      </c>
      <c r="BT26" s="89">
        <f t="shared" ref="BT26" si="42">BT21/BS21-1</f>
        <v>0.13825698894466432</v>
      </c>
      <c r="BU26" s="89">
        <f t="shared" ref="BU26" si="43">BU21/BT21-1</f>
        <v>0.14748054610366035</v>
      </c>
      <c r="BV26" s="89">
        <f t="shared" ref="BV26" si="44">BV21/BU21-1</f>
        <v>0.15282874929273738</v>
      </c>
      <c r="BW26" s="89">
        <f t="shared" ref="BW26" si="45">BW21/BV21-1</f>
        <v>0.1561174495380484</v>
      </c>
      <c r="BX26" s="89">
        <f t="shared" ref="BX26" si="46">BX21/BW21-1</f>
        <v>0.1619439639611584</v>
      </c>
      <c r="BY26" s="89">
        <f t="shared" ref="BY26" si="47">BY21/BX21-1</f>
        <v>0.16589370074197829</v>
      </c>
      <c r="BZ26" s="89">
        <f t="shared" ref="BZ26" si="48">BZ21/BY21-1</f>
        <v>0.16981057278519374</v>
      </c>
      <c r="CA26" s="89">
        <f t="shared" ref="CA26" si="49">CA21/BZ21-1</f>
        <v>0.17196593871157573</v>
      </c>
      <c r="CB26" s="89">
        <f t="shared" ref="CB26" si="50">CB21/CA21-1</f>
        <v>0.17415284553395449</v>
      </c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</row>
    <row r="27" spans="2:132"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BQ27" s="85"/>
      <c r="BR27" s="85"/>
    </row>
    <row r="28" spans="2:132">
      <c r="B28" s="36" t="s">
        <v>998</v>
      </c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>
        <f t="shared" ref="AQ28:AW28" si="51">AQ18/AQ21</f>
        <v>0.22549019607843138</v>
      </c>
      <c r="AR28" s="85">
        <f t="shared" si="51"/>
        <v>0.20312093628088426</v>
      </c>
      <c r="AS28" s="85">
        <f t="shared" si="51"/>
        <v>0.2842603550295858</v>
      </c>
      <c r="AT28" s="85">
        <f t="shared" si="51"/>
        <v>0.29192886456908346</v>
      </c>
      <c r="AU28" s="85">
        <f t="shared" si="51"/>
        <v>0.33656126482213439</v>
      </c>
      <c r="AV28" s="85">
        <f t="shared" si="51"/>
        <v>0.28358881875563569</v>
      </c>
      <c r="AW28" s="85">
        <f t="shared" si="51"/>
        <v>0.2842603550295858</v>
      </c>
      <c r="AX28" s="85">
        <f>AX18/AX21</f>
        <v>0.13368146214099216</v>
      </c>
      <c r="AY28" s="85">
        <f>AY18/AY21</f>
        <v>0.2391304347826087</v>
      </c>
      <c r="BQ28" s="85">
        <f>BQ18/BQ21</f>
        <v>0.25145823985641946</v>
      </c>
      <c r="BR28" s="85">
        <f>BR18/BR21</f>
        <v>0.26630961198792091</v>
      </c>
    </row>
    <row r="29" spans="2:132">
      <c r="B29" s="36" t="s">
        <v>999</v>
      </c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>
        <f t="shared" ref="AQ29:AW29" si="52">AQ19/AQ21</f>
        <v>-2.6573787409700723E-2</v>
      </c>
      <c r="AR29" s="85">
        <f t="shared" si="52"/>
        <v>0.20234070221066319</v>
      </c>
      <c r="AS29" s="85">
        <f t="shared" si="52"/>
        <v>0.1898224852071006</v>
      </c>
      <c r="AT29" s="85">
        <f t="shared" si="52"/>
        <v>0.25417236662106701</v>
      </c>
      <c r="AU29" s="85">
        <f t="shared" si="52"/>
        <v>4.881422924901186E-2</v>
      </c>
      <c r="AV29" s="85">
        <f t="shared" si="52"/>
        <v>0.15486925157799819</v>
      </c>
      <c r="AW29" s="85">
        <f t="shared" si="52"/>
        <v>0.1898224852071006</v>
      </c>
      <c r="AX29" s="85">
        <f>AX19/AX21</f>
        <v>0.29921671018276763</v>
      </c>
      <c r="AY29" s="85">
        <f>AY19/AY21</f>
        <v>4.1521739130434783E-2</v>
      </c>
      <c r="BQ29" s="85">
        <f>BQ19/BQ21</f>
        <v>0.15422088327671304</v>
      </c>
      <c r="BR29" s="85">
        <f>BR19/BR21</f>
        <v>0.16420716768275312</v>
      </c>
    </row>
    <row r="30" spans="2:132">
      <c r="B30" s="36" t="s">
        <v>1000</v>
      </c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>
        <f t="shared" ref="AQ30:AW30" si="53">AQ20/AQ21</f>
        <v>0.80108359133126938</v>
      </c>
      <c r="AR30" s="85">
        <f t="shared" si="53"/>
        <v>0.59453836150845252</v>
      </c>
      <c r="AS30" s="85">
        <f t="shared" si="53"/>
        <v>0.52591715976331366</v>
      </c>
      <c r="AT30" s="85">
        <f t="shared" si="53"/>
        <v>0.45389876880984953</v>
      </c>
      <c r="AU30" s="85">
        <f t="shared" si="53"/>
        <v>0.61462450592885376</v>
      </c>
      <c r="AV30" s="85">
        <f t="shared" si="53"/>
        <v>0.56154192966636607</v>
      </c>
      <c r="AW30" s="85">
        <f t="shared" si="53"/>
        <v>0.52591715976331366</v>
      </c>
      <c r="AX30" s="85">
        <f>AX20/AX21</f>
        <v>0.56710182767624018</v>
      </c>
      <c r="AY30" s="85">
        <f>AY20/AY21</f>
        <v>0.71934782608695658</v>
      </c>
      <c r="BQ30" s="85">
        <f>BQ20/BQ21</f>
        <v>0.59432087686686752</v>
      </c>
      <c r="BR30" s="85">
        <f>BR20/BR21</f>
        <v>0.56948322032932597</v>
      </c>
    </row>
    <row r="32" spans="2:132">
      <c r="B32" s="87" t="s">
        <v>989</v>
      </c>
      <c r="AQ32" s="1">
        <v>18584</v>
      </c>
      <c r="AR32" s="1">
        <v>17641</v>
      </c>
      <c r="AS32" s="1">
        <v>18293</v>
      </c>
      <c r="AT32" s="1">
        <f>72162-SUM(AQ32:AS32)</f>
        <v>17644</v>
      </c>
      <c r="AU32" s="1">
        <v>19882</v>
      </c>
      <c r="AV32" s="1">
        <v>19485</v>
      </c>
      <c r="AW32" s="1">
        <v>19163</v>
      </c>
      <c r="AX32" s="1">
        <f>76430-SUM(AU32:AW32)</f>
        <v>17900</v>
      </c>
      <c r="AY32" s="1">
        <v>20862</v>
      </c>
      <c r="BQ32" s="1">
        <f>SUM(AQ32:AT32)</f>
        <v>72162</v>
      </c>
      <c r="BR32" s="1">
        <f>SUM(AU32:AX32)</f>
        <v>76430</v>
      </c>
    </row>
    <row r="33" spans="2:132">
      <c r="B33" s="87" t="s">
        <v>988</v>
      </c>
      <c r="AQ33" s="1">
        <v>2610</v>
      </c>
      <c r="AR33" s="1">
        <v>2281</v>
      </c>
      <c r="AS33" s="1">
        <v>2572</v>
      </c>
      <c r="AT33" s="1">
        <f>10279-SUM(AQ33:AS33)</f>
        <v>2816</v>
      </c>
      <c r="AU33" s="1">
        <v>2855</v>
      </c>
      <c r="AV33" s="1">
        <v>2450</v>
      </c>
      <c r="AW33" s="1">
        <v>2829</v>
      </c>
      <c r="AX33" s="1">
        <f>11090-SUM(AU33:AW33)</f>
        <v>2956</v>
      </c>
      <c r="AY33" s="1">
        <v>3079</v>
      </c>
      <c r="BQ33" s="1">
        <f>SUM(AQ33:AT33)</f>
        <v>10279</v>
      </c>
      <c r="BR33" s="1">
        <f>SUM(AU33:AX33)</f>
        <v>11090</v>
      </c>
    </row>
    <row r="34" spans="2:132">
      <c r="B34" s="87" t="s">
        <v>990</v>
      </c>
      <c r="AQ34" s="1">
        <v>2355</v>
      </c>
      <c r="AR34" s="1">
        <v>2161</v>
      </c>
      <c r="AS34" s="1">
        <v>2290</v>
      </c>
      <c r="AT34" s="1">
        <f>8920-SUM(AQ34:AS34)</f>
        <v>2114</v>
      </c>
      <c r="AU34" s="1">
        <v>1953</v>
      </c>
      <c r="AV34" s="1">
        <v>1686</v>
      </c>
      <c r="AW34" s="1">
        <v>1658</v>
      </c>
      <c r="AX34" s="1">
        <f>6905-SUM(AU34:AW34)</f>
        <v>1608</v>
      </c>
      <c r="AY34" s="1">
        <v>2040</v>
      </c>
      <c r="BQ34" s="1">
        <f>SUM(AQ34:AT34)</f>
        <v>8920</v>
      </c>
      <c r="BR34" s="1">
        <f>SUM(AU34:AX34)</f>
        <v>6905</v>
      </c>
    </row>
    <row r="35" spans="2:132">
      <c r="B35" s="1" t="s">
        <v>52</v>
      </c>
      <c r="AQ35" s="1">
        <f t="shared" ref="AQ35:AY35" si="54">SUM(AQ32:AQ34)</f>
        <v>23549</v>
      </c>
      <c r="AR35" s="1">
        <f t="shared" si="54"/>
        <v>22083</v>
      </c>
      <c r="AS35" s="1">
        <f t="shared" si="54"/>
        <v>23155</v>
      </c>
      <c r="AT35" s="1">
        <f t="shared" si="54"/>
        <v>22574</v>
      </c>
      <c r="AU35" s="1">
        <f t="shared" si="54"/>
        <v>24690</v>
      </c>
      <c r="AV35" s="1">
        <f t="shared" si="54"/>
        <v>23621</v>
      </c>
      <c r="AW35" s="1">
        <f t="shared" si="54"/>
        <v>23650</v>
      </c>
      <c r="AX35" s="1">
        <f t="shared" ref="AX35" si="55">SUM(AX32:AX34)</f>
        <v>22464</v>
      </c>
      <c r="AY35" s="1">
        <f t="shared" si="54"/>
        <v>25981</v>
      </c>
      <c r="BQ35" s="1">
        <f>SUM(AQ35:AT35)</f>
        <v>91361</v>
      </c>
      <c r="BR35" s="1">
        <f>SUM(AU35:AX35)</f>
        <v>94425</v>
      </c>
    </row>
    <row r="37" spans="2:132">
      <c r="B37" s="87" t="s">
        <v>991</v>
      </c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>
        <f t="shared" ref="AU37:AU40" si="56">AU32/AQ32-1</f>
        <v>6.984502798105896E-2</v>
      </c>
      <c r="AV37" s="85">
        <f>AV32/AR32-1</f>
        <v>0.10452922169945023</v>
      </c>
      <c r="AW37" s="85">
        <f>AW32/AS32-1</f>
        <v>4.7559175640955464E-2</v>
      </c>
      <c r="AX37" s="85">
        <f>AX32/AT32-1</f>
        <v>1.4509181591475961E-2</v>
      </c>
      <c r="AY37" s="85">
        <f>AY32/AU32-1</f>
        <v>4.9290815813298527E-2</v>
      </c>
      <c r="BQ37" s="85"/>
      <c r="BR37" s="85">
        <f t="shared" ref="BR37:BR40" si="57">BR32/BQ32-1</f>
        <v>5.9144702197832633E-2</v>
      </c>
    </row>
    <row r="38" spans="2:132">
      <c r="B38" s="87" t="s">
        <v>992</v>
      </c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>
        <f t="shared" si="56"/>
        <v>9.3869731800766187E-2</v>
      </c>
      <c r="AV38" s="85">
        <f t="shared" ref="AV38:AY40" si="58">AV33/AR33-1</f>
        <v>7.4090311266988174E-2</v>
      </c>
      <c r="AW38" s="85">
        <f t="shared" si="58"/>
        <v>9.9922239502332921E-2</v>
      </c>
      <c r="AX38" s="85">
        <f t="shared" si="58"/>
        <v>4.9715909090909172E-2</v>
      </c>
      <c r="AY38" s="85">
        <f t="shared" si="58"/>
        <v>7.8458844133099781E-2</v>
      </c>
      <c r="BQ38" s="85"/>
      <c r="BR38" s="85">
        <f t="shared" si="57"/>
        <v>7.8898725556960869E-2</v>
      </c>
    </row>
    <row r="39" spans="2:132">
      <c r="B39" s="87" t="s">
        <v>993</v>
      </c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>
        <f t="shared" si="56"/>
        <v>-0.17070063694267512</v>
      </c>
      <c r="AV39" s="85">
        <f t="shared" si="58"/>
        <v>-0.21980564553447479</v>
      </c>
      <c r="AW39" s="85">
        <f t="shared" si="58"/>
        <v>-0.27598253275109175</v>
      </c>
      <c r="AX39" s="85">
        <f t="shared" si="58"/>
        <v>-0.23935666982024595</v>
      </c>
      <c r="AY39" s="85">
        <f t="shared" si="58"/>
        <v>4.4546850998463894E-2</v>
      </c>
      <c r="BQ39" s="85"/>
      <c r="BR39" s="85">
        <f t="shared" si="57"/>
        <v>-0.22589686098654704</v>
      </c>
    </row>
    <row r="40" spans="2:132" ht="15">
      <c r="B40" s="1" t="s">
        <v>104</v>
      </c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>
        <f t="shared" si="56"/>
        <v>4.8452163573824869E-2</v>
      </c>
      <c r="AV40" s="85">
        <f t="shared" si="58"/>
        <v>6.9646334284291012E-2</v>
      </c>
      <c r="AW40" s="85">
        <f t="shared" si="58"/>
        <v>2.1377672209026199E-2</v>
      </c>
      <c r="AX40" s="85">
        <f t="shared" si="58"/>
        <v>-4.872862585275084E-3</v>
      </c>
      <c r="AY40" s="85">
        <f t="shared" si="58"/>
        <v>5.2288375860672254E-2</v>
      </c>
      <c r="BQ40" s="86"/>
      <c r="BR40" s="85">
        <f t="shared" si="57"/>
        <v>3.3537286150545631E-2</v>
      </c>
    </row>
    <row r="41" spans="2:132"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BQ41" s="85"/>
      <c r="BR41" s="85"/>
    </row>
    <row r="42" spans="2:132">
      <c r="B42" s="36" t="s">
        <v>53</v>
      </c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>
        <f t="shared" ref="AQ42:AW42" si="59">AQ32/AQ35</f>
        <v>0.78916302178436448</v>
      </c>
      <c r="AR42" s="85">
        <f t="shared" si="59"/>
        <v>0.79884979395915412</v>
      </c>
      <c r="AS42" s="85">
        <f t="shared" si="59"/>
        <v>0.79002375296912108</v>
      </c>
      <c r="AT42" s="85">
        <f t="shared" si="59"/>
        <v>0.78160715867812525</v>
      </c>
      <c r="AU42" s="85">
        <f t="shared" si="59"/>
        <v>0.80526528959092747</v>
      </c>
      <c r="AV42" s="85">
        <f t="shared" si="59"/>
        <v>0.82490157063629821</v>
      </c>
      <c r="AW42" s="85">
        <f t="shared" si="59"/>
        <v>0.81027484143763218</v>
      </c>
      <c r="AX42" s="85">
        <f>AX32/AX35</f>
        <v>0.79683048433048431</v>
      </c>
      <c r="AY42" s="85">
        <f t="shared" ref="AY42" si="60">AY32/AY35</f>
        <v>0.80297140217851504</v>
      </c>
      <c r="BQ42" s="85">
        <f>BQ32/BQ35</f>
        <v>0.78985562767482842</v>
      </c>
      <c r="BR42" s="85">
        <f>BR32/BR35</f>
        <v>0.80942546994969555</v>
      </c>
    </row>
    <row r="43" spans="2:132">
      <c r="B43" s="87" t="s">
        <v>994</v>
      </c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>
        <f t="shared" ref="AQ43:AW43" si="61">AQ33/AQ35</f>
        <v>0.11083273175081744</v>
      </c>
      <c r="AR43" s="85">
        <f t="shared" si="61"/>
        <v>0.10329212516415343</v>
      </c>
      <c r="AS43" s="85">
        <f t="shared" si="61"/>
        <v>0.11107752105376809</v>
      </c>
      <c r="AT43" s="85">
        <f t="shared" si="61"/>
        <v>0.12474528218304244</v>
      </c>
      <c r="AU43" s="85">
        <f t="shared" si="61"/>
        <v>0.11563385986229242</v>
      </c>
      <c r="AV43" s="85">
        <f t="shared" si="61"/>
        <v>0.10372126497608061</v>
      </c>
      <c r="AW43" s="85">
        <f t="shared" si="61"/>
        <v>0.11961945031712473</v>
      </c>
      <c r="AX43" s="85">
        <f>AX33/AX35</f>
        <v>0.13158831908831908</v>
      </c>
      <c r="AY43" s="85">
        <f t="shared" ref="AY43" si="62">AY33/AY35</f>
        <v>0.1185096801508795</v>
      </c>
      <c r="BQ43" s="85">
        <f>BQ33/BQ35</f>
        <v>0.11250971421065882</v>
      </c>
      <c r="BR43" s="85">
        <f>BR33/BR35</f>
        <v>0.11744770982261053</v>
      </c>
    </row>
    <row r="44" spans="2:132">
      <c r="B44" s="87" t="s">
        <v>995</v>
      </c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>
        <f t="shared" ref="AQ44:AW44" si="63">AQ34/AQ35</f>
        <v>0.10000424646481804</v>
      </c>
      <c r="AR44" s="85">
        <f t="shared" si="63"/>
        <v>9.7858080876692483E-2</v>
      </c>
      <c r="AS44" s="85">
        <f t="shared" si="63"/>
        <v>9.8898725977110774E-2</v>
      </c>
      <c r="AT44" s="85">
        <f t="shared" si="63"/>
        <v>9.3647559138832284E-2</v>
      </c>
      <c r="AU44" s="85">
        <f t="shared" si="63"/>
        <v>7.9100850546780066E-2</v>
      </c>
      <c r="AV44" s="85">
        <f t="shared" si="63"/>
        <v>7.1377164387621178E-2</v>
      </c>
      <c r="AW44" s="85">
        <f t="shared" si="63"/>
        <v>7.0105708245243134E-2</v>
      </c>
      <c r="AX44" s="85">
        <f>AX34/AX35</f>
        <v>7.1581196581196577E-2</v>
      </c>
      <c r="AY44" s="85">
        <f t="shared" ref="AY44" si="64">AY34/AY35</f>
        <v>7.851891767060544E-2</v>
      </c>
      <c r="BQ44" s="85">
        <f>BQ34/BQ35</f>
        <v>9.763465811451276E-2</v>
      </c>
      <c r="BR44" s="85">
        <f>BR34/BR35</f>
        <v>7.3126820227693942E-2</v>
      </c>
    </row>
    <row r="46" spans="2:132" s="2" customFormat="1" ht="15">
      <c r="B46" s="2" t="s">
        <v>51</v>
      </c>
      <c r="C46" s="2">
        <v>12309</v>
      </c>
      <c r="D46" s="2">
        <v>11649</v>
      </c>
      <c r="E46" s="2">
        <v>12466</v>
      </c>
      <c r="F46" s="2">
        <v>12389</v>
      </c>
      <c r="G46" s="2">
        <v>13391</v>
      </c>
      <c r="H46" s="2">
        <v>12461</v>
      </c>
      <c r="I46" s="2">
        <v>13101</v>
      </c>
      <c r="J46" s="2">
        <v>13512</v>
      </c>
      <c r="K46" s="2">
        <v>15244</v>
      </c>
      <c r="L46" s="2">
        <v>12969</v>
      </c>
      <c r="M46" s="2">
        <v>14277</v>
      </c>
      <c r="N46" s="2">
        <v>13142</v>
      </c>
      <c r="O46" s="2">
        <v>14784</v>
      </c>
      <c r="P46" s="2">
        <v>13336</v>
      </c>
      <c r="Q46" s="2">
        <v>14238</v>
      </c>
      <c r="R46" s="2">
        <v>12779</v>
      </c>
      <c r="S46" s="2">
        <v>15351</v>
      </c>
      <c r="T46" s="2">
        <v>14548</v>
      </c>
      <c r="U46" s="2">
        <v>15229</v>
      </c>
      <c r="V46" s="2">
        <v>14306</v>
      </c>
      <c r="W46" s="2">
        <v>15303</v>
      </c>
      <c r="X46" s="2">
        <v>14922</v>
      </c>
      <c r="Y46" s="2">
        <v>20262</v>
      </c>
      <c r="Z46" s="2">
        <v>19120</v>
      </c>
      <c r="AA46" s="2">
        <v>20877</v>
      </c>
      <c r="AB46" s="2">
        <v>18025</v>
      </c>
      <c r="AC46" s="2">
        <v>11779</v>
      </c>
      <c r="AD46" s="2">
        <v>14707</v>
      </c>
      <c r="AE46" s="2">
        <v>16249</v>
      </c>
      <c r="AF46" s="2">
        <v>15613</v>
      </c>
      <c r="AG46" s="2">
        <v>17022</v>
      </c>
      <c r="AH46" s="2">
        <v>18534</v>
      </c>
      <c r="AI46" s="2">
        <v>21819</v>
      </c>
      <c r="AJ46" s="2">
        <v>19249</v>
      </c>
      <c r="AK46" s="2">
        <v>21504</v>
      </c>
      <c r="AL46" s="2">
        <v>20150</v>
      </c>
      <c r="AM46" s="2">
        <v>23512</v>
      </c>
      <c r="AN46" s="2">
        <v>21815</v>
      </c>
      <c r="AO46" s="2">
        <v>22330</v>
      </c>
      <c r="AP46" s="2">
        <v>21241</v>
      </c>
      <c r="AQ46" s="2">
        <v>23549</v>
      </c>
      <c r="AR46" s="2">
        <v>22083</v>
      </c>
      <c r="AS46" s="2">
        <v>23155</v>
      </c>
      <c r="AT46" s="2">
        <v>22574</v>
      </c>
      <c r="AU46" s="2">
        <v>24690</v>
      </c>
      <c r="AV46" s="2">
        <v>23621</v>
      </c>
      <c r="AW46" s="2">
        <v>23650</v>
      </c>
      <c r="AX46" s="2">
        <v>22464</v>
      </c>
      <c r="AY46" s="2">
        <v>25981</v>
      </c>
      <c r="AZ46" s="34"/>
      <c r="BA46" s="34"/>
      <c r="BB46" s="34"/>
      <c r="BG46" s="2">
        <f t="shared" ref="BG46:BG51" si="65">SUM(C46:F46)</f>
        <v>48813</v>
      </c>
      <c r="BH46" s="2">
        <f t="shared" ref="BH46:BH51" si="66">SUM(G46:J46)</f>
        <v>52465</v>
      </c>
      <c r="BI46" s="2">
        <f t="shared" ref="BI46:BI51" si="67">SUM(K46:N46)</f>
        <v>55632</v>
      </c>
      <c r="BJ46" s="2">
        <f t="shared" ref="BJ46:BJ51" si="68">SUM(O46:R46)</f>
        <v>55137</v>
      </c>
      <c r="BK46" s="2">
        <f t="shared" ref="BK46:BK51" si="69">SUM(S46:V46)</f>
        <v>59434</v>
      </c>
      <c r="BL46" s="2">
        <f t="shared" ref="BL46:BL51" si="70">SUM(W46:Z46)</f>
        <v>69607</v>
      </c>
      <c r="BM46" s="2">
        <f t="shared" ref="BM46:BM51" si="71">SUM(AA46:AD46)</f>
        <v>65388</v>
      </c>
      <c r="BN46" s="2">
        <f t="shared" ref="BN46:BN51" si="72">SUM(AE46:AH46)</f>
        <v>67418</v>
      </c>
      <c r="BO46" s="2">
        <f t="shared" ref="BO46:BO51" si="73">SUM(AI46:AL46)</f>
        <v>82722</v>
      </c>
      <c r="BP46" s="2">
        <f t="shared" ref="BP46:BP51" si="74">SUM(AM46:AP46)</f>
        <v>88898</v>
      </c>
      <c r="BQ46" s="2">
        <f t="shared" ref="BQ46:BQ51" si="75">SUM(AQ46:AT46)</f>
        <v>91361</v>
      </c>
      <c r="BR46" s="2">
        <f t="shared" ref="BR46:BR51" si="76">SUM(AU46:AX46)</f>
        <v>94425</v>
      </c>
      <c r="BS46" s="90">
        <f>BS7</f>
        <v>99064.46</v>
      </c>
      <c r="BT46" s="34">
        <f t="shared" ref="BT46:CB46" si="77">BT7</f>
        <v>104388.79500000001</v>
      </c>
      <c r="BU46" s="34">
        <f t="shared" si="77"/>
        <v>108198.20802000002</v>
      </c>
      <c r="BV46" s="34">
        <f t="shared" si="77"/>
        <v>112180.75591380001</v>
      </c>
      <c r="BW46" s="34">
        <f t="shared" si="77"/>
        <v>115516.69349257802</v>
      </c>
      <c r="BX46" s="34">
        <f t="shared" si="77"/>
        <v>120136.4248411631</v>
      </c>
      <c r="BY46" s="34">
        <f t="shared" si="77"/>
        <v>125129.71702145266</v>
      </c>
      <c r="BZ46" s="34">
        <f t="shared" si="77"/>
        <v>129197.86357082709</v>
      </c>
      <c r="CA46" s="34">
        <f t="shared" si="77"/>
        <v>132738.78259698168</v>
      </c>
      <c r="CB46" s="34">
        <f t="shared" si="77"/>
        <v>135694.81027355665</v>
      </c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</row>
    <row r="47" spans="2:132">
      <c r="B47" s="1" t="s">
        <v>54</v>
      </c>
      <c r="C47" s="1">
        <v>7065</v>
      </c>
      <c r="D47" s="1">
        <v>5972</v>
      </c>
      <c r="E47" s="1">
        <v>6364</v>
      </c>
      <c r="F47" s="1">
        <v>7019</v>
      </c>
      <c r="G47" s="1">
        <v>7656</v>
      </c>
      <c r="H47" s="1">
        <v>6690</v>
      </c>
      <c r="I47" s="1">
        <v>6663</v>
      </c>
      <c r="J47" s="1">
        <v>7355</v>
      </c>
      <c r="K47" s="1">
        <v>8623</v>
      </c>
      <c r="L47" s="1">
        <v>6864</v>
      </c>
      <c r="M47" s="1">
        <v>7201</v>
      </c>
      <c r="N47" s="1">
        <v>7305</v>
      </c>
      <c r="O47" s="1">
        <v>8406</v>
      </c>
      <c r="P47" s="1">
        <v>6969</v>
      </c>
      <c r="Q47" s="1">
        <v>7717</v>
      </c>
      <c r="R47" s="1">
        <v>7214</v>
      </c>
      <c r="S47" s="1">
        <v>8729</v>
      </c>
      <c r="T47" s="1">
        <v>7541</v>
      </c>
      <c r="U47" s="1">
        <v>8348</v>
      </c>
      <c r="V47" s="1">
        <v>8108</v>
      </c>
      <c r="W47" s="1">
        <v>9001</v>
      </c>
      <c r="X47" s="1">
        <v>8376</v>
      </c>
      <c r="Y47" s="1">
        <v>12837</v>
      </c>
      <c r="Z47" s="1">
        <v>11847</v>
      </c>
      <c r="AA47" s="1">
        <v>13034</v>
      </c>
      <c r="AB47" s="1">
        <v>11937</v>
      </c>
      <c r="AC47" s="1">
        <v>7896</v>
      </c>
      <c r="AD47" s="1">
        <v>11013</v>
      </c>
      <c r="AE47" s="1">
        <v>11775</v>
      </c>
      <c r="AF47" s="1">
        <v>9782</v>
      </c>
      <c r="AG47" s="1">
        <v>11233</v>
      </c>
      <c r="AH47" s="1">
        <v>12341</v>
      </c>
      <c r="AI47" s="1">
        <v>14567</v>
      </c>
      <c r="AJ47" s="1">
        <v>12594</v>
      </c>
      <c r="AK47" s="1">
        <v>13682</v>
      </c>
      <c r="AL47" s="1">
        <v>13558</v>
      </c>
      <c r="AM47" s="1">
        <v>16386</v>
      </c>
      <c r="AN47" s="1">
        <v>14616</v>
      </c>
      <c r="AO47" s="1">
        <v>14471</v>
      </c>
      <c r="AP47" s="1">
        <v>13728</v>
      </c>
      <c r="AQ47" s="1">
        <v>15587</v>
      </c>
      <c r="AR47" s="1">
        <v>14172</v>
      </c>
      <c r="AS47" s="1">
        <v>14709</v>
      </c>
      <c r="AT47" s="1">
        <v>14230</v>
      </c>
      <c r="AU47" s="1">
        <v>15406</v>
      </c>
      <c r="AV47" s="1">
        <v>14810</v>
      </c>
      <c r="AW47" s="1">
        <v>14532</v>
      </c>
      <c r="AX47" s="1">
        <v>14018</v>
      </c>
      <c r="AY47" s="1">
        <v>16669</v>
      </c>
      <c r="BG47" s="1">
        <f t="shared" si="65"/>
        <v>26420</v>
      </c>
      <c r="BH47" s="1">
        <f t="shared" si="66"/>
        <v>28364</v>
      </c>
      <c r="BI47" s="1">
        <f t="shared" si="67"/>
        <v>29993</v>
      </c>
      <c r="BJ47" s="1">
        <f t="shared" si="68"/>
        <v>30306</v>
      </c>
      <c r="BK47" s="1">
        <f t="shared" si="69"/>
        <v>32726</v>
      </c>
      <c r="BL47" s="1">
        <f t="shared" si="70"/>
        <v>42061</v>
      </c>
      <c r="BM47" s="1">
        <f t="shared" si="71"/>
        <v>43880</v>
      </c>
      <c r="BN47" s="1">
        <f t="shared" si="72"/>
        <v>45131</v>
      </c>
      <c r="BO47" s="1">
        <f t="shared" si="73"/>
        <v>54401</v>
      </c>
      <c r="BP47" s="1">
        <f t="shared" si="74"/>
        <v>59201</v>
      </c>
      <c r="BQ47" s="1">
        <f t="shared" si="75"/>
        <v>58698</v>
      </c>
      <c r="BR47" s="1">
        <f t="shared" si="76"/>
        <v>58766</v>
      </c>
      <c r="BS47" s="66">
        <f>BS46*(1-BS65)</f>
        <v>61653.397472703218</v>
      </c>
      <c r="BT47" s="66">
        <f t="shared" ref="BT47:CB47" si="78">BT46*(1-BT65)</f>
        <v>64967.031262589371</v>
      </c>
      <c r="BU47" s="66">
        <f t="shared" si="78"/>
        <v>67337.843711975875</v>
      </c>
      <c r="BV47" s="66">
        <f t="shared" si="78"/>
        <v>69816.407752505926</v>
      </c>
      <c r="BW47" s="66">
        <f t="shared" si="78"/>
        <v>71892.549746199002</v>
      </c>
      <c r="BX47" s="66">
        <f t="shared" si="78"/>
        <v>74767.668967072183</v>
      </c>
      <c r="BY47" s="66">
        <f t="shared" si="78"/>
        <v>77875.27615020056</v>
      </c>
      <c r="BZ47" s="66">
        <f t="shared" si="78"/>
        <v>80407.113059075724</v>
      </c>
      <c r="CA47" s="66">
        <f t="shared" si="78"/>
        <v>82610.826561760405</v>
      </c>
      <c r="CB47" s="66">
        <f t="shared" si="78"/>
        <v>84450.529208745895</v>
      </c>
    </row>
    <row r="48" spans="2:132">
      <c r="B48" s="1" t="s">
        <v>55</v>
      </c>
      <c r="C48" s="1">
        <f t="shared" ref="C48:Z48" si="79">C46-C47</f>
        <v>5244</v>
      </c>
      <c r="D48" s="1">
        <f t="shared" si="79"/>
        <v>5677</v>
      </c>
      <c r="E48" s="1">
        <f t="shared" si="79"/>
        <v>6102</v>
      </c>
      <c r="F48" s="1">
        <f t="shared" si="79"/>
        <v>5370</v>
      </c>
      <c r="G48" s="1">
        <f t="shared" si="79"/>
        <v>5735</v>
      </c>
      <c r="H48" s="1">
        <f t="shared" si="79"/>
        <v>5771</v>
      </c>
      <c r="I48" s="1">
        <f t="shared" si="79"/>
        <v>6438</v>
      </c>
      <c r="J48" s="1">
        <f t="shared" si="79"/>
        <v>6157</v>
      </c>
      <c r="K48" s="1">
        <f t="shared" si="79"/>
        <v>6621</v>
      </c>
      <c r="L48" s="1">
        <f t="shared" si="79"/>
        <v>6105</v>
      </c>
      <c r="M48" s="1">
        <f t="shared" si="79"/>
        <v>7076</v>
      </c>
      <c r="N48" s="1">
        <f t="shared" si="79"/>
        <v>5837</v>
      </c>
      <c r="O48" s="1">
        <f t="shared" si="79"/>
        <v>6378</v>
      </c>
      <c r="P48" s="1">
        <f t="shared" si="79"/>
        <v>6367</v>
      </c>
      <c r="Q48" s="1">
        <f t="shared" si="79"/>
        <v>6521</v>
      </c>
      <c r="R48" s="1">
        <f t="shared" si="79"/>
        <v>5565</v>
      </c>
      <c r="S48" s="1">
        <f t="shared" si="79"/>
        <v>6622</v>
      </c>
      <c r="T48" s="1">
        <f t="shared" si="79"/>
        <v>7007</v>
      </c>
      <c r="U48" s="1">
        <f t="shared" si="79"/>
        <v>6881</v>
      </c>
      <c r="V48" s="1">
        <f t="shared" si="79"/>
        <v>6198</v>
      </c>
      <c r="W48" s="1">
        <f t="shared" si="79"/>
        <v>6302</v>
      </c>
      <c r="X48" s="1">
        <f t="shared" si="79"/>
        <v>6546</v>
      </c>
      <c r="Y48" s="1">
        <f t="shared" si="79"/>
        <v>7425</v>
      </c>
      <c r="Z48" s="1">
        <f t="shared" si="79"/>
        <v>7273</v>
      </c>
      <c r="AA48" s="1">
        <f t="shared" ref="AA48:AT48" si="80">AA46-AA47</f>
        <v>7843</v>
      </c>
      <c r="AB48" s="1">
        <f t="shared" si="80"/>
        <v>6088</v>
      </c>
      <c r="AC48" s="1">
        <f t="shared" si="80"/>
        <v>3883</v>
      </c>
      <c r="AD48" s="1">
        <f t="shared" si="80"/>
        <v>3694</v>
      </c>
      <c r="AE48" s="1">
        <f t="shared" si="80"/>
        <v>4474</v>
      </c>
      <c r="AF48" s="1">
        <f t="shared" si="80"/>
        <v>5831</v>
      </c>
      <c r="AG48" s="1">
        <f t="shared" si="80"/>
        <v>5789</v>
      </c>
      <c r="AH48" s="1">
        <f t="shared" si="80"/>
        <v>6193</v>
      </c>
      <c r="AI48" s="1">
        <f t="shared" si="80"/>
        <v>7252</v>
      </c>
      <c r="AJ48" s="1">
        <f t="shared" si="80"/>
        <v>6655</v>
      </c>
      <c r="AK48" s="1">
        <f t="shared" si="80"/>
        <v>7822</v>
      </c>
      <c r="AL48" s="1">
        <f t="shared" si="80"/>
        <v>6592</v>
      </c>
      <c r="AM48" s="1">
        <f t="shared" si="80"/>
        <v>7126</v>
      </c>
      <c r="AN48" s="1">
        <f t="shared" si="80"/>
        <v>7199</v>
      </c>
      <c r="AO48" s="1">
        <f t="shared" si="80"/>
        <v>7859</v>
      </c>
      <c r="AP48" s="1">
        <f t="shared" si="80"/>
        <v>7513</v>
      </c>
      <c r="AQ48" s="1">
        <f t="shared" si="80"/>
        <v>7962</v>
      </c>
      <c r="AR48" s="1">
        <f t="shared" si="80"/>
        <v>7911</v>
      </c>
      <c r="AS48" s="1">
        <f t="shared" si="80"/>
        <v>8446</v>
      </c>
      <c r="AT48" s="1">
        <f t="shared" si="80"/>
        <v>8344</v>
      </c>
      <c r="AU48" s="1">
        <f>AU46-AU47</f>
        <v>9284</v>
      </c>
      <c r="AV48" s="1">
        <f t="shared" ref="AV48:AX48" si="81">AV46-AV47</f>
        <v>8811</v>
      </c>
      <c r="AW48" s="1">
        <f t="shared" si="81"/>
        <v>9118</v>
      </c>
      <c r="AX48" s="1">
        <f t="shared" si="81"/>
        <v>8446</v>
      </c>
      <c r="AY48" s="1">
        <f t="shared" ref="AY48" si="82">AY46-AY47</f>
        <v>9312</v>
      </c>
      <c r="BG48" s="1">
        <f t="shared" si="65"/>
        <v>22393</v>
      </c>
      <c r="BH48" s="1">
        <f t="shared" si="66"/>
        <v>24101</v>
      </c>
      <c r="BI48" s="1">
        <f t="shared" si="67"/>
        <v>25639</v>
      </c>
      <c r="BJ48" s="1">
        <f t="shared" si="68"/>
        <v>24831</v>
      </c>
      <c r="BK48" s="1">
        <f t="shared" si="69"/>
        <v>26708</v>
      </c>
      <c r="BL48" s="1">
        <f t="shared" si="70"/>
        <v>27546</v>
      </c>
      <c r="BM48" s="1">
        <f t="shared" si="71"/>
        <v>21508</v>
      </c>
      <c r="BN48" s="1">
        <f t="shared" si="72"/>
        <v>22287</v>
      </c>
      <c r="BO48" s="1">
        <f t="shared" si="73"/>
        <v>28321</v>
      </c>
      <c r="BP48" s="1">
        <f t="shared" si="74"/>
        <v>29697</v>
      </c>
      <c r="BQ48" s="1">
        <f t="shared" si="75"/>
        <v>32663</v>
      </c>
      <c r="BR48" s="1">
        <f t="shared" si="76"/>
        <v>35659</v>
      </c>
      <c r="BS48" s="66">
        <f>BS46-BS47</f>
        <v>37411.062527296788</v>
      </c>
      <c r="BT48" s="66">
        <f t="shared" ref="BT48:CB48" si="83">BT46-BT47</f>
        <v>39421.763737410642</v>
      </c>
      <c r="BU48" s="66">
        <f t="shared" si="83"/>
        <v>40860.364308024145</v>
      </c>
      <c r="BV48" s="66">
        <f t="shared" si="83"/>
        <v>42364.348161294081</v>
      </c>
      <c r="BW48" s="66">
        <f t="shared" si="83"/>
        <v>43624.143746379021</v>
      </c>
      <c r="BX48" s="66">
        <f t="shared" si="83"/>
        <v>45368.755874090915</v>
      </c>
      <c r="BY48" s="66">
        <f t="shared" si="83"/>
        <v>47254.440871252096</v>
      </c>
      <c r="BZ48" s="66">
        <f t="shared" si="83"/>
        <v>48790.750511751365</v>
      </c>
      <c r="CA48" s="66">
        <f t="shared" si="83"/>
        <v>50127.956035221272</v>
      </c>
      <c r="CB48" s="66">
        <f t="shared" si="83"/>
        <v>51244.281064810755</v>
      </c>
    </row>
    <row r="49" spans="2:132">
      <c r="B49" s="1" t="s">
        <v>923</v>
      </c>
      <c r="C49" s="1">
        <v>2018</v>
      </c>
      <c r="D49" s="1">
        <v>2116</v>
      </c>
      <c r="E49" s="1">
        <v>2047</v>
      </c>
      <c r="F49" s="1">
        <v>2384</v>
      </c>
      <c r="G49" s="1">
        <v>1935</v>
      </c>
      <c r="H49" s="1">
        <v>2081</v>
      </c>
      <c r="I49" s="1">
        <v>2101</v>
      </c>
      <c r="J49" s="1">
        <v>2406</v>
      </c>
      <c r="K49" s="1">
        <v>2025</v>
      </c>
      <c r="L49" s="1">
        <v>2137</v>
      </c>
      <c r="M49" s="1">
        <v>2305</v>
      </c>
      <c r="N49" s="1">
        <v>2287</v>
      </c>
      <c r="O49" s="1">
        <v>1985</v>
      </c>
      <c r="P49" s="1">
        <v>1941</v>
      </c>
      <c r="Q49" s="1">
        <v>2022</v>
      </c>
      <c r="R49" s="1">
        <v>2228</v>
      </c>
      <c r="S49" s="1">
        <v>2087</v>
      </c>
      <c r="T49" s="1">
        <v>2239</v>
      </c>
      <c r="U49" s="1">
        <v>2213</v>
      </c>
      <c r="V49" s="1">
        <v>2321</v>
      </c>
      <c r="W49" s="1">
        <v>2152</v>
      </c>
      <c r="X49" s="1">
        <v>2330</v>
      </c>
      <c r="Y49" s="1">
        <v>3368</v>
      </c>
      <c r="Z49" s="1">
        <v>3699</v>
      </c>
      <c r="AA49" s="1">
        <v>3709</v>
      </c>
      <c r="AB49" s="1">
        <v>3393</v>
      </c>
      <c r="AC49" s="1">
        <v>2455</v>
      </c>
      <c r="AD49" s="1">
        <v>2812</v>
      </c>
      <c r="AE49" s="1">
        <v>2917</v>
      </c>
      <c r="AF49" s="1">
        <v>3113</v>
      </c>
      <c r="AG49" s="1">
        <v>3168</v>
      </c>
      <c r="AH49" s="1">
        <v>4319</v>
      </c>
      <c r="AI49" s="1">
        <v>3787</v>
      </c>
      <c r="AJ49" s="1">
        <v>3768</v>
      </c>
      <c r="AK49" s="1">
        <v>4100</v>
      </c>
      <c r="AL49" s="1">
        <v>4733</v>
      </c>
      <c r="AM49" s="1">
        <v>3827</v>
      </c>
      <c r="AN49" s="1">
        <v>3614</v>
      </c>
      <c r="AO49" s="1">
        <v>3874</v>
      </c>
      <c r="AP49" s="1">
        <v>4021</v>
      </c>
      <c r="AQ49" s="1">
        <v>3783</v>
      </c>
      <c r="AR49" s="1">
        <v>3790</v>
      </c>
      <c r="AS49" s="1">
        <v>3872</v>
      </c>
      <c r="AT49" s="1">
        <v>4314</v>
      </c>
      <c r="AU49" s="1">
        <v>3930</v>
      </c>
      <c r="AV49" s="1">
        <v>3981</v>
      </c>
      <c r="AW49" s="1">
        <v>4141</v>
      </c>
      <c r="AX49" s="1">
        <v>4449</v>
      </c>
      <c r="AY49" s="1">
        <v>4121</v>
      </c>
      <c r="BG49" s="1">
        <f t="shared" si="65"/>
        <v>8565</v>
      </c>
      <c r="BH49" s="1">
        <f t="shared" si="66"/>
        <v>8523</v>
      </c>
      <c r="BI49" s="1">
        <f t="shared" si="67"/>
        <v>8754</v>
      </c>
      <c r="BJ49" s="1">
        <f t="shared" si="68"/>
        <v>8176</v>
      </c>
      <c r="BK49" s="1">
        <f t="shared" si="69"/>
        <v>8860</v>
      </c>
      <c r="BL49" s="1">
        <f t="shared" si="70"/>
        <v>11549</v>
      </c>
      <c r="BM49" s="1">
        <f t="shared" si="71"/>
        <v>12369</v>
      </c>
      <c r="BN49" s="1">
        <f t="shared" si="72"/>
        <v>13517</v>
      </c>
      <c r="BO49" s="1">
        <f t="shared" si="73"/>
        <v>16388</v>
      </c>
      <c r="BP49" s="1">
        <f t="shared" si="74"/>
        <v>15336</v>
      </c>
      <c r="BQ49" s="1">
        <f t="shared" si="75"/>
        <v>15759</v>
      </c>
      <c r="BR49" s="1">
        <f t="shared" si="76"/>
        <v>16501</v>
      </c>
      <c r="BS49" s="66">
        <f>BS46*BS66</f>
        <v>17336.280500000001</v>
      </c>
      <c r="BT49" s="66">
        <f t="shared" ref="BT49:CB49" si="84">BT46*BT66</f>
        <v>16702.207200000001</v>
      </c>
      <c r="BU49" s="66">
        <f t="shared" si="84"/>
        <v>17041.217763150002</v>
      </c>
      <c r="BV49" s="66">
        <f t="shared" si="84"/>
        <v>17388.017166639002</v>
      </c>
      <c r="BW49" s="66">
        <f t="shared" si="84"/>
        <v>17789.570797857014</v>
      </c>
      <c r="BX49" s="66">
        <f t="shared" si="84"/>
        <v>18380.873000697953</v>
      </c>
      <c r="BY49" s="66">
        <f t="shared" si="84"/>
        <v>19019.716987260803</v>
      </c>
      <c r="BZ49" s="66">
        <f t="shared" si="84"/>
        <v>19508.877399194891</v>
      </c>
      <c r="CA49" s="66">
        <f t="shared" si="84"/>
        <v>19910.81738954725</v>
      </c>
      <c r="CB49" s="66">
        <f t="shared" si="84"/>
        <v>20354.221541033497</v>
      </c>
    </row>
    <row r="50" spans="2:132">
      <c r="B50" s="1" t="s">
        <v>924</v>
      </c>
      <c r="C50" s="1">
        <v>580</v>
      </c>
      <c r="D50" s="1">
        <v>628</v>
      </c>
      <c r="E50" s="1">
        <v>557</v>
      </c>
      <c r="F50" s="1">
        <v>663</v>
      </c>
      <c r="G50" s="1">
        <v>592</v>
      </c>
      <c r="H50" s="1">
        <v>584</v>
      </c>
      <c r="I50" s="1">
        <v>575</v>
      </c>
      <c r="J50" s="1">
        <v>656</v>
      </c>
      <c r="K50" s="1">
        <v>688</v>
      </c>
      <c r="L50" s="1">
        <v>605</v>
      </c>
      <c r="M50" s="1">
        <v>670</v>
      </c>
      <c r="N50" s="1">
        <v>720</v>
      </c>
      <c r="O50" s="1">
        <v>687</v>
      </c>
      <c r="P50" s="1">
        <v>676</v>
      </c>
      <c r="Q50" s="1">
        <v>711</v>
      </c>
      <c r="R50" s="1">
        <v>806</v>
      </c>
      <c r="S50" s="1">
        <v>757</v>
      </c>
      <c r="T50" s="1">
        <v>744</v>
      </c>
      <c r="U50" s="1">
        <v>744</v>
      </c>
      <c r="V50" s="1">
        <v>799</v>
      </c>
      <c r="W50" s="1">
        <v>732</v>
      </c>
      <c r="X50" s="1">
        <v>1490</v>
      </c>
      <c r="Y50" s="1">
        <v>1513</v>
      </c>
      <c r="Z50" s="1">
        <v>1615</v>
      </c>
      <c r="AA50" s="1">
        <v>1449</v>
      </c>
      <c r="AB50" s="1">
        <v>1479</v>
      </c>
      <c r="AC50" s="1">
        <v>6424</v>
      </c>
      <c r="AD50" s="1">
        <v>1728</v>
      </c>
      <c r="AE50" s="1">
        <v>1411</v>
      </c>
      <c r="AF50" s="1">
        <v>1686</v>
      </c>
      <c r="AG50" s="1">
        <v>1301</v>
      </c>
      <c r="AH50" s="1">
        <v>713</v>
      </c>
      <c r="AI50" s="1">
        <v>1269</v>
      </c>
      <c r="AJ50" s="1">
        <v>1482</v>
      </c>
      <c r="AK50" s="1">
        <v>1332</v>
      </c>
      <c r="AL50" s="1">
        <v>1080</v>
      </c>
      <c r="AM50" s="1">
        <v>1306</v>
      </c>
      <c r="AN50" s="1">
        <v>1310</v>
      </c>
      <c r="AO50" s="1">
        <v>1344</v>
      </c>
      <c r="AP50" s="1">
        <v>1409</v>
      </c>
      <c r="AQ50" s="1">
        <v>1243</v>
      </c>
      <c r="AR50" s="1">
        <v>1242</v>
      </c>
      <c r="AS50" s="1">
        <v>1220</v>
      </c>
      <c r="AT50" s="1">
        <v>1285</v>
      </c>
      <c r="AU50" s="1">
        <v>1276</v>
      </c>
      <c r="AV50" s="1">
        <v>1324</v>
      </c>
      <c r="AW50" s="1">
        <v>1332</v>
      </c>
      <c r="AX50" s="1">
        <v>1394</v>
      </c>
      <c r="AY50" s="1">
        <v>1316</v>
      </c>
      <c r="BG50" s="1">
        <f t="shared" si="65"/>
        <v>2428</v>
      </c>
      <c r="BH50" s="1">
        <f t="shared" si="66"/>
        <v>2407</v>
      </c>
      <c r="BI50" s="1">
        <f t="shared" si="67"/>
        <v>2683</v>
      </c>
      <c r="BJ50" s="1">
        <f t="shared" si="68"/>
        <v>2880</v>
      </c>
      <c r="BK50" s="1">
        <f t="shared" si="69"/>
        <v>3044</v>
      </c>
      <c r="BL50" s="1">
        <f t="shared" si="70"/>
        <v>5350</v>
      </c>
      <c r="BM50" s="1">
        <f t="shared" si="71"/>
        <v>11080</v>
      </c>
      <c r="BN50" s="1">
        <f t="shared" si="72"/>
        <v>5111</v>
      </c>
      <c r="BO50" s="1">
        <f t="shared" si="73"/>
        <v>5163</v>
      </c>
      <c r="BP50" s="1">
        <f t="shared" si="74"/>
        <v>5369</v>
      </c>
      <c r="BQ50" s="1">
        <f t="shared" si="75"/>
        <v>4990</v>
      </c>
      <c r="BR50" s="1">
        <f t="shared" si="76"/>
        <v>5326</v>
      </c>
      <c r="BS50" s="66">
        <f>BS46*BS67</f>
        <v>5587.6866715382585</v>
      </c>
      <c r="BT50" s="66">
        <f t="shared" ref="BT50:CB50" si="85">BT46*BT67</f>
        <v>6054.550110000001</v>
      </c>
      <c r="BU50" s="66">
        <f t="shared" si="85"/>
        <v>6275.4960651600013</v>
      </c>
      <c r="BV50" s="66">
        <f t="shared" si="85"/>
        <v>6394.3030870866005</v>
      </c>
      <c r="BW50" s="66">
        <f t="shared" si="85"/>
        <v>6584.4515290769477</v>
      </c>
      <c r="BX50" s="66">
        <f t="shared" si="85"/>
        <v>6776.2414477525517</v>
      </c>
      <c r="BY50" s="66">
        <f t="shared" si="85"/>
        <v>7057.8858655679842</v>
      </c>
      <c r="BZ50" s="66">
        <f t="shared" si="85"/>
        <v>7287.3478567987831</v>
      </c>
      <c r="CA50" s="66">
        <f t="shared" si="85"/>
        <v>7487.0718147897742</v>
      </c>
      <c r="CB50" s="66">
        <f t="shared" si="85"/>
        <v>7653.8052371401936</v>
      </c>
    </row>
    <row r="51" spans="2:132">
      <c r="B51" s="1" t="s">
        <v>925</v>
      </c>
      <c r="C51" s="1">
        <f t="shared" ref="C51:Z51" si="86">C48-SUM(C49:C50)</f>
        <v>2646</v>
      </c>
      <c r="D51" s="1">
        <f t="shared" si="86"/>
        <v>2933</v>
      </c>
      <c r="E51" s="1">
        <f t="shared" si="86"/>
        <v>3498</v>
      </c>
      <c r="F51" s="1">
        <f t="shared" si="86"/>
        <v>2323</v>
      </c>
      <c r="G51" s="1">
        <f t="shared" si="86"/>
        <v>3208</v>
      </c>
      <c r="H51" s="1">
        <f t="shared" si="86"/>
        <v>3106</v>
      </c>
      <c r="I51" s="1">
        <f t="shared" si="86"/>
        <v>3762</v>
      </c>
      <c r="J51" s="1">
        <f t="shared" si="86"/>
        <v>3095</v>
      </c>
      <c r="K51" s="1">
        <f t="shared" si="86"/>
        <v>3908</v>
      </c>
      <c r="L51" s="1">
        <f t="shared" si="86"/>
        <v>3363</v>
      </c>
      <c r="M51" s="1">
        <f t="shared" si="86"/>
        <v>4101</v>
      </c>
      <c r="N51" s="1">
        <f t="shared" si="86"/>
        <v>2830</v>
      </c>
      <c r="O51" s="1">
        <f t="shared" si="86"/>
        <v>3706</v>
      </c>
      <c r="P51" s="1">
        <f t="shared" si="86"/>
        <v>3750</v>
      </c>
      <c r="Q51" s="1">
        <f t="shared" si="86"/>
        <v>3788</v>
      </c>
      <c r="R51" s="1">
        <f t="shared" si="86"/>
        <v>2531</v>
      </c>
      <c r="S51" s="1">
        <f t="shared" si="86"/>
        <v>3778</v>
      </c>
      <c r="T51" s="1">
        <f t="shared" si="86"/>
        <v>4024</v>
      </c>
      <c r="U51" s="1">
        <f t="shared" si="86"/>
        <v>3924</v>
      </c>
      <c r="V51" s="1">
        <f t="shared" si="86"/>
        <v>3078</v>
      </c>
      <c r="W51" s="1">
        <f t="shared" si="86"/>
        <v>3418</v>
      </c>
      <c r="X51" s="1">
        <f t="shared" si="86"/>
        <v>2726</v>
      </c>
      <c r="Y51" s="1">
        <f t="shared" si="86"/>
        <v>2544</v>
      </c>
      <c r="Z51" s="1">
        <f t="shared" si="86"/>
        <v>1959</v>
      </c>
      <c r="AA51" s="1">
        <f>AA48-SUM(AA49:AA50)</f>
        <v>2685</v>
      </c>
      <c r="AB51" s="1">
        <f t="shared" ref="AB51:AX51" si="87">AB48-SUM(AB49:AB50)</f>
        <v>1216</v>
      </c>
      <c r="AC51" s="1">
        <f t="shared" si="87"/>
        <v>-4996</v>
      </c>
      <c r="AD51" s="1">
        <f t="shared" si="87"/>
        <v>-846</v>
      </c>
      <c r="AE51" s="1">
        <f t="shared" si="87"/>
        <v>146</v>
      </c>
      <c r="AF51" s="1">
        <f t="shared" si="87"/>
        <v>1032</v>
      </c>
      <c r="AG51" s="1">
        <f t="shared" si="87"/>
        <v>1320</v>
      </c>
      <c r="AH51" s="1">
        <f t="shared" si="87"/>
        <v>1161</v>
      </c>
      <c r="AI51" s="1">
        <f t="shared" si="87"/>
        <v>2196</v>
      </c>
      <c r="AJ51" s="1">
        <f t="shared" si="87"/>
        <v>1405</v>
      </c>
      <c r="AK51" s="1">
        <f t="shared" si="87"/>
        <v>2390</v>
      </c>
      <c r="AL51" s="1">
        <f t="shared" si="87"/>
        <v>779</v>
      </c>
      <c r="AM51" s="1">
        <f t="shared" si="87"/>
        <v>1993</v>
      </c>
      <c r="AN51" s="1">
        <f t="shared" si="87"/>
        <v>2275</v>
      </c>
      <c r="AO51" s="1">
        <f t="shared" si="87"/>
        <v>2641</v>
      </c>
      <c r="AP51" s="1">
        <f t="shared" si="87"/>
        <v>2083</v>
      </c>
      <c r="AQ51" s="1">
        <f t="shared" si="87"/>
        <v>2936</v>
      </c>
      <c r="AR51" s="1">
        <f t="shared" si="87"/>
        <v>2879</v>
      </c>
      <c r="AS51" s="1">
        <f t="shared" si="87"/>
        <v>3354</v>
      </c>
      <c r="AT51" s="1">
        <f t="shared" si="87"/>
        <v>2745</v>
      </c>
      <c r="AU51" s="1">
        <f t="shared" si="87"/>
        <v>4078</v>
      </c>
      <c r="AV51" s="1">
        <f t="shared" si="87"/>
        <v>3506</v>
      </c>
      <c r="AW51" s="1">
        <f t="shared" si="87"/>
        <v>3645</v>
      </c>
      <c r="AX51" s="1">
        <f t="shared" si="87"/>
        <v>2603</v>
      </c>
      <c r="AY51" s="1">
        <f t="shared" ref="AY51" si="88">AY48-SUM(AY49:AY50)</f>
        <v>3875</v>
      </c>
      <c r="BG51" s="1">
        <f t="shared" si="65"/>
        <v>11400</v>
      </c>
      <c r="BH51" s="1">
        <f t="shared" si="66"/>
        <v>13171</v>
      </c>
      <c r="BI51" s="1">
        <f t="shared" si="67"/>
        <v>14202</v>
      </c>
      <c r="BJ51" s="1">
        <f t="shared" si="68"/>
        <v>13775</v>
      </c>
      <c r="BK51" s="1">
        <f t="shared" si="69"/>
        <v>14804</v>
      </c>
      <c r="BL51" s="1">
        <f t="shared" si="70"/>
        <v>10647</v>
      </c>
      <c r="BM51" s="1">
        <f t="shared" si="71"/>
        <v>-1941</v>
      </c>
      <c r="BN51" s="1">
        <f t="shared" si="72"/>
        <v>3659</v>
      </c>
      <c r="BO51" s="1">
        <f t="shared" si="73"/>
        <v>6770</v>
      </c>
      <c r="BP51" s="1">
        <f t="shared" si="74"/>
        <v>8992</v>
      </c>
      <c r="BQ51" s="1">
        <f t="shared" si="75"/>
        <v>11914</v>
      </c>
      <c r="BR51" s="1">
        <f t="shared" si="76"/>
        <v>13832</v>
      </c>
      <c r="BS51" s="66">
        <f>BS48-SUM(BS49:BS50)</f>
        <v>14487.095355758531</v>
      </c>
      <c r="BT51" s="66">
        <f t="shared" ref="BT51:CB51" si="89">BT48-SUM(BT49:BT50)</f>
        <v>16665.006427410641</v>
      </c>
      <c r="BU51" s="66">
        <f t="shared" si="89"/>
        <v>17543.650479714142</v>
      </c>
      <c r="BV51" s="66">
        <f t="shared" si="89"/>
        <v>18582.027907568481</v>
      </c>
      <c r="BW51" s="66">
        <f t="shared" si="89"/>
        <v>19250.121419445059</v>
      </c>
      <c r="BX51" s="66">
        <f t="shared" si="89"/>
        <v>20211.64142564041</v>
      </c>
      <c r="BY51" s="66">
        <f t="shared" si="89"/>
        <v>21176.83801842331</v>
      </c>
      <c r="BZ51" s="66">
        <f t="shared" si="89"/>
        <v>21994.52525575769</v>
      </c>
      <c r="CA51" s="66">
        <f t="shared" si="89"/>
        <v>22730.066830884247</v>
      </c>
      <c r="CB51" s="66">
        <f t="shared" si="89"/>
        <v>23236.254286637064</v>
      </c>
    </row>
    <row r="52" spans="2:132">
      <c r="B52" s="1" t="s">
        <v>926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BG52" s="1">
        <f t="shared" ref="BG52:BG63" si="90">SUM(C52:F52)</f>
        <v>0</v>
      </c>
      <c r="BH52" s="1">
        <f t="shared" ref="BH52:BH63" si="91">SUM(G52:J52)</f>
        <v>0</v>
      </c>
      <c r="BI52" s="1">
        <f t="shared" ref="BI52:BI63" si="92">SUM(K52:N52)</f>
        <v>0</v>
      </c>
      <c r="BJ52" s="1">
        <f t="shared" ref="BJ52:BJ63" si="93">SUM(O52:R52)</f>
        <v>0</v>
      </c>
      <c r="BK52" s="1">
        <f t="shared" ref="BK52:BK63" si="94">SUM(S52:V52)</f>
        <v>0</v>
      </c>
      <c r="BL52" s="1">
        <f t="shared" ref="BL52:BL63" si="95">SUM(W52:Z52)</f>
        <v>0</v>
      </c>
      <c r="BM52" s="1">
        <f t="shared" ref="BM52:BM63" si="96">SUM(AA52:AD52)</f>
        <v>0</v>
      </c>
      <c r="BN52" s="1">
        <f t="shared" ref="BN52:BN63" si="97">SUM(AE52:AH52)</f>
        <v>0</v>
      </c>
      <c r="BO52" s="1">
        <f t="shared" ref="BO52:BO63" si="98">SUM(AI52:AL52)</f>
        <v>0</v>
      </c>
      <c r="BP52" s="1">
        <f t="shared" ref="BP52:BP63" si="99">SUM(AM52:AP52)</f>
        <v>0</v>
      </c>
      <c r="BQ52" s="1">
        <f t="shared" ref="BQ52:BQ63" si="100">SUM(AQ52:AT52)</f>
        <v>0</v>
      </c>
      <c r="BR52" s="1">
        <f t="shared" ref="BR52:BR63" si="101">SUM(AU52:AX52)</f>
        <v>0</v>
      </c>
      <c r="BS52" s="66">
        <v>0</v>
      </c>
      <c r="BT52" s="66">
        <v>0</v>
      </c>
      <c r="BU52" s="66">
        <v>0</v>
      </c>
      <c r="BV52" s="66">
        <v>0</v>
      </c>
      <c r="BW52" s="66">
        <v>0</v>
      </c>
      <c r="BX52" s="66">
        <v>0</v>
      </c>
      <c r="BY52" s="66">
        <v>0</v>
      </c>
      <c r="BZ52" s="66">
        <v>0</v>
      </c>
      <c r="CA52" s="66">
        <v>0</v>
      </c>
      <c r="CB52" s="66">
        <v>0</v>
      </c>
    </row>
    <row r="53" spans="2:132">
      <c r="B53" s="1" t="s">
        <v>927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BG53" s="1">
        <f t="shared" si="90"/>
        <v>0</v>
      </c>
      <c r="BH53" s="1">
        <f t="shared" si="91"/>
        <v>0</v>
      </c>
      <c r="BI53" s="1">
        <f t="shared" si="92"/>
        <v>0</v>
      </c>
      <c r="BJ53" s="1">
        <f t="shared" si="93"/>
        <v>0</v>
      </c>
      <c r="BK53" s="1">
        <f t="shared" si="94"/>
        <v>0</v>
      </c>
      <c r="BL53" s="1">
        <f t="shared" si="95"/>
        <v>0</v>
      </c>
      <c r="BM53" s="1">
        <f t="shared" si="96"/>
        <v>0</v>
      </c>
      <c r="BN53" s="1">
        <f t="shared" si="97"/>
        <v>0</v>
      </c>
      <c r="BO53" s="1">
        <f t="shared" si="98"/>
        <v>0</v>
      </c>
      <c r="BP53" s="1">
        <f t="shared" si="99"/>
        <v>0</v>
      </c>
      <c r="BQ53" s="1">
        <f t="shared" si="100"/>
        <v>0</v>
      </c>
      <c r="BR53" s="1">
        <f t="shared" si="101"/>
        <v>0</v>
      </c>
      <c r="BS53" s="66">
        <v>0</v>
      </c>
      <c r="BT53" s="66">
        <v>0</v>
      </c>
      <c r="BU53" s="66">
        <v>0</v>
      </c>
      <c r="BV53" s="66">
        <v>0</v>
      </c>
      <c r="BW53" s="66">
        <v>0</v>
      </c>
      <c r="BX53" s="66">
        <v>0</v>
      </c>
      <c r="BY53" s="66">
        <v>0</v>
      </c>
      <c r="BZ53" s="66">
        <v>0</v>
      </c>
      <c r="CA53" s="66">
        <v>0</v>
      </c>
      <c r="CB53" s="66">
        <v>0</v>
      </c>
    </row>
    <row r="54" spans="2:132">
      <c r="B54" s="1" t="s">
        <v>928</v>
      </c>
      <c r="C54" s="1">
        <v>294</v>
      </c>
      <c r="D54" s="1">
        <v>242</v>
      </c>
      <c r="E54" s="1">
        <v>172</v>
      </c>
      <c r="F54" s="1">
        <v>138</v>
      </c>
      <c r="G54" s="1">
        <v>154</v>
      </c>
      <c r="H54" s="1">
        <v>214</v>
      </c>
      <c r="I54" s="1">
        <v>200</v>
      </c>
      <c r="J54" s="1">
        <v>129</v>
      </c>
      <c r="K54" s="1">
        <v>450</v>
      </c>
      <c r="L54" s="1">
        <v>83</v>
      </c>
      <c r="M54" s="1">
        <v>82</v>
      </c>
      <c r="N54" s="1">
        <v>51</v>
      </c>
      <c r="O54" s="1">
        <v>19</v>
      </c>
      <c r="P54" s="1">
        <v>1</v>
      </c>
      <c r="Q54" s="1">
        <v>-170</v>
      </c>
      <c r="R54" s="1">
        <v>163</v>
      </c>
      <c r="S54" s="1">
        <v>-33</v>
      </c>
      <c r="T54" s="1">
        <v>-96</v>
      </c>
      <c r="U54" s="1">
        <v>-70</v>
      </c>
      <c r="V54" s="1">
        <v>124</v>
      </c>
      <c r="W54" s="1">
        <v>13</v>
      </c>
      <c r="X54" s="1">
        <v>4511</v>
      </c>
      <c r="Y54" s="1">
        <v>-535</v>
      </c>
      <c r="Z54" s="1">
        <v>-713</v>
      </c>
      <c r="AA54" s="1">
        <v>-59</v>
      </c>
      <c r="AB54" s="1">
        <v>-165</v>
      </c>
      <c r="AC54" s="1">
        <v>156</v>
      </c>
      <c r="AD54" s="1">
        <v>266</v>
      </c>
      <c r="AE54" s="1">
        <v>-100</v>
      </c>
      <c r="AF54" s="1">
        <v>198</v>
      </c>
      <c r="AG54" s="1">
        <v>-325</v>
      </c>
      <c r="AH54" s="1">
        <v>-871</v>
      </c>
      <c r="AI54" s="1">
        <v>-508</v>
      </c>
      <c r="AJ54" s="1">
        <v>-303</v>
      </c>
      <c r="AK54" s="1">
        <v>-271</v>
      </c>
      <c r="AL54" s="1">
        <v>-403</v>
      </c>
      <c r="AM54" s="1">
        <v>-220</v>
      </c>
      <c r="AN54" s="1">
        <v>-152</v>
      </c>
      <c r="AO54" s="1">
        <v>-2775</v>
      </c>
      <c r="AP54" s="1">
        <v>-1076</v>
      </c>
      <c r="AQ54" s="1">
        <v>-65</v>
      </c>
      <c r="AR54" s="1">
        <v>-2222</v>
      </c>
      <c r="AS54" s="1">
        <v>-261</v>
      </c>
      <c r="AT54" s="1">
        <v>-1797</v>
      </c>
      <c r="AU54" s="1">
        <v>-418</v>
      </c>
      <c r="AV54" s="1">
        <v>-419</v>
      </c>
      <c r="AW54" s="1">
        <v>-434</v>
      </c>
      <c r="AX54" s="1">
        <v>-558</v>
      </c>
      <c r="AY54" s="1">
        <v>-182</v>
      </c>
      <c r="BG54" s="1">
        <f t="shared" si="90"/>
        <v>846</v>
      </c>
      <c r="BH54" s="1">
        <f t="shared" si="91"/>
        <v>697</v>
      </c>
      <c r="BI54" s="1">
        <f t="shared" si="92"/>
        <v>666</v>
      </c>
      <c r="BJ54" s="1">
        <f t="shared" si="93"/>
        <v>13</v>
      </c>
      <c r="BK54" s="1">
        <f t="shared" si="94"/>
        <v>-75</v>
      </c>
      <c r="BL54" s="1">
        <f t="shared" si="95"/>
        <v>3276</v>
      </c>
      <c r="BM54" s="1">
        <f t="shared" si="96"/>
        <v>198</v>
      </c>
      <c r="BN54" s="1">
        <f t="shared" si="97"/>
        <v>-1098</v>
      </c>
      <c r="BO54" s="1">
        <f t="shared" si="98"/>
        <v>-1485</v>
      </c>
      <c r="BP54" s="1">
        <f t="shared" si="99"/>
        <v>-4223</v>
      </c>
      <c r="BQ54" s="1">
        <f t="shared" si="100"/>
        <v>-4345</v>
      </c>
      <c r="BR54" s="1">
        <f t="shared" si="101"/>
        <v>-1829</v>
      </c>
      <c r="BS54" s="66">
        <f t="shared" ref="BS54:CB54" si="102">(-BR90*0.065)+(BR72*($CL$72))</f>
        <v>-1768.6875</v>
      </c>
      <c r="BT54" s="66">
        <f t="shared" si="102"/>
        <v>-736.28062320702202</v>
      </c>
      <c r="BU54" s="66">
        <f t="shared" si="102"/>
        <v>507.27793469738072</v>
      </c>
      <c r="BV54" s="66">
        <f t="shared" si="102"/>
        <v>1896.5386203888418</v>
      </c>
      <c r="BW54" s="66">
        <f t="shared" si="102"/>
        <v>3453.5286652488521</v>
      </c>
      <c r="BX54" s="66">
        <f t="shared" si="102"/>
        <v>5164.0800792421123</v>
      </c>
      <c r="BY54" s="66">
        <f t="shared" si="102"/>
        <v>7060.2755833027604</v>
      </c>
      <c r="BZ54" s="66">
        <f t="shared" si="102"/>
        <v>9155.8332524673206</v>
      </c>
      <c r="CA54" s="66">
        <f t="shared" si="102"/>
        <v>11454.668327453188</v>
      </c>
      <c r="CB54" s="66">
        <f t="shared" si="102"/>
        <v>13965.619339831435</v>
      </c>
    </row>
    <row r="55" spans="2:132">
      <c r="B55" s="1" t="s">
        <v>929</v>
      </c>
      <c r="C55" s="1">
        <f t="shared" ref="C55:AH55" si="103">C51+SUM(C53:C54)</f>
        <v>2940</v>
      </c>
      <c r="D55" s="1">
        <f t="shared" si="103"/>
        <v>3175</v>
      </c>
      <c r="E55" s="1">
        <f t="shared" si="103"/>
        <v>3670</v>
      </c>
      <c r="F55" s="1">
        <f t="shared" si="103"/>
        <v>2461</v>
      </c>
      <c r="G55" s="1">
        <f t="shared" si="103"/>
        <v>3362</v>
      </c>
      <c r="H55" s="1">
        <f t="shared" si="103"/>
        <v>3320</v>
      </c>
      <c r="I55" s="1">
        <f t="shared" si="103"/>
        <v>3962</v>
      </c>
      <c r="J55" s="1">
        <f t="shared" si="103"/>
        <v>3224</v>
      </c>
      <c r="K55" s="1">
        <f t="shared" si="103"/>
        <v>4358</v>
      </c>
      <c r="L55" s="1">
        <f t="shared" si="103"/>
        <v>3446</v>
      </c>
      <c r="M55" s="1">
        <f t="shared" si="103"/>
        <v>4183</v>
      </c>
      <c r="N55" s="1">
        <f t="shared" si="103"/>
        <v>2881</v>
      </c>
      <c r="O55" s="1">
        <f t="shared" si="103"/>
        <v>3725</v>
      </c>
      <c r="P55" s="1">
        <f t="shared" si="103"/>
        <v>3751</v>
      </c>
      <c r="Q55" s="1">
        <f t="shared" si="103"/>
        <v>3618</v>
      </c>
      <c r="R55" s="1">
        <f t="shared" si="103"/>
        <v>2694</v>
      </c>
      <c r="S55" s="1">
        <f t="shared" si="103"/>
        <v>3745</v>
      </c>
      <c r="T55" s="1">
        <f t="shared" si="103"/>
        <v>3928</v>
      </c>
      <c r="U55" s="1">
        <f t="shared" si="103"/>
        <v>3854</v>
      </c>
      <c r="V55" s="1">
        <f t="shared" si="103"/>
        <v>3202</v>
      </c>
      <c r="W55" s="1">
        <f t="shared" si="103"/>
        <v>3431</v>
      </c>
      <c r="X55" s="1">
        <f t="shared" si="103"/>
        <v>7237</v>
      </c>
      <c r="Y55" s="1">
        <f t="shared" si="103"/>
        <v>2009</v>
      </c>
      <c r="Z55" s="1">
        <f t="shared" si="103"/>
        <v>1246</v>
      </c>
      <c r="AA55" s="1">
        <f t="shared" si="103"/>
        <v>2626</v>
      </c>
      <c r="AB55" s="1">
        <f t="shared" si="103"/>
        <v>1051</v>
      </c>
      <c r="AC55" s="1">
        <f t="shared" si="103"/>
        <v>-4840</v>
      </c>
      <c r="AD55" s="1">
        <f t="shared" si="103"/>
        <v>-580</v>
      </c>
      <c r="AE55" s="1">
        <f t="shared" si="103"/>
        <v>46</v>
      </c>
      <c r="AF55" s="1">
        <f t="shared" si="103"/>
        <v>1230</v>
      </c>
      <c r="AG55" s="1">
        <f t="shared" si="103"/>
        <v>995</v>
      </c>
      <c r="AH55" s="1">
        <f t="shared" si="103"/>
        <v>290</v>
      </c>
      <c r="AI55" s="1">
        <f t="shared" ref="AI55:AY55" si="104">AI51+SUM(AI53:AI54)</f>
        <v>1688</v>
      </c>
      <c r="AJ55" s="1">
        <f t="shared" si="104"/>
        <v>1102</v>
      </c>
      <c r="AK55" s="1">
        <f t="shared" si="104"/>
        <v>2119</v>
      </c>
      <c r="AL55" s="1">
        <f t="shared" si="104"/>
        <v>376</v>
      </c>
      <c r="AM55" s="1">
        <f t="shared" si="104"/>
        <v>1773</v>
      </c>
      <c r="AN55" s="1">
        <f t="shared" si="104"/>
        <v>2123</v>
      </c>
      <c r="AO55" s="1">
        <f t="shared" si="104"/>
        <v>-134</v>
      </c>
      <c r="AP55" s="1">
        <f t="shared" si="104"/>
        <v>1007</v>
      </c>
      <c r="AQ55" s="1">
        <f t="shared" si="104"/>
        <v>2871</v>
      </c>
      <c r="AR55" s="1">
        <f t="shared" si="104"/>
        <v>657</v>
      </c>
      <c r="AS55" s="1">
        <f t="shared" si="104"/>
        <v>3093</v>
      </c>
      <c r="AT55" s="1">
        <f t="shared" si="104"/>
        <v>948</v>
      </c>
      <c r="AU55" s="1">
        <f t="shared" si="104"/>
        <v>3660</v>
      </c>
      <c r="AV55" s="1">
        <f t="shared" si="104"/>
        <v>3087</v>
      </c>
      <c r="AW55" s="1">
        <f t="shared" si="104"/>
        <v>3211</v>
      </c>
      <c r="AX55" s="1">
        <f t="shared" si="104"/>
        <v>2045</v>
      </c>
      <c r="AY55" s="1">
        <f t="shared" si="104"/>
        <v>3693</v>
      </c>
      <c r="BG55" s="1">
        <f t="shared" si="90"/>
        <v>12246</v>
      </c>
      <c r="BH55" s="1">
        <f t="shared" si="91"/>
        <v>13868</v>
      </c>
      <c r="BI55" s="1">
        <f t="shared" si="92"/>
        <v>14868</v>
      </c>
      <c r="BJ55" s="1">
        <f t="shared" si="93"/>
        <v>13788</v>
      </c>
      <c r="BK55" s="1">
        <f t="shared" si="94"/>
        <v>14729</v>
      </c>
      <c r="BL55" s="1">
        <f t="shared" si="95"/>
        <v>13923</v>
      </c>
      <c r="BM55" s="1">
        <f t="shared" si="96"/>
        <v>-1743</v>
      </c>
      <c r="BN55" s="1">
        <f t="shared" si="97"/>
        <v>2561</v>
      </c>
      <c r="BO55" s="1">
        <f t="shared" si="98"/>
        <v>5285</v>
      </c>
      <c r="BP55" s="1">
        <f t="shared" si="99"/>
        <v>4769</v>
      </c>
      <c r="BQ55" s="1">
        <f t="shared" si="100"/>
        <v>7569</v>
      </c>
      <c r="BR55" s="1">
        <f t="shared" si="101"/>
        <v>12003</v>
      </c>
      <c r="BS55" s="66">
        <f>BS51+SUM(BS52:BS54)</f>
        <v>12718.407855758531</v>
      </c>
      <c r="BT55" s="66">
        <f t="shared" ref="BT55:CB55" si="105">BT51+SUM(BT52:BT54)</f>
        <v>15928.725804203619</v>
      </c>
      <c r="BU55" s="66">
        <f t="shared" si="105"/>
        <v>18050.928414411523</v>
      </c>
      <c r="BV55" s="66">
        <f t="shared" si="105"/>
        <v>20478.566527957322</v>
      </c>
      <c r="BW55" s="66">
        <f t="shared" si="105"/>
        <v>22703.650084693909</v>
      </c>
      <c r="BX55" s="66">
        <f t="shared" si="105"/>
        <v>25375.721504882524</v>
      </c>
      <c r="BY55" s="66">
        <f t="shared" si="105"/>
        <v>28237.113601726072</v>
      </c>
      <c r="BZ55" s="66">
        <f t="shared" si="105"/>
        <v>31150.35850822501</v>
      </c>
      <c r="CA55" s="66">
        <f t="shared" si="105"/>
        <v>34184.735158337433</v>
      </c>
      <c r="CB55" s="66">
        <f t="shared" si="105"/>
        <v>37201.873626468499</v>
      </c>
    </row>
    <row r="56" spans="2:132">
      <c r="B56" s="1" t="s">
        <v>930</v>
      </c>
      <c r="C56" s="1">
        <v>1036</v>
      </c>
      <c r="D56" s="1">
        <v>1119</v>
      </c>
      <c r="E56" s="1">
        <v>1251</v>
      </c>
      <c r="F56" s="1">
        <v>836</v>
      </c>
      <c r="G56" s="1">
        <v>1118</v>
      </c>
      <c r="H56" s="1">
        <v>1092</v>
      </c>
      <c r="I56" s="1">
        <v>1323</v>
      </c>
      <c r="J56" s="1">
        <v>1483</v>
      </c>
      <c r="K56" s="1">
        <v>1448</v>
      </c>
      <c r="L56" s="1">
        <v>1170</v>
      </c>
      <c r="M56" s="1">
        <v>1471</v>
      </c>
      <c r="N56" s="1">
        <v>989</v>
      </c>
      <c r="O56" s="1">
        <v>1237</v>
      </c>
      <c r="P56" s="1">
        <v>1212</v>
      </c>
      <c r="Q56" s="1">
        <v>1144</v>
      </c>
      <c r="R56" s="1">
        <v>829</v>
      </c>
      <c r="S56" s="1">
        <v>-728</v>
      </c>
      <c r="T56" s="1">
        <v>813</v>
      </c>
      <c r="U56" s="1">
        <v>795</v>
      </c>
      <c r="V56" s="1">
        <v>783</v>
      </c>
      <c r="W56" s="1">
        <v>645</v>
      </c>
      <c r="X56" s="1">
        <v>1647</v>
      </c>
      <c r="Y56" s="1">
        <v>393</v>
      </c>
      <c r="Z56" s="1">
        <v>341</v>
      </c>
      <c r="AA56" s="81">
        <v>458</v>
      </c>
      <c r="AB56" s="81">
        <v>523</v>
      </c>
      <c r="AC56" s="81">
        <v>-331</v>
      </c>
      <c r="AD56" s="81">
        <v>49</v>
      </c>
      <c r="AE56" s="81">
        <v>16</v>
      </c>
      <c r="AF56" s="81">
        <v>108</v>
      </c>
      <c r="AG56" s="81">
        <v>-133</v>
      </c>
      <c r="AH56" s="81">
        <v>34</v>
      </c>
      <c r="AI56" s="81">
        <v>488</v>
      </c>
      <c r="AJ56" s="81">
        <v>505</v>
      </c>
      <c r="AK56" s="81">
        <v>617</v>
      </c>
      <c r="AL56" s="81">
        <v>122</v>
      </c>
      <c r="AM56" s="81">
        <v>412</v>
      </c>
      <c r="AN56" s="81">
        <v>635</v>
      </c>
      <c r="AO56" s="81">
        <v>19</v>
      </c>
      <c r="AP56" s="81">
        <v>313</v>
      </c>
      <c r="AQ56" s="81">
        <v>720</v>
      </c>
      <c r="AR56" s="81">
        <v>441</v>
      </c>
      <c r="AS56" s="81">
        <v>251</v>
      </c>
      <c r="AT56" s="81">
        <v>384</v>
      </c>
      <c r="AU56" s="81">
        <v>1016</v>
      </c>
      <c r="AV56" s="81">
        <v>-314</v>
      </c>
      <c r="AW56" s="81">
        <v>-2732</v>
      </c>
      <c r="AX56" s="81">
        <v>602</v>
      </c>
      <c r="AY56" s="81">
        <v>1209</v>
      </c>
      <c r="BG56" s="1">
        <f t="shared" si="90"/>
        <v>4242</v>
      </c>
      <c r="BH56" s="1">
        <f t="shared" si="91"/>
        <v>5016</v>
      </c>
      <c r="BI56" s="1">
        <f t="shared" si="92"/>
        <v>5078</v>
      </c>
      <c r="BJ56" s="1">
        <f t="shared" si="93"/>
        <v>4422</v>
      </c>
      <c r="BK56" s="1">
        <f t="shared" si="94"/>
        <v>1663</v>
      </c>
      <c r="BL56" s="1">
        <f t="shared" si="95"/>
        <v>3026</v>
      </c>
      <c r="BM56" s="1">
        <f t="shared" si="96"/>
        <v>699</v>
      </c>
      <c r="BN56" s="1">
        <f t="shared" si="97"/>
        <v>25</v>
      </c>
      <c r="BO56" s="1">
        <f t="shared" si="98"/>
        <v>1732</v>
      </c>
      <c r="BP56" s="1">
        <f t="shared" si="99"/>
        <v>1379</v>
      </c>
      <c r="BQ56" s="1">
        <f t="shared" si="100"/>
        <v>1796</v>
      </c>
      <c r="BR56" s="1">
        <f t="shared" si="101"/>
        <v>-1428</v>
      </c>
      <c r="BS56" s="66">
        <f>BS55*BS69</f>
        <v>2798.0497282668766</v>
      </c>
      <c r="BT56" s="66">
        <f t="shared" ref="BT56:CB56" si="106">BT55*BT69</f>
        <v>3663.6069349668328</v>
      </c>
      <c r="BU56" s="66">
        <f t="shared" si="106"/>
        <v>4151.7135353146505</v>
      </c>
      <c r="BV56" s="66">
        <f t="shared" si="106"/>
        <v>4710.0703014301844</v>
      </c>
      <c r="BW56" s="66">
        <f t="shared" si="106"/>
        <v>5221.8395194795994</v>
      </c>
      <c r="BX56" s="66">
        <f t="shared" si="106"/>
        <v>5836.415946122981</v>
      </c>
      <c r="BY56" s="66">
        <f t="shared" si="106"/>
        <v>6494.5361283969969</v>
      </c>
      <c r="BZ56" s="66">
        <f t="shared" si="106"/>
        <v>7164.5824568917524</v>
      </c>
      <c r="CA56" s="66">
        <f t="shared" si="106"/>
        <v>7862.4890864176095</v>
      </c>
      <c r="CB56" s="66">
        <f t="shared" si="106"/>
        <v>8556.4309340877553</v>
      </c>
    </row>
    <row r="57" spans="2:132" s="2" customFormat="1" ht="15">
      <c r="B57" s="2" t="s">
        <v>981</v>
      </c>
      <c r="C57" s="2">
        <f t="shared" ref="C57:Z57" si="107">C55-C56</f>
        <v>1904</v>
      </c>
      <c r="D57" s="2">
        <f t="shared" si="107"/>
        <v>2056</v>
      </c>
      <c r="E57" s="2">
        <f t="shared" si="107"/>
        <v>2419</v>
      </c>
      <c r="F57" s="2">
        <f t="shared" si="107"/>
        <v>1625</v>
      </c>
      <c r="G57" s="2">
        <f t="shared" si="107"/>
        <v>2244</v>
      </c>
      <c r="H57" s="2">
        <f t="shared" si="107"/>
        <v>2228</v>
      </c>
      <c r="I57" s="2">
        <f t="shared" si="107"/>
        <v>2639</v>
      </c>
      <c r="J57" s="2">
        <f t="shared" si="107"/>
        <v>1741</v>
      </c>
      <c r="K57" s="2">
        <f t="shared" si="107"/>
        <v>2910</v>
      </c>
      <c r="L57" s="2">
        <f t="shared" si="107"/>
        <v>2276</v>
      </c>
      <c r="M57" s="2">
        <f t="shared" si="107"/>
        <v>2712</v>
      </c>
      <c r="N57" s="2">
        <f t="shared" si="107"/>
        <v>1892</v>
      </c>
      <c r="O57" s="2">
        <f t="shared" si="107"/>
        <v>2488</v>
      </c>
      <c r="P57" s="2">
        <f t="shared" si="107"/>
        <v>2539</v>
      </c>
      <c r="Q57" s="2">
        <f t="shared" si="107"/>
        <v>2474</v>
      </c>
      <c r="R57" s="2">
        <f t="shared" si="107"/>
        <v>1865</v>
      </c>
      <c r="S57" s="2">
        <f t="shared" si="107"/>
        <v>4473</v>
      </c>
      <c r="T57" s="2">
        <f t="shared" si="107"/>
        <v>3115</v>
      </c>
      <c r="U57" s="2">
        <f t="shared" si="107"/>
        <v>3059</v>
      </c>
      <c r="V57" s="2">
        <f t="shared" si="107"/>
        <v>2419</v>
      </c>
      <c r="W57" s="2">
        <f t="shared" si="107"/>
        <v>2786</v>
      </c>
      <c r="X57" s="2">
        <f t="shared" si="107"/>
        <v>5590</v>
      </c>
      <c r="Y57" s="2">
        <f t="shared" si="107"/>
        <v>1616</v>
      </c>
      <c r="Z57" s="2">
        <f t="shared" si="107"/>
        <v>905</v>
      </c>
      <c r="AA57" s="2">
        <f>AA55-AA56</f>
        <v>2168</v>
      </c>
      <c r="AB57" s="2">
        <f t="shared" ref="AB57:AX57" si="108">AB55-AB56</f>
        <v>528</v>
      </c>
      <c r="AC57" s="2">
        <f t="shared" si="108"/>
        <v>-4509</v>
      </c>
      <c r="AD57" s="2">
        <f t="shared" si="108"/>
        <v>-629</v>
      </c>
      <c r="AE57" s="2">
        <f t="shared" si="108"/>
        <v>30</v>
      </c>
      <c r="AF57" s="2">
        <f t="shared" si="108"/>
        <v>1122</v>
      </c>
      <c r="AG57" s="2">
        <f t="shared" si="108"/>
        <v>1128</v>
      </c>
      <c r="AH57" s="2">
        <f t="shared" si="108"/>
        <v>256</v>
      </c>
      <c r="AI57" s="2">
        <f t="shared" si="108"/>
        <v>1200</v>
      </c>
      <c r="AJ57" s="2">
        <f t="shared" si="108"/>
        <v>597</v>
      </c>
      <c r="AK57" s="2">
        <f t="shared" si="108"/>
        <v>1502</v>
      </c>
      <c r="AL57" s="2">
        <f t="shared" si="108"/>
        <v>254</v>
      </c>
      <c r="AM57" s="2">
        <f t="shared" si="108"/>
        <v>1361</v>
      </c>
      <c r="AN57" s="2">
        <f t="shared" si="108"/>
        <v>1488</v>
      </c>
      <c r="AO57" s="2">
        <f t="shared" si="108"/>
        <v>-153</v>
      </c>
      <c r="AP57" s="2">
        <f t="shared" si="108"/>
        <v>694</v>
      </c>
      <c r="AQ57" s="2">
        <f t="shared" si="108"/>
        <v>2151</v>
      </c>
      <c r="AR57" s="2">
        <f t="shared" si="108"/>
        <v>216</v>
      </c>
      <c r="AS57" s="2">
        <f t="shared" si="108"/>
        <v>2842</v>
      </c>
      <c r="AT57" s="2">
        <f t="shared" si="108"/>
        <v>564</v>
      </c>
      <c r="AU57" s="2">
        <f t="shared" si="108"/>
        <v>2644</v>
      </c>
      <c r="AV57" s="2">
        <f t="shared" si="108"/>
        <v>3401</v>
      </c>
      <c r="AW57" s="2">
        <f t="shared" si="108"/>
        <v>5943</v>
      </c>
      <c r="AX57" s="2">
        <f t="shared" si="108"/>
        <v>1443</v>
      </c>
      <c r="AY57" s="2">
        <f t="shared" ref="AY57" si="109">AY55-AY56</f>
        <v>2484</v>
      </c>
      <c r="AZ57" s="34"/>
      <c r="BA57" s="34"/>
      <c r="BB57" s="34"/>
      <c r="BG57" s="2">
        <f t="shared" si="90"/>
        <v>8004</v>
      </c>
      <c r="BH57" s="2">
        <f t="shared" si="91"/>
        <v>8852</v>
      </c>
      <c r="BI57" s="2">
        <f t="shared" si="92"/>
        <v>9790</v>
      </c>
      <c r="BJ57" s="2">
        <f t="shared" si="93"/>
        <v>9366</v>
      </c>
      <c r="BK57" s="2">
        <f t="shared" si="94"/>
        <v>13066</v>
      </c>
      <c r="BL57" s="2">
        <f t="shared" si="95"/>
        <v>10897</v>
      </c>
      <c r="BM57" s="2">
        <f t="shared" si="96"/>
        <v>-2442</v>
      </c>
      <c r="BN57" s="2">
        <f t="shared" si="97"/>
        <v>2536</v>
      </c>
      <c r="BO57" s="2">
        <f t="shared" si="98"/>
        <v>3553</v>
      </c>
      <c r="BP57" s="2">
        <f t="shared" si="99"/>
        <v>3390</v>
      </c>
      <c r="BQ57" s="2">
        <f t="shared" si="100"/>
        <v>5773</v>
      </c>
      <c r="BR57" s="2">
        <f t="shared" si="101"/>
        <v>13431</v>
      </c>
      <c r="BS57" s="90">
        <f>BS55-BS56</f>
        <v>9920.3581274916542</v>
      </c>
      <c r="BT57" s="90">
        <f t="shared" ref="BT57:CB57" si="110">BT55-BT56</f>
        <v>12265.118869236787</v>
      </c>
      <c r="BU57" s="90">
        <f t="shared" si="110"/>
        <v>13899.214879096871</v>
      </c>
      <c r="BV57" s="90">
        <f t="shared" si="110"/>
        <v>15768.496226527139</v>
      </c>
      <c r="BW57" s="90">
        <f t="shared" si="110"/>
        <v>17481.810565214309</v>
      </c>
      <c r="BX57" s="90">
        <f t="shared" si="110"/>
        <v>19539.305558759545</v>
      </c>
      <c r="BY57" s="90">
        <f t="shared" si="110"/>
        <v>21742.577473329075</v>
      </c>
      <c r="BZ57" s="90">
        <f t="shared" si="110"/>
        <v>23985.776051333258</v>
      </c>
      <c r="CA57" s="90">
        <f t="shared" si="110"/>
        <v>26322.246071919824</v>
      </c>
      <c r="CB57" s="90">
        <f t="shared" si="110"/>
        <v>28645.442692380744</v>
      </c>
      <c r="CC57" s="90">
        <f>CB57*(1+$CL$73)</f>
        <v>28717.056299111693</v>
      </c>
      <c r="CD57" s="90">
        <f t="shared" ref="CD57:DZ57" si="111">CC57*(1+$CL$73)</f>
        <v>28788.848939859472</v>
      </c>
      <c r="CE57" s="90">
        <f t="shared" si="111"/>
        <v>28860.821062209117</v>
      </c>
      <c r="CF57" s="90">
        <f t="shared" si="111"/>
        <v>28932.973114864639</v>
      </c>
      <c r="CG57" s="90">
        <f t="shared" si="111"/>
        <v>29005.305547651798</v>
      </c>
      <c r="CH57" s="90">
        <f t="shared" si="111"/>
        <v>29077.818811520927</v>
      </c>
      <c r="CI57" s="90">
        <f t="shared" si="111"/>
        <v>29150.513358549728</v>
      </c>
      <c r="CJ57" s="90">
        <f t="shared" si="111"/>
        <v>29223.389641946102</v>
      </c>
      <c r="CK57" s="90">
        <f t="shared" si="111"/>
        <v>29296.448116050964</v>
      </c>
      <c r="CL57" s="90">
        <f t="shared" si="111"/>
        <v>29369.689236341092</v>
      </c>
      <c r="CM57" s="90">
        <f t="shared" si="111"/>
        <v>29443.113459431941</v>
      </c>
      <c r="CN57" s="90">
        <f t="shared" si="111"/>
        <v>29516.721243080519</v>
      </c>
      <c r="CO57" s="90">
        <f t="shared" si="111"/>
        <v>29590.513046188218</v>
      </c>
      <c r="CP57" s="90">
        <f t="shared" si="111"/>
        <v>29664.489328803687</v>
      </c>
      <c r="CQ57" s="90">
        <f t="shared" si="111"/>
        <v>29738.650552125695</v>
      </c>
      <c r="CR57" s="90">
        <f t="shared" si="111"/>
        <v>29812.997178506008</v>
      </c>
      <c r="CS57" s="90">
        <f t="shared" si="111"/>
        <v>29887.52967145227</v>
      </c>
      <c r="CT57" s="90">
        <f t="shared" si="111"/>
        <v>29962.248495630898</v>
      </c>
      <c r="CU57" s="90">
        <f t="shared" si="111"/>
        <v>30037.154116869973</v>
      </c>
      <c r="CV57" s="90">
        <f t="shared" si="111"/>
        <v>30112.247002162145</v>
      </c>
      <c r="CW57" s="90">
        <f t="shared" si="111"/>
        <v>30187.527619667548</v>
      </c>
      <c r="CX57" s="90">
        <f t="shared" si="111"/>
        <v>30262.996438716717</v>
      </c>
      <c r="CY57" s="90">
        <f t="shared" si="111"/>
        <v>30338.653929813507</v>
      </c>
      <c r="CZ57" s="90">
        <f t="shared" si="111"/>
        <v>30414.500564638038</v>
      </c>
      <c r="DA57" s="90">
        <f t="shared" si="111"/>
        <v>30490.536816049633</v>
      </c>
      <c r="DB57" s="90">
        <f t="shared" si="111"/>
        <v>30566.763158089754</v>
      </c>
      <c r="DC57" s="90">
        <f t="shared" si="111"/>
        <v>30643.180065984976</v>
      </c>
      <c r="DD57" s="90">
        <f t="shared" si="111"/>
        <v>30719.788016149938</v>
      </c>
      <c r="DE57" s="90">
        <f t="shared" si="111"/>
        <v>30796.58748619031</v>
      </c>
      <c r="DF57" s="90">
        <f t="shared" si="111"/>
        <v>30873.578954905784</v>
      </c>
      <c r="DG57" s="90">
        <f t="shared" si="111"/>
        <v>30950.762902293049</v>
      </c>
      <c r="DH57" s="90">
        <f t="shared" si="111"/>
        <v>31028.139809548778</v>
      </c>
      <c r="DI57" s="90">
        <f t="shared" si="111"/>
        <v>31105.710159072649</v>
      </c>
      <c r="DJ57" s="90">
        <f t="shared" si="111"/>
        <v>31183.474434470329</v>
      </c>
      <c r="DK57" s="90">
        <f t="shared" si="111"/>
        <v>31261.433120556503</v>
      </c>
      <c r="DL57" s="90">
        <f t="shared" si="111"/>
        <v>31339.586703357894</v>
      </c>
      <c r="DM57" s="90">
        <f t="shared" si="111"/>
        <v>31417.935670116287</v>
      </c>
      <c r="DN57" s="90">
        <f t="shared" si="111"/>
        <v>31496.480509291578</v>
      </c>
      <c r="DO57" s="90">
        <f t="shared" si="111"/>
        <v>31575.221710564805</v>
      </c>
      <c r="DP57" s="90">
        <f t="shared" si="111"/>
        <v>31654.159764841217</v>
      </c>
      <c r="DQ57" s="90">
        <f t="shared" si="111"/>
        <v>31733.295164253319</v>
      </c>
      <c r="DR57" s="90">
        <f t="shared" si="111"/>
        <v>31812.628402163951</v>
      </c>
      <c r="DS57" s="90">
        <f t="shared" si="111"/>
        <v>31892.15997316936</v>
      </c>
      <c r="DT57" s="90">
        <f t="shared" si="111"/>
        <v>31971.890373102284</v>
      </c>
      <c r="DU57" s="90">
        <f t="shared" si="111"/>
        <v>32051.820099035038</v>
      </c>
      <c r="DV57" s="90">
        <f t="shared" si="111"/>
        <v>32131.949649282622</v>
      </c>
      <c r="DW57" s="90">
        <f t="shared" si="111"/>
        <v>32212.279523405829</v>
      </c>
      <c r="DX57" s="90">
        <f t="shared" si="111"/>
        <v>32292.810222214343</v>
      </c>
      <c r="DY57" s="90">
        <f t="shared" si="111"/>
        <v>32373.542247769878</v>
      </c>
      <c r="DZ57" s="90">
        <f t="shared" si="111"/>
        <v>32454.476103389301</v>
      </c>
      <c r="EA57" s="34"/>
      <c r="EB57" s="34"/>
    </row>
    <row r="58" spans="2:132">
      <c r="B58" s="1" t="s">
        <v>982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BG58" s="1">
        <f t="shared" ref="BG58:BG61" si="112">SUM(C58:F58)</f>
        <v>0</v>
      </c>
      <c r="BH58" s="1">
        <f t="shared" ref="BH58:BH61" si="113">SUM(G58:J58)</f>
        <v>0</v>
      </c>
      <c r="BI58" s="1">
        <f t="shared" ref="BI58:BI61" si="114">SUM(K58:N58)</f>
        <v>0</v>
      </c>
      <c r="BJ58" s="1">
        <f t="shared" ref="BJ58:BJ61" si="115">SUM(O58:R58)</f>
        <v>0</v>
      </c>
      <c r="BK58" s="1">
        <f t="shared" ref="BK58:BK61" si="116">SUM(S58:V58)</f>
        <v>0</v>
      </c>
      <c r="BL58" s="1">
        <f t="shared" ref="BL58:BL61" si="117">SUM(W58:Z58)</f>
        <v>0</v>
      </c>
      <c r="BM58" s="1">
        <f t="shared" ref="BM58:BM61" si="118">SUM(AA58:AD58)</f>
        <v>0</v>
      </c>
      <c r="BN58" s="1">
        <f t="shared" ref="BN58:BN61" si="119">SUM(AE58:AH58)</f>
        <v>0</v>
      </c>
      <c r="BO58" s="1">
        <f t="shared" ref="BO58:BO61" si="120">SUM(AI58:AL58)</f>
        <v>0</v>
      </c>
      <c r="BP58" s="1">
        <f t="shared" ref="BP58:BP61" si="121">SUM(AM58:AP58)</f>
        <v>0</v>
      </c>
      <c r="BQ58" s="1">
        <f t="shared" ref="BQ58:BQ61" si="122">SUM(AQ58:AT58)</f>
        <v>0</v>
      </c>
      <c r="BR58" s="1">
        <f t="shared" ref="BR58:BR61" si="123">SUM(AU58:AX58)</f>
        <v>0</v>
      </c>
      <c r="BS58" s="66">
        <v>0</v>
      </c>
      <c r="BT58" s="66">
        <v>0</v>
      </c>
      <c r="BU58" s="66">
        <v>0</v>
      </c>
      <c r="BV58" s="66">
        <v>0</v>
      </c>
      <c r="BW58" s="66">
        <v>0</v>
      </c>
      <c r="BX58" s="66">
        <v>0</v>
      </c>
      <c r="BY58" s="66">
        <v>0</v>
      </c>
      <c r="BZ58" s="66">
        <v>0</v>
      </c>
      <c r="CA58" s="66">
        <v>0</v>
      </c>
      <c r="CB58" s="66">
        <v>0</v>
      </c>
    </row>
    <row r="59" spans="2:132">
      <c r="B59" s="1" t="s">
        <v>983</v>
      </c>
      <c r="C59" s="1">
        <f t="shared" ref="C59:Z59" si="124">C57+C58</f>
        <v>1904</v>
      </c>
      <c r="D59" s="1">
        <f t="shared" si="124"/>
        <v>2056</v>
      </c>
      <c r="E59" s="1">
        <f t="shared" si="124"/>
        <v>2419</v>
      </c>
      <c r="F59" s="1">
        <f t="shared" si="124"/>
        <v>1625</v>
      </c>
      <c r="G59" s="1">
        <f t="shared" si="124"/>
        <v>2244</v>
      </c>
      <c r="H59" s="1">
        <f t="shared" si="124"/>
        <v>2228</v>
      </c>
      <c r="I59" s="1">
        <f t="shared" si="124"/>
        <v>2639</v>
      </c>
      <c r="J59" s="1">
        <f t="shared" si="124"/>
        <v>1741</v>
      </c>
      <c r="K59" s="1">
        <f t="shared" si="124"/>
        <v>2910</v>
      </c>
      <c r="L59" s="1">
        <f t="shared" si="124"/>
        <v>2276</v>
      </c>
      <c r="M59" s="1">
        <f t="shared" si="124"/>
        <v>2712</v>
      </c>
      <c r="N59" s="1">
        <f t="shared" si="124"/>
        <v>1892</v>
      </c>
      <c r="O59" s="1">
        <f t="shared" si="124"/>
        <v>2488</v>
      </c>
      <c r="P59" s="1">
        <f t="shared" si="124"/>
        <v>2539</v>
      </c>
      <c r="Q59" s="1">
        <f t="shared" si="124"/>
        <v>2474</v>
      </c>
      <c r="R59" s="1">
        <f t="shared" si="124"/>
        <v>1865</v>
      </c>
      <c r="S59" s="1">
        <f t="shared" si="124"/>
        <v>4473</v>
      </c>
      <c r="T59" s="1">
        <f t="shared" si="124"/>
        <v>3115</v>
      </c>
      <c r="U59" s="1">
        <f t="shared" si="124"/>
        <v>3059</v>
      </c>
      <c r="V59" s="1">
        <f t="shared" si="124"/>
        <v>2419</v>
      </c>
      <c r="W59" s="1">
        <f t="shared" si="124"/>
        <v>2786</v>
      </c>
      <c r="X59" s="1">
        <f t="shared" si="124"/>
        <v>5590</v>
      </c>
      <c r="Y59" s="1">
        <f t="shared" si="124"/>
        <v>1616</v>
      </c>
      <c r="Z59" s="1">
        <f t="shared" si="124"/>
        <v>905</v>
      </c>
      <c r="AA59" s="1">
        <f t="shared" ref="AA59:AX59" si="125">AA57+AA58</f>
        <v>2168</v>
      </c>
      <c r="AB59" s="1">
        <f t="shared" si="125"/>
        <v>528</v>
      </c>
      <c r="AC59" s="1">
        <f t="shared" si="125"/>
        <v>-4509</v>
      </c>
      <c r="AD59" s="1">
        <f t="shared" si="125"/>
        <v>-629</v>
      </c>
      <c r="AE59" s="1">
        <f t="shared" si="125"/>
        <v>30</v>
      </c>
      <c r="AF59" s="1">
        <f t="shared" si="125"/>
        <v>1122</v>
      </c>
      <c r="AG59" s="1">
        <f t="shared" si="125"/>
        <v>1128</v>
      </c>
      <c r="AH59" s="1">
        <f t="shared" si="125"/>
        <v>256</v>
      </c>
      <c r="AI59" s="1">
        <f t="shared" si="125"/>
        <v>1200</v>
      </c>
      <c r="AJ59" s="1">
        <f t="shared" si="125"/>
        <v>597</v>
      </c>
      <c r="AK59" s="1">
        <f t="shared" si="125"/>
        <v>1502</v>
      </c>
      <c r="AL59" s="1">
        <f t="shared" si="125"/>
        <v>254</v>
      </c>
      <c r="AM59" s="1">
        <f t="shared" si="125"/>
        <v>1361</v>
      </c>
      <c r="AN59" s="1">
        <f t="shared" si="125"/>
        <v>1488</v>
      </c>
      <c r="AO59" s="1">
        <f t="shared" si="125"/>
        <v>-153</v>
      </c>
      <c r="AP59" s="1">
        <f t="shared" si="125"/>
        <v>694</v>
      </c>
      <c r="AQ59" s="1">
        <f t="shared" si="125"/>
        <v>2151</v>
      </c>
      <c r="AR59" s="1">
        <f t="shared" si="125"/>
        <v>216</v>
      </c>
      <c r="AS59" s="1">
        <f t="shared" si="125"/>
        <v>2842</v>
      </c>
      <c r="AT59" s="1">
        <f t="shared" si="125"/>
        <v>564</v>
      </c>
      <c r="AU59" s="1">
        <f t="shared" si="125"/>
        <v>2644</v>
      </c>
      <c r="AV59" s="1">
        <f t="shared" si="125"/>
        <v>3401</v>
      </c>
      <c r="AW59" s="1">
        <f t="shared" si="125"/>
        <v>5943</v>
      </c>
      <c r="AX59" s="1">
        <f t="shared" si="125"/>
        <v>1443</v>
      </c>
      <c r="AY59" s="1">
        <f>AY57+AY58</f>
        <v>2484</v>
      </c>
      <c r="BG59" s="1">
        <f t="shared" si="112"/>
        <v>8004</v>
      </c>
      <c r="BH59" s="1">
        <f t="shared" si="113"/>
        <v>8852</v>
      </c>
      <c r="BI59" s="1">
        <f t="shared" si="114"/>
        <v>9790</v>
      </c>
      <c r="BJ59" s="1">
        <f t="shared" si="115"/>
        <v>9366</v>
      </c>
      <c r="BK59" s="1">
        <f t="shared" si="116"/>
        <v>13066</v>
      </c>
      <c r="BL59" s="1">
        <f t="shared" si="117"/>
        <v>10897</v>
      </c>
      <c r="BM59" s="1">
        <f t="shared" si="118"/>
        <v>-2442</v>
      </c>
      <c r="BN59" s="1">
        <f t="shared" si="119"/>
        <v>2536</v>
      </c>
      <c r="BO59" s="1">
        <f t="shared" si="120"/>
        <v>3553</v>
      </c>
      <c r="BP59" s="1">
        <f t="shared" si="121"/>
        <v>3390</v>
      </c>
      <c r="BQ59" s="1">
        <f t="shared" si="122"/>
        <v>5773</v>
      </c>
      <c r="BR59" s="1">
        <f t="shared" si="123"/>
        <v>13431</v>
      </c>
      <c r="BS59" s="66">
        <f>BS57+BS58</f>
        <v>9920.3581274916542</v>
      </c>
      <c r="BT59" s="66">
        <f t="shared" ref="BT59:CB59" si="126">BT57+BT58</f>
        <v>12265.118869236787</v>
      </c>
      <c r="BU59" s="66">
        <f t="shared" si="126"/>
        <v>13899.214879096871</v>
      </c>
      <c r="BV59" s="66">
        <f t="shared" si="126"/>
        <v>15768.496226527139</v>
      </c>
      <c r="BW59" s="66">
        <f t="shared" si="126"/>
        <v>17481.810565214309</v>
      </c>
      <c r="BX59" s="66">
        <f t="shared" si="126"/>
        <v>19539.305558759545</v>
      </c>
      <c r="BY59" s="66">
        <f t="shared" si="126"/>
        <v>21742.577473329075</v>
      </c>
      <c r="BZ59" s="66">
        <f t="shared" si="126"/>
        <v>23985.776051333258</v>
      </c>
      <c r="CA59" s="66">
        <f t="shared" si="126"/>
        <v>26322.246071919824</v>
      </c>
      <c r="CB59" s="66">
        <f t="shared" si="126"/>
        <v>28645.442692380744</v>
      </c>
    </row>
    <row r="60" spans="2:132">
      <c r="B60" s="1" t="s">
        <v>984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BG60" s="1">
        <f t="shared" si="112"/>
        <v>0</v>
      </c>
      <c r="BH60" s="1">
        <f t="shared" si="113"/>
        <v>0</v>
      </c>
      <c r="BI60" s="1">
        <f t="shared" si="114"/>
        <v>0</v>
      </c>
      <c r="BJ60" s="1">
        <f t="shared" si="115"/>
        <v>0</v>
      </c>
      <c r="BK60" s="1">
        <f t="shared" si="116"/>
        <v>0</v>
      </c>
      <c r="BL60" s="1">
        <f t="shared" si="117"/>
        <v>0</v>
      </c>
      <c r="BM60" s="1">
        <f t="shared" si="118"/>
        <v>0</v>
      </c>
      <c r="BN60" s="1">
        <f t="shared" si="119"/>
        <v>0</v>
      </c>
      <c r="BO60" s="1">
        <f t="shared" si="120"/>
        <v>0</v>
      </c>
      <c r="BP60" s="1">
        <f t="shared" si="121"/>
        <v>0</v>
      </c>
      <c r="BQ60" s="1">
        <f t="shared" si="122"/>
        <v>0</v>
      </c>
      <c r="BR60" s="1">
        <f t="shared" si="123"/>
        <v>0</v>
      </c>
      <c r="BS60" s="66">
        <v>0</v>
      </c>
      <c r="BT60" s="66">
        <v>0</v>
      </c>
      <c r="BU60" s="66">
        <v>0</v>
      </c>
      <c r="BV60" s="66">
        <v>0</v>
      </c>
      <c r="BW60" s="66">
        <v>0</v>
      </c>
      <c r="BX60" s="66">
        <v>0</v>
      </c>
      <c r="BY60" s="66">
        <v>0</v>
      </c>
      <c r="BZ60" s="66">
        <v>0</v>
      </c>
      <c r="CA60" s="66">
        <v>0</v>
      </c>
      <c r="CB60" s="66">
        <v>0</v>
      </c>
    </row>
    <row r="61" spans="2:132" s="2" customFormat="1" ht="15">
      <c r="B61" s="2" t="s">
        <v>985</v>
      </c>
      <c r="C61" s="2">
        <f t="shared" ref="C61:Z61" si="127">C59+C60</f>
        <v>1904</v>
      </c>
      <c r="D61" s="2">
        <f t="shared" si="127"/>
        <v>2056</v>
      </c>
      <c r="E61" s="2">
        <f t="shared" si="127"/>
        <v>2419</v>
      </c>
      <c r="F61" s="2">
        <f t="shared" si="127"/>
        <v>1625</v>
      </c>
      <c r="G61" s="2">
        <f t="shared" si="127"/>
        <v>2244</v>
      </c>
      <c r="H61" s="2">
        <f t="shared" si="127"/>
        <v>2228</v>
      </c>
      <c r="I61" s="2">
        <f t="shared" si="127"/>
        <v>2639</v>
      </c>
      <c r="J61" s="2">
        <f t="shared" si="127"/>
        <v>1741</v>
      </c>
      <c r="K61" s="2">
        <f t="shared" si="127"/>
        <v>2910</v>
      </c>
      <c r="L61" s="2">
        <f t="shared" si="127"/>
        <v>2276</v>
      </c>
      <c r="M61" s="2">
        <f t="shared" si="127"/>
        <v>2712</v>
      </c>
      <c r="N61" s="2">
        <f t="shared" si="127"/>
        <v>1892</v>
      </c>
      <c r="O61" s="2">
        <f t="shared" si="127"/>
        <v>2488</v>
      </c>
      <c r="P61" s="2">
        <f t="shared" si="127"/>
        <v>2539</v>
      </c>
      <c r="Q61" s="2">
        <f t="shared" si="127"/>
        <v>2474</v>
      </c>
      <c r="R61" s="2">
        <f t="shared" si="127"/>
        <v>1865</v>
      </c>
      <c r="S61" s="2">
        <f t="shared" si="127"/>
        <v>4473</v>
      </c>
      <c r="T61" s="2">
        <f t="shared" si="127"/>
        <v>3115</v>
      </c>
      <c r="U61" s="2">
        <f t="shared" si="127"/>
        <v>3059</v>
      </c>
      <c r="V61" s="2">
        <f t="shared" si="127"/>
        <v>2419</v>
      </c>
      <c r="W61" s="2">
        <f t="shared" si="127"/>
        <v>2786</v>
      </c>
      <c r="X61" s="2">
        <f t="shared" si="127"/>
        <v>5590</v>
      </c>
      <c r="Y61" s="2">
        <f t="shared" si="127"/>
        <v>1616</v>
      </c>
      <c r="Z61" s="2">
        <f t="shared" si="127"/>
        <v>905</v>
      </c>
      <c r="AA61" s="2">
        <f t="shared" ref="AA61:AX61" si="128">AA59+AA60</f>
        <v>2168</v>
      </c>
      <c r="AB61" s="2">
        <f t="shared" si="128"/>
        <v>528</v>
      </c>
      <c r="AC61" s="2">
        <f t="shared" si="128"/>
        <v>-4509</v>
      </c>
      <c r="AD61" s="2">
        <f t="shared" si="128"/>
        <v>-629</v>
      </c>
      <c r="AE61" s="2">
        <f t="shared" si="128"/>
        <v>30</v>
      </c>
      <c r="AF61" s="2">
        <f t="shared" si="128"/>
        <v>1122</v>
      </c>
      <c r="AG61" s="2">
        <f t="shared" si="128"/>
        <v>1128</v>
      </c>
      <c r="AH61" s="2">
        <f t="shared" si="128"/>
        <v>256</v>
      </c>
      <c r="AI61" s="2">
        <f t="shared" si="128"/>
        <v>1200</v>
      </c>
      <c r="AJ61" s="2">
        <f t="shared" si="128"/>
        <v>597</v>
      </c>
      <c r="AK61" s="2">
        <f t="shared" si="128"/>
        <v>1502</v>
      </c>
      <c r="AL61" s="2">
        <f t="shared" si="128"/>
        <v>254</v>
      </c>
      <c r="AM61" s="2">
        <f t="shared" si="128"/>
        <v>1361</v>
      </c>
      <c r="AN61" s="2">
        <f t="shared" si="128"/>
        <v>1488</v>
      </c>
      <c r="AO61" s="2">
        <f t="shared" si="128"/>
        <v>-153</v>
      </c>
      <c r="AP61" s="2">
        <f t="shared" si="128"/>
        <v>694</v>
      </c>
      <c r="AQ61" s="2">
        <f t="shared" si="128"/>
        <v>2151</v>
      </c>
      <c r="AR61" s="2">
        <f t="shared" si="128"/>
        <v>216</v>
      </c>
      <c r="AS61" s="2">
        <f t="shared" si="128"/>
        <v>2842</v>
      </c>
      <c r="AT61" s="2">
        <f t="shared" si="128"/>
        <v>564</v>
      </c>
      <c r="AU61" s="2">
        <f t="shared" si="128"/>
        <v>2644</v>
      </c>
      <c r="AV61" s="2">
        <f t="shared" si="128"/>
        <v>3401</v>
      </c>
      <c r="AW61" s="2">
        <f t="shared" si="128"/>
        <v>5943</v>
      </c>
      <c r="AX61" s="2">
        <f t="shared" si="128"/>
        <v>1443</v>
      </c>
      <c r="AY61" s="2">
        <f>AY59+AY60</f>
        <v>2484</v>
      </c>
      <c r="AZ61" s="34"/>
      <c r="BA61" s="34"/>
      <c r="BB61" s="34"/>
      <c r="BG61" s="1">
        <f t="shared" si="112"/>
        <v>8004</v>
      </c>
      <c r="BH61" s="1">
        <f t="shared" si="113"/>
        <v>8852</v>
      </c>
      <c r="BI61" s="1">
        <f t="shared" si="114"/>
        <v>9790</v>
      </c>
      <c r="BJ61" s="1">
        <f t="shared" si="115"/>
        <v>9366</v>
      </c>
      <c r="BK61" s="1">
        <f t="shared" si="116"/>
        <v>13066</v>
      </c>
      <c r="BL61" s="1">
        <f t="shared" si="117"/>
        <v>10897</v>
      </c>
      <c r="BM61" s="1">
        <f t="shared" si="118"/>
        <v>-2442</v>
      </c>
      <c r="BN61" s="1">
        <f t="shared" si="119"/>
        <v>2536</v>
      </c>
      <c r="BO61" s="1">
        <f t="shared" si="120"/>
        <v>3553</v>
      </c>
      <c r="BP61" s="1">
        <f t="shared" si="121"/>
        <v>3390</v>
      </c>
      <c r="BQ61" s="1">
        <f t="shared" si="122"/>
        <v>5773</v>
      </c>
      <c r="BR61" s="1">
        <f t="shared" si="123"/>
        <v>13431</v>
      </c>
      <c r="BS61" s="66">
        <f>BS59+BS60</f>
        <v>9920.3581274916542</v>
      </c>
      <c r="BT61" s="66">
        <f t="shared" ref="BT61:CB61" si="129">BT59+BT60</f>
        <v>12265.118869236787</v>
      </c>
      <c r="BU61" s="66">
        <f t="shared" si="129"/>
        <v>13899.214879096871</v>
      </c>
      <c r="BV61" s="66">
        <f t="shared" si="129"/>
        <v>15768.496226527139</v>
      </c>
      <c r="BW61" s="66">
        <f t="shared" si="129"/>
        <v>17481.810565214309</v>
      </c>
      <c r="BX61" s="66">
        <f t="shared" si="129"/>
        <v>19539.305558759545</v>
      </c>
      <c r="BY61" s="66">
        <f t="shared" si="129"/>
        <v>21742.577473329075</v>
      </c>
      <c r="BZ61" s="66">
        <f t="shared" si="129"/>
        <v>23985.776051333258</v>
      </c>
      <c r="CA61" s="66">
        <f t="shared" si="129"/>
        <v>26322.246071919824</v>
      </c>
      <c r="CB61" s="66">
        <f t="shared" si="129"/>
        <v>28645.442692380744</v>
      </c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</row>
    <row r="62" spans="2:132">
      <c r="B62" s="1" t="s">
        <v>72</v>
      </c>
      <c r="C62" s="1">
        <v>1700</v>
      </c>
      <c r="D62" s="1">
        <v>1700</v>
      </c>
      <c r="E62" s="1">
        <v>1700</v>
      </c>
      <c r="F62" s="1">
        <v>1700</v>
      </c>
      <c r="G62" s="1">
        <v>1700</v>
      </c>
      <c r="H62" s="1">
        <v>1700</v>
      </c>
      <c r="I62" s="1">
        <v>1600</v>
      </c>
      <c r="J62" s="1">
        <v>1600</v>
      </c>
      <c r="K62" s="1">
        <v>1700</v>
      </c>
      <c r="L62" s="1">
        <v>1700</v>
      </c>
      <c r="M62" s="1">
        <v>1700</v>
      </c>
      <c r="N62" s="1">
        <v>1600</v>
      </c>
      <c r="O62" s="1">
        <v>1600</v>
      </c>
      <c r="P62" s="1">
        <v>1600</v>
      </c>
      <c r="Q62" s="1">
        <v>1600</v>
      </c>
      <c r="R62" s="1">
        <v>1500</v>
      </c>
      <c r="S62" s="1">
        <v>1500</v>
      </c>
      <c r="T62" s="1">
        <v>1500</v>
      </c>
      <c r="U62" s="1">
        <v>1500</v>
      </c>
      <c r="V62" s="1">
        <v>1500</v>
      </c>
      <c r="W62" s="1">
        <v>1500</v>
      </c>
      <c r="X62" s="1">
        <v>1781</v>
      </c>
      <c r="Y62" s="1">
        <v>1781</v>
      </c>
      <c r="Z62" s="1">
        <v>1781</v>
      </c>
      <c r="AA62" s="1">
        <v>1781</v>
      </c>
      <c r="AB62" s="1">
        <v>1781</v>
      </c>
      <c r="AC62" s="1">
        <v>1781</v>
      </c>
      <c r="AD62" s="1">
        <v>1781</v>
      </c>
      <c r="AE62" s="1">
        <v>1781</v>
      </c>
      <c r="AF62" s="1">
        <v>1781</v>
      </c>
      <c r="AG62" s="1">
        <v>1781</v>
      </c>
      <c r="AH62" s="1">
        <v>1781</v>
      </c>
      <c r="AI62" s="1">
        <v>1781</v>
      </c>
      <c r="AJ62" s="1">
        <v>1781</v>
      </c>
      <c r="AK62" s="1">
        <v>1781</v>
      </c>
      <c r="AL62" s="1">
        <v>1781</v>
      </c>
      <c r="AM62" s="1">
        <v>1781</v>
      </c>
      <c r="AN62" s="1">
        <v>1781</v>
      </c>
      <c r="AO62" s="1">
        <v>1781</v>
      </c>
      <c r="AP62" s="1">
        <v>1781</v>
      </c>
      <c r="AQ62" s="1">
        <v>1881</v>
      </c>
      <c r="AR62" s="1">
        <v>1873</v>
      </c>
      <c r="AS62" s="1">
        <v>1858</v>
      </c>
      <c r="AT62" s="1">
        <v>1853</v>
      </c>
      <c r="AU62" s="1">
        <v>1846</v>
      </c>
      <c r="AV62" s="1">
        <v>1837</v>
      </c>
      <c r="AW62" s="1">
        <v>1829</v>
      </c>
      <c r="AX62" s="1">
        <v>1821</v>
      </c>
      <c r="AY62" s="1">
        <v>1771</v>
      </c>
      <c r="BG62" s="92">
        <f>AVERAGE(C62:F62)</f>
        <v>1700</v>
      </c>
      <c r="BH62" s="92">
        <f>AVERAGE(G62:J62)</f>
        <v>1650</v>
      </c>
      <c r="BI62" s="92">
        <f>AVERAGE(K62:N62)</f>
        <v>1675</v>
      </c>
      <c r="BJ62" s="92">
        <f>AVERAGE(O62:R62)</f>
        <v>1575</v>
      </c>
      <c r="BK62" s="92">
        <f>AVERAGE(S62:V62)</f>
        <v>1500</v>
      </c>
      <c r="BL62" s="92">
        <f>AVERAGE(W62:Z62)</f>
        <v>1710.75</v>
      </c>
      <c r="BM62" s="92">
        <f>AVERAGE(AA62:AD62)</f>
        <v>1781</v>
      </c>
      <c r="BN62" s="92">
        <f>AVERAGE(AE62:AH62)</f>
        <v>1781</v>
      </c>
      <c r="BO62" s="92">
        <f>AVERAGE(AI62:AL62)</f>
        <v>1781</v>
      </c>
      <c r="BP62" s="92">
        <f>AVERAGE(AM62:AP62)</f>
        <v>1781</v>
      </c>
      <c r="BQ62" s="92">
        <f>AVERAGE(AQ62:AT62)</f>
        <v>1866.25</v>
      </c>
      <c r="BR62" s="92">
        <f>AVERAGE(AU62:AX62)</f>
        <v>1833.25</v>
      </c>
      <c r="BS62" s="66">
        <v>1780</v>
      </c>
      <c r="BT62" s="66">
        <v>1780</v>
      </c>
      <c r="BU62" s="66">
        <v>1780</v>
      </c>
      <c r="BV62" s="66">
        <v>1780</v>
      </c>
      <c r="BW62" s="66">
        <v>1780</v>
      </c>
      <c r="BX62" s="66">
        <v>1780</v>
      </c>
      <c r="BY62" s="66">
        <v>1780</v>
      </c>
      <c r="BZ62" s="66">
        <v>1780</v>
      </c>
      <c r="CA62" s="66">
        <v>1780</v>
      </c>
      <c r="CB62" s="66">
        <v>1780</v>
      </c>
    </row>
    <row r="63" spans="2:132">
      <c r="B63" s="1" t="s">
        <v>119</v>
      </c>
      <c r="C63" s="39">
        <f t="shared" ref="C63:Z63" si="130">C57/C62</f>
        <v>1.1200000000000001</v>
      </c>
      <c r="D63" s="39">
        <f t="shared" si="130"/>
        <v>1.2094117647058824</v>
      </c>
      <c r="E63" s="39">
        <f t="shared" si="130"/>
        <v>1.4229411764705882</v>
      </c>
      <c r="F63" s="39">
        <f t="shared" si="130"/>
        <v>0.95588235294117652</v>
      </c>
      <c r="G63" s="39">
        <f t="shared" si="130"/>
        <v>1.32</v>
      </c>
      <c r="H63" s="39">
        <f t="shared" si="130"/>
        <v>1.3105882352941176</v>
      </c>
      <c r="I63" s="39">
        <f t="shared" si="130"/>
        <v>1.649375</v>
      </c>
      <c r="J63" s="39">
        <f t="shared" si="130"/>
        <v>1.088125</v>
      </c>
      <c r="K63" s="39">
        <f t="shared" si="130"/>
        <v>1.7117647058823529</v>
      </c>
      <c r="L63" s="39">
        <f t="shared" si="130"/>
        <v>1.3388235294117647</v>
      </c>
      <c r="M63" s="39">
        <f t="shared" si="130"/>
        <v>1.5952941176470588</v>
      </c>
      <c r="N63" s="39">
        <f t="shared" si="130"/>
        <v>1.1825000000000001</v>
      </c>
      <c r="O63" s="39">
        <f t="shared" si="130"/>
        <v>1.5549999999999999</v>
      </c>
      <c r="P63" s="39">
        <f t="shared" si="130"/>
        <v>1.586875</v>
      </c>
      <c r="Q63" s="39">
        <f t="shared" si="130"/>
        <v>1.5462499999999999</v>
      </c>
      <c r="R63" s="39">
        <f t="shared" si="130"/>
        <v>1.2433333333333334</v>
      </c>
      <c r="S63" s="39">
        <f t="shared" si="130"/>
        <v>2.9820000000000002</v>
      </c>
      <c r="T63" s="39">
        <f t="shared" si="130"/>
        <v>2.0766666666666667</v>
      </c>
      <c r="U63" s="39">
        <f t="shared" si="130"/>
        <v>2.0393333333333334</v>
      </c>
      <c r="V63" s="39">
        <f t="shared" si="130"/>
        <v>1.6126666666666667</v>
      </c>
      <c r="W63" s="39">
        <f t="shared" si="130"/>
        <v>1.8573333333333333</v>
      </c>
      <c r="X63" s="39">
        <f t="shared" si="130"/>
        <v>3.1386861313868613</v>
      </c>
      <c r="Y63" s="39">
        <f t="shared" si="130"/>
        <v>0.90735541830432342</v>
      </c>
      <c r="Z63" s="39">
        <f t="shared" si="130"/>
        <v>0.50814149354295335</v>
      </c>
      <c r="AA63" s="39">
        <f>AA57/AA62</f>
        <v>1.2172936552498597</v>
      </c>
      <c r="AB63" s="39">
        <f t="shared" ref="AB63:AX63" si="131">AB57/AB62</f>
        <v>0.29646266142616506</v>
      </c>
      <c r="AC63" s="39">
        <f t="shared" si="131"/>
        <v>-2.5317237507018531</v>
      </c>
      <c r="AD63" s="39">
        <f t="shared" si="131"/>
        <v>-0.35317237507018528</v>
      </c>
      <c r="AE63" s="39">
        <f t="shared" si="131"/>
        <v>1.6844469399213923E-2</v>
      </c>
      <c r="AF63" s="39">
        <f t="shared" si="131"/>
        <v>0.6299831555306008</v>
      </c>
      <c r="AG63" s="39">
        <f t="shared" si="131"/>
        <v>0.63335204941044354</v>
      </c>
      <c r="AH63" s="39">
        <f t="shared" si="131"/>
        <v>0.1437394722066255</v>
      </c>
      <c r="AI63" s="39">
        <f t="shared" si="131"/>
        <v>0.67377877596855695</v>
      </c>
      <c r="AJ63" s="39">
        <f t="shared" si="131"/>
        <v>0.33520494104435711</v>
      </c>
      <c r="AK63" s="39">
        <f t="shared" si="131"/>
        <v>0.84334643458731051</v>
      </c>
      <c r="AL63" s="39">
        <f t="shared" si="131"/>
        <v>0.14261650758001124</v>
      </c>
      <c r="AM63" s="39">
        <f t="shared" si="131"/>
        <v>0.764177428411005</v>
      </c>
      <c r="AN63" s="39">
        <f t="shared" si="131"/>
        <v>0.83548568220101072</v>
      </c>
      <c r="AO63" s="39">
        <f t="shared" si="131"/>
        <v>-8.5906793935991016E-2</v>
      </c>
      <c r="AP63" s="39">
        <f t="shared" si="131"/>
        <v>0.3896687254351488</v>
      </c>
      <c r="AQ63" s="39">
        <f t="shared" si="131"/>
        <v>1.1435406698564594</v>
      </c>
      <c r="AR63" s="39">
        <f t="shared" si="131"/>
        <v>0.11532301121195943</v>
      </c>
      <c r="AS63" s="39">
        <f t="shared" si="131"/>
        <v>1.5296017222820237</v>
      </c>
      <c r="AT63" s="39">
        <f t="shared" si="131"/>
        <v>0.3043712898003238</v>
      </c>
      <c r="AU63" s="39">
        <f t="shared" si="131"/>
        <v>1.4322860238353197</v>
      </c>
      <c r="AV63" s="39">
        <f t="shared" si="131"/>
        <v>1.8513881328252586</v>
      </c>
      <c r="AW63" s="39">
        <f t="shared" si="131"/>
        <v>3.249316566429743</v>
      </c>
      <c r="AX63" s="39">
        <f t="shared" si="131"/>
        <v>0.79242174629324547</v>
      </c>
      <c r="AY63" s="39">
        <f t="shared" ref="AY63" si="132">AY57/AY62</f>
        <v>1.4025974025974026</v>
      </c>
      <c r="BG63" s="39">
        <f t="shared" si="90"/>
        <v>4.7082352941176469</v>
      </c>
      <c r="BH63" s="39">
        <f t="shared" si="91"/>
        <v>5.3680882352941177</v>
      </c>
      <c r="BI63" s="39">
        <f t="shared" si="92"/>
        <v>5.8283823529411771</v>
      </c>
      <c r="BJ63" s="39">
        <f t="shared" si="93"/>
        <v>5.9314583333333326</v>
      </c>
      <c r="BK63" s="39">
        <f t="shared" si="94"/>
        <v>8.7106666666666683</v>
      </c>
      <c r="BL63" s="39">
        <f t="shared" si="95"/>
        <v>6.4115163765674712</v>
      </c>
      <c r="BM63" s="39">
        <f t="shared" si="96"/>
        <v>-1.3711398090960136</v>
      </c>
      <c r="BN63" s="39">
        <f t="shared" si="97"/>
        <v>1.4239191465468837</v>
      </c>
      <c r="BO63" s="39">
        <f t="shared" si="98"/>
        <v>1.9949466591802358</v>
      </c>
      <c r="BP63" s="39">
        <f t="shared" si="99"/>
        <v>1.9034250421111734</v>
      </c>
      <c r="BQ63" s="39">
        <f t="shared" si="100"/>
        <v>3.0928366931507663</v>
      </c>
      <c r="BR63" s="39">
        <f t="shared" si="101"/>
        <v>7.3254124693835667</v>
      </c>
      <c r="BS63" s="67">
        <f>BS61/BS62</f>
        <v>5.5732349030851989</v>
      </c>
      <c r="BT63" s="67">
        <f t="shared" ref="BT63:CB63" si="133">BT61/BT62</f>
        <v>6.8905162186723521</v>
      </c>
      <c r="BU63" s="67">
        <f t="shared" si="133"/>
        <v>7.808547684885883</v>
      </c>
      <c r="BV63" s="67">
        <f t="shared" si="133"/>
        <v>8.8587057452399662</v>
      </c>
      <c r="BW63" s="67">
        <f t="shared" si="133"/>
        <v>9.8212418905698371</v>
      </c>
      <c r="BX63" s="67">
        <f t="shared" si="133"/>
        <v>10.977137954359295</v>
      </c>
      <c r="BY63" s="67">
        <f t="shared" si="133"/>
        <v>12.214931164791615</v>
      </c>
      <c r="BZ63" s="67">
        <f t="shared" si="133"/>
        <v>13.475155085018685</v>
      </c>
      <c r="CA63" s="67">
        <f t="shared" si="133"/>
        <v>14.787778692089789</v>
      </c>
      <c r="CB63" s="67">
        <f t="shared" si="133"/>
        <v>16.09294533279817</v>
      </c>
    </row>
    <row r="65" spans="2:91">
      <c r="B65" s="37" t="s">
        <v>56</v>
      </c>
      <c r="C65" s="85">
        <f t="shared" ref="C65:Z65" si="134">C48/C46</f>
        <v>0.42602973434072627</v>
      </c>
      <c r="D65" s="85">
        <f t="shared" si="134"/>
        <v>0.4873379689243712</v>
      </c>
      <c r="E65" s="85">
        <f t="shared" si="134"/>
        <v>0.48949141665329698</v>
      </c>
      <c r="F65" s="85">
        <f t="shared" si="134"/>
        <v>0.4334490273629833</v>
      </c>
      <c r="G65" s="85">
        <f t="shared" si="134"/>
        <v>0.42827272048390708</v>
      </c>
      <c r="H65" s="85">
        <f t="shared" si="134"/>
        <v>0.46312494984351177</v>
      </c>
      <c r="I65" s="85">
        <f t="shared" si="134"/>
        <v>0.49141286924662242</v>
      </c>
      <c r="J65" s="85">
        <f t="shared" si="134"/>
        <v>0.45566903493191235</v>
      </c>
      <c r="K65" s="85">
        <f t="shared" si="134"/>
        <v>0.43433482025715037</v>
      </c>
      <c r="L65" s="85">
        <f t="shared" si="134"/>
        <v>0.47073791348600508</v>
      </c>
      <c r="M65" s="85">
        <f t="shared" si="134"/>
        <v>0.49562232962106884</v>
      </c>
      <c r="N65" s="85">
        <f t="shared" si="134"/>
        <v>0.44414853142596256</v>
      </c>
      <c r="O65" s="85">
        <f t="shared" si="134"/>
        <v>0.43141233766233766</v>
      </c>
      <c r="P65" s="85">
        <f t="shared" si="134"/>
        <v>0.47742951409718054</v>
      </c>
      <c r="Q65" s="85">
        <f t="shared" si="134"/>
        <v>0.45799971906166598</v>
      </c>
      <c r="R65" s="85">
        <f t="shared" si="134"/>
        <v>0.43548008451365522</v>
      </c>
      <c r="S65" s="85">
        <f t="shared" si="134"/>
        <v>0.43137254901960786</v>
      </c>
      <c r="T65" s="85">
        <f t="shared" si="134"/>
        <v>0.4816469617816882</v>
      </c>
      <c r="U65" s="85">
        <f t="shared" si="134"/>
        <v>0.45183531420316503</v>
      </c>
      <c r="V65" s="85">
        <f t="shared" si="134"/>
        <v>0.43324479239479941</v>
      </c>
      <c r="W65" s="85">
        <f t="shared" si="134"/>
        <v>0.41181467686074624</v>
      </c>
      <c r="X65" s="85">
        <f t="shared" si="134"/>
        <v>0.438681141938078</v>
      </c>
      <c r="Y65" s="85">
        <f t="shared" si="134"/>
        <v>0.36644951140065146</v>
      </c>
      <c r="Z65" s="85">
        <f t="shared" si="134"/>
        <v>0.38038702928870294</v>
      </c>
      <c r="AA65" s="85">
        <f t="shared" ref="AA65:AW65" si="135">AA48/AA46</f>
        <v>0.37567658188437036</v>
      </c>
      <c r="AB65" s="85">
        <f t="shared" si="135"/>
        <v>0.33775312066574203</v>
      </c>
      <c r="AC65" s="85">
        <f t="shared" si="135"/>
        <v>0.32965446981916968</v>
      </c>
      <c r="AD65" s="85">
        <f t="shared" si="135"/>
        <v>0.25117291085877474</v>
      </c>
      <c r="AE65" s="85">
        <f t="shared" si="135"/>
        <v>0.2753400209243646</v>
      </c>
      <c r="AF65" s="85">
        <f t="shared" si="135"/>
        <v>0.37347082559405625</v>
      </c>
      <c r="AG65" s="85">
        <f t="shared" si="135"/>
        <v>0.3400892962049113</v>
      </c>
      <c r="AH65" s="85">
        <f t="shared" si="135"/>
        <v>0.3341426567389662</v>
      </c>
      <c r="AI65" s="85">
        <f t="shared" si="135"/>
        <v>0.33237086942572985</v>
      </c>
      <c r="AJ65" s="85">
        <f t="shared" si="135"/>
        <v>0.34573224583095225</v>
      </c>
      <c r="AK65" s="85">
        <f t="shared" si="135"/>
        <v>0.36374627976190477</v>
      </c>
      <c r="AL65" s="85">
        <f t="shared" si="135"/>
        <v>0.32714640198511169</v>
      </c>
      <c r="AM65" s="85">
        <f t="shared" si="135"/>
        <v>0.30307927866621298</v>
      </c>
      <c r="AN65" s="85">
        <f t="shared" si="135"/>
        <v>0.3300022920009168</v>
      </c>
      <c r="AO65" s="85">
        <f t="shared" si="135"/>
        <v>0.35194805194805195</v>
      </c>
      <c r="AP65" s="85">
        <f t="shared" si="135"/>
        <v>0.35370274469186952</v>
      </c>
      <c r="AQ65" s="85">
        <f t="shared" si="135"/>
        <v>0.3381035288122638</v>
      </c>
      <c r="AR65" s="85">
        <f t="shared" si="135"/>
        <v>0.35823936965086267</v>
      </c>
      <c r="AS65" s="85">
        <f t="shared" si="135"/>
        <v>0.36475923126754478</v>
      </c>
      <c r="AT65" s="85">
        <f t="shared" si="135"/>
        <v>0.36962877646850356</v>
      </c>
      <c r="AU65" s="85">
        <f t="shared" si="135"/>
        <v>0.37602268124746863</v>
      </c>
      <c r="AV65" s="85">
        <f t="shared" si="135"/>
        <v>0.3730155370221413</v>
      </c>
      <c r="AW65" s="85">
        <f t="shared" si="135"/>
        <v>0.38553911205073998</v>
      </c>
      <c r="AX65" s="85">
        <f>AX48/AX46</f>
        <v>0.37597934472934474</v>
      </c>
      <c r="AY65" s="85">
        <f>AY48/AY46</f>
        <v>0.35841576536699898</v>
      </c>
      <c r="BG65" s="85">
        <f t="shared" ref="BG65:BR65" si="136">BG48/BG46</f>
        <v>0.45875074263003707</v>
      </c>
      <c r="BH65" s="85">
        <f t="shared" si="136"/>
        <v>0.45937291527685126</v>
      </c>
      <c r="BI65" s="85">
        <f t="shared" si="136"/>
        <v>0.4608678458441185</v>
      </c>
      <c r="BJ65" s="85">
        <f t="shared" si="136"/>
        <v>0.45035094401218784</v>
      </c>
      <c r="BK65" s="85">
        <f t="shared" si="136"/>
        <v>0.44937241309688059</v>
      </c>
      <c r="BL65" s="85">
        <f t="shared" si="136"/>
        <v>0.39573606102834485</v>
      </c>
      <c r="BM65" s="85">
        <f t="shared" si="136"/>
        <v>0.32892885544748274</v>
      </c>
      <c r="BN65" s="85">
        <f t="shared" si="136"/>
        <v>0.33057937049452668</v>
      </c>
      <c r="BO65" s="85">
        <f t="shared" si="136"/>
        <v>0.34236357921713689</v>
      </c>
      <c r="BP65" s="85">
        <f t="shared" si="136"/>
        <v>0.33405700915656145</v>
      </c>
      <c r="BQ65" s="85">
        <f t="shared" si="136"/>
        <v>0.35751578901281728</v>
      </c>
      <c r="BR65" s="85">
        <f t="shared" si="136"/>
        <v>0.3776436325125761</v>
      </c>
      <c r="BS65" s="91">
        <v>0.3776436325125761</v>
      </c>
      <c r="BT65" s="91">
        <v>0.3776436325125761</v>
      </c>
      <c r="BU65" s="91">
        <v>0.3776436325125761</v>
      </c>
      <c r="BV65" s="91">
        <v>0.3776436325125761</v>
      </c>
      <c r="BW65" s="91">
        <v>0.3776436325125761</v>
      </c>
      <c r="BX65" s="91">
        <v>0.3776436325125761</v>
      </c>
      <c r="BY65" s="91">
        <v>0.3776436325125761</v>
      </c>
      <c r="BZ65" s="91">
        <v>0.3776436325125761</v>
      </c>
      <c r="CA65" s="91">
        <v>0.3776436325125761</v>
      </c>
      <c r="CB65" s="91">
        <v>0.3776436325125761</v>
      </c>
    </row>
    <row r="66" spans="2:91">
      <c r="B66" s="37" t="s">
        <v>57</v>
      </c>
      <c r="C66" s="85">
        <f t="shared" ref="C66:Z66" si="137">C49/C46</f>
        <v>0.16394508083516127</v>
      </c>
      <c r="D66" s="85">
        <f t="shared" si="137"/>
        <v>0.18164649326122415</v>
      </c>
      <c r="E66" s="85">
        <f t="shared" si="137"/>
        <v>0.16420664206642066</v>
      </c>
      <c r="F66" s="85">
        <f t="shared" si="137"/>
        <v>0.1924287674550004</v>
      </c>
      <c r="G66" s="85">
        <f t="shared" si="137"/>
        <v>0.14450003733851094</v>
      </c>
      <c r="H66" s="85">
        <f t="shared" si="137"/>
        <v>0.16700104325495546</v>
      </c>
      <c r="I66" s="85">
        <f t="shared" si="137"/>
        <v>0.16036943744752308</v>
      </c>
      <c r="J66" s="85">
        <f t="shared" si="137"/>
        <v>0.1780639431616341</v>
      </c>
      <c r="K66" s="85">
        <f t="shared" si="137"/>
        <v>0.13283914982944109</v>
      </c>
      <c r="L66" s="85">
        <f t="shared" si="137"/>
        <v>0.16477754645693576</v>
      </c>
      <c r="M66" s="85">
        <f t="shared" si="137"/>
        <v>0.16144848357498073</v>
      </c>
      <c r="N66" s="85">
        <f t="shared" si="137"/>
        <v>0.17402221884035915</v>
      </c>
      <c r="O66" s="85">
        <f t="shared" si="137"/>
        <v>0.13426677489177488</v>
      </c>
      <c r="P66" s="85">
        <f t="shared" si="137"/>
        <v>0.14554589082183564</v>
      </c>
      <c r="Q66" s="85">
        <f t="shared" si="137"/>
        <v>0.14201432785503582</v>
      </c>
      <c r="R66" s="85">
        <f t="shared" si="137"/>
        <v>0.17434854057437985</v>
      </c>
      <c r="S66" s="85">
        <f t="shared" si="137"/>
        <v>0.13595205524070092</v>
      </c>
      <c r="T66" s="85">
        <f t="shared" si="137"/>
        <v>0.1539043167445697</v>
      </c>
      <c r="U66" s="85">
        <f t="shared" si="137"/>
        <v>0.14531485980694728</v>
      </c>
      <c r="V66" s="85">
        <f t="shared" si="137"/>
        <v>0.16223961973996925</v>
      </c>
      <c r="W66" s="85">
        <f t="shared" si="137"/>
        <v>0.14062602104162583</v>
      </c>
      <c r="X66" s="85">
        <f t="shared" si="137"/>
        <v>0.15614528883527679</v>
      </c>
      <c r="Y66" s="85">
        <f t="shared" si="137"/>
        <v>0.16622248544072649</v>
      </c>
      <c r="Z66" s="85">
        <f t="shared" si="137"/>
        <v>0.19346234309623431</v>
      </c>
      <c r="AA66" s="85">
        <f t="shared" ref="AA66:AW66" si="138">AA49/AA46</f>
        <v>0.17765962542510896</v>
      </c>
      <c r="AB66" s="85">
        <f t="shared" si="138"/>
        <v>0.18823855755894592</v>
      </c>
      <c r="AC66" s="85">
        <f t="shared" si="138"/>
        <v>0.20842176755242381</v>
      </c>
      <c r="AD66" s="85">
        <f t="shared" si="138"/>
        <v>0.19120146868837967</v>
      </c>
      <c r="AE66" s="85">
        <f t="shared" si="138"/>
        <v>0.17951873961474551</v>
      </c>
      <c r="AF66" s="85">
        <f t="shared" si="138"/>
        <v>0.19938512777813361</v>
      </c>
      <c r="AG66" s="85">
        <f t="shared" si="138"/>
        <v>0.18611209023616496</v>
      </c>
      <c r="AH66" s="85">
        <f t="shared" si="138"/>
        <v>0.23303118592856373</v>
      </c>
      <c r="AI66" s="85">
        <f t="shared" si="138"/>
        <v>0.17356432467115818</v>
      </c>
      <c r="AJ66" s="85">
        <f t="shared" si="138"/>
        <v>0.19575042859369318</v>
      </c>
      <c r="AK66" s="85">
        <f t="shared" si="138"/>
        <v>0.19066220238095238</v>
      </c>
      <c r="AL66" s="85">
        <f t="shared" si="138"/>
        <v>0.23488833746898263</v>
      </c>
      <c r="AM66" s="85">
        <f t="shared" si="138"/>
        <v>0.16276794828172847</v>
      </c>
      <c r="AN66" s="85">
        <f t="shared" si="138"/>
        <v>0.1656658262663305</v>
      </c>
      <c r="AO66" s="85">
        <f t="shared" si="138"/>
        <v>0.1734885803851321</v>
      </c>
      <c r="AP66" s="85">
        <f t="shared" si="138"/>
        <v>0.18930370509863001</v>
      </c>
      <c r="AQ66" s="85">
        <f t="shared" si="138"/>
        <v>0.1606437640664147</v>
      </c>
      <c r="AR66" s="85">
        <f t="shared" si="138"/>
        <v>0.17162523207897479</v>
      </c>
      <c r="AS66" s="85">
        <f t="shared" si="138"/>
        <v>0.1672209026128266</v>
      </c>
      <c r="AT66" s="85">
        <f t="shared" si="138"/>
        <v>0.1911048108443342</v>
      </c>
      <c r="AU66" s="85">
        <f t="shared" si="138"/>
        <v>0.1591737545565006</v>
      </c>
      <c r="AV66" s="85">
        <f t="shared" si="138"/>
        <v>0.16853647178358241</v>
      </c>
      <c r="AW66" s="85">
        <f t="shared" si="138"/>
        <v>0.1750951374207188</v>
      </c>
      <c r="AX66" s="85">
        <f>AX49/AX46</f>
        <v>0.19805021367521367</v>
      </c>
      <c r="AY66" s="85">
        <f>AY49/AY46</f>
        <v>0.15861591162772795</v>
      </c>
      <c r="BG66" s="85">
        <f t="shared" ref="BG66:BR66" si="139">BG49/BG46</f>
        <v>0.1754655522094524</v>
      </c>
      <c r="BH66" s="85">
        <f t="shared" si="139"/>
        <v>0.16245115791480033</v>
      </c>
      <c r="BI66" s="85">
        <f t="shared" si="139"/>
        <v>0.15735547886108714</v>
      </c>
      <c r="BJ66" s="85">
        <f t="shared" si="139"/>
        <v>0.14828518055026571</v>
      </c>
      <c r="BK66" s="85">
        <f t="shared" si="139"/>
        <v>0.14907292122354207</v>
      </c>
      <c r="BL66" s="85">
        <f t="shared" si="139"/>
        <v>0.1659172209691554</v>
      </c>
      <c r="BM66" s="85">
        <f t="shared" si="139"/>
        <v>0.18916314920168839</v>
      </c>
      <c r="BN66" s="85">
        <f t="shared" si="139"/>
        <v>0.20049541665430598</v>
      </c>
      <c r="BO66" s="85">
        <f t="shared" si="139"/>
        <v>0.19810933004521167</v>
      </c>
      <c r="BP66" s="85">
        <f t="shared" si="139"/>
        <v>0.17251231748745754</v>
      </c>
      <c r="BQ66" s="85">
        <f t="shared" si="139"/>
        <v>0.17249154453213078</v>
      </c>
      <c r="BR66" s="85">
        <f t="shared" si="139"/>
        <v>0.17475244903362458</v>
      </c>
      <c r="BS66" s="91">
        <v>0.17499999999999999</v>
      </c>
      <c r="BT66" s="91">
        <v>0.16</v>
      </c>
      <c r="BU66" s="91">
        <v>0.1575</v>
      </c>
      <c r="BV66" s="91">
        <v>0.155</v>
      </c>
      <c r="BW66" s="91">
        <v>0.154</v>
      </c>
      <c r="BX66" s="91">
        <v>0.153</v>
      </c>
      <c r="BY66" s="91">
        <v>0.152</v>
      </c>
      <c r="BZ66" s="91">
        <v>0.151</v>
      </c>
      <c r="CA66" s="91">
        <v>0.15</v>
      </c>
      <c r="CB66" s="91">
        <v>0.15</v>
      </c>
    </row>
    <row r="67" spans="2:91">
      <c r="B67" s="37" t="s">
        <v>931</v>
      </c>
      <c r="C67" s="85">
        <f t="shared" ref="C67:Z67" si="140">C50/C46</f>
        <v>4.711999350069055E-2</v>
      </c>
      <c r="D67" s="85">
        <f t="shared" si="140"/>
        <v>5.3910206884711133E-2</v>
      </c>
      <c r="E67" s="85">
        <f t="shared" si="140"/>
        <v>4.4681533771859461E-2</v>
      </c>
      <c r="F67" s="85">
        <f t="shared" si="140"/>
        <v>5.3515215110178385E-2</v>
      </c>
      <c r="G67" s="85">
        <f t="shared" si="140"/>
        <v>4.4208796953177511E-2</v>
      </c>
      <c r="H67" s="85">
        <f t="shared" si="140"/>
        <v>4.6866222614557418E-2</v>
      </c>
      <c r="I67" s="85">
        <f t="shared" si="140"/>
        <v>4.3889779406152199E-2</v>
      </c>
      <c r="J67" s="85">
        <f t="shared" si="140"/>
        <v>4.8549437537004143E-2</v>
      </c>
      <c r="K67" s="85">
        <f t="shared" si="140"/>
        <v>4.513251115192863E-2</v>
      </c>
      <c r="L67" s="85">
        <f t="shared" si="140"/>
        <v>4.6649703138252757E-2</v>
      </c>
      <c r="M67" s="85">
        <f t="shared" si="140"/>
        <v>4.6928626462141909E-2</v>
      </c>
      <c r="N67" s="85">
        <f t="shared" si="140"/>
        <v>5.4786181707502664E-2</v>
      </c>
      <c r="O67" s="85">
        <f t="shared" si="140"/>
        <v>4.6469155844155847E-2</v>
      </c>
      <c r="P67" s="85">
        <f t="shared" si="140"/>
        <v>5.0689862027594484E-2</v>
      </c>
      <c r="Q67" s="85">
        <f t="shared" si="140"/>
        <v>4.9936788874841972E-2</v>
      </c>
      <c r="R67" s="85">
        <f t="shared" si="140"/>
        <v>6.3072227873855538E-2</v>
      </c>
      <c r="S67" s="85">
        <f t="shared" si="140"/>
        <v>4.9312748355156019E-2</v>
      </c>
      <c r="T67" s="85">
        <f t="shared" si="140"/>
        <v>5.1141050316194668E-2</v>
      </c>
      <c r="U67" s="85">
        <f t="shared" si="140"/>
        <v>4.885415982664653E-2</v>
      </c>
      <c r="V67" s="85">
        <f t="shared" si="140"/>
        <v>5.5850692017335384E-2</v>
      </c>
      <c r="W67" s="85">
        <f t="shared" si="140"/>
        <v>4.7833758086649678E-2</v>
      </c>
      <c r="X67" s="85">
        <f t="shared" si="140"/>
        <v>9.9852566680069699E-2</v>
      </c>
      <c r="Y67" s="85">
        <f t="shared" si="140"/>
        <v>7.4671799427499755E-2</v>
      </c>
      <c r="Z67" s="85">
        <f t="shared" si="140"/>
        <v>8.4466527196652721E-2</v>
      </c>
      <c r="AA67" s="85">
        <f t="shared" ref="AA67:AW67" si="141">AA50/AA46</f>
        <v>6.9406523925851421E-2</v>
      </c>
      <c r="AB67" s="85">
        <f t="shared" si="141"/>
        <v>8.2052704576976415E-2</v>
      </c>
      <c r="AC67" s="85">
        <f t="shared" si="141"/>
        <v>0.54537736649970281</v>
      </c>
      <c r="AD67" s="85">
        <f t="shared" si="141"/>
        <v>0.11749507037465153</v>
      </c>
      <c r="AE67" s="85">
        <f t="shared" si="141"/>
        <v>8.6836112991568709E-2</v>
      </c>
      <c r="AF67" s="85">
        <f t="shared" si="141"/>
        <v>0.10798693396528534</v>
      </c>
      <c r="AG67" s="85">
        <f t="shared" si="141"/>
        <v>7.64305017036776E-2</v>
      </c>
      <c r="AH67" s="85">
        <f t="shared" si="141"/>
        <v>3.8469839214416747E-2</v>
      </c>
      <c r="AI67" s="85">
        <f t="shared" si="141"/>
        <v>5.8160318988037946E-2</v>
      </c>
      <c r="AJ67" s="85">
        <f t="shared" si="141"/>
        <v>7.6991012520130922E-2</v>
      </c>
      <c r="AK67" s="85">
        <f t="shared" si="141"/>
        <v>6.1941964285714288E-2</v>
      </c>
      <c r="AL67" s="85">
        <f t="shared" si="141"/>
        <v>5.3598014888337472E-2</v>
      </c>
      <c r="AM67" s="85">
        <f t="shared" si="141"/>
        <v>5.5546104117046614E-2</v>
      </c>
      <c r="AN67" s="85">
        <f t="shared" si="141"/>
        <v>6.0050424020169607E-2</v>
      </c>
      <c r="AO67" s="85">
        <f t="shared" si="141"/>
        <v>6.0188087774294671E-2</v>
      </c>
      <c r="AP67" s="85">
        <f t="shared" si="141"/>
        <v>6.6333976743091189E-2</v>
      </c>
      <c r="AQ67" s="85">
        <f t="shared" si="141"/>
        <v>5.2783557688224556E-2</v>
      </c>
      <c r="AR67" s="85">
        <f t="shared" si="141"/>
        <v>5.6242358375220756E-2</v>
      </c>
      <c r="AS67" s="85">
        <f t="shared" si="141"/>
        <v>5.2688404232347226E-2</v>
      </c>
      <c r="AT67" s="85">
        <f t="shared" si="141"/>
        <v>5.6923894746168158E-2</v>
      </c>
      <c r="AU67" s="85">
        <f t="shared" si="141"/>
        <v>5.168084244633455E-2</v>
      </c>
      <c r="AV67" s="85">
        <f t="shared" si="141"/>
        <v>5.6051818297277844E-2</v>
      </c>
      <c r="AW67" s="85">
        <f t="shared" si="141"/>
        <v>5.6321353065539113E-2</v>
      </c>
      <c r="AX67" s="85">
        <f>AX50/AX46</f>
        <v>6.2054843304843302E-2</v>
      </c>
      <c r="AY67" s="85">
        <f>AY50/AY46</f>
        <v>5.065239983064547E-2</v>
      </c>
      <c r="BG67" s="85">
        <f t="shared" ref="BG67:BR67" si="142">BG50/BG46</f>
        <v>4.9740847724991294E-2</v>
      </c>
      <c r="BH67" s="85">
        <f t="shared" si="142"/>
        <v>4.5878204517297246E-2</v>
      </c>
      <c r="BI67" s="85">
        <f t="shared" si="142"/>
        <v>4.8227638769053782E-2</v>
      </c>
      <c r="BJ67" s="85">
        <f t="shared" si="142"/>
        <v>5.2233527395396918E-2</v>
      </c>
      <c r="BK67" s="85">
        <f t="shared" si="142"/>
        <v>5.1216475418110849E-2</v>
      </c>
      <c r="BL67" s="85">
        <f t="shared" si="142"/>
        <v>7.6860085910899767E-2</v>
      </c>
      <c r="BM67" s="85">
        <f t="shared" si="142"/>
        <v>0.16945005199730837</v>
      </c>
      <c r="BN67" s="85">
        <f t="shared" si="142"/>
        <v>7.5810614375982674E-2</v>
      </c>
      <c r="BO67" s="85">
        <f t="shared" si="142"/>
        <v>6.2413868136650466E-2</v>
      </c>
      <c r="BP67" s="85">
        <f t="shared" si="142"/>
        <v>6.0395059506400596E-2</v>
      </c>
      <c r="BQ67" s="85">
        <f t="shared" si="142"/>
        <v>5.4618491478858597E-2</v>
      </c>
      <c r="BR67" s="85">
        <f t="shared" si="142"/>
        <v>5.6404553878739744E-2</v>
      </c>
      <c r="BS67" s="91">
        <v>5.6404553878739744E-2</v>
      </c>
      <c r="BT67" s="91">
        <v>5.8000000000000003E-2</v>
      </c>
      <c r="BU67" s="91">
        <v>5.8000000000000003E-2</v>
      </c>
      <c r="BV67" s="91">
        <v>5.7000000000000002E-2</v>
      </c>
      <c r="BW67" s="91">
        <v>5.7000000000000002E-2</v>
      </c>
      <c r="BX67" s="91">
        <v>5.6404553878739744E-2</v>
      </c>
      <c r="BY67" s="91">
        <v>5.6404553878739744E-2</v>
      </c>
      <c r="BZ67" s="91">
        <v>5.6404553878739744E-2</v>
      </c>
      <c r="CA67" s="91">
        <v>5.6404553878739744E-2</v>
      </c>
      <c r="CB67" s="91">
        <v>5.6404553878739744E-2</v>
      </c>
    </row>
    <row r="68" spans="2:91">
      <c r="B68" s="37" t="s">
        <v>58</v>
      </c>
      <c r="C68" s="85">
        <f t="shared" ref="C68:Z68" si="143">C51/C46</f>
        <v>0.21496466000487449</v>
      </c>
      <c r="D68" s="85">
        <f t="shared" si="143"/>
        <v>0.25178126877843593</v>
      </c>
      <c r="E68" s="85">
        <f t="shared" si="143"/>
        <v>0.28060324081501686</v>
      </c>
      <c r="F68" s="85">
        <f t="shared" si="143"/>
        <v>0.1875050447978045</v>
      </c>
      <c r="G68" s="85">
        <f t="shared" si="143"/>
        <v>0.23956388619221866</v>
      </c>
      <c r="H68" s="85">
        <f t="shared" si="143"/>
        <v>0.24925768397399889</v>
      </c>
      <c r="I68" s="85">
        <f t="shared" si="143"/>
        <v>0.2871536523929471</v>
      </c>
      <c r="J68" s="85">
        <f t="shared" si="143"/>
        <v>0.22905565423327412</v>
      </c>
      <c r="K68" s="85">
        <f t="shared" si="143"/>
        <v>0.25636315927578063</v>
      </c>
      <c r="L68" s="85">
        <f t="shared" si="143"/>
        <v>0.25931066389081658</v>
      </c>
      <c r="M68" s="85">
        <f t="shared" si="143"/>
        <v>0.28724521958394622</v>
      </c>
      <c r="N68" s="85">
        <f t="shared" si="143"/>
        <v>0.21534013087810075</v>
      </c>
      <c r="O68" s="85">
        <f t="shared" si="143"/>
        <v>0.25067640692640691</v>
      </c>
      <c r="P68" s="85">
        <f t="shared" si="143"/>
        <v>0.28119376124775047</v>
      </c>
      <c r="Q68" s="85">
        <f t="shared" si="143"/>
        <v>0.26604860233178818</v>
      </c>
      <c r="R68" s="85">
        <f t="shared" si="143"/>
        <v>0.19805931606541982</v>
      </c>
      <c r="S68" s="85">
        <f t="shared" si="143"/>
        <v>0.24610774542375088</v>
      </c>
      <c r="T68" s="85">
        <f t="shared" si="143"/>
        <v>0.27660159472092383</v>
      </c>
      <c r="U68" s="85">
        <f t="shared" si="143"/>
        <v>0.25766629456957119</v>
      </c>
      <c r="V68" s="85">
        <f t="shared" si="143"/>
        <v>0.21515448063749476</v>
      </c>
      <c r="W68" s="85">
        <f t="shared" si="143"/>
        <v>0.22335489773247075</v>
      </c>
      <c r="X68" s="85">
        <f t="shared" si="143"/>
        <v>0.18268328642273154</v>
      </c>
      <c r="Y68" s="85">
        <f t="shared" si="143"/>
        <v>0.12555522653242523</v>
      </c>
      <c r="Z68" s="85">
        <f t="shared" si="143"/>
        <v>0.1024581589958159</v>
      </c>
      <c r="AA68" s="85">
        <f t="shared" ref="AA68:AW68" si="144">AA51/AA46</f>
        <v>0.12861043253340998</v>
      </c>
      <c r="AB68" s="85">
        <f t="shared" si="144"/>
        <v>6.7461858529819702E-2</v>
      </c>
      <c r="AC68" s="85">
        <f t="shared" si="144"/>
        <v>-0.42414466423295694</v>
      </c>
      <c r="AD68" s="85">
        <f t="shared" si="144"/>
        <v>-5.7523628204256473E-2</v>
      </c>
      <c r="AE68" s="85">
        <f t="shared" si="144"/>
        <v>8.9851683180503412E-3</v>
      </c>
      <c r="AF68" s="85">
        <f t="shared" si="144"/>
        <v>6.6098763850637288E-2</v>
      </c>
      <c r="AG68" s="85">
        <f t="shared" si="144"/>
        <v>7.7546704265068739E-2</v>
      </c>
      <c r="AH68" s="85">
        <f t="shared" si="144"/>
        <v>6.264163159598575E-2</v>
      </c>
      <c r="AI68" s="85">
        <f t="shared" si="144"/>
        <v>0.10064622576653376</v>
      </c>
      <c r="AJ68" s="85">
        <f t="shared" si="144"/>
        <v>7.2990804717128169E-2</v>
      </c>
      <c r="AK68" s="85">
        <f t="shared" si="144"/>
        <v>0.1111421130952381</v>
      </c>
      <c r="AL68" s="85">
        <f t="shared" si="144"/>
        <v>3.8660049627791564E-2</v>
      </c>
      <c r="AM68" s="85">
        <f t="shared" si="144"/>
        <v>8.4765226267437904E-2</v>
      </c>
      <c r="AN68" s="85">
        <f t="shared" si="144"/>
        <v>0.10428604171441669</v>
      </c>
      <c r="AO68" s="85">
        <f t="shared" si="144"/>
        <v>0.11827138378862517</v>
      </c>
      <c r="AP68" s="85">
        <f t="shared" si="144"/>
        <v>9.8065062850148293E-2</v>
      </c>
      <c r="AQ68" s="85">
        <f t="shared" si="144"/>
        <v>0.12467620705762453</v>
      </c>
      <c r="AR68" s="85">
        <f t="shared" si="144"/>
        <v>0.13037177919666712</v>
      </c>
      <c r="AS68" s="85">
        <f t="shared" si="144"/>
        <v>0.14484992442237099</v>
      </c>
      <c r="AT68" s="85">
        <f t="shared" si="144"/>
        <v>0.12160007087800125</v>
      </c>
      <c r="AU68" s="85">
        <f t="shared" si="144"/>
        <v>0.16516808424463345</v>
      </c>
      <c r="AV68" s="85">
        <f t="shared" si="144"/>
        <v>0.14842724694128107</v>
      </c>
      <c r="AW68" s="85">
        <f t="shared" si="144"/>
        <v>0.15412262156448203</v>
      </c>
      <c r="AX68" s="85">
        <f>AX51/AX46</f>
        <v>0.11587428774928775</v>
      </c>
      <c r="AY68" s="85">
        <f>AY51/AY46</f>
        <v>0.14914745390862552</v>
      </c>
      <c r="BG68" s="85">
        <f t="shared" ref="BG68:BR68" si="145">BG51/BG46</f>
        <v>0.23354434269559338</v>
      </c>
      <c r="BH68" s="85">
        <f t="shared" si="145"/>
        <v>0.25104355284475366</v>
      </c>
      <c r="BI68" s="85">
        <f t="shared" si="145"/>
        <v>0.25528472821397757</v>
      </c>
      <c r="BJ68" s="85">
        <f t="shared" si="145"/>
        <v>0.24983223606652519</v>
      </c>
      <c r="BK68" s="85">
        <f t="shared" si="145"/>
        <v>0.24908301645522765</v>
      </c>
      <c r="BL68" s="85">
        <f t="shared" si="145"/>
        <v>0.15295875414828969</v>
      </c>
      <c r="BM68" s="85">
        <f t="shared" si="145"/>
        <v>-2.9684345751514039E-2</v>
      </c>
      <c r="BN68" s="85">
        <f t="shared" si="145"/>
        <v>5.4273339464238041E-2</v>
      </c>
      <c r="BO68" s="85">
        <f t="shared" si="145"/>
        <v>8.1840381035274773E-2</v>
      </c>
      <c r="BP68" s="85">
        <f t="shared" si="145"/>
        <v>0.10114963216270333</v>
      </c>
      <c r="BQ68" s="85">
        <f t="shared" si="145"/>
        <v>0.13040575300182791</v>
      </c>
      <c r="BR68" s="85">
        <f t="shared" si="145"/>
        <v>0.1464866296002118</v>
      </c>
      <c r="BS68" s="91">
        <f>BS51/BS46</f>
        <v>0.14623907863383628</v>
      </c>
      <c r="BT68" s="91">
        <f t="shared" ref="BT68:CB68" si="146">BT51/BT46</f>
        <v>0.15964363251257607</v>
      </c>
      <c r="BU68" s="91">
        <f t="shared" si="146"/>
        <v>0.16214363251257605</v>
      </c>
      <c r="BV68" s="91">
        <f t="shared" si="146"/>
        <v>0.16564363251257605</v>
      </c>
      <c r="BW68" s="91">
        <f t="shared" si="146"/>
        <v>0.16664363251257605</v>
      </c>
      <c r="BX68" s="91">
        <f t="shared" si="146"/>
        <v>0.16823907863383636</v>
      </c>
      <c r="BY68" s="91">
        <f t="shared" si="146"/>
        <v>0.1692390786338363</v>
      </c>
      <c r="BZ68" s="91">
        <f t="shared" si="146"/>
        <v>0.17023907863383633</v>
      </c>
      <c r="CA68" s="91">
        <f t="shared" si="146"/>
        <v>0.17123907863383631</v>
      </c>
      <c r="CB68" s="91">
        <f t="shared" si="146"/>
        <v>0.17123907863383631</v>
      </c>
    </row>
    <row r="69" spans="2:91">
      <c r="B69" s="37" t="s">
        <v>59</v>
      </c>
      <c r="C69" s="85">
        <f t="shared" ref="C69:Z69" si="147">C56/C55</f>
        <v>0.35238095238095241</v>
      </c>
      <c r="D69" s="85">
        <f t="shared" si="147"/>
        <v>0.35244094488188976</v>
      </c>
      <c r="E69" s="85">
        <f t="shared" si="147"/>
        <v>0.34087193460490461</v>
      </c>
      <c r="F69" s="85">
        <f t="shared" si="147"/>
        <v>0.33969930922389274</v>
      </c>
      <c r="G69" s="85">
        <f t="shared" si="147"/>
        <v>0.33254015466983938</v>
      </c>
      <c r="H69" s="85">
        <f t="shared" si="147"/>
        <v>0.3289156626506024</v>
      </c>
      <c r="I69" s="85">
        <f t="shared" si="147"/>
        <v>0.33392226148409893</v>
      </c>
      <c r="J69" s="85">
        <f t="shared" si="147"/>
        <v>0.45998759305210918</v>
      </c>
      <c r="K69" s="85">
        <f t="shared" si="147"/>
        <v>0.3322625057365764</v>
      </c>
      <c r="L69" s="85">
        <f t="shared" si="147"/>
        <v>0.33952408589669181</v>
      </c>
      <c r="M69" s="85">
        <f t="shared" si="147"/>
        <v>0.35166148697107341</v>
      </c>
      <c r="N69" s="85">
        <f t="shared" si="147"/>
        <v>0.34328358208955223</v>
      </c>
      <c r="O69" s="85">
        <f t="shared" si="147"/>
        <v>0.33208053691275169</v>
      </c>
      <c r="P69" s="85">
        <f t="shared" si="147"/>
        <v>0.32311383631031726</v>
      </c>
      <c r="Q69" s="85">
        <f t="shared" si="147"/>
        <v>0.31619679380873411</v>
      </c>
      <c r="R69" s="85">
        <f t="shared" si="147"/>
        <v>0.30772086117297698</v>
      </c>
      <c r="S69" s="85">
        <f t="shared" si="147"/>
        <v>-0.19439252336448598</v>
      </c>
      <c r="T69" s="85">
        <f t="shared" si="147"/>
        <v>0.20697556008146639</v>
      </c>
      <c r="U69" s="85">
        <f t="shared" si="147"/>
        <v>0.20627919045147899</v>
      </c>
      <c r="V69" s="85">
        <f t="shared" si="147"/>
        <v>0.24453466583385383</v>
      </c>
      <c r="W69" s="85">
        <f t="shared" si="147"/>
        <v>0.18799183911396095</v>
      </c>
      <c r="X69" s="85">
        <f t="shared" si="147"/>
        <v>0.22758048915296394</v>
      </c>
      <c r="Y69" s="85">
        <f t="shared" si="147"/>
        <v>0.19561971129915381</v>
      </c>
      <c r="Z69" s="85">
        <f t="shared" si="147"/>
        <v>0.2736757624398074</v>
      </c>
      <c r="AA69" s="85">
        <f t="shared" ref="AA69:AW69" si="148">AA56/AA55</f>
        <v>0.1744097486671744</v>
      </c>
      <c r="AB69" s="85">
        <f t="shared" si="148"/>
        <v>0.49762131303520457</v>
      </c>
      <c r="AC69" s="85">
        <f t="shared" si="148"/>
        <v>6.8388429752066118E-2</v>
      </c>
      <c r="AD69" s="85">
        <f t="shared" si="148"/>
        <v>-8.4482758620689657E-2</v>
      </c>
      <c r="AE69" s="85">
        <f t="shared" si="148"/>
        <v>0.34782608695652173</v>
      </c>
      <c r="AF69" s="85">
        <f t="shared" si="148"/>
        <v>8.7804878048780483E-2</v>
      </c>
      <c r="AG69" s="85">
        <f t="shared" si="148"/>
        <v>-0.13366834170854272</v>
      </c>
      <c r="AH69" s="85">
        <f t="shared" si="148"/>
        <v>0.11724137931034483</v>
      </c>
      <c r="AI69" s="85">
        <f t="shared" si="148"/>
        <v>0.2890995260663507</v>
      </c>
      <c r="AJ69" s="85">
        <f t="shared" si="148"/>
        <v>0.45825771324863884</v>
      </c>
      <c r="AK69" s="85">
        <f t="shared" si="148"/>
        <v>0.29117508258612551</v>
      </c>
      <c r="AL69" s="85">
        <f t="shared" si="148"/>
        <v>0.32446808510638298</v>
      </c>
      <c r="AM69" s="85">
        <f t="shared" si="148"/>
        <v>0.2323745064861816</v>
      </c>
      <c r="AN69" s="85">
        <f t="shared" si="148"/>
        <v>0.29910504003768251</v>
      </c>
      <c r="AO69" s="85">
        <f t="shared" si="148"/>
        <v>-0.1417910447761194</v>
      </c>
      <c r="AP69" s="85">
        <f t="shared" si="148"/>
        <v>0.31082423038728896</v>
      </c>
      <c r="AQ69" s="85">
        <f t="shared" si="148"/>
        <v>0.2507836990595611</v>
      </c>
      <c r="AR69" s="85">
        <f t="shared" si="148"/>
        <v>0.67123287671232879</v>
      </c>
      <c r="AS69" s="85">
        <f t="shared" si="148"/>
        <v>8.1150986097639835E-2</v>
      </c>
      <c r="AT69" s="85">
        <f t="shared" si="148"/>
        <v>0.4050632911392405</v>
      </c>
      <c r="AU69" s="85">
        <f t="shared" si="148"/>
        <v>0.27759562841530055</v>
      </c>
      <c r="AV69" s="85">
        <f t="shared" si="148"/>
        <v>-0.10171687722708131</v>
      </c>
      <c r="AW69" s="85">
        <f t="shared" si="148"/>
        <v>-0.85082528807225166</v>
      </c>
      <c r="AX69" s="85">
        <f>AX56/AX55</f>
        <v>0.29437652811735943</v>
      </c>
      <c r="AY69" s="85">
        <f>AY56/AY55</f>
        <v>0.32737611697806662</v>
      </c>
      <c r="BG69" s="85">
        <f t="shared" ref="BG69:BR69" si="149">BG56/BG55</f>
        <v>0.34639882410583045</v>
      </c>
      <c r="BH69" s="85">
        <f t="shared" si="149"/>
        <v>0.36169599077011827</v>
      </c>
      <c r="BI69" s="85">
        <f t="shared" si="149"/>
        <v>0.34153887543718053</v>
      </c>
      <c r="BJ69" s="85">
        <f t="shared" si="149"/>
        <v>0.32071366405570062</v>
      </c>
      <c r="BK69" s="85">
        <f t="shared" si="149"/>
        <v>0.1129065109647634</v>
      </c>
      <c r="BL69" s="85">
        <f t="shared" si="149"/>
        <v>0.21733821733821734</v>
      </c>
      <c r="BM69" s="85">
        <f t="shared" si="149"/>
        <v>-0.40103270223752152</v>
      </c>
      <c r="BN69" s="85">
        <f t="shared" si="149"/>
        <v>9.7618117922686452E-3</v>
      </c>
      <c r="BO69" s="85">
        <f t="shared" si="149"/>
        <v>0.32771996215704824</v>
      </c>
      <c r="BP69" s="85">
        <f t="shared" si="149"/>
        <v>0.28915915286223526</v>
      </c>
      <c r="BQ69" s="85">
        <f t="shared" si="149"/>
        <v>0.23728365702206369</v>
      </c>
      <c r="BR69" s="85">
        <f t="shared" si="149"/>
        <v>-0.11897025743564109</v>
      </c>
      <c r="BS69" s="91">
        <v>0.22</v>
      </c>
      <c r="BT69" s="91">
        <v>0.23</v>
      </c>
      <c r="BU69" s="91">
        <v>0.23</v>
      </c>
      <c r="BV69" s="91">
        <v>0.23</v>
      </c>
      <c r="BW69" s="91">
        <v>0.23</v>
      </c>
      <c r="BX69" s="91">
        <v>0.23</v>
      </c>
      <c r="BY69" s="91">
        <v>0.23</v>
      </c>
      <c r="BZ69" s="91">
        <v>0.23</v>
      </c>
      <c r="CA69" s="91">
        <v>0.23</v>
      </c>
      <c r="CB69" s="91">
        <v>0.23</v>
      </c>
    </row>
    <row r="70" spans="2:91">
      <c r="B70" s="37" t="s">
        <v>60</v>
      </c>
      <c r="C70" s="85">
        <f t="shared" ref="C70:Z70" si="150">C57/C46</f>
        <v>0.15468356487123244</v>
      </c>
      <c r="D70" s="85">
        <f t="shared" si="150"/>
        <v>0.17649583655249379</v>
      </c>
      <c r="E70" s="85">
        <f t="shared" si="150"/>
        <v>0.19404781004331784</v>
      </c>
      <c r="F70" s="85">
        <f t="shared" si="150"/>
        <v>0.13116474291710389</v>
      </c>
      <c r="G70" s="85">
        <f t="shared" si="150"/>
        <v>0.16757523709954447</v>
      </c>
      <c r="H70" s="85">
        <f t="shared" si="150"/>
        <v>0.17879784928978412</v>
      </c>
      <c r="I70" s="85">
        <f t="shared" si="150"/>
        <v>0.20143500496145333</v>
      </c>
      <c r="J70" s="85">
        <f t="shared" si="150"/>
        <v>0.12884843102427471</v>
      </c>
      <c r="K70" s="85">
        <f t="shared" si="150"/>
        <v>0.19089477827341905</v>
      </c>
      <c r="L70" s="85">
        <f t="shared" si="150"/>
        <v>0.1754954121366335</v>
      </c>
      <c r="M70" s="85">
        <f t="shared" si="150"/>
        <v>0.18995587308258038</v>
      </c>
      <c r="N70" s="85">
        <f t="shared" si="150"/>
        <v>0.14396591082027088</v>
      </c>
      <c r="O70" s="85">
        <f t="shared" si="150"/>
        <v>0.1682900432900433</v>
      </c>
      <c r="P70" s="85">
        <f t="shared" si="150"/>
        <v>0.19038692261547691</v>
      </c>
      <c r="Q70" s="85">
        <f t="shared" si="150"/>
        <v>0.17376035960106756</v>
      </c>
      <c r="R70" s="85">
        <f t="shared" si="150"/>
        <v>0.14594256201580719</v>
      </c>
      <c r="S70" s="85">
        <f t="shared" si="150"/>
        <v>0.29138166894664841</v>
      </c>
      <c r="T70" s="85">
        <f t="shared" si="150"/>
        <v>0.21411877921363762</v>
      </c>
      <c r="U70" s="85">
        <f t="shared" si="150"/>
        <v>0.20086676735176309</v>
      </c>
      <c r="V70" s="85">
        <f t="shared" si="150"/>
        <v>0.16908989235285893</v>
      </c>
      <c r="W70" s="85">
        <f t="shared" si="150"/>
        <v>0.18205580605110108</v>
      </c>
      <c r="X70" s="85">
        <f t="shared" si="150"/>
        <v>0.37461466291381851</v>
      </c>
      <c r="Y70" s="85">
        <f t="shared" si="150"/>
        <v>7.9755206791037411E-2</v>
      </c>
      <c r="Z70" s="85">
        <f t="shared" si="150"/>
        <v>4.73326359832636E-2</v>
      </c>
      <c r="AA70" s="85">
        <f t="shared" ref="AA70:AW70" si="151">AA57/AA46</f>
        <v>0.10384633807539398</v>
      </c>
      <c r="AB70" s="85">
        <f t="shared" si="151"/>
        <v>2.929264909847434E-2</v>
      </c>
      <c r="AC70" s="85">
        <f t="shared" si="151"/>
        <v>-0.38279989812377962</v>
      </c>
      <c r="AD70" s="85">
        <f t="shared" si="151"/>
        <v>-4.2768749575032294E-2</v>
      </c>
      <c r="AE70" s="85">
        <f t="shared" si="151"/>
        <v>1.8462674626130839E-3</v>
      </c>
      <c r="AF70" s="85">
        <f t="shared" si="151"/>
        <v>7.1863190930634729E-2</v>
      </c>
      <c r="AG70" s="85">
        <f t="shared" si="151"/>
        <v>6.6267183644695096E-2</v>
      </c>
      <c r="AH70" s="85">
        <f t="shared" si="151"/>
        <v>1.3812452789468004E-2</v>
      </c>
      <c r="AI70" s="85">
        <f t="shared" si="151"/>
        <v>5.4997937577340852E-2</v>
      </c>
      <c r="AJ70" s="85">
        <f t="shared" si="151"/>
        <v>3.1014598160943426E-2</v>
      </c>
      <c r="AK70" s="85">
        <f t="shared" si="151"/>
        <v>6.9847470238095233E-2</v>
      </c>
      <c r="AL70" s="85">
        <f t="shared" si="151"/>
        <v>1.2605459057071961E-2</v>
      </c>
      <c r="AM70" s="85">
        <f t="shared" si="151"/>
        <v>5.7885335148009524E-2</v>
      </c>
      <c r="AN70" s="85">
        <f t="shared" si="151"/>
        <v>6.8209947283978917E-2</v>
      </c>
      <c r="AO70" s="85">
        <f t="shared" si="151"/>
        <v>-6.8517689207344377E-3</v>
      </c>
      <c r="AP70" s="85">
        <f t="shared" si="151"/>
        <v>3.2672661362459395E-2</v>
      </c>
      <c r="AQ70" s="85">
        <f t="shared" si="151"/>
        <v>9.1341458236018511E-2</v>
      </c>
      <c r="AR70" s="85">
        <f t="shared" si="151"/>
        <v>9.7812797174296976E-3</v>
      </c>
      <c r="AS70" s="85">
        <f t="shared" si="151"/>
        <v>0.12273806953141871</v>
      </c>
      <c r="AT70" s="85">
        <f t="shared" si="151"/>
        <v>2.4984495437228669E-2</v>
      </c>
      <c r="AU70" s="85">
        <f t="shared" si="151"/>
        <v>0.10708788983394087</v>
      </c>
      <c r="AV70" s="85">
        <f t="shared" si="151"/>
        <v>0.14398204987087762</v>
      </c>
      <c r="AW70" s="85">
        <f t="shared" si="151"/>
        <v>0.25128964059196618</v>
      </c>
      <c r="AX70" s="85">
        <f>AX57/AX46</f>
        <v>6.4236111111111105E-2</v>
      </c>
      <c r="AY70" s="85">
        <f>AY57/AY46</f>
        <v>9.5608329163619568E-2</v>
      </c>
      <c r="BG70" s="85">
        <f t="shared" ref="BG70:BR70" si="152">BG57/BG46</f>
        <v>0.16397271218732715</v>
      </c>
      <c r="BH70" s="85">
        <f t="shared" si="152"/>
        <v>0.16872200514628799</v>
      </c>
      <c r="BI70" s="85">
        <f t="shared" si="152"/>
        <v>0.17597785447224618</v>
      </c>
      <c r="BJ70" s="85">
        <f t="shared" si="152"/>
        <v>0.1698677838837804</v>
      </c>
      <c r="BK70" s="85">
        <f t="shared" si="152"/>
        <v>0.21984049533936803</v>
      </c>
      <c r="BL70" s="85">
        <f t="shared" si="152"/>
        <v>0.15655034694786443</v>
      </c>
      <c r="BM70" s="85">
        <f t="shared" si="152"/>
        <v>-3.7346302073775005E-2</v>
      </c>
      <c r="BN70" s="85">
        <f t="shared" si="152"/>
        <v>3.761606692574683E-2</v>
      </c>
      <c r="BO70" s="85">
        <f t="shared" si="152"/>
        <v>4.2951089190300044E-2</v>
      </c>
      <c r="BP70" s="85">
        <f t="shared" si="152"/>
        <v>3.8133591306891042E-2</v>
      </c>
      <c r="BQ70" s="85">
        <f t="shared" si="152"/>
        <v>6.3188888037565269E-2</v>
      </c>
      <c r="BR70" s="85">
        <f t="shared" si="152"/>
        <v>0.14223987291501192</v>
      </c>
      <c r="BS70" s="91">
        <f>BS57/BS46</f>
        <v>0.10014043510146478</v>
      </c>
      <c r="BT70" s="91">
        <f t="shared" ref="BT70:CB70" si="153">BT57/BT46</f>
        <v>0.1174945919170423</v>
      </c>
      <c r="BU70" s="91">
        <f t="shared" si="153"/>
        <v>0.12846067539794795</v>
      </c>
      <c r="BV70" s="91">
        <f t="shared" si="153"/>
        <v>0.14056329089673539</v>
      </c>
      <c r="BW70" s="91">
        <f t="shared" si="153"/>
        <v>0.15133579430524058</v>
      </c>
      <c r="BX70" s="91">
        <f t="shared" si="153"/>
        <v>0.16264264218444321</v>
      </c>
      <c r="BY70" s="91">
        <f t="shared" si="153"/>
        <v>0.17376030243560334</v>
      </c>
      <c r="BZ70" s="91">
        <f t="shared" si="153"/>
        <v>0.18565149135135739</v>
      </c>
      <c r="CA70" s="91">
        <f t="shared" si="153"/>
        <v>0.19830109600928614</v>
      </c>
      <c r="CB70" s="91">
        <f t="shared" si="153"/>
        <v>0.21110197681571163</v>
      </c>
    </row>
    <row r="72" spans="2:91" ht="15">
      <c r="B72" s="1" t="s">
        <v>61</v>
      </c>
      <c r="AH72" s="1">
        <v>15959</v>
      </c>
      <c r="AI72" s="1">
        <v>14444</v>
      </c>
      <c r="AJ72" s="1">
        <v>13272</v>
      </c>
      <c r="AK72" s="1">
        <v>12959</v>
      </c>
      <c r="AL72" s="1">
        <v>11615</v>
      </c>
      <c r="AM72" s="1">
        <v>8470</v>
      </c>
      <c r="AN72" s="1">
        <v>10399</v>
      </c>
      <c r="AO72" s="1">
        <v>11458</v>
      </c>
      <c r="AP72" s="1">
        <v>14182</v>
      </c>
      <c r="AQ72" s="1">
        <v>7192</v>
      </c>
      <c r="AR72" s="1">
        <v>6635</v>
      </c>
      <c r="AS72" s="1">
        <v>5954</v>
      </c>
      <c r="AT72" s="1">
        <v>6002</v>
      </c>
      <c r="AU72" s="1">
        <v>5486</v>
      </c>
      <c r="AV72" s="1">
        <v>5852</v>
      </c>
      <c r="AW72" s="1">
        <v>5367</v>
      </c>
      <c r="AX72" s="1">
        <v>5695</v>
      </c>
      <c r="AY72" s="1">
        <v>5678</v>
      </c>
      <c r="BO72" s="1">
        <f t="shared" ref="BO72:BO85" si="154">AL72</f>
        <v>11615</v>
      </c>
      <c r="BP72" s="1">
        <f t="shared" ref="BP72:BP85" si="155">AP72</f>
        <v>14182</v>
      </c>
      <c r="BQ72" s="1">
        <f t="shared" ref="BQ72:BQ85" si="156">AT72</f>
        <v>6002</v>
      </c>
      <c r="BR72" s="1">
        <f t="shared" ref="BR72:BR85" si="157">AX72</f>
        <v>5695</v>
      </c>
      <c r="BS72" s="66">
        <f>BS61+BR72</f>
        <v>15615.358127491654</v>
      </c>
      <c r="BT72" s="66">
        <f t="shared" ref="BT72:CB72" si="158">BT61+BS72</f>
        <v>27880.476996728441</v>
      </c>
      <c r="BU72" s="66">
        <f t="shared" si="158"/>
        <v>41779.691875825316</v>
      </c>
      <c r="BV72" s="66">
        <f t="shared" si="158"/>
        <v>57548.188102352455</v>
      </c>
      <c r="BW72" s="66">
        <f t="shared" si="158"/>
        <v>75029.998667566761</v>
      </c>
      <c r="BX72" s="66">
        <f t="shared" si="158"/>
        <v>94569.304226326305</v>
      </c>
      <c r="BY72" s="66">
        <f t="shared" si="158"/>
        <v>116311.88169965538</v>
      </c>
      <c r="BZ72" s="66">
        <f t="shared" si="158"/>
        <v>140297.65775098864</v>
      </c>
      <c r="CA72" s="66">
        <f t="shared" si="158"/>
        <v>166619.90382290847</v>
      </c>
      <c r="CB72" s="66">
        <f t="shared" si="158"/>
        <v>195265.34651528922</v>
      </c>
      <c r="CD72" s="56" t="s">
        <v>106</v>
      </c>
      <c r="CG72" s="57" t="s">
        <v>120</v>
      </c>
      <c r="CH72" s="45"/>
      <c r="CI72" s="58" t="s">
        <v>105</v>
      </c>
      <c r="CJ72" s="45"/>
      <c r="CK72" s="46" t="s">
        <v>107</v>
      </c>
      <c r="CL72" s="47">
        <v>9.2499999999999999E-2</v>
      </c>
      <c r="CM72" s="45"/>
    </row>
    <row r="73" spans="2:91">
      <c r="B73" s="1" t="s">
        <v>932</v>
      </c>
      <c r="AH73" s="1">
        <v>13367</v>
      </c>
      <c r="AI73" s="1">
        <v>14882</v>
      </c>
      <c r="AJ73" s="1">
        <v>13746</v>
      </c>
      <c r="AK73" s="1">
        <v>13685</v>
      </c>
      <c r="AL73" s="1">
        <v>12652</v>
      </c>
      <c r="AM73" s="1">
        <v>13993</v>
      </c>
      <c r="AN73" s="1">
        <v>12770</v>
      </c>
      <c r="AO73" s="1">
        <v>13112</v>
      </c>
      <c r="AP73" s="1">
        <v>12330</v>
      </c>
      <c r="AQ73" s="1">
        <v>14115</v>
      </c>
      <c r="AR73" s="1">
        <v>12026</v>
      </c>
      <c r="AS73" s="1">
        <v>12966</v>
      </c>
      <c r="AT73" s="1">
        <v>12729</v>
      </c>
      <c r="AU73" s="1">
        <v>13767</v>
      </c>
      <c r="AV73" s="1">
        <v>12571</v>
      </c>
      <c r="AW73" s="1">
        <v>13402</v>
      </c>
      <c r="AX73" s="1">
        <v>13217</v>
      </c>
      <c r="AY73" s="1">
        <v>15054</v>
      </c>
      <c r="BO73" s="1">
        <f t="shared" si="154"/>
        <v>12652</v>
      </c>
      <c r="BP73" s="1">
        <f t="shared" si="155"/>
        <v>12330</v>
      </c>
      <c r="BQ73" s="1">
        <f t="shared" si="156"/>
        <v>12729</v>
      </c>
      <c r="BR73" s="1">
        <f t="shared" si="157"/>
        <v>13217</v>
      </c>
      <c r="CD73" s="45">
        <v>2024</v>
      </c>
      <c r="CE73" s="45">
        <v>2025</v>
      </c>
      <c r="CG73" s="44" t="s">
        <v>121</v>
      </c>
      <c r="CH73" s="45"/>
      <c r="CI73" s="45">
        <v>2025</v>
      </c>
      <c r="CJ73" s="45"/>
      <c r="CK73" s="46" t="s">
        <v>108</v>
      </c>
      <c r="CL73" s="47">
        <v>2.5000000000000001E-3</v>
      </c>
      <c r="CM73" s="45"/>
    </row>
    <row r="74" spans="2:91" ht="15.75" customHeight="1">
      <c r="B74" s="1" t="s">
        <v>933</v>
      </c>
      <c r="AH74" s="1">
        <v>1331</v>
      </c>
      <c r="AI74" s="1">
        <v>1345</v>
      </c>
      <c r="AJ74" s="1">
        <v>1428</v>
      </c>
      <c r="AK74" s="1">
        <v>1590</v>
      </c>
      <c r="AL74" s="1">
        <v>1742</v>
      </c>
      <c r="AM74" s="1">
        <v>1830</v>
      </c>
      <c r="AN74" s="1">
        <v>1848</v>
      </c>
      <c r="AO74" s="1">
        <v>1900</v>
      </c>
      <c r="AP74" s="1">
        <v>1963</v>
      </c>
      <c r="AQ74" s="1">
        <v>1954</v>
      </c>
      <c r="AR74" s="1">
        <v>1948</v>
      </c>
      <c r="AS74" s="1">
        <v>1984</v>
      </c>
      <c r="AT74" s="1">
        <v>2022</v>
      </c>
      <c r="AU74" s="1">
        <v>2018</v>
      </c>
      <c r="AV74" s="1">
        <v>1999</v>
      </c>
      <c r="AW74" s="1">
        <v>2080</v>
      </c>
      <c r="AX74" s="1">
        <v>2134</v>
      </c>
      <c r="AY74" s="1">
        <v>2157</v>
      </c>
      <c r="BO74" s="1">
        <f t="shared" si="154"/>
        <v>1742</v>
      </c>
      <c r="BP74" s="1">
        <f t="shared" si="155"/>
        <v>1963</v>
      </c>
      <c r="BQ74" s="1">
        <f t="shared" si="156"/>
        <v>2022</v>
      </c>
      <c r="BR74" s="1">
        <f t="shared" si="157"/>
        <v>2134</v>
      </c>
      <c r="CD74" s="48">
        <f>SUM(BQ72:BQ75)-BQ87+BQ82+BQ79+BQ83</f>
        <v>117013</v>
      </c>
      <c r="CE74" s="48">
        <f>SUM(BR72:BR75)-BR87+BR82+BR79+BR83</f>
        <v>117624</v>
      </c>
      <c r="CG74" s="48">
        <f>AVERAGE(CD74:CE74)</f>
        <v>117318.5</v>
      </c>
      <c r="CH74" s="45"/>
      <c r="CI74" s="48">
        <f>AVERAGE(BS55)*(1-BS70)</f>
        <v>11444.780959284984</v>
      </c>
      <c r="CJ74" s="45"/>
      <c r="CK74" s="46" t="s">
        <v>109</v>
      </c>
      <c r="CL74" s="47">
        <f>CG83</f>
        <v>4.3299999999999998E-2</v>
      </c>
      <c r="CM74" s="45"/>
    </row>
    <row r="75" spans="2:91" ht="13.5" customHeight="1">
      <c r="B75" s="1" t="s">
        <v>934</v>
      </c>
      <c r="AH75" s="1">
        <v>2183</v>
      </c>
      <c r="AI75" s="1">
        <v>1125</v>
      </c>
      <c r="AJ75" s="1">
        <v>1796</v>
      </c>
      <c r="AK75" s="1">
        <v>1902</v>
      </c>
      <c r="AL75" s="1">
        <v>1890</v>
      </c>
      <c r="AM75" s="1">
        <v>1300</v>
      </c>
      <c r="AN75" s="1">
        <v>1872</v>
      </c>
      <c r="AO75" s="1">
        <v>2369</v>
      </c>
      <c r="AP75" s="1">
        <v>3002</v>
      </c>
      <c r="AQ75" s="1">
        <v>1409</v>
      </c>
      <c r="AR75" s="1">
        <v>1921</v>
      </c>
      <c r="AS75" s="1">
        <v>1992</v>
      </c>
      <c r="AT75" s="1">
        <v>2097</v>
      </c>
      <c r="AU75" s="1">
        <v>1157</v>
      </c>
      <c r="AV75" s="1">
        <v>1063</v>
      </c>
      <c r="AW75" s="1">
        <v>1756</v>
      </c>
      <c r="AX75" s="1">
        <v>2063</v>
      </c>
      <c r="AY75" s="1">
        <v>1336</v>
      </c>
      <c r="BO75" s="1">
        <f t="shared" si="154"/>
        <v>1890</v>
      </c>
      <c r="BP75" s="1">
        <f t="shared" si="155"/>
        <v>3002</v>
      </c>
      <c r="BQ75" s="1">
        <f t="shared" si="156"/>
        <v>2097</v>
      </c>
      <c r="BR75" s="1">
        <f t="shared" si="157"/>
        <v>2063</v>
      </c>
      <c r="CE75" s="45"/>
      <c r="CF75" s="45"/>
      <c r="CG75" s="45"/>
      <c r="CH75" s="45"/>
      <c r="CI75" s="50">
        <f>CI74/CG74</f>
        <v>9.7553079516742747E-2</v>
      </c>
      <c r="CJ75" s="45"/>
      <c r="CK75" s="46" t="s">
        <v>110</v>
      </c>
      <c r="CL75" s="47">
        <f>8.75%-CL74</f>
        <v>4.4199999999999996E-2</v>
      </c>
      <c r="CM75" s="45"/>
    </row>
    <row r="76" spans="2:91" ht="13.5" customHeight="1">
      <c r="B76" s="1" t="s">
        <v>935</v>
      </c>
      <c r="AH76" s="1">
        <v>817</v>
      </c>
      <c r="AI76" s="1">
        <v>1117</v>
      </c>
      <c r="AJ76" s="1">
        <v>1185</v>
      </c>
      <c r="AK76" s="1">
        <v>1286</v>
      </c>
      <c r="AL76" s="1">
        <v>1199</v>
      </c>
      <c r="AM76" s="1">
        <v>1319</v>
      </c>
      <c r="AN76" s="1">
        <v>1374</v>
      </c>
      <c r="AO76" s="1">
        <v>1335</v>
      </c>
      <c r="AP76" s="1">
        <v>1286</v>
      </c>
      <c r="AQ76" s="1">
        <v>1301</v>
      </c>
      <c r="AR76" s="1">
        <v>2106</v>
      </c>
      <c r="AS76" s="1">
        <v>2597</v>
      </c>
      <c r="AT76" s="1">
        <v>2391</v>
      </c>
      <c r="AU76" s="1">
        <v>1239</v>
      </c>
      <c r="AV76" s="1">
        <v>1250</v>
      </c>
      <c r="AW76" s="1">
        <v>1215</v>
      </c>
      <c r="AX76" s="1">
        <v>1158</v>
      </c>
      <c r="AY76" s="1">
        <v>1241</v>
      </c>
      <c r="BO76" s="1">
        <f t="shared" si="154"/>
        <v>1199</v>
      </c>
      <c r="BP76" s="1">
        <f t="shared" si="155"/>
        <v>1286</v>
      </c>
      <c r="BQ76" s="1">
        <f t="shared" si="156"/>
        <v>2391</v>
      </c>
      <c r="BR76" s="1">
        <f t="shared" si="157"/>
        <v>1158</v>
      </c>
      <c r="CD76" s="51" t="s">
        <v>122</v>
      </c>
      <c r="CE76" s="45"/>
      <c r="CF76" s="45"/>
      <c r="CH76" s="45"/>
      <c r="CI76" s="45"/>
      <c r="CJ76" s="45"/>
      <c r="CK76" s="46" t="s">
        <v>111</v>
      </c>
      <c r="CL76" s="52">
        <f>'Notes | Quant Analysis'!S209</f>
        <v>1.0270207329285086</v>
      </c>
      <c r="CM76" s="45"/>
    </row>
    <row r="77" spans="2:91" ht="13.5" customHeight="1">
      <c r="B77" s="1" t="s">
        <v>936</v>
      </c>
      <c r="AH77" s="1">
        <v>29549</v>
      </c>
      <c r="AI77" s="1">
        <v>30669</v>
      </c>
      <c r="AJ77" s="1">
        <v>32349</v>
      </c>
      <c r="AK77" s="1">
        <v>34077</v>
      </c>
      <c r="AL77" s="1">
        <v>35777</v>
      </c>
      <c r="AM77" s="1">
        <v>36266</v>
      </c>
      <c r="AN77" s="1">
        <v>36949</v>
      </c>
      <c r="AO77" s="1">
        <v>34607</v>
      </c>
      <c r="AP77" s="1">
        <v>33591</v>
      </c>
      <c r="AQ77" s="1">
        <v>32725</v>
      </c>
      <c r="AR77" s="1">
        <v>32590</v>
      </c>
      <c r="AS77" s="1">
        <v>32799</v>
      </c>
      <c r="AT77" s="1">
        <v>32312</v>
      </c>
      <c r="AU77" s="1">
        <v>32505</v>
      </c>
      <c r="AV77" s="1">
        <v>31820</v>
      </c>
      <c r="AW77" s="1">
        <v>31278</v>
      </c>
      <c r="AX77" s="1">
        <v>31327</v>
      </c>
      <c r="AY77" s="1">
        <v>31114</v>
      </c>
      <c r="BO77" s="1">
        <f t="shared" si="154"/>
        <v>35777</v>
      </c>
      <c r="BP77" s="1">
        <f t="shared" si="155"/>
        <v>33591</v>
      </c>
      <c r="BQ77" s="1">
        <f t="shared" si="156"/>
        <v>32312</v>
      </c>
      <c r="BR77" s="1">
        <f t="shared" si="157"/>
        <v>31327</v>
      </c>
      <c r="CD77" s="59" t="s">
        <v>123</v>
      </c>
      <c r="CG77" s="48">
        <f>Main!C5</f>
        <v>187781.014</v>
      </c>
      <c r="CH77" s="45"/>
      <c r="CJ77" s="45"/>
      <c r="CK77" s="46" t="s">
        <v>112</v>
      </c>
      <c r="CL77" s="47">
        <f>+CL74+(CL75*CL76)</f>
        <v>8.8694316395440065E-2</v>
      </c>
      <c r="CM77" s="45"/>
    </row>
    <row r="78" spans="2:91" ht="13.5" customHeight="1">
      <c r="B78" s="1" t="s">
        <v>937</v>
      </c>
      <c r="AH78" s="1">
        <v>3935</v>
      </c>
      <c r="AI78" s="1">
        <v>3549</v>
      </c>
      <c r="AJ78" s="1">
        <v>3356</v>
      </c>
      <c r="AK78" s="1">
        <v>3236</v>
      </c>
      <c r="AL78" s="1">
        <v>3218</v>
      </c>
      <c r="AM78" s="1">
        <v>3169</v>
      </c>
      <c r="AN78" s="1">
        <v>3387</v>
      </c>
      <c r="AO78" s="1">
        <v>3062</v>
      </c>
      <c r="AP78" s="1">
        <v>3080</v>
      </c>
      <c r="AQ78" s="1">
        <v>3084</v>
      </c>
      <c r="AR78" s="1">
        <v>3007</v>
      </c>
      <c r="AS78" s="1">
        <v>4632</v>
      </c>
      <c r="AT78" s="1">
        <v>4459</v>
      </c>
      <c r="AU78" s="1">
        <v>8902</v>
      </c>
      <c r="AV78" s="1">
        <v>8794</v>
      </c>
      <c r="AW78" s="1">
        <v>8671</v>
      </c>
      <c r="AX78" s="1">
        <v>8097</v>
      </c>
      <c r="AY78" s="1">
        <v>8052</v>
      </c>
      <c r="BO78" s="1">
        <f t="shared" si="154"/>
        <v>3218</v>
      </c>
      <c r="BP78" s="1">
        <f t="shared" si="155"/>
        <v>3080</v>
      </c>
      <c r="BQ78" s="1">
        <f t="shared" si="156"/>
        <v>4459</v>
      </c>
      <c r="BR78" s="1">
        <f t="shared" si="157"/>
        <v>8097</v>
      </c>
      <c r="CD78" s="59" t="s">
        <v>125</v>
      </c>
      <c r="CG78" s="60">
        <f>Main!C7/(Main!C7+CG77)</f>
        <v>0.19895827257192908</v>
      </c>
      <c r="CH78" s="51"/>
      <c r="CJ78" s="45"/>
      <c r="CK78" s="46"/>
      <c r="CL78" s="45"/>
      <c r="CM78" s="45"/>
    </row>
    <row r="79" spans="2:91" ht="13.5" customHeight="1">
      <c r="B79" s="1" t="s">
        <v>938</v>
      </c>
      <c r="AH79" s="1">
        <v>26972</v>
      </c>
      <c r="AI79" s="1">
        <v>26752</v>
      </c>
      <c r="AJ79" s="1">
        <v>26464</v>
      </c>
      <c r="AK79" s="1">
        <v>26510</v>
      </c>
      <c r="AL79" s="1">
        <v>27642</v>
      </c>
      <c r="AM79" s="1">
        <v>27612</v>
      </c>
      <c r="AN79" s="1">
        <v>28243</v>
      </c>
      <c r="AO79" s="1">
        <v>27707</v>
      </c>
      <c r="AP79" s="1">
        <v>27480</v>
      </c>
      <c r="AQ79" s="1">
        <v>28521</v>
      </c>
      <c r="AR79" s="1">
        <v>28108</v>
      </c>
      <c r="AS79" s="1">
        <v>28646</v>
      </c>
      <c r="AT79" s="1">
        <v>31168</v>
      </c>
      <c r="AU79" s="1">
        <v>32430</v>
      </c>
      <c r="AV79" s="1">
        <v>32189</v>
      </c>
      <c r="AW79" s="1">
        <v>32700</v>
      </c>
      <c r="AX79" s="1">
        <v>33152</v>
      </c>
      <c r="AY79" s="1">
        <v>34602</v>
      </c>
      <c r="BO79" s="1">
        <f t="shared" si="154"/>
        <v>27642</v>
      </c>
      <c r="BP79" s="1">
        <f t="shared" si="155"/>
        <v>27480</v>
      </c>
      <c r="BQ79" s="1">
        <f t="shared" si="156"/>
        <v>31168</v>
      </c>
      <c r="BR79" s="1">
        <f t="shared" si="157"/>
        <v>33152</v>
      </c>
      <c r="CD79" s="59" t="s">
        <v>126</v>
      </c>
      <c r="CG79" s="60">
        <f>CG77/(CG77+Main!C7)</f>
        <v>0.80104172742807089</v>
      </c>
      <c r="CH79" s="45"/>
      <c r="CJ79" s="45"/>
      <c r="CK79" s="46" t="s">
        <v>113</v>
      </c>
      <c r="CL79" s="48">
        <f>NPV(CL77,BS57:DZ57)</f>
        <v>253391.78257516862</v>
      </c>
      <c r="CM79" s="45"/>
    </row>
    <row r="80" spans="2:91" ht="13.5" customHeight="1">
      <c r="B80" s="1" t="s">
        <v>939</v>
      </c>
      <c r="AH80" s="1">
        <v>4521</v>
      </c>
      <c r="AI80" s="1">
        <v>4808</v>
      </c>
      <c r="AJ80" s="1">
        <v>5327</v>
      </c>
      <c r="AK80" s="1">
        <v>5956</v>
      </c>
      <c r="AL80" s="1">
        <v>4814</v>
      </c>
      <c r="AM80" s="1">
        <v>5430</v>
      </c>
      <c r="AN80" s="1">
        <v>5175</v>
      </c>
      <c r="AO80" s="1">
        <v>5689</v>
      </c>
      <c r="AP80" s="1">
        <v>6285</v>
      </c>
      <c r="AQ80" s="1">
        <v>5618</v>
      </c>
      <c r="AR80" s="1">
        <v>6243</v>
      </c>
      <c r="AS80" s="1">
        <v>6223</v>
      </c>
      <c r="AT80" s="1">
        <v>4728</v>
      </c>
      <c r="AU80" s="1">
        <v>4581</v>
      </c>
      <c r="AV80" s="1">
        <v>5740</v>
      </c>
      <c r="AW80" s="1">
        <v>6294</v>
      </c>
      <c r="AX80" s="1">
        <v>6911</v>
      </c>
      <c r="AY80" s="1">
        <v>7403</v>
      </c>
      <c r="BO80" s="1">
        <f t="shared" si="154"/>
        <v>4814</v>
      </c>
      <c r="BP80" s="1">
        <f t="shared" si="155"/>
        <v>6285</v>
      </c>
      <c r="BQ80" s="1">
        <f t="shared" si="156"/>
        <v>4728</v>
      </c>
      <c r="BR80" s="1">
        <f t="shared" si="157"/>
        <v>6911</v>
      </c>
      <c r="CD80" s="61" t="s">
        <v>127</v>
      </c>
      <c r="CE80" s="34"/>
      <c r="CF80" s="34"/>
      <c r="CG80" s="62">
        <f>BR90/BR95</f>
        <v>0.30812654870345163</v>
      </c>
      <c r="CH80" s="45"/>
      <c r="CI80" s="45"/>
      <c r="CJ80" s="45"/>
      <c r="CK80" s="46" t="s">
        <v>72</v>
      </c>
      <c r="CL80" s="49">
        <f>Main!C4</f>
        <v>1771.519</v>
      </c>
      <c r="CM80" s="63"/>
    </row>
    <row r="81" spans="2:132" ht="13.5" customHeight="1">
      <c r="B81" s="1" t="s">
        <v>940</v>
      </c>
      <c r="AH81" s="1">
        <v>1131</v>
      </c>
      <c r="AI81" s="1">
        <v>1121</v>
      </c>
      <c r="AJ81" s="1">
        <v>1126</v>
      </c>
      <c r="AK81" s="1">
        <v>1117</v>
      </c>
      <c r="AL81" s="1">
        <v>1140</v>
      </c>
      <c r="AM81" s="1">
        <v>1158</v>
      </c>
      <c r="AN81" s="1">
        <v>1161</v>
      </c>
      <c r="AO81" s="1">
        <v>1181</v>
      </c>
      <c r="AP81" s="1">
        <v>1176</v>
      </c>
      <c r="AQ81" s="1">
        <v>1182</v>
      </c>
      <c r="AR81" s="1">
        <v>1174</v>
      </c>
      <c r="AS81" s="1">
        <v>1172</v>
      </c>
      <c r="AT81" s="1">
        <v>1145</v>
      </c>
      <c r="AU81" s="1">
        <v>1129</v>
      </c>
      <c r="AV81" s="1">
        <v>1166</v>
      </c>
      <c r="AW81" s="1">
        <v>1191</v>
      </c>
      <c r="AX81" s="1">
        <v>1192</v>
      </c>
      <c r="AY81" s="1">
        <v>1193</v>
      </c>
      <c r="BO81" s="1">
        <f t="shared" si="154"/>
        <v>1140</v>
      </c>
      <c r="BP81" s="1">
        <f t="shared" si="155"/>
        <v>1176</v>
      </c>
      <c r="BQ81" s="1">
        <f t="shared" si="156"/>
        <v>1145</v>
      </c>
      <c r="BR81" s="1">
        <f t="shared" si="157"/>
        <v>1192</v>
      </c>
      <c r="CH81" s="45"/>
      <c r="CI81" s="45"/>
      <c r="CJ81" s="45"/>
      <c r="CK81" s="46" t="s">
        <v>114</v>
      </c>
      <c r="CL81" s="52">
        <f>CL79/CL80</f>
        <v>143.03644644803055</v>
      </c>
      <c r="CM81" s="44"/>
    </row>
    <row r="82" spans="2:132" ht="13.5" customHeight="1">
      <c r="B82" s="1" t="s">
        <v>941</v>
      </c>
      <c r="AH82" s="1">
        <v>17115</v>
      </c>
      <c r="AI82" s="1">
        <v>16574</v>
      </c>
      <c r="AJ82" s="1">
        <v>15875</v>
      </c>
      <c r="AK82" s="1">
        <v>15334</v>
      </c>
      <c r="AL82" s="1">
        <v>14837</v>
      </c>
      <c r="AM82" s="1">
        <v>14347</v>
      </c>
      <c r="AN82" s="1">
        <v>13887</v>
      </c>
      <c r="AO82" s="1">
        <v>13478</v>
      </c>
      <c r="AP82" s="1">
        <v>13061</v>
      </c>
      <c r="AQ82" s="1">
        <v>12639</v>
      </c>
      <c r="AR82" s="1">
        <v>11474</v>
      </c>
      <c r="AS82" s="1">
        <v>11107</v>
      </c>
      <c r="AT82" s="1">
        <v>10739</v>
      </c>
      <c r="AU82" s="1">
        <v>10372</v>
      </c>
      <c r="AV82" s="1">
        <v>10006</v>
      </c>
      <c r="AW82" s="1">
        <v>9639</v>
      </c>
      <c r="AX82" s="1">
        <v>9272</v>
      </c>
      <c r="AY82" s="1">
        <v>9429</v>
      </c>
      <c r="BO82" s="1">
        <f t="shared" si="154"/>
        <v>14837</v>
      </c>
      <c r="BP82" s="1">
        <f t="shared" si="155"/>
        <v>13061</v>
      </c>
      <c r="BQ82" s="1">
        <f t="shared" si="156"/>
        <v>10739</v>
      </c>
      <c r="BR82" s="1">
        <f t="shared" si="157"/>
        <v>9272</v>
      </c>
      <c r="CD82" s="34" t="s">
        <v>128</v>
      </c>
      <c r="CG82" s="45"/>
      <c r="CH82" s="51"/>
      <c r="CI82" s="51"/>
      <c r="CJ82" s="51"/>
      <c r="CK82" s="46" t="s">
        <v>115</v>
      </c>
      <c r="CL82" s="52">
        <f>Main!C3</f>
        <v>106</v>
      </c>
      <c r="CM82" s="53"/>
    </row>
    <row r="83" spans="2:132" ht="13.5" customHeight="1">
      <c r="B83" s="1" t="s">
        <v>942</v>
      </c>
      <c r="AH83" s="1">
        <v>78071</v>
      </c>
      <c r="AI83" s="1">
        <v>78052</v>
      </c>
      <c r="AJ83" s="1">
        <v>78019</v>
      </c>
      <c r="AK83" s="1">
        <v>77945</v>
      </c>
      <c r="AL83" s="1">
        <v>77897</v>
      </c>
      <c r="AM83" s="1">
        <v>77867</v>
      </c>
      <c r="AN83" s="1">
        <v>77878</v>
      </c>
      <c r="AO83" s="1">
        <v>77881</v>
      </c>
      <c r="AP83" s="1">
        <v>77067</v>
      </c>
      <c r="AQ83" s="1">
        <v>77066</v>
      </c>
      <c r="AR83" s="1">
        <v>73914</v>
      </c>
      <c r="AS83" s="1">
        <v>73914</v>
      </c>
      <c r="AT83" s="1">
        <v>73326</v>
      </c>
      <c r="AU83" s="1">
        <v>73312</v>
      </c>
      <c r="AV83" s="1">
        <v>73313</v>
      </c>
      <c r="AW83" s="1">
        <v>73314</v>
      </c>
      <c r="AX83" s="1">
        <v>73294</v>
      </c>
      <c r="AY83" s="1">
        <v>74743</v>
      </c>
      <c r="BO83" s="1">
        <f t="shared" si="154"/>
        <v>77897</v>
      </c>
      <c r="BP83" s="1">
        <f t="shared" si="155"/>
        <v>77067</v>
      </c>
      <c r="BQ83" s="1">
        <f t="shared" si="156"/>
        <v>73326</v>
      </c>
      <c r="BR83" s="1">
        <f t="shared" si="157"/>
        <v>73294</v>
      </c>
      <c r="CD83" s="64" t="s">
        <v>109</v>
      </c>
      <c r="CG83" s="60">
        <v>4.3299999999999998E-2</v>
      </c>
      <c r="CH83" s="45"/>
      <c r="CI83" s="45"/>
      <c r="CJ83" s="45"/>
      <c r="CK83" s="46" t="s">
        <v>116</v>
      </c>
      <c r="CL83" s="47">
        <f>CL81/CL82-1</f>
        <v>0.34940043818896749</v>
      </c>
      <c r="CM83" s="44" t="str">
        <f>IF(CL83&gt;0,"Upside","Downside")</f>
        <v>Upside</v>
      </c>
    </row>
    <row r="84" spans="2:132" ht="13.5" customHeight="1">
      <c r="B84" s="1" t="s">
        <v>943</v>
      </c>
      <c r="AH84" s="1">
        <v>8658</v>
      </c>
      <c r="AI84" s="1">
        <v>8873</v>
      </c>
      <c r="AJ84" s="1">
        <v>8510</v>
      </c>
      <c r="AK84" s="1">
        <v>8477</v>
      </c>
      <c r="AL84" s="1">
        <v>9208</v>
      </c>
      <c r="AM84" s="1">
        <v>9363</v>
      </c>
      <c r="AN84" s="1">
        <v>9915</v>
      </c>
      <c r="AO84" s="1">
        <v>10004</v>
      </c>
      <c r="AP84" s="1">
        <v>11076</v>
      </c>
      <c r="AQ84" s="1">
        <v>10968</v>
      </c>
      <c r="AR84" s="1">
        <v>13964</v>
      </c>
      <c r="AS84" s="1">
        <v>13786</v>
      </c>
      <c r="AT84" s="1">
        <v>13101</v>
      </c>
      <c r="AU84" s="1">
        <v>10148</v>
      </c>
      <c r="AV84" s="1">
        <v>10070</v>
      </c>
      <c r="AW84" s="1">
        <v>9705</v>
      </c>
      <c r="AX84" s="1">
        <v>10002</v>
      </c>
      <c r="AY84" s="1">
        <v>10087</v>
      </c>
      <c r="BO84" s="1">
        <f t="shared" si="154"/>
        <v>9208</v>
      </c>
      <c r="BP84" s="1">
        <f t="shared" si="155"/>
        <v>11076</v>
      </c>
      <c r="BQ84" s="1">
        <f t="shared" si="156"/>
        <v>13101</v>
      </c>
      <c r="BR84" s="1">
        <f t="shared" si="157"/>
        <v>10002</v>
      </c>
      <c r="CD84" s="64" t="s">
        <v>111</v>
      </c>
      <c r="CG84" s="52">
        <f>'Notes | Quant Analysis'!S209</f>
        <v>1.0270207329285086</v>
      </c>
      <c r="CK84" s="93" t="str" cm="1">
        <f t="array" ref="CK84">_xlfn.IFS(CL83&gt;=25%,"Strong Buy",CL83&gt;=10.00001%,"Buy",AND(CL83&lt;=10%,CL83&gt;=-4.9999%),"Hold",AND(CL83&lt;=-5%,CL83&gt;=-14.999999%),"Sell",CL83&lt;=-15%,"Strong Sell")</f>
        <v>Strong Buy</v>
      </c>
      <c r="CL84" s="93"/>
    </row>
    <row r="85" spans="2:132" ht="13.5" customHeight="1">
      <c r="B85" s="2" t="s">
        <v>124</v>
      </c>
      <c r="AH85" s="2">
        <f t="shared" ref="AH85:AY85" si="159">SUM(AH72:AH84)</f>
        <v>203609</v>
      </c>
      <c r="AI85" s="2">
        <f t="shared" si="159"/>
        <v>203311</v>
      </c>
      <c r="AJ85" s="2">
        <f t="shared" si="159"/>
        <v>202453</v>
      </c>
      <c r="AK85" s="2">
        <f t="shared" si="159"/>
        <v>204074</v>
      </c>
      <c r="AL85" s="2">
        <f t="shared" si="159"/>
        <v>203631</v>
      </c>
      <c r="AM85" s="2">
        <f t="shared" si="159"/>
        <v>202124</v>
      </c>
      <c r="AN85" s="2">
        <f t="shared" si="159"/>
        <v>204858</v>
      </c>
      <c r="AO85" s="2">
        <f t="shared" si="159"/>
        <v>203783</v>
      </c>
      <c r="AP85" s="2">
        <f t="shared" si="159"/>
        <v>205579</v>
      </c>
      <c r="AQ85" s="2">
        <f t="shared" si="159"/>
        <v>197774</v>
      </c>
      <c r="AR85" s="2">
        <f t="shared" si="159"/>
        <v>195110</v>
      </c>
      <c r="AS85" s="2">
        <f t="shared" si="159"/>
        <v>197772</v>
      </c>
      <c r="AT85" s="2">
        <f t="shared" si="159"/>
        <v>196219</v>
      </c>
      <c r="AU85" s="2">
        <f t="shared" si="159"/>
        <v>197046</v>
      </c>
      <c r="AV85" s="2">
        <f t="shared" si="159"/>
        <v>195833</v>
      </c>
      <c r="AW85" s="2">
        <f t="shared" si="159"/>
        <v>196612</v>
      </c>
      <c r="AX85" s="2">
        <f t="shared" si="159"/>
        <v>197514</v>
      </c>
      <c r="AY85" s="2">
        <f t="shared" si="159"/>
        <v>202089</v>
      </c>
      <c r="BO85" s="2">
        <f t="shared" si="154"/>
        <v>203631</v>
      </c>
      <c r="BP85" s="2">
        <f t="shared" si="155"/>
        <v>205579</v>
      </c>
      <c r="BQ85" s="2">
        <f t="shared" si="156"/>
        <v>196219</v>
      </c>
      <c r="BR85" s="2">
        <f t="shared" si="157"/>
        <v>197514</v>
      </c>
      <c r="CD85" s="59" t="s">
        <v>129</v>
      </c>
      <c r="CG85" s="60">
        <v>0.113</v>
      </c>
    </row>
    <row r="86" spans="2:132" ht="13.5" customHeight="1">
      <c r="CD86" s="61" t="s">
        <v>130</v>
      </c>
      <c r="CE86" s="45"/>
      <c r="CF86" s="2"/>
      <c r="CG86" s="62">
        <f>(CG83+CG84)*(CG85-CG83)</f>
        <v>7.460135508511706E-2</v>
      </c>
    </row>
    <row r="87" spans="2:132" ht="13.5" customHeight="1">
      <c r="B87" s="1" t="s">
        <v>964</v>
      </c>
      <c r="AH87" s="1">
        <v>20894</v>
      </c>
      <c r="AI87" s="1">
        <v>18709</v>
      </c>
      <c r="AJ87" s="1">
        <v>19669</v>
      </c>
      <c r="AK87" s="1">
        <v>20858</v>
      </c>
      <c r="AL87" s="1">
        <v>20213</v>
      </c>
      <c r="AM87" s="1">
        <v>18149</v>
      </c>
      <c r="AN87" s="1">
        <v>18591</v>
      </c>
      <c r="AO87" s="1">
        <v>19115</v>
      </c>
      <c r="AP87" s="1">
        <v>20671</v>
      </c>
      <c r="AQ87" s="1">
        <v>18676</v>
      </c>
      <c r="AR87" s="1">
        <v>18798</v>
      </c>
      <c r="AS87" s="1">
        <v>20216</v>
      </c>
      <c r="AT87" s="1">
        <v>21070</v>
      </c>
      <c r="AU87" s="1">
        <v>21635</v>
      </c>
      <c r="AV87" s="1">
        <v>20729</v>
      </c>
      <c r="AW87" s="1">
        <v>20500</v>
      </c>
      <c r="AX87" s="1">
        <v>21203</v>
      </c>
      <c r="AY87" s="1">
        <v>20541</v>
      </c>
      <c r="BO87" s="1">
        <f t="shared" ref="BO87:BO96" si="160">AL87</f>
        <v>20213</v>
      </c>
      <c r="BP87" s="1">
        <f t="shared" ref="BP87:BP96" si="161">AP87</f>
        <v>20671</v>
      </c>
      <c r="BQ87" s="1">
        <f t="shared" ref="BQ87:BQ96" si="162">AT87</f>
        <v>21070</v>
      </c>
      <c r="BR87" s="1">
        <f t="shared" ref="BR87:BR96" si="163">AX87</f>
        <v>21203</v>
      </c>
      <c r="CD87" s="66"/>
    </row>
    <row r="88" spans="2:132" ht="13.5" customHeight="1">
      <c r="B88" s="1" t="s">
        <v>965</v>
      </c>
      <c r="AH88" s="1">
        <v>5866</v>
      </c>
      <c r="AI88" s="1">
        <v>6783</v>
      </c>
      <c r="AJ88" s="1">
        <v>5399</v>
      </c>
      <c r="AK88" s="1">
        <v>5580</v>
      </c>
      <c r="AL88" s="1">
        <v>3070</v>
      </c>
      <c r="AM88" s="1">
        <v>3249</v>
      </c>
      <c r="AN88" s="1">
        <v>3452</v>
      </c>
      <c r="AO88" s="1">
        <v>2645</v>
      </c>
      <c r="AP88" s="1">
        <v>4330</v>
      </c>
      <c r="AQ88" s="1">
        <v>6087</v>
      </c>
      <c r="AR88" s="1">
        <v>6789</v>
      </c>
      <c r="AS88" s="1">
        <v>8060</v>
      </c>
      <c r="AT88" s="1">
        <v>6845</v>
      </c>
      <c r="AU88" s="1">
        <v>6620</v>
      </c>
      <c r="AV88" s="1">
        <v>6446</v>
      </c>
      <c r="AW88" s="1">
        <v>5732</v>
      </c>
      <c r="AX88" s="1">
        <v>6711</v>
      </c>
      <c r="AY88" s="1">
        <v>10819</v>
      </c>
      <c r="BO88" s="1">
        <f t="shared" si="160"/>
        <v>3070</v>
      </c>
      <c r="BP88" s="1">
        <f t="shared" si="161"/>
        <v>4330</v>
      </c>
      <c r="BQ88" s="1">
        <f t="shared" si="162"/>
        <v>6845</v>
      </c>
      <c r="BR88" s="1">
        <f t="shared" si="163"/>
        <v>6711</v>
      </c>
      <c r="CD88" s="34" t="s">
        <v>131</v>
      </c>
      <c r="CE88" s="67"/>
      <c r="CG88" s="68"/>
    </row>
    <row r="89" spans="2:132" ht="13.5" customHeight="1">
      <c r="B89" s="1" t="s">
        <v>966</v>
      </c>
      <c r="AH89" s="1">
        <v>4317</v>
      </c>
      <c r="AI89" s="1">
        <v>4545</v>
      </c>
      <c r="AJ89" s="1">
        <v>4533</v>
      </c>
      <c r="AK89" s="1">
        <v>4266</v>
      </c>
      <c r="AL89" s="1">
        <v>5790</v>
      </c>
      <c r="AM89" s="1">
        <v>5672</v>
      </c>
      <c r="AN89" s="1">
        <v>6013</v>
      </c>
      <c r="AO89" s="1">
        <v>6474</v>
      </c>
      <c r="AP89" s="1">
        <v>6138</v>
      </c>
      <c r="AQ89" s="1">
        <v>6270</v>
      </c>
      <c r="AR89" s="1">
        <v>7287</v>
      </c>
      <c r="AS89" s="1">
        <v>7336</v>
      </c>
      <c r="AT89" s="1">
        <v>6684</v>
      </c>
      <c r="AU89" s="1">
        <v>6591</v>
      </c>
      <c r="AV89" s="1">
        <v>6854</v>
      </c>
      <c r="AW89" s="1">
        <v>6740</v>
      </c>
      <c r="AX89" s="1">
        <v>6248</v>
      </c>
      <c r="AY89" s="1">
        <v>6686</v>
      </c>
      <c r="BO89" s="1">
        <f t="shared" si="160"/>
        <v>5790</v>
      </c>
      <c r="BP89" s="1">
        <f t="shared" si="161"/>
        <v>6138</v>
      </c>
      <c r="BQ89" s="1">
        <f t="shared" si="162"/>
        <v>6684</v>
      </c>
      <c r="BR89" s="1">
        <f t="shared" si="163"/>
        <v>6248</v>
      </c>
      <c r="CD89" s="69" t="s">
        <v>131</v>
      </c>
      <c r="CG89" s="70">
        <v>5.8999999999999997E-2</v>
      </c>
      <c r="CI89" s="65"/>
      <c r="CK89" s="46"/>
    </row>
    <row r="90" spans="2:132" ht="13.5" customHeight="1">
      <c r="B90" s="1" t="s">
        <v>967</v>
      </c>
      <c r="AH90" s="1">
        <v>48540</v>
      </c>
      <c r="AI90" s="1">
        <v>47349</v>
      </c>
      <c r="AJ90" s="1">
        <v>46624</v>
      </c>
      <c r="AK90" s="1">
        <v>46022</v>
      </c>
      <c r="AL90" s="1">
        <v>45299</v>
      </c>
      <c r="AM90" s="1">
        <v>45128</v>
      </c>
      <c r="AN90" s="1">
        <v>45066</v>
      </c>
      <c r="AO90" s="1">
        <v>44544</v>
      </c>
      <c r="AP90" s="1">
        <v>42101</v>
      </c>
      <c r="AQ90" s="1">
        <v>41603</v>
      </c>
      <c r="AR90" s="1">
        <v>39510</v>
      </c>
      <c r="AS90" s="1">
        <v>39524</v>
      </c>
      <c r="AT90" s="1">
        <v>38970</v>
      </c>
      <c r="AU90" s="1">
        <v>38688</v>
      </c>
      <c r="AV90" s="1">
        <v>36443</v>
      </c>
      <c r="AW90" s="1">
        <v>36531</v>
      </c>
      <c r="AX90" s="1">
        <v>35315</v>
      </c>
      <c r="AY90" s="1">
        <v>35821</v>
      </c>
      <c r="BO90" s="1">
        <f t="shared" si="160"/>
        <v>45299</v>
      </c>
      <c r="BP90" s="1">
        <f t="shared" si="161"/>
        <v>42101</v>
      </c>
      <c r="BQ90" s="1">
        <f t="shared" si="162"/>
        <v>38970</v>
      </c>
      <c r="BR90" s="1">
        <f t="shared" si="163"/>
        <v>35315</v>
      </c>
      <c r="BS90" s="66">
        <f>BR90-(BR90*0.05)</f>
        <v>33549.25</v>
      </c>
      <c r="BT90" s="66">
        <f t="shared" ref="BT90:CB90" si="164">BS90-(BS90*0.05)</f>
        <v>31871.787499999999</v>
      </c>
      <c r="BU90" s="66">
        <f t="shared" si="164"/>
        <v>30278.198124999999</v>
      </c>
      <c r="BV90" s="66">
        <f t="shared" si="164"/>
        <v>28764.28821875</v>
      </c>
      <c r="BW90" s="66">
        <f t="shared" si="164"/>
        <v>27326.0738078125</v>
      </c>
      <c r="BX90" s="66">
        <f t="shared" si="164"/>
        <v>25959.770117421875</v>
      </c>
      <c r="BY90" s="66">
        <f t="shared" si="164"/>
        <v>24661.781611550781</v>
      </c>
      <c r="BZ90" s="66">
        <f t="shared" si="164"/>
        <v>23428.692530973243</v>
      </c>
      <c r="CA90" s="66">
        <f t="shared" si="164"/>
        <v>22257.257904424579</v>
      </c>
      <c r="CB90" s="66">
        <f t="shared" si="164"/>
        <v>21144.395009203352</v>
      </c>
      <c r="CD90" s="59" t="s">
        <v>133</v>
      </c>
      <c r="CG90" s="60">
        <v>0.14599999999999999</v>
      </c>
      <c r="CH90" s="34"/>
      <c r="CI90" s="71"/>
      <c r="CJ90" s="62"/>
      <c r="CK90" s="72"/>
      <c r="CL90" s="2"/>
      <c r="CM90" s="2"/>
    </row>
    <row r="91" spans="2:132" ht="15">
      <c r="B91" s="1" t="s">
        <v>968</v>
      </c>
      <c r="AH91" s="1">
        <v>7246</v>
      </c>
      <c r="AI91" s="1">
        <v>8124</v>
      </c>
      <c r="AJ91" s="1">
        <v>8407</v>
      </c>
      <c r="AK91" s="1">
        <v>8034</v>
      </c>
      <c r="AL91" s="1">
        <v>8363</v>
      </c>
      <c r="AM91" s="1">
        <v>8363</v>
      </c>
      <c r="AN91" s="1">
        <v>8134</v>
      </c>
      <c r="AO91" s="1">
        <v>7304</v>
      </c>
      <c r="AP91" s="1">
        <v>7258</v>
      </c>
      <c r="AQ91" s="1">
        <v>7041</v>
      </c>
      <c r="AR91" s="1">
        <v>6860</v>
      </c>
      <c r="AS91" s="1">
        <v>6628</v>
      </c>
      <c r="AT91" s="1">
        <v>6277</v>
      </c>
      <c r="AU91" s="1">
        <v>6336</v>
      </c>
      <c r="AV91" s="1">
        <v>6298</v>
      </c>
      <c r="AW91" s="1">
        <v>3097</v>
      </c>
      <c r="AX91" s="1">
        <v>3524</v>
      </c>
      <c r="AY91" s="1">
        <v>4126</v>
      </c>
      <c r="BO91" s="1">
        <f t="shared" si="160"/>
        <v>8363</v>
      </c>
      <c r="BP91" s="1">
        <f t="shared" si="161"/>
        <v>7258</v>
      </c>
      <c r="BQ91" s="1">
        <f t="shared" si="162"/>
        <v>6277</v>
      </c>
      <c r="BR91" s="1">
        <f t="shared" si="163"/>
        <v>3524</v>
      </c>
      <c r="CD91" s="73" t="s">
        <v>135</v>
      </c>
      <c r="CG91" s="62">
        <f>CG89*(1-CG90)</f>
        <v>5.0385999999999993E-2</v>
      </c>
      <c r="CK91" s="46"/>
    </row>
    <row r="92" spans="2:132" s="2" customFormat="1" ht="15">
      <c r="B92" s="1" t="s">
        <v>969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>
        <v>14522</v>
      </c>
      <c r="AI92" s="1">
        <v>14208</v>
      </c>
      <c r="AJ92" s="1">
        <v>13808</v>
      </c>
      <c r="AK92" s="1">
        <v>13456</v>
      </c>
      <c r="AL92" s="1">
        <v>12518</v>
      </c>
      <c r="AM92" s="1">
        <v>12518</v>
      </c>
      <c r="AN92" s="1">
        <v>13232</v>
      </c>
      <c r="AO92" s="1">
        <v>12759</v>
      </c>
      <c r="AP92" s="1">
        <v>12069</v>
      </c>
      <c r="AQ92" s="1">
        <v>12596</v>
      </c>
      <c r="AR92" s="1">
        <v>12103</v>
      </c>
      <c r="AS92" s="1">
        <v>10705</v>
      </c>
      <c r="AT92" s="1">
        <v>10851</v>
      </c>
      <c r="AU92" s="1">
        <v>10437</v>
      </c>
      <c r="AV92" s="1">
        <v>10297</v>
      </c>
      <c r="AW92" s="1">
        <v>10256</v>
      </c>
      <c r="AX92" s="1">
        <v>9901</v>
      </c>
      <c r="AY92" s="1">
        <v>10088</v>
      </c>
      <c r="AZ92" s="34"/>
      <c r="BA92" s="34"/>
      <c r="BB92" s="34"/>
      <c r="BO92" s="1">
        <f t="shared" si="160"/>
        <v>12518</v>
      </c>
      <c r="BP92" s="1">
        <f t="shared" si="161"/>
        <v>12069</v>
      </c>
      <c r="BQ92" s="1">
        <f t="shared" si="162"/>
        <v>10851</v>
      </c>
      <c r="BR92" s="1">
        <f t="shared" si="163"/>
        <v>9901</v>
      </c>
      <c r="BS92" s="34"/>
      <c r="CD92" s="34" t="s">
        <v>137</v>
      </c>
      <c r="CE92" s="35"/>
      <c r="CF92" s="35"/>
      <c r="CG92" s="62">
        <f>(CG79*CG86)+(CG78*CG91*(1-CG90))</f>
        <v>6.8319901985482143E-2</v>
      </c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</row>
    <row r="93" spans="2:132">
      <c r="B93" s="1" t="s">
        <v>970</v>
      </c>
      <c r="AH93" s="1">
        <v>9213</v>
      </c>
      <c r="AI93" s="1">
        <v>9283</v>
      </c>
      <c r="AJ93" s="1">
        <v>9354</v>
      </c>
      <c r="AK93" s="1">
        <v>9425</v>
      </c>
      <c r="AL93" s="1">
        <v>9499</v>
      </c>
      <c r="AM93" s="1">
        <v>9499</v>
      </c>
      <c r="AN93" s="1">
        <v>8814</v>
      </c>
      <c r="AO93" s="1">
        <v>8886</v>
      </c>
      <c r="AP93" s="1">
        <v>9055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BO93" s="1">
        <f t="shared" si="160"/>
        <v>9499</v>
      </c>
      <c r="BP93" s="1">
        <f t="shared" si="161"/>
        <v>9055</v>
      </c>
      <c r="BQ93" s="1">
        <f t="shared" si="162"/>
        <v>0</v>
      </c>
      <c r="BR93" s="1">
        <f t="shared" si="163"/>
        <v>0</v>
      </c>
    </row>
    <row r="94" spans="2:132" s="2" customFormat="1" ht="15">
      <c r="B94" s="2" t="s">
        <v>132</v>
      </c>
      <c r="AH94" s="2">
        <f t="shared" ref="AH94" si="165">SUM(AH87:AH93)</f>
        <v>110598</v>
      </c>
      <c r="AI94" s="2">
        <f t="shared" ref="AI94:AW94" si="166">SUM(AI87:AI93)</f>
        <v>109001</v>
      </c>
      <c r="AJ94" s="2">
        <f t="shared" si="166"/>
        <v>107794</v>
      </c>
      <c r="AK94" s="2">
        <f t="shared" si="166"/>
        <v>107641</v>
      </c>
      <c r="AL94" s="2">
        <f t="shared" si="166"/>
        <v>104752</v>
      </c>
      <c r="AM94" s="2">
        <f t="shared" si="166"/>
        <v>102578</v>
      </c>
      <c r="AN94" s="2">
        <f t="shared" si="166"/>
        <v>103302</v>
      </c>
      <c r="AO94" s="2">
        <f t="shared" si="166"/>
        <v>101727</v>
      </c>
      <c r="AP94" s="2">
        <f t="shared" si="166"/>
        <v>101622</v>
      </c>
      <c r="AQ94" s="2">
        <f t="shared" si="166"/>
        <v>92273</v>
      </c>
      <c r="AR94" s="2">
        <f t="shared" si="166"/>
        <v>91347</v>
      </c>
      <c r="AS94" s="2">
        <f t="shared" si="166"/>
        <v>92469</v>
      </c>
      <c r="AT94" s="2">
        <f t="shared" si="166"/>
        <v>90697</v>
      </c>
      <c r="AU94" s="2">
        <f t="shared" si="166"/>
        <v>90307</v>
      </c>
      <c r="AV94" s="2">
        <f t="shared" si="166"/>
        <v>87067</v>
      </c>
      <c r="AW94" s="2">
        <f t="shared" si="166"/>
        <v>82856</v>
      </c>
      <c r="AX94" s="2">
        <f>SUM(AX87:AX93)</f>
        <v>82902</v>
      </c>
      <c r="AY94" s="2">
        <f>SUM(AY87:AY93)</f>
        <v>88081</v>
      </c>
      <c r="AZ94" s="34"/>
      <c r="BA94" s="34"/>
      <c r="BB94" s="34"/>
      <c r="BO94" s="2">
        <f t="shared" si="160"/>
        <v>104752</v>
      </c>
      <c r="BP94" s="2">
        <f t="shared" si="161"/>
        <v>101622</v>
      </c>
      <c r="BQ94" s="2">
        <f t="shared" si="162"/>
        <v>90697</v>
      </c>
      <c r="BR94" s="2">
        <f t="shared" si="163"/>
        <v>82902</v>
      </c>
      <c r="BS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</row>
    <row r="95" spans="2:132" ht="15">
      <c r="B95" s="1" t="s">
        <v>134</v>
      </c>
      <c r="AH95" s="1">
        <v>93011</v>
      </c>
      <c r="AI95" s="1">
        <v>94310</v>
      </c>
      <c r="AJ95" s="1">
        <v>94659</v>
      </c>
      <c r="AK95" s="1">
        <v>96433</v>
      </c>
      <c r="AL95" s="1">
        <v>98879</v>
      </c>
      <c r="AM95" s="1">
        <v>98879</v>
      </c>
      <c r="AN95" s="1">
        <v>101556</v>
      </c>
      <c r="AO95" s="1">
        <v>102056</v>
      </c>
      <c r="AP95" s="1">
        <v>103957</v>
      </c>
      <c r="AQ95" s="1">
        <v>105501</v>
      </c>
      <c r="AR95" s="1">
        <v>103763</v>
      </c>
      <c r="AS95" s="1">
        <v>105303</v>
      </c>
      <c r="AT95" s="1">
        <v>105522</v>
      </c>
      <c r="AU95" s="1">
        <v>106739</v>
      </c>
      <c r="AV95" s="1">
        <v>108766</v>
      </c>
      <c r="AW95" s="1">
        <v>113756</v>
      </c>
      <c r="AX95" s="1">
        <v>114612</v>
      </c>
      <c r="AY95" s="1">
        <v>114008</v>
      </c>
      <c r="BO95" s="1">
        <f t="shared" si="160"/>
        <v>98879</v>
      </c>
      <c r="BP95" s="1">
        <f t="shared" si="161"/>
        <v>103957</v>
      </c>
      <c r="BQ95" s="1">
        <f t="shared" si="162"/>
        <v>105522</v>
      </c>
      <c r="BR95" s="1">
        <f t="shared" si="163"/>
        <v>114612</v>
      </c>
      <c r="CD95" s="34"/>
      <c r="CE95" s="34"/>
      <c r="CF95" s="34"/>
      <c r="CG95" s="34"/>
      <c r="CH95" s="34"/>
      <c r="CI95" s="34"/>
      <c r="CJ95" s="34"/>
      <c r="CK95" s="72"/>
      <c r="CL95" s="34"/>
      <c r="CM95" s="34"/>
    </row>
    <row r="96" spans="2:132" ht="15">
      <c r="B96" s="2" t="s">
        <v>136</v>
      </c>
      <c r="AH96" s="2">
        <f t="shared" ref="AH96" si="167">AH94+AH95</f>
        <v>203609</v>
      </c>
      <c r="AI96" s="2">
        <f t="shared" ref="AI96:AW96" si="168">AI94+AI95</f>
        <v>203311</v>
      </c>
      <c r="AJ96" s="2">
        <f t="shared" si="168"/>
        <v>202453</v>
      </c>
      <c r="AK96" s="2">
        <f t="shared" si="168"/>
        <v>204074</v>
      </c>
      <c r="AL96" s="2">
        <f t="shared" si="168"/>
        <v>203631</v>
      </c>
      <c r="AM96" s="2">
        <f t="shared" si="168"/>
        <v>201457</v>
      </c>
      <c r="AN96" s="2">
        <f t="shared" si="168"/>
        <v>204858</v>
      </c>
      <c r="AO96" s="2">
        <f t="shared" si="168"/>
        <v>203783</v>
      </c>
      <c r="AP96" s="2">
        <f t="shared" si="168"/>
        <v>205579</v>
      </c>
      <c r="AQ96" s="2">
        <f t="shared" si="168"/>
        <v>197774</v>
      </c>
      <c r="AR96" s="2">
        <f t="shared" si="168"/>
        <v>195110</v>
      </c>
      <c r="AS96" s="2">
        <f t="shared" si="168"/>
        <v>197772</v>
      </c>
      <c r="AT96" s="2">
        <f t="shared" si="168"/>
        <v>196219</v>
      </c>
      <c r="AU96" s="2">
        <f t="shared" si="168"/>
        <v>197046</v>
      </c>
      <c r="AV96" s="2">
        <f t="shared" si="168"/>
        <v>195833</v>
      </c>
      <c r="AW96" s="2">
        <f t="shared" si="168"/>
        <v>196612</v>
      </c>
      <c r="AX96" s="2">
        <f>AX94+AX95</f>
        <v>197514</v>
      </c>
      <c r="AY96" s="2">
        <f>AY94+AY95</f>
        <v>202089</v>
      </c>
      <c r="BO96" s="2">
        <f t="shared" si="160"/>
        <v>203631</v>
      </c>
      <c r="BP96" s="2">
        <f t="shared" si="161"/>
        <v>205579</v>
      </c>
      <c r="BQ96" s="2">
        <f t="shared" si="162"/>
        <v>196219</v>
      </c>
      <c r="BR96" s="2">
        <f t="shared" si="163"/>
        <v>197514</v>
      </c>
      <c r="CK96" s="46"/>
      <c r="CL96" s="74"/>
    </row>
    <row r="97" spans="2:132">
      <c r="CK97" s="46"/>
    </row>
    <row r="98" spans="2:132">
      <c r="B98" s="1" t="s">
        <v>62</v>
      </c>
      <c r="AH98" s="76">
        <f t="shared" ref="AH98:AI98" si="169">SUM(AH81:AH85)/SUM(AH93:AH97)</f>
        <v>0.74102072131997854</v>
      </c>
      <c r="AI98" s="76">
        <f t="shared" si="169"/>
        <v>0.74038782895132305</v>
      </c>
      <c r="AJ98" s="76">
        <f t="shared" ref="AJ98" si="170">SUM(AJ81:AJ85)/SUM(AJ93:AJ97)</f>
        <v>0.73862550089315893</v>
      </c>
      <c r="AK98" s="76">
        <f t="shared" ref="AK98" si="171">SUM(AK81:AK85)/SUM(AK93:AK97)</f>
        <v>0.73507386732379731</v>
      </c>
      <c r="AL98" s="76">
        <f t="shared" ref="AL98" si="172">SUM(AL81:AL85)/SUM(AL93:AL97)</f>
        <v>0.73594458214660197</v>
      </c>
      <c r="AM98" s="76">
        <f t="shared" ref="AM98" si="173">SUM(AM81:AM85)/SUM(AM93:AM97)</f>
        <v>0.73920802690506848</v>
      </c>
      <c r="AN98" s="76">
        <f t="shared" ref="AN98" si="174">SUM(AN81:AN85)/SUM(AN93:AN97)</f>
        <v>0.73518983107543068</v>
      </c>
      <c r="AO98" s="76">
        <f t="shared" ref="AO98" si="175">SUM(AO81:AO85)/SUM(AO93:AO97)</f>
        <v>0.73556376245041444</v>
      </c>
      <c r="AP98" s="76">
        <f t="shared" ref="AP98" si="176">SUM(AP81:AP85)/SUM(AP93:AP97)</f>
        <v>0.73286404751875833</v>
      </c>
      <c r="AQ98" s="76">
        <f t="shared" ref="AQ98" si="177">SUM(AQ81:AQ85)/SUM(AQ93:AQ97)</f>
        <v>0.75750351411206729</v>
      </c>
      <c r="AR98" s="76">
        <f t="shared" ref="AR98" si="178">SUM(AR81:AR85)/SUM(AR93:AR97)</f>
        <v>0.75761365383629742</v>
      </c>
      <c r="AS98" s="76">
        <f t="shared" ref="AS98" si="179">SUM(AS81:AS85)/SUM(AS93:AS97)</f>
        <v>0.75276328297231154</v>
      </c>
      <c r="AT98" s="76">
        <f t="shared" ref="AT98" si="180">SUM(AT81:AT85)/SUM(AT93:AT97)</f>
        <v>0.7505134569027464</v>
      </c>
      <c r="AU98" s="76">
        <f t="shared" ref="AU98" si="181">SUM(AU81:AU85)/SUM(AU93:AU97)</f>
        <v>0.74096150137531336</v>
      </c>
      <c r="AV98" s="76">
        <f t="shared" ref="AV98" si="182">SUM(AV81:AV85)/SUM(AV93:AV97)</f>
        <v>0.74141743219988454</v>
      </c>
      <c r="AW98" s="76">
        <f t="shared" ref="AW98" si="183">SUM(AW81:AW85)/SUM(AW93:AW97)</f>
        <v>0.73866549345919885</v>
      </c>
      <c r="AX98" s="76">
        <f t="shared" ref="AX98:AY98" si="184">SUM(AX81:AX85)/SUM(AX93:AX97)</f>
        <v>0.73735026377877011</v>
      </c>
      <c r="AY98" s="76">
        <f t="shared" si="184"/>
        <v>0.73616327459683606</v>
      </c>
      <c r="BO98" s="76">
        <f t="shared" ref="BO98:BQ98" si="185">SUM(BO81:BO85)/SUM(BO93:BO97)</f>
        <v>0.73594458214660197</v>
      </c>
      <c r="BP98" s="76">
        <f t="shared" si="185"/>
        <v>0.73286404751875833</v>
      </c>
      <c r="BQ98" s="76">
        <f t="shared" si="185"/>
        <v>0.7505134569027464</v>
      </c>
      <c r="BR98" s="76">
        <f>SUM(BR81:BR85)/SUM(BR93:BR97)</f>
        <v>0.73735026377877011</v>
      </c>
    </row>
    <row r="99" spans="2:132">
      <c r="B99" s="1" t="s">
        <v>63</v>
      </c>
      <c r="AH99" s="76">
        <f t="shared" ref="AH99" si="186">(SUM(AH81:AH85)-AH84)/SUM(AH93:AH97)</f>
        <v>0.72022976195336086</v>
      </c>
      <c r="AI99" s="76">
        <f t="shared" ref="AI99:AX99" si="187">(SUM(AI81:AI85)-AI84)/SUM(AI93:AI97)</f>
        <v>0.71905363003570522</v>
      </c>
      <c r="AJ99" s="76">
        <f t="shared" si="187"/>
        <v>0.71808284652150822</v>
      </c>
      <c r="AK99" s="76">
        <f t="shared" si="187"/>
        <v>0.71477322528037013</v>
      </c>
      <c r="AL99" s="76">
        <f t="shared" si="187"/>
        <v>0.71385038427300063</v>
      </c>
      <c r="AM99" s="76">
        <f t="shared" si="187"/>
        <v>0.71650505682410592</v>
      </c>
      <c r="AN99" s="76">
        <f t="shared" si="187"/>
        <v>0.71149977301507661</v>
      </c>
      <c r="AO99" s="76">
        <f t="shared" si="187"/>
        <v>0.71154178632831633</v>
      </c>
      <c r="AP99" s="76">
        <f t="shared" si="187"/>
        <v>0.70650598624983041</v>
      </c>
      <c r="AQ99" s="76">
        <f t="shared" si="187"/>
        <v>0.72977489457663802</v>
      </c>
      <c r="AR99" s="76">
        <f t="shared" si="187"/>
        <v>0.72182871200861054</v>
      </c>
      <c r="AS99" s="76">
        <f t="shared" si="187"/>
        <v>0.71791001759601969</v>
      </c>
      <c r="AT99" s="76">
        <f t="shared" si="187"/>
        <v>0.71712983961797783</v>
      </c>
      <c r="AU99" s="76">
        <f t="shared" si="187"/>
        <v>0.7152111689656222</v>
      </c>
      <c r="AV99" s="76">
        <f t="shared" si="187"/>
        <v>0.71570675013914919</v>
      </c>
      <c r="AW99" s="76">
        <f t="shared" si="187"/>
        <v>0.71398490427847738</v>
      </c>
      <c r="AX99" s="76">
        <f t="shared" si="187"/>
        <v>0.71203053960731899</v>
      </c>
      <c r="AY99" s="76">
        <f t="shared" ref="AY99" si="188">(SUM(AY81:AY85)-AY84)/SUM(AY93:AY97)</f>
        <v>0.71120644864391436</v>
      </c>
      <c r="BO99" s="76">
        <f t="shared" ref="BO99:BQ99" si="189">(SUM(BO81:BO85)-BO84)/SUM(BO93:BO97)</f>
        <v>0.71385038427300063</v>
      </c>
      <c r="BP99" s="76">
        <f t="shared" si="189"/>
        <v>0.70650598624983041</v>
      </c>
      <c r="BQ99" s="76">
        <f t="shared" si="189"/>
        <v>0.71712983961797783</v>
      </c>
      <c r="BR99" s="76">
        <f>(SUM(BR81:BR85)-BR84)/SUM(BR93:BR97)</f>
        <v>0.71203053960731899</v>
      </c>
    </row>
    <row r="100" spans="2:132">
      <c r="B100" s="1" t="s">
        <v>64</v>
      </c>
      <c r="AH100" s="76">
        <f t="shared" ref="AH100" si="190">SUM(AH81:AH82)/SUM(AH93:AH97)</f>
        <v>4.3815181866863895E-2</v>
      </c>
      <c r="AI100" s="76">
        <f t="shared" ref="AI100:AX100" si="191">SUM(AI81:AI82)/SUM(AI93:AI97)</f>
        <v>4.2545773674276581E-2</v>
      </c>
      <c r="AJ100" s="76">
        <f t="shared" si="191"/>
        <v>4.1039443827547914E-2</v>
      </c>
      <c r="AK100" s="76">
        <f t="shared" si="191"/>
        <v>3.9396704288830936E-2</v>
      </c>
      <c r="AL100" s="76">
        <f t="shared" si="191"/>
        <v>3.8336120702273005E-2</v>
      </c>
      <c r="AM100" s="76">
        <f t="shared" si="191"/>
        <v>3.7595808085584111E-2</v>
      </c>
      <c r="AN100" s="76">
        <f t="shared" si="191"/>
        <v>3.5954411870116838E-2</v>
      </c>
      <c r="AO100" s="76">
        <f t="shared" si="191"/>
        <v>3.5199734903422243E-2</v>
      </c>
      <c r="AP100" s="76">
        <f t="shared" si="191"/>
        <v>3.3880436826085818E-2</v>
      </c>
      <c r="AQ100" s="76">
        <f t="shared" si="191"/>
        <v>3.4941397757035808E-2</v>
      </c>
      <c r="AR100" s="76">
        <f t="shared" si="191"/>
        <v>3.2412485264722464E-2</v>
      </c>
      <c r="AS100" s="76">
        <f t="shared" si="191"/>
        <v>3.104332261391906E-2</v>
      </c>
      <c r="AT100" s="76">
        <f t="shared" si="191"/>
        <v>3.0282490482573043E-2</v>
      </c>
      <c r="AU100" s="76">
        <f t="shared" si="191"/>
        <v>2.9183540899079402E-2</v>
      </c>
      <c r="AV100" s="76">
        <f t="shared" si="191"/>
        <v>2.8524303871155527E-2</v>
      </c>
      <c r="AW100" s="76">
        <f t="shared" si="191"/>
        <v>2.7541553923463472E-2</v>
      </c>
      <c r="AX100" s="76">
        <f t="shared" si="191"/>
        <v>2.6489261520702329E-2</v>
      </c>
      <c r="AY100" s="76">
        <f t="shared" ref="AY100" si="192">SUM(AY81:AY82)/SUM(AY93:AY97)</f>
        <v>2.6280500175665179E-2</v>
      </c>
      <c r="BO100" s="76">
        <f t="shared" ref="BO100:BQ100" si="193">SUM(BO81:BO82)/SUM(BO93:BO97)</f>
        <v>3.8336120702273005E-2</v>
      </c>
      <c r="BP100" s="76">
        <f t="shared" si="193"/>
        <v>3.3880436826085818E-2</v>
      </c>
      <c r="BQ100" s="76">
        <f t="shared" si="193"/>
        <v>3.0282490482573043E-2</v>
      </c>
      <c r="BR100" s="76">
        <f>SUM(BR81:BR82)/SUM(BR93:BR97)</f>
        <v>2.6489261520702329E-2</v>
      </c>
    </row>
    <row r="101" spans="2:132">
      <c r="B101" s="1" t="s">
        <v>138</v>
      </c>
      <c r="AH101" s="76">
        <f t="shared" ref="AH101:AY101" si="194">AH46/SUM(AH79:AH81)</f>
        <v>0.56810936733692985</v>
      </c>
      <c r="AI101" s="76">
        <f t="shared" si="194"/>
        <v>0.66763562926471043</v>
      </c>
      <c r="AJ101" s="76">
        <f t="shared" si="194"/>
        <v>0.58477382507518916</v>
      </c>
      <c r="AK101" s="76">
        <f t="shared" si="194"/>
        <v>0.64032397343894232</v>
      </c>
      <c r="AL101" s="76">
        <f t="shared" si="194"/>
        <v>0.59977378259316583</v>
      </c>
      <c r="AM101" s="76">
        <f t="shared" si="194"/>
        <v>0.68748538011695903</v>
      </c>
      <c r="AN101" s="76">
        <f t="shared" si="194"/>
        <v>0.630874230024003</v>
      </c>
      <c r="AO101" s="76">
        <f t="shared" si="194"/>
        <v>0.64580501489429387</v>
      </c>
      <c r="AP101" s="76">
        <f t="shared" si="194"/>
        <v>0.60791047766234507</v>
      </c>
      <c r="AQ101" s="76">
        <f t="shared" si="194"/>
        <v>0.6667138529486708</v>
      </c>
      <c r="AR101" s="76">
        <f t="shared" si="194"/>
        <v>0.6216185784658691</v>
      </c>
      <c r="AS101" s="76">
        <f t="shared" si="194"/>
        <v>0.64246275075608339</v>
      </c>
      <c r="AT101" s="76">
        <f t="shared" si="194"/>
        <v>0.609432790691396</v>
      </c>
      <c r="AU101" s="76">
        <f t="shared" si="194"/>
        <v>0.64735186156266389</v>
      </c>
      <c r="AV101" s="76">
        <f t="shared" si="194"/>
        <v>0.60419490983501722</v>
      </c>
      <c r="AW101" s="76">
        <f t="shared" si="194"/>
        <v>0.588528057732985</v>
      </c>
      <c r="AX101" s="76">
        <f t="shared" si="194"/>
        <v>0.54451581626469514</v>
      </c>
      <c r="AY101" s="76">
        <f t="shared" si="194"/>
        <v>0.60143988147599425</v>
      </c>
      <c r="BO101" s="76">
        <f>BO46/SUM(BO79:BO81)</f>
        <v>2.4622574115966187</v>
      </c>
      <c r="BP101" s="76">
        <f>BP46/SUM(BP79:BP81)</f>
        <v>2.5442317048739302</v>
      </c>
      <c r="BQ101" s="76">
        <f>BQ46/SUM(BQ79:BQ81)</f>
        <v>2.4664830863097649</v>
      </c>
      <c r="BR101" s="76">
        <f>BR46/SUM(BR79:BR81)</f>
        <v>2.2888134771542843</v>
      </c>
    </row>
    <row r="102" spans="2:132">
      <c r="B102" s="1" t="s">
        <v>139</v>
      </c>
      <c r="AH102" s="76">
        <f t="shared" ref="AH102:AY102" si="195">AH46/AH94</f>
        <v>0.16757988390386808</v>
      </c>
      <c r="AI102" s="76">
        <f t="shared" si="195"/>
        <v>0.20017247548187631</v>
      </c>
      <c r="AJ102" s="76">
        <f t="shared" si="195"/>
        <v>0.17857209121101361</v>
      </c>
      <c r="AK102" s="76">
        <f t="shared" si="195"/>
        <v>0.19977517860294869</v>
      </c>
      <c r="AL102" s="76">
        <f t="shared" si="195"/>
        <v>0.19235909576905452</v>
      </c>
      <c r="AM102" s="76">
        <f t="shared" si="195"/>
        <v>0.22921094191737021</v>
      </c>
      <c r="AN102" s="76">
        <f t="shared" si="195"/>
        <v>0.21117693752299085</v>
      </c>
      <c r="AO102" s="76">
        <f t="shared" si="195"/>
        <v>0.21950907821915519</v>
      </c>
      <c r="AP102" s="76">
        <f t="shared" si="195"/>
        <v>0.20901970045856214</v>
      </c>
      <c r="AQ102" s="76">
        <f t="shared" si="195"/>
        <v>0.25521008312290705</v>
      </c>
      <c r="AR102" s="76">
        <f t="shared" si="195"/>
        <v>0.24174849748760222</v>
      </c>
      <c r="AS102" s="76">
        <f t="shared" si="195"/>
        <v>0.25040824492532632</v>
      </c>
      <c r="AT102" s="76">
        <f t="shared" si="195"/>
        <v>0.24889467126806841</v>
      </c>
      <c r="AU102" s="76">
        <f t="shared" si="195"/>
        <v>0.27340073305502344</v>
      </c>
      <c r="AV102" s="76">
        <f t="shared" si="195"/>
        <v>0.27129681739350153</v>
      </c>
      <c r="AW102" s="76">
        <f t="shared" si="195"/>
        <v>0.28543497151684849</v>
      </c>
      <c r="AX102" s="76">
        <f t="shared" si="195"/>
        <v>0.2709705435333285</v>
      </c>
      <c r="AY102" s="76">
        <f t="shared" si="195"/>
        <v>0.29496713252574336</v>
      </c>
      <c r="BO102" s="76">
        <f>BO46/BO94</f>
        <v>0.78969375286390708</v>
      </c>
      <c r="BP102" s="76">
        <f>BP46/BP94</f>
        <v>0.87479089173604141</v>
      </c>
      <c r="BQ102" s="76">
        <f>BQ46/BQ94</f>
        <v>1.0073210800798262</v>
      </c>
      <c r="BR102" s="76">
        <f>BR46/BR94</f>
        <v>1.138995440399508</v>
      </c>
    </row>
    <row r="103" spans="2:132">
      <c r="B103" s="1" t="s">
        <v>65</v>
      </c>
      <c r="AH103" s="76">
        <f t="shared" ref="AH103:AY103" si="196">AH47/AVERAGE(AE84:AH84)</f>
        <v>1.4253869253869254</v>
      </c>
      <c r="AI103" s="76">
        <f t="shared" si="196"/>
        <v>1.6618561405510239</v>
      </c>
      <c r="AJ103" s="76">
        <f t="shared" si="196"/>
        <v>1.4508659421681194</v>
      </c>
      <c r="AK103" s="76">
        <f t="shared" si="196"/>
        <v>1.5854916275566371</v>
      </c>
      <c r="AL103" s="76">
        <f t="shared" si="196"/>
        <v>1.5464811223907837</v>
      </c>
      <c r="AM103" s="76">
        <f t="shared" si="196"/>
        <v>1.8432982732437144</v>
      </c>
      <c r="AN103" s="76">
        <f t="shared" si="196"/>
        <v>1.581689797906014</v>
      </c>
      <c r="AO103" s="76">
        <f t="shared" si="196"/>
        <v>1.5038711353598337</v>
      </c>
      <c r="AP103" s="76">
        <f t="shared" si="196"/>
        <v>1.3606224292581397</v>
      </c>
      <c r="AQ103" s="76">
        <f t="shared" si="196"/>
        <v>1.4857850963944428</v>
      </c>
      <c r="AR103" s="76">
        <f t="shared" si="196"/>
        <v>1.232026427888377</v>
      </c>
      <c r="AS103" s="76">
        <f t="shared" si="196"/>
        <v>1.181588143149777</v>
      </c>
      <c r="AT103" s="76">
        <f t="shared" si="196"/>
        <v>1.0984387965804048</v>
      </c>
      <c r="AU103" s="76">
        <f t="shared" si="196"/>
        <v>1.2083374183807525</v>
      </c>
      <c r="AV103" s="76">
        <f t="shared" si="196"/>
        <v>1.2576159643349962</v>
      </c>
      <c r="AW103" s="76">
        <f t="shared" si="196"/>
        <v>1.3510598735589439</v>
      </c>
      <c r="AX103" s="76">
        <f t="shared" si="196"/>
        <v>1.4044333124608641</v>
      </c>
      <c r="AY103" s="76">
        <f t="shared" si="196"/>
        <v>1.6725867951033513</v>
      </c>
      <c r="BO103" s="76">
        <f>BO47/AVERAGE(BL84:BO84)</f>
        <v>5.9080147697654217</v>
      </c>
      <c r="BP103" s="76">
        <f>BP47/AVERAGE(BM84:BP84)</f>
        <v>5.8372115953460852</v>
      </c>
      <c r="BQ103" s="76">
        <f>BQ47/AVERAGE(BN84:BQ84)</f>
        <v>5.274644301332934</v>
      </c>
      <c r="BR103" s="76">
        <f>BR47/AVERAGE(BO84:BR84)</f>
        <v>5.4178440546707538</v>
      </c>
    </row>
    <row r="104" spans="2:132">
      <c r="B104" s="1" t="s">
        <v>66</v>
      </c>
      <c r="AH104" s="77">
        <f t="shared" ref="AH104:AY104" si="197">AH57/AH96</f>
        <v>1.2573118084171131E-3</v>
      </c>
      <c r="AI104" s="77">
        <f t="shared" si="197"/>
        <v>5.9022876283132738E-3</v>
      </c>
      <c r="AJ104" s="77">
        <f t="shared" si="197"/>
        <v>2.9488325685467737E-3</v>
      </c>
      <c r="AK104" s="77">
        <f t="shared" si="197"/>
        <v>7.3600752668149787E-3</v>
      </c>
      <c r="AL104" s="77">
        <f t="shared" si="197"/>
        <v>1.2473542829922752E-3</v>
      </c>
      <c r="AM104" s="77">
        <f t="shared" si="197"/>
        <v>6.7557841127386985E-3</v>
      </c>
      <c r="AN104" s="77">
        <f t="shared" si="197"/>
        <v>7.2635679348621975E-3</v>
      </c>
      <c r="AO104" s="77">
        <f t="shared" si="197"/>
        <v>-7.5079864365526071E-4</v>
      </c>
      <c r="AP104" s="77">
        <f t="shared" si="197"/>
        <v>3.3758311889833105E-3</v>
      </c>
      <c r="AQ104" s="77">
        <f t="shared" si="197"/>
        <v>1.0876050441412925E-2</v>
      </c>
      <c r="AR104" s="77">
        <f t="shared" si="197"/>
        <v>1.1070678079032341E-3</v>
      </c>
      <c r="AS104" s="77">
        <f t="shared" si="197"/>
        <v>1.4370082721517708E-2</v>
      </c>
      <c r="AT104" s="77">
        <f t="shared" si="197"/>
        <v>2.874339386094109E-3</v>
      </c>
      <c r="AU104" s="77">
        <f t="shared" si="197"/>
        <v>1.3418186616323092E-2</v>
      </c>
      <c r="AV104" s="77">
        <f t="shared" si="197"/>
        <v>1.7366838071213739E-2</v>
      </c>
      <c r="AW104" s="77">
        <f t="shared" si="197"/>
        <v>3.022704616198401E-2</v>
      </c>
      <c r="AX104" s="77">
        <f t="shared" si="197"/>
        <v>7.3058112336340719E-3</v>
      </c>
      <c r="AY104" s="77">
        <f t="shared" si="197"/>
        <v>1.2291614090821371E-2</v>
      </c>
      <c r="BO104" s="77">
        <f>BO57/BO96</f>
        <v>1.7448227430990369E-2</v>
      </c>
      <c r="BP104" s="77">
        <f>BP57/BP96</f>
        <v>1.6490011139270063E-2</v>
      </c>
      <c r="BQ104" s="77">
        <f>BQ57/BQ96</f>
        <v>2.9421207936030661E-2</v>
      </c>
      <c r="BR104" s="77">
        <f>BR57/BR96</f>
        <v>6.8000243020747891E-2</v>
      </c>
      <c r="CA104" s="46"/>
      <c r="CB104" s="66"/>
    </row>
    <row r="105" spans="2:132">
      <c r="B105" s="1" t="s">
        <v>67</v>
      </c>
      <c r="AH105" s="77">
        <f t="shared" ref="AH105:AY105" si="198">AH57/AH95</f>
        <v>2.7523626237756825E-3</v>
      </c>
      <c r="AI105" s="77">
        <f t="shared" si="198"/>
        <v>1.2723995334535044E-2</v>
      </c>
      <c r="AJ105" s="77">
        <f t="shared" si="198"/>
        <v>6.3068487940924796E-3</v>
      </c>
      <c r="AK105" s="77">
        <f t="shared" si="198"/>
        <v>1.5575580973318263E-2</v>
      </c>
      <c r="AL105" s="77">
        <f t="shared" si="198"/>
        <v>2.5687962054632431E-3</v>
      </c>
      <c r="AM105" s="77">
        <f t="shared" si="198"/>
        <v>1.3764297778092415E-2</v>
      </c>
      <c r="AN105" s="77">
        <f t="shared" si="198"/>
        <v>1.4652014652014652E-2</v>
      </c>
      <c r="AO105" s="77">
        <f t="shared" si="198"/>
        <v>-1.4991769224739358E-3</v>
      </c>
      <c r="AP105" s="77">
        <f t="shared" si="198"/>
        <v>6.6758371249651298E-3</v>
      </c>
      <c r="AQ105" s="77">
        <f t="shared" si="198"/>
        <v>2.0388432337134246E-2</v>
      </c>
      <c r="AR105" s="77">
        <f t="shared" si="198"/>
        <v>2.081666875475844E-3</v>
      </c>
      <c r="AS105" s="77">
        <f t="shared" si="198"/>
        <v>2.6988784744974029E-2</v>
      </c>
      <c r="AT105" s="77">
        <f t="shared" si="198"/>
        <v>5.3448569966452492E-3</v>
      </c>
      <c r="AU105" s="77">
        <f t="shared" si="198"/>
        <v>2.4770702367457067E-2</v>
      </c>
      <c r="AV105" s="77">
        <f t="shared" si="198"/>
        <v>3.126896272732288E-2</v>
      </c>
      <c r="AW105" s="77">
        <f t="shared" si="198"/>
        <v>5.224339815042723E-2</v>
      </c>
      <c r="AX105" s="77">
        <f t="shared" si="198"/>
        <v>1.2590304680138206E-2</v>
      </c>
      <c r="AY105" s="77">
        <f t="shared" si="198"/>
        <v>2.1787944705634693E-2</v>
      </c>
      <c r="BO105" s="77">
        <f>BO57/BO95</f>
        <v>3.5932806763822447E-2</v>
      </c>
      <c r="BP105" s="77">
        <f>BP57/BP95</f>
        <v>3.2609636676702865E-2</v>
      </c>
      <c r="BQ105" s="77">
        <f>BQ57/BQ95</f>
        <v>5.4708970641193302E-2</v>
      </c>
      <c r="BR105" s="77">
        <f>BR57/BR95</f>
        <v>0.11718668202282484</v>
      </c>
      <c r="CA105" s="46"/>
      <c r="CB105" s="66"/>
    </row>
    <row r="106" spans="2:132">
      <c r="CA106" s="46"/>
      <c r="CB106" s="67"/>
    </row>
    <row r="107" spans="2:132">
      <c r="B107" s="1" t="s">
        <v>68</v>
      </c>
      <c r="C107" s="1">
        <f t="shared" ref="C107:AH107" si="199">C57</f>
        <v>1904</v>
      </c>
      <c r="D107" s="1">
        <f t="shared" si="199"/>
        <v>2056</v>
      </c>
      <c r="E107" s="1">
        <f t="shared" si="199"/>
        <v>2419</v>
      </c>
      <c r="F107" s="1">
        <f t="shared" si="199"/>
        <v>1625</v>
      </c>
      <c r="G107" s="1">
        <f t="shared" si="199"/>
        <v>2244</v>
      </c>
      <c r="H107" s="1">
        <f t="shared" si="199"/>
        <v>2228</v>
      </c>
      <c r="I107" s="1">
        <f t="shared" si="199"/>
        <v>2639</v>
      </c>
      <c r="J107" s="1">
        <f t="shared" si="199"/>
        <v>1741</v>
      </c>
      <c r="K107" s="1">
        <f t="shared" si="199"/>
        <v>2910</v>
      </c>
      <c r="L107" s="1">
        <f t="shared" si="199"/>
        <v>2276</v>
      </c>
      <c r="M107" s="1">
        <f t="shared" si="199"/>
        <v>2712</v>
      </c>
      <c r="N107" s="1">
        <f t="shared" si="199"/>
        <v>1892</v>
      </c>
      <c r="O107" s="1">
        <f t="shared" si="199"/>
        <v>2488</v>
      </c>
      <c r="P107" s="1">
        <f t="shared" si="199"/>
        <v>2539</v>
      </c>
      <c r="Q107" s="1">
        <f t="shared" si="199"/>
        <v>2474</v>
      </c>
      <c r="R107" s="1">
        <f t="shared" si="199"/>
        <v>1865</v>
      </c>
      <c r="S107" s="1">
        <f t="shared" si="199"/>
        <v>4473</v>
      </c>
      <c r="T107" s="1">
        <f t="shared" si="199"/>
        <v>3115</v>
      </c>
      <c r="U107" s="1">
        <f t="shared" si="199"/>
        <v>3059</v>
      </c>
      <c r="V107" s="1">
        <f t="shared" si="199"/>
        <v>2419</v>
      </c>
      <c r="W107" s="1">
        <f t="shared" si="199"/>
        <v>2786</v>
      </c>
      <c r="X107" s="1">
        <f t="shared" si="199"/>
        <v>5590</v>
      </c>
      <c r="Y107" s="1">
        <f t="shared" si="199"/>
        <v>1616</v>
      </c>
      <c r="Z107" s="1">
        <f t="shared" si="199"/>
        <v>905</v>
      </c>
      <c r="AA107" s="1">
        <f t="shared" si="199"/>
        <v>2168</v>
      </c>
      <c r="AB107" s="1">
        <f t="shared" si="199"/>
        <v>528</v>
      </c>
      <c r="AC107" s="1">
        <f t="shared" si="199"/>
        <v>-4509</v>
      </c>
      <c r="AD107" s="1">
        <f t="shared" si="199"/>
        <v>-629</v>
      </c>
      <c r="AE107" s="1">
        <f t="shared" si="199"/>
        <v>30</v>
      </c>
      <c r="AF107" s="1">
        <f t="shared" si="199"/>
        <v>1122</v>
      </c>
      <c r="AG107" s="1">
        <f t="shared" si="199"/>
        <v>1128</v>
      </c>
      <c r="AH107" s="1">
        <f t="shared" si="199"/>
        <v>256</v>
      </c>
      <c r="AI107" s="1">
        <f t="shared" ref="AI107:AY107" si="200">AI57</f>
        <v>1200</v>
      </c>
      <c r="AJ107" s="1">
        <f t="shared" si="200"/>
        <v>597</v>
      </c>
      <c r="AK107" s="1">
        <f t="shared" si="200"/>
        <v>1502</v>
      </c>
      <c r="AL107" s="1">
        <f t="shared" si="200"/>
        <v>254</v>
      </c>
      <c r="AM107" s="1">
        <f t="shared" si="200"/>
        <v>1361</v>
      </c>
      <c r="AN107" s="1">
        <f t="shared" si="200"/>
        <v>1488</v>
      </c>
      <c r="AO107" s="1">
        <f t="shared" si="200"/>
        <v>-153</v>
      </c>
      <c r="AP107" s="1">
        <f t="shared" si="200"/>
        <v>694</v>
      </c>
      <c r="AQ107" s="1">
        <f t="shared" si="200"/>
        <v>2151</v>
      </c>
      <c r="AR107" s="1">
        <f t="shared" si="200"/>
        <v>216</v>
      </c>
      <c r="AS107" s="1">
        <f t="shared" si="200"/>
        <v>2842</v>
      </c>
      <c r="AT107" s="1">
        <f t="shared" si="200"/>
        <v>564</v>
      </c>
      <c r="AU107" s="1">
        <f t="shared" si="200"/>
        <v>2644</v>
      </c>
      <c r="AV107" s="1">
        <f t="shared" si="200"/>
        <v>3401</v>
      </c>
      <c r="AW107" s="1">
        <f t="shared" si="200"/>
        <v>5943</v>
      </c>
      <c r="AX107" s="1">
        <f t="shared" si="200"/>
        <v>1443</v>
      </c>
      <c r="AY107" s="1">
        <f t="shared" si="200"/>
        <v>2484</v>
      </c>
      <c r="BG107" s="1">
        <f t="shared" ref="BG107:BR107" si="201">BG57</f>
        <v>8004</v>
      </c>
      <c r="BH107" s="1">
        <f t="shared" si="201"/>
        <v>8852</v>
      </c>
      <c r="BI107" s="1">
        <f t="shared" si="201"/>
        <v>9790</v>
      </c>
      <c r="BJ107" s="1">
        <f t="shared" si="201"/>
        <v>9366</v>
      </c>
      <c r="BK107" s="1">
        <f t="shared" si="201"/>
        <v>13066</v>
      </c>
      <c r="BL107" s="1">
        <f t="shared" si="201"/>
        <v>10897</v>
      </c>
      <c r="BM107" s="1">
        <f t="shared" si="201"/>
        <v>-2442</v>
      </c>
      <c r="BN107" s="1">
        <f t="shared" si="201"/>
        <v>2536</v>
      </c>
      <c r="BO107" s="1">
        <f t="shared" si="201"/>
        <v>3553</v>
      </c>
      <c r="BP107" s="1">
        <f t="shared" si="201"/>
        <v>3390</v>
      </c>
      <c r="BQ107" s="1">
        <f t="shared" si="201"/>
        <v>5773</v>
      </c>
      <c r="BR107" s="1">
        <f t="shared" si="201"/>
        <v>13431</v>
      </c>
      <c r="CA107" s="46"/>
      <c r="CB107" s="67"/>
    </row>
    <row r="108" spans="2:132" s="2" customFormat="1" ht="15">
      <c r="B108" s="2" t="s">
        <v>69</v>
      </c>
      <c r="C108" s="2">
        <v>1212</v>
      </c>
      <c r="D108" s="2">
        <v>2527</v>
      </c>
      <c r="E108" s="2">
        <v>2936</v>
      </c>
      <c r="F108" s="2">
        <v>3105</v>
      </c>
      <c r="G108" s="2">
        <v>1855</v>
      </c>
      <c r="H108" s="2">
        <v>2918</v>
      </c>
      <c r="I108" s="2">
        <v>2808</v>
      </c>
      <c r="J108" s="2">
        <v>3804</v>
      </c>
      <c r="K108" s="2">
        <v>2456</v>
      </c>
      <c r="L108" s="2">
        <v>3529</v>
      </c>
      <c r="M108" s="2">
        <v>3630</v>
      </c>
      <c r="N108" s="2">
        <v>3521</v>
      </c>
      <c r="O108" s="2">
        <v>1445</v>
      </c>
      <c r="P108" s="2">
        <v>3228</v>
      </c>
      <c r="Q108" s="2">
        <v>4100</v>
      </c>
      <c r="R108" s="2">
        <v>3570</v>
      </c>
      <c r="S108" s="2">
        <v>2237</v>
      </c>
      <c r="T108" s="2">
        <v>4526</v>
      </c>
      <c r="U108" s="2">
        <v>3679</v>
      </c>
      <c r="V108" s="2">
        <v>3853</v>
      </c>
      <c r="W108" s="2">
        <v>2099</v>
      </c>
      <c r="X108" s="2">
        <v>3915</v>
      </c>
      <c r="Y108" s="2">
        <v>-1748</v>
      </c>
      <c r="Z108" s="2">
        <v>1718</v>
      </c>
      <c r="AA108" s="2">
        <v>1630</v>
      </c>
      <c r="AB108" s="2">
        <v>3157</v>
      </c>
      <c r="AC108" s="2">
        <v>1162</v>
      </c>
      <c r="AD108" s="2">
        <v>1667</v>
      </c>
      <c r="AE108" s="2">
        <v>75</v>
      </c>
      <c r="AF108" s="2">
        <v>1393</v>
      </c>
      <c r="AG108" s="2">
        <v>1466</v>
      </c>
      <c r="AH108" s="2">
        <v>2632</v>
      </c>
      <c r="AI108" s="2">
        <v>-209</v>
      </c>
      <c r="AJ108" s="2">
        <v>1765</v>
      </c>
      <c r="AK108" s="2">
        <v>1922</v>
      </c>
      <c r="AL108" s="2">
        <v>2524</v>
      </c>
      <c r="AM108" s="2">
        <v>-974</v>
      </c>
      <c r="AN108" s="2">
        <v>3236</v>
      </c>
      <c r="AO108" s="2">
        <v>2802</v>
      </c>
      <c r="AP108" s="2">
        <v>4802</v>
      </c>
      <c r="AQ108" s="2">
        <v>2185</v>
      </c>
      <c r="AR108" s="2">
        <v>3666</v>
      </c>
      <c r="AS108" s="2">
        <v>2602</v>
      </c>
      <c r="AT108" s="2">
        <v>5518</v>
      </c>
      <c r="AU108" s="2">
        <v>3205</v>
      </c>
      <c r="AV108" s="2">
        <v>6753</v>
      </c>
      <c r="AW108" s="2">
        <v>3669</v>
      </c>
      <c r="AX108" s="2">
        <v>4474</v>
      </c>
      <c r="AY108" s="2">
        <v>735</v>
      </c>
      <c r="AZ108" s="34"/>
      <c r="BA108" s="34"/>
      <c r="BB108" s="34"/>
      <c r="BG108" s="2">
        <f>SUM(C108:F108)</f>
        <v>9780</v>
      </c>
      <c r="BH108" s="2">
        <f>SUM(G108:J108)</f>
        <v>11385</v>
      </c>
      <c r="BI108" s="2">
        <f>SUM(K108:N108)</f>
        <v>13136</v>
      </c>
      <c r="BJ108" s="2">
        <f>SUM(O108:R108)</f>
        <v>12343</v>
      </c>
      <c r="BK108" s="2">
        <f>SUM(S108:V108)</f>
        <v>14295</v>
      </c>
      <c r="BL108" s="2">
        <f>SUM(W108:Z108)</f>
        <v>5984</v>
      </c>
      <c r="BM108" s="2">
        <f>SUM(AA108:AD108)</f>
        <v>7616</v>
      </c>
      <c r="BN108" s="2">
        <f>SUM(AE108:AH108)</f>
        <v>5566</v>
      </c>
      <c r="BO108" s="2">
        <f>SUM(AI108:AL108)</f>
        <v>6002</v>
      </c>
      <c r="BP108" s="2">
        <f>SUM(AM108:AP108)</f>
        <v>9866</v>
      </c>
      <c r="BQ108" s="2">
        <f>SUM(AQ108:AT108)</f>
        <v>13971</v>
      </c>
      <c r="BR108" s="2">
        <f>SUM(AU108:AX108)</f>
        <v>18101</v>
      </c>
      <c r="BS108" s="34"/>
      <c r="BT108" s="34"/>
      <c r="BU108" s="34"/>
      <c r="BV108" s="34"/>
      <c r="BW108" s="34"/>
      <c r="BX108" s="34"/>
      <c r="BY108" s="34"/>
      <c r="BZ108" s="34"/>
      <c r="CA108" s="46"/>
      <c r="CB108" s="74"/>
      <c r="CC108" s="75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</row>
    <row r="109" spans="2:132">
      <c r="B109" s="1" t="s">
        <v>70</v>
      </c>
      <c r="C109" s="1">
        <v>-658</v>
      </c>
      <c r="D109" s="1">
        <v>-701</v>
      </c>
      <c r="E109" s="1">
        <v>-889</v>
      </c>
      <c r="F109" s="1">
        <v>-1063</v>
      </c>
      <c r="G109" s="1">
        <v>-998</v>
      </c>
      <c r="H109" s="1">
        <v>-907</v>
      </c>
      <c r="I109" s="1">
        <v>-1156</v>
      </c>
      <c r="J109" s="1">
        <v>-1204</v>
      </c>
      <c r="K109" s="1">
        <v>-1806</v>
      </c>
      <c r="L109" s="1">
        <v>-1150</v>
      </c>
      <c r="M109" s="1">
        <v>-1135</v>
      </c>
      <c r="N109" s="1">
        <v>-1532</v>
      </c>
      <c r="O109" s="1">
        <v>-1040</v>
      </c>
      <c r="P109" s="1">
        <v>-883</v>
      </c>
      <c r="Q109" s="1">
        <v>-805</v>
      </c>
      <c r="R109" s="1">
        <v>-755</v>
      </c>
      <c r="S109" s="1">
        <v>-981</v>
      </c>
      <c r="T109" s="1">
        <v>-1063</v>
      </c>
      <c r="U109" s="1">
        <v>-1220</v>
      </c>
      <c r="V109" s="1">
        <v>-1201</v>
      </c>
      <c r="W109" s="1">
        <v>-1195</v>
      </c>
      <c r="X109" s="1">
        <v>-1195</v>
      </c>
      <c r="Y109" s="1">
        <v>-1177</v>
      </c>
      <c r="Z109" s="1">
        <v>-1309</v>
      </c>
      <c r="AA109" s="1">
        <v>-1338</v>
      </c>
      <c r="AB109" s="1">
        <v>-1247</v>
      </c>
      <c r="AC109" s="1">
        <v>-708</v>
      </c>
      <c r="AD109" s="1">
        <v>-729</v>
      </c>
      <c r="AE109" s="1">
        <v>-760</v>
      </c>
      <c r="AF109" s="1">
        <v>-770</v>
      </c>
      <c r="AG109" s="1">
        <v>-938</v>
      </c>
      <c r="AH109" s="1">
        <v>-1110</v>
      </c>
      <c r="AI109" s="1">
        <v>-981</v>
      </c>
      <c r="AJ109" s="1">
        <v>-1079</v>
      </c>
      <c r="AK109" s="1">
        <v>-1735</v>
      </c>
      <c r="AL109" s="1">
        <v>-1148</v>
      </c>
      <c r="AM109" s="1">
        <v>-1181</v>
      </c>
      <c r="AN109" s="1">
        <v>-1249</v>
      </c>
      <c r="AO109" s="1">
        <v>-1165</v>
      </c>
      <c r="AP109" s="1">
        <v>-1374</v>
      </c>
      <c r="AQ109" s="1">
        <v>-1299</v>
      </c>
      <c r="AR109" s="1">
        <v>-1259</v>
      </c>
      <c r="AS109" s="1">
        <v>-1365</v>
      </c>
      <c r="AT109" s="1">
        <v>-1989</v>
      </c>
      <c r="AU109" s="1">
        <v>-2466</v>
      </c>
      <c r="AV109" s="1">
        <v>-1862</v>
      </c>
      <c r="AW109" s="1">
        <v>-1780</v>
      </c>
      <c r="AX109" s="1">
        <v>-1916</v>
      </c>
      <c r="AY109" s="1">
        <v>-3013</v>
      </c>
      <c r="BG109" s="1">
        <f>SUM(C109:F109)</f>
        <v>-3311</v>
      </c>
      <c r="BH109" s="1">
        <f>SUM(G109:J109)</f>
        <v>-4265</v>
      </c>
      <c r="BI109" s="1">
        <f>SUM(K109:N109)</f>
        <v>-5623</v>
      </c>
      <c r="BJ109" s="1">
        <f>SUM(O109:R109)</f>
        <v>-3483</v>
      </c>
      <c r="BK109" s="1">
        <f>SUM(S109:V109)</f>
        <v>-4465</v>
      </c>
      <c r="BL109" s="1">
        <f>SUM(W109:Z109)</f>
        <v>-4876</v>
      </c>
      <c r="BM109" s="1">
        <f>SUM(AA109:AD109)</f>
        <v>-4022</v>
      </c>
      <c r="BN109" s="1">
        <f>SUM(AE109:AH109)</f>
        <v>-3578</v>
      </c>
      <c r="BO109" s="1">
        <f>SUM(AI109:AL109)</f>
        <v>-4943</v>
      </c>
      <c r="BP109" s="1">
        <f>SUM(AM109:AP109)</f>
        <v>-4969</v>
      </c>
      <c r="BQ109" s="1">
        <f>SUM(AQ109:AT109)</f>
        <v>-5912</v>
      </c>
      <c r="BR109" s="1">
        <f>SUM(AU109:AX109)</f>
        <v>-8024</v>
      </c>
    </row>
    <row r="110" spans="2:132" s="2" customFormat="1" ht="15">
      <c r="B110" s="2" t="s">
        <v>71</v>
      </c>
      <c r="C110" s="2">
        <f t="shared" ref="C110:AP110" si="202">C108+C109</f>
        <v>554</v>
      </c>
      <c r="D110" s="2">
        <f t="shared" si="202"/>
        <v>1826</v>
      </c>
      <c r="E110" s="2">
        <f t="shared" si="202"/>
        <v>2047</v>
      </c>
      <c r="F110" s="2">
        <f t="shared" si="202"/>
        <v>2042</v>
      </c>
      <c r="G110" s="2">
        <f t="shared" si="202"/>
        <v>857</v>
      </c>
      <c r="H110" s="2">
        <f t="shared" si="202"/>
        <v>2011</v>
      </c>
      <c r="I110" s="2">
        <f t="shared" si="202"/>
        <v>1652</v>
      </c>
      <c r="J110" s="2">
        <f t="shared" si="202"/>
        <v>2600</v>
      </c>
      <c r="K110" s="2">
        <f t="shared" si="202"/>
        <v>650</v>
      </c>
      <c r="L110" s="2">
        <f t="shared" si="202"/>
        <v>2379</v>
      </c>
      <c r="M110" s="2">
        <f t="shared" si="202"/>
        <v>2495</v>
      </c>
      <c r="N110" s="2">
        <f t="shared" si="202"/>
        <v>1989</v>
      </c>
      <c r="O110" s="2">
        <f t="shared" si="202"/>
        <v>405</v>
      </c>
      <c r="P110" s="2">
        <f t="shared" si="202"/>
        <v>2345</v>
      </c>
      <c r="Q110" s="2">
        <f t="shared" si="202"/>
        <v>3295</v>
      </c>
      <c r="R110" s="2">
        <f t="shared" si="202"/>
        <v>2815</v>
      </c>
      <c r="S110" s="2">
        <f t="shared" si="202"/>
        <v>1256</v>
      </c>
      <c r="T110" s="2">
        <f t="shared" si="202"/>
        <v>3463</v>
      </c>
      <c r="U110" s="2">
        <f t="shared" si="202"/>
        <v>2459</v>
      </c>
      <c r="V110" s="2">
        <f t="shared" si="202"/>
        <v>2652</v>
      </c>
      <c r="W110" s="2">
        <f t="shared" si="202"/>
        <v>904</v>
      </c>
      <c r="X110" s="2">
        <f t="shared" si="202"/>
        <v>2720</v>
      </c>
      <c r="Y110" s="2">
        <f t="shared" si="202"/>
        <v>-2925</v>
      </c>
      <c r="Z110" s="2">
        <f t="shared" si="202"/>
        <v>409</v>
      </c>
      <c r="AA110" s="2">
        <f t="shared" si="202"/>
        <v>292</v>
      </c>
      <c r="AB110" s="2">
        <f t="shared" si="202"/>
        <v>1910</v>
      </c>
      <c r="AC110" s="2">
        <f t="shared" si="202"/>
        <v>454</v>
      </c>
      <c r="AD110" s="2">
        <f t="shared" si="202"/>
        <v>938</v>
      </c>
      <c r="AE110" s="2">
        <f t="shared" si="202"/>
        <v>-685</v>
      </c>
      <c r="AF110" s="2">
        <f t="shared" si="202"/>
        <v>623</v>
      </c>
      <c r="AG110" s="2">
        <f t="shared" si="202"/>
        <v>528</v>
      </c>
      <c r="AH110" s="2">
        <f t="shared" si="202"/>
        <v>1522</v>
      </c>
      <c r="AI110" s="2">
        <f t="shared" si="202"/>
        <v>-1190</v>
      </c>
      <c r="AJ110" s="2">
        <f t="shared" si="202"/>
        <v>686</v>
      </c>
      <c r="AK110" s="2">
        <f t="shared" si="202"/>
        <v>187</v>
      </c>
      <c r="AL110" s="2">
        <f t="shared" si="202"/>
        <v>1376</v>
      </c>
      <c r="AM110" s="2">
        <f t="shared" si="202"/>
        <v>-2155</v>
      </c>
      <c r="AN110" s="2">
        <f t="shared" si="202"/>
        <v>1987</v>
      </c>
      <c r="AO110" s="2">
        <f t="shared" si="202"/>
        <v>1637</v>
      </c>
      <c r="AP110" s="2">
        <f t="shared" si="202"/>
        <v>3428</v>
      </c>
      <c r="AQ110" s="2">
        <f t="shared" ref="AQ110:AW110" si="203">AQ108+AQ109</f>
        <v>886</v>
      </c>
      <c r="AR110" s="2">
        <f t="shared" si="203"/>
        <v>2407</v>
      </c>
      <c r="AS110" s="2">
        <f t="shared" si="203"/>
        <v>1237</v>
      </c>
      <c r="AT110" s="2">
        <f t="shared" si="203"/>
        <v>3529</v>
      </c>
      <c r="AU110" s="2">
        <f t="shared" si="203"/>
        <v>739</v>
      </c>
      <c r="AV110" s="2">
        <f t="shared" si="203"/>
        <v>4891</v>
      </c>
      <c r="AW110" s="2">
        <f t="shared" si="203"/>
        <v>1889</v>
      </c>
      <c r="AX110" s="2">
        <f>AX108+AX109</f>
        <v>2558</v>
      </c>
      <c r="AY110" s="2">
        <f>AY108+AY109</f>
        <v>-2278</v>
      </c>
      <c r="AZ110" s="34"/>
      <c r="BA110" s="34"/>
      <c r="BB110" s="34"/>
      <c r="BG110" s="2">
        <f t="shared" ref="BG110:BQ110" si="204">BG108+BG109</f>
        <v>6469</v>
      </c>
      <c r="BH110" s="2">
        <f t="shared" si="204"/>
        <v>7120</v>
      </c>
      <c r="BI110" s="2">
        <f t="shared" si="204"/>
        <v>7513</v>
      </c>
      <c r="BJ110" s="2">
        <f t="shared" si="204"/>
        <v>8860</v>
      </c>
      <c r="BK110" s="2">
        <f t="shared" si="204"/>
        <v>9830</v>
      </c>
      <c r="BL110" s="2">
        <f t="shared" si="204"/>
        <v>1108</v>
      </c>
      <c r="BM110" s="2">
        <f t="shared" si="204"/>
        <v>3594</v>
      </c>
      <c r="BN110" s="2">
        <f t="shared" si="204"/>
        <v>1988</v>
      </c>
      <c r="BO110" s="2">
        <f t="shared" si="204"/>
        <v>1059</v>
      </c>
      <c r="BP110" s="2">
        <f t="shared" si="204"/>
        <v>4897</v>
      </c>
      <c r="BQ110" s="2">
        <f t="shared" si="204"/>
        <v>8059</v>
      </c>
      <c r="BR110" s="2">
        <f>BR108+BR109</f>
        <v>10077</v>
      </c>
      <c r="BS110" s="34"/>
      <c r="BT110" s="34"/>
      <c r="BU110" s="35"/>
      <c r="BV110" s="35"/>
      <c r="BW110" s="62"/>
      <c r="BX110" s="35"/>
      <c r="BY110" s="35"/>
      <c r="BZ110" s="60"/>
      <c r="CA110" s="35"/>
      <c r="CB110" s="60"/>
      <c r="CC110" s="35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</row>
    <row r="111" spans="2:132">
      <c r="B111" s="1" t="s">
        <v>72</v>
      </c>
      <c r="C111" s="1">
        <f t="shared" ref="C111:AH111" si="205">C62</f>
        <v>1700</v>
      </c>
      <c r="D111" s="1">
        <f t="shared" si="205"/>
        <v>1700</v>
      </c>
      <c r="E111" s="1">
        <f t="shared" si="205"/>
        <v>1700</v>
      </c>
      <c r="F111" s="1">
        <f t="shared" si="205"/>
        <v>1700</v>
      </c>
      <c r="G111" s="1">
        <f t="shared" si="205"/>
        <v>1700</v>
      </c>
      <c r="H111" s="1">
        <f t="shared" si="205"/>
        <v>1700</v>
      </c>
      <c r="I111" s="1">
        <f t="shared" si="205"/>
        <v>1600</v>
      </c>
      <c r="J111" s="1">
        <f t="shared" si="205"/>
        <v>1600</v>
      </c>
      <c r="K111" s="1">
        <f t="shared" si="205"/>
        <v>1700</v>
      </c>
      <c r="L111" s="1">
        <f t="shared" si="205"/>
        <v>1700</v>
      </c>
      <c r="M111" s="1">
        <f t="shared" si="205"/>
        <v>1700</v>
      </c>
      <c r="N111" s="1">
        <f t="shared" si="205"/>
        <v>1600</v>
      </c>
      <c r="O111" s="1">
        <f t="shared" si="205"/>
        <v>1600</v>
      </c>
      <c r="P111" s="1">
        <f t="shared" si="205"/>
        <v>1600</v>
      </c>
      <c r="Q111" s="1">
        <f t="shared" si="205"/>
        <v>1600</v>
      </c>
      <c r="R111" s="1">
        <f t="shared" si="205"/>
        <v>1500</v>
      </c>
      <c r="S111" s="1">
        <f t="shared" si="205"/>
        <v>1500</v>
      </c>
      <c r="T111" s="1">
        <f t="shared" si="205"/>
        <v>1500</v>
      </c>
      <c r="U111" s="1">
        <f t="shared" si="205"/>
        <v>1500</v>
      </c>
      <c r="V111" s="1">
        <f t="shared" si="205"/>
        <v>1500</v>
      </c>
      <c r="W111" s="1">
        <f t="shared" si="205"/>
        <v>1500</v>
      </c>
      <c r="X111" s="1">
        <f t="shared" si="205"/>
        <v>1781</v>
      </c>
      <c r="Y111" s="1">
        <f t="shared" si="205"/>
        <v>1781</v>
      </c>
      <c r="Z111" s="1">
        <f t="shared" si="205"/>
        <v>1781</v>
      </c>
      <c r="AA111" s="1">
        <f t="shared" si="205"/>
        <v>1781</v>
      </c>
      <c r="AB111" s="1">
        <f t="shared" si="205"/>
        <v>1781</v>
      </c>
      <c r="AC111" s="1">
        <f t="shared" si="205"/>
        <v>1781</v>
      </c>
      <c r="AD111" s="1">
        <f t="shared" si="205"/>
        <v>1781</v>
      </c>
      <c r="AE111" s="1">
        <f t="shared" si="205"/>
        <v>1781</v>
      </c>
      <c r="AF111" s="1">
        <f t="shared" si="205"/>
        <v>1781</v>
      </c>
      <c r="AG111" s="1">
        <f t="shared" si="205"/>
        <v>1781</v>
      </c>
      <c r="AH111" s="1">
        <f t="shared" si="205"/>
        <v>1781</v>
      </c>
      <c r="AI111" s="1">
        <f t="shared" ref="AI111:AY111" si="206">AI62</f>
        <v>1781</v>
      </c>
      <c r="AJ111" s="1">
        <f t="shared" si="206"/>
        <v>1781</v>
      </c>
      <c r="AK111" s="1">
        <f t="shared" si="206"/>
        <v>1781</v>
      </c>
      <c r="AL111" s="1">
        <f t="shared" si="206"/>
        <v>1781</v>
      </c>
      <c r="AM111" s="1">
        <f t="shared" si="206"/>
        <v>1781</v>
      </c>
      <c r="AN111" s="1">
        <f t="shared" si="206"/>
        <v>1781</v>
      </c>
      <c r="AO111" s="1">
        <f t="shared" si="206"/>
        <v>1781</v>
      </c>
      <c r="AP111" s="1">
        <f t="shared" si="206"/>
        <v>1781</v>
      </c>
      <c r="AQ111" s="1">
        <f t="shared" si="206"/>
        <v>1881</v>
      </c>
      <c r="AR111" s="1">
        <f t="shared" si="206"/>
        <v>1873</v>
      </c>
      <c r="AS111" s="1">
        <f t="shared" si="206"/>
        <v>1858</v>
      </c>
      <c r="AT111" s="1">
        <f t="shared" si="206"/>
        <v>1853</v>
      </c>
      <c r="AU111" s="1">
        <f t="shared" si="206"/>
        <v>1846</v>
      </c>
      <c r="AV111" s="1">
        <f t="shared" si="206"/>
        <v>1837</v>
      </c>
      <c r="AW111" s="1">
        <f t="shared" si="206"/>
        <v>1829</v>
      </c>
      <c r="AX111" s="1">
        <f t="shared" si="206"/>
        <v>1821</v>
      </c>
      <c r="AY111" s="1">
        <f t="shared" si="206"/>
        <v>1771</v>
      </c>
      <c r="BG111" s="1">
        <f t="shared" ref="BG111:BR111" si="207">BG62</f>
        <v>1700</v>
      </c>
      <c r="BH111" s="1">
        <f t="shared" si="207"/>
        <v>1650</v>
      </c>
      <c r="BI111" s="1">
        <f t="shared" si="207"/>
        <v>1675</v>
      </c>
      <c r="BJ111" s="1">
        <f t="shared" si="207"/>
        <v>1575</v>
      </c>
      <c r="BK111" s="1">
        <f t="shared" si="207"/>
        <v>1500</v>
      </c>
      <c r="BL111" s="1">
        <f t="shared" si="207"/>
        <v>1710.75</v>
      </c>
      <c r="BM111" s="1">
        <f t="shared" si="207"/>
        <v>1781</v>
      </c>
      <c r="BN111" s="1">
        <f t="shared" si="207"/>
        <v>1781</v>
      </c>
      <c r="BO111" s="1">
        <f t="shared" si="207"/>
        <v>1781</v>
      </c>
      <c r="BP111" s="1">
        <f t="shared" si="207"/>
        <v>1781</v>
      </c>
      <c r="BQ111" s="1">
        <f t="shared" si="207"/>
        <v>1866.25</v>
      </c>
      <c r="BR111" s="1">
        <f t="shared" si="207"/>
        <v>1833.25</v>
      </c>
    </row>
    <row r="112" spans="2:132">
      <c r="B112" s="1" t="s">
        <v>73</v>
      </c>
      <c r="C112" s="39">
        <f t="shared" ref="C112:AP112" si="208">C110/C111</f>
        <v>0.32588235294117646</v>
      </c>
      <c r="D112" s="39">
        <f t="shared" si="208"/>
        <v>1.0741176470588236</v>
      </c>
      <c r="E112" s="39">
        <f t="shared" si="208"/>
        <v>1.2041176470588235</v>
      </c>
      <c r="F112" s="39">
        <f t="shared" si="208"/>
        <v>1.2011764705882353</v>
      </c>
      <c r="G112" s="39">
        <f t="shared" si="208"/>
        <v>0.50411764705882356</v>
      </c>
      <c r="H112" s="39">
        <f t="shared" si="208"/>
        <v>1.1829411764705882</v>
      </c>
      <c r="I112" s="39">
        <f t="shared" si="208"/>
        <v>1.0325</v>
      </c>
      <c r="J112" s="39">
        <f t="shared" si="208"/>
        <v>1.625</v>
      </c>
      <c r="K112" s="39">
        <f t="shared" si="208"/>
        <v>0.38235294117647056</v>
      </c>
      <c r="L112" s="39">
        <f t="shared" si="208"/>
        <v>1.3994117647058824</v>
      </c>
      <c r="M112" s="39">
        <f t="shared" si="208"/>
        <v>1.4676470588235293</v>
      </c>
      <c r="N112" s="39">
        <f t="shared" si="208"/>
        <v>1.243125</v>
      </c>
      <c r="O112" s="39">
        <f t="shared" si="208"/>
        <v>0.25312499999999999</v>
      </c>
      <c r="P112" s="39">
        <f t="shared" si="208"/>
        <v>1.465625</v>
      </c>
      <c r="Q112" s="39">
        <f t="shared" si="208"/>
        <v>2.0593750000000002</v>
      </c>
      <c r="R112" s="39">
        <f t="shared" si="208"/>
        <v>1.8766666666666667</v>
      </c>
      <c r="S112" s="39">
        <f t="shared" si="208"/>
        <v>0.83733333333333337</v>
      </c>
      <c r="T112" s="39">
        <f t="shared" si="208"/>
        <v>2.3086666666666669</v>
      </c>
      <c r="U112" s="39">
        <f t="shared" si="208"/>
        <v>1.6393333333333333</v>
      </c>
      <c r="V112" s="39">
        <f t="shared" si="208"/>
        <v>1.768</v>
      </c>
      <c r="W112" s="39">
        <f t="shared" si="208"/>
        <v>0.60266666666666668</v>
      </c>
      <c r="X112" s="39">
        <f t="shared" si="208"/>
        <v>1.5272318921953958</v>
      </c>
      <c r="Y112" s="39">
        <f t="shared" si="208"/>
        <v>-1.6423357664233578</v>
      </c>
      <c r="Z112" s="39">
        <f t="shared" si="208"/>
        <v>0.22964626614261652</v>
      </c>
      <c r="AA112" s="39">
        <f t="shared" si="208"/>
        <v>0.16395283548568221</v>
      </c>
      <c r="AB112" s="39">
        <f t="shared" si="208"/>
        <v>1.0724312184166198</v>
      </c>
      <c r="AC112" s="39">
        <f t="shared" si="208"/>
        <v>0.25491297024143739</v>
      </c>
      <c r="AD112" s="39">
        <f t="shared" si="208"/>
        <v>0.52667040988208869</v>
      </c>
      <c r="AE112" s="39">
        <f t="shared" si="208"/>
        <v>-0.38461538461538464</v>
      </c>
      <c r="AF112" s="39">
        <f t="shared" si="208"/>
        <v>0.34980348119034249</v>
      </c>
      <c r="AG112" s="39">
        <f t="shared" si="208"/>
        <v>0.29646266142616506</v>
      </c>
      <c r="AH112" s="39">
        <f t="shared" si="208"/>
        <v>0.85457608085345316</v>
      </c>
      <c r="AI112" s="39">
        <f t="shared" si="208"/>
        <v>-0.66816395283548569</v>
      </c>
      <c r="AJ112" s="39">
        <f t="shared" si="208"/>
        <v>0.38517686692869174</v>
      </c>
      <c r="AK112" s="39">
        <f t="shared" si="208"/>
        <v>0.10499719258843346</v>
      </c>
      <c r="AL112" s="39">
        <f t="shared" si="208"/>
        <v>0.77259966311061201</v>
      </c>
      <c r="AM112" s="39">
        <f t="shared" si="208"/>
        <v>-1.2099943851768669</v>
      </c>
      <c r="AN112" s="39">
        <f t="shared" si="208"/>
        <v>1.1156653565412689</v>
      </c>
      <c r="AO112" s="39">
        <f t="shared" si="208"/>
        <v>0.91914654688377317</v>
      </c>
      <c r="AP112" s="39">
        <f t="shared" si="208"/>
        <v>1.9247613700168444</v>
      </c>
      <c r="AQ112" s="39">
        <f t="shared" ref="AQ112:AW112" si="209">AQ110/AQ111</f>
        <v>0.4710260499734184</v>
      </c>
      <c r="AR112" s="39">
        <f t="shared" si="209"/>
        <v>1.2851041110517887</v>
      </c>
      <c r="AS112" s="39">
        <f t="shared" si="209"/>
        <v>0.66576964477933265</v>
      </c>
      <c r="AT112" s="39">
        <f t="shared" si="209"/>
        <v>1.9044792228818133</v>
      </c>
      <c r="AU112" s="39">
        <f t="shared" si="209"/>
        <v>0.40032502708559048</v>
      </c>
      <c r="AV112" s="39">
        <f t="shared" si="209"/>
        <v>2.6624931954273272</v>
      </c>
      <c r="AW112" s="39">
        <f t="shared" si="209"/>
        <v>1.0328048113723347</v>
      </c>
      <c r="AX112" s="39">
        <f>AX110/AX111</f>
        <v>1.4047226798462382</v>
      </c>
      <c r="AY112" s="39">
        <f>AY110/AY111</f>
        <v>-1.2862789384528515</v>
      </c>
      <c r="BG112" s="39">
        <f t="shared" ref="BG112:BQ112" si="210">BG110/BG111</f>
        <v>3.8052941176470587</v>
      </c>
      <c r="BH112" s="39">
        <f t="shared" si="210"/>
        <v>4.3151515151515154</v>
      </c>
      <c r="BI112" s="39">
        <f t="shared" si="210"/>
        <v>4.4853731343283583</v>
      </c>
      <c r="BJ112" s="39">
        <f t="shared" si="210"/>
        <v>5.6253968253968258</v>
      </c>
      <c r="BK112" s="39">
        <f t="shared" si="210"/>
        <v>6.5533333333333337</v>
      </c>
      <c r="BL112" s="39">
        <f t="shared" si="210"/>
        <v>0.64766915095718247</v>
      </c>
      <c r="BM112" s="39">
        <f t="shared" si="210"/>
        <v>2.0179674340258282</v>
      </c>
      <c r="BN112" s="39">
        <f t="shared" si="210"/>
        <v>1.1162268388545762</v>
      </c>
      <c r="BO112" s="39">
        <f t="shared" si="210"/>
        <v>0.59460976979225155</v>
      </c>
      <c r="BP112" s="39">
        <f t="shared" si="210"/>
        <v>2.7495788882650198</v>
      </c>
      <c r="BQ112" s="39">
        <f t="shared" si="210"/>
        <v>4.3182853315472203</v>
      </c>
      <c r="BR112" s="39">
        <f>BR110/BR111</f>
        <v>5.496795308877676</v>
      </c>
    </row>
  </sheetData>
  <mergeCells count="1">
    <mergeCell ref="CK84:CL84"/>
  </mergeCells>
  <conditionalFormatting sqref="CK8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Sell",CK84)))</formula>
    </cfRule>
    <cfRule type="containsText" dxfId="3" priority="3" operator="containsText" text="Sell">
      <formula>NOT(ISERROR(SEARCH("Sell",CK84)))</formula>
    </cfRule>
    <cfRule type="containsText" dxfId="2" priority="4" operator="containsText" text="Hold">
      <formula>NOT(ISERROR(SEARCH("Hold",CK84)))</formula>
    </cfRule>
    <cfRule type="beginsWith" dxfId="1" priority="5" operator="beginsWith" text="Buy">
      <formula>LEFT(CK84,LEN("Buy"))="Buy"</formula>
    </cfRule>
    <cfRule type="beginsWith" dxfId="0" priority="6" operator="beginsWith" text="Strong">
      <formula>LEFT(CK84,LEN("Strong"))="Strong"</formula>
    </cfRule>
  </conditionalFormatting>
  <pageMargins left="0.7" right="0.7" top="0.75" bottom="0.75" header="0.3" footer="0.3"/>
  <ignoredErrors>
    <ignoredError sqref="AA63:AY63 BR9:BR11 BG112:BR112 BO98:BR105 BR12 AQ36:AX36 AU9:AX11 AU12:AW12 AA65:AX70 AI98:AX99 AQ13:AX13 AX16 AX14:AX15 AQ14:AW16 C63:Z63 AZ32:BF40 AZ9:BF11 AZ12:BF12 AZ13:BF13 AZ14:BF15 AY9:AY17 AZ17:BF17 AQ17:AX17 AQ27:AY30 AY36:AY40 AU23:AY26 AU37:AX40" evalError="1"/>
    <ignoredError sqref="BM63:BR63 AI100:AX105" evalError="1" formulaRange="1"/>
    <ignoredError sqref="BG63:BL63 C55:AY55 BG108:BR111 BG46:BR57 AH100:AH105 AY100:AY105 BG58:BR61" formulaRange="1"/>
    <ignoredError sqref="BM62:BR62 BG62:BL62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57"/>
  <sheetViews>
    <sheetView topLeftCell="P105" zoomScale="70" zoomScaleNormal="70" workbookViewId="0">
      <selection activeCell="AL92" sqref="AL92"/>
    </sheetView>
  </sheetViews>
  <sheetFormatPr defaultColWidth="9.140625" defaultRowHeight="14.25"/>
  <cols>
    <col min="1" max="7" width="0" style="1" hidden="1" customWidth="1"/>
    <col min="8" max="8" width="3.140625" style="1" hidden="1" customWidth="1"/>
    <col min="9" max="15" width="0" style="1" hidden="1" customWidth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96</v>
      </c>
      <c r="AL2" s="2" t="s">
        <v>140</v>
      </c>
    </row>
    <row r="35" spans="16:38" ht="15">
      <c r="AL35" s="2" t="s">
        <v>141</v>
      </c>
    </row>
    <row r="36" spans="16:38" ht="15">
      <c r="P36" s="2" t="s">
        <v>1001</v>
      </c>
      <c r="AL36" s="2" t="s">
        <v>74</v>
      </c>
    </row>
    <row r="37" spans="16:38">
      <c r="AL37" s="1" t="s">
        <v>75</v>
      </c>
    </row>
    <row r="65" spans="16:38">
      <c r="Q65" s="1" t="s">
        <v>14</v>
      </c>
      <c r="R65" s="1" t="s">
        <v>15</v>
      </c>
    </row>
    <row r="66" spans="16:38">
      <c r="R66" s="1" t="s">
        <v>16</v>
      </c>
    </row>
    <row r="67" spans="16:38">
      <c r="R67" s="1" t="s">
        <v>17</v>
      </c>
    </row>
    <row r="69" spans="16:38" ht="15">
      <c r="P69" s="2" t="s">
        <v>1002</v>
      </c>
      <c r="AL69" s="2" t="s">
        <v>76</v>
      </c>
    </row>
    <row r="70" spans="16:38">
      <c r="AL70" s="1" t="s">
        <v>117</v>
      </c>
    </row>
    <row r="101" spans="16:38">
      <c r="Q101" s="1" t="s">
        <v>14</v>
      </c>
      <c r="R101" s="1" t="s">
        <v>15</v>
      </c>
    </row>
    <row r="102" spans="16:38">
      <c r="R102" s="1" t="s">
        <v>16</v>
      </c>
    </row>
    <row r="103" spans="16:38">
      <c r="R103" s="1" t="s">
        <v>17</v>
      </c>
    </row>
    <row r="105" spans="16:38" ht="15">
      <c r="P105" s="2" t="s">
        <v>99</v>
      </c>
      <c r="AL105" s="2" t="s">
        <v>77</v>
      </c>
    </row>
    <row r="106" spans="16:38">
      <c r="AL106" s="1" t="s">
        <v>78</v>
      </c>
    </row>
    <row r="134" spans="16:38">
      <c r="Q134" s="1" t="s">
        <v>14</v>
      </c>
      <c r="R134" s="1" t="s">
        <v>15</v>
      </c>
    </row>
    <row r="135" spans="16:38">
      <c r="R135" s="1" t="s">
        <v>16</v>
      </c>
    </row>
    <row r="136" spans="16:38">
      <c r="R136" s="1" t="s">
        <v>17</v>
      </c>
    </row>
    <row r="138" spans="16:38" ht="15">
      <c r="P138" s="2" t="s">
        <v>98</v>
      </c>
      <c r="AL138" s="2" t="s">
        <v>79</v>
      </c>
    </row>
    <row r="139" spans="16:38">
      <c r="AL139" s="1" t="s">
        <v>80</v>
      </c>
    </row>
    <row r="154" ht="15" customHeight="1"/>
    <row r="167" spans="17:18">
      <c r="Q167" s="1" t="s">
        <v>14</v>
      </c>
      <c r="R167" s="1" t="s">
        <v>15</v>
      </c>
    </row>
    <row r="168" spans="17:18">
      <c r="R168" s="1" t="s">
        <v>16</v>
      </c>
    </row>
    <row r="169" spans="17:18">
      <c r="R169" s="1" t="s">
        <v>17</v>
      </c>
    </row>
    <row r="184" spans="1:15">
      <c r="A184" s="1" t="s">
        <v>118</v>
      </c>
      <c r="I184" s="1" t="s">
        <v>906</v>
      </c>
    </row>
    <row r="185" spans="1:15">
      <c r="A185" s="1" t="s">
        <v>905</v>
      </c>
      <c r="I185" s="1" t="s">
        <v>905</v>
      </c>
    </row>
    <row r="186" spans="1:15">
      <c r="A186" s="24" t="s">
        <v>18</v>
      </c>
      <c r="B186" s="24" t="s">
        <v>19</v>
      </c>
      <c r="C186" s="24" t="s">
        <v>20</v>
      </c>
      <c r="D186" s="24" t="s">
        <v>21</v>
      </c>
      <c r="E186" s="24" t="s">
        <v>22</v>
      </c>
      <c r="F186" s="24" t="s">
        <v>23</v>
      </c>
      <c r="G186" s="24" t="s">
        <v>24</v>
      </c>
      <c r="I186" s="24" t="s">
        <v>18</v>
      </c>
      <c r="J186" s="24" t="s">
        <v>19</v>
      </c>
      <c r="K186" s="24" t="s">
        <v>20</v>
      </c>
      <c r="L186" s="24" t="s">
        <v>21</v>
      </c>
      <c r="M186" s="24" t="s">
        <v>22</v>
      </c>
      <c r="N186" s="24" t="s">
        <v>23</v>
      </c>
      <c r="O186" s="24" t="s">
        <v>24</v>
      </c>
    </row>
    <row r="187" spans="1:15">
      <c r="A187" s="81">
        <v>635.24</v>
      </c>
      <c r="B187" s="81">
        <v>636.72</v>
      </c>
      <c r="C187" s="81">
        <v>626.20000000000005</v>
      </c>
      <c r="D187" s="81">
        <v>626.72</v>
      </c>
      <c r="E187" s="81">
        <v>12959420</v>
      </c>
      <c r="F187" s="81" t="s">
        <v>151</v>
      </c>
      <c r="G187" s="25">
        <f t="shared" ref="G187:G250" si="0">A187/D187-1</f>
        <v>1.3594587694664151E-2</v>
      </c>
      <c r="I187" s="81">
        <v>108.7</v>
      </c>
      <c r="J187" s="81">
        <v>108.9551</v>
      </c>
      <c r="K187" s="81">
        <v>105.37</v>
      </c>
      <c r="L187" s="81">
        <v>106.13</v>
      </c>
      <c r="M187" s="81">
        <v>11923379</v>
      </c>
      <c r="N187" s="81" t="s">
        <v>151</v>
      </c>
      <c r="O187" s="25">
        <f t="shared" ref="O187:O250" si="1">I187/L187-1</f>
        <v>2.4215584660322254E-2</v>
      </c>
    </row>
    <row r="188" spans="1:15">
      <c r="A188" s="81">
        <v>623.1</v>
      </c>
      <c r="B188" s="81">
        <v>628.75</v>
      </c>
      <c r="C188" s="81">
        <v>621.5</v>
      </c>
      <c r="D188" s="81">
        <v>626.24</v>
      </c>
      <c r="E188" s="81">
        <v>11506981</v>
      </c>
      <c r="F188" s="81" t="s">
        <v>152</v>
      </c>
      <c r="G188" s="25">
        <f t="shared" si="0"/>
        <v>-5.0140521205926936E-3</v>
      </c>
      <c r="I188" s="81">
        <v>104.97</v>
      </c>
      <c r="J188" s="81">
        <v>108.33</v>
      </c>
      <c r="K188" s="81">
        <v>104.81</v>
      </c>
      <c r="L188" s="81">
        <v>107.05</v>
      </c>
      <c r="M188" s="81">
        <v>11663806</v>
      </c>
      <c r="N188" s="81" t="s">
        <v>152</v>
      </c>
      <c r="O188" s="25">
        <f t="shared" si="1"/>
        <v>-1.9430172816440883E-2</v>
      </c>
    </row>
    <row r="189" spans="1:15">
      <c r="A189" s="81">
        <v>630.91</v>
      </c>
      <c r="B189" s="81">
        <v>635.91999999999996</v>
      </c>
      <c r="C189" s="81">
        <v>627</v>
      </c>
      <c r="D189" s="81">
        <v>634.92999999999995</v>
      </c>
      <c r="E189" s="81">
        <v>11228241</v>
      </c>
      <c r="F189" s="81" t="s">
        <v>153</v>
      </c>
      <c r="G189" s="25">
        <f t="shared" si="0"/>
        <v>-6.3314066117524659E-3</v>
      </c>
      <c r="I189" s="81">
        <v>107.05</v>
      </c>
      <c r="J189" s="81">
        <v>108.6</v>
      </c>
      <c r="K189" s="81">
        <v>103.63</v>
      </c>
      <c r="L189" s="81">
        <v>104.2</v>
      </c>
      <c r="M189" s="81">
        <v>19051573</v>
      </c>
      <c r="N189" s="81" t="s">
        <v>153</v>
      </c>
      <c r="O189" s="25">
        <f t="shared" si="1"/>
        <v>2.7351247600767792E-2</v>
      </c>
    </row>
    <row r="190" spans="1:15">
      <c r="A190" s="81">
        <v>634.15</v>
      </c>
      <c r="B190" s="81">
        <v>641</v>
      </c>
      <c r="C190" s="81">
        <v>629.10500000000002</v>
      </c>
      <c r="D190" s="81">
        <v>640.33000000000004</v>
      </c>
      <c r="E190" s="81">
        <v>9644195</v>
      </c>
      <c r="F190" s="81" t="s">
        <v>154</v>
      </c>
      <c r="G190" s="25">
        <f t="shared" si="0"/>
        <v>-9.6512735620696288E-3</v>
      </c>
      <c r="I190" s="81">
        <v>104.22</v>
      </c>
      <c r="J190" s="81">
        <v>104.99</v>
      </c>
      <c r="K190" s="81">
        <v>102.34</v>
      </c>
      <c r="L190" s="81">
        <v>104.78</v>
      </c>
      <c r="M190" s="81">
        <v>24538397</v>
      </c>
      <c r="N190" s="81" t="s">
        <v>154</v>
      </c>
      <c r="O190" s="25">
        <f t="shared" si="1"/>
        <v>-5.3445313991219434E-3</v>
      </c>
    </row>
    <row r="191" spans="1:15">
      <c r="A191" s="81">
        <v>639.67999999999995</v>
      </c>
      <c r="B191" s="81">
        <v>640.96</v>
      </c>
      <c r="C191" s="81">
        <v>634.07000000000005</v>
      </c>
      <c r="D191" s="81">
        <v>634.17999999999995</v>
      </c>
      <c r="E191" s="81">
        <v>9124531</v>
      </c>
      <c r="F191" s="81" t="s">
        <v>155</v>
      </c>
      <c r="G191" s="25">
        <f t="shared" si="0"/>
        <v>8.6726166072723654E-3</v>
      </c>
      <c r="I191" s="81">
        <v>104.45</v>
      </c>
      <c r="J191" s="81">
        <v>108.61</v>
      </c>
      <c r="K191" s="81">
        <v>103.75</v>
      </c>
      <c r="L191" s="81">
        <v>104.01</v>
      </c>
      <c r="M191" s="81">
        <v>37475239</v>
      </c>
      <c r="N191" s="81" t="s">
        <v>155</v>
      </c>
      <c r="O191" s="25">
        <f t="shared" si="1"/>
        <v>4.2303624651476301E-3</v>
      </c>
    </row>
    <row r="192" spans="1:15">
      <c r="A192" s="81">
        <v>636.22</v>
      </c>
      <c r="B192" s="81">
        <v>638.45000000000005</v>
      </c>
      <c r="C192" s="81">
        <v>631.95000000000005</v>
      </c>
      <c r="D192" s="81">
        <v>636.25</v>
      </c>
      <c r="E192" s="81">
        <v>6519552</v>
      </c>
      <c r="F192" s="81" t="s">
        <v>156</v>
      </c>
      <c r="G192" s="25">
        <f t="shared" si="0"/>
        <v>-4.71512770137128E-5</v>
      </c>
      <c r="I192" s="81">
        <v>112.8</v>
      </c>
      <c r="J192" s="81">
        <v>112.94499999999999</v>
      </c>
      <c r="K192" s="81">
        <v>110.99</v>
      </c>
      <c r="L192" s="81">
        <v>111.36</v>
      </c>
      <c r="M192" s="81">
        <v>17790464</v>
      </c>
      <c r="N192" s="81" t="s">
        <v>156</v>
      </c>
      <c r="O192" s="25">
        <f t="shared" si="1"/>
        <v>1.2931034482758674E-2</v>
      </c>
    </row>
    <row r="193" spans="1:21">
      <c r="A193" s="81">
        <v>638.27</v>
      </c>
      <c r="B193" s="81">
        <v>641.04</v>
      </c>
      <c r="C193" s="81">
        <v>629.82000000000005</v>
      </c>
      <c r="D193" s="81">
        <v>640.42999999999995</v>
      </c>
      <c r="E193" s="81">
        <v>8485857</v>
      </c>
      <c r="F193" s="81" t="s">
        <v>157</v>
      </c>
      <c r="G193" s="25">
        <f t="shared" si="0"/>
        <v>-3.37273394438109E-3</v>
      </c>
      <c r="I193" s="81">
        <v>111.58</v>
      </c>
      <c r="J193" s="81">
        <v>111.67</v>
      </c>
      <c r="K193" s="81">
        <v>108.76</v>
      </c>
      <c r="L193" s="81">
        <v>109.63</v>
      </c>
      <c r="M193" s="81">
        <v>10775531</v>
      </c>
      <c r="N193" s="81" t="s">
        <v>157</v>
      </c>
      <c r="O193" s="25">
        <f t="shared" si="1"/>
        <v>1.778710207060108E-2</v>
      </c>
    </row>
    <row r="194" spans="1:21">
      <c r="A194" s="81">
        <v>639.6</v>
      </c>
      <c r="B194" s="81">
        <v>641.80999999999995</v>
      </c>
      <c r="C194" s="81">
        <v>638.22</v>
      </c>
      <c r="D194" s="81">
        <v>641.04999999999995</v>
      </c>
      <c r="E194" s="81">
        <v>5488373</v>
      </c>
      <c r="F194" s="81" t="s">
        <v>158</v>
      </c>
      <c r="G194" s="25">
        <f t="shared" si="0"/>
        <v>-2.2619140472660559E-3</v>
      </c>
      <c r="I194" s="81">
        <v>109.56</v>
      </c>
      <c r="J194" s="81">
        <v>111.4299</v>
      </c>
      <c r="K194" s="81">
        <v>109</v>
      </c>
      <c r="L194" s="81">
        <v>110.28</v>
      </c>
      <c r="M194" s="81">
        <v>8980383</v>
      </c>
      <c r="N194" s="81" t="s">
        <v>158</v>
      </c>
      <c r="O194" s="25">
        <f t="shared" si="1"/>
        <v>-6.5288356909684042E-3</v>
      </c>
    </row>
    <row r="195" spans="1:21">
      <c r="A195" s="81">
        <v>639.70000000000005</v>
      </c>
      <c r="B195" s="81">
        <v>640.59590000000003</v>
      </c>
      <c r="C195" s="81">
        <v>637.87</v>
      </c>
      <c r="D195" s="81">
        <v>638.41999999999996</v>
      </c>
      <c r="E195" s="81">
        <v>4308306</v>
      </c>
      <c r="F195" s="81" t="s">
        <v>159</v>
      </c>
      <c r="G195" s="25">
        <f t="shared" si="0"/>
        <v>2.0049497196203969E-3</v>
      </c>
      <c r="I195" s="81">
        <v>110.61</v>
      </c>
      <c r="J195" s="81">
        <v>111.8</v>
      </c>
      <c r="K195" s="81">
        <v>110.03</v>
      </c>
      <c r="L195" s="81">
        <v>111.5</v>
      </c>
      <c r="M195" s="81">
        <v>8889788</v>
      </c>
      <c r="N195" s="81" t="s">
        <v>159</v>
      </c>
      <c r="O195" s="25">
        <f t="shared" si="1"/>
        <v>-7.982062780269028E-3</v>
      </c>
    </row>
    <row r="196" spans="1:21">
      <c r="A196" s="81">
        <v>637.09</v>
      </c>
      <c r="B196" s="81">
        <v>638.39</v>
      </c>
      <c r="C196" s="81">
        <v>634.52</v>
      </c>
      <c r="D196" s="81">
        <v>635.03</v>
      </c>
      <c r="E196" s="81">
        <v>8976388</v>
      </c>
      <c r="F196" s="81" t="s">
        <v>160</v>
      </c>
      <c r="G196" s="25">
        <f t="shared" si="0"/>
        <v>3.2439412311229265E-3</v>
      </c>
      <c r="I196" s="81">
        <v>111.31</v>
      </c>
      <c r="J196" s="81">
        <v>112.41</v>
      </c>
      <c r="K196" s="81">
        <v>111.13</v>
      </c>
      <c r="L196" s="81">
        <v>111.68</v>
      </c>
      <c r="M196" s="81">
        <v>8654452</v>
      </c>
      <c r="N196" s="81" t="s">
        <v>160</v>
      </c>
      <c r="O196" s="25">
        <f t="shared" si="1"/>
        <v>-3.3130372492836679E-3</v>
      </c>
    </row>
    <row r="197" spans="1:21">
      <c r="A197" s="81">
        <v>633.83000000000004</v>
      </c>
      <c r="B197" s="81">
        <v>635.47050000000002</v>
      </c>
      <c r="C197" s="81">
        <v>631.97</v>
      </c>
      <c r="D197" s="81">
        <v>632.88</v>
      </c>
      <c r="E197" s="81">
        <v>5827254</v>
      </c>
      <c r="F197" s="81" t="s">
        <v>161</v>
      </c>
      <c r="G197" s="25">
        <f t="shared" si="0"/>
        <v>1.5010744532930609E-3</v>
      </c>
      <c r="I197" s="81">
        <v>110.98</v>
      </c>
      <c r="J197" s="81">
        <v>112.94759999999999</v>
      </c>
      <c r="K197" s="81">
        <v>110.55</v>
      </c>
      <c r="L197" s="81">
        <v>112.685</v>
      </c>
      <c r="M197" s="81">
        <v>10634570</v>
      </c>
      <c r="N197" s="81" t="s">
        <v>161</v>
      </c>
      <c r="O197" s="25">
        <f t="shared" si="1"/>
        <v>-1.5130674002751032E-2</v>
      </c>
    </row>
    <row r="198" spans="1:21">
      <c r="A198" s="81">
        <v>633.57000000000005</v>
      </c>
      <c r="B198" s="81">
        <v>635.62</v>
      </c>
      <c r="C198" s="81">
        <v>631.75</v>
      </c>
      <c r="D198" s="81">
        <v>634.42999999999995</v>
      </c>
      <c r="E198" s="81">
        <v>6057784</v>
      </c>
      <c r="F198" s="81" t="s">
        <v>162</v>
      </c>
      <c r="G198" s="25">
        <f t="shared" si="0"/>
        <v>-1.3555474993299788E-3</v>
      </c>
      <c r="I198" s="81">
        <v>113.21</v>
      </c>
      <c r="J198" s="81">
        <v>114.29</v>
      </c>
      <c r="K198" s="81">
        <v>112.17</v>
      </c>
      <c r="L198" s="81">
        <v>113.16500000000001</v>
      </c>
      <c r="M198" s="81">
        <v>12224987</v>
      </c>
      <c r="N198" s="81" t="s">
        <v>162</v>
      </c>
      <c r="O198" s="25">
        <f t="shared" si="1"/>
        <v>3.9764944991804718E-4</v>
      </c>
    </row>
    <row r="199" spans="1:21">
      <c r="A199" s="81">
        <v>630.29</v>
      </c>
      <c r="B199" s="81">
        <v>633.4</v>
      </c>
      <c r="C199" s="81">
        <v>623.65</v>
      </c>
      <c r="D199" s="81">
        <v>625.02</v>
      </c>
      <c r="E199" s="81">
        <v>10354978</v>
      </c>
      <c r="F199" s="81" t="s">
        <v>163</v>
      </c>
      <c r="G199" s="25">
        <f t="shared" si="0"/>
        <v>8.4317301846341675E-3</v>
      </c>
      <c r="I199" s="81">
        <v>113.19</v>
      </c>
      <c r="J199" s="81">
        <v>113.25</v>
      </c>
      <c r="K199" s="81">
        <v>110.5</v>
      </c>
      <c r="L199" s="81">
        <v>110.57</v>
      </c>
      <c r="M199" s="81">
        <v>10001042</v>
      </c>
      <c r="N199" s="81" t="s">
        <v>163</v>
      </c>
      <c r="O199" s="25">
        <f t="shared" si="1"/>
        <v>2.3695396581351114E-2</v>
      </c>
      <c r="Q199" s="1" t="s">
        <v>14</v>
      </c>
      <c r="R199" s="1" t="s">
        <v>15</v>
      </c>
    </row>
    <row r="200" spans="1:21">
      <c r="A200" s="81">
        <v>623.15</v>
      </c>
      <c r="B200" s="81">
        <v>629.75990000000002</v>
      </c>
      <c r="C200" s="81">
        <v>622.22</v>
      </c>
      <c r="D200" s="81">
        <v>626.76</v>
      </c>
      <c r="E200" s="81">
        <v>14877629</v>
      </c>
      <c r="F200" s="81" t="s">
        <v>164</v>
      </c>
      <c r="G200" s="25">
        <f t="shared" si="0"/>
        <v>-5.7597804582296686E-3</v>
      </c>
      <c r="I200" s="81">
        <v>110.34</v>
      </c>
      <c r="J200" s="81">
        <v>111.09</v>
      </c>
      <c r="K200" s="81">
        <v>108.8</v>
      </c>
      <c r="L200" s="81">
        <v>109.66</v>
      </c>
      <c r="M200" s="81">
        <v>9818195</v>
      </c>
      <c r="N200" s="81" t="s">
        <v>164</v>
      </c>
      <c r="O200" s="25">
        <f t="shared" si="1"/>
        <v>6.200984862301695E-3</v>
      </c>
      <c r="R200" s="1" t="s">
        <v>16</v>
      </c>
    </row>
    <row r="201" spans="1:21">
      <c r="A201" s="81">
        <v>636.09</v>
      </c>
      <c r="B201" s="81">
        <v>638.50990000000002</v>
      </c>
      <c r="C201" s="81">
        <v>634.67999999999995</v>
      </c>
      <c r="D201" s="81">
        <v>637.96</v>
      </c>
      <c r="E201" s="81">
        <v>6694041</v>
      </c>
      <c r="F201" s="81" t="s">
        <v>165</v>
      </c>
      <c r="G201" s="25">
        <f t="shared" si="0"/>
        <v>-2.9312182581979762E-3</v>
      </c>
      <c r="I201" s="81">
        <v>111.2</v>
      </c>
      <c r="J201" s="81">
        <v>113.85</v>
      </c>
      <c r="K201" s="81">
        <v>111.12</v>
      </c>
      <c r="L201" s="81">
        <v>113.2</v>
      </c>
      <c r="M201" s="81">
        <v>11934883</v>
      </c>
      <c r="N201" s="81" t="s">
        <v>165</v>
      </c>
      <c r="O201" s="25">
        <f t="shared" si="1"/>
        <v>-1.7667844522968212E-2</v>
      </c>
      <c r="R201" s="1" t="s">
        <v>17</v>
      </c>
    </row>
    <row r="202" spans="1:21">
      <c r="A202" s="81">
        <v>636.62</v>
      </c>
      <c r="B202" s="81">
        <v>639.58000000000004</v>
      </c>
      <c r="C202" s="81">
        <v>635.70000000000005</v>
      </c>
      <c r="D202" s="81">
        <v>638.77</v>
      </c>
      <c r="E202" s="81">
        <v>6751601</v>
      </c>
      <c r="F202" s="81" t="s">
        <v>166</v>
      </c>
      <c r="G202" s="25">
        <f t="shared" si="0"/>
        <v>-3.3658437309203038E-3</v>
      </c>
      <c r="I202" s="81">
        <v>113.41</v>
      </c>
      <c r="J202" s="81">
        <v>114.11</v>
      </c>
      <c r="K202" s="81">
        <v>112.17</v>
      </c>
      <c r="L202" s="81">
        <v>113.71</v>
      </c>
      <c r="M202" s="81">
        <v>7882250</v>
      </c>
      <c r="N202" s="81" t="s">
        <v>166</v>
      </c>
      <c r="O202" s="25">
        <f t="shared" si="1"/>
        <v>-2.6382903878287012E-3</v>
      </c>
    </row>
    <row r="203" spans="1:21">
      <c r="A203" s="81">
        <v>634.94000000000005</v>
      </c>
      <c r="B203" s="81">
        <v>636.11900000000003</v>
      </c>
      <c r="C203" s="81">
        <v>631</v>
      </c>
      <c r="D203" s="81">
        <v>635.49</v>
      </c>
      <c r="E203" s="81">
        <v>8576256</v>
      </c>
      <c r="F203" s="81" t="s">
        <v>167</v>
      </c>
      <c r="G203" s="25">
        <f t="shared" si="0"/>
        <v>-8.6547388629243382E-4</v>
      </c>
      <c r="I203" s="81">
        <v>113.53</v>
      </c>
      <c r="J203" s="81">
        <v>113.59</v>
      </c>
      <c r="K203" s="81">
        <v>112.26</v>
      </c>
      <c r="L203" s="81">
        <v>112.81</v>
      </c>
      <c r="M203" s="81">
        <v>8763228</v>
      </c>
      <c r="N203" s="81" t="s">
        <v>167</v>
      </c>
      <c r="O203" s="25">
        <f t="shared" si="1"/>
        <v>6.3824129066571977E-3</v>
      </c>
      <c r="Q203" s="26"/>
      <c r="R203" s="26" t="s">
        <v>25</v>
      </c>
      <c r="S203" s="27">
        <f>MIN(O187:O940)</f>
        <v>-6.5062690613351459E-2</v>
      </c>
    </row>
    <row r="204" spans="1:21">
      <c r="A204" s="81">
        <v>638.03</v>
      </c>
      <c r="B204" s="81">
        <v>640.15070000000003</v>
      </c>
      <c r="C204" s="81">
        <v>635.81500000000005</v>
      </c>
      <c r="D204" s="81">
        <v>639.67999999999995</v>
      </c>
      <c r="E204" s="81">
        <v>8837128</v>
      </c>
      <c r="F204" s="81" t="s">
        <v>168</v>
      </c>
      <c r="G204" s="25">
        <f t="shared" si="0"/>
        <v>-2.5794147073536777E-3</v>
      </c>
      <c r="I204" s="81">
        <v>112.98</v>
      </c>
      <c r="J204" s="81">
        <v>113.22</v>
      </c>
      <c r="K204" s="81">
        <v>111.61</v>
      </c>
      <c r="L204" s="81">
        <v>112.84</v>
      </c>
      <c r="M204" s="81">
        <v>8843726</v>
      </c>
      <c r="N204" s="81" t="s">
        <v>168</v>
      </c>
      <c r="O204" s="25">
        <f t="shared" si="1"/>
        <v>1.2406947890819531E-3</v>
      </c>
      <c r="Q204" s="26"/>
      <c r="R204" s="26" t="s">
        <v>26</v>
      </c>
      <c r="S204" s="27">
        <f>MAX(O187:O940)</f>
        <v>0.12486160659367695</v>
      </c>
    </row>
    <row r="205" spans="1:21">
      <c r="A205" s="81">
        <v>639.34</v>
      </c>
      <c r="B205" s="81">
        <v>640.16</v>
      </c>
      <c r="C205" s="81">
        <v>635.16</v>
      </c>
      <c r="D205" s="81">
        <v>635.19000000000005</v>
      </c>
      <c r="E205" s="81">
        <v>7889884</v>
      </c>
      <c r="F205" s="81" t="s">
        <v>169</v>
      </c>
      <c r="G205" s="25">
        <f t="shared" si="0"/>
        <v>6.5334781718855428E-3</v>
      </c>
      <c r="I205" s="81">
        <v>112.82</v>
      </c>
      <c r="J205" s="81">
        <v>114.94</v>
      </c>
      <c r="K205" s="81">
        <v>112.55</v>
      </c>
      <c r="L205" s="81">
        <v>114.63</v>
      </c>
      <c r="M205" s="81">
        <v>10579199</v>
      </c>
      <c r="N205" s="81" t="s">
        <v>169</v>
      </c>
      <c r="O205" s="25">
        <f t="shared" si="1"/>
        <v>-1.5789932827357633E-2</v>
      </c>
      <c r="Q205" s="26"/>
      <c r="R205" s="26" t="s">
        <v>27</v>
      </c>
      <c r="S205" s="27">
        <f>AVERAGE(O187:O940)</f>
        <v>6.6404874646711011E-4</v>
      </c>
    </row>
    <row r="206" spans="1:21">
      <c r="A206" s="81">
        <v>638.30999999999995</v>
      </c>
      <c r="B206" s="81">
        <v>639.44000000000005</v>
      </c>
      <c r="C206" s="81">
        <v>633.79999999999995</v>
      </c>
      <c r="D206" s="81">
        <v>635.15</v>
      </c>
      <c r="E206" s="81">
        <v>7843716</v>
      </c>
      <c r="F206" s="81" t="s">
        <v>170</v>
      </c>
      <c r="G206" s="25">
        <f t="shared" si="0"/>
        <v>4.9752027080216532E-3</v>
      </c>
      <c r="I206" s="81">
        <v>115.88</v>
      </c>
      <c r="J206" s="81">
        <v>115.98</v>
      </c>
      <c r="K206" s="81">
        <v>113.9</v>
      </c>
      <c r="L206" s="81">
        <v>114.31</v>
      </c>
      <c r="M206" s="81">
        <v>8913617</v>
      </c>
      <c r="N206" s="81" t="s">
        <v>170</v>
      </c>
      <c r="O206" s="25">
        <f t="shared" si="1"/>
        <v>1.3734581401452228E-2</v>
      </c>
      <c r="Q206" s="26"/>
      <c r="R206" s="26" t="s">
        <v>28</v>
      </c>
      <c r="S206" s="27">
        <f>MEDIAN(O187:O940)</f>
        <v>9.3110425868447866E-4</v>
      </c>
    </row>
    <row r="207" spans="1:21" ht="15">
      <c r="A207" s="81">
        <v>634.05999999999995</v>
      </c>
      <c r="B207" s="81">
        <v>635.1001</v>
      </c>
      <c r="C207" s="81">
        <v>632.23620000000005</v>
      </c>
      <c r="D207" s="81">
        <v>633.48</v>
      </c>
      <c r="E207" s="81">
        <v>8962799</v>
      </c>
      <c r="F207" s="81" t="s">
        <v>171</v>
      </c>
      <c r="G207" s="25">
        <f t="shared" si="0"/>
        <v>9.155774452231924E-4</v>
      </c>
      <c r="I207" s="81">
        <v>114.17</v>
      </c>
      <c r="J207" s="81">
        <v>114.99</v>
      </c>
      <c r="K207" s="81">
        <v>112.545</v>
      </c>
      <c r="L207" s="81">
        <v>112.545</v>
      </c>
      <c r="M207" s="81">
        <v>9647104</v>
      </c>
      <c r="N207" s="81" t="s">
        <v>171</v>
      </c>
      <c r="O207" s="25">
        <f t="shared" si="1"/>
        <v>1.4438668976853641E-2</v>
      </c>
      <c r="Q207" s="26"/>
      <c r="R207" s="26" t="s">
        <v>29</v>
      </c>
      <c r="S207" s="27">
        <f>_xlfn.STDEV.P(O187:O940)</f>
        <v>1.3251484915114804E-2</v>
      </c>
      <c r="U207" s="2"/>
    </row>
    <row r="208" spans="1:21" ht="15">
      <c r="A208" s="81">
        <v>634.16999999999996</v>
      </c>
      <c r="B208" s="81">
        <v>638.22</v>
      </c>
      <c r="C208" s="81">
        <v>633.92999999999995</v>
      </c>
      <c r="D208" s="81">
        <v>636.58000000000004</v>
      </c>
      <c r="E208" s="81">
        <v>8796759</v>
      </c>
      <c r="F208" s="81" t="s">
        <v>172</v>
      </c>
      <c r="G208" s="25">
        <f t="shared" si="0"/>
        <v>-3.7858556662164755E-3</v>
      </c>
      <c r="I208" s="81">
        <v>112.91</v>
      </c>
      <c r="J208" s="81">
        <v>114.97</v>
      </c>
      <c r="K208" s="81">
        <v>112.51</v>
      </c>
      <c r="L208" s="81">
        <v>114.46</v>
      </c>
      <c r="M208" s="81">
        <v>8289758</v>
      </c>
      <c r="N208" s="81" t="s">
        <v>172</v>
      </c>
      <c r="O208" s="25">
        <f t="shared" si="1"/>
        <v>-1.3541848680761803E-2</v>
      </c>
      <c r="Q208" s="26"/>
      <c r="R208" s="28" t="s">
        <v>30</v>
      </c>
      <c r="S208" s="27">
        <f>3*S207</f>
        <v>3.9754454745344413E-2</v>
      </c>
      <c r="T208" s="26"/>
      <c r="U208" s="2" t="s">
        <v>90</v>
      </c>
    </row>
    <row r="209" spans="1:25" ht="15">
      <c r="A209" s="81">
        <v>636.21</v>
      </c>
      <c r="B209" s="81">
        <v>636.67999999999995</v>
      </c>
      <c r="C209" s="81">
        <v>632.53</v>
      </c>
      <c r="D209" s="81">
        <v>632.64</v>
      </c>
      <c r="E209" s="81">
        <v>8630900</v>
      </c>
      <c r="F209" s="81" t="s">
        <v>173</v>
      </c>
      <c r="G209" s="25">
        <f t="shared" si="0"/>
        <v>5.6430197268588778E-3</v>
      </c>
      <c r="I209" s="81">
        <v>114.57</v>
      </c>
      <c r="J209" s="81">
        <v>114.7599</v>
      </c>
      <c r="K209" s="81">
        <v>113.107</v>
      </c>
      <c r="L209" s="81">
        <v>113.785</v>
      </c>
      <c r="M209" s="81">
        <v>7374101</v>
      </c>
      <c r="N209" s="81" t="s">
        <v>173</v>
      </c>
      <c r="O209" s="25">
        <f t="shared" si="1"/>
        <v>6.898976139209978E-3</v>
      </c>
      <c r="Q209" s="26"/>
      <c r="R209" s="28" t="s">
        <v>31</v>
      </c>
      <c r="S209" s="55">
        <f>_xlfn.COVARIANCE.P(O187:O435,G187:G435)/_xlfn.VAR.P(G187:G435)</f>
        <v>1.0270207329285086</v>
      </c>
      <c r="T209" s="26"/>
      <c r="U209" s="2" t="s">
        <v>32</v>
      </c>
    </row>
    <row r="210" spans="1:25">
      <c r="A210" s="81">
        <v>632.46</v>
      </c>
      <c r="B210" s="81">
        <v>634.04</v>
      </c>
      <c r="C210" s="81">
        <v>631.23</v>
      </c>
      <c r="D210" s="81">
        <v>631.38</v>
      </c>
      <c r="E210" s="81">
        <v>16140408</v>
      </c>
      <c r="F210" s="81" t="s">
        <v>174</v>
      </c>
      <c r="G210" s="25">
        <f t="shared" si="0"/>
        <v>1.7105388197282689E-3</v>
      </c>
      <c r="I210" s="81">
        <v>114.07</v>
      </c>
      <c r="J210" s="81">
        <v>116.03</v>
      </c>
      <c r="K210" s="81">
        <v>111.38</v>
      </c>
      <c r="L210" s="81">
        <v>111.42</v>
      </c>
      <c r="M210" s="81">
        <v>11857701</v>
      </c>
      <c r="N210" s="81" t="s">
        <v>174</v>
      </c>
      <c r="O210" s="25">
        <f t="shared" si="1"/>
        <v>2.3783880811344416E-2</v>
      </c>
    </row>
    <row r="211" spans="1:25">
      <c r="A211" s="81">
        <v>628.29999999999995</v>
      </c>
      <c r="B211" s="81">
        <v>631.66</v>
      </c>
      <c r="C211" s="81">
        <v>625.21</v>
      </c>
      <c r="D211" s="81">
        <v>630.63499999999999</v>
      </c>
      <c r="E211" s="81">
        <v>10997544</v>
      </c>
      <c r="F211" s="81" t="s">
        <v>175</v>
      </c>
      <c r="G211" s="25">
        <f t="shared" si="0"/>
        <v>-3.7026172032951221E-3</v>
      </c>
      <c r="I211" s="81">
        <v>111.85</v>
      </c>
      <c r="J211" s="81">
        <v>113.44</v>
      </c>
      <c r="K211" s="81">
        <v>111.62</v>
      </c>
      <c r="L211" s="81">
        <v>113.44</v>
      </c>
      <c r="M211" s="81">
        <v>8897719</v>
      </c>
      <c r="N211" s="81" t="s">
        <v>175</v>
      </c>
      <c r="O211" s="25">
        <f t="shared" si="1"/>
        <v>-1.4016220028208792E-2</v>
      </c>
      <c r="Q211" s="29" t="s">
        <v>33</v>
      </c>
      <c r="R211" s="30">
        <v>1014</v>
      </c>
    </row>
    <row r="212" spans="1:25" ht="15" thickBot="1">
      <c r="A212" s="81">
        <v>627.13</v>
      </c>
      <c r="B212" s="81">
        <v>632.14</v>
      </c>
      <c r="C212" s="81">
        <v>626.94000000000005</v>
      </c>
      <c r="D212" s="81">
        <v>631.94000000000005</v>
      </c>
      <c r="E212" s="81">
        <v>5511193</v>
      </c>
      <c r="F212" s="81" t="s">
        <v>176</v>
      </c>
      <c r="G212" s="25">
        <f t="shared" si="0"/>
        <v>-7.6114821027313262E-3</v>
      </c>
      <c r="I212" s="81">
        <v>113.77</v>
      </c>
      <c r="J212" s="81">
        <v>114.89</v>
      </c>
      <c r="K212" s="81">
        <v>113.55</v>
      </c>
      <c r="L212" s="81">
        <v>114.77</v>
      </c>
      <c r="M212" s="81">
        <v>6538759</v>
      </c>
      <c r="N212" s="81" t="s">
        <v>176</v>
      </c>
      <c r="O212" s="25">
        <f t="shared" si="1"/>
        <v>-8.7130783305742199E-3</v>
      </c>
      <c r="Q212" s="1" t="s">
        <v>34</v>
      </c>
      <c r="T212" s="1" t="s">
        <v>35</v>
      </c>
      <c r="X212" s="1" t="s">
        <v>36</v>
      </c>
    </row>
    <row r="213" spans="1:25" ht="15" customHeight="1">
      <c r="A213" s="81">
        <v>631.72</v>
      </c>
      <c r="B213" s="81">
        <v>633.21</v>
      </c>
      <c r="C213" s="81">
        <v>631.41</v>
      </c>
      <c r="D213" s="81">
        <v>632.20000000000005</v>
      </c>
      <c r="E213" s="81">
        <v>4150867</v>
      </c>
      <c r="F213" s="81" t="s">
        <v>177</v>
      </c>
      <c r="G213" s="25">
        <f t="shared" si="0"/>
        <v>-7.5925340082250159E-4</v>
      </c>
      <c r="I213" s="81">
        <v>114.79</v>
      </c>
      <c r="J213" s="81">
        <v>115.28</v>
      </c>
      <c r="K213" s="81">
        <v>114.1</v>
      </c>
      <c r="L213" s="81">
        <v>114.1</v>
      </c>
      <c r="M213" s="81">
        <v>6592952</v>
      </c>
      <c r="N213" s="81" t="s">
        <v>177</v>
      </c>
      <c r="O213" s="25">
        <f t="shared" si="1"/>
        <v>6.047326906222672E-3</v>
      </c>
      <c r="Q213" s="84" t="s">
        <v>37</v>
      </c>
      <c r="R213" s="84" t="s">
        <v>38</v>
      </c>
      <c r="T213" s="31" t="s">
        <v>39</v>
      </c>
      <c r="U213" s="32" t="s">
        <v>40</v>
      </c>
      <c r="X213" s="31" t="s">
        <v>41</v>
      </c>
      <c r="Y213" s="32" t="s">
        <v>42</v>
      </c>
    </row>
    <row r="214" spans="1:25" ht="15" customHeight="1">
      <c r="A214" s="81">
        <v>632.6</v>
      </c>
      <c r="B214" s="81">
        <v>633.79</v>
      </c>
      <c r="C214" s="81">
        <v>630.95000000000005</v>
      </c>
      <c r="D214" s="81">
        <v>632.29999999999995</v>
      </c>
      <c r="E214" s="81">
        <v>6496953</v>
      </c>
      <c r="F214" s="81" t="s">
        <v>178</v>
      </c>
      <c r="G214" s="25">
        <f t="shared" si="0"/>
        <v>4.744583267437541E-4</v>
      </c>
      <c r="I214" s="81">
        <v>114.19</v>
      </c>
      <c r="J214" s="81">
        <v>114.49</v>
      </c>
      <c r="K214" s="81">
        <v>113.31</v>
      </c>
      <c r="L214" s="81">
        <v>113.315</v>
      </c>
      <c r="M214" s="81">
        <v>7426387</v>
      </c>
      <c r="N214" s="81" t="s">
        <v>178</v>
      </c>
      <c r="O214" s="25">
        <f t="shared" si="1"/>
        <v>7.7218373560428155E-3</v>
      </c>
      <c r="Q214" s="82">
        <v>-4.200000000000003E-2</v>
      </c>
      <c r="R214">
        <v>4</v>
      </c>
      <c r="T214" s="54">
        <f t="shared" ref="T214:T216" si="2">T215-0.001</f>
        <v>-4.5000000000000033E-2</v>
      </c>
      <c r="U214" s="1">
        <f>_xlfn.NORM.DIST(T214,$S$205,$S$207,FALSE)</f>
        <v>7.9451930057095277E-2</v>
      </c>
      <c r="W214" s="1" t="s">
        <v>81</v>
      </c>
      <c r="X214" s="54">
        <f>S205</f>
        <v>6.6404874646711011E-4</v>
      </c>
      <c r="Y214" s="1">
        <v>0</v>
      </c>
    </row>
    <row r="215" spans="1:25" ht="15">
      <c r="A215" s="81">
        <v>634.84</v>
      </c>
      <c r="B215" s="81">
        <v>636.07500000000005</v>
      </c>
      <c r="C215" s="81">
        <v>633.88</v>
      </c>
      <c r="D215" s="81">
        <v>635.14</v>
      </c>
      <c r="E215" s="81">
        <v>3829855</v>
      </c>
      <c r="F215" s="81" t="s">
        <v>179</v>
      </c>
      <c r="G215" s="25">
        <f t="shared" si="0"/>
        <v>-4.7233680763292263E-4</v>
      </c>
      <c r="I215" s="81">
        <v>113.56</v>
      </c>
      <c r="J215" s="81">
        <v>114.74</v>
      </c>
      <c r="K215" s="81">
        <v>113.27</v>
      </c>
      <c r="L215" s="81">
        <v>114.15</v>
      </c>
      <c r="M215" s="81">
        <v>5383118</v>
      </c>
      <c r="N215" s="81" t="s">
        <v>179</v>
      </c>
      <c r="O215" s="25">
        <f t="shared" si="1"/>
        <v>-5.1686377573368913E-3</v>
      </c>
      <c r="Q215" s="82">
        <v>-4.1000000000000029E-2</v>
      </c>
      <c r="R215">
        <v>1</v>
      </c>
      <c r="T215" s="54">
        <f t="shared" si="2"/>
        <v>-4.4000000000000032E-2</v>
      </c>
      <c r="U215" s="1">
        <f t="shared" ref="U215:U278" si="3">_xlfn.NORM.DIST(T215,$S$205,$S$207,FALSE)</f>
        <v>0.10275504248552476</v>
      </c>
      <c r="X215" s="54">
        <f>S205</f>
        <v>6.6404874646711011E-4</v>
      </c>
      <c r="Y215" s="1">
        <v>30</v>
      </c>
    </row>
    <row r="216" spans="1:25" ht="15">
      <c r="A216" s="81">
        <v>634.78</v>
      </c>
      <c r="B216" s="81">
        <v>635.32000000000005</v>
      </c>
      <c r="C216" s="81">
        <v>632.54</v>
      </c>
      <c r="D216" s="81">
        <v>632.66999999999996</v>
      </c>
      <c r="E216" s="81">
        <v>3273415</v>
      </c>
      <c r="F216" s="81" t="s">
        <v>180</v>
      </c>
      <c r="G216" s="25">
        <f t="shared" si="0"/>
        <v>3.3350719964595488E-3</v>
      </c>
      <c r="I216" s="81">
        <v>114.48</v>
      </c>
      <c r="J216" s="81">
        <v>114.53</v>
      </c>
      <c r="K216" s="81">
        <v>112.8</v>
      </c>
      <c r="L216" s="81">
        <v>112.94</v>
      </c>
      <c r="M216" s="81">
        <v>4605923</v>
      </c>
      <c r="N216" s="81" t="s">
        <v>180</v>
      </c>
      <c r="O216" s="25">
        <f t="shared" si="1"/>
        <v>1.363555870373645E-2</v>
      </c>
      <c r="Q216" s="82">
        <v>-4.0000000000000029E-2</v>
      </c>
      <c r="R216">
        <v>0</v>
      </c>
      <c r="T216" s="54">
        <f t="shared" si="2"/>
        <v>-4.3000000000000031E-2</v>
      </c>
      <c r="U216" s="1">
        <f t="shared" si="3"/>
        <v>0.13213828247574319</v>
      </c>
      <c r="W216" s="38" t="s">
        <v>82</v>
      </c>
      <c r="X216" s="54">
        <f>($S$207*-3)+$S$205</f>
        <v>-3.9090405998877302E-2</v>
      </c>
      <c r="Y216" s="1">
        <v>0</v>
      </c>
    </row>
    <row r="217" spans="1:25" ht="15">
      <c r="A217" s="81">
        <v>632.66999999999996</v>
      </c>
      <c r="B217" s="81">
        <v>632.88</v>
      </c>
      <c r="C217" s="81">
        <v>628.91999999999996</v>
      </c>
      <c r="D217" s="81">
        <v>628.94000000000005</v>
      </c>
      <c r="E217" s="81">
        <v>13758872</v>
      </c>
      <c r="F217" s="81" t="s">
        <v>181</v>
      </c>
      <c r="G217" s="25">
        <f t="shared" si="0"/>
        <v>5.9306134130441279E-3</v>
      </c>
      <c r="I217" s="81">
        <v>113.22</v>
      </c>
      <c r="J217" s="81">
        <v>113.31</v>
      </c>
      <c r="K217" s="81">
        <v>112.04</v>
      </c>
      <c r="L217" s="81">
        <v>112.29</v>
      </c>
      <c r="M217" s="81">
        <v>7578854</v>
      </c>
      <c r="N217" s="81" t="s">
        <v>181</v>
      </c>
      <c r="O217" s="25">
        <f t="shared" si="1"/>
        <v>8.2821266363879431E-3</v>
      </c>
      <c r="Q217" s="82">
        <v>-3.9000000000000028E-2</v>
      </c>
      <c r="R217">
        <v>0</v>
      </c>
      <c r="T217" s="54">
        <f t="shared" ref="T217:T256" si="4">T218-0.001</f>
        <v>-4.200000000000003E-2</v>
      </c>
      <c r="U217" s="1">
        <f t="shared" si="3"/>
        <v>0.16895886945706853</v>
      </c>
      <c r="W217" s="39"/>
      <c r="X217" s="54">
        <f>($S$207*-3)+$S$205</f>
        <v>-3.9090405998877302E-2</v>
      </c>
      <c r="Y217" s="1">
        <v>1</v>
      </c>
    </row>
    <row r="218" spans="1:25" ht="15">
      <c r="A218" s="81">
        <v>629.73</v>
      </c>
      <c r="B218" s="81">
        <v>630.27</v>
      </c>
      <c r="C218" s="81">
        <v>627.79999999999995</v>
      </c>
      <c r="D218" s="81">
        <v>628.96500000000003</v>
      </c>
      <c r="E218" s="81">
        <v>9796066</v>
      </c>
      <c r="F218" s="81" t="s">
        <v>182</v>
      </c>
      <c r="G218" s="25">
        <f t="shared" si="0"/>
        <v>1.2162838949703048E-3</v>
      </c>
      <c r="I218" s="81">
        <v>112.38</v>
      </c>
      <c r="J218" s="81">
        <v>112.8</v>
      </c>
      <c r="K218" s="81">
        <v>111.15</v>
      </c>
      <c r="L218" s="81">
        <v>111.41</v>
      </c>
      <c r="M218" s="81">
        <v>8790904</v>
      </c>
      <c r="N218" s="81" t="s">
        <v>182</v>
      </c>
      <c r="O218" s="25">
        <f t="shared" si="1"/>
        <v>8.7065793016785076E-3</v>
      </c>
      <c r="Q218" s="82">
        <v>-3.8000000000000027E-2</v>
      </c>
      <c r="R218">
        <v>0</v>
      </c>
      <c r="T218" s="54">
        <f t="shared" si="4"/>
        <v>-4.1000000000000029E-2</v>
      </c>
      <c r="U218" s="1">
        <f t="shared" si="3"/>
        <v>0.21481279955772051</v>
      </c>
      <c r="W218" s="38" t="s">
        <v>83</v>
      </c>
      <c r="X218" s="54">
        <f>($S$207*-2)+$S$205</f>
        <v>-2.5838921083762498E-2</v>
      </c>
      <c r="Y218" s="1">
        <v>0</v>
      </c>
    </row>
    <row r="219" spans="1:25" ht="15">
      <c r="A219" s="81">
        <v>627.55999999999995</v>
      </c>
      <c r="B219" s="81">
        <v>628.13</v>
      </c>
      <c r="C219" s="81">
        <v>623.86</v>
      </c>
      <c r="D219" s="81">
        <v>623.98</v>
      </c>
      <c r="E219" s="81">
        <v>10447326</v>
      </c>
      <c r="F219" s="81" t="s">
        <v>183</v>
      </c>
      <c r="G219" s="25">
        <f t="shared" si="0"/>
        <v>5.7373633770312349E-3</v>
      </c>
      <c r="I219" s="81">
        <v>111.24</v>
      </c>
      <c r="J219" s="81">
        <v>113.47799999999999</v>
      </c>
      <c r="K219" s="81">
        <v>110.92</v>
      </c>
      <c r="L219" s="81">
        <v>112.32</v>
      </c>
      <c r="M219" s="81">
        <v>20894962</v>
      </c>
      <c r="N219" s="81" t="s">
        <v>183</v>
      </c>
      <c r="O219" s="25">
        <f t="shared" si="1"/>
        <v>-9.6153846153845812E-3</v>
      </c>
      <c r="Q219" s="82">
        <v>-3.7000000000000026E-2</v>
      </c>
      <c r="R219">
        <v>0</v>
      </c>
      <c r="T219" s="54">
        <f t="shared" si="4"/>
        <v>-4.0000000000000029E-2</v>
      </c>
      <c r="U219" s="1">
        <f t="shared" si="3"/>
        <v>0.27156021147656267</v>
      </c>
      <c r="W219" s="39"/>
      <c r="X219" s="54">
        <f>($S$207*-2)+$S$205</f>
        <v>-2.5838921083762498E-2</v>
      </c>
      <c r="Y219" s="1">
        <v>5</v>
      </c>
    </row>
    <row r="220" spans="1:25" ht="15" customHeight="1">
      <c r="A220" s="81">
        <v>622.01</v>
      </c>
      <c r="B220" s="81">
        <v>625.94000000000005</v>
      </c>
      <c r="C220" s="81">
        <v>620.57000000000005</v>
      </c>
      <c r="D220" s="81">
        <v>623.04999999999995</v>
      </c>
      <c r="E220" s="81">
        <v>33420938</v>
      </c>
      <c r="F220" s="81" t="s">
        <v>184</v>
      </c>
      <c r="G220" s="25">
        <f t="shared" si="0"/>
        <v>-1.6692079287375927E-3</v>
      </c>
      <c r="I220" s="81">
        <v>111.87</v>
      </c>
      <c r="J220" s="81">
        <v>112.8</v>
      </c>
      <c r="K220" s="81">
        <v>110.42</v>
      </c>
      <c r="L220" s="81">
        <v>110.53</v>
      </c>
      <c r="M220" s="81">
        <v>11665213</v>
      </c>
      <c r="N220" s="81" t="s">
        <v>184</v>
      </c>
      <c r="O220" s="25">
        <f t="shared" si="1"/>
        <v>1.2123405410295884E-2</v>
      </c>
      <c r="Q220" s="82">
        <v>-3.6000000000000025E-2</v>
      </c>
      <c r="R220">
        <v>0</v>
      </c>
      <c r="T220" s="54">
        <f t="shared" si="4"/>
        <v>-3.9000000000000028E-2</v>
      </c>
      <c r="U220" s="1">
        <f t="shared" si="3"/>
        <v>0.34134924310304549</v>
      </c>
      <c r="W220" s="40" t="s">
        <v>84</v>
      </c>
      <c r="X220" s="54">
        <f>($S$207*-1)+$S$205</f>
        <v>-1.2587436168647693E-2</v>
      </c>
      <c r="Y220" s="1">
        <v>0</v>
      </c>
    </row>
    <row r="221" spans="1:25" ht="15">
      <c r="A221" s="81">
        <v>617.35</v>
      </c>
      <c r="B221" s="81">
        <v>625.64</v>
      </c>
      <c r="C221" s="81">
        <v>617.15899999999999</v>
      </c>
      <c r="D221" s="81">
        <v>625.19000000000005</v>
      </c>
      <c r="E221" s="81">
        <v>20953077</v>
      </c>
      <c r="F221" s="81" t="s">
        <v>185</v>
      </c>
      <c r="G221" s="25">
        <f t="shared" si="0"/>
        <v>-1.2540187782913992E-2</v>
      </c>
      <c r="I221" s="81">
        <v>110.63</v>
      </c>
      <c r="J221" s="81">
        <v>112.13</v>
      </c>
      <c r="K221" s="81">
        <v>110.455</v>
      </c>
      <c r="L221" s="81">
        <v>111.06</v>
      </c>
      <c r="M221" s="81">
        <v>11533890</v>
      </c>
      <c r="N221" s="81" t="s">
        <v>185</v>
      </c>
      <c r="O221" s="25">
        <f t="shared" si="1"/>
        <v>-3.8717810192688829E-3</v>
      </c>
      <c r="Q221" s="82">
        <v>-3.5000000000000024E-2</v>
      </c>
      <c r="R221">
        <v>1</v>
      </c>
      <c r="T221" s="54">
        <f t="shared" si="4"/>
        <v>-3.8000000000000027E-2</v>
      </c>
      <c r="U221" s="1">
        <f t="shared" si="3"/>
        <v>0.42663705524682072</v>
      </c>
      <c r="X221" s="54">
        <f>($S$207*-1)+$S$205</f>
        <v>-1.2587436168647693E-2</v>
      </c>
      <c r="Y221" s="1">
        <v>19</v>
      </c>
    </row>
    <row r="222" spans="1:25" ht="15">
      <c r="A222" s="81">
        <v>624.21</v>
      </c>
      <c r="B222" s="81">
        <v>626.22</v>
      </c>
      <c r="C222" s="81">
        <v>620.65</v>
      </c>
      <c r="D222" s="81">
        <v>624.54999999999995</v>
      </c>
      <c r="E222" s="81">
        <v>13922431</v>
      </c>
      <c r="F222" s="81" t="s">
        <v>186</v>
      </c>
      <c r="G222" s="25">
        <f t="shared" si="0"/>
        <v>-5.4439196221267583E-4</v>
      </c>
      <c r="I222" s="81">
        <v>111.62</v>
      </c>
      <c r="J222" s="81">
        <v>112.84990000000001</v>
      </c>
      <c r="K222" s="81">
        <v>110.855</v>
      </c>
      <c r="L222" s="81">
        <v>111.215</v>
      </c>
      <c r="M222" s="81">
        <v>14697823</v>
      </c>
      <c r="N222" s="81" t="s">
        <v>186</v>
      </c>
      <c r="O222" s="25">
        <f t="shared" si="1"/>
        <v>3.6415951085735365E-3</v>
      </c>
      <c r="Q222" s="82">
        <v>-3.4000000000000023E-2</v>
      </c>
      <c r="R222">
        <v>0</v>
      </c>
      <c r="T222" s="54">
        <f t="shared" si="4"/>
        <v>-3.7000000000000026E-2</v>
      </c>
      <c r="U222" s="1">
        <f t="shared" si="3"/>
        <v>0.53020647221491168</v>
      </c>
      <c r="W222" s="1" t="s">
        <v>85</v>
      </c>
      <c r="X222" s="54">
        <f>($S$207*1)+$S$205</f>
        <v>1.3915533661581915E-2</v>
      </c>
      <c r="Y222" s="1">
        <v>0</v>
      </c>
    </row>
    <row r="223" spans="1:25" ht="15">
      <c r="A223" s="81">
        <v>625.96</v>
      </c>
      <c r="B223" s="81">
        <v>630.55999999999995</v>
      </c>
      <c r="C223" s="81">
        <v>624.57000000000005</v>
      </c>
      <c r="D223" s="81">
        <v>630.55999999999995</v>
      </c>
      <c r="E223" s="81">
        <v>11306924</v>
      </c>
      <c r="F223" s="81" t="s">
        <v>187</v>
      </c>
      <c r="G223" s="25">
        <f t="shared" si="0"/>
        <v>-7.2951027657953693E-3</v>
      </c>
      <c r="I223" s="81">
        <v>110.49</v>
      </c>
      <c r="J223" s="81">
        <v>111.55</v>
      </c>
      <c r="K223" s="81">
        <v>108.55</v>
      </c>
      <c r="L223" s="81">
        <v>110.7</v>
      </c>
      <c r="M223" s="81">
        <v>13777846</v>
      </c>
      <c r="N223" s="81" t="s">
        <v>187</v>
      </c>
      <c r="O223" s="25">
        <f t="shared" si="1"/>
        <v>-1.8970189701897899E-3</v>
      </c>
      <c r="Q223" s="82">
        <v>-3.3000000000000022E-2</v>
      </c>
      <c r="R223">
        <v>1</v>
      </c>
      <c r="T223" s="54">
        <f t="shared" si="4"/>
        <v>-3.6000000000000025E-2</v>
      </c>
      <c r="U223" s="1">
        <f t="shared" si="3"/>
        <v>0.65517648165426456</v>
      </c>
      <c r="X223" s="54">
        <f>($S$207*1)+$S$205</f>
        <v>1.3915533661581915E-2</v>
      </c>
      <c r="Y223" s="1">
        <v>19</v>
      </c>
    </row>
    <row r="224" spans="1:25" ht="15">
      <c r="A224" s="81">
        <v>626.87</v>
      </c>
      <c r="B224" s="81">
        <v>633.42999999999995</v>
      </c>
      <c r="C224" s="81">
        <v>624.48</v>
      </c>
      <c r="D224" s="81">
        <v>632.79999999999995</v>
      </c>
      <c r="E224" s="81">
        <v>8504783</v>
      </c>
      <c r="F224" s="81" t="s">
        <v>188</v>
      </c>
      <c r="G224" s="25">
        <f t="shared" si="0"/>
        <v>-9.3710493046775811E-3</v>
      </c>
      <c r="I224" s="81">
        <v>111.6</v>
      </c>
      <c r="J224" s="81">
        <v>113.34</v>
      </c>
      <c r="K224" s="81">
        <v>111.15</v>
      </c>
      <c r="L224" s="81">
        <v>111.73</v>
      </c>
      <c r="M224" s="81">
        <v>12950047</v>
      </c>
      <c r="N224" s="81" t="s">
        <v>188</v>
      </c>
      <c r="O224" s="25">
        <f t="shared" si="1"/>
        <v>-1.163519198066898E-3</v>
      </c>
      <c r="Q224" s="82">
        <v>-3.2000000000000021E-2</v>
      </c>
      <c r="R224">
        <v>2</v>
      </c>
      <c r="T224" s="54">
        <f t="shared" si="4"/>
        <v>-3.5000000000000024E-2</v>
      </c>
      <c r="U224" s="1">
        <f t="shared" si="3"/>
        <v>0.80500466491070222</v>
      </c>
      <c r="W224" s="41" t="s">
        <v>86</v>
      </c>
      <c r="X224" s="54">
        <f>($S$207*2)+$S$205</f>
        <v>2.7167018576696719E-2</v>
      </c>
      <c r="Y224" s="1">
        <v>0</v>
      </c>
    </row>
    <row r="225" spans="1:25" ht="15">
      <c r="A225" s="81">
        <v>633.71</v>
      </c>
      <c r="B225" s="81">
        <v>633.87</v>
      </c>
      <c r="C225" s="81">
        <v>627.27</v>
      </c>
      <c r="D225" s="81">
        <v>630</v>
      </c>
      <c r="E225" s="81">
        <v>22128232</v>
      </c>
      <c r="F225" s="81" t="s">
        <v>189</v>
      </c>
      <c r="G225" s="25">
        <f t="shared" si="0"/>
        <v>5.8888888888890545E-3</v>
      </c>
      <c r="I225" s="81">
        <v>111.46</v>
      </c>
      <c r="J225" s="81">
        <v>111.56</v>
      </c>
      <c r="K225" s="81">
        <v>109.11</v>
      </c>
      <c r="L225" s="81">
        <v>109.2</v>
      </c>
      <c r="M225" s="81">
        <v>13039648</v>
      </c>
      <c r="N225" s="81" t="s">
        <v>189</v>
      </c>
      <c r="O225" s="25">
        <f t="shared" si="1"/>
        <v>2.0695970695970622E-2</v>
      </c>
      <c r="Q225" s="82">
        <v>-3.1000000000000021E-2</v>
      </c>
      <c r="R225">
        <v>0</v>
      </c>
      <c r="T225" s="54">
        <f t="shared" si="4"/>
        <v>-3.4000000000000023E-2</v>
      </c>
      <c r="U225" s="1">
        <f t="shared" si="3"/>
        <v>0.98347951300960823</v>
      </c>
      <c r="X225" s="54">
        <f>($S$207*2)+$S$205</f>
        <v>2.7167018576696719E-2</v>
      </c>
      <c r="Y225" s="1">
        <v>5</v>
      </c>
    </row>
    <row r="226" spans="1:25" ht="15">
      <c r="A226" s="81">
        <v>632.16</v>
      </c>
      <c r="B226" s="81">
        <v>633.505</v>
      </c>
      <c r="C226" s="81">
        <v>626.47</v>
      </c>
      <c r="D226" s="81">
        <v>627.63</v>
      </c>
      <c r="E226" s="81">
        <v>22399235</v>
      </c>
      <c r="F226" s="81" t="s">
        <v>190</v>
      </c>
      <c r="G226" s="25">
        <f t="shared" si="0"/>
        <v>7.2176282204483577E-3</v>
      </c>
      <c r="I226" s="81">
        <v>108.83</v>
      </c>
      <c r="J226" s="81">
        <v>109.66500000000001</v>
      </c>
      <c r="K226" s="81">
        <v>106.58</v>
      </c>
      <c r="L226" s="81">
        <v>107.12</v>
      </c>
      <c r="M226" s="81">
        <v>10580589</v>
      </c>
      <c r="N226" s="81" t="s">
        <v>190</v>
      </c>
      <c r="O226" s="25">
        <f t="shared" si="1"/>
        <v>1.596340552651232E-2</v>
      </c>
      <c r="Q226" s="82">
        <v>-3.000000000000002E-2</v>
      </c>
      <c r="R226">
        <v>0</v>
      </c>
      <c r="T226" s="54">
        <f t="shared" si="4"/>
        <v>-3.3000000000000022E-2</v>
      </c>
      <c r="U226" s="1">
        <f t="shared" si="3"/>
        <v>1.1947005423227863</v>
      </c>
      <c r="W226" s="41" t="s">
        <v>87</v>
      </c>
      <c r="X226" s="54">
        <f>($S$207*3)+$S$205</f>
        <v>4.0418503491811524E-2</v>
      </c>
      <c r="Y226" s="1">
        <v>0</v>
      </c>
    </row>
    <row r="227" spans="1:25" ht="15">
      <c r="A227" s="81">
        <v>628.1</v>
      </c>
      <c r="B227" s="81">
        <v>630.21</v>
      </c>
      <c r="C227" s="81">
        <v>627.66</v>
      </c>
      <c r="D227" s="81">
        <v>628.17999999999995</v>
      </c>
      <c r="E227" s="81">
        <v>9617841</v>
      </c>
      <c r="F227" s="81" t="s">
        <v>191</v>
      </c>
      <c r="G227" s="25">
        <f t="shared" si="0"/>
        <v>-1.2735203285674235E-4</v>
      </c>
      <c r="I227" s="81">
        <v>107.02</v>
      </c>
      <c r="J227" s="81">
        <v>107.745</v>
      </c>
      <c r="K227" s="81">
        <v>106.55</v>
      </c>
      <c r="L227" s="81">
        <v>107.59</v>
      </c>
      <c r="M227" s="81">
        <v>8212769</v>
      </c>
      <c r="N227" s="81" t="s">
        <v>191</v>
      </c>
      <c r="O227" s="25">
        <f t="shared" si="1"/>
        <v>-5.2978901384888033E-3</v>
      </c>
      <c r="Q227" s="82">
        <v>-2.9000000000000019E-2</v>
      </c>
      <c r="R227">
        <v>0</v>
      </c>
      <c r="T227" s="54">
        <f t="shared" si="4"/>
        <v>-3.2000000000000021E-2</v>
      </c>
      <c r="U227" s="1">
        <f t="shared" si="3"/>
        <v>1.4430441782556664</v>
      </c>
      <c r="W227" s="41"/>
      <c r="X227" s="54">
        <f>($S$207*3)+$S$205</f>
        <v>4.0418503491811524E-2</v>
      </c>
      <c r="Y227" s="1">
        <v>1</v>
      </c>
    </row>
    <row r="228" spans="1:25" ht="15">
      <c r="A228" s="81">
        <v>628.61</v>
      </c>
      <c r="B228" s="81">
        <v>631.47</v>
      </c>
      <c r="C228" s="81">
        <v>626.70100000000002</v>
      </c>
      <c r="D228" s="81">
        <v>631.36</v>
      </c>
      <c r="E228" s="81">
        <v>6833888</v>
      </c>
      <c r="F228" s="81" t="s">
        <v>192</v>
      </c>
      <c r="G228" s="25">
        <f t="shared" si="0"/>
        <v>-4.3556766345665965E-3</v>
      </c>
      <c r="I228" s="81">
        <v>107.63</v>
      </c>
      <c r="J228" s="81">
        <v>108.045</v>
      </c>
      <c r="K228" s="81">
        <v>104.83</v>
      </c>
      <c r="L228" s="81">
        <v>105.3</v>
      </c>
      <c r="M228" s="81">
        <v>13178635</v>
      </c>
      <c r="N228" s="81" t="s">
        <v>192</v>
      </c>
      <c r="O228" s="25">
        <f t="shared" si="1"/>
        <v>2.2127255460588691E-2</v>
      </c>
      <c r="Q228" s="82">
        <v>-2.8000000000000018E-2</v>
      </c>
      <c r="R228">
        <v>3</v>
      </c>
      <c r="T228" s="54">
        <f t="shared" si="4"/>
        <v>-3.1000000000000021E-2</v>
      </c>
      <c r="U228" s="1">
        <f t="shared" si="3"/>
        <v>1.7331135438309455</v>
      </c>
    </row>
    <row r="229" spans="1:25" ht="15">
      <c r="A229" s="81">
        <v>630.48</v>
      </c>
      <c r="B229" s="81">
        <v>632.98</v>
      </c>
      <c r="C229" s="81">
        <v>629.48</v>
      </c>
      <c r="D229" s="81">
        <v>630.29999999999995</v>
      </c>
      <c r="E229" s="81">
        <v>5007553</v>
      </c>
      <c r="F229" s="81" t="s">
        <v>193</v>
      </c>
      <c r="G229" s="25">
        <f t="shared" si="0"/>
        <v>2.8557829604958229E-4</v>
      </c>
      <c r="I229" s="81">
        <v>105.3</v>
      </c>
      <c r="J229" s="81">
        <v>106.17</v>
      </c>
      <c r="K229" s="81">
        <v>104.56</v>
      </c>
      <c r="L229" s="81">
        <v>105.18</v>
      </c>
      <c r="M229" s="81">
        <v>10555238</v>
      </c>
      <c r="N229" s="81" t="s">
        <v>193</v>
      </c>
      <c r="O229" s="25">
        <f t="shared" si="1"/>
        <v>1.1409013120364797E-3</v>
      </c>
      <c r="Q229" s="82">
        <v>-2.7000000000000017E-2</v>
      </c>
      <c r="R229">
        <v>1</v>
      </c>
      <c r="T229" s="54">
        <f t="shared" si="4"/>
        <v>-3.000000000000002E-2</v>
      </c>
      <c r="U229" s="1">
        <f t="shared" si="3"/>
        <v>2.0696705889826683</v>
      </c>
    </row>
    <row r="230" spans="1:25" ht="15">
      <c r="A230" s="81">
        <v>629.29999999999995</v>
      </c>
      <c r="B230" s="81">
        <v>630.17999999999995</v>
      </c>
      <c r="C230" s="81">
        <v>626.48</v>
      </c>
      <c r="D230" s="81">
        <v>630.13</v>
      </c>
      <c r="E230" s="81">
        <v>5114434</v>
      </c>
      <c r="F230" s="81" t="s">
        <v>194</v>
      </c>
      <c r="G230" s="25">
        <f t="shared" si="0"/>
        <v>-1.3171885166554098E-3</v>
      </c>
      <c r="I230" s="81">
        <v>105.47</v>
      </c>
      <c r="J230" s="81">
        <v>106.215</v>
      </c>
      <c r="K230" s="81">
        <v>104.51009999999999</v>
      </c>
      <c r="L230" s="81">
        <v>105.84</v>
      </c>
      <c r="M230" s="81">
        <v>11128198</v>
      </c>
      <c r="N230" s="81" t="s">
        <v>194</v>
      </c>
      <c r="O230" s="25">
        <f t="shared" si="1"/>
        <v>-3.4958427815571236E-3</v>
      </c>
      <c r="Q230" s="82">
        <v>-2.6000000000000016E-2</v>
      </c>
      <c r="R230">
        <v>7</v>
      </c>
      <c r="T230" s="54">
        <f t="shared" si="4"/>
        <v>-2.9000000000000019E-2</v>
      </c>
      <c r="U230" s="1">
        <f t="shared" si="3"/>
        <v>2.4575494372528643</v>
      </c>
    </row>
    <row r="231" spans="1:25" ht="15">
      <c r="A231" s="81">
        <v>628.77</v>
      </c>
      <c r="B231" s="81">
        <v>629.78</v>
      </c>
      <c r="C231" s="81">
        <v>624.95000000000005</v>
      </c>
      <c r="D231" s="81">
        <v>625.77</v>
      </c>
      <c r="E231" s="81">
        <v>5149531</v>
      </c>
      <c r="F231" s="81" t="s">
        <v>195</v>
      </c>
      <c r="G231" s="25">
        <f t="shared" si="0"/>
        <v>4.7940936765904496E-3</v>
      </c>
      <c r="I231" s="81">
        <v>105.74</v>
      </c>
      <c r="J231" s="81">
        <v>105.85</v>
      </c>
      <c r="K231" s="81">
        <v>104.47</v>
      </c>
      <c r="L231" s="81">
        <v>104.9</v>
      </c>
      <c r="M231" s="81">
        <v>9729053</v>
      </c>
      <c r="N231" s="81" t="s">
        <v>195</v>
      </c>
      <c r="O231" s="25">
        <f t="shared" si="1"/>
        <v>8.0076263107720091E-3</v>
      </c>
      <c r="Q231" s="82">
        <v>-2.5000000000000015E-2</v>
      </c>
      <c r="R231">
        <v>2</v>
      </c>
      <c r="T231" s="54">
        <f t="shared" si="4"/>
        <v>-2.8000000000000018E-2</v>
      </c>
      <c r="U231" s="1">
        <f t="shared" si="3"/>
        <v>2.9015504145807385</v>
      </c>
    </row>
    <row r="232" spans="1:25" ht="15">
      <c r="A232" s="81">
        <v>626.58000000000004</v>
      </c>
      <c r="B232" s="81">
        <v>628.77</v>
      </c>
      <c r="C232" s="81">
        <v>624.62</v>
      </c>
      <c r="D232" s="81">
        <v>627.01</v>
      </c>
      <c r="E232" s="81">
        <v>5256797</v>
      </c>
      <c r="F232" s="81" t="s">
        <v>196</v>
      </c>
      <c r="G232" s="25">
        <f t="shared" si="0"/>
        <v>-6.8579448493633066E-4</v>
      </c>
      <c r="I232" s="81">
        <v>104.83</v>
      </c>
      <c r="J232" s="81">
        <v>106.57</v>
      </c>
      <c r="K232" s="81">
        <v>104.82</v>
      </c>
      <c r="L232" s="81">
        <v>106.52500000000001</v>
      </c>
      <c r="M232" s="81">
        <v>8460441</v>
      </c>
      <c r="N232" s="81" t="s">
        <v>196</v>
      </c>
      <c r="O232" s="25">
        <f t="shared" si="1"/>
        <v>-1.5911757803332649E-2</v>
      </c>
      <c r="Q232" s="82">
        <v>-2.4000000000000014E-2</v>
      </c>
      <c r="R232">
        <v>3</v>
      </c>
      <c r="T232" s="54">
        <f t="shared" si="4"/>
        <v>-2.7000000000000017E-2</v>
      </c>
      <c r="U232" s="1">
        <f t="shared" si="3"/>
        <v>3.4063149571171873</v>
      </c>
    </row>
    <row r="233" spans="1:25" ht="15">
      <c r="A233" s="81">
        <v>625.52</v>
      </c>
      <c r="B233" s="81">
        <v>628.01</v>
      </c>
      <c r="C233" s="81">
        <v>624.1</v>
      </c>
      <c r="D233" s="81">
        <v>624.16999999999996</v>
      </c>
      <c r="E233" s="81">
        <v>8381362</v>
      </c>
      <c r="F233" s="81" t="s">
        <v>197</v>
      </c>
      <c r="G233" s="25">
        <f t="shared" si="0"/>
        <v>2.1628722944069256E-3</v>
      </c>
      <c r="I233" s="81">
        <v>106.77</v>
      </c>
      <c r="J233" s="81">
        <v>106.83</v>
      </c>
      <c r="K233" s="81">
        <v>104.47</v>
      </c>
      <c r="L233" s="81">
        <v>104.92</v>
      </c>
      <c r="M233" s="81">
        <v>11872100</v>
      </c>
      <c r="N233" s="81" t="s">
        <v>197</v>
      </c>
      <c r="O233" s="25">
        <f t="shared" si="1"/>
        <v>1.7632481890964558E-2</v>
      </c>
      <c r="Q233" s="82">
        <v>-2.3000000000000013E-2</v>
      </c>
      <c r="R233">
        <v>3</v>
      </c>
      <c r="T233" s="54">
        <f t="shared" si="4"/>
        <v>-2.6000000000000016E-2</v>
      </c>
      <c r="U233" s="1">
        <f t="shared" si="3"/>
        <v>3.9761824591130663</v>
      </c>
    </row>
    <row r="234" spans="1:25" ht="15">
      <c r="A234" s="81">
        <v>628.41</v>
      </c>
      <c r="B234" s="81">
        <v>628.63</v>
      </c>
      <c r="C234" s="81">
        <v>625.70500000000004</v>
      </c>
      <c r="D234" s="81">
        <v>626.02499999999998</v>
      </c>
      <c r="E234" s="81">
        <v>2949167</v>
      </c>
      <c r="F234" s="81" t="s">
        <v>198</v>
      </c>
      <c r="G234" s="25">
        <f t="shared" si="0"/>
        <v>3.8097520067090773E-3</v>
      </c>
      <c r="I234" s="81">
        <v>104.47</v>
      </c>
      <c r="J234" s="81">
        <v>104.74</v>
      </c>
      <c r="K234" s="81">
        <v>103.24</v>
      </c>
      <c r="L234" s="81">
        <v>103.3</v>
      </c>
      <c r="M234" s="81">
        <v>6523632</v>
      </c>
      <c r="N234" s="81" t="s">
        <v>198</v>
      </c>
      <c r="O234" s="25">
        <f t="shared" si="1"/>
        <v>1.1326234269119162E-2</v>
      </c>
      <c r="Q234" s="82">
        <v>-2.2000000000000013E-2</v>
      </c>
      <c r="R234">
        <v>2</v>
      </c>
      <c r="T234" s="54">
        <f t="shared" si="4"/>
        <v>-2.5000000000000015E-2</v>
      </c>
      <c r="U234" s="1">
        <f t="shared" si="3"/>
        <v>4.6150310950241948</v>
      </c>
    </row>
    <row r="235" spans="1:25" ht="15">
      <c r="A235" s="81">
        <v>624.95000000000005</v>
      </c>
      <c r="B235" s="81">
        <v>626.80999999999995</v>
      </c>
      <c r="C235" s="81">
        <v>622.26</v>
      </c>
      <c r="D235" s="81">
        <v>623.05999999999995</v>
      </c>
      <c r="E235" s="81">
        <v>5292533</v>
      </c>
      <c r="F235" s="81" t="s">
        <v>199</v>
      </c>
      <c r="G235" s="25">
        <f t="shared" si="0"/>
        <v>3.033415722402566E-3</v>
      </c>
      <c r="I235" s="81">
        <v>103.43</v>
      </c>
      <c r="J235" s="81">
        <v>104.2509</v>
      </c>
      <c r="K235" s="81">
        <v>102.88</v>
      </c>
      <c r="L235" s="81">
        <v>103.315</v>
      </c>
      <c r="M235" s="81">
        <v>9840581</v>
      </c>
      <c r="N235" s="81" t="s">
        <v>199</v>
      </c>
      <c r="O235" s="25">
        <f t="shared" si="1"/>
        <v>1.1131007114166813E-3</v>
      </c>
      <c r="Q235" s="82">
        <v>-2.1000000000000012E-2</v>
      </c>
      <c r="R235">
        <v>4</v>
      </c>
      <c r="T235" s="54">
        <f t="shared" si="4"/>
        <v>-2.4000000000000014E-2</v>
      </c>
      <c r="U235" s="1">
        <f t="shared" si="3"/>
        <v>5.3261056981848354</v>
      </c>
    </row>
    <row r="236" spans="1:25" ht="15">
      <c r="A236" s="81">
        <v>620.66</v>
      </c>
      <c r="B236" s="81">
        <v>621.75</v>
      </c>
      <c r="C236" s="81">
        <v>610.99</v>
      </c>
      <c r="D236" s="81">
        <v>614.78</v>
      </c>
      <c r="E236" s="81">
        <v>7289905</v>
      </c>
      <c r="F236" s="81" t="s">
        <v>200</v>
      </c>
      <c r="G236" s="25">
        <f t="shared" si="0"/>
        <v>9.5643970200722794E-3</v>
      </c>
      <c r="I236" s="81">
        <v>103.31</v>
      </c>
      <c r="J236" s="81">
        <v>103.91500000000001</v>
      </c>
      <c r="K236" s="81">
        <v>102</v>
      </c>
      <c r="L236" s="81">
        <v>102.49</v>
      </c>
      <c r="M236" s="81">
        <v>10509755</v>
      </c>
      <c r="N236" s="81" t="s">
        <v>200</v>
      </c>
      <c r="O236" s="25">
        <f t="shared" si="1"/>
        <v>8.0007805639574769E-3</v>
      </c>
      <c r="Q236" s="82">
        <v>-2.0000000000000011E-2</v>
      </c>
      <c r="R236">
        <v>6</v>
      </c>
      <c r="T236" s="54">
        <f t="shared" si="4"/>
        <v>-2.3000000000000013E-2</v>
      </c>
      <c r="U236" s="1">
        <f t="shared" si="3"/>
        <v>6.1118368571685151</v>
      </c>
    </row>
    <row r="237" spans="1:25" ht="15">
      <c r="A237" s="81">
        <v>614.94000000000005</v>
      </c>
      <c r="B237" s="81">
        <v>616.09</v>
      </c>
      <c r="C237" s="81">
        <v>608.30499999999995</v>
      </c>
      <c r="D237" s="81">
        <v>609.28</v>
      </c>
      <c r="E237" s="81">
        <v>6218559</v>
      </c>
      <c r="F237" s="81" t="s">
        <v>201</v>
      </c>
      <c r="G237" s="25">
        <f t="shared" si="0"/>
        <v>9.2896533613446852E-3</v>
      </c>
      <c r="I237" s="81">
        <v>101.94</v>
      </c>
      <c r="J237" s="81">
        <v>104.33499999999999</v>
      </c>
      <c r="K237" s="81">
        <v>101.89</v>
      </c>
      <c r="L237" s="81">
        <v>104.08499999999999</v>
      </c>
      <c r="M237" s="81">
        <v>14907483</v>
      </c>
      <c r="N237" s="81" t="s">
        <v>201</v>
      </c>
      <c r="O237" s="25">
        <f t="shared" si="1"/>
        <v>-2.0608156794927224E-2</v>
      </c>
      <c r="Q237" s="82">
        <v>-1.900000000000001E-2</v>
      </c>
      <c r="R237">
        <v>6</v>
      </c>
      <c r="T237" s="54">
        <f t="shared" si="4"/>
        <v>-2.2000000000000013E-2</v>
      </c>
      <c r="U237" s="1">
        <f t="shared" si="3"/>
        <v>6.9736564461440675</v>
      </c>
    </row>
    <row r="238" spans="1:25" ht="15">
      <c r="A238" s="81">
        <v>605.92999999999995</v>
      </c>
      <c r="B238" s="81">
        <v>611.01</v>
      </c>
      <c r="C238" s="81">
        <v>598.38</v>
      </c>
      <c r="D238" s="81">
        <v>602.25</v>
      </c>
      <c r="E238" s="81">
        <v>9789866</v>
      </c>
      <c r="F238" s="81" t="s">
        <v>202</v>
      </c>
      <c r="G238" s="25">
        <f t="shared" si="0"/>
        <v>6.1104192611041164E-3</v>
      </c>
      <c r="I238" s="81">
        <v>104.28</v>
      </c>
      <c r="J238" s="81">
        <v>104.78</v>
      </c>
      <c r="K238" s="81">
        <v>102.69</v>
      </c>
      <c r="L238" s="81">
        <v>103.48</v>
      </c>
      <c r="M238" s="81">
        <v>10747390</v>
      </c>
      <c r="N238" s="81" t="s">
        <v>202</v>
      </c>
      <c r="O238" s="25">
        <f t="shared" si="1"/>
        <v>7.7309625048318509E-3</v>
      </c>
      <c r="Q238" s="82">
        <v>-1.8000000000000009E-2</v>
      </c>
      <c r="R238">
        <v>3</v>
      </c>
      <c r="T238" s="54">
        <f t="shared" si="4"/>
        <v>-2.1000000000000012E-2</v>
      </c>
      <c r="U238" s="1">
        <f t="shared" si="3"/>
        <v>7.9118157754367626</v>
      </c>
    </row>
    <row r="239" spans="1:25" ht="15">
      <c r="A239" s="81">
        <v>599.96</v>
      </c>
      <c r="B239" s="81">
        <v>621.12879999999996</v>
      </c>
      <c r="C239" s="81">
        <v>599.36</v>
      </c>
      <c r="D239" s="81">
        <v>618.72</v>
      </c>
      <c r="E239" s="81">
        <v>13857655</v>
      </c>
      <c r="F239" s="81" t="s">
        <v>203</v>
      </c>
      <c r="G239" s="25">
        <f t="shared" si="0"/>
        <v>-3.0320662011895538E-2</v>
      </c>
      <c r="I239" s="81">
        <v>102.7</v>
      </c>
      <c r="J239" s="81">
        <v>105.8</v>
      </c>
      <c r="K239" s="81">
        <v>102.5</v>
      </c>
      <c r="L239" s="81">
        <v>105.37</v>
      </c>
      <c r="M239" s="81">
        <v>12169947</v>
      </c>
      <c r="N239" s="81" t="s">
        <v>203</v>
      </c>
      <c r="O239" s="25">
        <f t="shared" si="1"/>
        <v>-2.5339280630160443E-2</v>
      </c>
      <c r="Q239" s="82">
        <v>-1.7000000000000008E-2</v>
      </c>
      <c r="R239">
        <v>9</v>
      </c>
      <c r="T239" s="54">
        <f t="shared" si="4"/>
        <v>-2.0000000000000011E-2</v>
      </c>
      <c r="U239" s="1">
        <f t="shared" si="3"/>
        <v>8.9252133667291975</v>
      </c>
    </row>
    <row r="240" spans="1:25" ht="15">
      <c r="A240" s="81">
        <v>609.20000000000005</v>
      </c>
      <c r="B240" s="81">
        <v>613.56989999999996</v>
      </c>
      <c r="C240" s="81">
        <v>605.66999999999996</v>
      </c>
      <c r="D240" s="81">
        <v>607.52</v>
      </c>
      <c r="E240" s="81">
        <v>7297298</v>
      </c>
      <c r="F240" s="81" t="s">
        <v>204</v>
      </c>
      <c r="G240" s="25">
        <f t="shared" si="0"/>
        <v>2.7653410587307192E-3</v>
      </c>
      <c r="I240" s="81">
        <v>104.67</v>
      </c>
      <c r="J240" s="81">
        <v>107.59</v>
      </c>
      <c r="K240" s="81">
        <v>104.08</v>
      </c>
      <c r="L240" s="81">
        <v>106.08</v>
      </c>
      <c r="M240" s="81">
        <v>12653325</v>
      </c>
      <c r="N240" s="81" t="s">
        <v>204</v>
      </c>
      <c r="O240" s="25">
        <f t="shared" si="1"/>
        <v>-1.3291855203619862E-2</v>
      </c>
      <c r="Q240" s="82">
        <v>-1.6000000000000007E-2</v>
      </c>
      <c r="R240">
        <v>4</v>
      </c>
      <c r="T240" s="54">
        <f t="shared" si="4"/>
        <v>-1.900000000000001E-2</v>
      </c>
      <c r="U240" s="1">
        <f t="shared" si="3"/>
        <v>10.011239956509092</v>
      </c>
    </row>
    <row r="241" spans="1:21" ht="15">
      <c r="A241" s="81">
        <v>607</v>
      </c>
      <c r="B241" s="81">
        <v>611.51</v>
      </c>
      <c r="C241" s="81">
        <v>603</v>
      </c>
      <c r="D241" s="81">
        <v>608.72</v>
      </c>
      <c r="E241" s="81">
        <v>8485565</v>
      </c>
      <c r="F241" s="81" t="s">
        <v>205</v>
      </c>
      <c r="G241" s="25">
        <f t="shared" si="0"/>
        <v>-2.8256012616638682E-3</v>
      </c>
      <c r="I241" s="81">
        <v>106.28</v>
      </c>
      <c r="J241" s="81">
        <v>107.08</v>
      </c>
      <c r="K241" s="81">
        <v>105</v>
      </c>
      <c r="L241" s="81">
        <v>105.1</v>
      </c>
      <c r="M241" s="81">
        <v>11701275</v>
      </c>
      <c r="N241" s="81" t="s">
        <v>205</v>
      </c>
      <c r="O241" s="25">
        <f t="shared" si="1"/>
        <v>1.122740247383458E-2</v>
      </c>
      <c r="Q241" s="82">
        <v>-1.5000000000000006E-2</v>
      </c>
      <c r="R241">
        <v>9</v>
      </c>
      <c r="T241" s="54">
        <f t="shared" si="4"/>
        <v>-1.8000000000000009E-2</v>
      </c>
      <c r="U241" s="1">
        <f t="shared" si="3"/>
        <v>11.165648647464096</v>
      </c>
    </row>
    <row r="242" spans="1:21" ht="15">
      <c r="A242" s="81">
        <v>612.04</v>
      </c>
      <c r="B242" s="81">
        <v>619.44849999999997</v>
      </c>
      <c r="C242" s="81">
        <v>608.80999999999995</v>
      </c>
      <c r="D242" s="81">
        <v>615.74</v>
      </c>
      <c r="E242" s="81">
        <v>8858869</v>
      </c>
      <c r="F242" s="81" t="s">
        <v>206</v>
      </c>
      <c r="G242" s="25">
        <f t="shared" si="0"/>
        <v>-6.0090297852990471E-3</v>
      </c>
      <c r="I242" s="81">
        <v>105.69</v>
      </c>
      <c r="J242" s="81">
        <v>107.67</v>
      </c>
      <c r="K242" s="81">
        <v>105.117</v>
      </c>
      <c r="L242" s="81">
        <v>105.75</v>
      </c>
      <c r="M242" s="81">
        <v>11770947</v>
      </c>
      <c r="N242" s="81" t="s">
        <v>206</v>
      </c>
      <c r="O242" s="25">
        <f t="shared" si="1"/>
        <v>-5.6737588652489013E-4</v>
      </c>
      <c r="Q242" s="82">
        <v>-1.4000000000000005E-2</v>
      </c>
      <c r="R242">
        <v>6</v>
      </c>
      <c r="T242" s="54">
        <f t="shared" si="4"/>
        <v>-1.7000000000000008E-2</v>
      </c>
      <c r="U242" s="1">
        <f t="shared" si="3"/>
        <v>12.382458104582861</v>
      </c>
    </row>
    <row r="243" spans="1:21" ht="15">
      <c r="A243" s="81">
        <v>617.83000000000004</v>
      </c>
      <c r="B243" s="81">
        <v>621.21990000000005</v>
      </c>
      <c r="C243" s="81">
        <v>609.83000000000004</v>
      </c>
      <c r="D243" s="81">
        <v>611.75</v>
      </c>
      <c r="E243" s="81">
        <v>9651895</v>
      </c>
      <c r="F243" s="81" t="s">
        <v>207</v>
      </c>
      <c r="G243" s="25">
        <f t="shared" si="0"/>
        <v>9.9387004495301579E-3</v>
      </c>
      <c r="I243" s="81">
        <v>105.8</v>
      </c>
      <c r="J243" s="81">
        <v>108.73</v>
      </c>
      <c r="K243" s="81">
        <v>105.3</v>
      </c>
      <c r="L243" s="81">
        <v>107.52</v>
      </c>
      <c r="M243" s="81">
        <v>16534799</v>
      </c>
      <c r="N243" s="81" t="s">
        <v>207</v>
      </c>
      <c r="O243" s="25">
        <f t="shared" si="1"/>
        <v>-1.5997023809523836E-2</v>
      </c>
      <c r="Q243" s="82">
        <v>-1.3000000000000005E-2</v>
      </c>
      <c r="R243">
        <v>8</v>
      </c>
      <c r="T243" s="54">
        <f t="shared" si="4"/>
        <v>-1.6000000000000007E-2</v>
      </c>
      <c r="U243" s="1">
        <f t="shared" si="3"/>
        <v>13.653896287672541</v>
      </c>
    </row>
    <row r="244" spans="1:21" ht="15">
      <c r="A244" s="81">
        <v>617.99</v>
      </c>
      <c r="B244" s="81">
        <v>626.02</v>
      </c>
      <c r="C244" s="81">
        <v>616.51</v>
      </c>
      <c r="D244" s="81">
        <v>625.66999999999996</v>
      </c>
      <c r="E244" s="81">
        <v>10526401</v>
      </c>
      <c r="F244" s="81" t="s">
        <v>208</v>
      </c>
      <c r="G244" s="25">
        <f t="shared" si="0"/>
        <v>-1.2274841370051193E-2</v>
      </c>
      <c r="I244" s="81">
        <v>107.61</v>
      </c>
      <c r="J244" s="81">
        <v>109.36</v>
      </c>
      <c r="K244" s="81">
        <v>104.91</v>
      </c>
      <c r="L244" s="81">
        <v>108.89</v>
      </c>
      <c r="M244" s="81">
        <v>43469123</v>
      </c>
      <c r="N244" s="81" t="s">
        <v>208</v>
      </c>
      <c r="O244" s="25">
        <f t="shared" si="1"/>
        <v>-1.1754982092019528E-2</v>
      </c>
      <c r="Q244" s="82">
        <v>-1.2000000000000004E-2</v>
      </c>
      <c r="R244">
        <v>7</v>
      </c>
      <c r="T244" s="54">
        <f t="shared" si="4"/>
        <v>-1.5000000000000006E-2</v>
      </c>
      <c r="U244" s="1">
        <f t="shared" si="3"/>
        <v>14.970391399170955</v>
      </c>
    </row>
    <row r="245" spans="1:21" ht="15">
      <c r="A245" s="81">
        <v>628.22</v>
      </c>
      <c r="B245" s="81">
        <v>629.77</v>
      </c>
      <c r="C245" s="81">
        <v>626.1</v>
      </c>
      <c r="D245" s="81">
        <v>629.65</v>
      </c>
      <c r="E245" s="81">
        <v>6065826</v>
      </c>
      <c r="F245" s="81" t="s">
        <v>209</v>
      </c>
      <c r="G245" s="25">
        <f t="shared" si="0"/>
        <v>-2.2711029937265703E-3</v>
      </c>
      <c r="I245" s="81">
        <v>116.65</v>
      </c>
      <c r="J245" s="81">
        <v>117.08880000000001</v>
      </c>
      <c r="K245" s="81">
        <v>114.39</v>
      </c>
      <c r="L245" s="81">
        <v>114.57</v>
      </c>
      <c r="M245" s="81">
        <v>14895523</v>
      </c>
      <c r="N245" s="81" t="s">
        <v>209</v>
      </c>
      <c r="O245" s="25">
        <f t="shared" si="1"/>
        <v>1.8154839835908376E-2</v>
      </c>
      <c r="Q245" s="82">
        <v>-1.1000000000000003E-2</v>
      </c>
      <c r="R245">
        <v>14</v>
      </c>
      <c r="T245" s="54">
        <f t="shared" si="4"/>
        <v>-1.4000000000000005E-2</v>
      </c>
      <c r="U245" s="1">
        <f t="shared" si="3"/>
        <v>16.320615501092565</v>
      </c>
    </row>
    <row r="246" spans="1:21" ht="15">
      <c r="A246" s="81">
        <v>627.91</v>
      </c>
      <c r="B246" s="81">
        <v>628.49</v>
      </c>
      <c r="C246" s="81">
        <v>624.07000000000005</v>
      </c>
      <c r="D246" s="81">
        <v>625.16</v>
      </c>
      <c r="E246" s="81">
        <v>5610874</v>
      </c>
      <c r="F246" s="81" t="s">
        <v>210</v>
      </c>
      <c r="G246" s="25">
        <f t="shared" si="0"/>
        <v>4.3988738882845269E-3</v>
      </c>
      <c r="I246" s="81">
        <v>114.85</v>
      </c>
      <c r="J246" s="81">
        <v>114.97</v>
      </c>
      <c r="K246" s="81">
        <v>112.42</v>
      </c>
      <c r="L246" s="81">
        <v>112.65</v>
      </c>
      <c r="M246" s="81">
        <v>9506202</v>
      </c>
      <c r="N246" s="81" t="s">
        <v>210</v>
      </c>
      <c r="O246" s="25">
        <f t="shared" si="1"/>
        <v>1.9529516200621266E-2</v>
      </c>
      <c r="Q246" s="82">
        <v>-1.0000000000000002E-2</v>
      </c>
      <c r="R246">
        <v>15</v>
      </c>
      <c r="T246" s="54">
        <f t="shared" si="4"/>
        <v>-1.3000000000000005E-2</v>
      </c>
      <c r="U246" s="1">
        <f t="shared" si="3"/>
        <v>17.691584637319281</v>
      </c>
    </row>
    <row r="247" spans="1:21" ht="15">
      <c r="A247" s="81">
        <v>626.47</v>
      </c>
      <c r="B247" s="81">
        <v>627.21</v>
      </c>
      <c r="C247" s="81">
        <v>620.66</v>
      </c>
      <c r="D247" s="81">
        <v>622.69000000000005</v>
      </c>
      <c r="E247" s="81">
        <v>8383792</v>
      </c>
      <c r="F247" s="81" t="s">
        <v>211</v>
      </c>
      <c r="G247" s="25">
        <f t="shared" si="0"/>
        <v>6.0704363326855582E-3</v>
      </c>
      <c r="I247" s="81">
        <v>112.24</v>
      </c>
      <c r="J247" s="81">
        <v>112.79</v>
      </c>
      <c r="K247" s="81">
        <v>111.03</v>
      </c>
      <c r="L247" s="81">
        <v>111.145</v>
      </c>
      <c r="M247" s="81">
        <v>9027211</v>
      </c>
      <c r="N247" s="81" t="s">
        <v>211</v>
      </c>
      <c r="O247" s="25">
        <f t="shared" si="1"/>
        <v>9.8519951414819396E-3</v>
      </c>
      <c r="Q247" s="82">
        <v>-9.0000000000000011E-3</v>
      </c>
      <c r="R247">
        <v>18</v>
      </c>
      <c r="T247" s="54">
        <f t="shared" si="4"/>
        <v>-1.2000000000000004E-2</v>
      </c>
      <c r="U247" s="1">
        <f t="shared" si="3"/>
        <v>19.068817332291566</v>
      </c>
    </row>
    <row r="248" spans="1:21" ht="15">
      <c r="A248" s="81">
        <v>616.89</v>
      </c>
      <c r="B248" s="81">
        <v>617.02</v>
      </c>
      <c r="C248" s="81">
        <v>607.91999999999996</v>
      </c>
      <c r="D248" s="81">
        <v>614.09</v>
      </c>
      <c r="E248" s="81">
        <v>7527198</v>
      </c>
      <c r="F248" s="81" t="s">
        <v>212</v>
      </c>
      <c r="G248" s="25">
        <f t="shared" si="0"/>
        <v>4.5595922421794999E-3</v>
      </c>
      <c r="I248" s="81">
        <v>110.74</v>
      </c>
      <c r="J248" s="81">
        <v>111.425</v>
      </c>
      <c r="K248" s="81">
        <v>110.04</v>
      </c>
      <c r="L248" s="81">
        <v>110.255</v>
      </c>
      <c r="M248" s="81">
        <v>8764167</v>
      </c>
      <c r="N248" s="81" t="s">
        <v>212</v>
      </c>
      <c r="O248" s="25">
        <f t="shared" si="1"/>
        <v>4.3988934742189567E-3</v>
      </c>
      <c r="Q248" s="82">
        <v>-8.0000000000000002E-3</v>
      </c>
      <c r="R248">
        <v>18</v>
      </c>
      <c r="T248" s="54">
        <f t="shared" si="4"/>
        <v>-1.1000000000000003E-2</v>
      </c>
      <c r="U248" s="1">
        <f t="shared" si="3"/>
        <v>20.436551094716769</v>
      </c>
    </row>
    <row r="249" spans="1:21" ht="15">
      <c r="A249" s="81">
        <v>616.24</v>
      </c>
      <c r="B249" s="81">
        <v>622.79</v>
      </c>
      <c r="C249" s="81">
        <v>614.82000000000005</v>
      </c>
      <c r="D249" s="81">
        <v>621.96</v>
      </c>
      <c r="E249" s="81">
        <v>7032116</v>
      </c>
      <c r="F249" s="81" t="s">
        <v>213</v>
      </c>
      <c r="G249" s="25">
        <f t="shared" si="0"/>
        <v>-9.1967329088687988E-3</v>
      </c>
      <c r="I249" s="81">
        <v>110.49</v>
      </c>
      <c r="J249" s="81">
        <v>111.71</v>
      </c>
      <c r="K249" s="81">
        <v>109.18</v>
      </c>
      <c r="L249" s="81">
        <v>111.17</v>
      </c>
      <c r="M249" s="81">
        <v>10050755</v>
      </c>
      <c r="N249" s="81" t="s">
        <v>213</v>
      </c>
      <c r="O249" s="25">
        <f t="shared" si="1"/>
        <v>-6.1167581181974517E-3</v>
      </c>
      <c r="Q249" s="82">
        <v>-7.0000000000000001E-3</v>
      </c>
      <c r="R249">
        <v>25</v>
      </c>
      <c r="T249" s="54">
        <f t="shared" si="4"/>
        <v>-1.0000000000000002E-2</v>
      </c>
      <c r="U249" s="1">
        <f t="shared" si="3"/>
        <v>21.778014128547813</v>
      </c>
    </row>
    <row r="250" spans="1:21" ht="15">
      <c r="A250" s="81">
        <v>622.86</v>
      </c>
      <c r="B250" s="81">
        <v>626</v>
      </c>
      <c r="C250" s="81">
        <v>619.83000000000004</v>
      </c>
      <c r="D250" s="81">
        <v>620.59</v>
      </c>
      <c r="E250" s="81">
        <v>10264461</v>
      </c>
      <c r="F250" s="81" t="s">
        <v>214</v>
      </c>
      <c r="G250" s="25">
        <f t="shared" si="0"/>
        <v>3.6578095038592995E-3</v>
      </c>
      <c r="I250" s="81">
        <v>111.36</v>
      </c>
      <c r="J250" s="81">
        <v>111.97</v>
      </c>
      <c r="K250" s="81">
        <v>110.6</v>
      </c>
      <c r="L250" s="81">
        <v>111.35</v>
      </c>
      <c r="M250" s="81">
        <v>5688750</v>
      </c>
      <c r="N250" s="81" t="s">
        <v>214</v>
      </c>
      <c r="O250" s="25">
        <f t="shared" si="1"/>
        <v>8.9806915132495391E-5</v>
      </c>
      <c r="Q250" s="82">
        <v>-6.0000000000000001E-3</v>
      </c>
      <c r="R250">
        <v>24</v>
      </c>
      <c r="T250" s="54">
        <f t="shared" si="4"/>
        <v>-9.0000000000000011E-3</v>
      </c>
      <c r="U250" s="1">
        <f t="shared" si="3"/>
        <v>23.075746955760319</v>
      </c>
    </row>
    <row r="251" spans="1:21" ht="15">
      <c r="A251" s="81">
        <v>620.99</v>
      </c>
      <c r="B251" s="81">
        <v>625.16999999999996</v>
      </c>
      <c r="C251" s="81">
        <v>620.20000000000005</v>
      </c>
      <c r="D251" s="81">
        <v>621.65</v>
      </c>
      <c r="E251" s="81">
        <v>8203353</v>
      </c>
      <c r="F251" s="81" t="s">
        <v>215</v>
      </c>
      <c r="G251" s="25">
        <f t="shared" ref="G251:G314" si="5">A251/D251-1</f>
        <v>-1.0616906619479449E-3</v>
      </c>
      <c r="I251" s="81">
        <v>111.47</v>
      </c>
      <c r="J251" s="81">
        <v>111.785</v>
      </c>
      <c r="K251" s="81">
        <v>110.64</v>
      </c>
      <c r="L251" s="81">
        <v>110.97</v>
      </c>
      <c r="M251" s="81">
        <v>7236183</v>
      </c>
      <c r="N251" s="81" t="s">
        <v>215</v>
      </c>
      <c r="O251" s="25">
        <f t="shared" ref="O251:O314" si="6">I251/L251-1</f>
        <v>4.5057222672795216E-3</v>
      </c>
      <c r="Q251" s="82">
        <v>-5.0000000000000001E-3</v>
      </c>
      <c r="R251">
        <v>28</v>
      </c>
      <c r="T251" s="54">
        <f t="shared" si="4"/>
        <v>-8.0000000000000002E-3</v>
      </c>
      <c r="U251" s="1">
        <f t="shared" si="3"/>
        <v>24.31196621253434</v>
      </c>
    </row>
    <row r="252" spans="1:21" ht="15">
      <c r="A252" s="81">
        <v>628.27</v>
      </c>
      <c r="B252" s="81">
        <v>630.54</v>
      </c>
      <c r="C252" s="81">
        <v>625.16</v>
      </c>
      <c r="D252" s="81">
        <v>630.41999999999996</v>
      </c>
      <c r="E252" s="81">
        <v>5510227</v>
      </c>
      <c r="F252" s="81" t="s">
        <v>216</v>
      </c>
      <c r="G252" s="25">
        <f t="shared" si="5"/>
        <v>-3.4104247961675993E-3</v>
      </c>
      <c r="I252" s="81">
        <v>112.12</v>
      </c>
      <c r="J252" s="81">
        <v>112.81</v>
      </c>
      <c r="K252" s="81">
        <v>111.03</v>
      </c>
      <c r="L252" s="81">
        <v>112.55</v>
      </c>
      <c r="M252" s="81">
        <v>8452440</v>
      </c>
      <c r="N252" s="81" t="s">
        <v>216</v>
      </c>
      <c r="O252" s="25">
        <f t="shared" si="6"/>
        <v>-3.8205242114615068E-3</v>
      </c>
      <c r="Q252" s="82">
        <v>-4.0000000000000001E-3</v>
      </c>
      <c r="R252">
        <v>21</v>
      </c>
      <c r="T252" s="54">
        <f t="shared" si="4"/>
        <v>-7.0000000000000001E-3</v>
      </c>
      <c r="U252" s="1">
        <f t="shared" si="3"/>
        <v>25.46896062505558</v>
      </c>
    </row>
    <row r="253" spans="1:21" ht="15">
      <c r="A253" s="81">
        <v>627.04</v>
      </c>
      <c r="B253" s="81">
        <v>629.94000000000005</v>
      </c>
      <c r="C253" s="81">
        <v>624.5</v>
      </c>
      <c r="D253" s="81">
        <v>629.84</v>
      </c>
      <c r="E253" s="81">
        <v>7019277</v>
      </c>
      <c r="F253" s="81" t="s">
        <v>217</v>
      </c>
      <c r="G253" s="25">
        <f t="shared" si="5"/>
        <v>-4.4455734789788925E-3</v>
      </c>
      <c r="I253" s="81">
        <v>112.62</v>
      </c>
      <c r="J253" s="81">
        <v>113.1</v>
      </c>
      <c r="K253" s="81">
        <v>110.53</v>
      </c>
      <c r="L253" s="81">
        <v>111.575</v>
      </c>
      <c r="M253" s="81">
        <v>8404619</v>
      </c>
      <c r="N253" s="81" t="s">
        <v>217</v>
      </c>
      <c r="O253" s="25">
        <f t="shared" si="6"/>
        <v>9.365897378444954E-3</v>
      </c>
      <c r="Q253" s="82">
        <v>-3.0000000000000001E-3</v>
      </c>
      <c r="R253">
        <v>29</v>
      </c>
      <c r="T253" s="54">
        <f t="shared" si="4"/>
        <v>-6.0000000000000001E-3</v>
      </c>
      <c r="U253" s="1">
        <f t="shared" si="3"/>
        <v>26.529507234546301</v>
      </c>
    </row>
    <row r="254" spans="1:21" ht="15">
      <c r="A254" s="81">
        <v>625.24</v>
      </c>
      <c r="B254" s="81">
        <v>630.63</v>
      </c>
      <c r="C254" s="81">
        <v>625.1</v>
      </c>
      <c r="D254" s="81">
        <v>628.80999999999995</v>
      </c>
      <c r="E254" s="81">
        <v>6171678</v>
      </c>
      <c r="F254" s="81" t="s">
        <v>218</v>
      </c>
      <c r="G254" s="25">
        <f t="shared" si="5"/>
        <v>-5.6773906267393315E-3</v>
      </c>
      <c r="I254" s="81">
        <v>111.84</v>
      </c>
      <c r="J254" s="81">
        <v>113.5801</v>
      </c>
      <c r="K254" s="81">
        <v>109.55</v>
      </c>
      <c r="L254" s="81">
        <v>110.13</v>
      </c>
      <c r="M254" s="81">
        <v>8207166</v>
      </c>
      <c r="N254" s="81" t="s">
        <v>218</v>
      </c>
      <c r="O254" s="25">
        <f t="shared" si="6"/>
        <v>1.5527104331245045E-2</v>
      </c>
      <c r="Q254" s="82">
        <v>-2E-3</v>
      </c>
      <c r="R254">
        <v>28</v>
      </c>
      <c r="T254" s="54">
        <f t="shared" si="4"/>
        <v>-5.0000000000000001E-3</v>
      </c>
      <c r="U254" s="1">
        <f t="shared" si="3"/>
        <v>27.477294444590893</v>
      </c>
    </row>
    <row r="255" spans="1:21" ht="15">
      <c r="A255" s="81">
        <v>631.95000000000005</v>
      </c>
      <c r="B255" s="81">
        <v>634.13</v>
      </c>
      <c r="C255" s="81">
        <v>627.87</v>
      </c>
      <c r="D255" s="81">
        <v>633.21</v>
      </c>
      <c r="E255" s="81">
        <v>6037388</v>
      </c>
      <c r="F255" s="81" t="s">
        <v>219</v>
      </c>
      <c r="G255" s="25">
        <f t="shared" si="5"/>
        <v>-1.9898611834936464E-3</v>
      </c>
      <c r="I255" s="81">
        <v>110.24</v>
      </c>
      <c r="J255" s="81">
        <v>111.53</v>
      </c>
      <c r="K255" s="81">
        <v>110.01</v>
      </c>
      <c r="L255" s="81">
        <v>111.18</v>
      </c>
      <c r="M255" s="81">
        <v>6897680</v>
      </c>
      <c r="N255" s="81" t="s">
        <v>219</v>
      </c>
      <c r="O255" s="25">
        <f t="shared" si="6"/>
        <v>-8.4547580500090591E-3</v>
      </c>
      <c r="Q255" s="82">
        <v>-1E-3</v>
      </c>
      <c r="R255">
        <v>21</v>
      </c>
      <c r="T255" s="54">
        <f t="shared" si="4"/>
        <v>-4.0000000000000001E-3</v>
      </c>
      <c r="U255" s="1">
        <f t="shared" si="3"/>
        <v>28.297337510259602</v>
      </c>
    </row>
    <row r="256" spans="1:21" ht="15">
      <c r="A256" s="81">
        <v>631.69000000000005</v>
      </c>
      <c r="B256" s="81">
        <v>633.39</v>
      </c>
      <c r="C256" s="81">
        <v>629.64</v>
      </c>
      <c r="D256" s="81">
        <v>631.71</v>
      </c>
      <c r="E256" s="81">
        <v>5575277</v>
      </c>
      <c r="F256" s="81" t="s">
        <v>220</v>
      </c>
      <c r="G256" s="25">
        <f t="shared" si="5"/>
        <v>-3.1660097196462011E-5</v>
      </c>
      <c r="I256" s="81">
        <v>111.65</v>
      </c>
      <c r="J256" s="81">
        <v>112.48</v>
      </c>
      <c r="K256" s="81">
        <v>111.4623</v>
      </c>
      <c r="L256" s="81">
        <v>111.91</v>
      </c>
      <c r="M256" s="81">
        <v>6779569</v>
      </c>
      <c r="N256" s="81" t="s">
        <v>220</v>
      </c>
      <c r="O256" s="25">
        <f t="shared" si="6"/>
        <v>-2.3232955053167359E-3</v>
      </c>
      <c r="Q256" s="82">
        <v>0</v>
      </c>
      <c r="R256">
        <v>19</v>
      </c>
      <c r="T256" s="54">
        <f t="shared" si="4"/>
        <v>-3.0000000000000001E-3</v>
      </c>
      <c r="U256" s="1">
        <f t="shared" si="3"/>
        <v>28.976371754942452</v>
      </c>
    </row>
    <row r="257" spans="1:21" ht="15">
      <c r="A257" s="81">
        <v>630</v>
      </c>
      <c r="B257" s="81">
        <v>630.29</v>
      </c>
      <c r="C257" s="81">
        <v>627.16</v>
      </c>
      <c r="D257" s="81">
        <v>627.74</v>
      </c>
      <c r="E257" s="81">
        <v>7804316</v>
      </c>
      <c r="F257" s="81" t="s">
        <v>221</v>
      </c>
      <c r="G257" s="25">
        <f t="shared" si="5"/>
        <v>3.600216650205379E-3</v>
      </c>
      <c r="I257" s="81">
        <v>112.34</v>
      </c>
      <c r="J257" s="81">
        <v>112.6</v>
      </c>
      <c r="K257" s="81">
        <v>111.31</v>
      </c>
      <c r="L257" s="81">
        <v>111.94</v>
      </c>
      <c r="M257" s="81">
        <v>6029584</v>
      </c>
      <c r="N257" s="81" t="s">
        <v>221</v>
      </c>
      <c r="O257" s="25">
        <f t="shared" si="6"/>
        <v>3.5733428622477525E-3</v>
      </c>
      <c r="Q257" s="82">
        <v>1E-3</v>
      </c>
      <c r="R257">
        <v>28</v>
      </c>
      <c r="T257" s="54">
        <f>T258-0.001</f>
        <v>-2E-3</v>
      </c>
      <c r="U257" s="1">
        <f t="shared" si="3"/>
        <v>29.503209132038897</v>
      </c>
    </row>
    <row r="258" spans="1:21" ht="15">
      <c r="A258" s="81">
        <v>622.54999999999995</v>
      </c>
      <c r="B258" s="81">
        <v>623.78989999999999</v>
      </c>
      <c r="C258" s="81">
        <v>621.20699999999999</v>
      </c>
      <c r="D258" s="81">
        <v>621.91999999999996</v>
      </c>
      <c r="E258" s="81">
        <v>5650844</v>
      </c>
      <c r="F258" s="81" t="s">
        <v>222</v>
      </c>
      <c r="G258" s="25">
        <f t="shared" si="5"/>
        <v>1.0129920246977342E-3</v>
      </c>
      <c r="I258" s="81">
        <v>111.68</v>
      </c>
      <c r="J258" s="81">
        <v>113.65</v>
      </c>
      <c r="K258" s="81">
        <v>111.59</v>
      </c>
      <c r="L258" s="81">
        <v>113.23</v>
      </c>
      <c r="M258" s="81">
        <v>6225109</v>
      </c>
      <c r="N258" s="81" t="s">
        <v>222</v>
      </c>
      <c r="O258" s="25">
        <f t="shared" si="6"/>
        <v>-1.3688951691247842E-2</v>
      </c>
      <c r="Q258" s="82">
        <v>2E-3</v>
      </c>
      <c r="R258">
        <v>34</v>
      </c>
      <c r="T258" s="54">
        <f>T259-0.001</f>
        <v>-1E-3</v>
      </c>
      <c r="U258" s="1">
        <f t="shared" si="3"/>
        <v>29.869044753163788</v>
      </c>
    </row>
    <row r="259" spans="1:21" ht="15">
      <c r="A259" s="81">
        <v>617.44000000000005</v>
      </c>
      <c r="B259" s="81">
        <v>618.47400000000005</v>
      </c>
      <c r="C259" s="81">
        <v>613.99</v>
      </c>
      <c r="D259" s="81">
        <v>614.25</v>
      </c>
      <c r="E259" s="81">
        <v>5825360</v>
      </c>
      <c r="F259" s="81" t="s">
        <v>223</v>
      </c>
      <c r="G259" s="25">
        <f t="shared" si="5"/>
        <v>5.1933251933253821E-3</v>
      </c>
      <c r="I259" s="81">
        <v>113.03</v>
      </c>
      <c r="J259" s="81">
        <v>113.83</v>
      </c>
      <c r="K259" s="81">
        <v>111.90009999999999</v>
      </c>
      <c r="L259" s="81">
        <v>113.17</v>
      </c>
      <c r="M259" s="81">
        <v>6930967</v>
      </c>
      <c r="N259" s="81" t="s">
        <v>223</v>
      </c>
      <c r="O259" s="25">
        <f t="shared" si="6"/>
        <v>-1.2370769638596624E-3</v>
      </c>
      <c r="Q259" s="82">
        <v>3.0000000000000001E-3</v>
      </c>
      <c r="R259">
        <v>20</v>
      </c>
      <c r="T259" s="54">
        <v>0</v>
      </c>
      <c r="U259" s="1">
        <f t="shared" si="3"/>
        <v>30.067701652451042</v>
      </c>
    </row>
    <row r="260" spans="1:21" ht="15">
      <c r="A260" s="81">
        <v>613.97</v>
      </c>
      <c r="B260" s="81">
        <v>617.83000000000004</v>
      </c>
      <c r="C260" s="81">
        <v>609.83000000000004</v>
      </c>
      <c r="D260" s="81">
        <v>617.83000000000004</v>
      </c>
      <c r="E260" s="81">
        <v>6119026</v>
      </c>
      <c r="F260" s="81" t="s">
        <v>224</v>
      </c>
      <c r="G260" s="25">
        <f t="shared" si="5"/>
        <v>-6.247673308191648E-3</v>
      </c>
      <c r="I260" s="81">
        <v>113.08</v>
      </c>
      <c r="J260" s="81">
        <v>114.28</v>
      </c>
      <c r="K260" s="81">
        <v>112.98</v>
      </c>
      <c r="L260" s="81">
        <v>114</v>
      </c>
      <c r="M260" s="81">
        <v>7017483</v>
      </c>
      <c r="N260" s="81" t="s">
        <v>224</v>
      </c>
      <c r="O260" s="25">
        <f t="shared" si="6"/>
        <v>-8.0701754385965607E-3</v>
      </c>
      <c r="Q260" s="82">
        <v>4.0000000000000001E-3</v>
      </c>
      <c r="R260">
        <v>29</v>
      </c>
      <c r="T260" s="25">
        <f>T259+0.001</f>
        <v>1E-3</v>
      </c>
      <c r="U260" s="1">
        <f t="shared" si="3"/>
        <v>30.095804280286409</v>
      </c>
    </row>
    <row r="261" spans="1:21" ht="15">
      <c r="A261" s="81">
        <v>617.09</v>
      </c>
      <c r="B261" s="81">
        <v>618.74</v>
      </c>
      <c r="C261" s="81">
        <v>615.98099999999999</v>
      </c>
      <c r="D261" s="81">
        <v>617.33000000000004</v>
      </c>
      <c r="E261" s="81">
        <v>4156131</v>
      </c>
      <c r="F261" s="81" t="s">
        <v>225</v>
      </c>
      <c r="G261" s="25">
        <f t="shared" si="5"/>
        <v>-3.8877099768364065E-4</v>
      </c>
      <c r="I261" s="81">
        <v>114.3</v>
      </c>
      <c r="J261" s="81">
        <v>114.5395</v>
      </c>
      <c r="K261" s="81">
        <v>112.04</v>
      </c>
      <c r="L261" s="81">
        <v>112.25</v>
      </c>
      <c r="M261" s="81">
        <v>7873840</v>
      </c>
      <c r="N261" s="81" t="s">
        <v>225</v>
      </c>
      <c r="O261" s="25">
        <f t="shared" si="6"/>
        <v>1.826280623608012E-2</v>
      </c>
      <c r="Q261" s="82">
        <v>5.0000000000000001E-3</v>
      </c>
      <c r="R261">
        <v>25</v>
      </c>
      <c r="T261" s="25">
        <f>T260+0.001</f>
        <v>2E-3</v>
      </c>
      <c r="U261" s="1">
        <f t="shared" si="3"/>
        <v>29.952873917334962</v>
      </c>
    </row>
    <row r="262" spans="1:21" ht="15">
      <c r="A262" s="81">
        <v>617.16999999999996</v>
      </c>
      <c r="B262" s="81">
        <v>618.01</v>
      </c>
      <c r="C262" s="81">
        <v>613.51</v>
      </c>
      <c r="D262" s="81">
        <v>613.51</v>
      </c>
      <c r="E262" s="81">
        <v>4049225</v>
      </c>
      <c r="F262" s="81" t="s">
        <v>226</v>
      </c>
      <c r="G262" s="25">
        <f t="shared" si="5"/>
        <v>5.9656729311665657E-3</v>
      </c>
      <c r="I262" s="81">
        <v>111.96</v>
      </c>
      <c r="J262" s="81">
        <v>112.25</v>
      </c>
      <c r="K262" s="81">
        <v>110.6</v>
      </c>
      <c r="L262" s="81">
        <v>111.03</v>
      </c>
      <c r="M262" s="81">
        <v>7713377</v>
      </c>
      <c r="N262" s="81" t="s">
        <v>226</v>
      </c>
      <c r="O262" s="25">
        <f t="shared" si="6"/>
        <v>8.3761145636314094E-3</v>
      </c>
      <c r="Q262" s="82">
        <v>6.0000000000000001E-3</v>
      </c>
      <c r="R262">
        <v>24</v>
      </c>
      <c r="T262" s="25">
        <f>T261+0.001</f>
        <v>3.0000000000000001E-3</v>
      </c>
      <c r="U262" s="1">
        <f t="shared" si="3"/>
        <v>29.641342240202306</v>
      </c>
    </row>
    <row r="263" spans="1:21" ht="15">
      <c r="A263" s="81">
        <v>610.76</v>
      </c>
      <c r="B263" s="81">
        <v>612.02</v>
      </c>
      <c r="C263" s="81">
        <v>605.1</v>
      </c>
      <c r="D263" s="81">
        <v>606.34</v>
      </c>
      <c r="E263" s="81">
        <v>6884090</v>
      </c>
      <c r="F263" s="81" t="s">
        <v>227</v>
      </c>
      <c r="G263" s="25">
        <f t="shared" si="5"/>
        <v>7.289639476201426E-3</v>
      </c>
      <c r="I263" s="81">
        <v>110.67</v>
      </c>
      <c r="J263" s="81">
        <v>111.46</v>
      </c>
      <c r="K263" s="81">
        <v>109.44</v>
      </c>
      <c r="L263" s="81">
        <v>109.74</v>
      </c>
      <c r="M263" s="81">
        <v>9928744</v>
      </c>
      <c r="N263" s="81" t="s">
        <v>227</v>
      </c>
      <c r="O263" s="25">
        <f t="shared" si="6"/>
        <v>8.4745762711864181E-3</v>
      </c>
      <c r="Q263" s="82">
        <v>7.0000000000000001E-3</v>
      </c>
      <c r="R263">
        <v>15</v>
      </c>
      <c r="T263" s="25">
        <f t="shared" ref="T263:T304" si="7">T262+0.001</f>
        <v>4.0000000000000001E-3</v>
      </c>
      <c r="U263" s="1">
        <f t="shared" si="3"/>
        <v>29.166482501565287</v>
      </c>
    </row>
    <row r="264" spans="1:21" ht="15">
      <c r="A264" s="81">
        <v>607.39</v>
      </c>
      <c r="B264" s="81">
        <v>614.79999999999995</v>
      </c>
      <c r="C264" s="81">
        <v>604.14</v>
      </c>
      <c r="D264" s="81">
        <v>613.11</v>
      </c>
      <c r="E264" s="81">
        <v>7533209</v>
      </c>
      <c r="F264" s="81" t="s">
        <v>228</v>
      </c>
      <c r="G264" s="25">
        <f t="shared" si="5"/>
        <v>-9.3294841056255073E-3</v>
      </c>
      <c r="I264" s="81">
        <v>109.88</v>
      </c>
      <c r="J264" s="81">
        <v>112.08499999999999</v>
      </c>
      <c r="K264" s="81">
        <v>108.51</v>
      </c>
      <c r="L264" s="81">
        <v>111.79</v>
      </c>
      <c r="M264" s="81">
        <v>7490291</v>
      </c>
      <c r="N264" s="81" t="s">
        <v>228</v>
      </c>
      <c r="O264" s="25">
        <f t="shared" si="6"/>
        <v>-1.7085606941587006E-2</v>
      </c>
      <c r="Q264" s="82">
        <v>8.0000000000000002E-3</v>
      </c>
      <c r="R264">
        <v>27</v>
      </c>
      <c r="T264" s="25">
        <f t="shared" si="7"/>
        <v>5.0000000000000001E-3</v>
      </c>
      <c r="U264" s="1">
        <f t="shared" si="3"/>
        <v>28.53626104640032</v>
      </c>
    </row>
    <row r="265" spans="1:21" ht="15">
      <c r="A265" s="81">
        <v>611.42999999999995</v>
      </c>
      <c r="B265" s="81">
        <v>616.20500000000004</v>
      </c>
      <c r="C265" s="81">
        <v>605.82000000000005</v>
      </c>
      <c r="D265" s="81">
        <v>613.07000000000005</v>
      </c>
      <c r="E265" s="81">
        <v>6474986</v>
      </c>
      <c r="F265" s="81" t="s">
        <v>229</v>
      </c>
      <c r="G265" s="25">
        <f t="shared" si="5"/>
        <v>-2.6750615753504681E-3</v>
      </c>
      <c r="I265" s="81">
        <v>111.71</v>
      </c>
      <c r="J265" s="81">
        <v>112.675</v>
      </c>
      <c r="K265" s="81">
        <v>111.14</v>
      </c>
      <c r="L265" s="81">
        <v>111.47</v>
      </c>
      <c r="M265" s="81">
        <v>6826918</v>
      </c>
      <c r="N265" s="81" t="s">
        <v>229</v>
      </c>
      <c r="O265" s="25">
        <f t="shared" si="6"/>
        <v>2.1530456625100669E-3</v>
      </c>
      <c r="Q265" s="82">
        <v>9.0000000000000011E-3</v>
      </c>
      <c r="R265">
        <v>19</v>
      </c>
      <c r="T265" s="25">
        <f t="shared" si="7"/>
        <v>6.0000000000000001E-3</v>
      </c>
      <c r="U265" s="1">
        <f t="shared" si="3"/>
        <v>27.761115006606474</v>
      </c>
    </row>
    <row r="266" spans="1:21" ht="15">
      <c r="A266" s="81">
        <v>608.75</v>
      </c>
      <c r="B266" s="81">
        <v>612.14</v>
      </c>
      <c r="C266" s="81">
        <v>600.51</v>
      </c>
      <c r="D266" s="81">
        <v>604.20000000000005</v>
      </c>
      <c r="E266" s="81">
        <v>7469018</v>
      </c>
      <c r="F266" s="81" t="s">
        <v>230</v>
      </c>
      <c r="G266" s="25">
        <f t="shared" si="5"/>
        <v>7.5306190003310292E-3</v>
      </c>
      <c r="I266" s="81">
        <v>111.17</v>
      </c>
      <c r="J266" s="81">
        <v>111.84</v>
      </c>
      <c r="K266" s="81">
        <v>109.2</v>
      </c>
      <c r="L266" s="81">
        <v>109.65</v>
      </c>
      <c r="M266" s="81">
        <v>7846376</v>
      </c>
      <c r="N266" s="81" t="s">
        <v>230</v>
      </c>
      <c r="O266" s="25">
        <f t="shared" si="6"/>
        <v>1.3862289101687075E-2</v>
      </c>
      <c r="Q266" s="82">
        <v>1.0000000000000002E-2</v>
      </c>
      <c r="R266">
        <v>23</v>
      </c>
      <c r="T266" s="25">
        <f t="shared" si="7"/>
        <v>7.0000000000000001E-3</v>
      </c>
      <c r="U266" s="1">
        <f t="shared" si="3"/>
        <v>26.853664841997567</v>
      </c>
    </row>
    <row r="267" spans="1:21" ht="15">
      <c r="A267" s="81">
        <v>609.61</v>
      </c>
      <c r="B267" s="81">
        <v>611.02719999999999</v>
      </c>
      <c r="C267" s="81">
        <v>606.57500000000005</v>
      </c>
      <c r="D267" s="81">
        <v>607.37</v>
      </c>
      <c r="E267" s="81">
        <v>6942460</v>
      </c>
      <c r="F267" s="81" t="s">
        <v>231</v>
      </c>
      <c r="G267" s="25">
        <f t="shared" si="5"/>
        <v>3.6880320068493067E-3</v>
      </c>
      <c r="I267" s="81">
        <v>110.27</v>
      </c>
      <c r="J267" s="81">
        <v>110.96</v>
      </c>
      <c r="K267" s="81">
        <v>109.38</v>
      </c>
      <c r="L267" s="81">
        <v>110.39</v>
      </c>
      <c r="M267" s="81">
        <v>7147641</v>
      </c>
      <c r="N267" s="81" t="s">
        <v>231</v>
      </c>
      <c r="O267" s="25">
        <f t="shared" si="6"/>
        <v>-1.0870549868647883E-3</v>
      </c>
      <c r="Q267" s="82">
        <v>1.1000000000000003E-2</v>
      </c>
      <c r="R267">
        <v>16</v>
      </c>
      <c r="T267" s="25">
        <f t="shared" si="7"/>
        <v>8.0000000000000002E-3</v>
      </c>
      <c r="U267" s="1">
        <f t="shared" si="3"/>
        <v>25.828372787625121</v>
      </c>
    </row>
    <row r="268" spans="1:21" ht="15">
      <c r="A268" s="81">
        <v>600.51</v>
      </c>
      <c r="B268" s="81">
        <v>619.6</v>
      </c>
      <c r="C268" s="81">
        <v>600.23</v>
      </c>
      <c r="D268" s="81">
        <v>617.99</v>
      </c>
      <c r="E268" s="81">
        <v>13339202</v>
      </c>
      <c r="F268" s="81" t="s">
        <v>232</v>
      </c>
      <c r="G268" s="25">
        <f t="shared" si="5"/>
        <v>-2.8285247334099317E-2</v>
      </c>
      <c r="I268" s="81">
        <v>109.19</v>
      </c>
      <c r="J268" s="81">
        <v>112.68</v>
      </c>
      <c r="K268" s="81">
        <v>109.11</v>
      </c>
      <c r="L268" s="81">
        <v>111.53</v>
      </c>
      <c r="M268" s="81">
        <v>9454735</v>
      </c>
      <c r="N268" s="81" t="s">
        <v>232</v>
      </c>
      <c r="O268" s="25">
        <f t="shared" si="6"/>
        <v>-2.0980901999462009E-2</v>
      </c>
      <c r="Q268" s="82">
        <v>1.2000000000000004E-2</v>
      </c>
      <c r="R268">
        <v>15</v>
      </c>
      <c r="T268" s="25">
        <f t="shared" si="7"/>
        <v>9.0000000000000011E-3</v>
      </c>
      <c r="U268" s="1">
        <f t="shared" si="3"/>
        <v>24.70116011346375</v>
      </c>
    </row>
    <row r="269" spans="1:21" ht="15">
      <c r="A269" s="81">
        <v>617.1</v>
      </c>
      <c r="B269" s="81">
        <v>619.59</v>
      </c>
      <c r="C269" s="81">
        <v>615.28</v>
      </c>
      <c r="D269" s="81">
        <v>619.23</v>
      </c>
      <c r="E269" s="81">
        <v>5879748</v>
      </c>
      <c r="F269" s="81" t="s">
        <v>233</v>
      </c>
      <c r="G269" s="25">
        <f t="shared" si="5"/>
        <v>-3.439755825783597E-3</v>
      </c>
      <c r="I269" s="81">
        <v>110.99</v>
      </c>
      <c r="J269" s="81">
        <v>113</v>
      </c>
      <c r="K269" s="81">
        <v>110.875</v>
      </c>
      <c r="L269" s="81">
        <v>111.82</v>
      </c>
      <c r="M269" s="81">
        <v>6366005</v>
      </c>
      <c r="N269" s="81" t="s">
        <v>233</v>
      </c>
      <c r="O269" s="25">
        <f t="shared" si="6"/>
        <v>-7.4226435342514829E-3</v>
      </c>
      <c r="Q269" s="82">
        <v>1.3000000000000005E-2</v>
      </c>
      <c r="R269">
        <v>20</v>
      </c>
      <c r="T269" s="25">
        <f t="shared" si="7"/>
        <v>1.0000000000000002E-2</v>
      </c>
      <c r="U269" s="1">
        <f t="shared" si="3"/>
        <v>23.488997323276021</v>
      </c>
    </row>
    <row r="270" spans="1:21" ht="15">
      <c r="A270" s="81">
        <v>618.77</v>
      </c>
      <c r="B270" s="81">
        <v>618.9</v>
      </c>
      <c r="C270" s="81">
        <v>615.46420000000001</v>
      </c>
      <c r="D270" s="81">
        <v>616.21500000000003</v>
      </c>
      <c r="E270" s="81">
        <v>5000436</v>
      </c>
      <c r="F270" s="81" t="s">
        <v>234</v>
      </c>
      <c r="G270" s="25">
        <f t="shared" si="5"/>
        <v>4.1462801132721161E-3</v>
      </c>
      <c r="I270" s="81">
        <v>111.89</v>
      </c>
      <c r="J270" s="81">
        <v>113.2</v>
      </c>
      <c r="K270" s="81">
        <v>111.65</v>
      </c>
      <c r="L270" s="81">
        <v>112.80500000000001</v>
      </c>
      <c r="M270" s="81">
        <v>7013053</v>
      </c>
      <c r="N270" s="81" t="s">
        <v>234</v>
      </c>
      <c r="O270" s="25">
        <f t="shared" si="6"/>
        <v>-8.1113425823323704E-3</v>
      </c>
      <c r="Q270" s="82">
        <v>1.4000000000000005E-2</v>
      </c>
      <c r="R270">
        <v>12</v>
      </c>
      <c r="T270" s="25">
        <f t="shared" si="7"/>
        <v>1.1000000000000003E-2</v>
      </c>
      <c r="U270" s="1">
        <f t="shared" si="3"/>
        <v>22.209481972531901</v>
      </c>
    </row>
    <row r="271" spans="1:21" ht="15">
      <c r="A271" s="81">
        <v>615.20000000000005</v>
      </c>
      <c r="B271" s="81">
        <v>618.73929999999996</v>
      </c>
      <c r="C271" s="81">
        <v>613.82000000000005</v>
      </c>
      <c r="D271" s="81">
        <v>618.29999999999995</v>
      </c>
      <c r="E271" s="81">
        <v>7439508</v>
      </c>
      <c r="F271" s="81" t="s">
        <v>235</v>
      </c>
      <c r="G271" s="25">
        <f t="shared" si="5"/>
        <v>-5.0137473718258052E-3</v>
      </c>
      <c r="I271" s="81">
        <v>112.53</v>
      </c>
      <c r="J271" s="81">
        <v>113.4</v>
      </c>
      <c r="K271" s="81">
        <v>111.8</v>
      </c>
      <c r="L271" s="81">
        <v>112.63</v>
      </c>
      <c r="M271" s="81">
        <v>5188949</v>
      </c>
      <c r="N271" s="81" t="s">
        <v>235</v>
      </c>
      <c r="O271" s="25">
        <f t="shared" si="6"/>
        <v>-8.8786291396603101E-4</v>
      </c>
      <c r="Q271" s="82">
        <v>1.5000000000000006E-2</v>
      </c>
      <c r="R271">
        <v>16</v>
      </c>
      <c r="T271" s="25">
        <f t="shared" si="7"/>
        <v>1.2000000000000004E-2</v>
      </c>
      <c r="U271" s="1">
        <f t="shared" si="3"/>
        <v>20.880418666559631</v>
      </c>
    </row>
    <row r="272" spans="1:21" ht="15">
      <c r="A272" s="81">
        <v>617.4</v>
      </c>
      <c r="B272" s="81">
        <v>618.28</v>
      </c>
      <c r="C272" s="81">
        <v>615.48</v>
      </c>
      <c r="D272" s="81">
        <v>617.46</v>
      </c>
      <c r="E272" s="81">
        <v>5958193</v>
      </c>
      <c r="F272" s="81" t="s">
        <v>236</v>
      </c>
      <c r="G272" s="25">
        <f t="shared" si="5"/>
        <v>-9.7172286463997892E-5</v>
      </c>
      <c r="I272" s="81">
        <v>112.75</v>
      </c>
      <c r="J272" s="81">
        <v>113.105</v>
      </c>
      <c r="K272" s="81">
        <v>111.45</v>
      </c>
      <c r="L272" s="81">
        <v>112.69</v>
      </c>
      <c r="M272" s="81">
        <v>6080812</v>
      </c>
      <c r="N272" s="81" t="s">
        <v>236</v>
      </c>
      <c r="O272" s="25">
        <f t="shared" si="6"/>
        <v>5.3243411127867901E-4</v>
      </c>
      <c r="Q272" s="82">
        <v>1.6000000000000007E-2</v>
      </c>
      <c r="R272">
        <v>9</v>
      </c>
      <c r="T272" s="25">
        <f t="shared" si="7"/>
        <v>1.3000000000000005E-2</v>
      </c>
      <c r="U272" s="1">
        <f t="shared" si="3"/>
        <v>19.519415042925917</v>
      </c>
    </row>
    <row r="273" spans="1:21" ht="15">
      <c r="A273" s="81">
        <v>615.29999999999995</v>
      </c>
      <c r="B273" s="81">
        <v>618.41999999999996</v>
      </c>
      <c r="C273" s="81">
        <v>614.28800000000001</v>
      </c>
      <c r="D273" s="81">
        <v>615.95000000000005</v>
      </c>
      <c r="E273" s="81">
        <v>7187163</v>
      </c>
      <c r="F273" s="81" t="s">
        <v>237</v>
      </c>
      <c r="G273" s="25">
        <f t="shared" si="5"/>
        <v>-1.0552804610765021E-3</v>
      </c>
      <c r="I273" s="81">
        <v>112.47</v>
      </c>
      <c r="J273" s="81">
        <v>113.57</v>
      </c>
      <c r="K273" s="81">
        <v>111.56</v>
      </c>
      <c r="L273" s="81">
        <v>112.035</v>
      </c>
      <c r="M273" s="81">
        <v>7140236</v>
      </c>
      <c r="N273" s="81" t="s">
        <v>237</v>
      </c>
      <c r="O273" s="25">
        <f t="shared" si="6"/>
        <v>3.8827152229214956E-3</v>
      </c>
      <c r="Q273" s="82">
        <v>1.7000000000000008E-2</v>
      </c>
      <c r="R273">
        <v>4</v>
      </c>
      <c r="T273" s="25">
        <f t="shared" si="7"/>
        <v>1.4000000000000005E-2</v>
      </c>
      <c r="U273" s="1">
        <f t="shared" si="3"/>
        <v>18.1435062134268</v>
      </c>
    </row>
    <row r="274" spans="1:21" ht="15">
      <c r="A274" s="81">
        <v>615.25</v>
      </c>
      <c r="B274" s="81">
        <v>616.48</v>
      </c>
      <c r="C274" s="81">
        <v>613.02</v>
      </c>
      <c r="D274" s="81">
        <v>616.41</v>
      </c>
      <c r="E274" s="81">
        <v>7036646</v>
      </c>
      <c r="F274" s="81" t="s">
        <v>238</v>
      </c>
      <c r="G274" s="25">
        <f t="shared" si="5"/>
        <v>-1.8818643435375426E-3</v>
      </c>
      <c r="I274" s="81">
        <v>112.14</v>
      </c>
      <c r="J274" s="81">
        <v>113.17</v>
      </c>
      <c r="K274" s="81">
        <v>110.77500000000001</v>
      </c>
      <c r="L274" s="81">
        <v>112.97499999999999</v>
      </c>
      <c r="M274" s="81">
        <v>8497577</v>
      </c>
      <c r="N274" s="81" t="s">
        <v>238</v>
      </c>
      <c r="O274" s="25">
        <f t="shared" si="6"/>
        <v>-7.3910157114405184E-3</v>
      </c>
      <c r="Q274" s="82">
        <v>1.8000000000000009E-2</v>
      </c>
      <c r="R274">
        <v>10</v>
      </c>
      <c r="T274" s="25">
        <f t="shared" si="7"/>
        <v>1.5000000000000006E-2</v>
      </c>
      <c r="U274" s="1">
        <f t="shared" si="3"/>
        <v>16.768818336210032</v>
      </c>
    </row>
    <row r="275" spans="1:21" ht="15">
      <c r="A275" s="81">
        <v>614.57000000000005</v>
      </c>
      <c r="B275" s="81">
        <v>615.39</v>
      </c>
      <c r="C275" s="81">
        <v>609.57000000000005</v>
      </c>
      <c r="D275" s="81">
        <v>609.70000000000005</v>
      </c>
      <c r="E275" s="81">
        <v>9753029</v>
      </c>
      <c r="F275" s="81" t="s">
        <v>239</v>
      </c>
      <c r="G275" s="25">
        <f t="shared" si="5"/>
        <v>7.9875348532065793E-3</v>
      </c>
      <c r="I275" s="81">
        <v>112.95</v>
      </c>
      <c r="J275" s="81">
        <v>116.059</v>
      </c>
      <c r="K275" s="81">
        <v>112.79</v>
      </c>
      <c r="L275" s="81">
        <v>114.08</v>
      </c>
      <c r="M275" s="81">
        <v>9332803</v>
      </c>
      <c r="N275" s="81" t="s">
        <v>239</v>
      </c>
      <c r="O275" s="25">
        <f t="shared" si="6"/>
        <v>-9.905329593267842E-3</v>
      </c>
      <c r="Q275" s="82">
        <v>1.900000000000001E-2</v>
      </c>
      <c r="R275">
        <v>8</v>
      </c>
      <c r="T275" s="25">
        <f t="shared" si="7"/>
        <v>1.6000000000000007E-2</v>
      </c>
      <c r="U275" s="1">
        <f t="shared" si="3"/>
        <v>15.410279823596643</v>
      </c>
    </row>
    <row r="276" spans="1:21" ht="15">
      <c r="A276" s="81">
        <v>612.38</v>
      </c>
      <c r="B276" s="81">
        <v>612.86</v>
      </c>
      <c r="C276" s="81">
        <v>608.27</v>
      </c>
      <c r="D276" s="81">
        <v>609.42999999999995</v>
      </c>
      <c r="E276" s="81">
        <v>6481423</v>
      </c>
      <c r="F276" s="81" t="s">
        <v>240</v>
      </c>
      <c r="G276" s="25">
        <f t="shared" si="5"/>
        <v>4.8405887468618847E-3</v>
      </c>
      <c r="I276" s="81">
        <v>114.5</v>
      </c>
      <c r="J276" s="81">
        <v>114.88</v>
      </c>
      <c r="K276" s="81">
        <v>113.33499999999999</v>
      </c>
      <c r="L276" s="81">
        <v>114.53</v>
      </c>
      <c r="M276" s="81">
        <v>9286760</v>
      </c>
      <c r="N276" s="81" t="s">
        <v>240</v>
      </c>
      <c r="O276" s="25">
        <f t="shared" si="6"/>
        <v>-2.6194010302982296E-4</v>
      </c>
      <c r="Q276" s="82">
        <v>2.0000000000000011E-2</v>
      </c>
      <c r="R276">
        <v>8</v>
      </c>
      <c r="T276" s="25">
        <f t="shared" si="7"/>
        <v>1.7000000000000008E-2</v>
      </c>
      <c r="U276" s="1">
        <f t="shared" si="3"/>
        <v>14.081386295046416</v>
      </c>
    </row>
    <row r="277" spans="1:21" ht="15">
      <c r="A277" s="81">
        <v>610.13</v>
      </c>
      <c r="B277" s="81">
        <v>611.67999999999995</v>
      </c>
      <c r="C277" s="81">
        <v>608.48</v>
      </c>
      <c r="D277" s="81">
        <v>610.79</v>
      </c>
      <c r="E277" s="81">
        <v>5658835</v>
      </c>
      <c r="F277" s="81" t="s">
        <v>241</v>
      </c>
      <c r="G277" s="25">
        <f t="shared" si="5"/>
        <v>-1.0805677892564702E-3</v>
      </c>
      <c r="I277" s="81">
        <v>114.78</v>
      </c>
      <c r="J277" s="81">
        <v>115.01</v>
      </c>
      <c r="K277" s="81">
        <v>113.33</v>
      </c>
      <c r="L277" s="81">
        <v>113.47</v>
      </c>
      <c r="M277" s="81">
        <v>9304136</v>
      </c>
      <c r="N277" s="81" t="s">
        <v>241</v>
      </c>
      <c r="O277" s="25">
        <f t="shared" si="6"/>
        <v>1.1544901736141755E-2</v>
      </c>
      <c r="Q277" s="82">
        <v>2.1000000000000012E-2</v>
      </c>
      <c r="R277">
        <v>8</v>
      </c>
      <c r="T277" s="25">
        <f t="shared" si="7"/>
        <v>1.8000000000000009E-2</v>
      </c>
      <c r="U277" s="1">
        <f t="shared" si="3"/>
        <v>12.794022890586374</v>
      </c>
    </row>
    <row r="278" spans="1:21" ht="15">
      <c r="A278" s="81">
        <v>610.16</v>
      </c>
      <c r="B278" s="81">
        <v>610.70000000000005</v>
      </c>
      <c r="C278" s="81">
        <v>606.56500000000005</v>
      </c>
      <c r="D278" s="81">
        <v>608.03</v>
      </c>
      <c r="E278" s="81">
        <v>6438634</v>
      </c>
      <c r="F278" s="81" t="s">
        <v>242</v>
      </c>
      <c r="G278" s="25">
        <f t="shared" si="5"/>
        <v>3.5031166225349963E-3</v>
      </c>
      <c r="I278" s="81">
        <v>113.47</v>
      </c>
      <c r="J278" s="81">
        <v>113.57</v>
      </c>
      <c r="K278" s="81">
        <v>112.76</v>
      </c>
      <c r="L278" s="81">
        <v>113.13</v>
      </c>
      <c r="M278" s="81">
        <v>6145725</v>
      </c>
      <c r="N278" s="81" t="s">
        <v>242</v>
      </c>
      <c r="O278" s="25">
        <f t="shared" si="6"/>
        <v>3.0053920268717782E-3</v>
      </c>
      <c r="Q278" s="82">
        <v>2.2000000000000013E-2</v>
      </c>
      <c r="R278">
        <v>7</v>
      </c>
      <c r="T278" s="25">
        <f t="shared" si="7"/>
        <v>1.900000000000001E-2</v>
      </c>
      <c r="U278" s="1">
        <f t="shared" si="3"/>
        <v>11.558345097043398</v>
      </c>
    </row>
    <row r="279" spans="1:21" ht="15">
      <c r="A279" s="81">
        <v>606.59</v>
      </c>
      <c r="B279" s="81">
        <v>607.92999999999995</v>
      </c>
      <c r="C279" s="81">
        <v>603.35</v>
      </c>
      <c r="D279" s="81">
        <v>606.62</v>
      </c>
      <c r="E279" s="81">
        <v>6927746</v>
      </c>
      <c r="F279" s="81" t="s">
        <v>243</v>
      </c>
      <c r="G279" s="25">
        <f t="shared" si="5"/>
        <v>-4.9454353631572801E-5</v>
      </c>
      <c r="I279" s="81">
        <v>112.99</v>
      </c>
      <c r="J279" s="81">
        <v>114.05</v>
      </c>
      <c r="K279" s="81">
        <v>112.65</v>
      </c>
      <c r="L279" s="81">
        <v>112.71</v>
      </c>
      <c r="M279" s="81">
        <v>6171592</v>
      </c>
      <c r="N279" s="81" t="s">
        <v>243</v>
      </c>
      <c r="O279" s="25">
        <f t="shared" si="6"/>
        <v>2.4842516191996289E-3</v>
      </c>
      <c r="Q279" s="82">
        <v>2.3000000000000013E-2</v>
      </c>
      <c r="R279">
        <v>1</v>
      </c>
      <c r="T279" s="25">
        <f t="shared" si="7"/>
        <v>2.0000000000000011E-2</v>
      </c>
      <c r="U279" s="1">
        <f t="shared" ref="U279:U304" si="8">_xlfn.NORM.DIST(T279,$S$205,$S$207,FALSE)</f>
        <v>10.382716925314254</v>
      </c>
    </row>
    <row r="280" spans="1:21" ht="15">
      <c r="A280" s="81">
        <v>609.5</v>
      </c>
      <c r="B280" s="81">
        <v>612.74</v>
      </c>
      <c r="C280" s="81">
        <v>608.19000000000005</v>
      </c>
      <c r="D280" s="81">
        <v>612.63</v>
      </c>
      <c r="E280" s="81">
        <v>23764079</v>
      </c>
      <c r="F280" s="81" t="s">
        <v>244</v>
      </c>
      <c r="G280" s="25">
        <f t="shared" si="5"/>
        <v>-5.1091196970438624E-3</v>
      </c>
      <c r="I280" s="81">
        <v>113.43</v>
      </c>
      <c r="J280" s="81">
        <v>114.1499</v>
      </c>
      <c r="K280" s="81">
        <v>112.2</v>
      </c>
      <c r="L280" s="81">
        <v>112.41</v>
      </c>
      <c r="M280" s="81">
        <v>8569280</v>
      </c>
      <c r="N280" s="81" t="s">
        <v>244</v>
      </c>
      <c r="O280" s="25">
        <f t="shared" si="6"/>
        <v>9.0739258073126994E-3</v>
      </c>
      <c r="Q280" s="82">
        <v>2.4000000000000014E-2</v>
      </c>
      <c r="R280">
        <v>9</v>
      </c>
      <c r="T280" s="25">
        <f t="shared" si="7"/>
        <v>2.1000000000000012E-2</v>
      </c>
      <c r="U280" s="1">
        <f t="shared" si="8"/>
        <v>9.2737032118442215</v>
      </c>
    </row>
    <row r="281" spans="1:21" ht="15">
      <c r="A281" s="81">
        <v>611.54</v>
      </c>
      <c r="B281" s="81">
        <v>615.26</v>
      </c>
      <c r="C281" s="81">
        <v>610.34100000000001</v>
      </c>
      <c r="D281" s="81">
        <v>614.70500000000004</v>
      </c>
      <c r="E281" s="81">
        <v>10728553</v>
      </c>
      <c r="F281" s="81" t="s">
        <v>245</v>
      </c>
      <c r="G281" s="25">
        <f t="shared" si="5"/>
        <v>-5.148811218389393E-3</v>
      </c>
      <c r="I281" s="81">
        <v>112.25</v>
      </c>
      <c r="J281" s="81">
        <v>113.62</v>
      </c>
      <c r="K281" s="81">
        <v>111.6</v>
      </c>
      <c r="L281" s="81">
        <v>112.72</v>
      </c>
      <c r="M281" s="81">
        <v>13128296</v>
      </c>
      <c r="N281" s="81" t="s">
        <v>245</v>
      </c>
      <c r="O281" s="25">
        <f t="shared" si="6"/>
        <v>-4.1696238466997215E-3</v>
      </c>
      <c r="Q281" s="82">
        <v>2.5000000000000015E-2</v>
      </c>
      <c r="R281">
        <v>2</v>
      </c>
      <c r="T281" s="25">
        <f t="shared" si="7"/>
        <v>2.2000000000000013E-2</v>
      </c>
      <c r="U281" s="1">
        <f t="shared" si="8"/>
        <v>8.2361110796169701</v>
      </c>
    </row>
    <row r="282" spans="1:21" ht="15">
      <c r="A282" s="81">
        <v>614.76</v>
      </c>
      <c r="B282" s="81">
        <v>615.22</v>
      </c>
      <c r="C282" s="81">
        <v>610.51</v>
      </c>
      <c r="D282" s="81">
        <v>610.52</v>
      </c>
      <c r="E282" s="81">
        <v>11551587</v>
      </c>
      <c r="F282" s="81" t="s">
        <v>246</v>
      </c>
      <c r="G282" s="25">
        <f t="shared" si="5"/>
        <v>6.9448994299941003E-3</v>
      </c>
      <c r="I282" s="81">
        <v>112.56</v>
      </c>
      <c r="J282" s="81">
        <v>113.63</v>
      </c>
      <c r="K282" s="81">
        <v>111.52</v>
      </c>
      <c r="L282" s="81">
        <v>111.76</v>
      </c>
      <c r="M282" s="81">
        <v>14682216</v>
      </c>
      <c r="N282" s="81" t="s">
        <v>246</v>
      </c>
      <c r="O282" s="25">
        <f t="shared" si="6"/>
        <v>7.1581961345741352E-3</v>
      </c>
      <c r="Q282" s="82">
        <v>2.6000000000000016E-2</v>
      </c>
      <c r="R282">
        <v>0</v>
      </c>
      <c r="T282" s="25">
        <f t="shared" si="7"/>
        <v>2.3000000000000013E-2</v>
      </c>
      <c r="U282" s="1">
        <f t="shared" si="8"/>
        <v>7.2730742367212011</v>
      </c>
    </row>
    <row r="283" spans="1:21" ht="15">
      <c r="A283" s="81">
        <v>611.78</v>
      </c>
      <c r="B283" s="81">
        <v>612.66999999999996</v>
      </c>
      <c r="C283" s="81">
        <v>608.85</v>
      </c>
      <c r="D283" s="81">
        <v>610.62</v>
      </c>
      <c r="E283" s="81">
        <v>6065655</v>
      </c>
      <c r="F283" s="81" t="s">
        <v>247</v>
      </c>
      <c r="G283" s="25">
        <f t="shared" si="5"/>
        <v>1.899708493007024E-3</v>
      </c>
      <c r="I283" s="81">
        <v>113.76</v>
      </c>
      <c r="J283" s="81">
        <v>114.6</v>
      </c>
      <c r="K283" s="81">
        <v>111.93</v>
      </c>
      <c r="L283" s="81">
        <v>114.6</v>
      </c>
      <c r="M283" s="81">
        <v>23398424</v>
      </c>
      <c r="N283" s="81" t="s">
        <v>247</v>
      </c>
      <c r="O283" s="25">
        <f t="shared" si="6"/>
        <v>-7.3298429319370584E-3</v>
      </c>
      <c r="Q283" s="82">
        <v>2.7000000000000017E-2</v>
      </c>
      <c r="R283">
        <v>1</v>
      </c>
      <c r="T283" s="25">
        <f t="shared" si="7"/>
        <v>2.4000000000000014E-2</v>
      </c>
      <c r="U283" s="1">
        <f t="shared" si="8"/>
        <v>6.3861728418433854</v>
      </c>
    </row>
    <row r="284" spans="1:21" ht="15">
      <c r="A284" s="81">
        <v>608.94000000000005</v>
      </c>
      <c r="B284" s="81">
        <v>611.30999999999995</v>
      </c>
      <c r="C284" s="81">
        <v>607.07000000000005</v>
      </c>
      <c r="D284" s="81">
        <v>608.54999999999995</v>
      </c>
      <c r="E284" s="81">
        <v>11029230</v>
      </c>
      <c r="F284" s="81" t="s">
        <v>248</v>
      </c>
      <c r="G284" s="25">
        <f t="shared" si="5"/>
        <v>6.4086763618442788E-4</v>
      </c>
      <c r="I284" s="81">
        <v>114.86</v>
      </c>
      <c r="J284" s="81">
        <v>115.78</v>
      </c>
      <c r="K284" s="81">
        <v>114.05</v>
      </c>
      <c r="L284" s="81">
        <v>115.33</v>
      </c>
      <c r="M284" s="81">
        <v>9299087</v>
      </c>
      <c r="N284" s="81" t="s">
        <v>248</v>
      </c>
      <c r="O284" s="25">
        <f t="shared" si="6"/>
        <v>-4.0752622908176717E-3</v>
      </c>
      <c r="Q284" s="82">
        <v>2.8000000000000018E-2</v>
      </c>
      <c r="R284">
        <v>2</v>
      </c>
      <c r="T284" s="25">
        <f t="shared" si="7"/>
        <v>2.5000000000000015E-2</v>
      </c>
      <c r="U284" s="1">
        <f t="shared" si="8"/>
        <v>5.5755811290571025</v>
      </c>
    </row>
    <row r="285" spans="1:21" ht="15">
      <c r="A285" s="81">
        <v>606.09</v>
      </c>
      <c r="B285" s="81">
        <v>608.33000000000004</v>
      </c>
      <c r="C285" s="81">
        <v>601.54999999999995</v>
      </c>
      <c r="D285" s="81">
        <v>606.84</v>
      </c>
      <c r="E285" s="81">
        <v>11613628</v>
      </c>
      <c r="F285" s="81" t="s">
        <v>249</v>
      </c>
      <c r="G285" s="25">
        <f t="shared" si="5"/>
        <v>-1.2359106189440139E-3</v>
      </c>
      <c r="I285" s="81">
        <v>116.1</v>
      </c>
      <c r="J285" s="81">
        <v>116.66</v>
      </c>
      <c r="K285" s="81">
        <v>115.22</v>
      </c>
      <c r="L285" s="81">
        <v>115.24</v>
      </c>
      <c r="M285" s="81">
        <v>7333899</v>
      </c>
      <c r="N285" s="81" t="s">
        <v>249</v>
      </c>
      <c r="O285" s="25">
        <f t="shared" si="6"/>
        <v>7.4626865671640896E-3</v>
      </c>
      <c r="Q285" s="82">
        <v>2.9000000000000019E-2</v>
      </c>
      <c r="R285">
        <v>3</v>
      </c>
      <c r="T285" s="25">
        <f t="shared" si="7"/>
        <v>2.6000000000000016E-2</v>
      </c>
      <c r="U285" s="1">
        <f t="shared" si="8"/>
        <v>4.8402348399564401</v>
      </c>
    </row>
    <row r="286" spans="1:21" ht="15">
      <c r="A286" s="81">
        <v>606.79</v>
      </c>
      <c r="B286" s="81">
        <v>608.41999999999996</v>
      </c>
      <c r="C286" s="81">
        <v>606.06089999999995</v>
      </c>
      <c r="D286" s="81">
        <v>608.16</v>
      </c>
      <c r="E286" s="81">
        <v>6367152</v>
      </c>
      <c r="F286" s="81" t="s">
        <v>250</v>
      </c>
      <c r="G286" s="25">
        <f t="shared" si="5"/>
        <v>-2.2526966587740338E-3</v>
      </c>
      <c r="I286" s="81">
        <v>115.23</v>
      </c>
      <c r="J286" s="81">
        <v>115.85</v>
      </c>
      <c r="K286" s="81">
        <v>114.71</v>
      </c>
      <c r="L286" s="81">
        <v>115.45</v>
      </c>
      <c r="M286" s="81">
        <v>6840514</v>
      </c>
      <c r="N286" s="81" t="s">
        <v>250</v>
      </c>
      <c r="O286" s="25">
        <f t="shared" si="6"/>
        <v>-1.9055868341273374E-3</v>
      </c>
      <c r="Q286" s="82">
        <v>3.000000000000002E-2</v>
      </c>
      <c r="R286">
        <v>1</v>
      </c>
      <c r="T286" s="25">
        <f t="shared" si="7"/>
        <v>2.7000000000000017E-2</v>
      </c>
      <c r="U286" s="1">
        <f t="shared" si="8"/>
        <v>4.1780107216734876</v>
      </c>
    </row>
    <row r="287" spans="1:21" ht="15">
      <c r="A287" s="81">
        <v>607.59</v>
      </c>
      <c r="B287" s="81">
        <v>607.77</v>
      </c>
      <c r="C287" s="81">
        <v>606.20000000000005</v>
      </c>
      <c r="D287" s="81">
        <v>606.47</v>
      </c>
      <c r="E287" s="81">
        <v>7447134</v>
      </c>
      <c r="F287" s="81" t="s">
        <v>251</v>
      </c>
      <c r="G287" s="25">
        <f t="shared" si="5"/>
        <v>1.8467525186736111E-3</v>
      </c>
      <c r="I287" s="81">
        <v>115.62</v>
      </c>
      <c r="J287" s="81">
        <v>116.75</v>
      </c>
      <c r="K287" s="81">
        <v>115</v>
      </c>
      <c r="L287" s="81">
        <v>116.11</v>
      </c>
      <c r="M287" s="81">
        <v>7115352</v>
      </c>
      <c r="N287" s="81" t="s">
        <v>251</v>
      </c>
      <c r="O287" s="25">
        <f t="shared" si="6"/>
        <v>-4.2201360778572061E-3</v>
      </c>
      <c r="Q287" s="82">
        <v>3.1000000000000021E-2</v>
      </c>
      <c r="R287">
        <v>1</v>
      </c>
      <c r="T287" s="25">
        <f t="shared" si="7"/>
        <v>2.8000000000000018E-2</v>
      </c>
      <c r="U287" s="1">
        <f t="shared" si="8"/>
        <v>3.5859108623769886</v>
      </c>
    </row>
    <row r="288" spans="1:21" ht="15">
      <c r="A288" s="81">
        <v>604.44000000000005</v>
      </c>
      <c r="B288" s="81">
        <v>605.98</v>
      </c>
      <c r="C288" s="81">
        <v>603.95000000000005</v>
      </c>
      <c r="D288" s="81">
        <v>604.59</v>
      </c>
      <c r="E288" s="81">
        <v>8108692</v>
      </c>
      <c r="F288" s="81" t="s">
        <v>252</v>
      </c>
      <c r="G288" s="25">
        <f t="shared" si="5"/>
        <v>-2.4810201955038913E-4</v>
      </c>
      <c r="I288" s="81">
        <v>115.96</v>
      </c>
      <c r="J288" s="81">
        <v>117.01</v>
      </c>
      <c r="K288" s="81">
        <v>115.1</v>
      </c>
      <c r="L288" s="81">
        <v>116.26</v>
      </c>
      <c r="M288" s="81">
        <v>7636290</v>
      </c>
      <c r="N288" s="81" t="s">
        <v>252</v>
      </c>
      <c r="O288" s="25">
        <f t="shared" si="6"/>
        <v>-2.5804231894032137E-3</v>
      </c>
      <c r="Q288" s="82">
        <v>3.2000000000000021E-2</v>
      </c>
      <c r="R288">
        <v>1</v>
      </c>
      <c r="T288" s="25">
        <f t="shared" si="7"/>
        <v>2.9000000000000019E-2</v>
      </c>
      <c r="U288" s="1">
        <f t="shared" si="8"/>
        <v>3.0602453895597121</v>
      </c>
    </row>
    <row r="289" spans="1:21" ht="15">
      <c r="A289" s="81">
        <v>604.57000000000005</v>
      </c>
      <c r="B289" s="81">
        <v>605.23</v>
      </c>
      <c r="C289" s="81">
        <v>600.89</v>
      </c>
      <c r="D289" s="81">
        <v>601.42999999999995</v>
      </c>
      <c r="E289" s="81">
        <v>9086806</v>
      </c>
      <c r="F289" s="81" t="s">
        <v>253</v>
      </c>
      <c r="G289" s="25">
        <f t="shared" si="5"/>
        <v>5.2208902116623879E-3</v>
      </c>
      <c r="I289" s="81">
        <v>117.08</v>
      </c>
      <c r="J289" s="81">
        <v>117.16500000000001</v>
      </c>
      <c r="K289" s="81">
        <v>114.63</v>
      </c>
      <c r="L289" s="81">
        <v>115.45</v>
      </c>
      <c r="M289" s="81">
        <v>8388671</v>
      </c>
      <c r="N289" s="81" t="s">
        <v>253</v>
      </c>
      <c r="O289" s="25">
        <f t="shared" si="6"/>
        <v>1.4118666089216081E-2</v>
      </c>
      <c r="Q289" s="82">
        <v>3.3000000000000022E-2</v>
      </c>
      <c r="R289">
        <v>2</v>
      </c>
      <c r="T289" s="25">
        <f t="shared" si="7"/>
        <v>3.000000000000002E-2</v>
      </c>
      <c r="U289" s="1">
        <f t="shared" si="8"/>
        <v>2.596807984007429</v>
      </c>
    </row>
    <row r="290" spans="1:21" ht="15">
      <c r="A290" s="81">
        <v>599.67999999999995</v>
      </c>
      <c r="B290" s="81">
        <v>601.75</v>
      </c>
      <c r="C290" s="81">
        <v>598.16</v>
      </c>
      <c r="D290" s="81">
        <v>600.91999999999996</v>
      </c>
      <c r="E290" s="81">
        <v>21542357</v>
      </c>
      <c r="F290" s="81" t="s">
        <v>254</v>
      </c>
      <c r="G290" s="25">
        <f t="shared" si="5"/>
        <v>-2.0635026293017722E-3</v>
      </c>
      <c r="I290" s="81">
        <v>115.79</v>
      </c>
      <c r="J290" s="81">
        <v>117.51</v>
      </c>
      <c r="K290" s="81">
        <v>114.495</v>
      </c>
      <c r="L290" s="81">
        <v>116.85</v>
      </c>
      <c r="M290" s="81">
        <v>7404910</v>
      </c>
      <c r="N290" s="81" t="s">
        <v>254</v>
      </c>
      <c r="O290" s="25">
        <f t="shared" si="6"/>
        <v>-9.0714591356438889E-3</v>
      </c>
      <c r="Q290" s="82">
        <v>3.4000000000000023E-2</v>
      </c>
      <c r="R290">
        <v>0</v>
      </c>
      <c r="T290" s="25">
        <f t="shared" si="7"/>
        <v>3.1000000000000021E-2</v>
      </c>
      <c r="U290" s="1">
        <f t="shared" si="8"/>
        <v>2.1910396966463441</v>
      </c>
    </row>
    <row r="291" spans="1:21" ht="15">
      <c r="A291" s="81">
        <v>597.95000000000005</v>
      </c>
      <c r="B291" s="81">
        <v>598.37</v>
      </c>
      <c r="C291" s="81">
        <v>595.01</v>
      </c>
      <c r="D291" s="81">
        <v>596.61</v>
      </c>
      <c r="E291" s="81">
        <v>7780114</v>
      </c>
      <c r="F291" s="81" t="s">
        <v>255</v>
      </c>
      <c r="G291" s="25">
        <f t="shared" si="5"/>
        <v>2.2460233653476269E-3</v>
      </c>
      <c r="I291" s="81">
        <v>117.37</v>
      </c>
      <c r="J291" s="81">
        <v>119.05</v>
      </c>
      <c r="K291" s="81">
        <v>117.22</v>
      </c>
      <c r="L291" s="81">
        <v>118.52500000000001</v>
      </c>
      <c r="M291" s="81">
        <v>5365848</v>
      </c>
      <c r="N291" s="81" t="s">
        <v>255</v>
      </c>
      <c r="O291" s="25">
        <f t="shared" si="6"/>
        <v>-9.7447795823666361E-3</v>
      </c>
      <c r="Q291" s="82">
        <v>3.5000000000000024E-2</v>
      </c>
      <c r="R291">
        <v>0</v>
      </c>
      <c r="T291" s="25">
        <f t="shared" si="7"/>
        <v>3.2000000000000021E-2</v>
      </c>
      <c r="U291" s="1">
        <f t="shared" si="8"/>
        <v>1.8381776328832165</v>
      </c>
    </row>
    <row r="292" spans="1:21" ht="15">
      <c r="A292" s="81">
        <v>596.5</v>
      </c>
      <c r="B292" s="81">
        <v>597.41</v>
      </c>
      <c r="C292" s="81">
        <v>595.03</v>
      </c>
      <c r="D292" s="81">
        <v>596.30999999999995</v>
      </c>
      <c r="E292" s="81">
        <v>9448293</v>
      </c>
      <c r="F292" s="81" t="s">
        <v>256</v>
      </c>
      <c r="G292" s="25">
        <f t="shared" si="5"/>
        <v>3.1862621790690326E-4</v>
      </c>
      <c r="I292" s="81">
        <v>118.84</v>
      </c>
      <c r="J292" s="81">
        <v>118.88</v>
      </c>
      <c r="K292" s="81">
        <v>116.74</v>
      </c>
      <c r="L292" s="81">
        <v>117.96</v>
      </c>
      <c r="M292" s="81">
        <v>6005770</v>
      </c>
      <c r="N292" s="81" t="s">
        <v>256</v>
      </c>
      <c r="O292" s="25">
        <f t="shared" si="6"/>
        <v>7.4601559850797639E-3</v>
      </c>
      <c r="Q292" s="82">
        <v>3.6000000000000025E-2</v>
      </c>
      <c r="R292">
        <v>0</v>
      </c>
      <c r="T292" s="25">
        <f t="shared" si="7"/>
        <v>3.3000000000000022E-2</v>
      </c>
      <c r="U292" s="1">
        <f t="shared" si="8"/>
        <v>1.5333861326970575</v>
      </c>
    </row>
    <row r="293" spans="1:21" ht="15">
      <c r="A293" s="81">
        <v>594.96</v>
      </c>
      <c r="B293" s="81">
        <v>599.6</v>
      </c>
      <c r="C293" s="81">
        <v>591.45000000000005</v>
      </c>
      <c r="D293" s="81">
        <v>598.91</v>
      </c>
      <c r="E293" s="81">
        <v>6622130</v>
      </c>
      <c r="F293" s="81" t="s">
        <v>257</v>
      </c>
      <c r="G293" s="25">
        <f t="shared" si="5"/>
        <v>-6.5953148219264346E-3</v>
      </c>
      <c r="I293" s="81">
        <v>117.91</v>
      </c>
      <c r="J293" s="81">
        <v>119.78</v>
      </c>
      <c r="K293" s="81">
        <v>117.7</v>
      </c>
      <c r="L293" s="81">
        <v>118.91</v>
      </c>
      <c r="M293" s="81">
        <v>6602032</v>
      </c>
      <c r="N293" s="81" t="s">
        <v>257</v>
      </c>
      <c r="O293" s="25">
        <f t="shared" si="6"/>
        <v>-8.4097216382137407E-3</v>
      </c>
      <c r="Q293" s="82">
        <v>3.7000000000000026E-2</v>
      </c>
      <c r="R293">
        <v>0</v>
      </c>
      <c r="T293" s="25">
        <f t="shared" si="7"/>
        <v>3.4000000000000023E-2</v>
      </c>
      <c r="U293" s="1">
        <f t="shared" si="8"/>
        <v>1.2718690767481622</v>
      </c>
    </row>
    <row r="294" spans="1:21" ht="15">
      <c r="A294" s="81">
        <v>596.59</v>
      </c>
      <c r="B294" s="81">
        <v>596.77</v>
      </c>
      <c r="C294" s="81">
        <v>591.6</v>
      </c>
      <c r="D294" s="81">
        <v>592.47</v>
      </c>
      <c r="E294" s="81">
        <v>8012477</v>
      </c>
      <c r="F294" s="81" t="s">
        <v>258</v>
      </c>
      <c r="G294" s="25">
        <f t="shared" si="5"/>
        <v>6.9539385960470934E-3</v>
      </c>
      <c r="I294" s="81">
        <v>118.81</v>
      </c>
      <c r="J294" s="81">
        <v>119.675</v>
      </c>
      <c r="K294" s="81">
        <v>116.76</v>
      </c>
      <c r="L294" s="81">
        <v>117.08</v>
      </c>
      <c r="M294" s="81">
        <v>6888471</v>
      </c>
      <c r="N294" s="81" t="s">
        <v>258</v>
      </c>
      <c r="O294" s="25">
        <f t="shared" si="6"/>
        <v>1.4776221387085897E-2</v>
      </c>
      <c r="Q294" s="82">
        <v>3.8000000000000027E-2</v>
      </c>
      <c r="R294">
        <v>0</v>
      </c>
      <c r="T294" s="25">
        <f t="shared" si="7"/>
        <v>3.5000000000000024E-2</v>
      </c>
      <c r="U294" s="1">
        <f t="shared" si="8"/>
        <v>1.0489628516977136</v>
      </c>
    </row>
    <row r="295" spans="1:21" ht="15">
      <c r="A295" s="81">
        <v>591.72</v>
      </c>
      <c r="B295" s="81">
        <v>592.23</v>
      </c>
      <c r="C295" s="81">
        <v>588.78</v>
      </c>
      <c r="D295" s="81">
        <v>590.80999999999995</v>
      </c>
      <c r="E295" s="81">
        <v>6669875</v>
      </c>
      <c r="F295" s="81" t="s">
        <v>259</v>
      </c>
      <c r="G295" s="25">
        <f t="shared" si="5"/>
        <v>1.5402582894672445E-3</v>
      </c>
      <c r="I295" s="81">
        <v>117.38</v>
      </c>
      <c r="J295" s="81">
        <v>118.62</v>
      </c>
      <c r="K295" s="81">
        <v>116.35</v>
      </c>
      <c r="L295" s="81">
        <v>117.83</v>
      </c>
      <c r="M295" s="81">
        <v>6194821</v>
      </c>
      <c r="N295" s="81" t="s">
        <v>259</v>
      </c>
      <c r="O295" s="25">
        <f t="shared" si="6"/>
        <v>-3.8190613595858736E-3</v>
      </c>
      <c r="Q295" s="82">
        <v>3.9000000000000028E-2</v>
      </c>
      <c r="R295">
        <v>0</v>
      </c>
      <c r="T295" s="25">
        <f t="shared" si="7"/>
        <v>3.6000000000000025E-2</v>
      </c>
      <c r="U295" s="1">
        <f t="shared" si="8"/>
        <v>0.86021028530209365</v>
      </c>
    </row>
    <row r="296" spans="1:21" ht="15">
      <c r="A296" s="81">
        <v>588.71</v>
      </c>
      <c r="B296" s="81">
        <v>588.79999999999995</v>
      </c>
      <c r="C296" s="81">
        <v>583.66999999999996</v>
      </c>
      <c r="D296" s="81">
        <v>586.05999999999995</v>
      </c>
      <c r="E296" s="81">
        <v>11063662</v>
      </c>
      <c r="F296" s="81" t="s">
        <v>260</v>
      </c>
      <c r="G296" s="25">
        <f t="shared" si="5"/>
        <v>4.5217213254618027E-3</v>
      </c>
      <c r="I296" s="81">
        <v>118.27</v>
      </c>
      <c r="J296" s="81">
        <v>118.28</v>
      </c>
      <c r="K296" s="81">
        <v>115.9965</v>
      </c>
      <c r="L296" s="81">
        <v>117.02</v>
      </c>
      <c r="M296" s="81">
        <v>5893135</v>
      </c>
      <c r="N296" s="81" t="s">
        <v>260</v>
      </c>
      <c r="O296" s="25">
        <f t="shared" si="6"/>
        <v>1.0681934712015062E-2</v>
      </c>
      <c r="Q296" s="82">
        <v>4.0000000000000029E-2</v>
      </c>
      <c r="R296">
        <v>0</v>
      </c>
      <c r="T296" s="25">
        <f t="shared" si="7"/>
        <v>3.7000000000000026E-2</v>
      </c>
      <c r="U296" s="1">
        <f t="shared" si="8"/>
        <v>0.70141649792449234</v>
      </c>
    </row>
    <row r="297" spans="1:21" ht="15">
      <c r="A297" s="81">
        <v>593.08000000000004</v>
      </c>
      <c r="B297" s="81">
        <v>595.54999999999995</v>
      </c>
      <c r="C297" s="81">
        <v>591.245</v>
      </c>
      <c r="D297" s="81">
        <v>595.24</v>
      </c>
      <c r="E297" s="81">
        <v>7480746</v>
      </c>
      <c r="F297" s="81" t="s">
        <v>261</v>
      </c>
      <c r="G297" s="25">
        <f t="shared" si="5"/>
        <v>-3.6287883878770577E-3</v>
      </c>
      <c r="I297" s="81">
        <v>118.38</v>
      </c>
      <c r="J297" s="81">
        <v>118.645</v>
      </c>
      <c r="K297" s="81">
        <v>117.245</v>
      </c>
      <c r="L297" s="81">
        <v>117.39</v>
      </c>
      <c r="M297" s="81">
        <v>5200084</v>
      </c>
      <c r="N297" s="81" t="s">
        <v>261</v>
      </c>
      <c r="O297" s="25">
        <f t="shared" si="6"/>
        <v>8.4334270380781451E-3</v>
      </c>
      <c r="Q297" s="82">
        <v>4.1000000000000029E-2</v>
      </c>
      <c r="R297">
        <v>0</v>
      </c>
      <c r="T297" s="25">
        <f t="shared" si="7"/>
        <v>3.8000000000000027E-2</v>
      </c>
      <c r="U297" s="1">
        <f t="shared" si="8"/>
        <v>0.56868810604340547</v>
      </c>
    </row>
    <row r="298" spans="1:21" ht="15">
      <c r="A298" s="81">
        <v>596.52</v>
      </c>
      <c r="B298" s="81">
        <v>597.07000000000005</v>
      </c>
      <c r="C298" s="81">
        <v>593.27</v>
      </c>
      <c r="D298" s="81">
        <v>595.07000000000005</v>
      </c>
      <c r="E298" s="81">
        <v>5037983</v>
      </c>
      <c r="F298" s="81" t="s">
        <v>262</v>
      </c>
      <c r="G298" s="25">
        <f t="shared" si="5"/>
        <v>2.4366881207251723E-3</v>
      </c>
      <c r="I298" s="81">
        <v>117.64</v>
      </c>
      <c r="J298" s="81">
        <v>118.37</v>
      </c>
      <c r="K298" s="81">
        <v>116.61</v>
      </c>
      <c r="L298" s="81">
        <v>118.1</v>
      </c>
      <c r="M298" s="81">
        <v>5666892</v>
      </c>
      <c r="N298" s="81" t="s">
        <v>262</v>
      </c>
      <c r="O298" s="25">
        <f t="shared" si="6"/>
        <v>-3.89500423370015E-3</v>
      </c>
      <c r="Q298" s="82">
        <v>4.200000000000003E-2</v>
      </c>
      <c r="R298">
        <v>0</v>
      </c>
      <c r="T298" s="25">
        <f t="shared" si="7"/>
        <v>3.9000000000000028E-2</v>
      </c>
      <c r="U298" s="1">
        <f t="shared" si="8"/>
        <v>0.45845755784778347</v>
      </c>
    </row>
    <row r="299" spans="1:21" ht="15.75" thickBot="1">
      <c r="A299" s="81">
        <v>594.41999999999996</v>
      </c>
      <c r="B299" s="81">
        <v>595.14</v>
      </c>
      <c r="C299" s="81">
        <v>592.44000000000005</v>
      </c>
      <c r="D299" s="81">
        <v>592.52</v>
      </c>
      <c r="E299" s="81">
        <v>6089564</v>
      </c>
      <c r="F299" s="81" t="s">
        <v>263</v>
      </c>
      <c r="G299" s="25">
        <f t="shared" si="5"/>
        <v>3.20664281374472E-3</v>
      </c>
      <c r="I299" s="81">
        <v>118.09</v>
      </c>
      <c r="J299" s="81">
        <v>118.46</v>
      </c>
      <c r="K299" s="81">
        <v>117.29</v>
      </c>
      <c r="L299" s="81">
        <v>117.53</v>
      </c>
      <c r="M299" s="81">
        <v>4334749</v>
      </c>
      <c r="N299" s="81" t="s">
        <v>263</v>
      </c>
      <c r="O299" s="25">
        <f t="shared" si="6"/>
        <v>4.7647409172126842E-3</v>
      </c>
      <c r="Q299" s="83" t="s">
        <v>907</v>
      </c>
      <c r="R299" s="83">
        <v>2</v>
      </c>
      <c r="T299" s="25">
        <f t="shared" si="7"/>
        <v>4.0000000000000029E-2</v>
      </c>
      <c r="U299" s="1">
        <f t="shared" si="8"/>
        <v>0.36749459074285551</v>
      </c>
    </row>
    <row r="300" spans="1:21">
      <c r="A300" s="81">
        <v>593.05999999999995</v>
      </c>
      <c r="B300" s="81">
        <v>593.42999999999995</v>
      </c>
      <c r="C300" s="81">
        <v>589.79499999999996</v>
      </c>
      <c r="D300" s="81">
        <v>590.38</v>
      </c>
      <c r="E300" s="81">
        <v>4746851</v>
      </c>
      <c r="F300" s="81" t="s">
        <v>264</v>
      </c>
      <c r="G300" s="25">
        <f t="shared" si="5"/>
        <v>4.5394491683321547E-3</v>
      </c>
      <c r="I300" s="81">
        <v>117.65</v>
      </c>
      <c r="J300" s="81">
        <v>118.375</v>
      </c>
      <c r="K300" s="81">
        <v>117.16</v>
      </c>
      <c r="L300" s="81">
        <v>117.43</v>
      </c>
      <c r="M300" s="81">
        <v>5778483</v>
      </c>
      <c r="N300" s="81" t="s">
        <v>264</v>
      </c>
      <c r="O300" s="25">
        <f t="shared" si="6"/>
        <v>1.8734565272928716E-3</v>
      </c>
      <c r="T300" s="25">
        <f t="shared" si="7"/>
        <v>4.1000000000000029E-2</v>
      </c>
      <c r="U300" s="1">
        <f t="shared" si="8"/>
        <v>0.29290689036695283</v>
      </c>
    </row>
    <row r="301" spans="1:21">
      <c r="A301" s="81">
        <v>590.70000000000005</v>
      </c>
      <c r="B301" s="81">
        <v>593.22990000000004</v>
      </c>
      <c r="C301" s="81">
        <v>590.54999999999995</v>
      </c>
      <c r="D301" s="81">
        <v>592.04999999999995</v>
      </c>
      <c r="E301" s="81">
        <v>6483035</v>
      </c>
      <c r="F301" s="81" t="s">
        <v>265</v>
      </c>
      <c r="G301" s="25">
        <f t="shared" si="5"/>
        <v>-2.2802128198630145E-3</v>
      </c>
      <c r="I301" s="81">
        <v>117.71</v>
      </c>
      <c r="J301" s="81">
        <v>119.05</v>
      </c>
      <c r="K301" s="81">
        <v>117.7</v>
      </c>
      <c r="L301" s="81">
        <v>118.49</v>
      </c>
      <c r="M301" s="81">
        <v>5424937</v>
      </c>
      <c r="N301" s="81" t="s">
        <v>265</v>
      </c>
      <c r="O301" s="25">
        <f t="shared" si="6"/>
        <v>-6.5828339944299374E-3</v>
      </c>
      <c r="T301" s="25">
        <f t="shared" si="7"/>
        <v>4.200000000000003E-2</v>
      </c>
      <c r="U301" s="1">
        <f t="shared" si="8"/>
        <v>0.23213201875318745</v>
      </c>
    </row>
    <row r="302" spans="1:21">
      <c r="A302" s="81">
        <v>593.21</v>
      </c>
      <c r="B302" s="81">
        <v>594.32000000000005</v>
      </c>
      <c r="C302" s="81">
        <v>585.84</v>
      </c>
      <c r="D302" s="81">
        <v>586.27</v>
      </c>
      <c r="E302" s="81">
        <v>6368542</v>
      </c>
      <c r="F302" s="81" t="s">
        <v>266</v>
      </c>
      <c r="G302" s="25">
        <f t="shared" si="5"/>
        <v>1.1837549252051272E-2</v>
      </c>
      <c r="I302" s="81">
        <v>118.86</v>
      </c>
      <c r="J302" s="81">
        <v>119.77500000000001</v>
      </c>
      <c r="K302" s="81">
        <v>117.125</v>
      </c>
      <c r="L302" s="81">
        <v>117.58499999999999</v>
      </c>
      <c r="M302" s="81">
        <v>7046502</v>
      </c>
      <c r="N302" s="81" t="s">
        <v>266</v>
      </c>
      <c r="O302" s="25">
        <f t="shared" si="6"/>
        <v>1.0843219798443826E-2</v>
      </c>
      <c r="T302" s="25">
        <f t="shared" si="7"/>
        <v>4.3000000000000031E-2</v>
      </c>
      <c r="U302" s="1">
        <f t="shared" si="8"/>
        <v>0.18292258552114754</v>
      </c>
    </row>
    <row r="303" spans="1:21">
      <c r="A303" s="81">
        <v>584.27</v>
      </c>
      <c r="B303" s="81">
        <v>586.46</v>
      </c>
      <c r="C303" s="81">
        <v>582.65</v>
      </c>
      <c r="D303" s="81">
        <v>584.92999999999995</v>
      </c>
      <c r="E303" s="81">
        <v>4807277</v>
      </c>
      <c r="F303" s="81" t="s">
        <v>267</v>
      </c>
      <c r="G303" s="25">
        <f t="shared" si="5"/>
        <v>-1.1283401432649054E-3</v>
      </c>
      <c r="I303" s="81">
        <v>116.21</v>
      </c>
      <c r="J303" s="81">
        <v>116.66</v>
      </c>
      <c r="K303" s="81">
        <v>115.53</v>
      </c>
      <c r="L303" s="81">
        <v>116.57</v>
      </c>
      <c r="M303" s="81">
        <v>6337059</v>
      </c>
      <c r="N303" s="81" t="s">
        <v>267</v>
      </c>
      <c r="O303" s="25">
        <f t="shared" si="6"/>
        <v>-3.0882731406022268E-3</v>
      </c>
      <c r="T303" s="25">
        <f t="shared" si="7"/>
        <v>4.4000000000000032E-2</v>
      </c>
      <c r="U303" s="1">
        <f t="shared" si="8"/>
        <v>0.14332648071107207</v>
      </c>
    </row>
    <row r="304" spans="1:21">
      <c r="A304" s="81">
        <v>586.58000000000004</v>
      </c>
      <c r="B304" s="81">
        <v>588</v>
      </c>
      <c r="C304" s="81">
        <v>581.85</v>
      </c>
      <c r="D304" s="81">
        <v>587.80999999999995</v>
      </c>
      <c r="E304" s="81">
        <v>7054266</v>
      </c>
      <c r="F304" s="81" t="s">
        <v>268</v>
      </c>
      <c r="G304" s="25">
        <f t="shared" si="5"/>
        <v>-2.0925128868169995E-3</v>
      </c>
      <c r="I304" s="81">
        <v>117.04</v>
      </c>
      <c r="J304" s="81">
        <v>117.89</v>
      </c>
      <c r="K304" s="81">
        <v>116</v>
      </c>
      <c r="L304" s="81">
        <v>116.075</v>
      </c>
      <c r="M304" s="81">
        <v>6789629</v>
      </c>
      <c r="N304" s="81" t="s">
        <v>268</v>
      </c>
      <c r="O304" s="25">
        <f t="shared" si="6"/>
        <v>8.3135903510660469E-3</v>
      </c>
      <c r="T304" s="25">
        <f t="shared" si="7"/>
        <v>4.5000000000000033E-2</v>
      </c>
      <c r="U304" s="1">
        <f t="shared" si="8"/>
        <v>0.11166379044577983</v>
      </c>
    </row>
    <row r="305" spans="1:15">
      <c r="A305" s="81">
        <v>588.13</v>
      </c>
      <c r="B305" s="81">
        <v>592.12</v>
      </c>
      <c r="C305" s="81">
        <v>586.94000000000005</v>
      </c>
      <c r="D305" s="81">
        <v>591.25</v>
      </c>
      <c r="E305" s="81">
        <v>6689596</v>
      </c>
      <c r="F305" s="81" t="s">
        <v>269</v>
      </c>
      <c r="G305" s="25">
        <f t="shared" si="5"/>
        <v>-5.2769556025370479E-3</v>
      </c>
      <c r="I305" s="81">
        <v>116.27</v>
      </c>
      <c r="J305" s="81">
        <v>116.99</v>
      </c>
      <c r="K305" s="81">
        <v>115.72</v>
      </c>
      <c r="L305" s="81">
        <v>116.5</v>
      </c>
      <c r="M305" s="81">
        <v>5316056</v>
      </c>
      <c r="N305" s="81" t="s">
        <v>269</v>
      </c>
      <c r="O305" s="25">
        <f t="shared" si="6"/>
        <v>-1.9742489270386798E-3</v>
      </c>
    </row>
    <row r="306" spans="1:15">
      <c r="A306" s="81">
        <v>591.36</v>
      </c>
      <c r="B306" s="81">
        <v>592.02</v>
      </c>
      <c r="C306" s="81">
        <v>590.35</v>
      </c>
      <c r="D306" s="81">
        <v>590.98</v>
      </c>
      <c r="E306" s="81">
        <v>5311743</v>
      </c>
      <c r="F306" s="81" t="s">
        <v>270</v>
      </c>
      <c r="G306" s="25">
        <f t="shared" si="5"/>
        <v>6.4299976310544515E-4</v>
      </c>
      <c r="I306" s="81">
        <v>116.55</v>
      </c>
      <c r="J306" s="81">
        <v>117.005</v>
      </c>
      <c r="K306" s="81">
        <v>115.16</v>
      </c>
      <c r="L306" s="81">
        <v>115.19</v>
      </c>
      <c r="M306" s="81">
        <v>5798370</v>
      </c>
      <c r="N306" s="81" t="s">
        <v>270</v>
      </c>
      <c r="O306" s="25">
        <f t="shared" si="6"/>
        <v>1.1806580432329294E-2</v>
      </c>
    </row>
    <row r="307" spans="1:15">
      <c r="A307" s="81">
        <v>591.57000000000005</v>
      </c>
      <c r="B307" s="81">
        <v>593.95000000000005</v>
      </c>
      <c r="C307" s="81">
        <v>590.66</v>
      </c>
      <c r="D307" s="81">
        <v>593.86</v>
      </c>
      <c r="E307" s="81">
        <v>7196315</v>
      </c>
      <c r="F307" s="81" t="s">
        <v>271</v>
      </c>
      <c r="G307" s="25">
        <f t="shared" si="5"/>
        <v>-3.8561277068668298E-3</v>
      </c>
      <c r="I307" s="81">
        <v>115.39</v>
      </c>
      <c r="J307" s="81">
        <v>116.84</v>
      </c>
      <c r="K307" s="81">
        <v>115.19</v>
      </c>
      <c r="L307" s="81">
        <v>116.57</v>
      </c>
      <c r="M307" s="81">
        <v>6768603</v>
      </c>
      <c r="N307" s="81" t="s">
        <v>271</v>
      </c>
      <c r="O307" s="25">
        <f t="shared" si="6"/>
        <v>-1.0122673071973898E-2</v>
      </c>
    </row>
    <row r="308" spans="1:15">
      <c r="A308" s="81">
        <v>592.85</v>
      </c>
      <c r="B308" s="81">
        <v>593.51</v>
      </c>
      <c r="C308" s="81">
        <v>590.5</v>
      </c>
      <c r="D308" s="81">
        <v>590.91999999999996</v>
      </c>
      <c r="E308" s="81">
        <v>6236666</v>
      </c>
      <c r="F308" s="81" t="s">
        <v>272</v>
      </c>
      <c r="G308" s="25">
        <f t="shared" si="5"/>
        <v>3.2660935490422816E-3</v>
      </c>
      <c r="I308" s="81">
        <v>116.31</v>
      </c>
      <c r="J308" s="81">
        <v>116.71</v>
      </c>
      <c r="K308" s="81">
        <v>114.62</v>
      </c>
      <c r="L308" s="81">
        <v>115.48</v>
      </c>
      <c r="M308" s="81">
        <v>6800884</v>
      </c>
      <c r="N308" s="81" t="s">
        <v>272</v>
      </c>
      <c r="O308" s="25">
        <f t="shared" si="6"/>
        <v>7.1873917561482425E-3</v>
      </c>
    </row>
    <row r="309" spans="1:15">
      <c r="A309" s="81">
        <v>592.84</v>
      </c>
      <c r="B309" s="81">
        <v>594.03</v>
      </c>
      <c r="C309" s="81">
        <v>590.80999999999995</v>
      </c>
      <c r="D309" s="81">
        <v>592.86</v>
      </c>
      <c r="E309" s="81">
        <v>5392973</v>
      </c>
      <c r="F309" s="81" t="s">
        <v>273</v>
      </c>
      <c r="G309" s="25">
        <f t="shared" si="5"/>
        <v>-3.3734777181715359E-5</v>
      </c>
      <c r="I309" s="81">
        <v>116.64</v>
      </c>
      <c r="J309" s="81">
        <v>117.23</v>
      </c>
      <c r="K309" s="81">
        <v>114.15</v>
      </c>
      <c r="L309" s="81">
        <v>114.23</v>
      </c>
      <c r="M309" s="81">
        <v>9025741</v>
      </c>
      <c r="N309" s="81" t="s">
        <v>273</v>
      </c>
      <c r="O309" s="25">
        <f t="shared" si="6"/>
        <v>2.10977851702705E-2</v>
      </c>
    </row>
    <row r="310" spans="1:15">
      <c r="A310" s="81">
        <v>590.78</v>
      </c>
      <c r="B310" s="81">
        <v>590.96</v>
      </c>
      <c r="C310" s="81">
        <v>585.43499999999995</v>
      </c>
      <c r="D310" s="81">
        <v>586.75</v>
      </c>
      <c r="E310" s="81">
        <v>5874245</v>
      </c>
      <c r="F310" s="81" t="s">
        <v>274</v>
      </c>
      <c r="G310" s="25">
        <f t="shared" si="5"/>
        <v>6.8683425649764818E-3</v>
      </c>
      <c r="I310" s="81">
        <v>113.72</v>
      </c>
      <c r="J310" s="81">
        <v>114.4</v>
      </c>
      <c r="K310" s="81">
        <v>112.49</v>
      </c>
      <c r="L310" s="81">
        <v>113.31</v>
      </c>
      <c r="M310" s="81">
        <v>7275374</v>
      </c>
      <c r="N310" s="81" t="s">
        <v>274</v>
      </c>
      <c r="O310" s="25">
        <f t="shared" si="6"/>
        <v>3.6183920218868515E-3</v>
      </c>
    </row>
    <row r="311" spans="1:15">
      <c r="A311" s="81">
        <v>584.54</v>
      </c>
      <c r="B311" s="81">
        <v>587.36</v>
      </c>
      <c r="C311" s="81">
        <v>583.44000000000005</v>
      </c>
      <c r="D311" s="81">
        <v>586.03</v>
      </c>
      <c r="E311" s="81">
        <v>5373949</v>
      </c>
      <c r="F311" s="81" t="s">
        <v>275</v>
      </c>
      <c r="G311" s="25">
        <f t="shared" si="5"/>
        <v>-2.542531952289151E-3</v>
      </c>
      <c r="I311" s="81">
        <v>112.55</v>
      </c>
      <c r="J311" s="81">
        <v>113.15</v>
      </c>
      <c r="K311" s="81">
        <v>111.54</v>
      </c>
      <c r="L311" s="81">
        <v>112.91</v>
      </c>
      <c r="M311" s="81">
        <v>8532602</v>
      </c>
      <c r="N311" s="81" t="s">
        <v>275</v>
      </c>
      <c r="O311" s="25">
        <f t="shared" si="6"/>
        <v>-3.1883801257638344E-3</v>
      </c>
    </row>
    <row r="312" spans="1:15">
      <c r="A312" s="81">
        <v>585.74</v>
      </c>
      <c r="B312" s="81">
        <v>586.16999999999996</v>
      </c>
      <c r="C312" s="81">
        <v>582.6</v>
      </c>
      <c r="D312" s="81">
        <v>582.92999999999995</v>
      </c>
      <c r="E312" s="81">
        <v>4342341</v>
      </c>
      <c r="F312" s="81" t="s">
        <v>276</v>
      </c>
      <c r="G312" s="25">
        <f t="shared" si="5"/>
        <v>4.8204758718886076E-3</v>
      </c>
      <c r="I312" s="81">
        <v>112.43</v>
      </c>
      <c r="J312" s="81">
        <v>114.292</v>
      </c>
      <c r="K312" s="81">
        <v>112.02</v>
      </c>
      <c r="L312" s="81">
        <v>113.3</v>
      </c>
      <c r="M312" s="81">
        <v>9490971</v>
      </c>
      <c r="N312" s="81" t="s">
        <v>276</v>
      </c>
      <c r="O312" s="25">
        <f t="shared" si="6"/>
        <v>-7.6787290379523032E-3</v>
      </c>
    </row>
    <row r="313" spans="1:15">
      <c r="A313" s="81">
        <v>581.29</v>
      </c>
      <c r="B313" s="81">
        <v>585.52</v>
      </c>
      <c r="C313" s="81">
        <v>578.31269999999995</v>
      </c>
      <c r="D313" s="81">
        <v>584.87</v>
      </c>
      <c r="E313" s="81">
        <v>4594260</v>
      </c>
      <c r="F313" s="81" t="s">
        <v>277</v>
      </c>
      <c r="G313" s="25">
        <f t="shared" si="5"/>
        <v>-6.1210183459572409E-3</v>
      </c>
      <c r="I313" s="81">
        <v>112.88</v>
      </c>
      <c r="J313" s="81">
        <v>116.4</v>
      </c>
      <c r="K313" s="81">
        <v>111.82</v>
      </c>
      <c r="L313" s="81">
        <v>115.75</v>
      </c>
      <c r="M313" s="81">
        <v>15484435</v>
      </c>
      <c r="N313" s="81" t="s">
        <v>277</v>
      </c>
      <c r="O313" s="25">
        <f t="shared" si="6"/>
        <v>-2.4794816414686838E-2</v>
      </c>
    </row>
    <row r="314" spans="1:15">
      <c r="A314" s="81">
        <v>581.64</v>
      </c>
      <c r="B314" s="81">
        <v>582.27</v>
      </c>
      <c r="C314" s="81">
        <v>577.41</v>
      </c>
      <c r="D314" s="81">
        <v>578.25</v>
      </c>
      <c r="E314" s="81">
        <v>4545015</v>
      </c>
      <c r="F314" s="81" t="s">
        <v>278</v>
      </c>
      <c r="G314" s="25">
        <f t="shared" si="5"/>
        <v>5.8625162127108332E-3</v>
      </c>
      <c r="I314" s="81">
        <v>115.17</v>
      </c>
      <c r="J314" s="81">
        <v>116.1224</v>
      </c>
      <c r="K314" s="81">
        <v>112.2</v>
      </c>
      <c r="L314" s="81">
        <v>115.77500000000001</v>
      </c>
      <c r="M314" s="81">
        <v>22153696</v>
      </c>
      <c r="N314" s="81" t="s">
        <v>278</v>
      </c>
      <c r="O314" s="25">
        <f t="shared" si="6"/>
        <v>-5.2256532066509154E-3</v>
      </c>
    </row>
    <row r="315" spans="1:15">
      <c r="A315" s="81">
        <v>577.35</v>
      </c>
      <c r="B315" s="81">
        <v>581.5</v>
      </c>
      <c r="C315" s="81">
        <v>576.4</v>
      </c>
      <c r="D315" s="81">
        <v>580.79</v>
      </c>
      <c r="E315" s="81">
        <v>4647381</v>
      </c>
      <c r="F315" s="81" t="s">
        <v>279</v>
      </c>
      <c r="G315" s="25">
        <f t="shared" ref="G315:G378" si="9">A315/D315-1</f>
        <v>-5.9229669932332474E-3</v>
      </c>
      <c r="I315" s="81">
        <v>118.32</v>
      </c>
      <c r="J315" s="81">
        <v>119.57</v>
      </c>
      <c r="K315" s="81">
        <v>117.33</v>
      </c>
      <c r="L315" s="81">
        <v>119.25</v>
      </c>
      <c r="M315" s="81">
        <v>15365681</v>
      </c>
      <c r="N315" s="81" t="s">
        <v>279</v>
      </c>
      <c r="O315" s="25">
        <f t="shared" ref="O315:O378" si="10">I315/L315-1</f>
        <v>-7.7987421383648448E-3</v>
      </c>
    </row>
    <row r="316" spans="1:15">
      <c r="A316" s="81">
        <v>580.14</v>
      </c>
      <c r="B316" s="81">
        <v>580.21</v>
      </c>
      <c r="C316" s="81">
        <v>575.08000000000004</v>
      </c>
      <c r="D316" s="81">
        <v>575.16999999999996</v>
      </c>
      <c r="E316" s="81">
        <v>6640089</v>
      </c>
      <c r="F316" s="81" t="s">
        <v>280</v>
      </c>
      <c r="G316" s="25">
        <f t="shared" si="9"/>
        <v>8.6409235530364725E-3</v>
      </c>
      <c r="I316" s="81">
        <v>119.35</v>
      </c>
      <c r="J316" s="81">
        <v>119.52</v>
      </c>
      <c r="K316" s="81">
        <v>117.72499999999999</v>
      </c>
      <c r="L316" s="81">
        <v>117.72499999999999</v>
      </c>
      <c r="M316" s="81">
        <v>8845043</v>
      </c>
      <c r="N316" s="81" t="s">
        <v>280</v>
      </c>
      <c r="O316" s="25">
        <f t="shared" si="10"/>
        <v>1.3803355277128837E-2</v>
      </c>
    </row>
    <row r="317" spans="1:15">
      <c r="A317" s="81">
        <v>571.45000000000005</v>
      </c>
      <c r="B317" s="81">
        <v>575.74</v>
      </c>
      <c r="C317" s="81">
        <v>569.29</v>
      </c>
      <c r="D317" s="81">
        <v>575.73</v>
      </c>
      <c r="E317" s="81">
        <v>8781254</v>
      </c>
      <c r="F317" s="81" t="s">
        <v>281</v>
      </c>
      <c r="G317" s="25">
        <f t="shared" si="9"/>
        <v>-7.4340402619282875E-3</v>
      </c>
      <c r="I317" s="81">
        <v>116.59</v>
      </c>
      <c r="J317" s="81">
        <v>117.8918</v>
      </c>
      <c r="K317" s="81">
        <v>115.57</v>
      </c>
      <c r="L317" s="81">
        <v>117.58499999999999</v>
      </c>
      <c r="M317" s="81">
        <v>8637815</v>
      </c>
      <c r="N317" s="81" t="s">
        <v>281</v>
      </c>
      <c r="O317" s="25">
        <f t="shared" si="10"/>
        <v>-8.461963685844176E-3</v>
      </c>
    </row>
    <row r="318" spans="1:15">
      <c r="A318" s="81">
        <v>581.02</v>
      </c>
      <c r="B318" s="81">
        <v>588.16139999999996</v>
      </c>
      <c r="C318" s="81">
        <v>579.84</v>
      </c>
      <c r="D318" s="81">
        <v>587.83000000000004</v>
      </c>
      <c r="E318" s="81">
        <v>7046843</v>
      </c>
      <c r="F318" s="81" t="s">
        <v>282</v>
      </c>
      <c r="G318" s="25">
        <f t="shared" si="9"/>
        <v>-1.1584982052634363E-2</v>
      </c>
      <c r="I318" s="81">
        <v>119.11</v>
      </c>
      <c r="J318" s="81">
        <v>119.91</v>
      </c>
      <c r="K318" s="81">
        <v>118.58</v>
      </c>
      <c r="L318" s="81">
        <v>119.455</v>
      </c>
      <c r="M318" s="81">
        <v>7235003</v>
      </c>
      <c r="N318" s="81" t="s">
        <v>282</v>
      </c>
      <c r="O318" s="25">
        <f t="shared" si="10"/>
        <v>-2.8881168640910726E-3</v>
      </c>
    </row>
    <row r="319" spans="1:15">
      <c r="A319" s="81">
        <v>583.21</v>
      </c>
      <c r="B319" s="81">
        <v>586.15</v>
      </c>
      <c r="C319" s="81">
        <v>580.54999999999995</v>
      </c>
      <c r="D319" s="81">
        <v>584.66</v>
      </c>
      <c r="E319" s="81">
        <v>6974729</v>
      </c>
      <c r="F319" s="81" t="s">
        <v>283</v>
      </c>
      <c r="G319" s="25">
        <f t="shared" si="9"/>
        <v>-2.4800738890977669E-3</v>
      </c>
      <c r="I319" s="81">
        <v>119.54</v>
      </c>
      <c r="J319" s="81">
        <v>120.5</v>
      </c>
      <c r="K319" s="81">
        <v>119.175</v>
      </c>
      <c r="L319" s="81">
        <v>119.95</v>
      </c>
      <c r="M319" s="81">
        <v>5281457</v>
      </c>
      <c r="N319" s="81" t="s">
        <v>283</v>
      </c>
      <c r="O319" s="25">
        <f t="shared" si="10"/>
        <v>-3.4180908711962665E-3</v>
      </c>
    </row>
    <row r="320" spans="1:15">
      <c r="A320" s="81">
        <v>583.91999999999996</v>
      </c>
      <c r="B320" s="81">
        <v>587.08000000000004</v>
      </c>
      <c r="C320" s="81">
        <v>583.12</v>
      </c>
      <c r="D320" s="81">
        <v>586.82000000000005</v>
      </c>
      <c r="E320" s="81">
        <v>5033308</v>
      </c>
      <c r="F320" s="81" t="s">
        <v>284</v>
      </c>
      <c r="G320" s="25">
        <f t="shared" si="9"/>
        <v>-4.9418901877920085E-3</v>
      </c>
      <c r="I320" s="81">
        <v>119.91</v>
      </c>
      <c r="J320" s="81">
        <v>120.80500000000001</v>
      </c>
      <c r="K320" s="81">
        <v>119.36</v>
      </c>
      <c r="L320" s="81">
        <v>120.58</v>
      </c>
      <c r="M320" s="81">
        <v>6211640</v>
      </c>
      <c r="N320" s="81" t="s">
        <v>284</v>
      </c>
      <c r="O320" s="25">
        <f t="shared" si="10"/>
        <v>-5.5564770276994579E-3</v>
      </c>
    </row>
    <row r="321" spans="1:15">
      <c r="A321" s="81">
        <v>585.44000000000005</v>
      </c>
      <c r="B321" s="81">
        <v>586.5</v>
      </c>
      <c r="C321" s="81">
        <v>584.24</v>
      </c>
      <c r="D321" s="81">
        <v>586.04</v>
      </c>
      <c r="E321" s="81">
        <v>4169858</v>
      </c>
      <c r="F321" s="81" t="s">
        <v>285</v>
      </c>
      <c r="G321" s="25">
        <f t="shared" si="9"/>
        <v>-1.0238208995971831E-3</v>
      </c>
      <c r="I321" s="81">
        <v>120.37</v>
      </c>
      <c r="J321" s="81">
        <v>121.4</v>
      </c>
      <c r="K321" s="81">
        <v>119.88890000000001</v>
      </c>
      <c r="L321" s="81">
        <v>121.03</v>
      </c>
      <c r="M321" s="81">
        <v>5976891</v>
      </c>
      <c r="N321" s="81" t="s">
        <v>285</v>
      </c>
      <c r="O321" s="25">
        <f t="shared" si="10"/>
        <v>-5.45319342311823E-3</v>
      </c>
    </row>
    <row r="322" spans="1:15">
      <c r="A322" s="81">
        <v>585.58000000000004</v>
      </c>
      <c r="B322" s="81">
        <v>586.04</v>
      </c>
      <c r="C322" s="81">
        <v>583.59</v>
      </c>
      <c r="D322" s="81">
        <v>583.80999999999995</v>
      </c>
      <c r="E322" s="81">
        <v>3189061</v>
      </c>
      <c r="F322" s="81" t="s">
        <v>286</v>
      </c>
      <c r="G322" s="25">
        <f t="shared" si="9"/>
        <v>3.0318082937943469E-3</v>
      </c>
      <c r="I322" s="81">
        <v>121.47</v>
      </c>
      <c r="J322" s="81">
        <v>122.45</v>
      </c>
      <c r="K322" s="81">
        <v>120.87</v>
      </c>
      <c r="L322" s="81">
        <v>122.255</v>
      </c>
      <c r="M322" s="81">
        <v>5379345</v>
      </c>
      <c r="N322" s="81" t="s">
        <v>286</v>
      </c>
      <c r="O322" s="25">
        <f t="shared" si="10"/>
        <v>-6.4210052758577607E-3</v>
      </c>
    </row>
    <row r="323" spans="1:15">
      <c r="A323" s="81">
        <v>583.26</v>
      </c>
      <c r="B323" s="81">
        <v>584.75</v>
      </c>
      <c r="C323" s="81">
        <v>582.72</v>
      </c>
      <c r="D323" s="81">
        <v>583.34</v>
      </c>
      <c r="E323" s="81">
        <v>3840901</v>
      </c>
      <c r="F323" s="81" t="s">
        <v>287</v>
      </c>
      <c r="G323" s="25">
        <f t="shared" si="9"/>
        <v>-1.3714128981390239E-4</v>
      </c>
      <c r="I323" s="81">
        <v>121.95</v>
      </c>
      <c r="J323" s="81">
        <v>123.4</v>
      </c>
      <c r="K323" s="81">
        <v>121.81</v>
      </c>
      <c r="L323" s="81">
        <v>122.85</v>
      </c>
      <c r="M323" s="81">
        <v>6702242</v>
      </c>
      <c r="N323" s="81" t="s">
        <v>287</v>
      </c>
      <c r="O323" s="25">
        <f t="shared" si="10"/>
        <v>-7.3260073260073E-3</v>
      </c>
    </row>
    <row r="324" spans="1:15">
      <c r="A324" s="81">
        <v>582.86</v>
      </c>
      <c r="B324" s="81">
        <v>582.96</v>
      </c>
      <c r="C324" s="81">
        <v>578.87</v>
      </c>
      <c r="D324" s="81">
        <v>580.57000000000005</v>
      </c>
      <c r="E324" s="81">
        <v>4257345</v>
      </c>
      <c r="F324" s="81" t="s">
        <v>288</v>
      </c>
      <c r="G324" s="25">
        <f t="shared" si="9"/>
        <v>3.9443994694867701E-3</v>
      </c>
      <c r="I324" s="81">
        <v>122.94</v>
      </c>
      <c r="J324" s="81">
        <v>123.18</v>
      </c>
      <c r="K324" s="81">
        <v>121.5</v>
      </c>
      <c r="L324" s="81">
        <v>121.52</v>
      </c>
      <c r="M324" s="81">
        <v>8258934</v>
      </c>
      <c r="N324" s="81" t="s">
        <v>288</v>
      </c>
      <c r="O324" s="25">
        <f t="shared" si="10"/>
        <v>1.1685319289005847E-2</v>
      </c>
    </row>
    <row r="325" spans="1:15">
      <c r="A325" s="81">
        <v>577.95000000000005</v>
      </c>
      <c r="B325" s="81">
        <v>578.84</v>
      </c>
      <c r="C325" s="81">
        <v>575.64</v>
      </c>
      <c r="D325" s="81">
        <v>578.28</v>
      </c>
      <c r="E325" s="81">
        <v>4743679</v>
      </c>
      <c r="F325" s="81" t="s">
        <v>289</v>
      </c>
      <c r="G325" s="25">
        <f t="shared" si="9"/>
        <v>-5.7065781282406025E-4</v>
      </c>
      <c r="I325" s="81">
        <v>121.06</v>
      </c>
      <c r="J325" s="81">
        <v>121.43</v>
      </c>
      <c r="K325" s="81">
        <v>120.56</v>
      </c>
      <c r="L325" s="81">
        <v>120.75</v>
      </c>
      <c r="M325" s="81">
        <v>5458884</v>
      </c>
      <c r="N325" s="81" t="s">
        <v>289</v>
      </c>
      <c r="O325" s="25">
        <f t="shared" si="10"/>
        <v>2.5672877846791842E-3</v>
      </c>
    </row>
    <row r="326" spans="1:15">
      <c r="A326" s="81">
        <v>577.95000000000005</v>
      </c>
      <c r="B326" s="81">
        <v>580.53</v>
      </c>
      <c r="C326" s="81">
        <v>577.59</v>
      </c>
      <c r="D326" s="81">
        <v>577.98</v>
      </c>
      <c r="E326" s="81">
        <v>5892207</v>
      </c>
      <c r="F326" s="81" t="s">
        <v>290</v>
      </c>
      <c r="G326" s="25">
        <f t="shared" si="9"/>
        <v>-5.1904910204458865E-5</v>
      </c>
      <c r="I326" s="81">
        <v>120.84</v>
      </c>
      <c r="J326" s="81">
        <v>121.9699</v>
      </c>
      <c r="K326" s="81">
        <v>120.78</v>
      </c>
      <c r="L326" s="81">
        <v>121.07</v>
      </c>
      <c r="M326" s="81">
        <v>6201218</v>
      </c>
      <c r="N326" s="81" t="s">
        <v>290</v>
      </c>
      <c r="O326" s="25">
        <f t="shared" si="10"/>
        <v>-1.8997274304121126E-3</v>
      </c>
    </row>
    <row r="327" spans="1:15">
      <c r="A327" s="81">
        <v>576.91999999999996</v>
      </c>
      <c r="B327" s="81">
        <v>578.5</v>
      </c>
      <c r="C327" s="81">
        <v>575.84</v>
      </c>
      <c r="D327" s="81">
        <v>578.47</v>
      </c>
      <c r="E327" s="81">
        <v>4244147</v>
      </c>
      <c r="F327" s="81" t="s">
        <v>291</v>
      </c>
      <c r="G327" s="25">
        <f t="shared" si="9"/>
        <v>-2.6794820820441601E-3</v>
      </c>
      <c r="I327" s="81">
        <v>121.42</v>
      </c>
      <c r="J327" s="81">
        <v>122.16</v>
      </c>
      <c r="K327" s="81">
        <v>120.29</v>
      </c>
      <c r="L327" s="81">
        <v>121.965</v>
      </c>
      <c r="M327" s="81">
        <v>9425534</v>
      </c>
      <c r="N327" s="81" t="s">
        <v>291</v>
      </c>
      <c r="O327" s="25">
        <f t="shared" si="10"/>
        <v>-4.4684950600581974E-3</v>
      </c>
    </row>
    <row r="328" spans="1:15">
      <c r="A328" s="81">
        <v>577.17999999999995</v>
      </c>
      <c r="B328" s="81">
        <v>577.65</v>
      </c>
      <c r="C328" s="81">
        <v>573.79999999999995</v>
      </c>
      <c r="D328" s="81">
        <v>574.02</v>
      </c>
      <c r="E328" s="81">
        <v>5391575</v>
      </c>
      <c r="F328" s="81" t="s">
        <v>292</v>
      </c>
      <c r="G328" s="25">
        <f t="shared" si="9"/>
        <v>5.5050346677816275E-3</v>
      </c>
      <c r="I328" s="81">
        <v>122.21</v>
      </c>
      <c r="J328" s="81">
        <v>122.39</v>
      </c>
      <c r="K328" s="81">
        <v>119.75</v>
      </c>
      <c r="L328" s="81">
        <v>119.75</v>
      </c>
      <c r="M328" s="81">
        <v>9890141</v>
      </c>
      <c r="N328" s="81" t="s">
        <v>292</v>
      </c>
      <c r="O328" s="25">
        <f t="shared" si="10"/>
        <v>2.0542797494780718E-2</v>
      </c>
    </row>
    <row r="329" spans="1:15">
      <c r="A329" s="81">
        <v>573.74</v>
      </c>
      <c r="B329" s="81">
        <v>574.26</v>
      </c>
      <c r="C329" s="81">
        <v>568.16999999999996</v>
      </c>
      <c r="D329" s="81">
        <v>573.4</v>
      </c>
      <c r="E329" s="81">
        <v>6119852</v>
      </c>
      <c r="F329" s="81" t="s">
        <v>293</v>
      </c>
      <c r="G329" s="25">
        <f t="shared" si="9"/>
        <v>5.9295430763861567E-4</v>
      </c>
      <c r="I329" s="81">
        <v>119.82</v>
      </c>
      <c r="J329" s="81">
        <v>120.57</v>
      </c>
      <c r="K329" s="81">
        <v>118.875</v>
      </c>
      <c r="L329" s="81">
        <v>119.36</v>
      </c>
      <c r="M329" s="81">
        <v>6712341</v>
      </c>
      <c r="N329" s="81" t="s">
        <v>293</v>
      </c>
      <c r="O329" s="25">
        <f t="shared" si="10"/>
        <v>3.8538873994637957E-3</v>
      </c>
    </row>
    <row r="330" spans="1:15">
      <c r="A330" s="81">
        <v>571.86</v>
      </c>
      <c r="B330" s="81">
        <v>577.16</v>
      </c>
      <c r="C330" s="81">
        <v>571.85</v>
      </c>
      <c r="D330" s="81">
        <v>576.85</v>
      </c>
      <c r="E330" s="81">
        <v>5338268</v>
      </c>
      <c r="F330" s="81" t="s">
        <v>294</v>
      </c>
      <c r="G330" s="25">
        <f t="shared" si="9"/>
        <v>-8.6504290543468754E-3</v>
      </c>
      <c r="I330" s="81">
        <v>118.98</v>
      </c>
      <c r="J330" s="81">
        <v>120.23</v>
      </c>
      <c r="K330" s="81">
        <v>118.88</v>
      </c>
      <c r="L330" s="81">
        <v>120.23</v>
      </c>
      <c r="M330" s="81">
        <v>7888383</v>
      </c>
      <c r="N330" s="81" t="s">
        <v>294</v>
      </c>
      <c r="O330" s="25">
        <f t="shared" si="10"/>
        <v>-1.0396739582466896E-2</v>
      </c>
    </row>
    <row r="331" spans="1:15">
      <c r="A331" s="81">
        <v>574.35</v>
      </c>
      <c r="B331" s="81">
        <v>574.67899999999997</v>
      </c>
      <c r="C331" s="81">
        <v>571.58000000000004</v>
      </c>
      <c r="D331" s="81">
        <v>572.85</v>
      </c>
      <c r="E331" s="81">
        <v>4719971</v>
      </c>
      <c r="F331" s="81" t="s">
        <v>295</v>
      </c>
      <c r="G331" s="25">
        <f t="shared" si="9"/>
        <v>2.6184865147944603E-3</v>
      </c>
      <c r="I331" s="81">
        <v>119.97</v>
      </c>
      <c r="J331" s="81">
        <v>120.5</v>
      </c>
      <c r="K331" s="81">
        <v>119.6018</v>
      </c>
      <c r="L331" s="81">
        <v>119.77500000000001</v>
      </c>
      <c r="M331" s="81">
        <v>6825393</v>
      </c>
      <c r="N331" s="81" t="s">
        <v>295</v>
      </c>
      <c r="O331" s="25">
        <f t="shared" si="10"/>
        <v>1.6280525986223093E-3</v>
      </c>
    </row>
    <row r="332" spans="1:15">
      <c r="A332" s="81">
        <v>573.22</v>
      </c>
      <c r="B332" s="81">
        <v>574.37570000000005</v>
      </c>
      <c r="C332" s="81">
        <v>571.37</v>
      </c>
      <c r="D332" s="81">
        <v>572.45000000000005</v>
      </c>
      <c r="E332" s="81">
        <v>4414258</v>
      </c>
      <c r="F332" s="81" t="s">
        <v>296</v>
      </c>
      <c r="G332" s="25">
        <f t="shared" si="9"/>
        <v>1.3450956415406168E-3</v>
      </c>
      <c r="I332" s="81">
        <v>119.87</v>
      </c>
      <c r="J332" s="81">
        <v>121.2265</v>
      </c>
      <c r="K332" s="81">
        <v>119.73</v>
      </c>
      <c r="L332" s="81">
        <v>120.64</v>
      </c>
      <c r="M332" s="81">
        <v>6094059</v>
      </c>
      <c r="N332" s="81" t="s">
        <v>296</v>
      </c>
      <c r="O332" s="25">
        <f t="shared" si="10"/>
        <v>-6.3826259946949682E-3</v>
      </c>
    </row>
    <row r="333" spans="1:15">
      <c r="A333" s="81">
        <v>575.29</v>
      </c>
      <c r="B333" s="81">
        <v>576.26</v>
      </c>
      <c r="C333" s="81">
        <v>572.70000000000005</v>
      </c>
      <c r="D333" s="81">
        <v>573.78</v>
      </c>
      <c r="E333" s="81">
        <v>4920279</v>
      </c>
      <c r="F333" s="81" t="s">
        <v>297</v>
      </c>
      <c r="G333" s="25">
        <f t="shared" si="9"/>
        <v>2.6316706751716712E-3</v>
      </c>
      <c r="I333" s="81">
        <v>121.56</v>
      </c>
      <c r="J333" s="81">
        <v>121.95</v>
      </c>
      <c r="K333" s="81">
        <v>120.62</v>
      </c>
      <c r="L333" s="81">
        <v>120.62</v>
      </c>
      <c r="M333" s="81">
        <v>6865922</v>
      </c>
      <c r="N333" s="81" t="s">
        <v>297</v>
      </c>
      <c r="O333" s="25">
        <f t="shared" si="10"/>
        <v>7.7930691427623433E-3</v>
      </c>
    </row>
    <row r="334" spans="1:15">
      <c r="A334" s="81">
        <v>573.61</v>
      </c>
      <c r="B334" s="81">
        <v>574.26</v>
      </c>
      <c r="C334" s="81">
        <v>570.76</v>
      </c>
      <c r="D334" s="81">
        <v>572.46</v>
      </c>
      <c r="E334" s="81">
        <v>6833139</v>
      </c>
      <c r="F334" s="81" t="s">
        <v>298</v>
      </c>
      <c r="G334" s="25">
        <f t="shared" si="9"/>
        <v>2.0088739824615232E-3</v>
      </c>
      <c r="I334" s="81">
        <v>120.61</v>
      </c>
      <c r="J334" s="81">
        <v>122.35</v>
      </c>
      <c r="K334" s="81">
        <v>120.61</v>
      </c>
      <c r="L334" s="81">
        <v>121.83499999999999</v>
      </c>
      <c r="M334" s="81">
        <v>6702030</v>
      </c>
      <c r="N334" s="81" t="s">
        <v>298</v>
      </c>
      <c r="O334" s="25">
        <f t="shared" si="10"/>
        <v>-1.0054582016661873E-2</v>
      </c>
    </row>
    <row r="335" spans="1:15">
      <c r="A335" s="81">
        <v>570.23</v>
      </c>
      <c r="B335" s="81">
        <v>571.83000000000004</v>
      </c>
      <c r="C335" s="81">
        <v>569.48</v>
      </c>
      <c r="D335" s="81">
        <v>571.15</v>
      </c>
      <c r="E335" s="81">
        <v>6916815</v>
      </c>
      <c r="F335" s="81" t="s">
        <v>299</v>
      </c>
      <c r="G335" s="25">
        <f t="shared" si="9"/>
        <v>-1.6107852578131077E-3</v>
      </c>
      <c r="I335" s="81">
        <v>121.82</v>
      </c>
      <c r="J335" s="81">
        <v>123.711</v>
      </c>
      <c r="K335" s="81">
        <v>121.82</v>
      </c>
      <c r="L335" s="81">
        <v>123.215</v>
      </c>
      <c r="M335" s="81">
        <v>6617476</v>
      </c>
      <c r="N335" s="81" t="s">
        <v>299</v>
      </c>
      <c r="O335" s="25">
        <f t="shared" si="10"/>
        <v>-1.1321673497544982E-2</v>
      </c>
    </row>
    <row r="336" spans="1:15">
      <c r="A336" s="81">
        <v>570.61</v>
      </c>
      <c r="B336" s="81">
        <v>573.59</v>
      </c>
      <c r="C336" s="81">
        <v>567.98</v>
      </c>
      <c r="D336" s="81">
        <v>573</v>
      </c>
      <c r="E336" s="81">
        <v>6347907</v>
      </c>
      <c r="F336" s="81" t="s">
        <v>300</v>
      </c>
      <c r="G336" s="25">
        <f t="shared" si="9"/>
        <v>-4.1710296684118742E-3</v>
      </c>
      <c r="I336" s="81">
        <v>123.16</v>
      </c>
      <c r="J336" s="81">
        <v>124.61</v>
      </c>
      <c r="K336" s="81">
        <v>122.5788</v>
      </c>
      <c r="L336" s="81">
        <v>123.21</v>
      </c>
      <c r="M336" s="81">
        <v>6848168</v>
      </c>
      <c r="N336" s="81" t="s">
        <v>300</v>
      </c>
      <c r="O336" s="25">
        <f t="shared" si="10"/>
        <v>-4.0581121662197628E-4</v>
      </c>
    </row>
    <row r="337" spans="1:15">
      <c r="A337" s="81">
        <v>575.22</v>
      </c>
      <c r="B337" s="81">
        <v>575.66999999999996</v>
      </c>
      <c r="C337" s="81">
        <v>572.13</v>
      </c>
      <c r="D337" s="81">
        <v>572.17999999999995</v>
      </c>
      <c r="E337" s="81">
        <v>4833973</v>
      </c>
      <c r="F337" s="81" t="s">
        <v>301</v>
      </c>
      <c r="G337" s="25">
        <f t="shared" si="9"/>
        <v>5.3130133873957597E-3</v>
      </c>
      <c r="I337" s="81">
        <v>124</v>
      </c>
      <c r="J337" s="81">
        <v>124.24</v>
      </c>
      <c r="K337" s="81">
        <v>122.9</v>
      </c>
      <c r="L337" s="81">
        <v>123.065</v>
      </c>
      <c r="M337" s="81">
        <v>4250594</v>
      </c>
      <c r="N337" s="81" t="s">
        <v>301</v>
      </c>
      <c r="O337" s="25">
        <f t="shared" si="10"/>
        <v>7.597611018567374E-3</v>
      </c>
    </row>
    <row r="338" spans="1:15">
      <c r="A338" s="81">
        <v>570.29</v>
      </c>
      <c r="B338" s="81">
        <v>570.34</v>
      </c>
      <c r="C338" s="81">
        <v>566.80999999999995</v>
      </c>
      <c r="D338" s="81">
        <v>567.37</v>
      </c>
      <c r="E338" s="81">
        <v>6134026</v>
      </c>
      <c r="F338" s="81" t="s">
        <v>302</v>
      </c>
      <c r="G338" s="25">
        <f t="shared" si="9"/>
        <v>5.1465533954913045E-3</v>
      </c>
      <c r="I338" s="81">
        <v>122.98</v>
      </c>
      <c r="J338" s="81">
        <v>123.7</v>
      </c>
      <c r="K338" s="81">
        <v>122.53</v>
      </c>
      <c r="L338" s="81">
        <v>123.315</v>
      </c>
      <c r="M338" s="81">
        <v>7299567</v>
      </c>
      <c r="N338" s="81" t="s">
        <v>302</v>
      </c>
      <c r="O338" s="25">
        <f t="shared" si="10"/>
        <v>-2.7166200381136818E-3</v>
      </c>
    </row>
    <row r="339" spans="1:15">
      <c r="A339" s="81">
        <v>567.77</v>
      </c>
      <c r="B339" s="81">
        <v>568.79999999999995</v>
      </c>
      <c r="C339" s="81">
        <v>565.79999999999995</v>
      </c>
      <c r="D339" s="81">
        <v>566.55999999999995</v>
      </c>
      <c r="E339" s="81">
        <v>7369350</v>
      </c>
      <c r="F339" s="81" t="s">
        <v>303</v>
      </c>
      <c r="G339" s="25">
        <f t="shared" si="9"/>
        <v>2.1356961310365907E-3</v>
      </c>
      <c r="I339" s="81">
        <v>123.49</v>
      </c>
      <c r="J339" s="81">
        <v>123.755</v>
      </c>
      <c r="K339" s="81">
        <v>122.45</v>
      </c>
      <c r="L339" s="81">
        <v>123.5</v>
      </c>
      <c r="M339" s="81">
        <v>9718959</v>
      </c>
      <c r="N339" s="81" t="s">
        <v>303</v>
      </c>
      <c r="O339" s="25">
        <f t="shared" si="10"/>
        <v>-8.0971659919049088E-5</v>
      </c>
    </row>
    <row r="340" spans="1:15">
      <c r="A340" s="81">
        <v>568.03</v>
      </c>
      <c r="B340" s="81">
        <v>569.15</v>
      </c>
      <c r="C340" s="81">
        <v>565.375</v>
      </c>
      <c r="D340" s="81">
        <v>567.5</v>
      </c>
      <c r="E340" s="81">
        <v>5719188</v>
      </c>
      <c r="F340" s="81" t="s">
        <v>304</v>
      </c>
      <c r="G340" s="25">
        <f t="shared" si="9"/>
        <v>9.3392070484576983E-4</v>
      </c>
      <c r="I340" s="81">
        <v>124.01</v>
      </c>
      <c r="J340" s="81">
        <v>124.69</v>
      </c>
      <c r="K340" s="81">
        <v>123.18</v>
      </c>
      <c r="L340" s="81">
        <v>124.31</v>
      </c>
      <c r="M340" s="81">
        <v>13325452</v>
      </c>
      <c r="N340" s="81" t="s">
        <v>304</v>
      </c>
      <c r="O340" s="25">
        <f t="shared" si="10"/>
        <v>-2.4133215348725034E-3</v>
      </c>
    </row>
    <row r="341" spans="1:15">
      <c r="A341" s="81">
        <v>566.95000000000005</v>
      </c>
      <c r="B341" s="81">
        <v>568.33000000000004</v>
      </c>
      <c r="C341" s="81">
        <v>563.21</v>
      </c>
      <c r="D341" s="81">
        <v>565.11</v>
      </c>
      <c r="E341" s="81">
        <v>6056524</v>
      </c>
      <c r="F341" s="81" t="s">
        <v>305</v>
      </c>
      <c r="G341" s="25">
        <f t="shared" si="9"/>
        <v>3.2560032560033925E-3</v>
      </c>
      <c r="I341" s="81">
        <v>122.34</v>
      </c>
      <c r="J341" s="81">
        <v>122.94</v>
      </c>
      <c r="K341" s="81">
        <v>121.48439999999999</v>
      </c>
      <c r="L341" s="81">
        <v>121.85</v>
      </c>
      <c r="M341" s="81">
        <v>13435553</v>
      </c>
      <c r="N341" s="81" t="s">
        <v>305</v>
      </c>
      <c r="O341" s="25">
        <f t="shared" si="10"/>
        <v>4.0213377102995551E-3</v>
      </c>
    </row>
    <row r="342" spans="1:15">
      <c r="A342" s="81">
        <v>564.15</v>
      </c>
      <c r="B342" s="81">
        <v>564.54999999999995</v>
      </c>
      <c r="C342" s="81">
        <v>560.96</v>
      </c>
      <c r="D342" s="81">
        <v>561.52</v>
      </c>
      <c r="E342" s="81">
        <v>6081444</v>
      </c>
      <c r="F342" s="81" t="s">
        <v>306</v>
      </c>
      <c r="G342" s="25">
        <f t="shared" si="9"/>
        <v>4.6837156290069348E-3</v>
      </c>
      <c r="I342" s="81">
        <v>121.46</v>
      </c>
      <c r="J342" s="81">
        <v>121.67</v>
      </c>
      <c r="K342" s="81">
        <v>119.68</v>
      </c>
      <c r="L342" s="81">
        <v>119.98</v>
      </c>
      <c r="M342" s="81">
        <v>10439595</v>
      </c>
      <c r="N342" s="81" t="s">
        <v>306</v>
      </c>
      <c r="O342" s="25">
        <f t="shared" si="10"/>
        <v>1.233538923153854E-2</v>
      </c>
    </row>
    <row r="343" spans="1:15">
      <c r="A343" s="81">
        <v>559.72</v>
      </c>
      <c r="B343" s="81">
        <v>561.02</v>
      </c>
      <c r="C343" s="81">
        <v>558.34</v>
      </c>
      <c r="D343" s="81">
        <v>560.52</v>
      </c>
      <c r="E343" s="81">
        <v>16472305</v>
      </c>
      <c r="F343" s="81" t="s">
        <v>307</v>
      </c>
      <c r="G343" s="25">
        <f t="shared" si="9"/>
        <v>-1.4272461285947946E-3</v>
      </c>
      <c r="I343" s="81">
        <v>119.42</v>
      </c>
      <c r="J343" s="81">
        <v>119.72</v>
      </c>
      <c r="K343" s="81">
        <v>118.63</v>
      </c>
      <c r="L343" s="81">
        <v>118.77</v>
      </c>
      <c r="M343" s="81">
        <v>6976323</v>
      </c>
      <c r="N343" s="81" t="s">
        <v>307</v>
      </c>
      <c r="O343" s="25">
        <f t="shared" si="10"/>
        <v>5.4727624821082621E-3</v>
      </c>
    </row>
    <row r="344" spans="1:15">
      <c r="A344" s="81">
        <v>559.44000000000005</v>
      </c>
      <c r="B344" s="81">
        <v>560.42999999999995</v>
      </c>
      <c r="C344" s="81">
        <v>556.37</v>
      </c>
      <c r="D344" s="81">
        <v>557.17999999999995</v>
      </c>
      <c r="E344" s="81">
        <v>6770036</v>
      </c>
      <c r="F344" s="81" t="s">
        <v>308</v>
      </c>
      <c r="G344" s="25">
        <f t="shared" si="9"/>
        <v>4.0561398470873034E-3</v>
      </c>
      <c r="I344" s="81">
        <v>118.65</v>
      </c>
      <c r="J344" s="81">
        <v>119.08</v>
      </c>
      <c r="K344" s="81">
        <v>117.75</v>
      </c>
      <c r="L344" s="81">
        <v>117.75</v>
      </c>
      <c r="M344" s="81">
        <v>8350221</v>
      </c>
      <c r="N344" s="81" t="s">
        <v>308</v>
      </c>
      <c r="O344" s="25">
        <f t="shared" si="10"/>
        <v>7.6433121019108263E-3</v>
      </c>
    </row>
    <row r="345" spans="1:15">
      <c r="A345" s="81">
        <v>553.36</v>
      </c>
      <c r="B345" s="81">
        <v>553.70000000000005</v>
      </c>
      <c r="C345" s="81">
        <v>545.75</v>
      </c>
      <c r="D345" s="81">
        <v>548.66</v>
      </c>
      <c r="E345" s="81">
        <v>9691151</v>
      </c>
      <c r="F345" s="81" t="s">
        <v>309</v>
      </c>
      <c r="G345" s="25">
        <f t="shared" si="9"/>
        <v>8.5663252287391245E-3</v>
      </c>
      <c r="I345" s="81">
        <v>117.75</v>
      </c>
      <c r="J345" s="81">
        <v>117.99</v>
      </c>
      <c r="K345" s="81">
        <v>115.02</v>
      </c>
      <c r="L345" s="81">
        <v>116.66</v>
      </c>
      <c r="M345" s="81">
        <v>8026847</v>
      </c>
      <c r="N345" s="81" t="s">
        <v>309</v>
      </c>
      <c r="O345" s="25">
        <f t="shared" si="10"/>
        <v>9.3433910509173046E-3</v>
      </c>
    </row>
    <row r="346" spans="1:15">
      <c r="A346" s="81">
        <v>547.72</v>
      </c>
      <c r="B346" s="81">
        <v>552.72</v>
      </c>
      <c r="C346" s="81">
        <v>546.62</v>
      </c>
      <c r="D346" s="81">
        <v>551.72</v>
      </c>
      <c r="E346" s="81">
        <v>9942858</v>
      </c>
      <c r="F346" s="81" t="s">
        <v>310</v>
      </c>
      <c r="G346" s="25">
        <f t="shared" si="9"/>
        <v>-7.2500543754078217E-3</v>
      </c>
      <c r="I346" s="81">
        <v>117.63</v>
      </c>
      <c r="J346" s="81">
        <v>119.05</v>
      </c>
      <c r="K346" s="81">
        <v>116.9</v>
      </c>
      <c r="L346" s="81">
        <v>118.25</v>
      </c>
      <c r="M346" s="81">
        <v>16861093</v>
      </c>
      <c r="N346" s="81" t="s">
        <v>310</v>
      </c>
      <c r="O346" s="25">
        <f t="shared" si="10"/>
        <v>-5.2431289640592071E-3</v>
      </c>
    </row>
    <row r="347" spans="1:15">
      <c r="A347" s="81">
        <v>549.24</v>
      </c>
      <c r="B347" s="81">
        <v>552.71</v>
      </c>
      <c r="C347" s="81">
        <v>548.39</v>
      </c>
      <c r="D347" s="81">
        <v>550.16</v>
      </c>
      <c r="E347" s="81">
        <v>4602329</v>
      </c>
      <c r="F347" s="81" t="s">
        <v>311</v>
      </c>
      <c r="G347" s="25">
        <f t="shared" si="9"/>
        <v>-1.6722408026754731E-3</v>
      </c>
      <c r="I347" s="81">
        <v>117.86</v>
      </c>
      <c r="J347" s="81">
        <v>118.75</v>
      </c>
      <c r="K347" s="81">
        <v>116.84</v>
      </c>
      <c r="L347" s="81">
        <v>117.88</v>
      </c>
      <c r="M347" s="81">
        <v>8181181</v>
      </c>
      <c r="N347" s="81" t="s">
        <v>311</v>
      </c>
      <c r="O347" s="25">
        <f t="shared" si="10"/>
        <v>-1.69664065150954E-4</v>
      </c>
    </row>
    <row r="348" spans="1:15">
      <c r="A348" s="81">
        <v>549.35</v>
      </c>
      <c r="B348" s="81">
        <v>553.16</v>
      </c>
      <c r="C348" s="81">
        <v>548.63499999999999</v>
      </c>
      <c r="D348" s="81">
        <v>551.79</v>
      </c>
      <c r="E348" s="81">
        <v>4753344</v>
      </c>
      <c r="F348" s="81" t="s">
        <v>312</v>
      </c>
      <c r="G348" s="25">
        <f t="shared" si="9"/>
        <v>-4.4219721270771783E-3</v>
      </c>
      <c r="I348" s="81">
        <v>118.13</v>
      </c>
      <c r="J348" s="81">
        <v>119.33</v>
      </c>
      <c r="K348" s="81">
        <v>117.645</v>
      </c>
      <c r="L348" s="81">
        <v>118.99</v>
      </c>
      <c r="M348" s="81">
        <v>9241183</v>
      </c>
      <c r="N348" s="81" t="s">
        <v>312</v>
      </c>
      <c r="O348" s="25">
        <f t="shared" si="10"/>
        <v>-7.2274981090847401E-3</v>
      </c>
    </row>
    <row r="349" spans="1:15">
      <c r="A349" s="81">
        <v>554.07000000000005</v>
      </c>
      <c r="B349" s="81">
        <v>555.69000000000005</v>
      </c>
      <c r="C349" s="81">
        <v>551.87</v>
      </c>
      <c r="D349" s="81">
        <v>551.94000000000005</v>
      </c>
      <c r="E349" s="81">
        <v>7421327</v>
      </c>
      <c r="F349" s="81" t="s">
        <v>313</v>
      </c>
      <c r="G349" s="25">
        <f t="shared" si="9"/>
        <v>3.8591151212088448E-3</v>
      </c>
      <c r="I349" s="81">
        <v>119.48</v>
      </c>
      <c r="J349" s="81">
        <v>120.3416</v>
      </c>
      <c r="K349" s="81">
        <v>117.87</v>
      </c>
      <c r="L349" s="81">
        <v>118.02</v>
      </c>
      <c r="M349" s="81">
        <v>9592056</v>
      </c>
      <c r="N349" s="81" t="s">
        <v>313</v>
      </c>
      <c r="O349" s="25">
        <f t="shared" si="10"/>
        <v>1.237078461277763E-2</v>
      </c>
    </row>
    <row r="350" spans="1:15">
      <c r="A350" s="81">
        <v>548.77</v>
      </c>
      <c r="B350" s="81">
        <v>553.245</v>
      </c>
      <c r="C350" s="81">
        <v>547.41</v>
      </c>
      <c r="D350" s="81">
        <v>550.24</v>
      </c>
      <c r="E350" s="81">
        <v>7062316</v>
      </c>
      <c r="F350" s="81" t="s">
        <v>314</v>
      </c>
      <c r="G350" s="25">
        <f t="shared" si="9"/>
        <v>-2.671561500436237E-3</v>
      </c>
      <c r="I350" s="81">
        <v>117.94</v>
      </c>
      <c r="J350" s="81">
        <v>118.32</v>
      </c>
      <c r="K350" s="81">
        <v>117.3</v>
      </c>
      <c r="L350" s="81">
        <v>117.30500000000001</v>
      </c>
      <c r="M350" s="81">
        <v>11092097</v>
      </c>
      <c r="N350" s="81" t="s">
        <v>314</v>
      </c>
      <c r="O350" s="25">
        <f t="shared" si="10"/>
        <v>5.4132389923702284E-3</v>
      </c>
    </row>
    <row r="351" spans="1:15">
      <c r="A351" s="81">
        <v>554.95000000000005</v>
      </c>
      <c r="B351" s="81">
        <v>555</v>
      </c>
      <c r="C351" s="81">
        <v>551.13220000000001</v>
      </c>
      <c r="D351" s="81">
        <v>551.6</v>
      </c>
      <c r="E351" s="81">
        <v>8422943</v>
      </c>
      <c r="F351" s="81" t="s">
        <v>315</v>
      </c>
      <c r="G351" s="25">
        <f t="shared" si="9"/>
        <v>6.0732414793329692E-3</v>
      </c>
      <c r="I351" s="81">
        <v>118.61</v>
      </c>
      <c r="J351" s="81">
        <v>119.39</v>
      </c>
      <c r="K351" s="81">
        <v>117.66</v>
      </c>
      <c r="L351" s="81">
        <v>118.87</v>
      </c>
      <c r="M351" s="81">
        <v>7980313</v>
      </c>
      <c r="N351" s="81" t="s">
        <v>315</v>
      </c>
      <c r="O351" s="25">
        <f t="shared" si="10"/>
        <v>-2.1872633969883815E-3</v>
      </c>
    </row>
    <row r="352" spans="1:15">
      <c r="A352" s="81">
        <v>552.86</v>
      </c>
      <c r="B352" s="81">
        <v>556.22500000000002</v>
      </c>
      <c r="C352" s="81">
        <v>550.91</v>
      </c>
      <c r="D352" s="81">
        <v>555.41</v>
      </c>
      <c r="E352" s="81">
        <v>20800557</v>
      </c>
      <c r="F352" s="81" t="s">
        <v>316</v>
      </c>
      <c r="G352" s="25">
        <f t="shared" si="9"/>
        <v>-4.5912028951584638E-3</v>
      </c>
      <c r="I352" s="81">
        <v>119.52</v>
      </c>
      <c r="J352" s="81">
        <v>119.545</v>
      </c>
      <c r="K352" s="81">
        <v>117.65</v>
      </c>
      <c r="L352" s="81">
        <v>118.38</v>
      </c>
      <c r="M352" s="81">
        <v>10439186</v>
      </c>
      <c r="N352" s="81" t="s">
        <v>316</v>
      </c>
      <c r="O352" s="25">
        <f t="shared" si="10"/>
        <v>9.6300050684237082E-3</v>
      </c>
    </row>
    <row r="353" spans="1:15">
      <c r="A353" s="81">
        <v>554.39</v>
      </c>
      <c r="B353" s="81">
        <v>554.74</v>
      </c>
      <c r="C353" s="81">
        <v>550.74</v>
      </c>
      <c r="D353" s="81">
        <v>551.78</v>
      </c>
      <c r="E353" s="81">
        <v>5951290</v>
      </c>
      <c r="F353" s="81" t="s">
        <v>317</v>
      </c>
      <c r="G353" s="25">
        <f t="shared" si="9"/>
        <v>4.7301460727102729E-3</v>
      </c>
      <c r="I353" s="81">
        <v>118.73</v>
      </c>
      <c r="J353" s="81">
        <v>120.5</v>
      </c>
      <c r="K353" s="81">
        <v>115.52500000000001</v>
      </c>
      <c r="L353" s="81">
        <v>115.52500000000001</v>
      </c>
      <c r="M353" s="81">
        <v>18930495</v>
      </c>
      <c r="N353" s="81" t="s">
        <v>317</v>
      </c>
      <c r="O353" s="25">
        <f t="shared" si="10"/>
        <v>2.7742912789439522E-2</v>
      </c>
    </row>
    <row r="354" spans="1:15">
      <c r="A354" s="81">
        <v>551.25</v>
      </c>
      <c r="B354" s="81">
        <v>552.70000000000005</v>
      </c>
      <c r="C354" s="81">
        <v>550.20000000000005</v>
      </c>
      <c r="D354" s="81">
        <v>551.29999999999995</v>
      </c>
      <c r="E354" s="81">
        <v>4482378</v>
      </c>
      <c r="F354" s="81" t="s">
        <v>318</v>
      </c>
      <c r="G354" s="25">
        <f t="shared" si="9"/>
        <v>-9.0694721567086134E-5</v>
      </c>
      <c r="I354" s="81">
        <v>115.66</v>
      </c>
      <c r="J354" s="81">
        <v>116.11</v>
      </c>
      <c r="K354" s="81">
        <v>113.98</v>
      </c>
      <c r="L354" s="81">
        <v>113.98</v>
      </c>
      <c r="M354" s="81">
        <v>7825435</v>
      </c>
      <c r="N354" s="81" t="s">
        <v>318</v>
      </c>
      <c r="O354" s="25">
        <f t="shared" si="10"/>
        <v>1.4739427969819197E-2</v>
      </c>
    </row>
    <row r="355" spans="1:15">
      <c r="A355" s="81">
        <v>550.66</v>
      </c>
      <c r="B355" s="81">
        <v>552.32000000000005</v>
      </c>
      <c r="C355" s="81">
        <v>548.69989999999996</v>
      </c>
      <c r="D355" s="81">
        <v>550.29999999999995</v>
      </c>
      <c r="E355" s="81">
        <v>4712599</v>
      </c>
      <c r="F355" s="81" t="s">
        <v>319</v>
      </c>
      <c r="G355" s="25">
        <f t="shared" si="9"/>
        <v>6.5418862438670899E-4</v>
      </c>
      <c r="I355" s="81">
        <v>113.9</v>
      </c>
      <c r="J355" s="81">
        <v>114.22</v>
      </c>
      <c r="K355" s="81">
        <v>113.21</v>
      </c>
      <c r="L355" s="81">
        <v>113.36</v>
      </c>
      <c r="M355" s="81">
        <v>5726834</v>
      </c>
      <c r="N355" s="81" t="s">
        <v>319</v>
      </c>
      <c r="O355" s="25">
        <f t="shared" si="10"/>
        <v>4.7635850388143552E-3</v>
      </c>
    </row>
    <row r="356" spans="1:15">
      <c r="A356" s="81">
        <v>545.09</v>
      </c>
      <c r="B356" s="81">
        <v>550.63</v>
      </c>
      <c r="C356" s="81">
        <v>543.33749999999998</v>
      </c>
      <c r="D356" s="81">
        <v>549.48</v>
      </c>
      <c r="E356" s="81">
        <v>6334538</v>
      </c>
      <c r="F356" s="81" t="s">
        <v>320</v>
      </c>
      <c r="G356" s="25">
        <f t="shared" si="9"/>
        <v>-7.9893717696730704E-3</v>
      </c>
      <c r="I356" s="81">
        <v>112.53</v>
      </c>
      <c r="J356" s="81">
        <v>114.34</v>
      </c>
      <c r="K356" s="81">
        <v>111.84350000000001</v>
      </c>
      <c r="L356" s="81">
        <v>113.73</v>
      </c>
      <c r="M356" s="81">
        <v>8490899</v>
      </c>
      <c r="N356" s="81" t="s">
        <v>320</v>
      </c>
      <c r="O356" s="25">
        <f t="shared" si="10"/>
        <v>-1.055130572408336E-2</v>
      </c>
    </row>
    <row r="357" spans="1:15">
      <c r="A357" s="81">
        <v>547.65</v>
      </c>
      <c r="B357" s="81">
        <v>549.65</v>
      </c>
      <c r="C357" s="81">
        <v>547.44259999999997</v>
      </c>
      <c r="D357" s="81">
        <v>548.75</v>
      </c>
      <c r="E357" s="81">
        <v>4510272</v>
      </c>
      <c r="F357" s="81" t="s">
        <v>321</v>
      </c>
      <c r="G357" s="25">
        <f t="shared" si="9"/>
        <v>-2.0045558086561055E-3</v>
      </c>
      <c r="I357" s="81">
        <v>113.49</v>
      </c>
      <c r="J357" s="81">
        <v>114.05</v>
      </c>
      <c r="K357" s="81">
        <v>112.9764</v>
      </c>
      <c r="L357" s="81">
        <v>113.855</v>
      </c>
      <c r="M357" s="81">
        <v>5590824</v>
      </c>
      <c r="N357" s="81" t="s">
        <v>321</v>
      </c>
      <c r="O357" s="25">
        <f t="shared" si="10"/>
        <v>-3.2058319792719336E-3</v>
      </c>
    </row>
    <row r="358" spans="1:15">
      <c r="A358" s="81">
        <v>548</v>
      </c>
      <c r="B358" s="81">
        <v>548.87</v>
      </c>
      <c r="C358" s="81">
        <v>544.09</v>
      </c>
      <c r="D358" s="81">
        <v>544.53</v>
      </c>
      <c r="E358" s="81">
        <v>4968649</v>
      </c>
      <c r="F358" s="81" t="s">
        <v>322</v>
      </c>
      <c r="G358" s="25">
        <f t="shared" si="9"/>
        <v>6.3724679999266343E-3</v>
      </c>
      <c r="I358" s="81">
        <v>113.6</v>
      </c>
      <c r="J358" s="81">
        <v>114.69</v>
      </c>
      <c r="K358" s="81">
        <v>112.52</v>
      </c>
      <c r="L358" s="81">
        <v>112.72499999999999</v>
      </c>
      <c r="M358" s="81">
        <v>8472511</v>
      </c>
      <c r="N358" s="81" t="s">
        <v>322</v>
      </c>
      <c r="O358" s="25">
        <f t="shared" si="10"/>
        <v>7.7622532712353642E-3</v>
      </c>
    </row>
    <row r="359" spans="1:15">
      <c r="A359" s="81">
        <v>544.91</v>
      </c>
      <c r="B359" s="81">
        <v>544.91</v>
      </c>
      <c r="C359" s="81">
        <v>537.79999999999995</v>
      </c>
      <c r="D359" s="81">
        <v>540.25</v>
      </c>
      <c r="E359" s="81">
        <v>5900870</v>
      </c>
      <c r="F359" s="81" t="s">
        <v>323</v>
      </c>
      <c r="G359" s="25">
        <f t="shared" si="9"/>
        <v>8.6256362795000818E-3</v>
      </c>
      <c r="I359" s="81">
        <v>112.95</v>
      </c>
      <c r="J359" s="81">
        <v>113.6</v>
      </c>
      <c r="K359" s="81">
        <v>112.25</v>
      </c>
      <c r="L359" s="81">
        <v>112.68</v>
      </c>
      <c r="M359" s="81">
        <v>7311775</v>
      </c>
      <c r="N359" s="81" t="s">
        <v>323</v>
      </c>
      <c r="O359" s="25">
        <f t="shared" si="10"/>
        <v>2.3961661341853624E-3</v>
      </c>
    </row>
    <row r="360" spans="1:15">
      <c r="A360" s="81">
        <v>541.76</v>
      </c>
      <c r="B360" s="81">
        <v>543.39</v>
      </c>
      <c r="C360" s="81">
        <v>536.16</v>
      </c>
      <c r="D360" s="81">
        <v>541.35</v>
      </c>
      <c r="E360" s="81">
        <v>6160101</v>
      </c>
      <c r="F360" s="81" t="s">
        <v>324</v>
      </c>
      <c r="G360" s="25">
        <f t="shared" si="9"/>
        <v>7.5736584464758394E-4</v>
      </c>
      <c r="I360" s="81">
        <v>113.04</v>
      </c>
      <c r="J360" s="81">
        <v>113.35</v>
      </c>
      <c r="K360" s="81">
        <v>111.37009999999999</v>
      </c>
      <c r="L360" s="81">
        <v>112.005</v>
      </c>
      <c r="M360" s="81">
        <v>12835815</v>
      </c>
      <c r="N360" s="81" t="s">
        <v>324</v>
      </c>
      <c r="O360" s="25">
        <f t="shared" si="10"/>
        <v>9.2406588991564842E-3</v>
      </c>
    </row>
    <row r="361" spans="1:15">
      <c r="A361" s="81">
        <v>542.32000000000005</v>
      </c>
      <c r="B361" s="81">
        <v>545.28</v>
      </c>
      <c r="C361" s="81">
        <v>538.74</v>
      </c>
      <c r="D361" s="81">
        <v>545.15</v>
      </c>
      <c r="E361" s="81">
        <v>4668939</v>
      </c>
      <c r="F361" s="81" t="s">
        <v>325</v>
      </c>
      <c r="G361" s="25">
        <f t="shared" si="9"/>
        <v>-5.1912317710720579E-3</v>
      </c>
      <c r="I361" s="81">
        <v>112.02</v>
      </c>
      <c r="J361" s="81">
        <v>112.26</v>
      </c>
      <c r="K361" s="81">
        <v>110.52</v>
      </c>
      <c r="L361" s="81">
        <v>112.01</v>
      </c>
      <c r="M361" s="81">
        <v>9683748</v>
      </c>
      <c r="N361" s="81" t="s">
        <v>325</v>
      </c>
      <c r="O361" s="25">
        <f t="shared" si="10"/>
        <v>8.9277743058557846E-5</v>
      </c>
    </row>
    <row r="362" spans="1:15">
      <c r="A362" s="81">
        <v>540.24</v>
      </c>
      <c r="B362" s="81">
        <v>544.9</v>
      </c>
      <c r="C362" s="81">
        <v>539.61</v>
      </c>
      <c r="D362" s="81">
        <v>543.79</v>
      </c>
      <c r="E362" s="81">
        <v>4806244</v>
      </c>
      <c r="F362" s="81" t="s">
        <v>326</v>
      </c>
      <c r="G362" s="25">
        <f t="shared" si="9"/>
        <v>-6.5282553927066278E-3</v>
      </c>
      <c r="I362" s="81">
        <v>111.52</v>
      </c>
      <c r="J362" s="81">
        <v>112.47</v>
      </c>
      <c r="K362" s="81">
        <v>111.17</v>
      </c>
      <c r="L362" s="81">
        <v>112.2</v>
      </c>
      <c r="M362" s="81">
        <v>5721565</v>
      </c>
      <c r="N362" s="81" t="s">
        <v>326</v>
      </c>
      <c r="O362" s="25">
        <f t="shared" si="10"/>
        <v>-6.0606060606060996E-3</v>
      </c>
    </row>
    <row r="363" spans="1:15">
      <c r="A363" s="81">
        <v>543.34</v>
      </c>
      <c r="B363" s="81">
        <v>543.52</v>
      </c>
      <c r="C363" s="81">
        <v>537.17999999999995</v>
      </c>
      <c r="D363" s="81">
        <v>538.72</v>
      </c>
      <c r="E363" s="81">
        <v>6086299</v>
      </c>
      <c r="F363" s="81" t="s">
        <v>327</v>
      </c>
      <c r="G363" s="25">
        <f t="shared" si="9"/>
        <v>8.5758835758835694E-3</v>
      </c>
      <c r="I363" s="81">
        <v>112.36</v>
      </c>
      <c r="J363" s="81">
        <v>112.89</v>
      </c>
      <c r="K363" s="81">
        <v>110.15</v>
      </c>
      <c r="L363" s="81">
        <v>111.02500000000001</v>
      </c>
      <c r="M363" s="81">
        <v>9561668</v>
      </c>
      <c r="N363" s="81" t="s">
        <v>327</v>
      </c>
      <c r="O363" s="25">
        <f t="shared" si="10"/>
        <v>1.202431884710653E-2</v>
      </c>
    </row>
    <row r="364" spans="1:15">
      <c r="A364" s="81">
        <v>532.4</v>
      </c>
      <c r="B364" s="81">
        <v>534.80989999999997</v>
      </c>
      <c r="C364" s="81">
        <v>529.11</v>
      </c>
      <c r="D364" s="81">
        <v>529.42999999999995</v>
      </c>
      <c r="E364" s="81">
        <v>6455875</v>
      </c>
      <c r="F364" s="81" t="s">
        <v>328</v>
      </c>
      <c r="G364" s="25">
        <f t="shared" si="9"/>
        <v>5.6098067733223456E-3</v>
      </c>
      <c r="I364" s="81">
        <v>109.72</v>
      </c>
      <c r="J364" s="81">
        <v>110.345</v>
      </c>
      <c r="K364" s="81">
        <v>108.78</v>
      </c>
      <c r="L364" s="81">
        <v>109.6</v>
      </c>
      <c r="M364" s="81">
        <v>8086103</v>
      </c>
      <c r="N364" s="81" t="s">
        <v>328</v>
      </c>
      <c r="O364" s="25">
        <f t="shared" si="10"/>
        <v>1.0948905109489093E-3</v>
      </c>
    </row>
    <row r="365" spans="1:15">
      <c r="A365" s="81">
        <v>536.02</v>
      </c>
      <c r="B365" s="81">
        <v>539.22500000000002</v>
      </c>
      <c r="C365" s="81">
        <v>534.44000000000005</v>
      </c>
      <c r="D365" s="81">
        <v>535.6</v>
      </c>
      <c r="E365" s="81">
        <v>5816572</v>
      </c>
      <c r="F365" s="81" t="s">
        <v>329</v>
      </c>
      <c r="G365" s="25">
        <f t="shared" si="9"/>
        <v>7.8416728902164223E-4</v>
      </c>
      <c r="I365" s="81">
        <v>111.13</v>
      </c>
      <c r="J365" s="81">
        <v>111.79649999999999</v>
      </c>
      <c r="K365" s="81">
        <v>109.97499999999999</v>
      </c>
      <c r="L365" s="81">
        <v>109.97499999999999</v>
      </c>
      <c r="M365" s="81">
        <v>7903694</v>
      </c>
      <c r="N365" s="81" t="s">
        <v>329</v>
      </c>
      <c r="O365" s="25">
        <f t="shared" si="10"/>
        <v>1.0502386906114936E-2</v>
      </c>
    </row>
    <row r="366" spans="1:15">
      <c r="A366" s="81">
        <v>535.77</v>
      </c>
      <c r="B366" s="81">
        <v>544.69050000000004</v>
      </c>
      <c r="C366" s="81">
        <v>534.82000000000005</v>
      </c>
      <c r="D366" s="81">
        <v>540.91</v>
      </c>
      <c r="E366" s="81">
        <v>6339491</v>
      </c>
      <c r="F366" s="81" t="s">
        <v>330</v>
      </c>
      <c r="G366" s="25">
        <f t="shared" si="9"/>
        <v>-9.5025050378065856E-3</v>
      </c>
      <c r="I366" s="81">
        <v>110.46</v>
      </c>
      <c r="J366" s="81">
        <v>112.485</v>
      </c>
      <c r="K366" s="81">
        <v>110.13</v>
      </c>
      <c r="L366" s="81">
        <v>111.69199999999999</v>
      </c>
      <c r="M366" s="81">
        <v>10150618</v>
      </c>
      <c r="N366" s="81" t="s">
        <v>330</v>
      </c>
      <c r="O366" s="25">
        <f t="shared" si="10"/>
        <v>-1.103033341689641E-2</v>
      </c>
    </row>
    <row r="367" spans="1:15">
      <c r="A367" s="81">
        <v>544.88</v>
      </c>
      <c r="B367" s="81">
        <v>546.05999999999995</v>
      </c>
      <c r="C367" s="81">
        <v>541.99</v>
      </c>
      <c r="D367" s="81">
        <v>545.22</v>
      </c>
      <c r="E367" s="81">
        <v>7158205</v>
      </c>
      <c r="F367" s="81" t="s">
        <v>331</v>
      </c>
      <c r="G367" s="25">
        <f t="shared" si="9"/>
        <v>-6.2360148197060372E-4</v>
      </c>
      <c r="I367" s="81">
        <v>112.36</v>
      </c>
      <c r="J367" s="81">
        <v>113.4</v>
      </c>
      <c r="K367" s="81">
        <v>111.81</v>
      </c>
      <c r="L367" s="81">
        <v>112.44</v>
      </c>
      <c r="M367" s="81">
        <v>6433281</v>
      </c>
      <c r="N367" s="81" t="s">
        <v>331</v>
      </c>
      <c r="O367" s="25">
        <f t="shared" si="10"/>
        <v>-7.1149057274988436E-4</v>
      </c>
    </row>
    <row r="368" spans="1:15">
      <c r="A368" s="81">
        <v>546.82000000000005</v>
      </c>
      <c r="B368" s="81">
        <v>547.45000000000005</v>
      </c>
      <c r="C368" s="81">
        <v>540.58000000000004</v>
      </c>
      <c r="D368" s="81">
        <v>540.63</v>
      </c>
      <c r="E368" s="81">
        <v>7766058</v>
      </c>
      <c r="F368" s="81" t="s">
        <v>332</v>
      </c>
      <c r="G368" s="25">
        <f t="shared" si="9"/>
        <v>1.144960509035764E-2</v>
      </c>
      <c r="I368" s="81">
        <v>112.66</v>
      </c>
      <c r="J368" s="81">
        <v>112.99</v>
      </c>
      <c r="K368" s="81">
        <v>111.9</v>
      </c>
      <c r="L368" s="81">
        <v>112.12</v>
      </c>
      <c r="M368" s="81">
        <v>7209681</v>
      </c>
      <c r="N368" s="81" t="s">
        <v>332</v>
      </c>
      <c r="O368" s="25">
        <f t="shared" si="10"/>
        <v>4.8162682839814064E-3</v>
      </c>
    </row>
    <row r="369" spans="1:15">
      <c r="A369" s="81">
        <v>546.26</v>
      </c>
      <c r="B369" s="81">
        <v>546.47</v>
      </c>
      <c r="C369" s="81">
        <v>541.70000000000005</v>
      </c>
      <c r="D369" s="81">
        <v>543.47</v>
      </c>
      <c r="E369" s="81">
        <v>7255342</v>
      </c>
      <c r="F369" s="81" t="s">
        <v>333</v>
      </c>
      <c r="G369" s="25">
        <f t="shared" si="9"/>
        <v>5.1336780319060082E-3</v>
      </c>
      <c r="I369" s="81">
        <v>113.42</v>
      </c>
      <c r="J369" s="81">
        <v>113.44</v>
      </c>
      <c r="K369" s="81">
        <v>111.42</v>
      </c>
      <c r="L369" s="81">
        <v>111.91500000000001</v>
      </c>
      <c r="M369" s="81">
        <v>10960998</v>
      </c>
      <c r="N369" s="81" t="s">
        <v>333</v>
      </c>
      <c r="O369" s="25">
        <f t="shared" si="10"/>
        <v>1.3447705848188329E-2</v>
      </c>
    </row>
    <row r="370" spans="1:15">
      <c r="A370" s="81">
        <v>542.76</v>
      </c>
      <c r="B370" s="81">
        <v>543.24890000000005</v>
      </c>
      <c r="C370" s="81">
        <v>537.84</v>
      </c>
      <c r="D370" s="81">
        <v>538.26</v>
      </c>
      <c r="E370" s="81">
        <v>7362193</v>
      </c>
      <c r="F370" s="81" t="s">
        <v>334</v>
      </c>
      <c r="G370" s="25">
        <f t="shared" si="9"/>
        <v>8.360271987515322E-3</v>
      </c>
      <c r="I370" s="81">
        <v>112.22</v>
      </c>
      <c r="J370" s="81">
        <v>112.85</v>
      </c>
      <c r="K370" s="81">
        <v>111.58</v>
      </c>
      <c r="L370" s="81">
        <v>112.23</v>
      </c>
      <c r="M370" s="81">
        <v>8322383</v>
      </c>
      <c r="N370" s="81" t="s">
        <v>334</v>
      </c>
      <c r="O370" s="25">
        <f t="shared" si="10"/>
        <v>-8.9102735454038573E-5</v>
      </c>
    </row>
    <row r="371" spans="1:15">
      <c r="A371" s="81">
        <v>540.11</v>
      </c>
      <c r="B371" s="81">
        <v>541.41999999999996</v>
      </c>
      <c r="C371" s="81">
        <v>538.24</v>
      </c>
      <c r="D371" s="81">
        <v>540.37</v>
      </c>
      <c r="E371" s="81">
        <v>5031301</v>
      </c>
      <c r="F371" s="81" t="s">
        <v>335</v>
      </c>
      <c r="G371" s="25">
        <f t="shared" si="9"/>
        <v>-4.8115180339391994E-4</v>
      </c>
      <c r="I371" s="81">
        <v>112.94</v>
      </c>
      <c r="J371" s="81">
        <v>113.41</v>
      </c>
      <c r="K371" s="81">
        <v>110.83</v>
      </c>
      <c r="L371" s="81">
        <v>111.38</v>
      </c>
      <c r="M371" s="81">
        <v>15352206</v>
      </c>
      <c r="N371" s="81" t="s">
        <v>335</v>
      </c>
      <c r="O371" s="25">
        <f t="shared" si="10"/>
        <v>1.4006105225354615E-2</v>
      </c>
    </row>
    <row r="372" spans="1:15">
      <c r="A372" s="81">
        <v>539.44000000000005</v>
      </c>
      <c r="B372" s="81">
        <v>541.48</v>
      </c>
      <c r="C372" s="81">
        <v>535.78</v>
      </c>
      <c r="D372" s="81">
        <v>536.33000000000004</v>
      </c>
      <c r="E372" s="81">
        <v>7356804</v>
      </c>
      <c r="F372" s="81" t="s">
        <v>336</v>
      </c>
      <c r="G372" s="25">
        <f t="shared" si="9"/>
        <v>5.7986687300728423E-3</v>
      </c>
      <c r="I372" s="81">
        <v>111.38</v>
      </c>
      <c r="J372" s="81">
        <v>112.2</v>
      </c>
      <c r="K372" s="81">
        <v>110.15</v>
      </c>
      <c r="L372" s="81">
        <v>110.245</v>
      </c>
      <c r="M372" s="81">
        <v>14076719</v>
      </c>
      <c r="N372" s="81" t="s">
        <v>336</v>
      </c>
      <c r="O372" s="25">
        <f t="shared" si="10"/>
        <v>1.0295251485328061E-2</v>
      </c>
    </row>
    <row r="373" spans="1:15">
      <c r="A373" s="81">
        <v>535.91999999999996</v>
      </c>
      <c r="B373" s="81">
        <v>535.91999999999996</v>
      </c>
      <c r="C373" s="81">
        <v>530.39</v>
      </c>
      <c r="D373" s="81">
        <v>534.5</v>
      </c>
      <c r="E373" s="81">
        <v>7793576</v>
      </c>
      <c r="F373" s="81" t="s">
        <v>337</v>
      </c>
      <c r="G373" s="25">
        <f t="shared" si="9"/>
        <v>2.6566884939194235E-3</v>
      </c>
      <c r="I373" s="81">
        <v>110.49</v>
      </c>
      <c r="J373" s="81">
        <v>110.935</v>
      </c>
      <c r="K373" s="81">
        <v>108.66</v>
      </c>
      <c r="L373" s="81">
        <v>109.87</v>
      </c>
      <c r="M373" s="81">
        <v>18366644</v>
      </c>
      <c r="N373" s="81" t="s">
        <v>337</v>
      </c>
      <c r="O373" s="25">
        <f t="shared" si="10"/>
        <v>5.6430326749794535E-3</v>
      </c>
    </row>
    <row r="374" spans="1:15">
      <c r="A374" s="81">
        <v>518.65</v>
      </c>
      <c r="B374" s="81">
        <v>521.63059999999996</v>
      </c>
      <c r="C374" s="81">
        <v>517.36</v>
      </c>
      <c r="D374" s="81">
        <v>520.69000000000005</v>
      </c>
      <c r="E374" s="81">
        <v>4739506</v>
      </c>
      <c r="F374" s="81" t="s">
        <v>338</v>
      </c>
      <c r="G374" s="25">
        <f t="shared" si="9"/>
        <v>-3.9178782000808265E-3</v>
      </c>
      <c r="I374" s="81">
        <v>105.94</v>
      </c>
      <c r="J374" s="81">
        <v>106.19</v>
      </c>
      <c r="K374" s="81">
        <v>104.76</v>
      </c>
      <c r="L374" s="81">
        <v>105.255</v>
      </c>
      <c r="M374" s="81">
        <v>10438191</v>
      </c>
      <c r="N374" s="81" t="s">
        <v>338</v>
      </c>
      <c r="O374" s="25">
        <f t="shared" si="10"/>
        <v>6.5080043703387158E-3</v>
      </c>
    </row>
    <row r="375" spans="1:15">
      <c r="A375" s="81">
        <v>519.34</v>
      </c>
      <c r="B375" s="81">
        <v>524.23</v>
      </c>
      <c r="C375" s="81">
        <v>516.34500000000003</v>
      </c>
      <c r="D375" s="81">
        <v>519.54</v>
      </c>
      <c r="E375" s="81">
        <v>5088200</v>
      </c>
      <c r="F375" s="81" t="s">
        <v>339</v>
      </c>
      <c r="G375" s="25">
        <f t="shared" si="9"/>
        <v>-3.8495592254672584E-4</v>
      </c>
      <c r="I375" s="81">
        <v>105.12</v>
      </c>
      <c r="J375" s="81">
        <v>106.19</v>
      </c>
      <c r="K375" s="81">
        <v>103.855</v>
      </c>
      <c r="L375" s="81">
        <v>103.97</v>
      </c>
      <c r="M375" s="81">
        <v>19265441</v>
      </c>
      <c r="N375" s="81" t="s">
        <v>339</v>
      </c>
      <c r="O375" s="25">
        <f t="shared" si="10"/>
        <v>1.1060882947004025E-2</v>
      </c>
    </row>
    <row r="376" spans="1:15">
      <c r="A376" s="81">
        <v>515.9</v>
      </c>
      <c r="B376" s="81">
        <v>518.17999999999995</v>
      </c>
      <c r="C376" s="81">
        <v>511.1</v>
      </c>
      <c r="D376" s="81">
        <v>514.91999999999996</v>
      </c>
      <c r="E376" s="81">
        <v>5467344</v>
      </c>
      <c r="F376" s="81" t="s">
        <v>340</v>
      </c>
      <c r="G376" s="25">
        <f t="shared" si="9"/>
        <v>1.9032082653616111E-3</v>
      </c>
      <c r="I376" s="81">
        <v>102.09</v>
      </c>
      <c r="J376" s="81">
        <v>103.3099</v>
      </c>
      <c r="K376" s="81">
        <v>100.14109999999999</v>
      </c>
      <c r="L376" s="81">
        <v>102.42</v>
      </c>
      <c r="M376" s="81">
        <v>36174940</v>
      </c>
      <c r="N376" s="81" t="s">
        <v>340</v>
      </c>
      <c r="O376" s="25">
        <f t="shared" si="10"/>
        <v>-3.222026947861778E-3</v>
      </c>
    </row>
    <row r="377" spans="1:15">
      <c r="A377" s="81">
        <v>513.58000000000004</v>
      </c>
      <c r="B377" s="81">
        <v>517.82500000000005</v>
      </c>
      <c r="C377" s="81">
        <v>511.94</v>
      </c>
      <c r="D377" s="81">
        <v>512.89</v>
      </c>
      <c r="E377" s="81">
        <v>4694270</v>
      </c>
      <c r="F377" s="81" t="s">
        <v>341</v>
      </c>
      <c r="G377" s="25">
        <f t="shared" si="9"/>
        <v>1.3453177094504554E-3</v>
      </c>
      <c r="I377" s="81">
        <v>92.17</v>
      </c>
      <c r="J377" s="81">
        <v>92.74</v>
      </c>
      <c r="K377" s="81">
        <v>91</v>
      </c>
      <c r="L377" s="81">
        <v>91.2</v>
      </c>
      <c r="M377" s="81">
        <v>11839405</v>
      </c>
      <c r="N377" s="81" t="s">
        <v>341</v>
      </c>
      <c r="O377" s="25">
        <f t="shared" si="10"/>
        <v>1.0635964912280693E-2</v>
      </c>
    </row>
    <row r="378" spans="1:15">
      <c r="A378" s="81">
        <v>517.99</v>
      </c>
      <c r="B378" s="81">
        <v>520.85</v>
      </c>
      <c r="C378" s="81">
        <v>516.27</v>
      </c>
      <c r="D378" s="81">
        <v>517.08000000000004</v>
      </c>
      <c r="E378" s="81">
        <v>4793497</v>
      </c>
      <c r="F378" s="81" t="s">
        <v>342</v>
      </c>
      <c r="G378" s="25">
        <f t="shared" si="9"/>
        <v>1.7598824166473737E-3</v>
      </c>
      <c r="I378" s="81">
        <v>92.11</v>
      </c>
      <c r="J378" s="81">
        <v>93.075000000000003</v>
      </c>
      <c r="K378" s="81">
        <v>89.61</v>
      </c>
      <c r="L378" s="81">
        <v>89.7</v>
      </c>
      <c r="M378" s="81">
        <v>10231010</v>
      </c>
      <c r="N378" s="81" t="s">
        <v>342</v>
      </c>
      <c r="O378" s="25">
        <f t="shared" si="10"/>
        <v>2.6867335562987593E-2</v>
      </c>
    </row>
    <row r="379" spans="1:15">
      <c r="A379" s="81">
        <v>520.71</v>
      </c>
      <c r="B379" s="81">
        <v>522.41</v>
      </c>
      <c r="C379" s="81">
        <v>516.89</v>
      </c>
      <c r="D379" s="81">
        <v>519.12</v>
      </c>
      <c r="E379" s="81">
        <v>6285390</v>
      </c>
      <c r="F379" s="81" t="s">
        <v>343</v>
      </c>
      <c r="G379" s="25">
        <f t="shared" ref="G379:G442" si="11">A379/D379-1</f>
        <v>3.0628756356911868E-3</v>
      </c>
      <c r="I379" s="81">
        <v>92.49</v>
      </c>
      <c r="J379" s="81">
        <v>93.185000000000002</v>
      </c>
      <c r="K379" s="81">
        <v>91.84</v>
      </c>
      <c r="L379" s="81">
        <v>91.84</v>
      </c>
      <c r="M379" s="81">
        <v>7594041</v>
      </c>
      <c r="N379" s="81" t="s">
        <v>343</v>
      </c>
      <c r="O379" s="25">
        <f t="shared" ref="O379:O442" si="12">I379/L379-1</f>
        <v>7.0775261324040883E-3</v>
      </c>
    </row>
    <row r="380" spans="1:15">
      <c r="A380" s="81">
        <v>513.35</v>
      </c>
      <c r="B380" s="81">
        <v>518.44000000000005</v>
      </c>
      <c r="C380" s="81">
        <v>512.77</v>
      </c>
      <c r="D380" s="81">
        <v>515.13</v>
      </c>
      <c r="E380" s="81">
        <v>5784483</v>
      </c>
      <c r="F380" s="81" t="s">
        <v>344</v>
      </c>
      <c r="G380" s="25">
        <f t="shared" si="11"/>
        <v>-3.4554384330168775E-3</v>
      </c>
      <c r="I380" s="81">
        <v>90.81</v>
      </c>
      <c r="J380" s="81">
        <v>91.61</v>
      </c>
      <c r="K380" s="81">
        <v>90.36</v>
      </c>
      <c r="L380" s="81">
        <v>91.265000000000001</v>
      </c>
      <c r="M380" s="81">
        <v>7790638</v>
      </c>
      <c r="N380" s="81" t="s">
        <v>344</v>
      </c>
      <c r="O380" s="25">
        <f t="shared" si="12"/>
        <v>-4.9854818386018129E-3</v>
      </c>
    </row>
    <row r="381" spans="1:15">
      <c r="A381" s="81">
        <v>509.74</v>
      </c>
      <c r="B381" s="81">
        <v>511.5</v>
      </c>
      <c r="C381" s="81">
        <v>497.76</v>
      </c>
      <c r="D381" s="81">
        <v>503.26</v>
      </c>
      <c r="E381" s="81">
        <v>7873686</v>
      </c>
      <c r="F381" s="81" t="s">
        <v>345</v>
      </c>
      <c r="G381" s="25">
        <f t="shared" si="11"/>
        <v>1.2876048165957998E-2</v>
      </c>
      <c r="I381" s="81">
        <v>90.95</v>
      </c>
      <c r="J381" s="81">
        <v>91.19</v>
      </c>
      <c r="K381" s="81">
        <v>88.56</v>
      </c>
      <c r="L381" s="81">
        <v>89.89</v>
      </c>
      <c r="M381" s="81">
        <v>8474834</v>
      </c>
      <c r="N381" s="81" t="s">
        <v>345</v>
      </c>
      <c r="O381" s="25">
        <f t="shared" si="12"/>
        <v>1.1792190455000684E-2</v>
      </c>
    </row>
    <row r="382" spans="1:15">
      <c r="A382" s="81">
        <v>509.49</v>
      </c>
      <c r="B382" s="81">
        <v>510.54969999999997</v>
      </c>
      <c r="C382" s="81">
        <v>504.26</v>
      </c>
      <c r="D382" s="81">
        <v>504.54</v>
      </c>
      <c r="E382" s="81">
        <v>6525457</v>
      </c>
      <c r="F382" s="81" t="s">
        <v>346</v>
      </c>
      <c r="G382" s="25">
        <f t="shared" si="11"/>
        <v>9.810916874777087E-3</v>
      </c>
      <c r="I382" s="81">
        <v>91.17</v>
      </c>
      <c r="J382" s="81">
        <v>91.655000000000001</v>
      </c>
      <c r="K382" s="81">
        <v>89.76</v>
      </c>
      <c r="L382" s="81">
        <v>89.83</v>
      </c>
      <c r="M382" s="81">
        <v>6359924</v>
      </c>
      <c r="N382" s="81" t="s">
        <v>346</v>
      </c>
      <c r="O382" s="25">
        <f t="shared" si="12"/>
        <v>1.4917065568295751E-2</v>
      </c>
    </row>
    <row r="383" spans="1:15">
      <c r="A383" s="81">
        <v>506.42</v>
      </c>
      <c r="B383" s="81">
        <v>508.74</v>
      </c>
      <c r="C383" s="81">
        <v>500.96</v>
      </c>
      <c r="D383" s="81">
        <v>506.81</v>
      </c>
      <c r="E383" s="81">
        <v>4210016</v>
      </c>
      <c r="F383" s="81" t="s">
        <v>347</v>
      </c>
      <c r="G383" s="25">
        <f t="shared" si="11"/>
        <v>-7.6951914918799158E-4</v>
      </c>
      <c r="I383" s="81">
        <v>90.16</v>
      </c>
      <c r="J383" s="81">
        <v>91.364999999999995</v>
      </c>
      <c r="K383" s="81">
        <v>89.64</v>
      </c>
      <c r="L383" s="81">
        <v>90.45</v>
      </c>
      <c r="M383" s="81">
        <v>8491785</v>
      </c>
      <c r="N383" s="81" t="s">
        <v>347</v>
      </c>
      <c r="O383" s="25">
        <f t="shared" si="12"/>
        <v>-3.2061912658928327E-3</v>
      </c>
    </row>
    <row r="384" spans="1:15">
      <c r="A384" s="81">
        <v>506.11</v>
      </c>
      <c r="B384" s="81">
        <v>506.52</v>
      </c>
      <c r="C384" s="81">
        <v>499.75</v>
      </c>
      <c r="D384" s="81">
        <v>502.44</v>
      </c>
      <c r="E384" s="81">
        <v>6933423</v>
      </c>
      <c r="F384" s="81" t="s">
        <v>348</v>
      </c>
      <c r="G384" s="25">
        <f t="shared" si="11"/>
        <v>7.3043547488258476E-3</v>
      </c>
      <c r="I384" s="81">
        <v>90.28</v>
      </c>
      <c r="J384" s="81">
        <v>90.34</v>
      </c>
      <c r="K384" s="81">
        <v>89.07</v>
      </c>
      <c r="L384" s="81">
        <v>90.07</v>
      </c>
      <c r="M384" s="81">
        <v>7749630</v>
      </c>
      <c r="N384" s="81" t="s">
        <v>348</v>
      </c>
      <c r="O384" s="25">
        <f t="shared" si="12"/>
        <v>2.3315199289442035E-3</v>
      </c>
    </row>
    <row r="385" spans="1:15">
      <c r="A385" s="81">
        <v>502.41</v>
      </c>
      <c r="B385" s="81">
        <v>503</v>
      </c>
      <c r="C385" s="81">
        <v>492.22309999999999</v>
      </c>
      <c r="D385" s="81">
        <v>493.26</v>
      </c>
      <c r="E385" s="81">
        <v>6184333</v>
      </c>
      <c r="F385" s="81" t="s">
        <v>349</v>
      </c>
      <c r="G385" s="25">
        <f t="shared" si="11"/>
        <v>1.8550054737866528E-2</v>
      </c>
      <c r="I385" s="81">
        <v>90.01</v>
      </c>
      <c r="J385" s="81">
        <v>90.24</v>
      </c>
      <c r="K385" s="81">
        <v>86.77</v>
      </c>
      <c r="L385" s="81">
        <v>87.45</v>
      </c>
      <c r="M385" s="81">
        <v>10309953</v>
      </c>
      <c r="N385" s="81" t="s">
        <v>349</v>
      </c>
      <c r="O385" s="25">
        <f t="shared" si="12"/>
        <v>2.9273870783304679E-2</v>
      </c>
    </row>
    <row r="386" spans="1:15">
      <c r="A386" s="81">
        <v>492.07</v>
      </c>
      <c r="B386" s="81">
        <v>501.18</v>
      </c>
      <c r="C386" s="81">
        <v>490.7</v>
      </c>
      <c r="D386" s="81">
        <v>496.69</v>
      </c>
      <c r="E386" s="81">
        <v>8047601</v>
      </c>
      <c r="F386" s="81" t="s">
        <v>350</v>
      </c>
      <c r="G386" s="25">
        <f t="shared" si="11"/>
        <v>-9.3015764360063757E-3</v>
      </c>
      <c r="I386" s="81">
        <v>87.29</v>
      </c>
      <c r="J386" s="81">
        <v>89.87</v>
      </c>
      <c r="K386" s="81">
        <v>87.03</v>
      </c>
      <c r="L386" s="81">
        <v>89.025000000000006</v>
      </c>
      <c r="M386" s="81">
        <v>12089123</v>
      </c>
      <c r="N386" s="81" t="s">
        <v>350</v>
      </c>
      <c r="O386" s="25">
        <f t="shared" si="12"/>
        <v>-1.9488907610221817E-2</v>
      </c>
    </row>
    <row r="387" spans="1:15">
      <c r="A387" s="81">
        <v>484.29</v>
      </c>
      <c r="B387" s="81">
        <v>486.48</v>
      </c>
      <c r="C387" s="81">
        <v>477.19</v>
      </c>
      <c r="D387" s="81">
        <v>478.07</v>
      </c>
      <c r="E387" s="81">
        <v>6236319</v>
      </c>
      <c r="F387" s="81" t="s">
        <v>351</v>
      </c>
      <c r="G387" s="25">
        <f t="shared" si="11"/>
        <v>1.301064697638421E-2</v>
      </c>
      <c r="I387" s="81">
        <v>86.09</v>
      </c>
      <c r="J387" s="81">
        <v>86.56</v>
      </c>
      <c r="K387" s="81">
        <v>84.6</v>
      </c>
      <c r="L387" s="81">
        <v>85.01</v>
      </c>
      <c r="M387" s="81">
        <v>9578470</v>
      </c>
      <c r="N387" s="81" t="s">
        <v>351</v>
      </c>
      <c r="O387" s="25">
        <f t="shared" si="12"/>
        <v>1.270438771909177E-2</v>
      </c>
    </row>
    <row r="388" spans="1:15">
      <c r="A388" s="81">
        <v>472.37</v>
      </c>
      <c r="B388" s="81">
        <v>479.49</v>
      </c>
      <c r="C388" s="81">
        <v>467.33</v>
      </c>
      <c r="D388" s="81">
        <v>479.02</v>
      </c>
      <c r="E388" s="81">
        <v>7762501</v>
      </c>
      <c r="F388" s="81" t="s">
        <v>352</v>
      </c>
      <c r="G388" s="25">
        <f t="shared" si="11"/>
        <v>-1.388251012483821E-2</v>
      </c>
      <c r="I388" s="81">
        <v>84</v>
      </c>
      <c r="J388" s="81">
        <v>85.23</v>
      </c>
      <c r="K388" s="81">
        <v>82.98</v>
      </c>
      <c r="L388" s="81">
        <v>84.91</v>
      </c>
      <c r="M388" s="81">
        <v>14166825</v>
      </c>
      <c r="N388" s="81" t="s">
        <v>352</v>
      </c>
      <c r="O388" s="25">
        <f t="shared" si="12"/>
        <v>-1.0717230008243983E-2</v>
      </c>
    </row>
    <row r="389" spans="1:15">
      <c r="A389" s="81">
        <v>483.9</v>
      </c>
      <c r="B389" s="81">
        <v>488.16</v>
      </c>
      <c r="C389" s="81">
        <v>481.5</v>
      </c>
      <c r="D389" s="81">
        <v>484.79</v>
      </c>
      <c r="E389" s="81">
        <v>5638939</v>
      </c>
      <c r="F389" s="81" t="s">
        <v>353</v>
      </c>
      <c r="G389" s="25">
        <f t="shared" si="11"/>
        <v>-1.8358464489780513E-3</v>
      </c>
      <c r="I389" s="81">
        <v>84.81</v>
      </c>
      <c r="J389" s="81">
        <v>85.78</v>
      </c>
      <c r="K389" s="81">
        <v>83.36</v>
      </c>
      <c r="L389" s="81">
        <v>83.37</v>
      </c>
      <c r="M389" s="81">
        <v>14810894</v>
      </c>
      <c r="N389" s="81" t="s">
        <v>353</v>
      </c>
      <c r="O389" s="25">
        <f t="shared" si="12"/>
        <v>1.7272400143936606E-2</v>
      </c>
    </row>
    <row r="390" spans="1:15">
      <c r="A390" s="81">
        <v>483.23</v>
      </c>
      <c r="B390" s="81">
        <v>491.76499999999999</v>
      </c>
      <c r="C390" s="81">
        <v>478.23</v>
      </c>
      <c r="D390" s="81">
        <v>488.65</v>
      </c>
      <c r="E390" s="81">
        <v>6374869</v>
      </c>
      <c r="F390" s="81" t="s">
        <v>354</v>
      </c>
      <c r="G390" s="25">
        <f t="shared" si="11"/>
        <v>-1.1091783485111972E-2</v>
      </c>
      <c r="I390" s="81">
        <v>82.77</v>
      </c>
      <c r="J390" s="81">
        <v>84.8</v>
      </c>
      <c r="K390" s="81">
        <v>82.007199999999997</v>
      </c>
      <c r="L390" s="81">
        <v>84.28</v>
      </c>
      <c r="M390" s="81">
        <v>10144289</v>
      </c>
      <c r="N390" s="81" t="s">
        <v>354</v>
      </c>
      <c r="O390" s="25">
        <f t="shared" si="12"/>
        <v>-1.7916468913146688E-2</v>
      </c>
    </row>
    <row r="391" spans="1:15">
      <c r="A391" s="81">
        <v>494.09</v>
      </c>
      <c r="B391" s="81">
        <v>499.27</v>
      </c>
      <c r="C391" s="81">
        <v>493.42</v>
      </c>
      <c r="D391" s="81">
        <v>496.03</v>
      </c>
      <c r="E391" s="81">
        <v>8200583</v>
      </c>
      <c r="F391" s="81" t="s">
        <v>355</v>
      </c>
      <c r="G391" s="25">
        <f t="shared" si="11"/>
        <v>-3.911053766909256E-3</v>
      </c>
      <c r="I391" s="81">
        <v>85.01</v>
      </c>
      <c r="J391" s="81">
        <v>85.98</v>
      </c>
      <c r="K391" s="81">
        <v>84.52</v>
      </c>
      <c r="L391" s="81">
        <v>84.75</v>
      </c>
      <c r="M391" s="81">
        <v>7840454</v>
      </c>
      <c r="N391" s="81" t="s">
        <v>355</v>
      </c>
      <c r="O391" s="25">
        <f t="shared" si="12"/>
        <v>3.0678466076696775E-3</v>
      </c>
    </row>
    <row r="392" spans="1:15">
      <c r="A392" s="81">
        <v>495.48</v>
      </c>
      <c r="B392" s="81">
        <v>500.26</v>
      </c>
      <c r="C392" s="81">
        <v>490.69</v>
      </c>
      <c r="D392" s="81">
        <v>500.05</v>
      </c>
      <c r="E392" s="81">
        <v>7701488</v>
      </c>
      <c r="F392" s="81" t="s">
        <v>356</v>
      </c>
      <c r="G392" s="25">
        <f t="shared" si="11"/>
        <v>-9.1390860913908023E-3</v>
      </c>
      <c r="I392" s="81">
        <v>84.66</v>
      </c>
      <c r="J392" s="81">
        <v>86.45</v>
      </c>
      <c r="K392" s="81">
        <v>84.03</v>
      </c>
      <c r="L392" s="81">
        <v>85.83</v>
      </c>
      <c r="M392" s="81">
        <v>10841307</v>
      </c>
      <c r="N392" s="81" t="s">
        <v>356</v>
      </c>
      <c r="O392" s="25">
        <f t="shared" si="12"/>
        <v>-1.363159734358621E-2</v>
      </c>
    </row>
    <row r="393" spans="1:15">
      <c r="A393" s="81">
        <v>490.55</v>
      </c>
      <c r="B393" s="81">
        <v>493</v>
      </c>
      <c r="C393" s="81">
        <v>478</v>
      </c>
      <c r="D393" s="81">
        <v>480.69</v>
      </c>
      <c r="E393" s="81">
        <v>11541195</v>
      </c>
      <c r="F393" s="81" t="s">
        <v>357</v>
      </c>
      <c r="G393" s="25">
        <f t="shared" si="11"/>
        <v>2.051218040733116E-2</v>
      </c>
      <c r="I393" s="81">
        <v>84.89</v>
      </c>
      <c r="J393" s="81">
        <v>85.665899999999993</v>
      </c>
      <c r="K393" s="81">
        <v>83.35</v>
      </c>
      <c r="L393" s="81">
        <v>85.11</v>
      </c>
      <c r="M393" s="81">
        <v>10204364</v>
      </c>
      <c r="N393" s="81" t="s">
        <v>357</v>
      </c>
      <c r="O393" s="25">
        <f t="shared" si="12"/>
        <v>-2.5848901421688941E-3</v>
      </c>
    </row>
    <row r="394" spans="1:15">
      <c r="A394" s="81">
        <v>482.06</v>
      </c>
      <c r="B394" s="81">
        <v>490.3</v>
      </c>
      <c r="C394" s="81">
        <v>468.33</v>
      </c>
      <c r="D394" s="81">
        <v>489.15</v>
      </c>
      <c r="E394" s="81">
        <v>16651303</v>
      </c>
      <c r="F394" s="81" t="s">
        <v>358</v>
      </c>
      <c r="G394" s="25">
        <f t="shared" si="11"/>
        <v>-1.4494531329857896E-2</v>
      </c>
      <c r="I394" s="81">
        <v>85.23</v>
      </c>
      <c r="J394" s="81">
        <v>89.01</v>
      </c>
      <c r="K394" s="81">
        <v>83.07</v>
      </c>
      <c r="L394" s="81">
        <v>88.92</v>
      </c>
      <c r="M394" s="81">
        <v>16376962</v>
      </c>
      <c r="N394" s="81" t="s">
        <v>358</v>
      </c>
      <c r="O394" s="25">
        <f t="shared" si="12"/>
        <v>-4.1497975708502E-2</v>
      </c>
    </row>
    <row r="395" spans="1:15">
      <c r="A395" s="81">
        <v>499.1</v>
      </c>
      <c r="B395" s="81">
        <v>502.06119999999999</v>
      </c>
      <c r="C395" s="81">
        <v>453.16</v>
      </c>
      <c r="D395" s="81">
        <v>453.49</v>
      </c>
      <c r="E395" s="81">
        <v>29286594</v>
      </c>
      <c r="F395" s="81" t="s">
        <v>359</v>
      </c>
      <c r="G395" s="25">
        <f t="shared" si="11"/>
        <v>0.10057553639551031</v>
      </c>
      <c r="I395" s="81">
        <v>91.44</v>
      </c>
      <c r="J395" s="81">
        <v>92.25</v>
      </c>
      <c r="K395" s="81">
        <v>81.19</v>
      </c>
      <c r="L395" s="81">
        <v>81.290000000000006</v>
      </c>
      <c r="M395" s="81">
        <v>24970930</v>
      </c>
      <c r="N395" s="81" t="s">
        <v>359</v>
      </c>
      <c r="O395" s="25">
        <f t="shared" si="12"/>
        <v>0.12486160659367695</v>
      </c>
    </row>
    <row r="396" spans="1:15">
      <c r="A396" s="81">
        <v>456.74</v>
      </c>
      <c r="B396" s="81">
        <v>482.49</v>
      </c>
      <c r="C396" s="81">
        <v>449.6</v>
      </c>
      <c r="D396" s="81">
        <v>479.68</v>
      </c>
      <c r="E396" s="81">
        <v>19002684</v>
      </c>
      <c r="F396" s="81" t="s">
        <v>360</v>
      </c>
      <c r="G396" s="25">
        <f t="shared" si="11"/>
        <v>-4.7823549032688484E-2</v>
      </c>
      <c r="I396" s="81">
        <v>81.72</v>
      </c>
      <c r="J396" s="81">
        <v>86.95</v>
      </c>
      <c r="K396" s="81">
        <v>80.849999999999994</v>
      </c>
      <c r="L396" s="81">
        <v>85.95</v>
      </c>
      <c r="M396" s="81">
        <v>14845638</v>
      </c>
      <c r="N396" s="81" t="s">
        <v>360</v>
      </c>
      <c r="O396" s="25">
        <f t="shared" si="12"/>
        <v>-4.9214659685863915E-2</v>
      </c>
    </row>
    <row r="397" spans="1:15">
      <c r="A397" s="81">
        <v>463.56</v>
      </c>
      <c r="B397" s="81">
        <v>480.76</v>
      </c>
      <c r="C397" s="81">
        <v>442.8</v>
      </c>
      <c r="D397" s="81">
        <v>449.54</v>
      </c>
      <c r="E397" s="81">
        <v>31285267</v>
      </c>
      <c r="F397" s="81" t="s">
        <v>361</v>
      </c>
      <c r="G397" s="25">
        <f t="shared" si="11"/>
        <v>3.1187436045735595E-2</v>
      </c>
      <c r="I397" s="81">
        <v>83.3</v>
      </c>
      <c r="J397" s="81">
        <v>86.63</v>
      </c>
      <c r="K397" s="81">
        <v>80.099999999999994</v>
      </c>
      <c r="L397" s="81">
        <v>80.989999999999995</v>
      </c>
      <c r="M397" s="81">
        <v>20455994</v>
      </c>
      <c r="N397" s="81" t="s">
        <v>361</v>
      </c>
      <c r="O397" s="25">
        <f t="shared" si="12"/>
        <v>2.8522039757994833E-2</v>
      </c>
    </row>
    <row r="398" spans="1:15">
      <c r="A398" s="81">
        <v>465.52</v>
      </c>
      <c r="B398" s="81">
        <v>483.3</v>
      </c>
      <c r="C398" s="81">
        <v>464.24</v>
      </c>
      <c r="D398" s="81">
        <v>481.28</v>
      </c>
      <c r="E398" s="81">
        <v>30966508</v>
      </c>
      <c r="F398" s="81" t="s">
        <v>362</v>
      </c>
      <c r="G398" s="25">
        <f t="shared" si="11"/>
        <v>-3.2746010638297851E-2</v>
      </c>
      <c r="I398" s="81">
        <v>83.53</v>
      </c>
      <c r="J398" s="81">
        <v>87.54</v>
      </c>
      <c r="K398" s="81">
        <v>83.08</v>
      </c>
      <c r="L398" s="81">
        <v>86</v>
      </c>
      <c r="M398" s="81">
        <v>22580894</v>
      </c>
      <c r="N398" s="81" t="s">
        <v>362</v>
      </c>
      <c r="O398" s="25">
        <f t="shared" si="12"/>
        <v>-2.8720930232558173E-2</v>
      </c>
    </row>
    <row r="399" spans="1:15">
      <c r="A399" s="81">
        <v>494.16</v>
      </c>
      <c r="B399" s="81">
        <v>503.66</v>
      </c>
      <c r="C399" s="81">
        <v>493.5</v>
      </c>
      <c r="D399" s="81">
        <v>501</v>
      </c>
      <c r="E399" s="81">
        <v>16226023</v>
      </c>
      <c r="F399" s="81" t="s">
        <v>363</v>
      </c>
      <c r="G399" s="25">
        <f t="shared" si="11"/>
        <v>-1.3652694610778449E-2</v>
      </c>
      <c r="I399" s="81">
        <v>88.84</v>
      </c>
      <c r="J399" s="81">
        <v>94.78</v>
      </c>
      <c r="K399" s="81">
        <v>88.605000000000004</v>
      </c>
      <c r="L399" s="81">
        <v>94.51</v>
      </c>
      <c r="M399" s="81">
        <v>19353389</v>
      </c>
      <c r="N399" s="81" t="s">
        <v>363</v>
      </c>
      <c r="O399" s="25">
        <f t="shared" si="12"/>
        <v>-5.9993651465453435E-2</v>
      </c>
    </row>
    <row r="400" spans="1:15">
      <c r="A400" s="81">
        <v>518.91</v>
      </c>
      <c r="B400" s="81">
        <v>521.49</v>
      </c>
      <c r="C400" s="81">
        <v>509.9298</v>
      </c>
      <c r="D400" s="81">
        <v>510.14</v>
      </c>
      <c r="E400" s="81">
        <v>6308643</v>
      </c>
      <c r="F400" s="81" t="s">
        <v>364</v>
      </c>
      <c r="G400" s="25">
        <f t="shared" si="11"/>
        <v>1.7191359234719927E-2</v>
      </c>
      <c r="I400" s="81">
        <v>97.88</v>
      </c>
      <c r="J400" s="81">
        <v>98.308000000000007</v>
      </c>
      <c r="K400" s="81">
        <v>96.45</v>
      </c>
      <c r="L400" s="81">
        <v>96.614999999999995</v>
      </c>
      <c r="M400" s="81">
        <v>7959946</v>
      </c>
      <c r="N400" s="81" t="s">
        <v>364</v>
      </c>
      <c r="O400" s="25">
        <f t="shared" si="12"/>
        <v>1.3093204988873453E-2</v>
      </c>
    </row>
    <row r="401" spans="1:15">
      <c r="A401" s="81">
        <v>515.79999999999995</v>
      </c>
      <c r="B401" s="81">
        <v>517.35</v>
      </c>
      <c r="C401" s="81">
        <v>508.88</v>
      </c>
      <c r="D401" s="81">
        <v>512.36</v>
      </c>
      <c r="E401" s="81">
        <v>7697017</v>
      </c>
      <c r="F401" s="81" t="s">
        <v>365</v>
      </c>
      <c r="G401" s="25">
        <f t="shared" si="11"/>
        <v>6.7140291982199507E-3</v>
      </c>
      <c r="I401" s="81">
        <v>97.68</v>
      </c>
      <c r="J401" s="81">
        <v>98.59</v>
      </c>
      <c r="K401" s="81">
        <v>96.84</v>
      </c>
      <c r="L401" s="81">
        <v>98.32</v>
      </c>
      <c r="M401" s="81">
        <v>8762675</v>
      </c>
      <c r="N401" s="81" t="s">
        <v>365</v>
      </c>
      <c r="O401" s="25">
        <f t="shared" si="12"/>
        <v>-6.5093572009762291E-3</v>
      </c>
    </row>
    <row r="402" spans="1:15">
      <c r="A402" s="81">
        <v>513.91</v>
      </c>
      <c r="B402" s="81">
        <v>515.33000000000004</v>
      </c>
      <c r="C402" s="81">
        <v>502.64</v>
      </c>
      <c r="D402" s="81">
        <v>505.31</v>
      </c>
      <c r="E402" s="81">
        <v>8196668</v>
      </c>
      <c r="F402" s="81" t="s">
        <v>366</v>
      </c>
      <c r="G402" s="25">
        <f t="shared" si="11"/>
        <v>1.7019255506520725E-2</v>
      </c>
      <c r="I402" s="81">
        <v>98.7</v>
      </c>
      <c r="J402" s="81">
        <v>98.85</v>
      </c>
      <c r="K402" s="81">
        <v>95.7</v>
      </c>
      <c r="L402" s="81">
        <v>96.83</v>
      </c>
      <c r="M402" s="81">
        <v>10554041</v>
      </c>
      <c r="N402" s="81" t="s">
        <v>366</v>
      </c>
      <c r="O402" s="25">
        <f t="shared" si="12"/>
        <v>1.931219663327477E-2</v>
      </c>
    </row>
    <row r="403" spans="1:15">
      <c r="A403" s="81">
        <v>510.8</v>
      </c>
      <c r="B403" s="81">
        <v>520.46</v>
      </c>
      <c r="C403" s="81">
        <v>510.16</v>
      </c>
      <c r="D403" s="81">
        <v>519.76</v>
      </c>
      <c r="E403" s="81">
        <v>5831793</v>
      </c>
      <c r="F403" s="81" t="s">
        <v>367</v>
      </c>
      <c r="G403" s="25">
        <f t="shared" si="11"/>
        <v>-1.7238725565645652E-2</v>
      </c>
      <c r="I403" s="81">
        <v>98.07</v>
      </c>
      <c r="J403" s="81">
        <v>100.39</v>
      </c>
      <c r="K403" s="81">
        <v>97.74</v>
      </c>
      <c r="L403" s="81">
        <v>100.05</v>
      </c>
      <c r="M403" s="81">
        <v>7679702</v>
      </c>
      <c r="N403" s="81" t="s">
        <v>367</v>
      </c>
      <c r="O403" s="25">
        <f t="shared" si="12"/>
        <v>-1.979010494752631E-2</v>
      </c>
    </row>
    <row r="404" spans="1:15">
      <c r="A404" s="81">
        <v>521.21</v>
      </c>
      <c r="B404" s="81">
        <v>524.678</v>
      </c>
      <c r="C404" s="81">
        <v>519.23</v>
      </c>
      <c r="D404" s="81">
        <v>521.29</v>
      </c>
      <c r="E404" s="81">
        <v>5534928</v>
      </c>
      <c r="F404" s="81" t="s">
        <v>368</v>
      </c>
      <c r="G404" s="25">
        <f t="shared" si="11"/>
        <v>-1.5346544150074415E-4</v>
      </c>
      <c r="I404" s="81">
        <v>100.45</v>
      </c>
      <c r="J404" s="81">
        <v>101.03</v>
      </c>
      <c r="K404" s="81">
        <v>99.58</v>
      </c>
      <c r="L404" s="81">
        <v>100.71</v>
      </c>
      <c r="M404" s="81">
        <v>6598776</v>
      </c>
      <c r="N404" s="81" t="s">
        <v>368</v>
      </c>
      <c r="O404" s="25">
        <f t="shared" si="12"/>
        <v>-2.5816701419917321E-3</v>
      </c>
    </row>
    <row r="405" spans="1:15">
      <c r="A405" s="81">
        <v>522.64789999999982</v>
      </c>
      <c r="B405" s="81">
        <v>529.57388654806823</v>
      </c>
      <c r="C405" s="81">
        <v>521.2925990351979</v>
      </c>
      <c r="D405" s="81">
        <v>528.72682344506711</v>
      </c>
      <c r="E405" s="81">
        <v>4444984.1890879134</v>
      </c>
      <c r="F405" s="81" t="s">
        <v>369</v>
      </c>
      <c r="G405" s="25">
        <f t="shared" si="11"/>
        <v>-1.1497285886610364E-2</v>
      </c>
      <c r="I405" s="81">
        <v>100.78</v>
      </c>
      <c r="J405" s="81">
        <v>102.27</v>
      </c>
      <c r="K405" s="81">
        <v>100.26</v>
      </c>
      <c r="L405" s="81">
        <v>101.7</v>
      </c>
      <c r="M405" s="81">
        <v>6316413</v>
      </c>
      <c r="N405" s="81" t="s">
        <v>369</v>
      </c>
      <c r="O405" s="25">
        <f t="shared" si="12"/>
        <v>-9.0462143559488783E-3</v>
      </c>
    </row>
    <row r="406" spans="1:15">
      <c r="A406" s="81">
        <v>528.81651247950253</v>
      </c>
      <c r="B406" s="81">
        <v>529.76323006520977</v>
      </c>
      <c r="C406" s="81">
        <v>527.28183344582988</v>
      </c>
      <c r="D406" s="81">
        <v>528.75671978987896</v>
      </c>
      <c r="E406" s="81">
        <v>6281904.064935497</v>
      </c>
      <c r="F406" s="81" t="s">
        <v>370</v>
      </c>
      <c r="G406" s="25">
        <f t="shared" si="11"/>
        <v>1.1308166380818996E-4</v>
      </c>
      <c r="I406" s="81">
        <v>101.61</v>
      </c>
      <c r="J406" s="81">
        <v>101.76</v>
      </c>
      <c r="K406" s="81">
        <v>100.405</v>
      </c>
      <c r="L406" s="81">
        <v>100.65</v>
      </c>
      <c r="M406" s="81">
        <v>7365249</v>
      </c>
      <c r="N406" s="81" t="s">
        <v>370</v>
      </c>
      <c r="O406" s="25">
        <f t="shared" si="12"/>
        <v>9.5380029806257927E-3</v>
      </c>
    </row>
    <row r="407" spans="1:15">
      <c r="A407" s="81">
        <v>527.56086599740661</v>
      </c>
      <c r="B407" s="81">
        <v>528.55741082446684</v>
      </c>
      <c r="C407" s="81">
        <v>524.06299365442533</v>
      </c>
      <c r="D407" s="81">
        <v>524.66092055066144</v>
      </c>
      <c r="E407" s="81">
        <v>22453848.931221198</v>
      </c>
      <c r="F407" s="81" t="s">
        <v>371</v>
      </c>
      <c r="G407" s="25">
        <f t="shared" si="11"/>
        <v>5.5272754900470566E-3</v>
      </c>
      <c r="I407" s="81">
        <v>100.18</v>
      </c>
      <c r="J407" s="81">
        <v>100.44</v>
      </c>
      <c r="K407" s="81">
        <v>98.86</v>
      </c>
      <c r="L407" s="81">
        <v>100.22</v>
      </c>
      <c r="M407" s="81">
        <v>8224405</v>
      </c>
      <c r="N407" s="81" t="s">
        <v>371</v>
      </c>
      <c r="O407" s="25">
        <f t="shared" si="12"/>
        <v>-3.9912193175006827E-4</v>
      </c>
    </row>
    <row r="408" spans="1:15">
      <c r="A408" s="81">
        <v>518.46241172634689</v>
      </c>
      <c r="B408" s="81">
        <v>519.15002765701854</v>
      </c>
      <c r="C408" s="81">
        <v>512.87677797067442</v>
      </c>
      <c r="D408" s="81">
        <v>514.00785634938768</v>
      </c>
      <c r="E408" s="81">
        <v>5076551.3628965141</v>
      </c>
      <c r="F408" s="81" t="s">
        <v>372</v>
      </c>
      <c r="G408" s="25">
        <f t="shared" si="11"/>
        <v>8.666317687431091E-3</v>
      </c>
      <c r="I408" s="81">
        <v>99.46</v>
      </c>
      <c r="J408" s="81">
        <v>99.89</v>
      </c>
      <c r="K408" s="81">
        <v>97.75</v>
      </c>
      <c r="L408" s="81">
        <v>98.38</v>
      </c>
      <c r="M408" s="81">
        <v>15089873</v>
      </c>
      <c r="N408" s="81" t="s">
        <v>372</v>
      </c>
      <c r="O408" s="25">
        <f t="shared" si="12"/>
        <v>1.0977841024598423E-2</v>
      </c>
    </row>
    <row r="409" spans="1:15">
      <c r="A409" s="81">
        <v>518.33286089882904</v>
      </c>
      <c r="B409" s="81">
        <v>522.80236444819411</v>
      </c>
      <c r="C409" s="81">
        <v>515.53256993478999</v>
      </c>
      <c r="D409" s="81">
        <v>516.17035862410842</v>
      </c>
      <c r="E409" s="81">
        <v>6050643.0180241829</v>
      </c>
      <c r="F409" s="81" t="s">
        <v>373</v>
      </c>
      <c r="G409" s="25">
        <f t="shared" si="11"/>
        <v>4.1895127036835067E-3</v>
      </c>
      <c r="I409" s="81">
        <v>98.86</v>
      </c>
      <c r="J409" s="81">
        <v>100.05</v>
      </c>
      <c r="K409" s="81">
        <v>98.64</v>
      </c>
      <c r="L409" s="81">
        <v>99.57</v>
      </c>
      <c r="M409" s="81">
        <v>7836515</v>
      </c>
      <c r="N409" s="81" t="s">
        <v>373</v>
      </c>
      <c r="O409" s="25">
        <f t="shared" si="12"/>
        <v>-7.1306618459374693E-3</v>
      </c>
    </row>
    <row r="410" spans="1:15">
      <c r="A410" s="81">
        <v>519.52871469130139</v>
      </c>
      <c r="B410" s="81">
        <v>523.14617241352994</v>
      </c>
      <c r="C410" s="81">
        <v>514.63478270009125</v>
      </c>
      <c r="D410" s="81">
        <v>515.75180979674315</v>
      </c>
      <c r="E410" s="81">
        <v>5392581.3009867659</v>
      </c>
      <c r="F410" s="81" t="s">
        <v>374</v>
      </c>
      <c r="G410" s="25">
        <f t="shared" si="11"/>
        <v>7.3231054604474544E-3</v>
      </c>
      <c r="I410" s="81">
        <v>100.29</v>
      </c>
      <c r="J410" s="81">
        <v>100.96</v>
      </c>
      <c r="K410" s="81">
        <v>99.47</v>
      </c>
      <c r="L410" s="81">
        <v>99.655000000000001</v>
      </c>
      <c r="M410" s="81">
        <v>8614622</v>
      </c>
      <c r="N410" s="81" t="s">
        <v>374</v>
      </c>
      <c r="O410" s="25">
        <f t="shared" si="12"/>
        <v>6.3719833425317507E-3</v>
      </c>
    </row>
    <row r="411" spans="1:15">
      <c r="A411" s="81">
        <v>514.12744172863495</v>
      </c>
      <c r="B411" s="81">
        <v>517.72496855432234</v>
      </c>
      <c r="C411" s="81">
        <v>512.29459648270586</v>
      </c>
      <c r="D411" s="81">
        <v>517.52565958891034</v>
      </c>
      <c r="E411" s="81">
        <v>6031437.6601914996</v>
      </c>
      <c r="F411" s="81" t="s">
        <v>375</v>
      </c>
      <c r="G411" s="25">
        <f t="shared" si="11"/>
        <v>-6.5662789802050092E-3</v>
      </c>
      <c r="I411" s="81">
        <v>99.35</v>
      </c>
      <c r="J411" s="81">
        <v>99.724999999999994</v>
      </c>
      <c r="K411" s="81">
        <v>98.474999999999994</v>
      </c>
      <c r="L411" s="81">
        <v>99.27</v>
      </c>
      <c r="M411" s="81">
        <v>6727404</v>
      </c>
      <c r="N411" s="81" t="s">
        <v>375</v>
      </c>
      <c r="O411" s="25">
        <f t="shared" si="12"/>
        <v>8.0588294550221207E-4</v>
      </c>
    </row>
    <row r="412" spans="1:15">
      <c r="A412" s="81">
        <v>519.60843827746612</v>
      </c>
      <c r="B412" s="81">
        <v>522.03004220722255</v>
      </c>
      <c r="C412" s="81">
        <v>515.29339917629545</v>
      </c>
      <c r="D412" s="81">
        <v>515.66212076230772</v>
      </c>
      <c r="E412" s="81">
        <v>6291581.5021547033</v>
      </c>
      <c r="F412" s="81" t="s">
        <v>376</v>
      </c>
      <c r="G412" s="25">
        <f t="shared" si="11"/>
        <v>7.6529133249587655E-3</v>
      </c>
      <c r="I412" s="81">
        <v>99.36</v>
      </c>
      <c r="J412" s="81">
        <v>100.12</v>
      </c>
      <c r="K412" s="81">
        <v>98.66</v>
      </c>
      <c r="L412" s="81">
        <v>98.74</v>
      </c>
      <c r="M412" s="81">
        <v>8332119</v>
      </c>
      <c r="N412" s="81" t="s">
        <v>376</v>
      </c>
      <c r="O412" s="25">
        <f t="shared" si="12"/>
        <v>6.2791168725946367E-3</v>
      </c>
    </row>
    <row r="413" spans="1:15">
      <c r="A413" s="81">
        <v>515.6720862105783</v>
      </c>
      <c r="B413" s="81">
        <v>516.62876924455611</v>
      </c>
      <c r="C413" s="81">
        <v>509.07495945543968</v>
      </c>
      <c r="D413" s="81">
        <v>509.51343917934616</v>
      </c>
      <c r="E413" s="81">
        <v>7437960.4396382375</v>
      </c>
      <c r="F413" s="81" t="s">
        <v>377</v>
      </c>
      <c r="G413" s="25">
        <f t="shared" si="11"/>
        <v>1.2087310280081365E-2</v>
      </c>
      <c r="I413" s="81">
        <v>98.64</v>
      </c>
      <c r="J413" s="81">
        <v>99.098500000000001</v>
      </c>
      <c r="K413" s="81">
        <v>97.415000000000006</v>
      </c>
      <c r="L413" s="81">
        <v>97.44</v>
      </c>
      <c r="M413" s="81">
        <v>10199761</v>
      </c>
      <c r="N413" s="81" t="s">
        <v>377</v>
      </c>
      <c r="O413" s="25">
        <f t="shared" si="12"/>
        <v>1.2315270935960632E-2</v>
      </c>
    </row>
    <row r="414" spans="1:15">
      <c r="A414" s="81">
        <v>505.2980545608815</v>
      </c>
      <c r="B414" s="81">
        <v>512.28383379857348</v>
      </c>
      <c r="C414" s="81">
        <v>503.67368649277336</v>
      </c>
      <c r="D414" s="81">
        <v>511.73573414369048</v>
      </c>
      <c r="E414" s="81">
        <v>21725060.842337649</v>
      </c>
      <c r="F414" s="81" t="s">
        <v>378</v>
      </c>
      <c r="G414" s="25">
        <f t="shared" si="11"/>
        <v>-1.2580086074273189E-2</v>
      </c>
      <c r="I414" s="81">
        <v>96.87</v>
      </c>
      <c r="J414" s="81">
        <v>98.65</v>
      </c>
      <c r="K414" s="81">
        <v>95.924999999999997</v>
      </c>
      <c r="L414" s="81">
        <v>97.77</v>
      </c>
      <c r="M414" s="81">
        <v>11059480</v>
      </c>
      <c r="N414" s="81" t="s">
        <v>378</v>
      </c>
      <c r="O414" s="25">
        <f t="shared" si="12"/>
        <v>-9.2052776925436453E-3</v>
      </c>
    </row>
    <row r="415" spans="1:15">
      <c r="A415" s="81">
        <v>511.98487035045554</v>
      </c>
      <c r="B415" s="81">
        <v>515.95111876215515</v>
      </c>
      <c r="C415" s="81">
        <v>507.34097145635496</v>
      </c>
      <c r="D415" s="81">
        <v>515.10405565915403</v>
      </c>
      <c r="E415" s="81">
        <v>8620339.7646867074</v>
      </c>
      <c r="F415" s="81" t="s">
        <v>379</v>
      </c>
      <c r="G415" s="25">
        <f t="shared" si="11"/>
        <v>-6.0554470003288952E-3</v>
      </c>
      <c r="I415" s="81">
        <v>98.76</v>
      </c>
      <c r="J415" s="81">
        <v>99.49</v>
      </c>
      <c r="K415" s="81">
        <v>96.38</v>
      </c>
      <c r="L415" s="81">
        <v>98.68</v>
      </c>
      <c r="M415" s="81">
        <v>11891787</v>
      </c>
      <c r="N415" s="81" t="s">
        <v>379</v>
      </c>
      <c r="O415" s="25">
        <f t="shared" si="12"/>
        <v>8.1070125658699865E-4</v>
      </c>
    </row>
    <row r="416" spans="1:15">
      <c r="A416" s="81">
        <v>509.51343917934616</v>
      </c>
      <c r="B416" s="81">
        <v>515.74174469398986</v>
      </c>
      <c r="C416" s="81">
        <v>505.77639607787034</v>
      </c>
      <c r="D416" s="81">
        <v>512.55290090187987</v>
      </c>
      <c r="E416" s="81">
        <v>11247777.014774196</v>
      </c>
      <c r="F416" s="81" t="s">
        <v>380</v>
      </c>
      <c r="G416" s="25">
        <f t="shared" si="11"/>
        <v>-5.9300449127992483E-3</v>
      </c>
      <c r="I416" s="81">
        <v>97.9</v>
      </c>
      <c r="J416" s="81">
        <v>101.04</v>
      </c>
      <c r="K416" s="81">
        <v>97.45</v>
      </c>
      <c r="L416" s="81">
        <v>99.79</v>
      </c>
      <c r="M416" s="81">
        <v>16906005</v>
      </c>
      <c r="N416" s="81" t="s">
        <v>380</v>
      </c>
      <c r="O416" s="25">
        <f t="shared" si="12"/>
        <v>-1.8939773524401238E-2</v>
      </c>
    </row>
    <row r="417" spans="1:15">
      <c r="A417" s="81">
        <v>513.72882379781095</v>
      </c>
      <c r="B417" s="81">
        <v>521.89052593143413</v>
      </c>
      <c r="C417" s="81">
        <v>509.0649940071691</v>
      </c>
      <c r="D417" s="81">
        <v>520.09674524272566</v>
      </c>
      <c r="E417" s="81">
        <v>11215642.986148039</v>
      </c>
      <c r="F417" s="81" t="s">
        <v>381</v>
      </c>
      <c r="G417" s="25">
        <f t="shared" si="11"/>
        <v>-1.2243724851504045E-2</v>
      </c>
      <c r="I417" s="81">
        <v>103.08</v>
      </c>
      <c r="J417" s="81">
        <v>104.8</v>
      </c>
      <c r="K417" s="81">
        <v>102.1104</v>
      </c>
      <c r="L417" s="81">
        <v>104.43</v>
      </c>
      <c r="M417" s="81">
        <v>10947073</v>
      </c>
      <c r="N417" s="81" t="s">
        <v>381</v>
      </c>
      <c r="O417" s="25">
        <f t="shared" si="12"/>
        <v>-1.2927319735708265E-2</v>
      </c>
    </row>
    <row r="418" spans="1:15">
      <c r="A418" s="81">
        <v>527.68045137665388</v>
      </c>
      <c r="B418" s="81">
        <v>529.04571778972638</v>
      </c>
      <c r="C418" s="81">
        <v>518.33286089882904</v>
      </c>
      <c r="D418" s="81">
        <v>523.08637972390625</v>
      </c>
      <c r="E418" s="81">
        <v>7333618.9216487836</v>
      </c>
      <c r="F418" s="81" t="s">
        <v>382</v>
      </c>
      <c r="G418" s="25">
        <f t="shared" si="11"/>
        <v>8.782625261954724E-3</v>
      </c>
      <c r="I418" s="81">
        <v>105.51</v>
      </c>
      <c r="J418" s="81">
        <v>105.77</v>
      </c>
      <c r="K418" s="81">
        <v>103.31</v>
      </c>
      <c r="L418" s="81">
        <v>105</v>
      </c>
      <c r="M418" s="81">
        <v>12715904</v>
      </c>
      <c r="N418" s="81" t="s">
        <v>382</v>
      </c>
      <c r="O418" s="25">
        <f t="shared" si="12"/>
        <v>4.8571428571428932E-3</v>
      </c>
    </row>
    <row r="419" spans="1:15">
      <c r="A419" s="81">
        <v>524.85026406780287</v>
      </c>
      <c r="B419" s="81">
        <v>531.58690709872985</v>
      </c>
      <c r="C419" s="81">
        <v>522.4087292415054</v>
      </c>
      <c r="D419" s="81">
        <v>527.36155703199472</v>
      </c>
      <c r="E419" s="81">
        <v>7253989.7892252151</v>
      </c>
      <c r="F419" s="81" t="s">
        <v>383</v>
      </c>
      <c r="G419" s="25">
        <f t="shared" si="11"/>
        <v>-4.7619947466885915E-3</v>
      </c>
      <c r="I419" s="81">
        <v>105.43</v>
      </c>
      <c r="J419" s="81">
        <v>108.83</v>
      </c>
      <c r="K419" s="81">
        <v>105.01649999999999</v>
      </c>
      <c r="L419" s="81">
        <v>108.38</v>
      </c>
      <c r="M419" s="81">
        <v>11618753</v>
      </c>
      <c r="N419" s="81" t="s">
        <v>383</v>
      </c>
      <c r="O419" s="25">
        <f t="shared" si="12"/>
        <v>-2.7219044104078161E-2</v>
      </c>
    </row>
    <row r="420" spans="1:15">
      <c r="A420" s="81">
        <v>534.54664523509871</v>
      </c>
      <c r="B420" s="81">
        <v>535.93194219919519</v>
      </c>
      <c r="C420" s="81">
        <v>525.10936572283845</v>
      </c>
      <c r="D420" s="81">
        <v>528.41789454867842</v>
      </c>
      <c r="E420" s="81">
        <v>6243316.7390512833</v>
      </c>
      <c r="F420" s="81" t="s">
        <v>384</v>
      </c>
      <c r="G420" s="25">
        <f t="shared" si="11"/>
        <v>1.1598302687411577E-2</v>
      </c>
      <c r="I420" s="81">
        <v>109.31</v>
      </c>
      <c r="J420" s="81">
        <v>110.9383</v>
      </c>
      <c r="K420" s="81">
        <v>108.22</v>
      </c>
      <c r="L420" s="81">
        <v>109.34</v>
      </c>
      <c r="M420" s="81">
        <v>9956143</v>
      </c>
      <c r="N420" s="81" t="s">
        <v>384</v>
      </c>
      <c r="O420" s="25">
        <f t="shared" si="12"/>
        <v>-2.743735138101E-4</v>
      </c>
    </row>
    <row r="421" spans="1:15">
      <c r="A421" s="81">
        <v>528.61720351409053</v>
      </c>
      <c r="B421" s="81">
        <v>536.42004985548931</v>
      </c>
      <c r="C421" s="81">
        <v>524.34202620600217</v>
      </c>
      <c r="D421" s="81">
        <v>531.21818551271758</v>
      </c>
      <c r="E421" s="81">
        <v>10513761.865493005</v>
      </c>
      <c r="F421" s="81" t="s">
        <v>385</v>
      </c>
      <c r="G421" s="25">
        <f t="shared" si="11"/>
        <v>-4.8962593329079374E-3</v>
      </c>
      <c r="I421" s="81">
        <v>109.01</v>
      </c>
      <c r="J421" s="81">
        <v>112.25</v>
      </c>
      <c r="K421" s="81">
        <v>108.27</v>
      </c>
      <c r="L421" s="81">
        <v>111.7</v>
      </c>
      <c r="M421" s="81">
        <v>12658024</v>
      </c>
      <c r="N421" s="81" t="s">
        <v>385</v>
      </c>
      <c r="O421" s="25">
        <f t="shared" si="12"/>
        <v>-2.4082363473589941E-2</v>
      </c>
    </row>
    <row r="422" spans="1:15">
      <c r="A422" s="81">
        <v>535.06484854517009</v>
      </c>
      <c r="B422" s="81">
        <v>547.39210805590494</v>
      </c>
      <c r="C422" s="81">
        <v>531.40852557468611</v>
      </c>
      <c r="D422" s="81">
        <v>546.3058741944094</v>
      </c>
      <c r="E422" s="81">
        <v>7315273.535165838</v>
      </c>
      <c r="F422" s="81" t="s">
        <v>386</v>
      </c>
      <c r="G422" s="25">
        <f t="shared" si="11"/>
        <v>-2.0576431959139163E-2</v>
      </c>
      <c r="I422" s="81">
        <v>112.79</v>
      </c>
      <c r="J422" s="81">
        <v>115.55</v>
      </c>
      <c r="K422" s="81">
        <v>112</v>
      </c>
      <c r="L422" s="81">
        <v>114.07</v>
      </c>
      <c r="M422" s="81">
        <v>7884746</v>
      </c>
      <c r="N422" s="81" t="s">
        <v>386</v>
      </c>
      <c r="O422" s="25">
        <f t="shared" si="12"/>
        <v>-1.1221179977206841E-2</v>
      </c>
    </row>
    <row r="423" spans="1:15">
      <c r="A423" s="81">
        <v>544.44233536780678</v>
      </c>
      <c r="B423" s="81">
        <v>545.00040047096036</v>
      </c>
      <c r="C423" s="81">
        <v>533.72947847690943</v>
      </c>
      <c r="D423" s="81">
        <v>536.55966578576033</v>
      </c>
      <c r="E423" s="81">
        <v>7353458.470721879</v>
      </c>
      <c r="F423" s="81" t="s">
        <v>387</v>
      </c>
      <c r="G423" s="25">
        <f t="shared" si="11"/>
        <v>1.4691133315998917E-2</v>
      </c>
      <c r="I423" s="81">
        <v>113.8</v>
      </c>
      <c r="J423" s="81">
        <v>113.99</v>
      </c>
      <c r="K423" s="81">
        <v>111</v>
      </c>
      <c r="L423" s="81">
        <v>111.46</v>
      </c>
      <c r="M423" s="81">
        <v>14609401</v>
      </c>
      <c r="N423" s="81" t="s">
        <v>387</v>
      </c>
      <c r="O423" s="25">
        <f t="shared" si="12"/>
        <v>2.0994078593217225E-2</v>
      </c>
    </row>
    <row r="424" spans="1:15">
      <c r="A424" s="81">
        <v>536.11122061358333</v>
      </c>
      <c r="B424" s="81">
        <v>547.98006950387048</v>
      </c>
      <c r="C424" s="81">
        <v>535.74249902757106</v>
      </c>
      <c r="D424" s="81">
        <v>546.93369743545725</v>
      </c>
      <c r="E424" s="81">
        <v>5540494.3662071563</v>
      </c>
      <c r="F424" s="81" t="s">
        <v>388</v>
      </c>
      <c r="G424" s="25">
        <f t="shared" si="11"/>
        <v>-1.9787548056775295E-2</v>
      </c>
      <c r="I424" s="81">
        <v>111.31</v>
      </c>
      <c r="J424" s="81">
        <v>113.12</v>
      </c>
      <c r="K424" s="81">
        <v>111.06</v>
      </c>
      <c r="L424" s="81">
        <v>112.32</v>
      </c>
      <c r="M424" s="81">
        <v>7854650</v>
      </c>
      <c r="N424" s="81" t="s">
        <v>388</v>
      </c>
      <c r="O424" s="25">
        <f t="shared" si="12"/>
        <v>-8.9921652421651732E-3</v>
      </c>
    </row>
    <row r="425" spans="1:15">
      <c r="A425" s="81">
        <v>544.86088419517193</v>
      </c>
      <c r="B425" s="81">
        <v>549.4400076755137</v>
      </c>
      <c r="C425" s="81">
        <v>542.36952212752146</v>
      </c>
      <c r="D425" s="81">
        <v>546.11653067726786</v>
      </c>
      <c r="E425" s="81">
        <v>4195298.4817886017</v>
      </c>
      <c r="F425" s="81" t="s">
        <v>389</v>
      </c>
      <c r="G425" s="25">
        <f t="shared" si="11"/>
        <v>-2.2992281162753647E-3</v>
      </c>
      <c r="I425" s="81">
        <v>111.83</v>
      </c>
      <c r="J425" s="81">
        <v>113.25</v>
      </c>
      <c r="K425" s="81">
        <v>110.05500000000001</v>
      </c>
      <c r="L425" s="81">
        <v>110.05500000000001</v>
      </c>
      <c r="M425" s="81">
        <v>7831584</v>
      </c>
      <c r="N425" s="81" t="s">
        <v>389</v>
      </c>
      <c r="O425" s="25">
        <f t="shared" si="12"/>
        <v>1.6128299486620312E-2</v>
      </c>
    </row>
    <row r="426" spans="1:15">
      <c r="A426" s="81">
        <v>544.52205895397151</v>
      </c>
      <c r="B426" s="81">
        <v>547.87044957289379</v>
      </c>
      <c r="C426" s="81">
        <v>540.2951144155129</v>
      </c>
      <c r="D426" s="81">
        <v>547.28248812492825</v>
      </c>
      <c r="E426" s="81">
        <v>5510533.8474334273</v>
      </c>
      <c r="F426" s="81" t="s">
        <v>390</v>
      </c>
      <c r="G426" s="25">
        <f t="shared" si="11"/>
        <v>-5.0438836082886684E-3</v>
      </c>
      <c r="I426" s="81">
        <v>110.53</v>
      </c>
      <c r="J426" s="81">
        <v>111.9</v>
      </c>
      <c r="K426" s="81">
        <v>109.07</v>
      </c>
      <c r="L426" s="81">
        <v>111.43</v>
      </c>
      <c r="M426" s="81">
        <v>7288975</v>
      </c>
      <c r="N426" s="81" t="s">
        <v>390</v>
      </c>
      <c r="O426" s="25">
        <f t="shared" si="12"/>
        <v>-8.0768195279548038E-3</v>
      </c>
    </row>
    <row r="427" spans="1:15">
      <c r="A427" s="81">
        <v>547.24262633184594</v>
      </c>
      <c r="B427" s="81">
        <v>552.59407205315927</v>
      </c>
      <c r="C427" s="81">
        <v>546.61809168872719</v>
      </c>
      <c r="D427" s="81">
        <v>551.69718170880503</v>
      </c>
      <c r="E427" s="81">
        <v>4788801.1360994671</v>
      </c>
      <c r="F427" s="81" t="s">
        <v>391</v>
      </c>
      <c r="G427" s="25">
        <f t="shared" si="11"/>
        <v>-8.0742761149544817E-3</v>
      </c>
      <c r="I427" s="81">
        <v>111.2</v>
      </c>
      <c r="J427" s="81">
        <v>111.55500000000001</v>
      </c>
      <c r="K427" s="81">
        <v>108.65</v>
      </c>
      <c r="L427" s="81">
        <v>108.84</v>
      </c>
      <c r="M427" s="81">
        <v>7093298</v>
      </c>
      <c r="N427" s="81" t="s">
        <v>391</v>
      </c>
      <c r="O427" s="25">
        <f t="shared" si="12"/>
        <v>2.1683204704152859E-2</v>
      </c>
    </row>
    <row r="428" spans="1:15">
      <c r="A428" s="81">
        <v>549.8436083304731</v>
      </c>
      <c r="B428" s="81">
        <v>559.2609569461921</v>
      </c>
      <c r="C428" s="81">
        <v>549.36028408934885</v>
      </c>
      <c r="D428" s="81">
        <v>559.16130246348609</v>
      </c>
      <c r="E428" s="81">
        <v>6170012.4600902461</v>
      </c>
      <c r="F428" s="81" t="s">
        <v>392</v>
      </c>
      <c r="G428" s="25">
        <f t="shared" si="11"/>
        <v>-1.6663696310817988E-2</v>
      </c>
      <c r="I428" s="81">
        <v>108.66</v>
      </c>
      <c r="J428" s="81">
        <v>111.76</v>
      </c>
      <c r="K428" s="81">
        <v>107.92</v>
      </c>
      <c r="L428" s="81">
        <v>111</v>
      </c>
      <c r="M428" s="81">
        <v>9082075</v>
      </c>
      <c r="N428" s="81" t="s">
        <v>392</v>
      </c>
      <c r="O428" s="25">
        <f t="shared" si="12"/>
        <v>-2.1081081081081088E-2</v>
      </c>
    </row>
    <row r="429" spans="1:15">
      <c r="A429" s="81">
        <v>559.3606114288981</v>
      </c>
      <c r="B429" s="81">
        <v>560.54101877655091</v>
      </c>
      <c r="C429" s="81">
        <v>556.29125336155266</v>
      </c>
      <c r="D429" s="81">
        <v>560.44684529039375</v>
      </c>
      <c r="E429" s="81">
        <v>4462199.6715570865</v>
      </c>
      <c r="F429" s="81" t="s">
        <v>393</v>
      </c>
      <c r="G429" s="25">
        <f t="shared" si="11"/>
        <v>-1.9381567951066714E-3</v>
      </c>
      <c r="I429" s="81">
        <v>110.55</v>
      </c>
      <c r="J429" s="81">
        <v>111.52</v>
      </c>
      <c r="K429" s="81">
        <v>109.375</v>
      </c>
      <c r="L429" s="81">
        <v>111.24</v>
      </c>
      <c r="M429" s="81">
        <v>5970106</v>
      </c>
      <c r="N429" s="81" t="s">
        <v>393</v>
      </c>
      <c r="O429" s="25">
        <f t="shared" si="12"/>
        <v>-6.2028047464940395E-3</v>
      </c>
    </row>
    <row r="430" spans="1:15">
      <c r="A430" s="81">
        <v>561.72242266903072</v>
      </c>
      <c r="B430" s="81">
        <v>561.97155887579584</v>
      </c>
      <c r="C430" s="81">
        <v>558.5942684568887</v>
      </c>
      <c r="D430" s="81">
        <v>559.08157887732125</v>
      </c>
      <c r="E430" s="81">
        <v>3870935.7524635624</v>
      </c>
      <c r="F430" s="81" t="s">
        <v>394</v>
      </c>
      <c r="G430" s="25">
        <f t="shared" si="11"/>
        <v>4.7235392677620336E-3</v>
      </c>
      <c r="I430" s="81">
        <v>111.35</v>
      </c>
      <c r="J430" s="81">
        <v>111.76</v>
      </c>
      <c r="K430" s="81">
        <v>109.14</v>
      </c>
      <c r="L430" s="81">
        <v>109.14</v>
      </c>
      <c r="M430" s="81">
        <v>8452114</v>
      </c>
      <c r="N430" s="81" t="s">
        <v>394</v>
      </c>
      <c r="O430" s="25">
        <f t="shared" si="12"/>
        <v>2.024922118380057E-2</v>
      </c>
    </row>
    <row r="431" spans="1:15">
      <c r="A431" s="81">
        <v>560.36712170422891</v>
      </c>
      <c r="B431" s="81">
        <v>560.36712170422891</v>
      </c>
      <c r="C431" s="81">
        <v>557.55686529191917</v>
      </c>
      <c r="D431" s="81">
        <v>559.85888384242821</v>
      </c>
      <c r="E431" s="81">
        <v>3858235.8721808712</v>
      </c>
      <c r="F431" s="81" t="s">
        <v>395</v>
      </c>
      <c r="G431" s="25">
        <f t="shared" si="11"/>
        <v>9.077963688144397E-4</v>
      </c>
      <c r="I431" s="81">
        <v>109.56</v>
      </c>
      <c r="J431" s="81">
        <v>109.92</v>
      </c>
      <c r="K431" s="81">
        <v>108.71</v>
      </c>
      <c r="L431" s="81">
        <v>109.77500000000001</v>
      </c>
      <c r="M431" s="81">
        <v>8362898</v>
      </c>
      <c r="N431" s="81" t="s">
        <v>395</v>
      </c>
      <c r="O431" s="25">
        <f t="shared" si="12"/>
        <v>-1.9585515827830191E-3</v>
      </c>
    </row>
    <row r="432" spans="1:15">
      <c r="A432" s="81">
        <v>558.7527190843914</v>
      </c>
      <c r="B432" s="81">
        <v>559.91867653205179</v>
      </c>
      <c r="C432" s="81">
        <v>558.13486129161413</v>
      </c>
      <c r="D432" s="81">
        <v>558.96199349807398</v>
      </c>
      <c r="E432" s="81">
        <v>3392290.9519008892</v>
      </c>
      <c r="F432" s="81" t="s">
        <v>396</v>
      </c>
      <c r="G432" s="25">
        <f t="shared" si="11"/>
        <v>-3.7439828846486112E-4</v>
      </c>
      <c r="I432" s="81">
        <v>110.38</v>
      </c>
      <c r="J432" s="81">
        <v>110.51</v>
      </c>
      <c r="K432" s="81">
        <v>109.59010000000001</v>
      </c>
      <c r="L432" s="81">
        <v>109.86</v>
      </c>
      <c r="M432" s="81">
        <v>5964541</v>
      </c>
      <c r="N432" s="81" t="s">
        <v>396</v>
      </c>
      <c r="O432" s="25">
        <f t="shared" si="12"/>
        <v>4.7332969233568889E-3</v>
      </c>
    </row>
    <row r="433" spans="1:15">
      <c r="A433" s="81">
        <v>558.73278818785013</v>
      </c>
      <c r="B433" s="81">
        <v>558.94206260153283</v>
      </c>
      <c r="C433" s="81">
        <v>552.7784328461654</v>
      </c>
      <c r="D433" s="81">
        <v>553.94937301796119</v>
      </c>
      <c r="E433" s="81">
        <v>3400246.4394863169</v>
      </c>
      <c r="F433" s="81" t="s">
        <v>397</v>
      </c>
      <c r="G433" s="25">
        <f t="shared" si="11"/>
        <v>8.6351125263099959E-3</v>
      </c>
      <c r="I433" s="81">
        <v>109.59</v>
      </c>
      <c r="J433" s="81">
        <v>109.76</v>
      </c>
      <c r="K433" s="81">
        <v>108.56</v>
      </c>
      <c r="L433" s="81">
        <v>108.92</v>
      </c>
      <c r="M433" s="81">
        <v>6553224</v>
      </c>
      <c r="N433" s="81" t="s">
        <v>397</v>
      </c>
      <c r="O433" s="25">
        <f t="shared" si="12"/>
        <v>6.1513037091442957E-3</v>
      </c>
    </row>
    <row r="434" spans="1:15">
      <c r="A434" s="81">
        <v>552.89303550127727</v>
      </c>
      <c r="B434" s="81">
        <v>553.99421753517879</v>
      </c>
      <c r="C434" s="81">
        <v>548.48830736567118</v>
      </c>
      <c r="D434" s="81">
        <v>549.09619971017787</v>
      </c>
      <c r="E434" s="81">
        <v>3591893.6136163576</v>
      </c>
      <c r="F434" s="81" t="s">
        <v>398</v>
      </c>
      <c r="G434" s="25">
        <f t="shared" si="11"/>
        <v>6.9147005444645249E-3</v>
      </c>
      <c r="I434" s="81">
        <v>109.23</v>
      </c>
      <c r="J434" s="81">
        <v>109.52500000000001</v>
      </c>
      <c r="K434" s="81">
        <v>107.75</v>
      </c>
      <c r="L434" s="81">
        <v>108.25</v>
      </c>
      <c r="M434" s="81">
        <v>6521246</v>
      </c>
      <c r="N434" s="81" t="s">
        <v>398</v>
      </c>
      <c r="O434" s="25">
        <f t="shared" si="12"/>
        <v>9.0531177829100695E-3</v>
      </c>
    </row>
    <row r="435" spans="1:15">
      <c r="A435" s="81">
        <v>554.72667798306804</v>
      </c>
      <c r="B435" s="81">
        <v>555.19007132765114</v>
      </c>
      <c r="C435" s="81">
        <v>552.07586874308799</v>
      </c>
      <c r="D435" s="81">
        <v>552.18548867406457</v>
      </c>
      <c r="E435" s="81">
        <v>2762467.8040034226</v>
      </c>
      <c r="F435" s="81" t="s">
        <v>399</v>
      </c>
      <c r="G435" s="25">
        <f t="shared" si="11"/>
        <v>4.6020573903626794E-3</v>
      </c>
      <c r="I435" s="81">
        <v>109.02</v>
      </c>
      <c r="J435" s="81">
        <v>109.05</v>
      </c>
      <c r="K435" s="81">
        <v>107.69</v>
      </c>
      <c r="L435" s="81">
        <v>108.38</v>
      </c>
      <c r="M435" s="81">
        <v>7456717</v>
      </c>
      <c r="N435" s="81" t="s">
        <v>399</v>
      </c>
      <c r="O435" s="25">
        <f t="shared" si="12"/>
        <v>5.9051485513932356E-3</v>
      </c>
    </row>
    <row r="436" spans="1:15">
      <c r="A436" s="81">
        <v>554.22840556953793</v>
      </c>
      <c r="B436" s="81">
        <v>554.85174435886415</v>
      </c>
      <c r="C436" s="81">
        <v>552.325004949853</v>
      </c>
      <c r="D436" s="81">
        <v>553.52085874232534</v>
      </c>
      <c r="E436" s="81">
        <v>3529747.8893916928</v>
      </c>
      <c r="F436" s="81" t="s">
        <v>400</v>
      </c>
      <c r="G436" s="25">
        <f t="shared" si="11"/>
        <v>1.2782658793026869E-3</v>
      </c>
      <c r="I436" s="81">
        <v>109.28</v>
      </c>
      <c r="J436" s="81">
        <v>111.38</v>
      </c>
      <c r="K436" s="81">
        <v>108.69</v>
      </c>
      <c r="L436" s="81">
        <v>111.14</v>
      </c>
      <c r="M436" s="81">
        <v>8239512</v>
      </c>
      <c r="N436" s="81" t="s">
        <v>400</v>
      </c>
      <c r="O436" s="25">
        <f t="shared" si="12"/>
        <v>-1.6735648731329822E-2</v>
      </c>
    </row>
    <row r="437" spans="1:15">
      <c r="A437" s="81">
        <v>550.29205350265022</v>
      </c>
      <c r="B437" s="81">
        <v>557.26786729207174</v>
      </c>
      <c r="C437" s="81">
        <v>549.8884528476907</v>
      </c>
      <c r="D437" s="81">
        <v>556.17166798230539</v>
      </c>
      <c r="E437" s="81">
        <v>10196785.657877898</v>
      </c>
      <c r="F437" s="81" t="s">
        <v>401</v>
      </c>
      <c r="G437" s="25">
        <f t="shared" si="11"/>
        <v>-1.057158215373577E-2</v>
      </c>
      <c r="I437" s="81">
        <v>110.86</v>
      </c>
      <c r="J437" s="81">
        <v>112.55</v>
      </c>
      <c r="K437" s="81">
        <v>110.81010000000001</v>
      </c>
      <c r="L437" s="81">
        <v>111.61</v>
      </c>
      <c r="M437" s="81">
        <v>8669320</v>
      </c>
      <c r="N437" s="81" t="s">
        <v>401</v>
      </c>
      <c r="O437" s="25">
        <f t="shared" si="12"/>
        <v>-6.7198279724038912E-3</v>
      </c>
    </row>
    <row r="438" spans="1:15">
      <c r="A438" s="81">
        <v>555.69332646531655</v>
      </c>
      <c r="B438" s="81">
        <v>555.72322281012828</v>
      </c>
      <c r="C438" s="81">
        <v>552.2751777085</v>
      </c>
      <c r="D438" s="81">
        <v>555.36446667238658</v>
      </c>
      <c r="E438" s="81">
        <v>3618802.5887791775</v>
      </c>
      <c r="F438" s="81" t="s">
        <v>402</v>
      </c>
      <c r="G438" s="25">
        <f t="shared" si="11"/>
        <v>5.9215130363021728E-4</v>
      </c>
      <c r="I438" s="81">
        <v>112.09</v>
      </c>
      <c r="J438" s="81">
        <v>112.68</v>
      </c>
      <c r="K438" s="81">
        <v>109.15</v>
      </c>
      <c r="L438" s="81">
        <v>111.88</v>
      </c>
      <c r="M438" s="81">
        <v>12470787</v>
      </c>
      <c r="N438" s="81" t="s">
        <v>402</v>
      </c>
      <c r="O438" s="25">
        <f t="shared" si="12"/>
        <v>1.8770110833035147E-3</v>
      </c>
    </row>
    <row r="439" spans="1:15">
      <c r="A439" s="81">
        <v>553.70023681119608</v>
      </c>
      <c r="B439" s="81">
        <v>553.80985674217277</v>
      </c>
      <c r="C439" s="81">
        <v>548.50823826221233</v>
      </c>
      <c r="D439" s="81">
        <v>550.43156977843864</v>
      </c>
      <c r="E439" s="81">
        <v>3436056.1682922682</v>
      </c>
      <c r="F439" s="81" t="s">
        <v>403</v>
      </c>
      <c r="G439" s="25">
        <f t="shared" si="11"/>
        <v>5.9383712930440868E-3</v>
      </c>
      <c r="I439" s="81">
        <v>110.54</v>
      </c>
      <c r="J439" s="81">
        <v>118.59</v>
      </c>
      <c r="K439" s="81">
        <v>110.23</v>
      </c>
      <c r="L439" s="81">
        <v>115.7</v>
      </c>
      <c r="M439" s="81">
        <v>23309982</v>
      </c>
      <c r="N439" s="81" t="s">
        <v>403</v>
      </c>
      <c r="O439" s="25">
        <f t="shared" si="12"/>
        <v>-4.459809853068275E-2</v>
      </c>
    </row>
    <row r="440" spans="1:15">
      <c r="A440" s="81">
        <v>551.43808005376945</v>
      </c>
      <c r="B440" s="81">
        <v>551.9164215707583</v>
      </c>
      <c r="C440" s="81">
        <v>547.33231536628136</v>
      </c>
      <c r="D440" s="81">
        <v>547.80069143499964</v>
      </c>
      <c r="E440" s="81">
        <v>4195910.5967516582</v>
      </c>
      <c r="F440" s="81" t="s">
        <v>404</v>
      </c>
      <c r="G440" s="25">
        <f t="shared" si="11"/>
        <v>6.6399854466072661E-3</v>
      </c>
      <c r="I440" s="81">
        <v>113.3</v>
      </c>
      <c r="J440" s="81">
        <v>114.655</v>
      </c>
      <c r="K440" s="81">
        <v>112.51</v>
      </c>
      <c r="L440" s="81">
        <v>113.8</v>
      </c>
      <c r="M440" s="81">
        <v>13521149</v>
      </c>
      <c r="N440" s="81" t="s">
        <v>404</v>
      </c>
      <c r="O440" s="25">
        <f t="shared" si="12"/>
        <v>-4.3936731107205862E-3</v>
      </c>
    </row>
    <row r="441" spans="1:15">
      <c r="A441" s="81">
        <v>547.80069143499964</v>
      </c>
      <c r="B441" s="81">
        <v>550.05278308967297</v>
      </c>
      <c r="C441" s="81">
        <v>541.10391019715496</v>
      </c>
      <c r="D441" s="81">
        <v>543.106965299546</v>
      </c>
      <c r="E441" s="81">
        <v>7851164.1298472667</v>
      </c>
      <c r="F441" s="81" t="s">
        <v>405</v>
      </c>
      <c r="G441" s="25">
        <f t="shared" si="11"/>
        <v>8.6423604102827678E-3</v>
      </c>
      <c r="I441" s="81">
        <v>114</v>
      </c>
      <c r="J441" s="81">
        <v>114.6</v>
      </c>
      <c r="K441" s="81">
        <v>110.86</v>
      </c>
      <c r="L441" s="81">
        <v>111.35</v>
      </c>
      <c r="M441" s="81">
        <v>8870666</v>
      </c>
      <c r="N441" s="81" t="s">
        <v>405</v>
      </c>
      <c r="O441" s="25">
        <f t="shared" si="12"/>
        <v>2.3798832510103285E-2</v>
      </c>
    </row>
    <row r="442" spans="1:15">
      <c r="A442" s="81">
        <v>551.41814915722819</v>
      </c>
      <c r="B442" s="81">
        <v>558.9520280498034</v>
      </c>
      <c r="C442" s="81">
        <v>550.80029136445091</v>
      </c>
      <c r="D442" s="81">
        <v>556.68987129237678</v>
      </c>
      <c r="E442" s="81">
        <v>6264968.5498018861</v>
      </c>
      <c r="F442" s="81" t="s">
        <v>406</v>
      </c>
      <c r="G442" s="25">
        <f t="shared" si="11"/>
        <v>-9.4697647774875104E-3</v>
      </c>
      <c r="I442" s="81">
        <v>113.06</v>
      </c>
      <c r="J442" s="81">
        <v>114.01</v>
      </c>
      <c r="K442" s="81">
        <v>112.76</v>
      </c>
      <c r="L442" s="81">
        <v>113.3</v>
      </c>
      <c r="M442" s="81">
        <v>7797690</v>
      </c>
      <c r="N442" s="81" t="s">
        <v>406</v>
      </c>
      <c r="O442" s="25">
        <f t="shared" si="12"/>
        <v>-2.1182700794351028E-3</v>
      </c>
    </row>
    <row r="443" spans="1:15">
      <c r="A443" s="81">
        <v>554.37788729359704</v>
      </c>
      <c r="B443" s="81">
        <v>555.85277363764612</v>
      </c>
      <c r="C443" s="81">
        <v>550.47143157152095</v>
      </c>
      <c r="D443" s="81">
        <v>553.45110060443108</v>
      </c>
      <c r="E443" s="81">
        <v>4311434.7526891446</v>
      </c>
      <c r="F443" s="81" t="s">
        <v>407</v>
      </c>
      <c r="G443" s="25">
        <f t="shared" ref="G443:G506" si="13">A443/D443-1</f>
        <v>1.6745593028071326E-3</v>
      </c>
      <c r="I443" s="81">
        <v>113.43</v>
      </c>
      <c r="J443" s="81">
        <v>115.18</v>
      </c>
      <c r="K443" s="81">
        <v>113.12</v>
      </c>
      <c r="L443" s="81">
        <v>114.08499999999999</v>
      </c>
      <c r="M443" s="81">
        <v>6236187</v>
      </c>
      <c r="N443" s="81" t="s">
        <v>407</v>
      </c>
      <c r="O443" s="25">
        <f t="shared" ref="O443:O506" si="14">I443/L443-1</f>
        <v>-5.7413332164613085E-3</v>
      </c>
    </row>
    <row r="444" spans="1:15">
      <c r="A444" s="81">
        <v>551.49787274339303</v>
      </c>
      <c r="B444" s="81">
        <v>553.58065143194881</v>
      </c>
      <c r="C444" s="81">
        <v>549.06640301984885</v>
      </c>
      <c r="D444" s="81">
        <v>553.25179163901896</v>
      </c>
      <c r="E444" s="81">
        <v>4188944.5277786455</v>
      </c>
      <c r="F444" s="81" t="s">
        <v>408</v>
      </c>
      <c r="G444" s="25">
        <f t="shared" si="13"/>
        <v>-3.1702001188824713E-3</v>
      </c>
      <c r="I444" s="81">
        <v>113.19</v>
      </c>
      <c r="J444" s="81">
        <v>114.3844</v>
      </c>
      <c r="K444" s="81">
        <v>112.76</v>
      </c>
      <c r="L444" s="81">
        <v>113.495</v>
      </c>
      <c r="M444" s="81">
        <v>7607068</v>
      </c>
      <c r="N444" s="81" t="s">
        <v>408</v>
      </c>
      <c r="O444" s="25">
        <f t="shared" si="14"/>
        <v>-2.6873430547601496E-3</v>
      </c>
    </row>
    <row r="445" spans="1:15">
      <c r="A445" s="81">
        <v>553.92944212141992</v>
      </c>
      <c r="B445" s="81">
        <v>554.72667798306804</v>
      </c>
      <c r="C445" s="81">
        <v>547.32234991801079</v>
      </c>
      <c r="D445" s="81">
        <v>550.39170798535611</v>
      </c>
      <c r="E445" s="81">
        <v>4179113.5600850987</v>
      </c>
      <c r="F445" s="81" t="s">
        <v>409</v>
      </c>
      <c r="G445" s="25">
        <f t="shared" si="13"/>
        <v>6.4276661234836663E-3</v>
      </c>
      <c r="I445" s="81">
        <v>112.14</v>
      </c>
      <c r="J445" s="81">
        <v>112.96</v>
      </c>
      <c r="K445" s="81">
        <v>111.56</v>
      </c>
      <c r="L445" s="81">
        <v>112.845</v>
      </c>
      <c r="M445" s="81">
        <v>6516763</v>
      </c>
      <c r="N445" s="81" t="s">
        <v>409</v>
      </c>
      <c r="O445" s="25">
        <f t="shared" si="14"/>
        <v>-6.2475076432274568E-3</v>
      </c>
    </row>
    <row r="446" spans="1:15">
      <c r="A446" s="81">
        <v>549.32540502040172</v>
      </c>
      <c r="B446" s="81">
        <v>549.48485219273141</v>
      </c>
      <c r="C446" s="81">
        <v>544.94060778133689</v>
      </c>
      <c r="D446" s="81">
        <v>545.04026226404278</v>
      </c>
      <c r="E446" s="81">
        <v>7643795.6358382031</v>
      </c>
      <c r="F446" s="81" t="s">
        <v>410</v>
      </c>
      <c r="G446" s="25">
        <f t="shared" si="13"/>
        <v>7.8620664436033216E-3</v>
      </c>
      <c r="I446" s="81">
        <v>113.34</v>
      </c>
      <c r="J446" s="81">
        <v>114.08</v>
      </c>
      <c r="K446" s="81">
        <v>111.46</v>
      </c>
      <c r="L446" s="81">
        <v>111.68</v>
      </c>
      <c r="M446" s="81">
        <v>10176938</v>
      </c>
      <c r="N446" s="81" t="s">
        <v>410</v>
      </c>
      <c r="O446" s="25">
        <f t="shared" si="14"/>
        <v>1.4863896848137603E-2</v>
      </c>
    </row>
    <row r="447" spans="1:15">
      <c r="A447" s="81">
        <v>557.0785237749302</v>
      </c>
      <c r="B447" s="81">
        <v>559.71936756663979</v>
      </c>
      <c r="C447" s="81">
        <v>556.09194439614055</v>
      </c>
      <c r="D447" s="81">
        <v>558.82247722228556</v>
      </c>
      <c r="E447" s="81">
        <v>3624664.8438843829</v>
      </c>
      <c r="F447" s="81" t="s">
        <v>411</v>
      </c>
      <c r="G447" s="25">
        <f t="shared" si="13"/>
        <v>-3.1207646765104569E-3</v>
      </c>
      <c r="I447" s="81">
        <v>112.16</v>
      </c>
      <c r="J447" s="81">
        <v>113.39</v>
      </c>
      <c r="K447" s="81">
        <v>110.63</v>
      </c>
      <c r="L447" s="81">
        <v>111.155</v>
      </c>
      <c r="M447" s="81">
        <v>8304478</v>
      </c>
      <c r="N447" s="81" t="s">
        <v>411</v>
      </c>
      <c r="O447" s="25">
        <f t="shared" si="14"/>
        <v>9.0414286356887974E-3</v>
      </c>
    </row>
    <row r="448" spans="1:15">
      <c r="A448" s="81">
        <v>558.76268453266198</v>
      </c>
      <c r="B448" s="81">
        <v>558.76268453266198</v>
      </c>
      <c r="C448" s="81">
        <v>554.87615970712704</v>
      </c>
      <c r="D448" s="81">
        <v>555.11533046562158</v>
      </c>
      <c r="E448" s="81">
        <v>6239436.3315723669</v>
      </c>
      <c r="F448" s="81" t="s">
        <v>412</v>
      </c>
      <c r="G448" s="25">
        <f t="shared" si="13"/>
        <v>6.5704437742353239E-3</v>
      </c>
      <c r="I448" s="81">
        <v>111.04</v>
      </c>
      <c r="J448" s="81">
        <v>111.07</v>
      </c>
      <c r="K448" s="81">
        <v>108.49</v>
      </c>
      <c r="L448" s="81">
        <v>108.5</v>
      </c>
      <c r="M448" s="81">
        <v>7608265</v>
      </c>
      <c r="N448" s="81" t="s">
        <v>412</v>
      </c>
      <c r="O448" s="25">
        <f t="shared" si="14"/>
        <v>2.3410138248848078E-2</v>
      </c>
    </row>
    <row r="449" spans="1:15">
      <c r="A449" s="81">
        <v>555.68336101704597</v>
      </c>
      <c r="B449" s="81">
        <v>556.99870053428265</v>
      </c>
      <c r="C449" s="81">
        <v>554.80640156923289</v>
      </c>
      <c r="D449" s="81">
        <v>555.2648121896807</v>
      </c>
      <c r="E449" s="81">
        <v>4796609.1140134707</v>
      </c>
      <c r="F449" s="81" t="s">
        <v>413</v>
      </c>
      <c r="G449" s="25">
        <f t="shared" si="13"/>
        <v>7.5378237226075839E-4</v>
      </c>
      <c r="I449" s="81">
        <v>108.81</v>
      </c>
      <c r="J449" s="81">
        <v>109.55</v>
      </c>
      <c r="K449" s="81">
        <v>108.23</v>
      </c>
      <c r="L449" s="81">
        <v>109.55</v>
      </c>
      <c r="M449" s="81">
        <v>8781705</v>
      </c>
      <c r="N449" s="81" t="s">
        <v>413</v>
      </c>
      <c r="O449" s="25">
        <f t="shared" si="14"/>
        <v>-6.7549064354175403E-3</v>
      </c>
    </row>
    <row r="450" spans="1:15">
      <c r="A450" s="81">
        <v>552.54424481180627</v>
      </c>
      <c r="B450" s="81">
        <v>552.54424481180627</v>
      </c>
      <c r="C450" s="81">
        <v>548.59792729664775</v>
      </c>
      <c r="D450" s="81">
        <v>550.41163888189737</v>
      </c>
      <c r="E450" s="81">
        <v>5320059.7264047191</v>
      </c>
      <c r="F450" s="81" t="s">
        <v>414</v>
      </c>
      <c r="G450" s="25">
        <f t="shared" si="13"/>
        <v>3.8745654692933229E-3</v>
      </c>
      <c r="I450" s="81">
        <v>108.7</v>
      </c>
      <c r="J450" s="81">
        <v>109.45</v>
      </c>
      <c r="K450" s="81">
        <v>106.8</v>
      </c>
      <c r="L450" s="81">
        <v>107.1</v>
      </c>
      <c r="M450" s="81">
        <v>8643694</v>
      </c>
      <c r="N450" s="81" t="s">
        <v>414</v>
      </c>
      <c r="O450" s="25">
        <f t="shared" si="14"/>
        <v>1.4939309056956285E-2</v>
      </c>
    </row>
    <row r="451" spans="1:15">
      <c r="A451" s="81">
        <v>547.56152067650521</v>
      </c>
      <c r="B451" s="81">
        <v>549.21578508942514</v>
      </c>
      <c r="C451" s="81">
        <v>545.7876708843379</v>
      </c>
      <c r="D451" s="81">
        <v>547.02338646989256</v>
      </c>
      <c r="E451" s="81">
        <v>6581390.843548785</v>
      </c>
      <c r="F451" s="81" t="s">
        <v>415</v>
      </c>
      <c r="G451" s="25">
        <f t="shared" si="13"/>
        <v>9.83749908912257E-4</v>
      </c>
      <c r="I451" s="81">
        <v>107.02</v>
      </c>
      <c r="J451" s="81">
        <v>107.74</v>
      </c>
      <c r="K451" s="81">
        <v>106.54</v>
      </c>
      <c r="L451" s="81">
        <v>106.83</v>
      </c>
      <c r="M451" s="81">
        <v>7144263</v>
      </c>
      <c r="N451" s="81" t="s">
        <v>415</v>
      </c>
      <c r="O451" s="25">
        <f t="shared" si="14"/>
        <v>1.7785266310961223E-3</v>
      </c>
    </row>
    <row r="452" spans="1:15">
      <c r="A452" s="81">
        <v>542.35955667925089</v>
      </c>
      <c r="B452" s="81">
        <v>544.62171343667751</v>
      </c>
      <c r="C452" s="81">
        <v>541.51249357624965</v>
      </c>
      <c r="D452" s="81">
        <v>544.46226626434793</v>
      </c>
      <c r="E452" s="81">
        <v>3645347.3053656211</v>
      </c>
      <c r="F452" s="81" t="s">
        <v>416</v>
      </c>
      <c r="G452" s="25">
        <f t="shared" si="13"/>
        <v>-3.8619932277843549E-3</v>
      </c>
      <c r="I452" s="81">
        <v>106.46</v>
      </c>
      <c r="J452" s="81">
        <v>108.6</v>
      </c>
      <c r="K452" s="81">
        <v>106.16</v>
      </c>
      <c r="L452" s="81">
        <v>108.29</v>
      </c>
      <c r="M452" s="81">
        <v>7872767</v>
      </c>
      <c r="N452" s="81" t="s">
        <v>416</v>
      </c>
      <c r="O452" s="25">
        <f t="shared" si="14"/>
        <v>-1.6899067319235517E-2</v>
      </c>
    </row>
    <row r="453" spans="1:15">
      <c r="A453" s="81">
        <v>543.16675798916958</v>
      </c>
      <c r="B453" s="81">
        <v>544.24302640239466</v>
      </c>
      <c r="C453" s="81">
        <v>539.88812550814146</v>
      </c>
      <c r="D453" s="81">
        <v>540.96439392136654</v>
      </c>
      <c r="E453" s="81">
        <v>5325719.2811451089</v>
      </c>
      <c r="F453" s="81" t="s">
        <v>417</v>
      </c>
      <c r="G453" s="25">
        <f t="shared" si="13"/>
        <v>4.0711811951956722E-3</v>
      </c>
      <c r="I453" s="81">
        <v>108.18</v>
      </c>
      <c r="J453" s="81">
        <v>109.6</v>
      </c>
      <c r="K453" s="81">
        <v>107.99</v>
      </c>
      <c r="L453" s="81">
        <v>109.17</v>
      </c>
      <c r="M453" s="81">
        <v>6296861</v>
      </c>
      <c r="N453" s="81" t="s">
        <v>417</v>
      </c>
      <c r="O453" s="25">
        <f t="shared" si="14"/>
        <v>-9.0684253915910285E-3</v>
      </c>
    </row>
    <row r="454" spans="1:15">
      <c r="A454" s="81">
        <v>533.41058413225016</v>
      </c>
      <c r="B454" s="81">
        <v>536.04784036258229</v>
      </c>
      <c r="C454" s="81">
        <v>529.97738754854493</v>
      </c>
      <c r="D454" s="81">
        <v>535.46346647599421</v>
      </c>
      <c r="E454" s="81">
        <v>8850583.2959053349</v>
      </c>
      <c r="F454" s="81" t="s">
        <v>418</v>
      </c>
      <c r="G454" s="25">
        <f t="shared" si="13"/>
        <v>-3.8338420308196008E-3</v>
      </c>
      <c r="I454" s="81">
        <v>108.12</v>
      </c>
      <c r="J454" s="81">
        <v>108.96</v>
      </c>
      <c r="K454" s="81">
        <v>107.61</v>
      </c>
      <c r="L454" s="81">
        <v>108.68</v>
      </c>
      <c r="M454" s="81">
        <v>5501600</v>
      </c>
      <c r="N454" s="81" t="s">
        <v>418</v>
      </c>
      <c r="O454" s="25">
        <f t="shared" si="14"/>
        <v>-5.1527419948472764E-3</v>
      </c>
    </row>
    <row r="455" spans="1:15">
      <c r="A455" s="81">
        <v>532.7329336498492</v>
      </c>
      <c r="B455" s="81">
        <v>533.06179344277905</v>
      </c>
      <c r="C455" s="81">
        <v>527.19214441139434</v>
      </c>
      <c r="D455" s="81">
        <v>527.5708314456773</v>
      </c>
      <c r="E455" s="81">
        <v>5640499.9026304344</v>
      </c>
      <c r="F455" s="81" t="s">
        <v>419</v>
      </c>
      <c r="G455" s="25">
        <f t="shared" si="13"/>
        <v>9.7846618813750563E-3</v>
      </c>
      <c r="I455" s="81">
        <v>108.08</v>
      </c>
      <c r="J455" s="81">
        <v>108.61</v>
      </c>
      <c r="K455" s="81">
        <v>106.72</v>
      </c>
      <c r="L455" s="81">
        <v>107.93</v>
      </c>
      <c r="M455" s="81">
        <v>6690232</v>
      </c>
      <c r="N455" s="81" t="s">
        <v>419</v>
      </c>
      <c r="O455" s="25">
        <f t="shared" si="14"/>
        <v>1.3897896784953456E-3</v>
      </c>
    </row>
    <row r="456" spans="1:15">
      <c r="A456" s="81">
        <v>532.04531771917766</v>
      </c>
      <c r="B456" s="81">
        <v>536.88852557869029</v>
      </c>
      <c r="C456" s="81">
        <v>530.16184799603388</v>
      </c>
      <c r="D456" s="81">
        <v>536.84866378560787</v>
      </c>
      <c r="E456" s="81">
        <v>7962714.5558606498</v>
      </c>
      <c r="F456" s="81" t="s">
        <v>420</v>
      </c>
      <c r="G456" s="25">
        <f t="shared" si="13"/>
        <v>-8.9473000315568596E-3</v>
      </c>
      <c r="I456" s="81">
        <v>108.65</v>
      </c>
      <c r="J456" s="81">
        <v>110.54</v>
      </c>
      <c r="K456" s="81">
        <v>107.62</v>
      </c>
      <c r="L456" s="81">
        <v>110</v>
      </c>
      <c r="M456" s="81">
        <v>8835518</v>
      </c>
      <c r="N456" s="81" t="s">
        <v>420</v>
      </c>
      <c r="O456" s="25">
        <f t="shared" si="14"/>
        <v>-1.2272727272727213E-2</v>
      </c>
    </row>
    <row r="457" spans="1:15">
      <c r="A457" s="81">
        <v>540.26681254242442</v>
      </c>
      <c r="B457" s="81">
        <v>541.12384109369623</v>
      </c>
      <c r="C457" s="81">
        <v>536.22084054456002</v>
      </c>
      <c r="D457" s="81">
        <v>539.44964578423503</v>
      </c>
      <c r="E457" s="81">
        <v>4331966.6940975003</v>
      </c>
      <c r="F457" s="81" t="s">
        <v>421</v>
      </c>
      <c r="G457" s="25">
        <f t="shared" si="13"/>
        <v>1.5148156358530951E-3</v>
      </c>
      <c r="I457" s="81">
        <v>109.76</v>
      </c>
      <c r="J457" s="81">
        <v>111.11</v>
      </c>
      <c r="K457" s="81">
        <v>108.64</v>
      </c>
      <c r="L457" s="81">
        <v>111</v>
      </c>
      <c r="M457" s="81">
        <v>7805312</v>
      </c>
      <c r="N457" s="81" t="s">
        <v>421</v>
      </c>
      <c r="O457" s="25">
        <f t="shared" si="14"/>
        <v>-1.1171171171171168E-2</v>
      </c>
    </row>
    <row r="458" spans="1:15">
      <c r="A458" s="81">
        <v>539.53933481867045</v>
      </c>
      <c r="B458" s="81">
        <v>547.70103695229363</v>
      </c>
      <c r="C458" s="81">
        <v>537.69572688860899</v>
      </c>
      <c r="D458" s="81">
        <v>547.42200440071679</v>
      </c>
      <c r="E458" s="81">
        <v>5401899.496965358</v>
      </c>
      <c r="F458" s="81" t="s">
        <v>422</v>
      </c>
      <c r="G458" s="25">
        <f t="shared" si="13"/>
        <v>-1.439962135003281E-2</v>
      </c>
      <c r="I458" s="81">
        <v>111.39</v>
      </c>
      <c r="J458" s="81">
        <v>113.74</v>
      </c>
      <c r="K458" s="81">
        <v>111.29</v>
      </c>
      <c r="L458" s="81">
        <v>112.15</v>
      </c>
      <c r="M458" s="81">
        <v>7878807</v>
      </c>
      <c r="N458" s="81" t="s">
        <v>422</v>
      </c>
      <c r="O458" s="25">
        <f t="shared" si="14"/>
        <v>-6.7766384306732208E-3</v>
      </c>
    </row>
    <row r="459" spans="1:15">
      <c r="A459" s="81">
        <v>545.67805095336143</v>
      </c>
      <c r="B459" s="81">
        <v>549.52471398581372</v>
      </c>
      <c r="C459" s="81">
        <v>543.93409750600608</v>
      </c>
      <c r="D459" s="81">
        <v>546.38559778057413</v>
      </c>
      <c r="E459" s="81">
        <v>6004180.4819267448</v>
      </c>
      <c r="F459" s="81" t="s">
        <v>423</v>
      </c>
      <c r="G459" s="25">
        <f t="shared" si="13"/>
        <v>-1.2949587801851514E-3</v>
      </c>
      <c r="I459" s="81">
        <v>111.05</v>
      </c>
      <c r="J459" s="81">
        <v>112.8537</v>
      </c>
      <c r="K459" s="81">
        <v>110.87</v>
      </c>
      <c r="L459" s="81">
        <v>111.47</v>
      </c>
      <c r="M459" s="81">
        <v>6274419</v>
      </c>
      <c r="N459" s="81" t="s">
        <v>423</v>
      </c>
      <c r="O459" s="25">
        <f t="shared" si="14"/>
        <v>-3.7678299093927281E-3</v>
      </c>
    </row>
    <row r="460" spans="1:15">
      <c r="A460" s="81">
        <v>542.51900385158046</v>
      </c>
      <c r="B460" s="81">
        <v>542.99734536856943</v>
      </c>
      <c r="C460" s="81">
        <v>537.33697075086741</v>
      </c>
      <c r="D460" s="81">
        <v>538.32355012965706</v>
      </c>
      <c r="E460" s="81">
        <v>6441920.9509499632</v>
      </c>
      <c r="F460" s="81" t="s">
        <v>424</v>
      </c>
      <c r="G460" s="25">
        <f t="shared" si="13"/>
        <v>7.7935541198466129E-3</v>
      </c>
      <c r="I460" s="81">
        <v>111.16</v>
      </c>
      <c r="J460" s="81">
        <v>111.535</v>
      </c>
      <c r="K460" s="81">
        <v>110.18</v>
      </c>
      <c r="L460" s="81">
        <v>111.37</v>
      </c>
      <c r="M460" s="81">
        <v>5394318</v>
      </c>
      <c r="N460" s="81" t="s">
        <v>424</v>
      </c>
      <c r="O460" s="25">
        <f t="shared" si="14"/>
        <v>-1.8856065367693908E-3</v>
      </c>
    </row>
    <row r="461" spans="1:15">
      <c r="A461" s="81">
        <v>535.60298275178263</v>
      </c>
      <c r="B461" s="81">
        <v>541.66187564582594</v>
      </c>
      <c r="C461" s="81">
        <v>531.95064596060683</v>
      </c>
      <c r="D461" s="81">
        <v>540.14722716317715</v>
      </c>
      <c r="E461" s="81">
        <v>7167462.8235950079</v>
      </c>
      <c r="F461" s="81" t="s">
        <v>425</v>
      </c>
      <c r="G461" s="25">
        <f t="shared" si="13"/>
        <v>-8.4129736910075748E-3</v>
      </c>
      <c r="I461" s="81">
        <v>110.82</v>
      </c>
      <c r="J461" s="81">
        <v>112.2</v>
      </c>
      <c r="K461" s="81">
        <v>110.17</v>
      </c>
      <c r="L461" s="81">
        <v>111.7</v>
      </c>
      <c r="M461" s="81">
        <v>5688086</v>
      </c>
      <c r="N461" s="81" t="s">
        <v>425</v>
      </c>
      <c r="O461" s="25">
        <f t="shared" si="14"/>
        <v>-7.8782452999105468E-3</v>
      </c>
    </row>
    <row r="462" spans="1:15">
      <c r="A462" s="81">
        <v>536.94831826831387</v>
      </c>
      <c r="B462" s="81">
        <v>541.1887161619378</v>
      </c>
      <c r="C462" s="81">
        <v>535.54328971664165</v>
      </c>
      <c r="D462" s="81">
        <v>540.57574143881311</v>
      </c>
      <c r="E462" s="81">
        <v>6061694.2017752314</v>
      </c>
      <c r="F462" s="81" t="s">
        <v>426</v>
      </c>
      <c r="G462" s="25">
        <f t="shared" si="13"/>
        <v>-6.7102958798046508E-3</v>
      </c>
      <c r="I462" s="81">
        <v>111.35</v>
      </c>
      <c r="J462" s="81">
        <v>111.59</v>
      </c>
      <c r="K462" s="81">
        <v>110.67</v>
      </c>
      <c r="L462" s="81">
        <v>110.78</v>
      </c>
      <c r="M462" s="81">
        <v>4757538</v>
      </c>
      <c r="N462" s="81" t="s">
        <v>426</v>
      </c>
      <c r="O462" s="25">
        <f t="shared" si="14"/>
        <v>5.1453330926158891E-3</v>
      </c>
    </row>
    <row r="463" spans="1:15">
      <c r="A463" s="81">
        <v>539.12078599130518</v>
      </c>
      <c r="B463" s="81">
        <v>542.21007495519189</v>
      </c>
      <c r="C463" s="81">
        <v>535.54319006215894</v>
      </c>
      <c r="D463" s="81">
        <v>538.69227171566922</v>
      </c>
      <c r="E463" s="81">
        <v>6527643.1359238243</v>
      </c>
      <c r="F463" s="81" t="s">
        <v>427</v>
      </c>
      <c r="G463" s="25">
        <f t="shared" si="13"/>
        <v>7.9547136303115273E-4</v>
      </c>
      <c r="I463" s="81">
        <v>110.8</v>
      </c>
      <c r="J463" s="81">
        <v>111.54</v>
      </c>
      <c r="K463" s="81">
        <v>109.83</v>
      </c>
      <c r="L463" s="81">
        <v>110.425</v>
      </c>
      <c r="M463" s="81">
        <v>5716337</v>
      </c>
      <c r="N463" s="81" t="s">
        <v>427</v>
      </c>
      <c r="O463" s="25">
        <f t="shared" si="14"/>
        <v>3.3959701154628874E-3</v>
      </c>
    </row>
    <row r="464" spans="1:15">
      <c r="A464" s="81">
        <v>545.1897439881019</v>
      </c>
      <c r="B464" s="81">
        <v>547.72096784883479</v>
      </c>
      <c r="C464" s="81">
        <v>541.32324971359094</v>
      </c>
      <c r="D464" s="81">
        <v>547.47183164206979</v>
      </c>
      <c r="E464" s="81">
        <v>7101672.5066722762</v>
      </c>
      <c r="F464" s="81" t="s">
        <v>428</v>
      </c>
      <c r="G464" s="25">
        <f t="shared" si="13"/>
        <v>-4.1684110890656267E-3</v>
      </c>
      <c r="I464" s="81">
        <v>111.55</v>
      </c>
      <c r="J464" s="81">
        <v>112.12</v>
      </c>
      <c r="K464" s="81">
        <v>110.86</v>
      </c>
      <c r="L464" s="81">
        <v>111.82</v>
      </c>
      <c r="M464" s="81">
        <v>4523820</v>
      </c>
      <c r="N464" s="81" t="s">
        <v>428</v>
      </c>
      <c r="O464" s="25">
        <f t="shared" si="14"/>
        <v>-2.4145948846360232E-3</v>
      </c>
    </row>
    <row r="465" spans="1:15">
      <c r="A465" s="81">
        <v>550.8999458471568</v>
      </c>
      <c r="B465" s="81">
        <v>552.05593784654673</v>
      </c>
      <c r="C465" s="81">
        <v>548.02003095143561</v>
      </c>
      <c r="D465" s="81">
        <v>549.29550867558999</v>
      </c>
      <c r="E465" s="81">
        <v>4511857.2470682478</v>
      </c>
      <c r="F465" s="81" t="s">
        <v>429</v>
      </c>
      <c r="G465" s="25">
        <f t="shared" si="13"/>
        <v>2.9208998548619913E-3</v>
      </c>
      <c r="I465" s="81">
        <v>112.55</v>
      </c>
      <c r="J465" s="81">
        <v>113.32</v>
      </c>
      <c r="K465" s="81">
        <v>111.86</v>
      </c>
      <c r="L465" s="81">
        <v>112.12</v>
      </c>
      <c r="M465" s="81">
        <v>4782814</v>
      </c>
      <c r="N465" s="81" t="s">
        <v>429</v>
      </c>
      <c r="O465" s="25">
        <f t="shared" si="14"/>
        <v>3.8351765965036755E-3</v>
      </c>
    </row>
    <row r="466" spans="1:15">
      <c r="A466" s="81">
        <v>550.90991129542749</v>
      </c>
      <c r="B466" s="81">
        <v>550.98963488159222</v>
      </c>
      <c r="C466" s="81">
        <v>545.64815460854948</v>
      </c>
      <c r="D466" s="81">
        <v>546.16635791862086</v>
      </c>
      <c r="E466" s="81">
        <v>3451174.4044126086</v>
      </c>
      <c r="F466" s="81" t="s">
        <v>430</v>
      </c>
      <c r="G466" s="25">
        <f t="shared" si="13"/>
        <v>8.6851804546947964E-3</v>
      </c>
      <c r="I466" s="81">
        <v>112.56</v>
      </c>
      <c r="J466" s="81">
        <v>112.74</v>
      </c>
      <c r="K466" s="81">
        <v>111.19240000000001</v>
      </c>
      <c r="L466" s="81">
        <v>111.25</v>
      </c>
      <c r="M466" s="81">
        <v>2474994</v>
      </c>
      <c r="N466" s="81" t="s">
        <v>430</v>
      </c>
      <c r="O466" s="25">
        <f t="shared" si="14"/>
        <v>1.1775280898876472E-2</v>
      </c>
    </row>
    <row r="467" spans="1:15">
      <c r="A467" s="81">
        <v>545.29936391907859</v>
      </c>
      <c r="B467" s="81">
        <v>545.46877653967874</v>
      </c>
      <c r="C467" s="81">
        <v>538.45310095717491</v>
      </c>
      <c r="D467" s="81">
        <v>541.43276999008481</v>
      </c>
      <c r="E467" s="81">
        <v>7087844.7293101177</v>
      </c>
      <c r="F467" s="81" t="s">
        <v>431</v>
      </c>
      <c r="G467" s="25">
        <f t="shared" si="13"/>
        <v>7.1414109808398685E-3</v>
      </c>
      <c r="I467" s="81">
        <v>111.4</v>
      </c>
      <c r="J467" s="81">
        <v>111.85</v>
      </c>
      <c r="K467" s="81">
        <v>110.31</v>
      </c>
      <c r="L467" s="81">
        <v>111.61</v>
      </c>
      <c r="M467" s="81">
        <v>6037212</v>
      </c>
      <c r="N467" s="81" t="s">
        <v>431</v>
      </c>
      <c r="O467" s="25">
        <f t="shared" si="14"/>
        <v>-1.8815518322730096E-3</v>
      </c>
    </row>
    <row r="468" spans="1:15">
      <c r="A468" s="81">
        <v>541.42429935905466</v>
      </c>
      <c r="B468" s="81">
        <v>545.89444714108117</v>
      </c>
      <c r="C468" s="81">
        <v>532.29526422198273</v>
      </c>
      <c r="D468" s="81">
        <v>533.05022251405831</v>
      </c>
      <c r="E468" s="81">
        <v>9452116.6995613053</v>
      </c>
      <c r="F468" s="81" t="s">
        <v>432</v>
      </c>
      <c r="G468" s="25">
        <f t="shared" si="13"/>
        <v>1.5709733325879105E-2</v>
      </c>
      <c r="I468" s="81">
        <v>112.03</v>
      </c>
      <c r="J468" s="81">
        <v>112.97</v>
      </c>
      <c r="K468" s="81">
        <v>110.43</v>
      </c>
      <c r="L468" s="81">
        <v>110.61</v>
      </c>
      <c r="M468" s="81">
        <v>17955325</v>
      </c>
      <c r="N468" s="81" t="s">
        <v>432</v>
      </c>
      <c r="O468" s="25">
        <f t="shared" si="14"/>
        <v>1.2837898924147995E-2</v>
      </c>
    </row>
    <row r="469" spans="1:15">
      <c r="A469" s="81">
        <v>535.36476569897434</v>
      </c>
      <c r="B469" s="81">
        <v>541.48390132948168</v>
      </c>
      <c r="C469" s="81">
        <v>535.07668950857703</v>
      </c>
      <c r="D469" s="81">
        <v>540.08325502444677</v>
      </c>
      <c r="E469" s="81">
        <v>16904264.956033021</v>
      </c>
      <c r="F469" s="81" t="s">
        <v>433</v>
      </c>
      <c r="G469" s="25">
        <f t="shared" si="13"/>
        <v>-8.7365962221117588E-3</v>
      </c>
      <c r="I469" s="81">
        <v>111.37</v>
      </c>
      <c r="J469" s="81">
        <v>112.91</v>
      </c>
      <c r="K469" s="81">
        <v>111.25</v>
      </c>
      <c r="L469" s="81">
        <v>111.66</v>
      </c>
      <c r="M469" s="81">
        <v>9468516</v>
      </c>
      <c r="N469" s="81" t="s">
        <v>433</v>
      </c>
      <c r="O469" s="25">
        <f t="shared" si="14"/>
        <v>-2.5971699802972426E-3</v>
      </c>
    </row>
    <row r="470" spans="1:15">
      <c r="A470" s="81">
        <v>535.56343893373094</v>
      </c>
      <c r="B470" s="81">
        <v>553.83144286961283</v>
      </c>
      <c r="C470" s="81">
        <v>534.95748556772298</v>
      </c>
      <c r="D470" s="81">
        <v>551.61623630207521</v>
      </c>
      <c r="E470" s="81">
        <v>24749111.303395186</v>
      </c>
      <c r="F470" s="81" t="s">
        <v>434</v>
      </c>
      <c r="G470" s="25">
        <f t="shared" si="13"/>
        <v>-2.9101386637853555E-2</v>
      </c>
      <c r="I470" s="81">
        <v>111.35</v>
      </c>
      <c r="J470" s="81">
        <v>116.11839999999999</v>
      </c>
      <c r="K470" s="81">
        <v>111.24</v>
      </c>
      <c r="L470" s="81">
        <v>113.34</v>
      </c>
      <c r="M470" s="81">
        <v>12292778</v>
      </c>
      <c r="N470" s="81" t="s">
        <v>434</v>
      </c>
      <c r="O470" s="25">
        <f t="shared" si="14"/>
        <v>-1.7557790718193078E-2</v>
      </c>
    </row>
    <row r="471" spans="1:15">
      <c r="A471" s="81">
        <v>551.76524122814283</v>
      </c>
      <c r="B471" s="81">
        <v>552.69403860063051</v>
      </c>
      <c r="C471" s="81">
        <v>550.61293646655361</v>
      </c>
      <c r="D471" s="81">
        <v>551.78510855161846</v>
      </c>
      <c r="E471" s="81">
        <v>6151689.2373373276</v>
      </c>
      <c r="F471" s="81" t="s">
        <v>435</v>
      </c>
      <c r="G471" s="25">
        <f t="shared" si="13"/>
        <v>-3.6005544853834337E-5</v>
      </c>
      <c r="I471" s="81">
        <v>113.02</v>
      </c>
      <c r="J471" s="81">
        <v>114.04</v>
      </c>
      <c r="K471" s="81">
        <v>110.8</v>
      </c>
      <c r="L471" s="81">
        <v>111.02500000000001</v>
      </c>
      <c r="M471" s="81">
        <v>12238619</v>
      </c>
      <c r="N471" s="81" t="s">
        <v>435</v>
      </c>
      <c r="O471" s="25">
        <f t="shared" si="14"/>
        <v>1.7968925917586143E-2</v>
      </c>
    </row>
    <row r="472" spans="1:15">
      <c r="A472" s="81">
        <v>554.08971807479656</v>
      </c>
      <c r="B472" s="81">
        <v>555.09132918782268</v>
      </c>
      <c r="C472" s="81">
        <v>552.72383958584396</v>
      </c>
      <c r="D472" s="81">
        <v>553.43409640009929</v>
      </c>
      <c r="E472" s="81">
        <v>22999352.708959177</v>
      </c>
      <c r="F472" s="81" t="s">
        <v>436</v>
      </c>
      <c r="G472" s="25">
        <f t="shared" si="13"/>
        <v>1.1846427225243872E-3</v>
      </c>
      <c r="I472" s="81">
        <v>112.11</v>
      </c>
      <c r="J472" s="81">
        <v>113.06699999999999</v>
      </c>
      <c r="K472" s="81">
        <v>111.73</v>
      </c>
      <c r="L472" s="81">
        <v>113</v>
      </c>
      <c r="M472" s="81">
        <v>10528533</v>
      </c>
      <c r="N472" s="81" t="s">
        <v>436</v>
      </c>
      <c r="O472" s="25">
        <f t="shared" si="14"/>
        <v>-7.8761061946902577E-3</v>
      </c>
    </row>
    <row r="473" spans="1:15">
      <c r="A473" s="81">
        <v>551.92417981594815</v>
      </c>
      <c r="B473" s="81">
        <v>554.45726355909653</v>
      </c>
      <c r="C473" s="81">
        <v>550.5279043220778</v>
      </c>
      <c r="D473" s="81">
        <v>553.81157554613708</v>
      </c>
      <c r="E473" s="81">
        <v>4698028.9073304981</v>
      </c>
      <c r="F473" s="81" t="s">
        <v>437</v>
      </c>
      <c r="G473" s="25">
        <f t="shared" si="13"/>
        <v>-3.4080106186434866E-3</v>
      </c>
      <c r="I473" s="81">
        <v>112.84000000000002</v>
      </c>
      <c r="J473" s="81">
        <v>114.45285336156698</v>
      </c>
      <c r="K473" s="81">
        <v>112.80017646020823</v>
      </c>
      <c r="L473" s="81">
        <v>113.81766790188814</v>
      </c>
      <c r="M473" s="81">
        <v>6894891.8512938665</v>
      </c>
      <c r="N473" s="81" t="s">
        <v>437</v>
      </c>
      <c r="O473" s="25">
        <f t="shared" si="14"/>
        <v>-8.5897727471527796E-3</v>
      </c>
    </row>
    <row r="474" spans="1:15">
      <c r="A474" s="81">
        <v>551.96391446289942</v>
      </c>
      <c r="B474" s="81">
        <v>554.49699820604792</v>
      </c>
      <c r="C474" s="81">
        <v>551.93411347768597</v>
      </c>
      <c r="D474" s="81">
        <v>553.97051413394252</v>
      </c>
      <c r="E474" s="81">
        <v>4075639.0813863762</v>
      </c>
      <c r="F474" s="81" t="s">
        <v>438</v>
      </c>
      <c r="G474" s="25">
        <f t="shared" si="13"/>
        <v>-3.6222138540715765E-3</v>
      </c>
      <c r="I474" s="81">
        <v>114.39311805187933</v>
      </c>
      <c r="J474" s="81">
        <v>114.50263278630671</v>
      </c>
      <c r="K474" s="81">
        <v>113.65638256573145</v>
      </c>
      <c r="L474" s="81">
        <v>114.19400035292044</v>
      </c>
      <c r="M474" s="81">
        <v>5308534.6281460468</v>
      </c>
      <c r="N474" s="81" t="s">
        <v>438</v>
      </c>
      <c r="O474" s="25">
        <f t="shared" si="14"/>
        <v>1.7436791630340842E-3</v>
      </c>
    </row>
    <row r="475" spans="1:15">
      <c r="A475" s="81">
        <v>554.8248090433965</v>
      </c>
      <c r="B475" s="81">
        <v>555.67910395285048</v>
      </c>
      <c r="C475" s="81">
        <v>552.96721429842103</v>
      </c>
      <c r="D475" s="81">
        <v>553.22548950360476</v>
      </c>
      <c r="E475" s="81">
        <v>3537886.7257114095</v>
      </c>
      <c r="F475" s="81" t="s">
        <v>439</v>
      </c>
      <c r="G475" s="25">
        <f t="shared" si="13"/>
        <v>2.8908999497234689E-3</v>
      </c>
      <c r="I475" s="81">
        <v>114.10439738838893</v>
      </c>
      <c r="J475" s="81">
        <v>114.54245632609847</v>
      </c>
      <c r="K475" s="81">
        <v>113.47717663666846</v>
      </c>
      <c r="L475" s="81">
        <v>114.1292871007588</v>
      </c>
      <c r="M475" s="81">
        <v>6455308.6276143203</v>
      </c>
      <c r="N475" s="81" t="s">
        <v>439</v>
      </c>
      <c r="O475" s="25">
        <f t="shared" si="14"/>
        <v>-2.1808348235707875E-4</v>
      </c>
    </row>
    <row r="476" spans="1:15">
      <c r="A476" s="81">
        <v>550.65267111350511</v>
      </c>
      <c r="B476" s="81">
        <v>553.18575485665338</v>
      </c>
      <c r="C476" s="81">
        <v>549.89771282142954</v>
      </c>
      <c r="D476" s="81">
        <v>552.88774500451837</v>
      </c>
      <c r="E476" s="81">
        <v>4137560.8597027324</v>
      </c>
      <c r="F476" s="81" t="s">
        <v>440</v>
      </c>
      <c r="G476" s="25">
        <f t="shared" si="13"/>
        <v>-4.0425455460131321E-3</v>
      </c>
      <c r="I476" s="81">
        <v>114.22386800776427</v>
      </c>
      <c r="J476" s="81">
        <v>114.44289747661904</v>
      </c>
      <c r="K476" s="81">
        <v>113.21832362802189</v>
      </c>
      <c r="L476" s="81">
        <v>114.14422092818072</v>
      </c>
      <c r="M476" s="81">
        <v>7559777.9999999991</v>
      </c>
      <c r="N476" s="81" t="s">
        <v>440</v>
      </c>
      <c r="O476" s="25">
        <f t="shared" si="14"/>
        <v>6.9777583951147193E-4</v>
      </c>
    </row>
    <row r="477" spans="1:15">
      <c r="A477" s="81">
        <v>552.22218966808327</v>
      </c>
      <c r="B477" s="81">
        <v>555.15758671161404</v>
      </c>
      <c r="C477" s="81">
        <v>551.69570559597787</v>
      </c>
      <c r="D477" s="81">
        <v>555.00361495467757</v>
      </c>
      <c r="E477" s="81">
        <v>4441741.7428196585</v>
      </c>
      <c r="F477" s="81" t="s">
        <v>441</v>
      </c>
      <c r="G477" s="25">
        <f t="shared" si="13"/>
        <v>-5.0115444506094731E-3</v>
      </c>
      <c r="I477" s="81">
        <v>114.10439738838893</v>
      </c>
      <c r="J477" s="81">
        <v>116.66305982001062</v>
      </c>
      <c r="K477" s="81">
        <v>113.40748544203284</v>
      </c>
      <c r="L477" s="81">
        <v>115.87156696664904</v>
      </c>
      <c r="M477" s="81">
        <v>8704521.0398794748</v>
      </c>
      <c r="N477" s="81" t="s">
        <v>441</v>
      </c>
      <c r="O477" s="25">
        <f t="shared" si="14"/>
        <v>-1.5251106242213375E-2</v>
      </c>
    </row>
    <row r="478" spans="1:15">
      <c r="A478" s="81">
        <v>555.1128852337938</v>
      </c>
      <c r="B478" s="81">
        <v>556.24532267190716</v>
      </c>
      <c r="C478" s="81">
        <v>554.37779426519387</v>
      </c>
      <c r="D478" s="81">
        <v>554.76520707296947</v>
      </c>
      <c r="E478" s="81">
        <v>5169171.3846481517</v>
      </c>
      <c r="F478" s="81" t="s">
        <v>442</v>
      </c>
      <c r="G478" s="25">
        <f t="shared" si="13"/>
        <v>6.2671226744503983E-4</v>
      </c>
      <c r="I478" s="81">
        <v>116.21504499735312</v>
      </c>
      <c r="J478" s="81">
        <v>116.74270689959417</v>
      </c>
      <c r="K478" s="81">
        <v>115.70729486500795</v>
      </c>
      <c r="L478" s="81">
        <v>116.03583906829012</v>
      </c>
      <c r="M478" s="81">
        <v>6707496.1542006368</v>
      </c>
      <c r="N478" s="81" t="s">
        <v>442</v>
      </c>
      <c r="O478" s="25">
        <f t="shared" si="14"/>
        <v>1.5444015444014969E-3</v>
      </c>
    </row>
    <row r="479" spans="1:15">
      <c r="A479" s="81">
        <v>554.0102487808939</v>
      </c>
      <c r="B479" s="81">
        <v>555.69897127632612</v>
      </c>
      <c r="C479" s="81">
        <v>553.76190723744799</v>
      </c>
      <c r="D479" s="81">
        <v>554.9241456607748</v>
      </c>
      <c r="E479" s="81">
        <v>3041739.3703784416</v>
      </c>
      <c r="F479" s="81" t="s">
        <v>443</v>
      </c>
      <c r="G479" s="25">
        <f t="shared" si="13"/>
        <v>-1.6468861321445871E-3</v>
      </c>
      <c r="I479" s="81">
        <v>115.9860596435504</v>
      </c>
      <c r="J479" s="81">
        <v>116.7526627845421</v>
      </c>
      <c r="K479" s="81">
        <v>115.54800070584085</v>
      </c>
      <c r="L479" s="81">
        <v>116.03583906829012</v>
      </c>
      <c r="M479" s="81">
        <v>9867084.6954980493</v>
      </c>
      <c r="N479" s="81" t="s">
        <v>443</v>
      </c>
      <c r="O479" s="25">
        <f t="shared" si="14"/>
        <v>-4.2900042900029245E-4</v>
      </c>
    </row>
    <row r="480" spans="1:15">
      <c r="A480" s="81">
        <v>554.93407932251262</v>
      </c>
      <c r="B480" s="81">
        <v>555.17248720422072</v>
      </c>
      <c r="C480" s="81">
        <v>552.48145823944083</v>
      </c>
      <c r="D480" s="81">
        <v>553.13608654796428</v>
      </c>
      <c r="E480" s="81">
        <v>5526986.0650556246</v>
      </c>
      <c r="F480" s="81" t="s">
        <v>444</v>
      </c>
      <c r="G480" s="25">
        <f t="shared" si="13"/>
        <v>3.2505432537757173E-3</v>
      </c>
      <c r="I480" s="81">
        <v>116.47389800599966</v>
      </c>
      <c r="J480" s="81">
        <v>116.77257455443799</v>
      </c>
      <c r="K480" s="81">
        <v>115.32897123698608</v>
      </c>
      <c r="L480" s="81">
        <v>115.45839774130935</v>
      </c>
      <c r="M480" s="81">
        <v>8031675.77951081</v>
      </c>
      <c r="N480" s="81" t="s">
        <v>444</v>
      </c>
      <c r="O480" s="25">
        <f t="shared" si="14"/>
        <v>8.7953781150296173E-3</v>
      </c>
    </row>
    <row r="481" spans="1:15">
      <c r="A481" s="81">
        <v>551.45729771426977</v>
      </c>
      <c r="B481" s="81">
        <v>551.74547324128446</v>
      </c>
      <c r="C481" s="81">
        <v>550.11625337966177</v>
      </c>
      <c r="D481" s="81">
        <v>551.11955321518337</v>
      </c>
      <c r="E481" s="81">
        <v>4230973.5432115309</v>
      </c>
      <c r="F481" s="81" t="s">
        <v>445</v>
      </c>
      <c r="G481" s="25">
        <f t="shared" si="13"/>
        <v>6.1283345349671947E-4</v>
      </c>
      <c r="I481" s="81">
        <v>115.93628021881068</v>
      </c>
      <c r="J481" s="81">
        <v>116.71283924475033</v>
      </c>
      <c r="K481" s="81">
        <v>114.94069172401626</v>
      </c>
      <c r="L481" s="81">
        <v>116.48385389094761</v>
      </c>
      <c r="M481" s="81">
        <v>9234711.9799716398</v>
      </c>
      <c r="N481" s="81" t="s">
        <v>445</v>
      </c>
      <c r="O481" s="25">
        <f t="shared" si="14"/>
        <v>-4.7008547008546842E-3</v>
      </c>
    </row>
    <row r="482" spans="1:15">
      <c r="A482" s="81">
        <v>551.3281601116779</v>
      </c>
      <c r="B482" s="81">
        <v>551.88444516899688</v>
      </c>
      <c r="C482" s="81">
        <v>550.21558999704018</v>
      </c>
      <c r="D482" s="81">
        <v>550.68247209871856</v>
      </c>
      <c r="E482" s="81">
        <v>5477346.7665760098</v>
      </c>
      <c r="F482" s="81" t="s">
        <v>446</v>
      </c>
      <c r="G482" s="25">
        <f t="shared" si="13"/>
        <v>1.1725232700772192E-3</v>
      </c>
      <c r="I482" s="81">
        <v>116.64314805011472</v>
      </c>
      <c r="J482" s="81">
        <v>118.10666313746252</v>
      </c>
      <c r="K482" s="81">
        <v>116.03583906829012</v>
      </c>
      <c r="L482" s="81">
        <v>117.26041291688726</v>
      </c>
      <c r="M482" s="81">
        <v>8427643.5935838334</v>
      </c>
      <c r="N482" s="81" t="s">
        <v>446</v>
      </c>
      <c r="O482" s="25">
        <f t="shared" si="14"/>
        <v>-5.2640516216675426E-3</v>
      </c>
    </row>
    <row r="483" spans="1:15">
      <c r="A483" s="81">
        <v>549.77850888057549</v>
      </c>
      <c r="B483" s="81">
        <v>551.02021659780507</v>
      </c>
      <c r="C483" s="81">
        <v>547.41429738697036</v>
      </c>
      <c r="D483" s="81">
        <v>547.6328379452026</v>
      </c>
      <c r="E483" s="81">
        <v>4015364.2284870273</v>
      </c>
      <c r="F483" s="81" t="s">
        <v>447</v>
      </c>
      <c r="G483" s="25">
        <f t="shared" si="13"/>
        <v>3.9180830415936896E-3</v>
      </c>
      <c r="I483" s="81">
        <v>116.95178048350098</v>
      </c>
      <c r="J483" s="81">
        <v>117.22058937709548</v>
      </c>
      <c r="K483" s="81">
        <v>116.21504499735312</v>
      </c>
      <c r="L483" s="81">
        <v>116.73772895712018</v>
      </c>
      <c r="M483" s="81">
        <v>5117726.8787663942</v>
      </c>
      <c r="N483" s="81" t="s">
        <v>447</v>
      </c>
      <c r="O483" s="25">
        <f t="shared" si="14"/>
        <v>1.8336105070146935E-3</v>
      </c>
    </row>
    <row r="484" spans="1:15">
      <c r="A484" s="81">
        <v>546.89774697660266</v>
      </c>
      <c r="B484" s="81">
        <v>548.71560707462686</v>
      </c>
      <c r="C484" s="81">
        <v>545.46729968635429</v>
      </c>
      <c r="D484" s="81">
        <v>548.37786257554035</v>
      </c>
      <c r="E484" s="81">
        <v>3334338.4216355425</v>
      </c>
      <c r="F484" s="81" t="s">
        <v>448</v>
      </c>
      <c r="G484" s="25">
        <f t="shared" si="13"/>
        <v>-2.6990797768278174E-3</v>
      </c>
      <c r="I484" s="81">
        <v>117.08120698782426</v>
      </c>
      <c r="J484" s="81">
        <v>117.67836096700195</v>
      </c>
      <c r="K484" s="81">
        <v>114.93571378154228</v>
      </c>
      <c r="L484" s="81">
        <v>114.93571378154228</v>
      </c>
      <c r="M484" s="81">
        <v>8178467.3512938665</v>
      </c>
      <c r="N484" s="81" t="s">
        <v>448</v>
      </c>
      <c r="O484" s="25">
        <f t="shared" si="14"/>
        <v>1.8666897656892889E-2</v>
      </c>
    </row>
    <row r="485" spans="1:15">
      <c r="A485" s="81">
        <v>548.64607144246202</v>
      </c>
      <c r="B485" s="81">
        <v>549.15258885447429</v>
      </c>
      <c r="C485" s="81">
        <v>546.20239065495423</v>
      </c>
      <c r="D485" s="81">
        <v>546.84807866791357</v>
      </c>
      <c r="E485" s="81">
        <v>4468215.3642233675</v>
      </c>
      <c r="F485" s="81" t="s">
        <v>449</v>
      </c>
      <c r="G485" s="25">
        <f t="shared" si="13"/>
        <v>3.2879200726612101E-3</v>
      </c>
      <c r="I485" s="81">
        <v>114.94069172401626</v>
      </c>
      <c r="J485" s="81">
        <v>115.90641256396684</v>
      </c>
      <c r="K485" s="81">
        <v>114.9307358390683</v>
      </c>
      <c r="L485" s="81">
        <v>115.48826539615318</v>
      </c>
      <c r="M485" s="81">
        <v>6838316.2678128313</v>
      </c>
      <c r="N485" s="81" t="s">
        <v>449</v>
      </c>
      <c r="O485" s="25">
        <f t="shared" si="14"/>
        <v>-4.7413793103446844E-3</v>
      </c>
    </row>
    <row r="486" spans="1:15">
      <c r="A486" s="81">
        <v>545.58650362720834</v>
      </c>
      <c r="B486" s="81">
        <v>548.71560707462686</v>
      </c>
      <c r="C486" s="81">
        <v>543.56987095781005</v>
      </c>
      <c r="D486" s="81">
        <v>547.54343498956223</v>
      </c>
      <c r="E486" s="81">
        <v>4333750.3466647081</v>
      </c>
      <c r="F486" s="81" t="s">
        <v>450</v>
      </c>
      <c r="G486" s="25">
        <f t="shared" si="13"/>
        <v>-3.5740203193034281E-3</v>
      </c>
      <c r="I486" s="81">
        <v>115.48826539615318</v>
      </c>
      <c r="J486" s="81">
        <v>116.065507605435</v>
      </c>
      <c r="K486" s="81">
        <v>114.42497688371274</v>
      </c>
      <c r="L486" s="81">
        <v>115.16967707781897</v>
      </c>
      <c r="M486" s="81">
        <v>10443881.236440977</v>
      </c>
      <c r="N486" s="81" t="s">
        <v>450</v>
      </c>
      <c r="O486" s="25">
        <f t="shared" si="14"/>
        <v>2.7662517289073207E-3</v>
      </c>
    </row>
    <row r="487" spans="1:15">
      <c r="A487" s="81">
        <v>543.8381791613491</v>
      </c>
      <c r="B487" s="81">
        <v>544.41393419567407</v>
      </c>
      <c r="C487" s="81">
        <v>541.75211019640335</v>
      </c>
      <c r="D487" s="81">
        <v>542.19912497460598</v>
      </c>
      <c r="E487" s="81">
        <v>5611815.81084718</v>
      </c>
      <c r="F487" s="81" t="s">
        <v>451</v>
      </c>
      <c r="G487" s="25">
        <f t="shared" si="13"/>
        <v>3.0229746070133956E-3</v>
      </c>
      <c r="I487" s="81">
        <v>115.13980942297515</v>
      </c>
      <c r="J487" s="81">
        <v>115.82676548438329</v>
      </c>
      <c r="K487" s="81">
        <v>113.09885300864656</v>
      </c>
      <c r="L487" s="81">
        <v>113.34775013234517</v>
      </c>
      <c r="M487" s="81">
        <v>10142782.939737679</v>
      </c>
      <c r="N487" s="81" t="s">
        <v>451</v>
      </c>
      <c r="O487" s="25">
        <f t="shared" si="14"/>
        <v>1.5810276679842028E-2</v>
      </c>
    </row>
    <row r="488" spans="1:15">
      <c r="A488" s="81">
        <v>542.02031906332491</v>
      </c>
      <c r="B488" s="81">
        <v>543.44083269183557</v>
      </c>
      <c r="C488" s="81">
        <v>536.45746849013631</v>
      </c>
      <c r="D488" s="81">
        <v>541.96071709289788</v>
      </c>
      <c r="E488" s="81">
        <v>4560875.0524926046</v>
      </c>
      <c r="F488" s="81" t="s">
        <v>452</v>
      </c>
      <c r="G488" s="25">
        <f t="shared" si="13"/>
        <v>1.0997470581775026E-4</v>
      </c>
      <c r="I488" s="81">
        <v>114.21391212281632</v>
      </c>
      <c r="J488" s="81">
        <v>115.73716251985179</v>
      </c>
      <c r="K488" s="81">
        <v>113.33211939297691</v>
      </c>
      <c r="L488" s="81">
        <v>113.64642668078351</v>
      </c>
      <c r="M488" s="81">
        <v>10306449.957639134</v>
      </c>
      <c r="N488" s="81" t="s">
        <v>452</v>
      </c>
      <c r="O488" s="25">
        <f t="shared" si="14"/>
        <v>4.9934296977660608E-3</v>
      </c>
    </row>
    <row r="489" spans="1:15">
      <c r="A489" s="81">
        <v>539.29849574715763</v>
      </c>
      <c r="B489" s="81">
        <v>539.46736799670089</v>
      </c>
      <c r="C489" s="81">
        <v>533.87471643829883</v>
      </c>
      <c r="D489" s="81">
        <v>539.17929180630358</v>
      </c>
      <c r="E489" s="81">
        <v>3975432.327193358</v>
      </c>
      <c r="F489" s="81" t="s">
        <v>453</v>
      </c>
      <c r="G489" s="25">
        <f t="shared" si="13"/>
        <v>2.2108404878595778E-4</v>
      </c>
      <c r="I489" s="81">
        <v>113.7559414152109</v>
      </c>
      <c r="J489" s="81">
        <v>113.86545614963828</v>
      </c>
      <c r="K489" s="81">
        <v>110.97824951473444</v>
      </c>
      <c r="L489" s="81">
        <v>111.76476442562205</v>
      </c>
      <c r="M489" s="81">
        <v>9360564.1775965951</v>
      </c>
      <c r="N489" s="81" t="s">
        <v>453</v>
      </c>
      <c r="O489" s="25">
        <f t="shared" si="14"/>
        <v>1.7815784785319755E-2</v>
      </c>
    </row>
    <row r="490" spans="1:15">
      <c r="A490" s="81">
        <v>539.09982251240092</v>
      </c>
      <c r="B490" s="81">
        <v>539.76537784883601</v>
      </c>
      <c r="C490" s="81">
        <v>533.3382987044555</v>
      </c>
      <c r="D490" s="81">
        <v>533.93431840872574</v>
      </c>
      <c r="E490" s="81">
        <v>7024975.4664181583</v>
      </c>
      <c r="F490" s="81" t="s">
        <v>454</v>
      </c>
      <c r="G490" s="25">
        <f t="shared" si="13"/>
        <v>9.674418604651347E-3</v>
      </c>
      <c r="I490" s="81">
        <v>111.92405858478915</v>
      </c>
      <c r="J490" s="81">
        <v>112.0037056643727</v>
      </c>
      <c r="K490" s="81">
        <v>110.33111699311806</v>
      </c>
      <c r="L490" s="81">
        <v>111.5556908417152</v>
      </c>
      <c r="M490" s="81">
        <v>12220694.658099962</v>
      </c>
      <c r="N490" s="81" t="s">
        <v>454</v>
      </c>
      <c r="O490" s="25">
        <f t="shared" si="14"/>
        <v>3.3020972780009039E-3</v>
      </c>
    </row>
    <row r="491" spans="1:15">
      <c r="A491" s="81">
        <v>537.14289115004703</v>
      </c>
      <c r="B491" s="81">
        <v>538.33493055858742</v>
      </c>
      <c r="C491" s="81">
        <v>534.57503959081623</v>
      </c>
      <c r="D491" s="81">
        <v>535.34489837549859</v>
      </c>
      <c r="E491" s="81">
        <v>4534325.9302293137</v>
      </c>
      <c r="F491" s="81" t="s">
        <v>455</v>
      </c>
      <c r="G491" s="25">
        <f t="shared" si="13"/>
        <v>3.3585689898314453E-3</v>
      </c>
      <c r="I491" s="81">
        <v>113.0391176989589</v>
      </c>
      <c r="J491" s="81">
        <v>114.92575789659433</v>
      </c>
      <c r="K491" s="81">
        <v>112.39198517734253</v>
      </c>
      <c r="L491" s="81">
        <v>112.83004411505208</v>
      </c>
      <c r="M491" s="81">
        <v>14299637.927153489</v>
      </c>
      <c r="N491" s="81" t="s">
        <v>455</v>
      </c>
      <c r="O491" s="25">
        <f t="shared" si="14"/>
        <v>1.8529956763433386E-3</v>
      </c>
    </row>
    <row r="492" spans="1:15">
      <c r="A492" s="81">
        <v>534.92768458250941</v>
      </c>
      <c r="B492" s="81">
        <v>538.97068490980905</v>
      </c>
      <c r="C492" s="81">
        <v>533.18929377838799</v>
      </c>
      <c r="D492" s="81">
        <v>538.53360379334424</v>
      </c>
      <c r="E492" s="81">
        <v>7409265.7815855956</v>
      </c>
      <c r="F492" s="81" t="s">
        <v>456</v>
      </c>
      <c r="G492" s="25">
        <f t="shared" si="13"/>
        <v>-6.6958109678492139E-3</v>
      </c>
      <c r="I492" s="81">
        <v>114.57232398094231</v>
      </c>
      <c r="J492" s="81">
        <v>114.68183871536969</v>
      </c>
      <c r="K492" s="81">
        <v>109.76363155108525</v>
      </c>
      <c r="L492" s="81">
        <v>109.76363155108525</v>
      </c>
      <c r="M492" s="81">
        <v>32190038.522509743</v>
      </c>
      <c r="N492" s="81" t="s">
        <v>456</v>
      </c>
      <c r="O492" s="25">
        <f t="shared" si="14"/>
        <v>4.3809523809523743E-2</v>
      </c>
    </row>
    <row r="493" spans="1:15">
      <c r="A493" s="81">
        <v>541.92098244594649</v>
      </c>
      <c r="B493" s="81">
        <v>545.92424812629474</v>
      </c>
      <c r="C493" s="81">
        <v>541.26536077124933</v>
      </c>
      <c r="D493" s="81">
        <v>545.45736602461648</v>
      </c>
      <c r="E493" s="81">
        <v>3966595.7065879218</v>
      </c>
      <c r="F493" s="81" t="s">
        <v>457</v>
      </c>
      <c r="G493" s="25">
        <f t="shared" si="13"/>
        <v>-6.4833363686033207E-3</v>
      </c>
      <c r="I493" s="81">
        <v>108.63861655196756</v>
      </c>
      <c r="J493" s="81">
        <v>114.30351508734782</v>
      </c>
      <c r="K493" s="81">
        <v>107.92179283571556</v>
      </c>
      <c r="L493" s="81">
        <v>109.84327863066881</v>
      </c>
      <c r="M493" s="81">
        <v>47646243.651896484</v>
      </c>
      <c r="N493" s="81" t="s">
        <v>457</v>
      </c>
      <c r="O493" s="25">
        <f t="shared" si="14"/>
        <v>-1.0967098703888234E-2</v>
      </c>
    </row>
    <row r="494" spans="1:15">
      <c r="A494" s="81">
        <v>545.38783039245152</v>
      </c>
      <c r="B494" s="81">
        <v>547.22555781395135</v>
      </c>
      <c r="C494" s="81">
        <v>543.34149607445727</v>
      </c>
      <c r="D494" s="81">
        <v>545.51696799504339</v>
      </c>
      <c r="E494" s="81">
        <v>3726289.5573551976</v>
      </c>
      <c r="F494" s="81" t="s">
        <v>458</v>
      </c>
      <c r="G494" s="25">
        <f t="shared" si="13"/>
        <v>-2.3672518027528788E-4</v>
      </c>
      <c r="I494" s="81">
        <v>102.26685018528323</v>
      </c>
      <c r="J494" s="81">
        <v>102.74473266278456</v>
      </c>
      <c r="K494" s="81">
        <v>99.907305452620449</v>
      </c>
      <c r="L494" s="81">
        <v>100.34038644785602</v>
      </c>
      <c r="M494" s="81">
        <v>17779712.293335695</v>
      </c>
      <c r="N494" s="81" t="s">
        <v>458</v>
      </c>
      <c r="O494" s="25">
        <f t="shared" si="14"/>
        <v>1.9199285607977457E-2</v>
      </c>
    </row>
    <row r="495" spans="1:15">
      <c r="A495" s="81">
        <v>545.10968786379215</v>
      </c>
      <c r="B495" s="81">
        <v>547.28515978437838</v>
      </c>
      <c r="C495" s="81">
        <v>542.80507834061393</v>
      </c>
      <c r="D495" s="81">
        <v>546.73880838879734</v>
      </c>
      <c r="E495" s="81">
        <v>4850792.3132173652</v>
      </c>
      <c r="F495" s="81" t="s">
        <v>459</v>
      </c>
      <c r="G495" s="25">
        <f t="shared" si="13"/>
        <v>-2.9797052998782325E-3</v>
      </c>
      <c r="I495" s="81">
        <v>100.54448208928888</v>
      </c>
      <c r="J495" s="81">
        <v>100.84315863772721</v>
      </c>
      <c r="K495" s="81">
        <v>99.061055232045192</v>
      </c>
      <c r="L495" s="81">
        <v>100.10642315157934</v>
      </c>
      <c r="M495" s="81">
        <v>9407718.1978021972</v>
      </c>
      <c r="N495" s="81" t="s">
        <v>459</v>
      </c>
      <c r="O495" s="25">
        <f t="shared" si="14"/>
        <v>4.3759323719541054E-3</v>
      </c>
    </row>
    <row r="496" spans="1:15">
      <c r="A496" s="81">
        <v>546.74874205053516</v>
      </c>
      <c r="B496" s="81">
        <v>548.06991906166752</v>
      </c>
      <c r="C496" s="81">
        <v>545.20902448117056</v>
      </c>
      <c r="D496" s="81">
        <v>547.77190920953228</v>
      </c>
      <c r="E496" s="81">
        <v>4925805.9405851793</v>
      </c>
      <c r="F496" s="81" t="s">
        <v>460</v>
      </c>
      <c r="G496" s="25">
        <f t="shared" si="13"/>
        <v>-1.8678708086247164E-3</v>
      </c>
      <c r="I496" s="81">
        <v>100.4150555849656</v>
      </c>
      <c r="J496" s="81">
        <v>100.45487912475738</v>
      </c>
      <c r="K496" s="81">
        <v>98.563260984647982</v>
      </c>
      <c r="L496" s="81">
        <v>98.563260984647982</v>
      </c>
      <c r="M496" s="81">
        <v>9178344.3137185387</v>
      </c>
      <c r="N496" s="81" t="s">
        <v>460</v>
      </c>
      <c r="O496" s="25">
        <f t="shared" si="14"/>
        <v>1.8787878787878576E-2</v>
      </c>
    </row>
    <row r="497" spans="1:15">
      <c r="A497" s="81">
        <v>546.30172727233264</v>
      </c>
      <c r="B497" s="81">
        <v>547.5831696365135</v>
      </c>
      <c r="C497" s="81">
        <v>544.4242652038813</v>
      </c>
      <c r="D497" s="81">
        <v>544.43419886561924</v>
      </c>
      <c r="E497" s="81">
        <v>6843373.7522054855</v>
      </c>
      <c r="F497" s="81" t="s">
        <v>461</v>
      </c>
      <c r="G497" s="25">
        <f t="shared" si="13"/>
        <v>3.4302187676757967E-3</v>
      </c>
      <c r="I497" s="81">
        <v>98.583172754543867</v>
      </c>
      <c r="J497" s="81">
        <v>98.822113993294536</v>
      </c>
      <c r="K497" s="81">
        <v>97.179392976883733</v>
      </c>
      <c r="L497" s="81">
        <v>98.294452091053486</v>
      </c>
      <c r="M497" s="81">
        <v>8017482.1643034369</v>
      </c>
      <c r="N497" s="81" t="s">
        <v>461</v>
      </c>
      <c r="O497" s="25">
        <f t="shared" si="14"/>
        <v>2.9373037577231642E-3</v>
      </c>
    </row>
    <row r="498" spans="1:15">
      <c r="A498" s="81">
        <v>543.89778113177601</v>
      </c>
      <c r="B498" s="81">
        <v>544.83651216600163</v>
      </c>
      <c r="C498" s="81">
        <v>541.53356963817089</v>
      </c>
      <c r="D498" s="81">
        <v>541.60310527033573</v>
      </c>
      <c r="E498" s="81">
        <v>6091687.1942106001</v>
      </c>
      <c r="F498" s="81" t="s">
        <v>462</v>
      </c>
      <c r="G498" s="25">
        <f t="shared" si="13"/>
        <v>4.23682183338836E-3</v>
      </c>
      <c r="I498" s="81">
        <v>98.493569790012373</v>
      </c>
      <c r="J498" s="81">
        <v>99.080967001941076</v>
      </c>
      <c r="K498" s="81">
        <v>97.697098994176827</v>
      </c>
      <c r="L498" s="81">
        <v>98.344231515793211</v>
      </c>
      <c r="M498" s="81">
        <v>7839722.9787309449</v>
      </c>
      <c r="N498" s="81" t="s">
        <v>462</v>
      </c>
      <c r="O498" s="25">
        <f t="shared" si="14"/>
        <v>1.5185260174124249E-3</v>
      </c>
    </row>
    <row r="499" spans="1:15">
      <c r="A499" s="81">
        <v>539.69584221667105</v>
      </c>
      <c r="B499" s="81">
        <v>540.5302698026494</v>
      </c>
      <c r="C499" s="81">
        <v>534.59987374516083</v>
      </c>
      <c r="D499" s="81">
        <v>538.05678802992804</v>
      </c>
      <c r="E499" s="81">
        <v>7533311.6805219874</v>
      </c>
      <c r="F499" s="81" t="s">
        <v>463</v>
      </c>
      <c r="G499" s="25">
        <f t="shared" si="13"/>
        <v>3.0462475768484598E-3</v>
      </c>
      <c r="I499" s="81">
        <v>98.45374625022059</v>
      </c>
      <c r="J499" s="81">
        <v>99.110834656784903</v>
      </c>
      <c r="K499" s="81">
        <v>97.776746073760378</v>
      </c>
      <c r="L499" s="81">
        <v>97.776746073760378</v>
      </c>
      <c r="M499" s="81">
        <v>11375268.054236084</v>
      </c>
      <c r="N499" s="81" t="s">
        <v>463</v>
      </c>
      <c r="O499" s="25">
        <f t="shared" si="14"/>
        <v>6.9239384991346409E-3</v>
      </c>
    </row>
    <row r="500" spans="1:15">
      <c r="A500" s="81">
        <v>526.58340872272663</v>
      </c>
      <c r="B500" s="81">
        <v>526.65294435489136</v>
      </c>
      <c r="C500" s="81">
        <v>521.00069082606228</v>
      </c>
      <c r="D500" s="81">
        <v>521.23909870777038</v>
      </c>
      <c r="E500" s="81">
        <v>3322318.6847901442</v>
      </c>
      <c r="F500" s="81" t="s">
        <v>464</v>
      </c>
      <c r="G500" s="25">
        <f t="shared" si="13"/>
        <v>1.0253087360878377E-2</v>
      </c>
      <c r="I500" s="81">
        <v>96.203716251985185</v>
      </c>
      <c r="J500" s="81">
        <v>96.243539791776968</v>
      </c>
      <c r="K500" s="81">
        <v>94.829804129168892</v>
      </c>
      <c r="L500" s="81">
        <v>95.178260102346925</v>
      </c>
      <c r="M500" s="81">
        <v>6590800.3500531716</v>
      </c>
      <c r="N500" s="81" t="s">
        <v>464</v>
      </c>
      <c r="O500" s="25">
        <f t="shared" si="14"/>
        <v>1.0774058577405876E-2</v>
      </c>
    </row>
    <row r="501" spans="1:15">
      <c r="A501" s="81">
        <v>520.32520182788937</v>
      </c>
      <c r="B501" s="81">
        <v>522.78874993887291</v>
      </c>
      <c r="C501" s="81">
        <v>518.56704303690969</v>
      </c>
      <c r="D501" s="81">
        <v>521.57684320685678</v>
      </c>
      <c r="E501" s="81">
        <v>3706046.2668841663</v>
      </c>
      <c r="F501" s="81" t="s">
        <v>465</v>
      </c>
      <c r="G501" s="25">
        <f t="shared" si="13"/>
        <v>-2.3997257456290777E-3</v>
      </c>
      <c r="I501" s="81">
        <v>95.367421916357884</v>
      </c>
      <c r="J501" s="81">
        <v>95.59521256396684</v>
      </c>
      <c r="K501" s="81">
        <v>94.610774660314121</v>
      </c>
      <c r="L501" s="81">
        <v>95.402267513675682</v>
      </c>
      <c r="M501" s="81">
        <v>6115012.4090747954</v>
      </c>
      <c r="N501" s="81" t="s">
        <v>465</v>
      </c>
      <c r="O501" s="25">
        <f t="shared" si="14"/>
        <v>-3.6524915210012221E-4</v>
      </c>
    </row>
    <row r="502" spans="1:15">
      <c r="A502" s="81">
        <v>521.45763926600284</v>
      </c>
      <c r="B502" s="81">
        <v>525.57017522546732</v>
      </c>
      <c r="C502" s="81">
        <v>521.0603921331068</v>
      </c>
      <c r="D502" s="81">
        <v>521.67617982423519</v>
      </c>
      <c r="E502" s="81">
        <v>6147724.938870227</v>
      </c>
      <c r="F502" s="81" t="s">
        <v>466</v>
      </c>
      <c r="G502" s="25">
        <f t="shared" si="13"/>
        <v>-4.1891994820619782E-4</v>
      </c>
      <c r="I502" s="81">
        <v>95.387333686253768</v>
      </c>
      <c r="J502" s="81">
        <v>95.964775013234529</v>
      </c>
      <c r="K502" s="81">
        <v>94.411656961355234</v>
      </c>
      <c r="L502" s="81">
        <v>95.277818951826376</v>
      </c>
      <c r="M502" s="81">
        <v>7980073.1341722785</v>
      </c>
      <c r="N502" s="81" t="s">
        <v>466</v>
      </c>
      <c r="O502" s="25">
        <f t="shared" si="14"/>
        <v>1.1494252873562871E-3</v>
      </c>
    </row>
    <row r="503" spans="1:15">
      <c r="A503" s="81">
        <v>519.20269805151383</v>
      </c>
      <c r="B503" s="81">
        <v>525.71918015153483</v>
      </c>
      <c r="C503" s="81">
        <v>519.04375946370851</v>
      </c>
      <c r="D503" s="81">
        <v>525.58010888720514</v>
      </c>
      <c r="E503" s="81">
        <v>8026017.2033361597</v>
      </c>
      <c r="F503" s="81" t="s">
        <v>467</v>
      </c>
      <c r="G503" s="25">
        <f t="shared" si="13"/>
        <v>-1.213404146742536E-2</v>
      </c>
      <c r="I503" s="81">
        <v>95.775613199223599</v>
      </c>
      <c r="J503" s="81">
        <v>96.203716251985185</v>
      </c>
      <c r="K503" s="81">
        <v>94.58090700547028</v>
      </c>
      <c r="L503" s="81">
        <v>94.849715899064776</v>
      </c>
      <c r="M503" s="81">
        <v>8183811.9289259119</v>
      </c>
      <c r="N503" s="81" t="s">
        <v>467</v>
      </c>
      <c r="O503" s="25">
        <f t="shared" si="14"/>
        <v>9.7617298205101566E-3</v>
      </c>
    </row>
    <row r="504" spans="1:15">
      <c r="A504" s="81">
        <v>529.62310921450455</v>
      </c>
      <c r="B504" s="81">
        <v>532.64294238280706</v>
      </c>
      <c r="C504" s="81">
        <v>529.05689049544799</v>
      </c>
      <c r="D504" s="81">
        <v>530.80521496130723</v>
      </c>
      <c r="E504" s="81">
        <v>3087496.9179974315</v>
      </c>
      <c r="F504" s="81" t="s">
        <v>468</v>
      </c>
      <c r="G504" s="25">
        <f t="shared" si="13"/>
        <v>-2.2270047721533182E-3</v>
      </c>
      <c r="I504" s="81">
        <v>94.660554085053832</v>
      </c>
      <c r="J504" s="81">
        <v>96.283363331568736</v>
      </c>
      <c r="K504" s="81">
        <v>94.521171695782613</v>
      </c>
      <c r="L504" s="81">
        <v>95.277818951826376</v>
      </c>
      <c r="M504" s="81">
        <v>7752400.7562920935</v>
      </c>
      <c r="N504" s="81" t="s">
        <v>468</v>
      </c>
      <c r="O504" s="25">
        <f t="shared" si="14"/>
        <v>-6.4785788923720222E-3</v>
      </c>
    </row>
    <row r="505" spans="1:15">
      <c r="A505" s="81">
        <v>531.22242875429629</v>
      </c>
      <c r="B505" s="81">
        <v>532.26546323676928</v>
      </c>
      <c r="C505" s="81">
        <v>528.22246290946964</v>
      </c>
      <c r="D505" s="81">
        <v>529.58337456755328</v>
      </c>
      <c r="E505" s="81">
        <v>3047829.7730513616</v>
      </c>
      <c r="F505" s="81" t="s">
        <v>469</v>
      </c>
      <c r="G505" s="25">
        <f t="shared" si="13"/>
        <v>3.0949879951980286E-3</v>
      </c>
      <c r="I505" s="81">
        <v>95.705922004587975</v>
      </c>
      <c r="J505" s="81">
        <v>96.193760367037257</v>
      </c>
      <c r="K505" s="81">
        <v>95.25292923945652</v>
      </c>
      <c r="L505" s="81">
        <v>95.835348508911267</v>
      </c>
      <c r="M505" s="81">
        <v>6864722.7601914201</v>
      </c>
      <c r="N505" s="81" t="s">
        <v>469</v>
      </c>
      <c r="O505" s="25">
        <f t="shared" si="14"/>
        <v>-1.3505090380221407E-3</v>
      </c>
    </row>
    <row r="506" spans="1:15">
      <c r="A506" s="81">
        <v>530.37806750658012</v>
      </c>
      <c r="B506" s="81">
        <v>532.01712169332336</v>
      </c>
      <c r="C506" s="81">
        <v>530.13052065607326</v>
      </c>
      <c r="D506" s="81">
        <v>531.97738704637186</v>
      </c>
      <c r="E506" s="81">
        <v>3430729.8657243685</v>
      </c>
      <c r="F506" s="81" t="s">
        <v>470</v>
      </c>
      <c r="G506" s="25">
        <f t="shared" si="13"/>
        <v>-3.0063675237614884E-3</v>
      </c>
      <c r="I506" s="81">
        <v>95.775613199223599</v>
      </c>
      <c r="J506" s="81">
        <v>96.258473619198895</v>
      </c>
      <c r="K506" s="81">
        <v>94.789980589377109</v>
      </c>
      <c r="L506" s="81">
        <v>94.799936474325051</v>
      </c>
      <c r="M506" s="81">
        <v>8182476.0356256636</v>
      </c>
      <c r="N506" s="81" t="s">
        <v>470</v>
      </c>
      <c r="O506" s="25">
        <f t="shared" si="14"/>
        <v>1.0291955471539715E-2</v>
      </c>
    </row>
    <row r="507" spans="1:15">
      <c r="A507" s="81">
        <v>528.72907965809929</v>
      </c>
      <c r="B507" s="81">
        <v>533.69600986363503</v>
      </c>
      <c r="C507" s="81">
        <v>527.88869187507828</v>
      </c>
      <c r="D507" s="81">
        <v>531.10322481344224</v>
      </c>
      <c r="E507" s="81">
        <v>4356087.5276414705</v>
      </c>
      <c r="F507" s="81" t="s">
        <v>471</v>
      </c>
      <c r="G507" s="25">
        <f t="shared" ref="G507:G570" si="15">A507/D507-1</f>
        <v>-4.4702141587954491E-3</v>
      </c>
      <c r="I507" s="81">
        <v>94.610774660314121</v>
      </c>
      <c r="J507" s="81">
        <v>96.426329839421228</v>
      </c>
      <c r="K507" s="81">
        <v>94.590862890418236</v>
      </c>
      <c r="L507" s="81">
        <v>95.387333686253768</v>
      </c>
      <c r="M507" s="81">
        <v>6667561.9844026929</v>
      </c>
      <c r="N507" s="81" t="s">
        <v>471</v>
      </c>
      <c r="O507" s="25">
        <f t="shared" ref="O507:O570" si="16">I507/L507-1</f>
        <v>-8.141112618724522E-3</v>
      </c>
    </row>
    <row r="508" spans="1:15">
      <c r="A508" s="81">
        <v>528.93768655459394</v>
      </c>
      <c r="B508" s="81">
        <v>529.6429765379803</v>
      </c>
      <c r="C508" s="81">
        <v>526.52380675229949</v>
      </c>
      <c r="D508" s="81">
        <v>529.63304287624237</v>
      </c>
      <c r="E508" s="81">
        <v>4507665.0666938424</v>
      </c>
      <c r="F508" s="81" t="s">
        <v>472</v>
      </c>
      <c r="G508" s="25">
        <f t="shared" si="15"/>
        <v>-1.3129020762605581E-3</v>
      </c>
      <c r="I508" s="81">
        <v>94.979142403388053</v>
      </c>
      <c r="J508" s="81">
        <v>96.372966296100245</v>
      </c>
      <c r="K508" s="81">
        <v>94.831297511911075</v>
      </c>
      <c r="L508" s="81">
        <v>96.173848597141358</v>
      </c>
      <c r="M508" s="81">
        <v>5037485.8952499107</v>
      </c>
      <c r="N508" s="81" t="s">
        <v>472</v>
      </c>
      <c r="O508" s="25">
        <f t="shared" si="16"/>
        <v>-1.2422360248447117E-2</v>
      </c>
    </row>
    <row r="509" spans="1:15">
      <c r="A509" s="81">
        <v>527.74564714605344</v>
      </c>
      <c r="B509" s="81">
        <v>531.1727604456072</v>
      </c>
      <c r="C509" s="81">
        <v>524.51720708125652</v>
      </c>
      <c r="D509" s="81">
        <v>530.73567932914227</v>
      </c>
      <c r="E509" s="81">
        <v>5262665.6090852972</v>
      </c>
      <c r="F509" s="81" t="s">
        <v>473</v>
      </c>
      <c r="G509" s="25">
        <f t="shared" si="15"/>
        <v>-5.6337500935838003E-3</v>
      </c>
      <c r="I509" s="81">
        <v>95.815436739015368</v>
      </c>
      <c r="J509" s="81">
        <v>96.709276089641804</v>
      </c>
      <c r="K509" s="81">
        <v>95.561561672842785</v>
      </c>
      <c r="L509" s="81">
        <v>96.502392800423522</v>
      </c>
      <c r="M509" s="81">
        <v>5412377.7325416515</v>
      </c>
      <c r="N509" s="81" t="s">
        <v>473</v>
      </c>
      <c r="O509" s="25">
        <f t="shared" si="16"/>
        <v>-7.118539151965364E-3</v>
      </c>
    </row>
    <row r="510" spans="1:15">
      <c r="A510" s="81">
        <v>532.60320773585568</v>
      </c>
      <c r="B510" s="81">
        <v>533.7157778504934</v>
      </c>
      <c r="C510" s="81">
        <v>529.93105272837761</v>
      </c>
      <c r="D510" s="81">
        <v>530.56680707959913</v>
      </c>
      <c r="E510" s="81">
        <v>3389077.5515103652</v>
      </c>
      <c r="F510" s="81" t="s">
        <v>474</v>
      </c>
      <c r="G510" s="25">
        <f t="shared" si="15"/>
        <v>3.8381606785118372E-3</v>
      </c>
      <c r="I510" s="81">
        <v>96.313230986412577</v>
      </c>
      <c r="J510" s="81">
        <v>96.8259590612317</v>
      </c>
      <c r="K510" s="81">
        <v>95.775613199223599</v>
      </c>
      <c r="L510" s="81">
        <v>95.775613199223599</v>
      </c>
      <c r="M510" s="81">
        <v>5367987.9065934056</v>
      </c>
      <c r="N510" s="81" t="s">
        <v>474</v>
      </c>
      <c r="O510" s="25">
        <f t="shared" si="16"/>
        <v>5.6133056133054193E-3</v>
      </c>
    </row>
    <row r="511" spans="1:15">
      <c r="A511" s="81">
        <v>532.97075322015553</v>
      </c>
      <c r="B511" s="81">
        <v>534.04358868784198</v>
      </c>
      <c r="C511" s="81">
        <v>530.16946061008571</v>
      </c>
      <c r="D511" s="81">
        <v>533.15949279317454</v>
      </c>
      <c r="E511" s="81">
        <v>3695949.2852627807</v>
      </c>
      <c r="F511" s="81" t="s">
        <v>475</v>
      </c>
      <c r="G511" s="25">
        <f t="shared" si="15"/>
        <v>-3.5400208674929434E-4</v>
      </c>
      <c r="I511" s="81">
        <v>96.193760367037257</v>
      </c>
      <c r="J511" s="81">
        <v>97.020098817716629</v>
      </c>
      <c r="K511" s="81">
        <v>95.526716075524988</v>
      </c>
      <c r="L511" s="81">
        <v>96.771201694018018</v>
      </c>
      <c r="M511" s="81">
        <v>8226239.0965969497</v>
      </c>
      <c r="N511" s="81" t="s">
        <v>475</v>
      </c>
      <c r="O511" s="25">
        <f t="shared" si="16"/>
        <v>-5.9670781893003122E-3</v>
      </c>
    </row>
    <row r="512" spans="1:15">
      <c r="A512" s="81">
        <v>533.79524714439606</v>
      </c>
      <c r="B512" s="81">
        <v>534.53033811299599</v>
      </c>
      <c r="C512" s="81">
        <v>532.00718803158543</v>
      </c>
      <c r="D512" s="81">
        <v>533.3382987044555</v>
      </c>
      <c r="E512" s="81">
        <v>5104272.8591080224</v>
      </c>
      <c r="F512" s="81" t="s">
        <v>476</v>
      </c>
      <c r="G512" s="25">
        <f t="shared" si="15"/>
        <v>8.5677034829600984E-4</v>
      </c>
      <c r="I512" s="81">
        <v>96.85084877360157</v>
      </c>
      <c r="J512" s="81">
        <v>97.109701782248123</v>
      </c>
      <c r="K512" s="81">
        <v>95.626274925004424</v>
      </c>
      <c r="L512" s="81">
        <v>96.582039880007073</v>
      </c>
      <c r="M512" s="81">
        <v>8647841.9999999981</v>
      </c>
      <c r="N512" s="81" t="s">
        <v>476</v>
      </c>
      <c r="O512" s="25">
        <f t="shared" si="16"/>
        <v>2.7832182249252213E-3</v>
      </c>
    </row>
    <row r="513" spans="1:15">
      <c r="A513" s="81">
        <v>531.74891282640169</v>
      </c>
      <c r="B513" s="81">
        <v>535.18595978769315</v>
      </c>
      <c r="C513" s="81">
        <v>531.59990790033407</v>
      </c>
      <c r="D513" s="81">
        <v>535.04688852336346</v>
      </c>
      <c r="E513" s="81">
        <v>3246835.945414796</v>
      </c>
      <c r="F513" s="81" t="s">
        <v>477</v>
      </c>
      <c r="G513" s="25">
        <f t="shared" si="15"/>
        <v>-6.1639003379004853E-3</v>
      </c>
      <c r="I513" s="81">
        <v>96.114113287453705</v>
      </c>
      <c r="J513" s="81">
        <v>96.900628198341295</v>
      </c>
      <c r="K513" s="81">
        <v>95.188215987294882</v>
      </c>
      <c r="L513" s="81">
        <v>96.502392800423522</v>
      </c>
      <c r="M513" s="81">
        <v>9584784.325948244</v>
      </c>
      <c r="N513" s="81" t="s">
        <v>477</v>
      </c>
      <c r="O513" s="25">
        <f t="shared" si="16"/>
        <v>-4.0235221293716261E-3</v>
      </c>
    </row>
    <row r="514" spans="1:15">
      <c r="A514" s="81">
        <v>531.66944353249903</v>
      </c>
      <c r="B514" s="81">
        <v>532.17606028112868</v>
      </c>
      <c r="C514" s="81">
        <v>528.68437818027905</v>
      </c>
      <c r="D514" s="81">
        <v>529.39463499453439</v>
      </c>
      <c r="E514" s="81">
        <v>3258834.5420195116</v>
      </c>
      <c r="F514" s="81" t="s">
        <v>478</v>
      </c>
      <c r="G514" s="25">
        <f t="shared" si="15"/>
        <v>4.2969996059520899E-3</v>
      </c>
      <c r="I514" s="81">
        <v>96.323186871360519</v>
      </c>
      <c r="J514" s="81">
        <v>96.363010411152302</v>
      </c>
      <c r="K514" s="81">
        <v>93.216950767601915</v>
      </c>
      <c r="L514" s="81">
        <v>93.316509617081365</v>
      </c>
      <c r="M514" s="81">
        <v>9980314.2080822382</v>
      </c>
      <c r="N514" s="81" t="s">
        <v>478</v>
      </c>
      <c r="O514" s="25">
        <f t="shared" si="16"/>
        <v>3.2220206977488397E-2</v>
      </c>
    </row>
    <row r="515" spans="1:15">
      <c r="A515" s="81">
        <v>529.44430330322359</v>
      </c>
      <c r="B515" s="81">
        <v>534.04358868784198</v>
      </c>
      <c r="C515" s="81">
        <v>528.2919985416346</v>
      </c>
      <c r="D515" s="81">
        <v>533.81511446787169</v>
      </c>
      <c r="E515" s="81">
        <v>4843460.6764129233</v>
      </c>
      <c r="F515" s="81" t="s">
        <v>479</v>
      </c>
      <c r="G515" s="25">
        <f t="shared" si="15"/>
        <v>-8.1878745022143651E-3</v>
      </c>
      <c r="I515" s="81">
        <v>93.804347979530633</v>
      </c>
      <c r="J515" s="81">
        <v>95.228039527086665</v>
      </c>
      <c r="K515" s="81">
        <v>93.266730192341655</v>
      </c>
      <c r="L515" s="81">
        <v>94.829804129168892</v>
      </c>
      <c r="M515" s="81">
        <v>6564716.2800425375</v>
      </c>
      <c r="N515" s="81" t="s">
        <v>479</v>
      </c>
      <c r="O515" s="25">
        <f t="shared" si="16"/>
        <v>-1.0813648293963252E-2</v>
      </c>
    </row>
    <row r="516" spans="1:15">
      <c r="A516" s="81">
        <v>533.50717095399887</v>
      </c>
      <c r="B516" s="81">
        <v>534.41113417214194</v>
      </c>
      <c r="C516" s="81">
        <v>530.42773581526944</v>
      </c>
      <c r="D516" s="81">
        <v>530.70587834392882</v>
      </c>
      <c r="E516" s="81">
        <v>2656552.1049991744</v>
      </c>
      <c r="F516" s="81" t="s">
        <v>480</v>
      </c>
      <c r="G516" s="25">
        <f t="shared" si="15"/>
        <v>5.2784277023867343E-3</v>
      </c>
      <c r="I516" s="81">
        <v>94.551039350626453</v>
      </c>
      <c r="J516" s="81">
        <v>94.770068819481224</v>
      </c>
      <c r="K516" s="81">
        <v>93.386200811716975</v>
      </c>
      <c r="L516" s="81">
        <v>93.764524439738864</v>
      </c>
      <c r="M516" s="81">
        <v>6289711.0932293506</v>
      </c>
      <c r="N516" s="81" t="s">
        <v>480</v>
      </c>
      <c r="O516" s="25">
        <f t="shared" si="16"/>
        <v>8.3881928222551139E-3</v>
      </c>
    </row>
    <row r="517" spans="1:15">
      <c r="A517" s="81">
        <v>529.17609443630204</v>
      </c>
      <c r="B517" s="81">
        <v>529.89131808142622</v>
      </c>
      <c r="C517" s="81">
        <v>525.87811873934015</v>
      </c>
      <c r="D517" s="81">
        <v>525.98738901845638</v>
      </c>
      <c r="E517" s="81">
        <v>5465424.6775090043</v>
      </c>
      <c r="F517" s="81" t="s">
        <v>481</v>
      </c>
      <c r="G517" s="25">
        <f t="shared" si="15"/>
        <v>6.0623229461758132E-3</v>
      </c>
      <c r="I517" s="81">
        <v>93.714745014999124</v>
      </c>
      <c r="J517" s="81">
        <v>94.192627492500449</v>
      </c>
      <c r="K517" s="81">
        <v>92.390612316922542</v>
      </c>
      <c r="L517" s="81">
        <v>92.440391741662268</v>
      </c>
      <c r="M517" s="81">
        <v>8124976.3755760351</v>
      </c>
      <c r="N517" s="81" t="s">
        <v>481</v>
      </c>
      <c r="O517" s="25">
        <f t="shared" si="16"/>
        <v>1.3785675821216925E-2</v>
      </c>
    </row>
    <row r="518" spans="1:15">
      <c r="A518" s="81">
        <v>526.04699098888329</v>
      </c>
      <c r="B518" s="81">
        <v>527.37810166175348</v>
      </c>
      <c r="C518" s="81">
        <v>524.58674271342147</v>
      </c>
      <c r="D518" s="81">
        <v>525.7589147984861</v>
      </c>
      <c r="E518" s="81">
        <v>3661925.577900907</v>
      </c>
      <c r="F518" s="81" t="s">
        <v>482</v>
      </c>
      <c r="G518" s="25">
        <f t="shared" si="15"/>
        <v>5.4792449978258162E-4</v>
      </c>
      <c r="I518" s="81">
        <v>92.579774130933487</v>
      </c>
      <c r="J518" s="81">
        <v>93.465847891300527</v>
      </c>
      <c r="K518" s="81">
        <v>92.281097582495164</v>
      </c>
      <c r="L518" s="81">
        <v>93.306553732133423</v>
      </c>
      <c r="M518" s="81">
        <v>6727718.3645870248</v>
      </c>
      <c r="N518" s="81" t="s">
        <v>482</v>
      </c>
      <c r="O518" s="25">
        <f t="shared" si="16"/>
        <v>-7.7891591976100294E-3</v>
      </c>
    </row>
    <row r="519" spans="1:15">
      <c r="A519" s="81">
        <v>526.93108688355096</v>
      </c>
      <c r="B519" s="81">
        <v>527.50723926434534</v>
      </c>
      <c r="C519" s="81">
        <v>522.81855092408637</v>
      </c>
      <c r="D519" s="81">
        <v>523.37483598140534</v>
      </c>
      <c r="E519" s="81">
        <v>2961430.6160586346</v>
      </c>
      <c r="F519" s="81" t="s">
        <v>483</v>
      </c>
      <c r="G519" s="25">
        <f t="shared" si="15"/>
        <v>6.7948450281853923E-3</v>
      </c>
      <c r="I519" s="81">
        <v>93.187083112758089</v>
      </c>
      <c r="J519" s="81">
        <v>93.595274395623804</v>
      </c>
      <c r="K519" s="81">
        <v>91.056523733898018</v>
      </c>
      <c r="L519" s="81">
        <v>91.454759131815791</v>
      </c>
      <c r="M519" s="81">
        <v>8692818.4136830904</v>
      </c>
      <c r="N519" s="81" t="s">
        <v>483</v>
      </c>
      <c r="O519" s="25">
        <f t="shared" si="16"/>
        <v>1.894186806009146E-2</v>
      </c>
    </row>
    <row r="520" spans="1:15">
      <c r="A520" s="81">
        <v>523.3549686579297</v>
      </c>
      <c r="B520" s="81">
        <v>523.88145273003499</v>
      </c>
      <c r="C520" s="81">
        <v>520.02719197575436</v>
      </c>
      <c r="D520" s="81">
        <v>520.84175223825696</v>
      </c>
      <c r="E520" s="81">
        <v>2644208.2177966391</v>
      </c>
      <c r="F520" s="81" t="s">
        <v>484</v>
      </c>
      <c r="G520" s="25">
        <f t="shared" si="15"/>
        <v>4.8252975282270238E-3</v>
      </c>
      <c r="I520" s="81">
        <v>92.101891653432176</v>
      </c>
      <c r="J520" s="81">
        <v>93.326465502029308</v>
      </c>
      <c r="K520" s="81">
        <v>91.285509087700731</v>
      </c>
      <c r="L520" s="81">
        <v>92.106869595906133</v>
      </c>
      <c r="M520" s="81">
        <v>10254292.866359446</v>
      </c>
      <c r="N520" s="81" t="s">
        <v>484</v>
      </c>
      <c r="O520" s="25">
        <f t="shared" si="16"/>
        <v>-5.4045289952786568E-5</v>
      </c>
    </row>
    <row r="521" spans="1:15">
      <c r="A521" s="81">
        <v>518.44773975943826</v>
      </c>
      <c r="B521" s="81">
        <v>522.23256421817143</v>
      </c>
      <c r="C521" s="81">
        <v>517.35503696827618</v>
      </c>
      <c r="D521" s="81">
        <v>521.65631250075955</v>
      </c>
      <c r="E521" s="81">
        <v>3997020.5396430702</v>
      </c>
      <c r="F521" s="81" t="s">
        <v>485</v>
      </c>
      <c r="G521" s="25">
        <f t="shared" si="15"/>
        <v>-6.15074075484634E-3</v>
      </c>
      <c r="I521" s="81">
        <v>91.982421034056841</v>
      </c>
      <c r="J521" s="81">
        <v>94.720289394741499</v>
      </c>
      <c r="K521" s="81">
        <v>91.355200282336355</v>
      </c>
      <c r="L521" s="81">
        <v>94.670509970001788</v>
      </c>
      <c r="M521" s="81">
        <v>11092548.836937254</v>
      </c>
      <c r="N521" s="81" t="s">
        <v>485</v>
      </c>
      <c r="O521" s="25">
        <f t="shared" si="16"/>
        <v>-2.8394152907771586E-2</v>
      </c>
    </row>
    <row r="522" spans="1:15">
      <c r="A522" s="81">
        <v>523.15629542317288</v>
      </c>
      <c r="B522" s="81">
        <v>523.52384090747285</v>
      </c>
      <c r="C522" s="81">
        <v>518.83515256721387</v>
      </c>
      <c r="D522" s="81">
        <v>522.66954599801886</v>
      </c>
      <c r="E522" s="81">
        <v>5393957.5771852722</v>
      </c>
      <c r="F522" s="81" t="s">
        <v>486</v>
      </c>
      <c r="G522" s="25">
        <f t="shared" si="15"/>
        <v>9.312756575947656E-4</v>
      </c>
      <c r="I522" s="81">
        <v>94.730245279689456</v>
      </c>
      <c r="J522" s="81">
        <v>94.919407093700386</v>
      </c>
      <c r="K522" s="81">
        <v>93.475803776248469</v>
      </c>
      <c r="L522" s="81">
        <v>93.883995059114184</v>
      </c>
      <c r="M522" s="81">
        <v>6345325.4361928385</v>
      </c>
      <c r="N522" s="81" t="s">
        <v>486</v>
      </c>
      <c r="O522" s="25">
        <f t="shared" si="16"/>
        <v>9.0137857900318696E-3</v>
      </c>
    </row>
    <row r="523" spans="1:15">
      <c r="A523" s="81">
        <v>518.37820412727342</v>
      </c>
      <c r="B523" s="81">
        <v>520.28050035006913</v>
      </c>
      <c r="C523" s="81">
        <v>516.37160445623044</v>
      </c>
      <c r="D523" s="81">
        <v>518.10006159861393</v>
      </c>
      <c r="E523" s="81">
        <v>4034717.615493123</v>
      </c>
      <c r="F523" s="81" t="s">
        <v>487</v>
      </c>
      <c r="G523" s="25">
        <f t="shared" si="15"/>
        <v>5.3685098550504406E-4</v>
      </c>
      <c r="I523" s="81">
        <v>93.216950767601915</v>
      </c>
      <c r="J523" s="81">
        <v>93.674921475207356</v>
      </c>
      <c r="K523" s="81">
        <v>92.719753873301585</v>
      </c>
      <c r="L523" s="81">
        <v>93.197038997706031</v>
      </c>
      <c r="M523" s="81">
        <v>6207734.4528535968</v>
      </c>
      <c r="N523" s="81" t="s">
        <v>487</v>
      </c>
      <c r="O523" s="25">
        <f t="shared" si="16"/>
        <v>2.1365238756532179E-4</v>
      </c>
    </row>
    <row r="524" spans="1:15">
      <c r="A524" s="81">
        <v>519.36163663931927</v>
      </c>
      <c r="B524" s="81">
        <v>520.37487013657858</v>
      </c>
      <c r="C524" s="81">
        <v>516.13329591113973</v>
      </c>
      <c r="D524" s="81">
        <v>518.38813778901124</v>
      </c>
      <c r="E524" s="81">
        <v>3292424.3711083229</v>
      </c>
      <c r="F524" s="81" t="s">
        <v>488</v>
      </c>
      <c r="G524" s="25">
        <f t="shared" si="15"/>
        <v>1.877934272300541E-3</v>
      </c>
      <c r="I524" s="81">
        <v>93.734656784895023</v>
      </c>
      <c r="J524" s="81">
        <v>94.162759837656623</v>
      </c>
      <c r="K524" s="81">
        <v>93.177127227810146</v>
      </c>
      <c r="L524" s="81">
        <v>93.177127227810146</v>
      </c>
      <c r="M524" s="81">
        <v>6171401.1683800062</v>
      </c>
      <c r="N524" s="81" t="s">
        <v>488</v>
      </c>
      <c r="O524" s="25">
        <f t="shared" si="16"/>
        <v>5.9835452505609954E-3</v>
      </c>
    </row>
    <row r="525" spans="1:15">
      <c r="A525" s="81">
        <v>519.27223368367868</v>
      </c>
      <c r="B525" s="81">
        <v>523.60331020137562</v>
      </c>
      <c r="C525" s="81">
        <v>516.77888458748168</v>
      </c>
      <c r="D525" s="81">
        <v>523.54370823094848</v>
      </c>
      <c r="E525" s="81">
        <v>9260086.8066232149</v>
      </c>
      <c r="F525" s="81" t="s">
        <v>489</v>
      </c>
      <c r="G525" s="25">
        <f t="shared" si="15"/>
        <v>-8.158773527625951E-3</v>
      </c>
      <c r="I525" s="81">
        <v>93.635097935415573</v>
      </c>
      <c r="J525" s="81">
        <v>95.427157226045537</v>
      </c>
      <c r="K525" s="81">
        <v>92.908417893065121</v>
      </c>
      <c r="L525" s="81">
        <v>94.770068819481224</v>
      </c>
      <c r="M525" s="81">
        <v>10143984.239276851</v>
      </c>
      <c r="N525" s="81" t="s">
        <v>489</v>
      </c>
      <c r="O525" s="25">
        <f t="shared" si="16"/>
        <v>-1.1976047904191711E-2</v>
      </c>
    </row>
    <row r="526" spans="1:15">
      <c r="A526" s="81">
        <v>524.16952892043219</v>
      </c>
      <c r="B526" s="81">
        <v>524.45263827996064</v>
      </c>
      <c r="C526" s="81">
        <v>518.72588228809775</v>
      </c>
      <c r="D526" s="81">
        <v>520.84175223825696</v>
      </c>
      <c r="E526" s="81">
        <v>8070889.8808808522</v>
      </c>
      <c r="F526" s="81" t="s">
        <v>490</v>
      </c>
      <c r="G526" s="25">
        <f t="shared" si="15"/>
        <v>6.3892279523953821E-3</v>
      </c>
      <c r="I526" s="81">
        <v>95.765657314275643</v>
      </c>
      <c r="J526" s="81">
        <v>97.13956943709195</v>
      </c>
      <c r="K526" s="81">
        <v>95.018965943179822</v>
      </c>
      <c r="L526" s="81">
        <v>96.422745720839956</v>
      </c>
      <c r="M526" s="81">
        <v>8024088.3073378224</v>
      </c>
      <c r="N526" s="81" t="s">
        <v>490</v>
      </c>
      <c r="O526" s="25">
        <f t="shared" si="16"/>
        <v>-6.8146618482187726E-3</v>
      </c>
    </row>
    <row r="527" spans="1:15">
      <c r="A527" s="81">
        <v>521.89472038246765</v>
      </c>
      <c r="B527" s="81">
        <v>524.2688655378106</v>
      </c>
      <c r="C527" s="81">
        <v>520.84175223825696</v>
      </c>
      <c r="D527" s="81">
        <v>523.59337653963769</v>
      </c>
      <c r="E527" s="81">
        <v>5635982.1259820741</v>
      </c>
      <c r="F527" s="81" t="s">
        <v>491</v>
      </c>
      <c r="G527" s="25">
        <f t="shared" si="15"/>
        <v>-3.2442277409928666E-3</v>
      </c>
      <c r="I527" s="81">
        <v>95.586451385212655</v>
      </c>
      <c r="J527" s="81">
        <v>96.472525145579695</v>
      </c>
      <c r="K527" s="81">
        <v>94.859671784012718</v>
      </c>
      <c r="L527" s="81">
        <v>95.063767425445576</v>
      </c>
      <c r="M527" s="81">
        <v>10200419.202410491</v>
      </c>
      <c r="N527" s="81" t="s">
        <v>491</v>
      </c>
      <c r="O527" s="25">
        <f t="shared" si="16"/>
        <v>5.4982457977692523E-3</v>
      </c>
    </row>
    <row r="528" spans="1:15">
      <c r="A528" s="81">
        <v>522.57160009328379</v>
      </c>
      <c r="B528" s="81">
        <v>524.77002524432999</v>
      </c>
      <c r="C528" s="81">
        <v>520.3830777582333</v>
      </c>
      <c r="D528" s="81">
        <v>524.52245484443733</v>
      </c>
      <c r="E528" s="81">
        <v>5325672.0131809711</v>
      </c>
      <c r="F528" s="81" t="s">
        <v>492</v>
      </c>
      <c r="G528" s="25">
        <f t="shared" si="15"/>
        <v>-3.7192969207240356E-3</v>
      </c>
      <c r="I528" s="81">
        <v>94.780024704429167</v>
      </c>
      <c r="J528" s="81">
        <v>95.362443973883899</v>
      </c>
      <c r="K528" s="81">
        <v>93.759546497264878</v>
      </c>
      <c r="L528" s="81">
        <v>94.043289218281288</v>
      </c>
      <c r="M528" s="81">
        <v>10106136.272775609</v>
      </c>
      <c r="N528" s="81" t="s">
        <v>492</v>
      </c>
      <c r="O528" s="25">
        <f t="shared" si="16"/>
        <v>7.8340038111370802E-3</v>
      </c>
    </row>
    <row r="529" spans="1:15">
      <c r="A529" s="81">
        <v>520.50191155018172</v>
      </c>
      <c r="B529" s="81">
        <v>522.17548745345562</v>
      </c>
      <c r="C529" s="81">
        <v>519.55124121459414</v>
      </c>
      <c r="D529" s="81">
        <v>521.4921931497521</v>
      </c>
      <c r="E529" s="81">
        <v>35765633.750405967</v>
      </c>
      <c r="F529" s="81" t="s">
        <v>493</v>
      </c>
      <c r="G529" s="25">
        <f t="shared" si="15"/>
        <v>-1.8989384933821851E-3</v>
      </c>
      <c r="I529" s="81">
        <v>93.50567143109231</v>
      </c>
      <c r="J529" s="81">
        <v>94.023377448385403</v>
      </c>
      <c r="K529" s="81">
        <v>92.940177166049068</v>
      </c>
      <c r="L529" s="81">
        <v>93.226906652549872</v>
      </c>
      <c r="M529" s="81">
        <v>8445499.364409782</v>
      </c>
      <c r="N529" s="81" t="s">
        <v>493</v>
      </c>
      <c r="O529" s="25">
        <f t="shared" si="16"/>
        <v>2.9901751388294873E-3</v>
      </c>
    </row>
    <row r="530" spans="1:15">
      <c r="A530" s="81">
        <v>521.56151286172189</v>
      </c>
      <c r="B530" s="81">
        <v>521.71995791765323</v>
      </c>
      <c r="C530" s="81">
        <v>518.29358358313982</v>
      </c>
      <c r="D530" s="81">
        <v>520.89802419000989</v>
      </c>
      <c r="E530" s="81">
        <v>4696248.0187632013</v>
      </c>
      <c r="F530" s="81" t="s">
        <v>494</v>
      </c>
      <c r="G530" s="25">
        <f t="shared" si="15"/>
        <v>1.2737400429647661E-3</v>
      </c>
      <c r="I530" s="81">
        <v>93.276686077289582</v>
      </c>
      <c r="J530" s="81">
        <v>93.376244926769033</v>
      </c>
      <c r="K530" s="81">
        <v>92.052112228692437</v>
      </c>
      <c r="L530" s="81">
        <v>92.928230104111535</v>
      </c>
      <c r="M530" s="81">
        <v>7895101.2803970212</v>
      </c>
      <c r="N530" s="81" t="s">
        <v>494</v>
      </c>
      <c r="O530" s="25">
        <f t="shared" si="16"/>
        <v>3.7497321619883728E-3</v>
      </c>
    </row>
    <row r="531" spans="1:15">
      <c r="A531" s="81">
        <v>520.06618764637074</v>
      </c>
      <c r="B531" s="81">
        <v>520.71977350208726</v>
      </c>
      <c r="C531" s="81">
        <v>518.7392103029465</v>
      </c>
      <c r="D531" s="81">
        <v>519.89783977444381</v>
      </c>
      <c r="E531" s="81">
        <v>29576592.1660132</v>
      </c>
      <c r="F531" s="81" t="s">
        <v>495</v>
      </c>
      <c r="G531" s="25">
        <f t="shared" si="15"/>
        <v>3.2380952380939299E-4</v>
      </c>
      <c r="I531" s="81">
        <v>92.559862361037602</v>
      </c>
      <c r="J531" s="81">
        <v>93.286641962237539</v>
      </c>
      <c r="K531" s="81">
        <v>91.753435680254114</v>
      </c>
      <c r="L531" s="81">
        <v>93.281664019763554</v>
      </c>
      <c r="M531" s="81">
        <v>7371178.994505493</v>
      </c>
      <c r="N531" s="81" t="s">
        <v>495</v>
      </c>
      <c r="O531" s="25">
        <f t="shared" si="16"/>
        <v>-7.7378728854260448E-3</v>
      </c>
    </row>
    <row r="532" spans="1:15">
      <c r="A532" s="81">
        <v>518.78872438292501</v>
      </c>
      <c r="B532" s="81">
        <v>519.81861724647808</v>
      </c>
      <c r="C532" s="81">
        <v>516.05554716811071</v>
      </c>
      <c r="D532" s="81">
        <v>518.42232019108394</v>
      </c>
      <c r="E532" s="81">
        <v>5667759.5569129474</v>
      </c>
      <c r="F532" s="81" t="s">
        <v>496</v>
      </c>
      <c r="G532" s="25">
        <f t="shared" si="15"/>
        <v>7.0676777903000421E-4</v>
      </c>
      <c r="I532" s="81">
        <v>93.33642138697725</v>
      </c>
      <c r="J532" s="81">
        <v>93.595274395623804</v>
      </c>
      <c r="K532" s="81">
        <v>92.410524086818427</v>
      </c>
      <c r="L532" s="81">
        <v>92.788847714840315</v>
      </c>
      <c r="M532" s="81">
        <v>19336841.57727756</v>
      </c>
      <c r="N532" s="81" t="s">
        <v>496</v>
      </c>
      <c r="O532" s="25">
        <f t="shared" si="16"/>
        <v>5.9012875536481602E-3</v>
      </c>
    </row>
    <row r="533" spans="1:15">
      <c r="A533" s="81">
        <v>519.80871443048238</v>
      </c>
      <c r="B533" s="81">
        <v>521.4822903337564</v>
      </c>
      <c r="C533" s="81">
        <v>517.11514847965111</v>
      </c>
      <c r="D533" s="81">
        <v>519.77900598249528</v>
      </c>
      <c r="E533" s="81">
        <v>5612919.6002545981</v>
      </c>
      <c r="F533" s="81" t="s">
        <v>497</v>
      </c>
      <c r="G533" s="25">
        <f t="shared" si="15"/>
        <v>5.7155921353357897E-5</v>
      </c>
      <c r="I533" s="81">
        <v>93.037744838538927</v>
      </c>
      <c r="J533" s="81">
        <v>94.869627668960675</v>
      </c>
      <c r="K533" s="81">
        <v>92.908318334215636</v>
      </c>
      <c r="L533" s="81">
        <v>94.401701076407278</v>
      </c>
      <c r="M533" s="81">
        <v>10960799.624601204</v>
      </c>
      <c r="N533" s="81" t="s">
        <v>497</v>
      </c>
      <c r="O533" s="25">
        <f t="shared" si="16"/>
        <v>-1.4448428601560703E-2</v>
      </c>
    </row>
    <row r="534" spans="1:15">
      <c r="A534" s="81">
        <v>510.89618003434907</v>
      </c>
      <c r="B534" s="81">
        <v>517.64990054341911</v>
      </c>
      <c r="C534" s="81">
        <v>510.4604561305382</v>
      </c>
      <c r="D534" s="81">
        <v>513.14411926537377</v>
      </c>
      <c r="E534" s="81">
        <v>6989201.8623821521</v>
      </c>
      <c r="F534" s="81" t="s">
        <v>498</v>
      </c>
      <c r="G534" s="25">
        <f t="shared" si="15"/>
        <v>-4.3807171253231747E-3</v>
      </c>
      <c r="I534" s="81">
        <v>93.167171342862204</v>
      </c>
      <c r="J534" s="81">
        <v>93.655009705311457</v>
      </c>
      <c r="K534" s="81">
        <v>92.281097582495164</v>
      </c>
      <c r="L534" s="81">
        <v>93.107436033174537</v>
      </c>
      <c r="M534" s="81">
        <v>10335360.496632399</v>
      </c>
      <c r="N534" s="81" t="s">
        <v>498</v>
      </c>
      <c r="O534" s="25">
        <f t="shared" si="16"/>
        <v>6.4157399486752809E-4</v>
      </c>
    </row>
    <row r="535" spans="1:15">
      <c r="A535" s="81">
        <v>512.55985312162738</v>
      </c>
      <c r="B535" s="81">
        <v>515.6742887522762</v>
      </c>
      <c r="C535" s="81">
        <v>510.49016457852525</v>
      </c>
      <c r="D535" s="81">
        <v>514.39187408083262</v>
      </c>
      <c r="E535" s="81">
        <v>8229938.8411698611</v>
      </c>
      <c r="F535" s="81" t="s">
        <v>499</v>
      </c>
      <c r="G535" s="25">
        <f t="shared" si="15"/>
        <v>-3.5615277991684069E-3</v>
      </c>
      <c r="I535" s="81">
        <v>92.45034762661021</v>
      </c>
      <c r="J535" s="81">
        <v>92.838627139580041</v>
      </c>
      <c r="K535" s="81">
        <v>91.76339156520207</v>
      </c>
      <c r="L535" s="81">
        <v>91.962509264160957</v>
      </c>
      <c r="M535" s="81">
        <v>8229378.94806806</v>
      </c>
      <c r="N535" s="81" t="s">
        <v>499</v>
      </c>
      <c r="O535" s="25">
        <f t="shared" si="16"/>
        <v>5.3047526253111599E-3</v>
      </c>
    </row>
    <row r="536" spans="1:15">
      <c r="A536" s="81">
        <v>512.32218553773043</v>
      </c>
      <c r="B536" s="81">
        <v>512.55985312162738</v>
      </c>
      <c r="C536" s="81">
        <v>509.64842521889045</v>
      </c>
      <c r="D536" s="81">
        <v>511.32200112216441</v>
      </c>
      <c r="E536" s="81">
        <v>4298022.9076724881</v>
      </c>
      <c r="F536" s="81" t="s">
        <v>500</v>
      </c>
      <c r="G536" s="25">
        <f t="shared" si="15"/>
        <v>1.9560754541581016E-3</v>
      </c>
      <c r="I536" s="81">
        <v>91.444803246867835</v>
      </c>
      <c r="J536" s="81">
        <v>91.962509264160957</v>
      </c>
      <c r="K536" s="81">
        <v>90.548773601552867</v>
      </c>
      <c r="L536" s="81">
        <v>90.698111875772028</v>
      </c>
      <c r="M536" s="81">
        <v>9068578.0794044659</v>
      </c>
      <c r="N536" s="81" t="s">
        <v>500</v>
      </c>
      <c r="O536" s="25">
        <f t="shared" si="16"/>
        <v>8.2327113062568014E-3</v>
      </c>
    </row>
    <row r="537" spans="1:15">
      <c r="A537" s="81">
        <v>511.5497658900656</v>
      </c>
      <c r="B537" s="81">
        <v>512.50043622565306</v>
      </c>
      <c r="C537" s="81">
        <v>509.23250694707093</v>
      </c>
      <c r="D537" s="81">
        <v>509.4305632669849</v>
      </c>
      <c r="E537" s="81">
        <v>4459984.9193564206</v>
      </c>
      <c r="F537" s="81" t="s">
        <v>501</v>
      </c>
      <c r="G537" s="25">
        <f t="shared" si="15"/>
        <v>4.1599440157069623E-3</v>
      </c>
      <c r="I537" s="81">
        <v>90.150538203635094</v>
      </c>
      <c r="J537" s="81">
        <v>90.319788247750139</v>
      </c>
      <c r="K537" s="81">
        <v>88.995655549673558</v>
      </c>
      <c r="L537" s="81">
        <v>89.055390859361225</v>
      </c>
      <c r="M537" s="81">
        <v>7115629.6371853938</v>
      </c>
      <c r="N537" s="81" t="s">
        <v>501</v>
      </c>
      <c r="O537" s="25">
        <f t="shared" si="16"/>
        <v>1.2297372833985465E-2</v>
      </c>
    </row>
    <row r="538" spans="1:15">
      <c r="A538" s="81">
        <v>508.84629712323851</v>
      </c>
      <c r="B538" s="81">
        <v>509.14318354678971</v>
      </c>
      <c r="C538" s="81">
        <v>503.12246947772172</v>
      </c>
      <c r="D538" s="81">
        <v>505.13274112484953</v>
      </c>
      <c r="E538" s="81">
        <v>4139769.9419827382</v>
      </c>
      <c r="F538" s="81" t="s">
        <v>502</v>
      </c>
      <c r="G538" s="25">
        <f t="shared" si="15"/>
        <v>7.3516438275600393E-3</v>
      </c>
      <c r="I538" s="81">
        <v>88.906052585142064</v>
      </c>
      <c r="J538" s="81">
        <v>88.934825092641631</v>
      </c>
      <c r="K538" s="81">
        <v>87.79099347097231</v>
      </c>
      <c r="L538" s="81">
        <v>87.830817010764079</v>
      </c>
      <c r="M538" s="81">
        <v>7213531.5319035789</v>
      </c>
      <c r="N538" s="81" t="s">
        <v>502</v>
      </c>
      <c r="O538" s="25">
        <f t="shared" si="16"/>
        <v>1.224212196780794E-2</v>
      </c>
    </row>
    <row r="539" spans="1:15">
      <c r="A539" s="81">
        <v>504.50886371712022</v>
      </c>
      <c r="B539" s="81">
        <v>505.4793396846992</v>
      </c>
      <c r="C539" s="81">
        <v>491.42724378679566</v>
      </c>
      <c r="D539" s="81">
        <v>499.40891347933285</v>
      </c>
      <c r="E539" s="81">
        <v>4994369.2805619482</v>
      </c>
      <c r="F539" s="81" t="s">
        <v>503</v>
      </c>
      <c r="G539" s="25">
        <f t="shared" si="15"/>
        <v>1.0211972794511137E-2</v>
      </c>
      <c r="I539" s="81">
        <v>87.930375860243529</v>
      </c>
      <c r="J539" s="81">
        <v>88.039890594670922</v>
      </c>
      <c r="K539" s="81">
        <v>86.208007764249174</v>
      </c>
      <c r="L539" s="81">
        <v>87.661566966649033</v>
      </c>
      <c r="M539" s="81">
        <v>10826762.318326833</v>
      </c>
      <c r="N539" s="81" t="s">
        <v>503</v>
      </c>
      <c r="O539" s="25">
        <f t="shared" si="16"/>
        <v>3.0664395229982322E-3</v>
      </c>
    </row>
    <row r="540" spans="1:15">
      <c r="A540" s="81">
        <v>499.39901066333715</v>
      </c>
      <c r="B540" s="81">
        <v>499.80007471116312</v>
      </c>
      <c r="C540" s="81">
        <v>494.64536190091951</v>
      </c>
      <c r="D540" s="81">
        <v>499.05241210348748</v>
      </c>
      <c r="E540" s="81">
        <v>3004584.7578010764</v>
      </c>
      <c r="F540" s="81" t="s">
        <v>504</v>
      </c>
      <c r="G540" s="25">
        <f t="shared" si="15"/>
        <v>6.9451334457792946E-4</v>
      </c>
      <c r="I540" s="81">
        <v>88.010022939827095</v>
      </c>
      <c r="J540" s="81">
        <v>88.497861302276348</v>
      </c>
      <c r="K540" s="81">
        <v>87.591875772013424</v>
      </c>
      <c r="L540" s="81">
        <v>87.940331745191472</v>
      </c>
      <c r="M540" s="81">
        <v>6888702.5471464004</v>
      </c>
      <c r="N540" s="81" t="s">
        <v>504</v>
      </c>
      <c r="O540" s="25">
        <f t="shared" si="16"/>
        <v>7.9248273519771928E-4</v>
      </c>
    </row>
    <row r="541" spans="1:15">
      <c r="A541" s="81">
        <v>497.34912775222648</v>
      </c>
      <c r="B541" s="81">
        <v>498.47804877573668</v>
      </c>
      <c r="C541" s="81">
        <v>493.90294778572161</v>
      </c>
      <c r="D541" s="81">
        <v>495.73496874492679</v>
      </c>
      <c r="E541" s="81">
        <v>3692683.9815932065</v>
      </c>
      <c r="F541" s="81" t="s">
        <v>505</v>
      </c>
      <c r="G541" s="25">
        <f t="shared" si="15"/>
        <v>3.2560926887734709E-3</v>
      </c>
      <c r="I541" s="81">
        <v>87.950287630139428</v>
      </c>
      <c r="J541" s="81">
        <v>88.492883359802377</v>
      </c>
      <c r="K541" s="81">
        <v>87.422625727898378</v>
      </c>
      <c r="L541" s="81">
        <v>87.830817010764079</v>
      </c>
      <c r="M541" s="81">
        <v>8789019.8066288531</v>
      </c>
      <c r="N541" s="81" t="s">
        <v>505</v>
      </c>
      <c r="O541" s="25">
        <f t="shared" si="16"/>
        <v>1.3602357742010796E-3</v>
      </c>
    </row>
    <row r="542" spans="1:15">
      <c r="A542" s="81">
        <v>491.81345361062807</v>
      </c>
      <c r="B542" s="81">
        <v>502.01335408620292</v>
      </c>
      <c r="C542" s="81">
        <v>490.98161706698903</v>
      </c>
      <c r="D542" s="81">
        <v>500.42890352689028</v>
      </c>
      <c r="E542" s="81">
        <v>7484173.1919642175</v>
      </c>
      <c r="F542" s="81" t="s">
        <v>506</v>
      </c>
      <c r="G542" s="25">
        <f t="shared" si="15"/>
        <v>-1.7216131713301941E-2</v>
      </c>
      <c r="I542" s="81">
        <v>87.552052232221641</v>
      </c>
      <c r="J542" s="81">
        <v>88.696979001235235</v>
      </c>
      <c r="K542" s="81">
        <v>87.33302276336687</v>
      </c>
      <c r="L542" s="81">
        <v>88.059802364566806</v>
      </c>
      <c r="M542" s="81">
        <v>7826027.5613257699</v>
      </c>
      <c r="N542" s="81" t="s">
        <v>506</v>
      </c>
      <c r="O542" s="25">
        <f t="shared" si="16"/>
        <v>-5.7659694742793199E-3</v>
      </c>
    </row>
    <row r="543" spans="1:15">
      <c r="A543" s="81">
        <v>500.14172186301494</v>
      </c>
      <c r="B543" s="81">
        <v>503.99391728534363</v>
      </c>
      <c r="C543" s="81">
        <v>497.95319952796439</v>
      </c>
      <c r="D543" s="81">
        <v>501.43899075845212</v>
      </c>
      <c r="E543" s="81">
        <v>3459186.762115113</v>
      </c>
      <c r="F543" s="81" t="s">
        <v>507</v>
      </c>
      <c r="G543" s="25">
        <f t="shared" si="15"/>
        <v>-2.5870921873766273E-3</v>
      </c>
      <c r="I543" s="81">
        <v>88.258920063525693</v>
      </c>
      <c r="J543" s="81">
        <v>89.269442385742039</v>
      </c>
      <c r="K543" s="81">
        <v>87.950287630139428</v>
      </c>
      <c r="L543" s="81">
        <v>89.269442385742039</v>
      </c>
      <c r="M543" s="81">
        <v>6261737.6884083645</v>
      </c>
      <c r="N543" s="81" t="s">
        <v>507</v>
      </c>
      <c r="O543" s="25">
        <f t="shared" si="16"/>
        <v>-1.1319913009535609E-2</v>
      </c>
    </row>
    <row r="544" spans="1:15">
      <c r="A544" s="81">
        <v>501.37957386247791</v>
      </c>
      <c r="B544" s="81">
        <v>504.57818342909013</v>
      </c>
      <c r="C544" s="81">
        <v>500.11201341502777</v>
      </c>
      <c r="D544" s="81">
        <v>500.76559927074425</v>
      </c>
      <c r="E544" s="81">
        <v>3636716.0629486055</v>
      </c>
      <c r="F544" s="81" t="s">
        <v>508</v>
      </c>
      <c r="G544" s="25">
        <f t="shared" si="15"/>
        <v>1.2260718240786339E-3</v>
      </c>
      <c r="I544" s="81">
        <v>88.856273160402338</v>
      </c>
      <c r="J544" s="81">
        <v>89.622975860243528</v>
      </c>
      <c r="K544" s="81">
        <v>88.428170107640739</v>
      </c>
      <c r="L544" s="81">
        <v>88.557596611964016</v>
      </c>
      <c r="M544" s="81">
        <v>6345212.9399149232</v>
      </c>
      <c r="N544" s="81" t="s">
        <v>508</v>
      </c>
      <c r="O544" s="25">
        <f t="shared" si="16"/>
        <v>3.3726812816188279E-3</v>
      </c>
    </row>
    <row r="545" spans="1:15">
      <c r="A545" s="81">
        <v>502.62732867793653</v>
      </c>
      <c r="B545" s="81">
        <v>510.42084486655529</v>
      </c>
      <c r="C545" s="81">
        <v>500.19123594299344</v>
      </c>
      <c r="D545" s="81">
        <v>510.11385757068854</v>
      </c>
      <c r="E545" s="81">
        <v>5924012.9298021281</v>
      </c>
      <c r="F545" s="81" t="s">
        <v>509</v>
      </c>
      <c r="G545" s="25">
        <f t="shared" si="15"/>
        <v>-1.4676191955272588E-2</v>
      </c>
      <c r="I545" s="81">
        <v>88.736802541027004</v>
      </c>
      <c r="J545" s="81">
        <v>90.08851304040941</v>
      </c>
      <c r="K545" s="81">
        <v>88.144427386624329</v>
      </c>
      <c r="L545" s="81">
        <v>89.209707076054372</v>
      </c>
      <c r="M545" s="81">
        <v>8502979.9402694069</v>
      </c>
      <c r="N545" s="81" t="s">
        <v>509</v>
      </c>
      <c r="O545" s="25">
        <f t="shared" si="16"/>
        <v>-5.3010434685566432E-3</v>
      </c>
    </row>
    <row r="546" spans="1:15">
      <c r="A546" s="81">
        <v>513.00547984143395</v>
      </c>
      <c r="B546" s="81">
        <v>513.54023190520206</v>
      </c>
      <c r="C546" s="81">
        <v>507.14301277197745</v>
      </c>
      <c r="D546" s="81">
        <v>510.41094205055958</v>
      </c>
      <c r="E546" s="81">
        <v>5693052.3625258831</v>
      </c>
      <c r="F546" s="81" t="s">
        <v>510</v>
      </c>
      <c r="G546" s="25">
        <f t="shared" si="15"/>
        <v>5.0832330914594159E-3</v>
      </c>
      <c r="I546" s="81">
        <v>89.981288159520034</v>
      </c>
      <c r="J546" s="81">
        <v>90.050979354155658</v>
      </c>
      <c r="K546" s="81">
        <v>89.005710993470984</v>
      </c>
      <c r="L546" s="81">
        <v>89.583052761602275</v>
      </c>
      <c r="M546" s="81">
        <v>8440868.9372562915</v>
      </c>
      <c r="N546" s="81" t="s">
        <v>510</v>
      </c>
      <c r="O546" s="25">
        <f t="shared" si="16"/>
        <v>4.4454323182927524E-3</v>
      </c>
    </row>
    <row r="547" spans="1:15">
      <c r="A547" s="81">
        <v>508.22241971550915</v>
      </c>
      <c r="B547" s="81">
        <v>513.05499392141257</v>
      </c>
      <c r="C547" s="81">
        <v>507.1529155879731</v>
      </c>
      <c r="D547" s="81">
        <v>509.98512096274442</v>
      </c>
      <c r="E547" s="81">
        <v>3521367.0551011832</v>
      </c>
      <c r="F547" s="81" t="s">
        <v>511</v>
      </c>
      <c r="G547" s="25">
        <f t="shared" si="15"/>
        <v>-3.4563777937436369E-3</v>
      </c>
      <c r="I547" s="81">
        <v>89.413802717487229</v>
      </c>
      <c r="J547" s="81">
        <v>90.299876477854255</v>
      </c>
      <c r="K547" s="81">
        <v>89.234596788424227</v>
      </c>
      <c r="L547" s="81">
        <v>90.050979354155658</v>
      </c>
      <c r="M547" s="81">
        <v>6209141.660758595</v>
      </c>
      <c r="N547" s="81" t="s">
        <v>511</v>
      </c>
      <c r="O547" s="25">
        <f t="shared" si="16"/>
        <v>-7.0757324488667228E-3</v>
      </c>
    </row>
    <row r="548" spans="1:15">
      <c r="A548" s="81">
        <v>508.14319718754348</v>
      </c>
      <c r="B548" s="81">
        <v>511.21307014621163</v>
      </c>
      <c r="C548" s="81">
        <v>505.2020608368195</v>
      </c>
      <c r="D548" s="81">
        <v>510.78724905839636</v>
      </c>
      <c r="E548" s="81">
        <v>3979098.4723027707</v>
      </c>
      <c r="F548" s="81" t="s">
        <v>512</v>
      </c>
      <c r="G548" s="25">
        <f t="shared" si="15"/>
        <v>-5.1764249709189691E-3</v>
      </c>
      <c r="I548" s="81">
        <v>89.095214399152994</v>
      </c>
      <c r="J548" s="81">
        <v>90.224908664196249</v>
      </c>
      <c r="K548" s="81">
        <v>88.368434797953086</v>
      </c>
      <c r="L548" s="81">
        <v>89.931508734780323</v>
      </c>
      <c r="M548" s="81">
        <v>8607662.7490251679</v>
      </c>
      <c r="N548" s="81" t="s">
        <v>512</v>
      </c>
      <c r="O548" s="25">
        <f t="shared" si="16"/>
        <v>-9.2992361341748264E-3</v>
      </c>
    </row>
    <row r="549" spans="1:15">
      <c r="A549" s="81">
        <v>511.06452790627611</v>
      </c>
      <c r="B549" s="81">
        <v>511.569571522057</v>
      </c>
      <c r="C549" s="81">
        <v>508.17290563553058</v>
      </c>
      <c r="D549" s="81">
        <v>509.26221539505798</v>
      </c>
      <c r="E549" s="81">
        <v>3061531.1859932854</v>
      </c>
      <c r="F549" s="81" t="s">
        <v>513</v>
      </c>
      <c r="G549" s="25">
        <f t="shared" si="15"/>
        <v>3.5390658421812216E-3</v>
      </c>
      <c r="I549" s="81">
        <v>90.498994176813156</v>
      </c>
      <c r="J549" s="81">
        <v>91.315376742544572</v>
      </c>
      <c r="K549" s="81">
        <v>90.34965590259398</v>
      </c>
      <c r="L549" s="81">
        <v>91.026656079054192</v>
      </c>
      <c r="M549" s="81">
        <v>7269422.0934065925</v>
      </c>
      <c r="N549" s="81" t="s">
        <v>513</v>
      </c>
      <c r="O549" s="25">
        <f t="shared" si="16"/>
        <v>-5.7967844252432288E-3</v>
      </c>
    </row>
    <row r="550" spans="1:15">
      <c r="A550" s="81">
        <v>510.38123360257254</v>
      </c>
      <c r="B550" s="81">
        <v>513.2530502413266</v>
      </c>
      <c r="C550" s="81">
        <v>508.88095697922341</v>
      </c>
      <c r="D550" s="81">
        <v>512.60936720160589</v>
      </c>
      <c r="E550" s="81">
        <v>3431993.4869783409</v>
      </c>
      <c r="F550" s="81" t="s">
        <v>514</v>
      </c>
      <c r="G550" s="25">
        <f t="shared" si="15"/>
        <v>-4.3466501815934144E-3</v>
      </c>
      <c r="I550" s="81">
        <v>91.37511205223224</v>
      </c>
      <c r="J550" s="81">
        <v>91.395023822128124</v>
      </c>
      <c r="K550" s="81">
        <v>90.51890594670904</v>
      </c>
      <c r="L550" s="81">
        <v>90.51890594670904</v>
      </c>
      <c r="M550" s="81">
        <v>8079399.3121233592</v>
      </c>
      <c r="N550" s="81" t="s">
        <v>514</v>
      </c>
      <c r="O550" s="25">
        <f t="shared" si="16"/>
        <v>9.4588649362075117E-3</v>
      </c>
    </row>
    <row r="551" spans="1:15">
      <c r="A551" s="81">
        <v>511.63889123402686</v>
      </c>
      <c r="B551" s="81">
        <v>512.52024185764446</v>
      </c>
      <c r="C551" s="81">
        <v>507.27382897128069</v>
      </c>
      <c r="D551" s="81">
        <v>509.331535107028</v>
      </c>
      <c r="E551" s="81">
        <v>5152868.6408127062</v>
      </c>
      <c r="F551" s="81" t="s">
        <v>515</v>
      </c>
      <c r="G551" s="25">
        <f t="shared" si="15"/>
        <v>4.5301654579743555E-3</v>
      </c>
      <c r="I551" s="81">
        <v>90.160494088583036</v>
      </c>
      <c r="J551" s="81">
        <v>90.34965590259398</v>
      </c>
      <c r="K551" s="81">
        <v>89.284376213163952</v>
      </c>
      <c r="L551" s="81">
        <v>89.752302805717335</v>
      </c>
      <c r="M551" s="81">
        <v>7401892.4872385664</v>
      </c>
      <c r="N551" s="81" t="s">
        <v>515</v>
      </c>
      <c r="O551" s="25">
        <f t="shared" si="16"/>
        <v>4.5479755962283264E-3</v>
      </c>
    </row>
    <row r="552" spans="1:15">
      <c r="A552" s="81">
        <v>506.16263398840277</v>
      </c>
      <c r="B552" s="81">
        <v>512.59946438561019</v>
      </c>
      <c r="C552" s="81">
        <v>505.14264394084529</v>
      </c>
      <c r="D552" s="81">
        <v>512.02510105785927</v>
      </c>
      <c r="E552" s="81">
        <v>3713173.1030802694</v>
      </c>
      <c r="F552" s="81" t="s">
        <v>516</v>
      </c>
      <c r="G552" s="25">
        <f t="shared" si="15"/>
        <v>-1.1449569674112592E-2</v>
      </c>
      <c r="I552" s="81">
        <v>89.523317451914608</v>
      </c>
      <c r="J552" s="81">
        <v>90.972595623786844</v>
      </c>
      <c r="K552" s="81">
        <v>89.299310040585851</v>
      </c>
      <c r="L552" s="81">
        <v>90.588597141344636</v>
      </c>
      <c r="M552" s="81">
        <v>7646763.7380361557</v>
      </c>
      <c r="N552" s="81" t="s">
        <v>516</v>
      </c>
      <c r="O552" s="25">
        <f t="shared" si="16"/>
        <v>-1.1759534014726847E-2</v>
      </c>
    </row>
    <row r="553" spans="1:15">
      <c r="A553" s="81">
        <v>510.29210825861117</v>
      </c>
      <c r="B553" s="81">
        <v>511.63879220586693</v>
      </c>
      <c r="C553" s="81">
        <v>507.86591833966384</v>
      </c>
      <c r="D553" s="81">
        <v>509.47017453096782</v>
      </c>
      <c r="E553" s="81">
        <v>3376867.7530217734</v>
      </c>
      <c r="F553" s="81" t="s">
        <v>517</v>
      </c>
      <c r="G553" s="25">
        <f t="shared" si="15"/>
        <v>1.6133107858571361E-3</v>
      </c>
      <c r="I553" s="81">
        <v>90.319788247750139</v>
      </c>
      <c r="J553" s="81">
        <v>90.379523557437807</v>
      </c>
      <c r="K553" s="81">
        <v>89.035479089465341</v>
      </c>
      <c r="L553" s="81">
        <v>89.82199400035293</v>
      </c>
      <c r="M553" s="81">
        <v>7671408.4583481019</v>
      </c>
      <c r="N553" s="81" t="s">
        <v>517</v>
      </c>
      <c r="O553" s="25">
        <f t="shared" si="16"/>
        <v>5.5420084238528844E-3</v>
      </c>
    </row>
    <row r="554" spans="1:15">
      <c r="A554" s="81">
        <v>508.50960137938455</v>
      </c>
      <c r="B554" s="81">
        <v>510.47025991837393</v>
      </c>
      <c r="C554" s="81">
        <v>507.27174937992157</v>
      </c>
      <c r="D554" s="81">
        <v>508.92551965120407</v>
      </c>
      <c r="E554" s="81">
        <v>3186953.0862425533</v>
      </c>
      <c r="F554" s="81" t="s">
        <v>518</v>
      </c>
      <c r="G554" s="25">
        <f t="shared" si="15"/>
        <v>-8.1724782067238433E-4</v>
      </c>
      <c r="I554" s="81">
        <v>89.344111522851605</v>
      </c>
      <c r="J554" s="81">
        <v>90.270008823010429</v>
      </c>
      <c r="K554" s="81">
        <v>88.916008470090006</v>
      </c>
      <c r="L554" s="81">
        <v>89.99124404446799</v>
      </c>
      <c r="M554" s="81">
        <v>8902710.3530662879</v>
      </c>
      <c r="N554" s="81" t="s">
        <v>518</v>
      </c>
      <c r="O554" s="25">
        <f t="shared" si="16"/>
        <v>-7.1910609580706497E-3</v>
      </c>
    </row>
    <row r="555" spans="1:15">
      <c r="A555" s="81">
        <v>509.35134073901935</v>
      </c>
      <c r="B555" s="81">
        <v>509.35134073901935</v>
      </c>
      <c r="C555" s="81">
        <v>504.1127510772921</v>
      </c>
      <c r="D555" s="81">
        <v>504.9049763569484</v>
      </c>
      <c r="E555" s="81">
        <v>3841647.6703702165</v>
      </c>
      <c r="F555" s="81" t="s">
        <v>519</v>
      </c>
      <c r="G555" s="25">
        <f t="shared" si="15"/>
        <v>8.8063389950181481E-3</v>
      </c>
      <c r="I555" s="81">
        <v>90.419347097229576</v>
      </c>
      <c r="J555" s="81">
        <v>90.548773601552867</v>
      </c>
      <c r="K555" s="81">
        <v>89.015567319569442</v>
      </c>
      <c r="L555" s="81">
        <v>89.015567319569442</v>
      </c>
      <c r="M555" s="81">
        <v>9766674.7364409771</v>
      </c>
      <c r="N555" s="81" t="s">
        <v>519</v>
      </c>
      <c r="O555" s="25">
        <f t="shared" si="16"/>
        <v>1.577004809305449E-2</v>
      </c>
    </row>
    <row r="556" spans="1:15">
      <c r="A556" s="81">
        <v>504.49896090112452</v>
      </c>
      <c r="B556" s="81">
        <v>505.15254675684099</v>
      </c>
      <c r="C556" s="81">
        <v>501.72617242232747</v>
      </c>
      <c r="D556" s="81">
        <v>501.91432592624585</v>
      </c>
      <c r="E556" s="81">
        <v>3483136.5154078021</v>
      </c>
      <c r="F556" s="81" t="s">
        <v>520</v>
      </c>
      <c r="G556" s="25">
        <f t="shared" si="15"/>
        <v>5.149554099913134E-3</v>
      </c>
      <c r="I556" s="81">
        <v>88.906052585142064</v>
      </c>
      <c r="J556" s="81">
        <v>89.27442032821601</v>
      </c>
      <c r="K556" s="81">
        <v>87.950287630139428</v>
      </c>
      <c r="L556" s="81">
        <v>88.567552496911958</v>
      </c>
      <c r="M556" s="81">
        <v>10323284.222084366</v>
      </c>
      <c r="N556" s="81" t="s">
        <v>520</v>
      </c>
      <c r="O556" s="25">
        <f t="shared" si="16"/>
        <v>3.8219424460432805E-3</v>
      </c>
    </row>
    <row r="557" spans="1:15">
      <c r="A557" s="81">
        <v>503.43935958958423</v>
      </c>
      <c r="B557" s="81">
        <v>503.64731872549402</v>
      </c>
      <c r="C557" s="81">
        <v>499.58290595637737</v>
      </c>
      <c r="D557" s="81">
        <v>500.18133312699769</v>
      </c>
      <c r="E557" s="81">
        <v>4320945.680356387</v>
      </c>
      <c r="F557" s="81" t="s">
        <v>521</v>
      </c>
      <c r="G557" s="25">
        <f t="shared" si="15"/>
        <v>6.5136906293927765E-3</v>
      </c>
      <c r="I557" s="81">
        <v>88.398302452796912</v>
      </c>
      <c r="J557" s="81">
        <v>88.532706899594146</v>
      </c>
      <c r="K557" s="81">
        <v>86.825272631021718</v>
      </c>
      <c r="L557" s="81">
        <v>86.865096170813501</v>
      </c>
      <c r="M557" s="81">
        <v>12455935.423963131</v>
      </c>
      <c r="N557" s="81" t="s">
        <v>521</v>
      </c>
      <c r="O557" s="25">
        <f t="shared" si="16"/>
        <v>1.7650429799426881E-2</v>
      </c>
    </row>
    <row r="558" spans="1:15">
      <c r="A558" s="81">
        <v>494.9427434652705</v>
      </c>
      <c r="B558" s="81">
        <v>495.98253914481938</v>
      </c>
      <c r="C558" s="81">
        <v>491.65302799149771</v>
      </c>
      <c r="D558" s="81">
        <v>494.07129565764859</v>
      </c>
      <c r="E558" s="81">
        <v>3736818.9024267974</v>
      </c>
      <c r="F558" s="81" t="s">
        <v>522</v>
      </c>
      <c r="G558" s="25">
        <f t="shared" si="15"/>
        <v>1.7638098292311888E-3</v>
      </c>
      <c r="I558" s="81">
        <v>85.919287100758794</v>
      </c>
      <c r="J558" s="81">
        <v>86.158228339509463</v>
      </c>
      <c r="K558" s="81">
        <v>85.182551614610915</v>
      </c>
      <c r="L558" s="81">
        <v>85.630566437268413</v>
      </c>
      <c r="M558" s="81">
        <v>9517103.7527472507</v>
      </c>
      <c r="N558" s="81" t="s">
        <v>522</v>
      </c>
      <c r="O558" s="25">
        <f t="shared" si="16"/>
        <v>3.3717009650040541E-3</v>
      </c>
    </row>
    <row r="559" spans="1:15">
      <c r="A559" s="81">
        <v>493.36819572195355</v>
      </c>
      <c r="B559" s="81">
        <v>493.53654359388054</v>
      </c>
      <c r="C559" s="81">
        <v>488.12960606022637</v>
      </c>
      <c r="D559" s="81">
        <v>488.3474680121318</v>
      </c>
      <c r="E559" s="81">
        <v>3279761.0310128825</v>
      </c>
      <c r="F559" s="81" t="s">
        <v>523</v>
      </c>
      <c r="G559" s="25">
        <f t="shared" si="15"/>
        <v>1.0281056089548546E-2</v>
      </c>
      <c r="I559" s="81">
        <v>85.222375154402684</v>
      </c>
      <c r="J559" s="81">
        <v>86.078581259925897</v>
      </c>
      <c r="K559" s="81">
        <v>84.933654490912318</v>
      </c>
      <c r="L559" s="81">
        <v>86.078581259925897</v>
      </c>
      <c r="M559" s="81">
        <v>14679972.776320452</v>
      </c>
      <c r="N559" s="81" t="s">
        <v>523</v>
      </c>
      <c r="O559" s="25">
        <f t="shared" si="16"/>
        <v>-9.9467962063383153E-3</v>
      </c>
    </row>
    <row r="560" spans="1:15">
      <c r="A560" s="81">
        <v>485.3073035014508</v>
      </c>
      <c r="B560" s="81">
        <v>487.56514554847126</v>
      </c>
      <c r="C560" s="81">
        <v>483.23761495834873</v>
      </c>
      <c r="D560" s="81">
        <v>486.16884849307701</v>
      </c>
      <c r="E560" s="81">
        <v>3613249.0006401851</v>
      </c>
      <c r="F560" s="81" t="s">
        <v>524</v>
      </c>
      <c r="G560" s="25">
        <f t="shared" si="15"/>
        <v>-1.7721106448852497E-3</v>
      </c>
      <c r="I560" s="81">
        <v>85.570831127580746</v>
      </c>
      <c r="J560" s="81">
        <v>85.998934180342346</v>
      </c>
      <c r="K560" s="81">
        <v>85.102904535027363</v>
      </c>
      <c r="L560" s="81">
        <v>85.481228163049252</v>
      </c>
      <c r="M560" s="81">
        <v>11806681.235732008</v>
      </c>
      <c r="N560" s="81" t="s">
        <v>524</v>
      </c>
      <c r="O560" s="25">
        <f t="shared" si="16"/>
        <v>1.0482180293500676E-3</v>
      </c>
    </row>
    <row r="561" spans="1:15">
      <c r="A561" s="81">
        <v>485.05973310155821</v>
      </c>
      <c r="B561" s="81">
        <v>486.43622452496101</v>
      </c>
      <c r="C561" s="81">
        <v>481.09860670327669</v>
      </c>
      <c r="D561" s="81">
        <v>482.19781927879984</v>
      </c>
      <c r="E561" s="81">
        <v>7736517.5757318391</v>
      </c>
      <c r="F561" s="81" t="s">
        <v>525</v>
      </c>
      <c r="G561" s="25">
        <f t="shared" si="15"/>
        <v>5.9351446819870812E-3</v>
      </c>
      <c r="I561" s="81">
        <v>85.829684136227286</v>
      </c>
      <c r="J561" s="81">
        <v>85.869507676019069</v>
      </c>
      <c r="K561" s="81">
        <v>84.336301394035658</v>
      </c>
      <c r="L561" s="81">
        <v>85.750037056643734</v>
      </c>
      <c r="M561" s="81">
        <v>16079330.048209852</v>
      </c>
      <c r="N561" s="81" t="s">
        <v>525</v>
      </c>
      <c r="O561" s="25">
        <f t="shared" si="16"/>
        <v>9.2882851503528485E-4</v>
      </c>
    </row>
    <row r="562" spans="1:15">
      <c r="A562" s="81">
        <v>482.99004455845613</v>
      </c>
      <c r="B562" s="81">
        <v>483.52479662222407</v>
      </c>
      <c r="C562" s="81">
        <v>474.97866641793183</v>
      </c>
      <c r="D562" s="81">
        <v>476.81068737713701</v>
      </c>
      <c r="E562" s="81">
        <v>4218228.4330157014</v>
      </c>
      <c r="F562" s="81" t="s">
        <v>526</v>
      </c>
      <c r="G562" s="25">
        <f t="shared" si="15"/>
        <v>1.295977071174903E-2</v>
      </c>
      <c r="I562" s="81">
        <v>85.580787012528688</v>
      </c>
      <c r="J562" s="81">
        <v>85.949154755602621</v>
      </c>
      <c r="K562" s="81">
        <v>83.539830598200112</v>
      </c>
      <c r="L562" s="81">
        <v>84.774360331745214</v>
      </c>
      <c r="M562" s="81">
        <v>21987471.846508328</v>
      </c>
      <c r="N562" s="81" t="s">
        <v>526</v>
      </c>
      <c r="O562" s="25">
        <f t="shared" si="16"/>
        <v>9.512624779800305E-3</v>
      </c>
    </row>
    <row r="563" spans="1:15">
      <c r="A563" s="81">
        <v>471.97811317123364</v>
      </c>
      <c r="B563" s="81">
        <v>483.80207547010383</v>
      </c>
      <c r="C563" s="81">
        <v>471.48297237144845</v>
      </c>
      <c r="D563" s="81">
        <v>480.97977291132827</v>
      </c>
      <c r="E563" s="81">
        <v>6035001.5617707362</v>
      </c>
      <c r="F563" s="81" t="s">
        <v>527</v>
      </c>
      <c r="G563" s="25">
        <f t="shared" si="15"/>
        <v>-1.8715256331068519E-2</v>
      </c>
      <c r="I563" s="81">
        <v>85.580787012528688</v>
      </c>
      <c r="J563" s="81">
        <v>88.850996541379928</v>
      </c>
      <c r="K563" s="81">
        <v>85.37171342862186</v>
      </c>
      <c r="L563" s="81">
        <v>87.611787541909308</v>
      </c>
      <c r="M563" s="81">
        <v>30717436.129386738</v>
      </c>
      <c r="N563" s="81" t="s">
        <v>527</v>
      </c>
      <c r="O563" s="25">
        <f t="shared" si="16"/>
        <v>-2.3181818181818081E-2</v>
      </c>
    </row>
    <row r="564" spans="1:15">
      <c r="A564" s="81">
        <v>475.27575089780294</v>
      </c>
      <c r="B564" s="81">
        <v>482.12849956682993</v>
      </c>
      <c r="C564" s="81">
        <v>471.31462449952147</v>
      </c>
      <c r="D564" s="81">
        <v>472.75053281889848</v>
      </c>
      <c r="E564" s="81">
        <v>8336053.1020483728</v>
      </c>
      <c r="F564" s="81" t="s">
        <v>528</v>
      </c>
      <c r="G564" s="25">
        <f t="shared" si="15"/>
        <v>5.3415446490290286E-3</v>
      </c>
      <c r="I564" s="81">
        <v>89.573096876654333</v>
      </c>
      <c r="J564" s="81">
        <v>91.504538556555502</v>
      </c>
      <c r="K564" s="81">
        <v>87.571964002117525</v>
      </c>
      <c r="L564" s="81">
        <v>87.840772895712036</v>
      </c>
      <c r="M564" s="81">
        <v>21813740.429457635</v>
      </c>
      <c r="N564" s="81" t="s">
        <v>528</v>
      </c>
      <c r="O564" s="25">
        <f t="shared" si="16"/>
        <v>1.9721183270996256E-2</v>
      </c>
    </row>
    <row r="565" spans="1:15">
      <c r="A565" s="81">
        <v>470.58181611583939</v>
      </c>
      <c r="B565" s="81">
        <v>476.50370008127021</v>
      </c>
      <c r="C565" s="81">
        <v>464.33313922255036</v>
      </c>
      <c r="D565" s="81">
        <v>465.60069967000044</v>
      </c>
      <c r="E565" s="81">
        <v>15393879.888926227</v>
      </c>
      <c r="F565" s="81" t="s">
        <v>529</v>
      </c>
      <c r="G565" s="25">
        <f t="shared" si="15"/>
        <v>1.0698258076865752E-2</v>
      </c>
      <c r="I565" s="81">
        <v>87.392758073054537</v>
      </c>
      <c r="J565" s="81">
        <v>89.164905593788617</v>
      </c>
      <c r="K565" s="81">
        <v>86.038757720134129</v>
      </c>
      <c r="L565" s="81">
        <v>86.506684312687497</v>
      </c>
      <c r="M565" s="81">
        <v>19187805.102091454</v>
      </c>
      <c r="N565" s="81" t="s">
        <v>529</v>
      </c>
      <c r="O565" s="25">
        <f t="shared" si="16"/>
        <v>1.0242835769363579E-2</v>
      </c>
    </row>
    <row r="566" spans="1:15">
      <c r="A566" s="81">
        <v>485.14885844551952</v>
      </c>
      <c r="B566" s="81">
        <v>488.72377501996851</v>
      </c>
      <c r="C566" s="81">
        <v>481.07880107128534</v>
      </c>
      <c r="D566" s="81">
        <v>487.62456244444547</v>
      </c>
      <c r="E566" s="81">
        <v>8645183.3536180388</v>
      </c>
      <c r="F566" s="81" t="s">
        <v>530</v>
      </c>
      <c r="G566" s="25">
        <f t="shared" si="15"/>
        <v>-5.0770699214069959E-3</v>
      </c>
      <c r="I566" s="81">
        <v>89.174861478736545</v>
      </c>
      <c r="J566" s="81">
        <v>91.793259220045897</v>
      </c>
      <c r="K566" s="81">
        <v>88.607376036703741</v>
      </c>
      <c r="L566" s="81">
        <v>91.753435680254114</v>
      </c>
      <c r="M566" s="81">
        <v>15501938.884083657</v>
      </c>
      <c r="N566" s="81" t="s">
        <v>530</v>
      </c>
      <c r="O566" s="25">
        <f t="shared" si="16"/>
        <v>-2.8103298611111271E-2</v>
      </c>
    </row>
    <row r="567" spans="1:15">
      <c r="A567" s="81">
        <v>494.18022663360125</v>
      </c>
      <c r="B567" s="81">
        <v>504.9445876209312</v>
      </c>
      <c r="C567" s="81">
        <v>490.93210298701047</v>
      </c>
      <c r="D567" s="81">
        <v>502.90460752581623</v>
      </c>
      <c r="E567" s="81">
        <v>7007316.9116850803</v>
      </c>
      <c r="F567" s="81" t="s">
        <v>531</v>
      </c>
      <c r="G567" s="25">
        <f t="shared" si="15"/>
        <v>-1.7347983616887275E-2</v>
      </c>
      <c r="I567" s="81">
        <v>92.639509440621154</v>
      </c>
      <c r="J567" s="81">
        <v>93.535539085936136</v>
      </c>
      <c r="K567" s="81">
        <v>92.191494617963656</v>
      </c>
      <c r="L567" s="81">
        <v>93.445936121404642</v>
      </c>
      <c r="M567" s="81">
        <v>9304643.4831619971</v>
      </c>
      <c r="N567" s="81" t="s">
        <v>531</v>
      </c>
      <c r="O567" s="25">
        <f t="shared" si="16"/>
        <v>-8.62987428084383E-3</v>
      </c>
    </row>
    <row r="568" spans="1:15">
      <c r="A568" s="81">
        <v>501.01316967063684</v>
      </c>
      <c r="B568" s="81">
        <v>503.7099045225869</v>
      </c>
      <c r="C568" s="81">
        <v>498.41368047176462</v>
      </c>
      <c r="D568" s="81">
        <v>499.57726135125984</v>
      </c>
      <c r="E568" s="81">
        <v>5420263.289077281</v>
      </c>
      <c r="F568" s="81" t="s">
        <v>532</v>
      </c>
      <c r="G568" s="25">
        <f t="shared" si="15"/>
        <v>2.8742467491278401E-3</v>
      </c>
      <c r="I568" s="81">
        <v>93.276686077289582</v>
      </c>
      <c r="J568" s="81">
        <v>94.416634903829191</v>
      </c>
      <c r="K568" s="81">
        <v>93.226906652549872</v>
      </c>
      <c r="L568" s="81">
        <v>93.371266984295048</v>
      </c>
      <c r="M568" s="81">
        <v>10287216.107408719</v>
      </c>
      <c r="N568" s="81" t="s">
        <v>532</v>
      </c>
      <c r="O568" s="25">
        <f t="shared" si="16"/>
        <v>-1.0129551634056044E-3</v>
      </c>
    </row>
    <row r="569" spans="1:15">
      <c r="A569" s="81">
        <v>493.23945911400943</v>
      </c>
      <c r="B569" s="81">
        <v>498.12154739989137</v>
      </c>
      <c r="C569" s="81">
        <v>490.10521785136922</v>
      </c>
      <c r="D569" s="81">
        <v>497.1708770643038</v>
      </c>
      <c r="E569" s="81">
        <v>3855267.0287485314</v>
      </c>
      <c r="F569" s="81" t="s">
        <v>533</v>
      </c>
      <c r="G569" s="25">
        <f t="shared" si="15"/>
        <v>-7.9075789264017038E-3</v>
      </c>
      <c r="I569" s="81">
        <v>93.376244926769033</v>
      </c>
      <c r="J569" s="81">
        <v>93.625142050467645</v>
      </c>
      <c r="K569" s="81">
        <v>91.265597317804847</v>
      </c>
      <c r="L569" s="81">
        <v>91.265597317804847</v>
      </c>
      <c r="M569" s="81">
        <v>9939903.937965259</v>
      </c>
      <c r="N569" s="81" t="s">
        <v>533</v>
      </c>
      <c r="O569" s="25">
        <f t="shared" si="16"/>
        <v>2.3126431766117728E-2</v>
      </c>
    </row>
    <row r="570" spans="1:15">
      <c r="A570" s="81">
        <v>495.8339969048838</v>
      </c>
      <c r="B570" s="81">
        <v>497.87892840799663</v>
      </c>
      <c r="C570" s="81">
        <v>493.92730871307106</v>
      </c>
      <c r="D570" s="81">
        <v>496.9431122964026</v>
      </c>
      <c r="E570" s="81">
        <v>3126563.1930788858</v>
      </c>
      <c r="F570" s="81" t="s">
        <v>534</v>
      </c>
      <c r="G570" s="25">
        <f t="shared" si="15"/>
        <v>-2.2318759714637926E-3</v>
      </c>
      <c r="I570" s="81">
        <v>91.73352391035823</v>
      </c>
      <c r="J570" s="81">
        <v>92.141715193223945</v>
      </c>
      <c r="K570" s="81">
        <v>89.792126345509104</v>
      </c>
      <c r="L570" s="81">
        <v>89.99124404446799</v>
      </c>
      <c r="M570" s="81">
        <v>13082560.785005314</v>
      </c>
      <c r="N570" s="81" t="s">
        <v>534</v>
      </c>
      <c r="O570" s="25">
        <f t="shared" si="16"/>
        <v>1.9360548733266869E-2</v>
      </c>
    </row>
    <row r="571" spans="1:15">
      <c r="A571" s="81">
        <v>495.46759271304273</v>
      </c>
      <c r="B571" s="81">
        <v>497.99776219994504</v>
      </c>
      <c r="C571" s="81">
        <v>492.83344365818562</v>
      </c>
      <c r="D571" s="81">
        <v>493.51673796188913</v>
      </c>
      <c r="E571" s="81">
        <v>3671666.7275020173</v>
      </c>
      <c r="F571" s="81" t="s">
        <v>535</v>
      </c>
      <c r="G571" s="25">
        <f t="shared" ref="G571:G634" si="17">A571/D571-1</f>
        <v>3.9529657275865215E-3</v>
      </c>
      <c r="I571" s="81">
        <v>89.533273336862564</v>
      </c>
      <c r="J571" s="81">
        <v>90.150538203635094</v>
      </c>
      <c r="K571" s="81">
        <v>88.940898182459861</v>
      </c>
      <c r="L571" s="81">
        <v>89.602964531498159</v>
      </c>
      <c r="M571" s="81">
        <v>11351936.125310171</v>
      </c>
      <c r="N571" s="81" t="s">
        <v>535</v>
      </c>
      <c r="O571" s="25">
        <f t="shared" ref="O571:O634" si="18">I571/L571-1</f>
        <v>-7.7777777777765511E-4</v>
      </c>
    </row>
    <row r="572" spans="1:15">
      <c r="A572" s="81">
        <v>489.97152983542719</v>
      </c>
      <c r="B572" s="81">
        <v>498.25028400783549</v>
      </c>
      <c r="C572" s="81">
        <v>489.11988765979675</v>
      </c>
      <c r="D572" s="81">
        <v>492.71460986623714</v>
      </c>
      <c r="E572" s="81">
        <v>5702015.4695894197</v>
      </c>
      <c r="F572" s="81" t="s">
        <v>536</v>
      </c>
      <c r="G572" s="25">
        <f t="shared" si="17"/>
        <v>-5.5672796703849503E-3</v>
      </c>
      <c r="I572" s="81">
        <v>88.816449620610555</v>
      </c>
      <c r="J572" s="81">
        <v>90.100758778895369</v>
      </c>
      <c r="K572" s="81">
        <v>88.816449620610555</v>
      </c>
      <c r="L572" s="81">
        <v>89.682611611081711</v>
      </c>
      <c r="M572" s="81">
        <v>10812986.546437431</v>
      </c>
      <c r="N572" s="81" t="s">
        <v>536</v>
      </c>
      <c r="O572" s="25">
        <f t="shared" si="18"/>
        <v>-9.6580817051510337E-3</v>
      </c>
    </row>
    <row r="573" spans="1:15">
      <c r="A573" s="81">
        <v>492.45713665034884</v>
      </c>
      <c r="B573" s="81">
        <v>499.79512330316527</v>
      </c>
      <c r="C573" s="81">
        <v>491.71937685866897</v>
      </c>
      <c r="D573" s="81">
        <v>499.52774727128127</v>
      </c>
      <c r="E573" s="81">
        <v>6217829.3554796651</v>
      </c>
      <c r="F573" s="81" t="s">
        <v>537</v>
      </c>
      <c r="G573" s="25">
        <f t="shared" si="17"/>
        <v>-1.4154590329679029E-2</v>
      </c>
      <c r="I573" s="81">
        <v>89.403846832539273</v>
      </c>
      <c r="J573" s="81">
        <v>90.34965590259398</v>
      </c>
      <c r="K573" s="81">
        <v>89.179839421210531</v>
      </c>
      <c r="L573" s="81">
        <v>89.82199400035293</v>
      </c>
      <c r="M573" s="81">
        <v>11820694.053349875</v>
      </c>
      <c r="N573" s="81" t="s">
        <v>537</v>
      </c>
      <c r="O573" s="25">
        <f t="shared" si="18"/>
        <v>-4.6552870760363518E-3</v>
      </c>
    </row>
    <row r="574" spans="1:15">
      <c r="A574" s="81">
        <v>503.99391728534363</v>
      </c>
      <c r="B574" s="81">
        <v>506.67758042017931</v>
      </c>
      <c r="C574" s="81">
        <v>503.548290565537</v>
      </c>
      <c r="D574" s="81">
        <v>504.70692003703437</v>
      </c>
      <c r="E574" s="81">
        <v>3146625.1633392838</v>
      </c>
      <c r="F574" s="81" t="s">
        <v>538</v>
      </c>
      <c r="G574" s="25">
        <f t="shared" si="17"/>
        <v>-1.4127065102226277E-3</v>
      </c>
      <c r="I574" s="81">
        <v>90.538817716604925</v>
      </c>
      <c r="J574" s="81">
        <v>91.285509087700731</v>
      </c>
      <c r="K574" s="81">
        <v>89.433714487383114</v>
      </c>
      <c r="L574" s="81">
        <v>90.299876477854255</v>
      </c>
      <c r="M574" s="81">
        <v>22634582.578872737</v>
      </c>
      <c r="N574" s="81" t="s">
        <v>538</v>
      </c>
      <c r="O574" s="25">
        <f t="shared" si="18"/>
        <v>2.6460859977950335E-3</v>
      </c>
    </row>
    <row r="575" spans="1:15">
      <c r="A575" s="81">
        <v>504.83565664497849</v>
      </c>
      <c r="B575" s="81">
        <v>505.36050589275072</v>
      </c>
      <c r="C575" s="81">
        <v>501.51821328641773</v>
      </c>
      <c r="D575" s="81">
        <v>503.33042861363151</v>
      </c>
      <c r="E575" s="81">
        <v>4385549.5264015486</v>
      </c>
      <c r="F575" s="81" t="s">
        <v>539</v>
      </c>
      <c r="G575" s="25">
        <f t="shared" si="17"/>
        <v>2.9905365258622307E-3</v>
      </c>
      <c r="I575" s="81">
        <v>93.714745014999124</v>
      </c>
      <c r="J575" s="81">
        <v>94.735223222163413</v>
      </c>
      <c r="K575" s="81">
        <v>93.077568378330696</v>
      </c>
      <c r="L575" s="81">
        <v>94.690421739897673</v>
      </c>
      <c r="M575" s="81">
        <v>13436312.361928392</v>
      </c>
      <c r="N575" s="81" t="s">
        <v>539</v>
      </c>
      <c r="O575" s="25">
        <f t="shared" si="18"/>
        <v>-1.0303858689938106E-2</v>
      </c>
    </row>
    <row r="576" spans="1:15">
      <c r="A576" s="81">
        <v>499.64658106322975</v>
      </c>
      <c r="B576" s="81">
        <v>504.25139050123192</v>
      </c>
      <c r="C576" s="81">
        <v>498.66620227965507</v>
      </c>
      <c r="D576" s="81">
        <v>502.70655120590214</v>
      </c>
      <c r="E576" s="81">
        <v>4079079.1243142341</v>
      </c>
      <c r="F576" s="81" t="s">
        <v>540</v>
      </c>
      <c r="G576" s="25">
        <f t="shared" si="17"/>
        <v>-6.0869907808682733E-3</v>
      </c>
      <c r="I576" s="81">
        <v>95.317642491618145</v>
      </c>
      <c r="J576" s="81">
        <v>96.392878065996129</v>
      </c>
      <c r="K576" s="81">
        <v>95.018965943179822</v>
      </c>
      <c r="L576" s="81">
        <v>96.392878065996129</v>
      </c>
      <c r="M576" s="81">
        <v>9342176.0583126545</v>
      </c>
      <c r="N576" s="81" t="s">
        <v>540</v>
      </c>
      <c r="O576" s="25">
        <f t="shared" si="18"/>
        <v>-1.1154720099153081E-2</v>
      </c>
    </row>
    <row r="577" spans="1:15">
      <c r="A577" s="81">
        <v>503.0036356857733</v>
      </c>
      <c r="B577" s="81">
        <v>509.19289568308812</v>
      </c>
      <c r="C577" s="81">
        <v>500.95474305626215</v>
      </c>
      <c r="D577" s="81">
        <v>508.26203097949195</v>
      </c>
      <c r="E577" s="81">
        <v>5105466.9724182151</v>
      </c>
      <c r="F577" s="81" t="s">
        <v>541</v>
      </c>
      <c r="G577" s="25">
        <f t="shared" si="17"/>
        <v>-1.0345835362883582E-2</v>
      </c>
      <c r="I577" s="81">
        <v>96.363010411152302</v>
      </c>
      <c r="J577" s="81">
        <v>97.627407799541217</v>
      </c>
      <c r="K577" s="81">
        <v>96.248517734250939</v>
      </c>
      <c r="L577" s="81">
        <v>96.930495853185121</v>
      </c>
      <c r="M577" s="81">
        <v>7562741.0716058128</v>
      </c>
      <c r="N577" s="81" t="s">
        <v>541</v>
      </c>
      <c r="O577" s="25">
        <f t="shared" si="18"/>
        <v>-5.8545603944124558E-3</v>
      </c>
    </row>
    <row r="578" spans="1:15">
      <c r="A578" s="81">
        <v>506.81621984411925</v>
      </c>
      <c r="B578" s="81">
        <v>510.10395475469284</v>
      </c>
      <c r="C578" s="81">
        <v>506.588455076218</v>
      </c>
      <c r="D578" s="81">
        <v>508.5690182753587</v>
      </c>
      <c r="E578" s="81">
        <v>5033220.8557267217</v>
      </c>
      <c r="F578" s="81" t="s">
        <v>542</v>
      </c>
      <c r="G578" s="25">
        <f t="shared" si="17"/>
        <v>-3.4465301035904172E-3</v>
      </c>
      <c r="I578" s="81">
        <v>96.88071642844541</v>
      </c>
      <c r="J578" s="81">
        <v>98.174981471678151</v>
      </c>
      <c r="K578" s="81">
        <v>96.104157402505749</v>
      </c>
      <c r="L578" s="81">
        <v>97.866349038291872</v>
      </c>
      <c r="M578" s="81">
        <v>9497987.420950016</v>
      </c>
      <c r="N578" s="81" t="s">
        <v>542</v>
      </c>
      <c r="O578" s="25">
        <f t="shared" si="18"/>
        <v>-1.0071210579857381E-2</v>
      </c>
    </row>
    <row r="579" spans="1:15">
      <c r="A579" s="81">
        <v>513.99576144100433</v>
      </c>
      <c r="B579" s="81">
        <v>514.3522628168497</v>
      </c>
      <c r="C579" s="81">
        <v>511.57947433805271</v>
      </c>
      <c r="D579" s="81">
        <v>512.30237990573903</v>
      </c>
      <c r="E579" s="81">
        <v>4205167.5016547516</v>
      </c>
      <c r="F579" s="81" t="s">
        <v>543</v>
      </c>
      <c r="G579" s="25">
        <f t="shared" si="17"/>
        <v>3.3054336690312436E-3</v>
      </c>
      <c r="I579" s="81">
        <v>98.035599082406932</v>
      </c>
      <c r="J579" s="81">
        <v>98.284496206105544</v>
      </c>
      <c r="K579" s="81">
        <v>96.114113287453705</v>
      </c>
      <c r="L579" s="81">
        <v>96.591995764955016</v>
      </c>
      <c r="M579" s="81">
        <v>10803166.224034028</v>
      </c>
      <c r="N579" s="81" t="s">
        <v>543</v>
      </c>
      <c r="O579" s="25">
        <f t="shared" si="18"/>
        <v>1.4945372088229325E-2</v>
      </c>
    </row>
    <row r="580" spans="1:15">
      <c r="A580" s="81">
        <v>511.09423635426322</v>
      </c>
      <c r="B580" s="81">
        <v>514.07498396897006</v>
      </c>
      <c r="C580" s="81">
        <v>509.34143792302365</v>
      </c>
      <c r="D580" s="81">
        <v>511.5596687060613</v>
      </c>
      <c r="E580" s="81">
        <v>7847791.9849986648</v>
      </c>
      <c r="F580" s="81" t="s">
        <v>544</v>
      </c>
      <c r="G580" s="25">
        <f t="shared" si="17"/>
        <v>-9.0983003600608736E-4</v>
      </c>
      <c r="I580" s="81">
        <v>96.442657490735854</v>
      </c>
      <c r="J580" s="81">
        <v>97.059922357508398</v>
      </c>
      <c r="K580" s="81">
        <v>96.173848597141358</v>
      </c>
      <c r="L580" s="81">
        <v>96.900628198341295</v>
      </c>
      <c r="M580" s="81">
        <v>7450567.2160581341</v>
      </c>
      <c r="N580" s="81" t="s">
        <v>544</v>
      </c>
      <c r="O580" s="25">
        <f t="shared" si="18"/>
        <v>-4.7261892530566785E-3</v>
      </c>
    </row>
    <row r="581" spans="1:15">
      <c r="A581" s="81">
        <v>509.54939705893338</v>
      </c>
      <c r="B581" s="81">
        <v>512.99557702543825</v>
      </c>
      <c r="C581" s="81">
        <v>507.1925268519559</v>
      </c>
      <c r="D581" s="81">
        <v>507.50941696381847</v>
      </c>
      <c r="E581" s="81">
        <v>5289576.2198071387</v>
      </c>
      <c r="F581" s="81" t="s">
        <v>545</v>
      </c>
      <c r="G581" s="25">
        <f t="shared" si="17"/>
        <v>4.0195906261584202E-3</v>
      </c>
      <c r="I581" s="81">
        <v>96.701510499382394</v>
      </c>
      <c r="J581" s="81">
        <v>97.398422445738504</v>
      </c>
      <c r="K581" s="81">
        <v>96.552172225163247</v>
      </c>
      <c r="L581" s="81">
        <v>96.666664902064596</v>
      </c>
      <c r="M581" s="81">
        <v>6494386.0177242104</v>
      </c>
      <c r="N581" s="81" t="s">
        <v>545</v>
      </c>
      <c r="O581" s="25">
        <f t="shared" si="18"/>
        <v>3.6047170297126563E-4</v>
      </c>
    </row>
    <row r="582" spans="1:15">
      <c r="A582" s="81">
        <v>506.42010720429101</v>
      </c>
      <c r="B582" s="81">
        <v>511.76762784197103</v>
      </c>
      <c r="C582" s="81">
        <v>505.86059810053376</v>
      </c>
      <c r="D582" s="81">
        <v>510.98530537831044</v>
      </c>
      <c r="E582" s="81">
        <v>5600738.2166913431</v>
      </c>
      <c r="F582" s="81" t="s">
        <v>546</v>
      </c>
      <c r="G582" s="25">
        <f t="shared" si="17"/>
        <v>-8.9341085271318343E-3</v>
      </c>
      <c r="I582" s="81">
        <v>96.173848597141358</v>
      </c>
      <c r="J582" s="81">
        <v>97.149525322039892</v>
      </c>
      <c r="K582" s="81">
        <v>95.875172048703035</v>
      </c>
      <c r="L582" s="81">
        <v>96.582039880007073</v>
      </c>
      <c r="M582" s="81">
        <v>7465524.1988656493</v>
      </c>
      <c r="N582" s="81" t="s">
        <v>546</v>
      </c>
      <c r="O582" s="25">
        <f t="shared" si="18"/>
        <v>-4.2263684156272907E-3</v>
      </c>
    </row>
    <row r="583" spans="1:15">
      <c r="A583" s="81">
        <v>510.79715187439206</v>
      </c>
      <c r="B583" s="81">
        <v>511.16850747423092</v>
      </c>
      <c r="C583" s="81">
        <v>506.71719168416217</v>
      </c>
      <c r="D583" s="81">
        <v>507.00437334803757</v>
      </c>
      <c r="E583" s="81">
        <v>3480750.3254583725</v>
      </c>
      <c r="F583" s="81" t="s">
        <v>547</v>
      </c>
      <c r="G583" s="25">
        <f t="shared" si="17"/>
        <v>7.480760967225164E-3</v>
      </c>
      <c r="I583" s="81">
        <v>96.54221634021529</v>
      </c>
      <c r="J583" s="81">
        <v>96.850749214752085</v>
      </c>
      <c r="K583" s="81">
        <v>95.82539262396331</v>
      </c>
      <c r="L583" s="81">
        <v>96.522304570319406</v>
      </c>
      <c r="M583" s="81">
        <v>7795512.9459411539</v>
      </c>
      <c r="N583" s="81" t="s">
        <v>547</v>
      </c>
      <c r="O583" s="25">
        <f t="shared" si="18"/>
        <v>2.0629190304277678E-4</v>
      </c>
    </row>
    <row r="584" spans="1:15">
      <c r="A584" s="81">
        <v>505.92496640450588</v>
      </c>
      <c r="B584" s="81">
        <v>507.03408179602468</v>
      </c>
      <c r="C584" s="81">
        <v>505.57836784465627</v>
      </c>
      <c r="D584" s="81">
        <v>506.24185651636839</v>
      </c>
      <c r="E584" s="81">
        <v>3176695.3979199519</v>
      </c>
      <c r="F584" s="81" t="s">
        <v>548</v>
      </c>
      <c r="G584" s="25">
        <f t="shared" si="17"/>
        <v>-6.2596584573848535E-4</v>
      </c>
      <c r="I584" s="81">
        <v>96.621863419798842</v>
      </c>
      <c r="J584" s="81">
        <v>97.099745897300181</v>
      </c>
      <c r="K584" s="81">
        <v>95.725833774483874</v>
      </c>
      <c r="L584" s="81">
        <v>97.040010587612514</v>
      </c>
      <c r="M584" s="81">
        <v>9088670.7181850392</v>
      </c>
      <c r="N584" s="81" t="s">
        <v>548</v>
      </c>
      <c r="O584" s="25">
        <f t="shared" si="18"/>
        <v>-4.3090181594338528E-3</v>
      </c>
    </row>
    <row r="585" spans="1:15">
      <c r="A585" s="81">
        <v>505.37040870874642</v>
      </c>
      <c r="B585" s="81">
        <v>506.23690510837054</v>
      </c>
      <c r="C585" s="81">
        <v>504.3702242931804</v>
      </c>
      <c r="D585" s="81">
        <v>505.53875658067341</v>
      </c>
      <c r="E585" s="81">
        <v>3174227.4130547778</v>
      </c>
      <c r="F585" s="81" t="s">
        <v>549</v>
      </c>
      <c r="G585" s="25">
        <f t="shared" si="17"/>
        <v>-3.330068560235544E-4</v>
      </c>
      <c r="I585" s="81">
        <v>96.940451738133078</v>
      </c>
      <c r="J585" s="81">
        <v>97.856393153343944</v>
      </c>
      <c r="K585" s="81">
        <v>96.462569260631739</v>
      </c>
      <c r="L585" s="81">
        <v>97.259040056467285</v>
      </c>
      <c r="M585" s="81">
        <v>8203780.018255936</v>
      </c>
      <c r="N585" s="81" t="s">
        <v>549</v>
      </c>
      <c r="O585" s="25">
        <f t="shared" si="18"/>
        <v>-3.2756679291635615E-3</v>
      </c>
    </row>
    <row r="586" spans="1:15">
      <c r="A586" s="81">
        <v>504.88517072495694</v>
      </c>
      <c r="B586" s="81">
        <v>505.14264394084529</v>
      </c>
      <c r="C586" s="81">
        <v>501.56772736639624</v>
      </c>
      <c r="D586" s="81">
        <v>502.20150759012125</v>
      </c>
      <c r="E586" s="81">
        <v>3187903.3210044717</v>
      </c>
      <c r="F586" s="81" t="s">
        <v>550</v>
      </c>
      <c r="G586" s="25">
        <f t="shared" si="17"/>
        <v>5.3437974483860895E-3</v>
      </c>
      <c r="I586" s="81">
        <v>97.109701782248152</v>
      </c>
      <c r="J586" s="81">
        <v>97.421871963505524</v>
      </c>
      <c r="K586" s="81">
        <v>96.707349104183123</v>
      </c>
      <c r="L586" s="81">
        <v>97.421871963505524</v>
      </c>
      <c r="M586" s="81">
        <v>8628271.5221268218</v>
      </c>
      <c r="N586" s="81" t="s">
        <v>550</v>
      </c>
      <c r="O586" s="25">
        <f t="shared" si="18"/>
        <v>-3.2043131071666231E-3</v>
      </c>
    </row>
    <row r="587" spans="1:15">
      <c r="A587" s="81">
        <v>501.88461747825875</v>
      </c>
      <c r="B587" s="81">
        <v>502.21141040611695</v>
      </c>
      <c r="C587" s="81">
        <v>499.31978813537154</v>
      </c>
      <c r="D587" s="81">
        <v>499.31978813537154</v>
      </c>
      <c r="E587" s="81">
        <v>2151999.9977022349</v>
      </c>
      <c r="F587" s="81" t="s">
        <v>551</v>
      </c>
      <c r="G587" s="25">
        <f t="shared" si="17"/>
        <v>5.1366467018363338E-3</v>
      </c>
      <c r="I587" s="81">
        <v>97.7241319802785</v>
      </c>
      <c r="J587" s="81">
        <v>98.189909711043441</v>
      </c>
      <c r="K587" s="81">
        <v>96.951139150498392</v>
      </c>
      <c r="L587" s="81">
        <v>96.961049314982759</v>
      </c>
      <c r="M587" s="81">
        <v>5075565.6053317282</v>
      </c>
      <c r="N587" s="81" t="s">
        <v>551</v>
      </c>
      <c r="O587" s="25">
        <f t="shared" si="18"/>
        <v>7.8699918233848809E-3</v>
      </c>
    </row>
    <row r="588" spans="1:15">
      <c r="A588" s="81">
        <v>499.62677543123829</v>
      </c>
      <c r="B588" s="81">
        <v>499.70599795920396</v>
      </c>
      <c r="C588" s="81">
        <v>494.75458996135211</v>
      </c>
      <c r="D588" s="81">
        <v>494.83381248931772</v>
      </c>
      <c r="E588" s="81">
        <v>4251399.8056982309</v>
      </c>
      <c r="F588" s="81" t="s">
        <v>552</v>
      </c>
      <c r="G588" s="25">
        <f t="shared" si="17"/>
        <v>9.6860053233003285E-3</v>
      </c>
      <c r="I588" s="81">
        <v>97.109701782248152</v>
      </c>
      <c r="J588" s="81">
        <v>97.109701782248152</v>
      </c>
      <c r="K588" s="81">
        <v>96.07904467587467</v>
      </c>
      <c r="L588" s="81">
        <v>97.055195877584168</v>
      </c>
      <c r="M588" s="81">
        <v>13461249.831980865</v>
      </c>
      <c r="N588" s="81" t="s">
        <v>552</v>
      </c>
      <c r="O588" s="25">
        <f t="shared" si="18"/>
        <v>5.6159697758717542E-4</v>
      </c>
    </row>
    <row r="589" spans="1:15">
      <c r="A589" s="81">
        <v>496.40836023263461</v>
      </c>
      <c r="B589" s="81">
        <v>496.8043738443028</v>
      </c>
      <c r="C589" s="81">
        <v>493.75440554578603</v>
      </c>
      <c r="D589" s="81">
        <v>496.6163193685444</v>
      </c>
      <c r="E589" s="81">
        <v>4411397.7295905249</v>
      </c>
      <c r="F589" s="81" t="s">
        <v>553</v>
      </c>
      <c r="G589" s="25">
        <f t="shared" si="17"/>
        <v>-4.1875211868636075E-4</v>
      </c>
      <c r="I589" s="81">
        <v>97.159252604669959</v>
      </c>
      <c r="J589" s="81">
        <v>98.843980567011229</v>
      </c>
      <c r="K589" s="81">
        <v>97.000689972920185</v>
      </c>
      <c r="L589" s="81">
        <v>98.507034974542989</v>
      </c>
      <c r="M589" s="81">
        <v>15437655.978509521</v>
      </c>
      <c r="N589" s="81" t="s">
        <v>553</v>
      </c>
      <c r="O589" s="25">
        <f t="shared" si="18"/>
        <v>-1.3682092555332037E-2</v>
      </c>
    </row>
    <row r="590" spans="1:15">
      <c r="A590" s="81">
        <v>495.2695363931287</v>
      </c>
      <c r="B590" s="81">
        <v>500.81511335072275</v>
      </c>
      <c r="C590" s="81">
        <v>494.16042100160985</v>
      </c>
      <c r="D590" s="81">
        <v>498.08193613590856</v>
      </c>
      <c r="E590" s="81">
        <v>5653514.1139943674</v>
      </c>
      <c r="F590" s="81" t="s">
        <v>554</v>
      </c>
      <c r="G590" s="25">
        <f t="shared" si="17"/>
        <v>-5.6464600274370724E-3</v>
      </c>
      <c r="I590" s="81">
        <v>98.398023165215022</v>
      </c>
      <c r="J590" s="81">
        <v>101.65846728056961</v>
      </c>
      <c r="K590" s="81">
        <v>97.496198197138213</v>
      </c>
      <c r="L590" s="81">
        <v>101.10349806944542</v>
      </c>
      <c r="M590" s="81">
        <v>21633764.034728393</v>
      </c>
      <c r="N590" s="81" t="s">
        <v>554</v>
      </c>
      <c r="O590" s="25">
        <f t="shared" si="18"/>
        <v>-2.6759458929621616E-2</v>
      </c>
    </row>
    <row r="591" spans="1:15">
      <c r="A591" s="81">
        <v>497.18721671069676</v>
      </c>
      <c r="B591" s="81">
        <v>497.80888575213316</v>
      </c>
      <c r="C591" s="81">
        <v>495.67744903863684</v>
      </c>
      <c r="D591" s="81">
        <v>496.34845689288568</v>
      </c>
      <c r="E591" s="81">
        <v>3668161.832107625</v>
      </c>
      <c r="F591" s="81" t="s">
        <v>555</v>
      </c>
      <c r="G591" s="25">
        <f t="shared" si="17"/>
        <v>1.6898608349902311E-3</v>
      </c>
      <c r="I591" s="81">
        <v>101.25215053671083</v>
      </c>
      <c r="J591" s="81">
        <v>101.3611623460388</v>
      </c>
      <c r="K591" s="81">
        <v>100.89538461527385</v>
      </c>
      <c r="L591" s="81">
        <v>101.12331839841414</v>
      </c>
      <c r="M591" s="81">
        <v>8440995.1148654763</v>
      </c>
      <c r="N591" s="81" t="s">
        <v>555</v>
      </c>
      <c r="O591" s="25">
        <f t="shared" si="18"/>
        <v>1.2740101920816205E-3</v>
      </c>
    </row>
    <row r="592" spans="1:15">
      <c r="A592" s="81">
        <v>496.41753123082304</v>
      </c>
      <c r="B592" s="81">
        <v>497.10827461019687</v>
      </c>
      <c r="C592" s="81">
        <v>494.26635899220179</v>
      </c>
      <c r="D592" s="81">
        <v>494.83868922082587</v>
      </c>
      <c r="E592" s="81">
        <v>3245619.2371071526</v>
      </c>
      <c r="F592" s="81" t="s">
        <v>556</v>
      </c>
      <c r="G592" s="25">
        <f t="shared" si="17"/>
        <v>3.1906195784392466E-3</v>
      </c>
      <c r="I592" s="81">
        <v>101.2620607011952</v>
      </c>
      <c r="J592" s="81">
        <v>101.45035382639804</v>
      </c>
      <c r="K592" s="81">
        <v>100.51879836486816</v>
      </c>
      <c r="L592" s="81">
        <v>100.9845760956331</v>
      </c>
      <c r="M592" s="81">
        <v>10214069.62111914</v>
      </c>
      <c r="N592" s="81" t="s">
        <v>556</v>
      </c>
      <c r="O592" s="25">
        <f t="shared" si="18"/>
        <v>2.7477919528950956E-3</v>
      </c>
    </row>
    <row r="593" spans="1:15">
      <c r="A593" s="81">
        <v>495.86493652732401</v>
      </c>
      <c r="B593" s="81">
        <v>496.18070492932344</v>
      </c>
      <c r="C593" s="81">
        <v>493.70389652614028</v>
      </c>
      <c r="D593" s="81">
        <v>495.07551552232536</v>
      </c>
      <c r="E593" s="81">
        <v>6421642.1502602752</v>
      </c>
      <c r="F593" s="81" t="s">
        <v>557</v>
      </c>
      <c r="G593" s="25">
        <f t="shared" si="17"/>
        <v>1.5945466504554417E-3</v>
      </c>
      <c r="I593" s="81">
        <v>101.28188103016392</v>
      </c>
      <c r="J593" s="81">
        <v>102.74561232450395</v>
      </c>
      <c r="K593" s="81">
        <v>100.8557439573364</v>
      </c>
      <c r="L593" s="81">
        <v>101.73774859644449</v>
      </c>
      <c r="M593" s="81">
        <v>10437474.591187391</v>
      </c>
      <c r="N593" s="81" t="s">
        <v>557</v>
      </c>
      <c r="O593" s="25">
        <f t="shared" si="18"/>
        <v>-4.4808104422364714E-3</v>
      </c>
    </row>
    <row r="594" spans="1:15">
      <c r="A594" s="81">
        <v>493.81244191432762</v>
      </c>
      <c r="B594" s="81">
        <v>497.76892131375513</v>
      </c>
      <c r="C594" s="81">
        <v>493.81244191432762</v>
      </c>
      <c r="D594" s="81">
        <v>495.39128392432485</v>
      </c>
      <c r="E594" s="81">
        <v>7116956.8131896658</v>
      </c>
      <c r="F594" s="81" t="s">
        <v>558</v>
      </c>
      <c r="G594" s="25">
        <f t="shared" si="17"/>
        <v>-3.1870605342310121E-3</v>
      </c>
      <c r="I594" s="81">
        <v>101.06385741150798</v>
      </c>
      <c r="J594" s="81">
        <v>102.15397550478762</v>
      </c>
      <c r="K594" s="81">
        <v>100.99448626011745</v>
      </c>
      <c r="L594" s="81">
        <v>101.33143185258571</v>
      </c>
      <c r="M594" s="81">
        <v>7460630.9629553407</v>
      </c>
      <c r="N594" s="81" t="s">
        <v>558</v>
      </c>
      <c r="O594" s="25">
        <f t="shared" si="18"/>
        <v>-2.6405867970659136E-3</v>
      </c>
    </row>
    <row r="595" spans="1:15">
      <c r="A595" s="81">
        <v>495.14458986026278</v>
      </c>
      <c r="B595" s="81">
        <v>496.56130453135847</v>
      </c>
      <c r="C595" s="81">
        <v>494.22688794195193</v>
      </c>
      <c r="D595" s="81">
        <v>495.46035826226228</v>
      </c>
      <c r="E595" s="81">
        <v>4406103.1793878563</v>
      </c>
      <c r="F595" s="81" t="s">
        <v>559</v>
      </c>
      <c r="G595" s="25">
        <f t="shared" si="17"/>
        <v>-6.3732324238208182E-4</v>
      </c>
      <c r="I595" s="81">
        <v>101.35125218155443</v>
      </c>
      <c r="J595" s="81">
        <v>101.61882662263217</v>
      </c>
      <c r="K595" s="81">
        <v>100.67240591437573</v>
      </c>
      <c r="L595" s="81">
        <v>100.88051936854731</v>
      </c>
      <c r="M595" s="81">
        <v>14273141.502668837</v>
      </c>
      <c r="N595" s="81" t="s">
        <v>559</v>
      </c>
      <c r="O595" s="25">
        <f t="shared" si="18"/>
        <v>4.6662409745075184E-3</v>
      </c>
    </row>
    <row r="596" spans="1:15">
      <c r="A596" s="81">
        <v>496.23004374213588</v>
      </c>
      <c r="B596" s="81">
        <v>499.05222383500598</v>
      </c>
      <c r="C596" s="81">
        <v>494.56239186907629</v>
      </c>
      <c r="D596" s="81">
        <v>498.46015808125702</v>
      </c>
      <c r="E596" s="81">
        <v>4875337.2099678321</v>
      </c>
      <c r="F596" s="81" t="s">
        <v>560</v>
      </c>
      <c r="G596" s="25">
        <f t="shared" si="17"/>
        <v>-4.4740072059231695E-3</v>
      </c>
      <c r="I596" s="81">
        <v>100.92511510872694</v>
      </c>
      <c r="J596" s="81">
        <v>101.01926167132837</v>
      </c>
      <c r="K596" s="81">
        <v>99.478231094010297</v>
      </c>
      <c r="L596" s="81">
        <v>99.666524219213144</v>
      </c>
      <c r="M596" s="81">
        <v>7958428.9569023969</v>
      </c>
      <c r="N596" s="81" t="s">
        <v>560</v>
      </c>
      <c r="O596" s="25">
        <f t="shared" si="18"/>
        <v>1.2628020284379149E-2</v>
      </c>
    </row>
    <row r="597" spans="1:15">
      <c r="A597" s="81">
        <v>497.61153050088348</v>
      </c>
      <c r="B597" s="81">
        <v>497.68573607535336</v>
      </c>
      <c r="C597" s="81">
        <v>495.98334967807381</v>
      </c>
      <c r="D597" s="81">
        <v>496.39779570569812</v>
      </c>
      <c r="E597" s="81">
        <v>3477652.5866635391</v>
      </c>
      <c r="F597" s="81" t="s">
        <v>561</v>
      </c>
      <c r="G597" s="25">
        <f t="shared" si="17"/>
        <v>2.4450849816122222E-3</v>
      </c>
      <c r="I597" s="81">
        <v>100.58816951625867</v>
      </c>
      <c r="J597" s="81">
        <v>100.84583379285205</v>
      </c>
      <c r="K597" s="81">
        <v>99.706164877150599</v>
      </c>
      <c r="L597" s="81">
        <v>100.21158326585298</v>
      </c>
      <c r="M597" s="81">
        <v>7108533.8806610322</v>
      </c>
      <c r="N597" s="81" t="s">
        <v>561</v>
      </c>
      <c r="O597" s="25">
        <f t="shared" si="18"/>
        <v>3.7579113924051111E-3</v>
      </c>
    </row>
    <row r="598" spans="1:15">
      <c r="A598" s="81">
        <v>496.28925031751078</v>
      </c>
      <c r="B598" s="81">
        <v>497.51285287525866</v>
      </c>
      <c r="C598" s="81">
        <v>491.32576574858194</v>
      </c>
      <c r="D598" s="81">
        <v>491.88822821464345</v>
      </c>
      <c r="E598" s="81">
        <v>4671311.2225920837</v>
      </c>
      <c r="F598" s="81" t="s">
        <v>562</v>
      </c>
      <c r="G598" s="25">
        <f t="shared" si="17"/>
        <v>8.9471994864387394E-3</v>
      </c>
      <c r="I598" s="81">
        <v>100.60798984522739</v>
      </c>
      <c r="J598" s="81">
        <v>101.00439642460182</v>
      </c>
      <c r="K598" s="81">
        <v>99.716075041634966</v>
      </c>
      <c r="L598" s="81">
        <v>100.07284096307194</v>
      </c>
      <c r="M598" s="81">
        <v>10483162.026619419</v>
      </c>
      <c r="N598" s="81" t="s">
        <v>562</v>
      </c>
      <c r="O598" s="25">
        <f t="shared" si="18"/>
        <v>5.3475935828874999E-3</v>
      </c>
    </row>
    <row r="599" spans="1:15">
      <c r="A599" s="81">
        <v>492.38161634276764</v>
      </c>
      <c r="B599" s="81">
        <v>492.44082291814249</v>
      </c>
      <c r="C599" s="81">
        <v>489.72718821345973</v>
      </c>
      <c r="D599" s="81">
        <v>490.68436118202055</v>
      </c>
      <c r="E599" s="81">
        <v>5889932.9642338268</v>
      </c>
      <c r="F599" s="81" t="s">
        <v>563</v>
      </c>
      <c r="G599" s="25">
        <f t="shared" si="17"/>
        <v>3.4589550738044483E-3</v>
      </c>
      <c r="I599" s="81">
        <v>99.07191435015153</v>
      </c>
      <c r="J599" s="81">
        <v>99.478231094010297</v>
      </c>
      <c r="K599" s="81">
        <v>98.358382507277568</v>
      </c>
      <c r="L599" s="81">
        <v>98.913351718401756</v>
      </c>
      <c r="M599" s="81">
        <v>7151821.7595531531</v>
      </c>
      <c r="N599" s="81" t="s">
        <v>563</v>
      </c>
      <c r="O599" s="25">
        <f t="shared" si="18"/>
        <v>1.6030457869953274E-3</v>
      </c>
    </row>
    <row r="600" spans="1:15">
      <c r="A600" s="81">
        <v>491.98690584026826</v>
      </c>
      <c r="B600" s="81">
        <v>492.84540118320427</v>
      </c>
      <c r="C600" s="81">
        <v>489.50022967452264</v>
      </c>
      <c r="D600" s="81">
        <v>492.69738474476708</v>
      </c>
      <c r="E600" s="81">
        <v>8926926.3870325722</v>
      </c>
      <c r="F600" s="81" t="s">
        <v>564</v>
      </c>
      <c r="G600" s="25">
        <f t="shared" si="17"/>
        <v>-1.4420188263569722E-3</v>
      </c>
      <c r="I600" s="81">
        <v>99.19083632396385</v>
      </c>
      <c r="J600" s="81">
        <v>100.16203244343117</v>
      </c>
      <c r="K600" s="81">
        <v>98.71019334647238</v>
      </c>
      <c r="L600" s="81">
        <v>99.706164877150599</v>
      </c>
      <c r="M600" s="81">
        <v>10256711.69841936</v>
      </c>
      <c r="N600" s="81" t="s">
        <v>564</v>
      </c>
      <c r="O600" s="25">
        <f t="shared" si="18"/>
        <v>-5.1684723188549775E-3</v>
      </c>
    </row>
    <row r="601" spans="1:15">
      <c r="A601" s="81">
        <v>491.05933615939489</v>
      </c>
      <c r="B601" s="81">
        <v>493.53614456257804</v>
      </c>
      <c r="C601" s="81">
        <v>490.14163424108398</v>
      </c>
      <c r="D601" s="81">
        <v>491.34550127370693</v>
      </c>
      <c r="E601" s="81">
        <v>3748354.2764423308</v>
      </c>
      <c r="F601" s="81" t="s">
        <v>565</v>
      </c>
      <c r="G601" s="25">
        <f t="shared" si="17"/>
        <v>-5.8241118229473976E-4</v>
      </c>
      <c r="I601" s="81">
        <v>99.894458002353446</v>
      </c>
      <c r="J601" s="81">
        <v>100.77646264146152</v>
      </c>
      <c r="K601" s="81">
        <v>99.349398955713625</v>
      </c>
      <c r="L601" s="81">
        <v>100.29086458172786</v>
      </c>
      <c r="M601" s="81">
        <v>9123731.5124981981</v>
      </c>
      <c r="N601" s="81" t="s">
        <v>565</v>
      </c>
      <c r="O601" s="25">
        <f t="shared" si="18"/>
        <v>-3.9525691699604515E-3</v>
      </c>
    </row>
    <row r="602" spans="1:15">
      <c r="A602" s="81">
        <v>487.00368574621444</v>
      </c>
      <c r="B602" s="81">
        <v>487.13196665952677</v>
      </c>
      <c r="C602" s="81">
        <v>482.64114791734079</v>
      </c>
      <c r="D602" s="81">
        <v>484.49727405534384</v>
      </c>
      <c r="E602" s="81">
        <v>4082407.7134932731</v>
      </c>
      <c r="F602" s="81" t="s">
        <v>566</v>
      </c>
      <c r="G602" s="25">
        <f t="shared" si="17"/>
        <v>5.1732214505386676E-3</v>
      </c>
      <c r="I602" s="81">
        <v>99.963829153743973</v>
      </c>
      <c r="J602" s="81">
        <v>101.95577221510041</v>
      </c>
      <c r="K602" s="81">
        <v>99.834997015447271</v>
      </c>
      <c r="L602" s="81">
        <v>101.71792826747577</v>
      </c>
      <c r="M602" s="81">
        <v>9217019.5705782622</v>
      </c>
      <c r="N602" s="81" t="s">
        <v>566</v>
      </c>
      <c r="O602" s="25">
        <f t="shared" si="18"/>
        <v>-1.724473889321898E-2</v>
      </c>
    </row>
    <row r="603" spans="1:15">
      <c r="A603" s="81">
        <v>485.89849633921642</v>
      </c>
      <c r="B603" s="81">
        <v>486.17479369096588</v>
      </c>
      <c r="C603" s="81">
        <v>483.08618400890879</v>
      </c>
      <c r="D603" s="81">
        <v>483.68811752522026</v>
      </c>
      <c r="E603" s="81">
        <v>3511659.2824950577</v>
      </c>
      <c r="F603" s="81" t="s">
        <v>567</v>
      </c>
      <c r="G603" s="25">
        <f t="shared" si="17"/>
        <v>4.5698431156537822E-3</v>
      </c>
      <c r="I603" s="81">
        <v>101.81702991231937</v>
      </c>
      <c r="J603" s="81">
        <v>101.92108663940516</v>
      </c>
      <c r="K603" s="81">
        <v>99.730940288361509</v>
      </c>
      <c r="L603" s="81">
        <v>100.34041540414967</v>
      </c>
      <c r="M603" s="81">
        <v>7702266.7101499578</v>
      </c>
      <c r="N603" s="81" t="s">
        <v>567</v>
      </c>
      <c r="O603" s="25">
        <f t="shared" si="18"/>
        <v>1.471604938271609E-2</v>
      </c>
    </row>
    <row r="604" spans="1:15">
      <c r="A604" s="81">
        <v>484.30978656665667</v>
      </c>
      <c r="B604" s="81">
        <v>487.00368574621444</v>
      </c>
      <c r="C604" s="81">
        <v>483.06644848378386</v>
      </c>
      <c r="D604" s="81">
        <v>484.0630925025946</v>
      </c>
      <c r="E604" s="81">
        <v>3104641.9901181473</v>
      </c>
      <c r="F604" s="81" t="s">
        <v>568</v>
      </c>
      <c r="G604" s="25">
        <f t="shared" si="17"/>
        <v>5.0963204566301101E-4</v>
      </c>
      <c r="I604" s="81">
        <v>100.62781017419613</v>
      </c>
      <c r="J604" s="81">
        <v>101.35125218155443</v>
      </c>
      <c r="K604" s="81">
        <v>99.648685923141315</v>
      </c>
      <c r="L604" s="81">
        <v>99.953918989259606</v>
      </c>
      <c r="M604" s="81">
        <v>6102651.4842859227</v>
      </c>
      <c r="N604" s="81" t="s">
        <v>568</v>
      </c>
      <c r="O604" s="25">
        <f t="shared" si="18"/>
        <v>6.7420186396986992E-3</v>
      </c>
    </row>
    <row r="605" spans="1:15">
      <c r="A605" s="81">
        <v>484.94132337065554</v>
      </c>
      <c r="B605" s="81">
        <v>485.67153780027928</v>
      </c>
      <c r="C605" s="81">
        <v>483.16522478703428</v>
      </c>
      <c r="D605" s="81">
        <v>485.33603387315486</v>
      </c>
      <c r="E605" s="81">
        <v>21629993.491280023</v>
      </c>
      <c r="F605" s="81" t="s">
        <v>569</v>
      </c>
      <c r="G605" s="25">
        <f t="shared" si="17"/>
        <v>-8.1327260897856579E-4</v>
      </c>
      <c r="I605" s="81">
        <v>100.30077474621221</v>
      </c>
      <c r="J605" s="81">
        <v>101.01430658908619</v>
      </c>
      <c r="K605" s="81">
        <v>99.904467268482648</v>
      </c>
      <c r="L605" s="81">
        <v>100.14221211446245</v>
      </c>
      <c r="M605" s="81">
        <v>10388026.370547527</v>
      </c>
      <c r="N605" s="81" t="s">
        <v>569</v>
      </c>
      <c r="O605" s="25">
        <f t="shared" si="18"/>
        <v>1.5833745670459365E-3</v>
      </c>
    </row>
    <row r="606" spans="1:15">
      <c r="A606" s="81">
        <v>485.04986875884288</v>
      </c>
      <c r="B606" s="81">
        <v>485.04986875884288</v>
      </c>
      <c r="C606" s="81">
        <v>479.63246711203982</v>
      </c>
      <c r="D606" s="81">
        <v>481.4185321358492</v>
      </c>
      <c r="E606" s="81">
        <v>3066699.244979193</v>
      </c>
      <c r="F606" s="81" t="s">
        <v>570</v>
      </c>
      <c r="G606" s="25">
        <f t="shared" si="17"/>
        <v>7.5429930104331522E-3</v>
      </c>
      <c r="I606" s="81">
        <v>100.58816951625867</v>
      </c>
      <c r="J606" s="81">
        <v>102.15397550478762</v>
      </c>
      <c r="K606" s="81">
        <v>100.12229268384888</v>
      </c>
      <c r="L606" s="81">
        <v>102.07469418891274</v>
      </c>
      <c r="M606" s="81">
        <v>10894750.553372638</v>
      </c>
      <c r="N606" s="81" t="s">
        <v>570</v>
      </c>
      <c r="O606" s="25">
        <f t="shared" si="18"/>
        <v>-1.4563106796116498E-2</v>
      </c>
    </row>
    <row r="607" spans="1:15">
      <c r="A607" s="81">
        <v>479.31669871004038</v>
      </c>
      <c r="B607" s="81">
        <v>479.9778388017267</v>
      </c>
      <c r="C607" s="81">
        <v>476.17875021517079</v>
      </c>
      <c r="D607" s="81">
        <v>477.59970802416836</v>
      </c>
      <c r="E607" s="81">
        <v>2594579.0484806858</v>
      </c>
      <c r="F607" s="81" t="s">
        <v>571</v>
      </c>
      <c r="G607" s="25">
        <f t="shared" si="17"/>
        <v>3.5950413223140298E-3</v>
      </c>
      <c r="I607" s="81">
        <v>102.40172961689665</v>
      </c>
      <c r="J607" s="81">
        <v>102.56029224864641</v>
      </c>
      <c r="K607" s="81">
        <v>100.71700165455536</v>
      </c>
      <c r="L607" s="81">
        <v>101.18773446756249</v>
      </c>
      <c r="M607" s="81">
        <v>7335003.3810958508</v>
      </c>
      <c r="N607" s="81" t="s">
        <v>571</v>
      </c>
      <c r="O607" s="25">
        <f t="shared" si="18"/>
        <v>1.1997453601684471E-2</v>
      </c>
    </row>
    <row r="608" spans="1:15">
      <c r="A608" s="81">
        <v>478.73450071885384</v>
      </c>
      <c r="B608" s="81">
        <v>479.9778388017267</v>
      </c>
      <c r="C608" s="81">
        <v>474.04731350167452</v>
      </c>
      <c r="D608" s="81">
        <v>479.86929341353942</v>
      </c>
      <c r="E608" s="81">
        <v>4267690.8502147933</v>
      </c>
      <c r="F608" s="81" t="s">
        <v>572</v>
      </c>
      <c r="G608" s="25">
        <f t="shared" si="17"/>
        <v>-2.3647953937899757E-3</v>
      </c>
      <c r="I608" s="81">
        <v>101.84676040577246</v>
      </c>
      <c r="J608" s="81">
        <v>103.28373425600472</v>
      </c>
      <c r="K608" s="81">
        <v>101.55936563572601</v>
      </c>
      <c r="L608" s="81">
        <v>103.23418343358293</v>
      </c>
      <c r="M608" s="81">
        <v>6971230.4078329708</v>
      </c>
      <c r="N608" s="81" t="s">
        <v>572</v>
      </c>
      <c r="O608" s="25">
        <f t="shared" si="18"/>
        <v>-1.3439569933762163E-2</v>
      </c>
    </row>
    <row r="609" spans="1:15">
      <c r="A609" s="81">
        <v>478.21150930304231</v>
      </c>
      <c r="B609" s="81">
        <v>478.49767441735429</v>
      </c>
      <c r="C609" s="81">
        <v>470.17421669590004</v>
      </c>
      <c r="D609" s="81">
        <v>474.87620555692308</v>
      </c>
      <c r="E609" s="81">
        <v>5405451.3028918337</v>
      </c>
      <c r="F609" s="81" t="s">
        <v>573</v>
      </c>
      <c r="G609" s="25">
        <f t="shared" si="17"/>
        <v>7.0235225667028001E-3</v>
      </c>
      <c r="I609" s="81">
        <v>102.97651915698954</v>
      </c>
      <c r="J609" s="81">
        <v>103.14499195322368</v>
      </c>
      <c r="K609" s="81">
        <v>100.49897803589943</v>
      </c>
      <c r="L609" s="81">
        <v>100.60798984522739</v>
      </c>
      <c r="M609" s="81">
        <v>14869370.758936454</v>
      </c>
      <c r="N609" s="81" t="s">
        <v>573</v>
      </c>
      <c r="O609" s="25">
        <f t="shared" si="18"/>
        <v>2.354215918045699E-2</v>
      </c>
    </row>
    <row r="610" spans="1:15">
      <c r="A610" s="81">
        <v>474.08678455192444</v>
      </c>
      <c r="B610" s="81">
        <v>476.36663241436048</v>
      </c>
      <c r="C610" s="81">
        <v>472.86318199417656</v>
      </c>
      <c r="D610" s="81">
        <v>475.74456866242156</v>
      </c>
      <c r="E610" s="81">
        <v>3439066.3319184515</v>
      </c>
      <c r="F610" s="81" t="s">
        <v>574</v>
      </c>
      <c r="G610" s="25">
        <f t="shared" si="17"/>
        <v>-3.4846096407533667E-3</v>
      </c>
      <c r="I610" s="81">
        <v>100.78637280594589</v>
      </c>
      <c r="J610" s="81">
        <v>101.15304889186721</v>
      </c>
      <c r="K610" s="81">
        <v>100.06293079858757</v>
      </c>
      <c r="L610" s="81">
        <v>100.22644851257952</v>
      </c>
      <c r="M610" s="81">
        <v>7369916.0205930071</v>
      </c>
      <c r="N610" s="81" t="s">
        <v>574</v>
      </c>
      <c r="O610" s="25">
        <f t="shared" si="18"/>
        <v>5.5865921787709993E-3</v>
      </c>
    </row>
    <row r="611" spans="1:15">
      <c r="A611" s="81">
        <v>477.29380738473139</v>
      </c>
      <c r="B611" s="81">
        <v>478.27071587841715</v>
      </c>
      <c r="C611" s="81">
        <v>476.57346071767012</v>
      </c>
      <c r="D611" s="81">
        <v>476.80041925660726</v>
      </c>
      <c r="E611" s="81">
        <v>5680072.8275627885</v>
      </c>
      <c r="F611" s="81" t="s">
        <v>575</v>
      </c>
      <c r="G611" s="25">
        <f t="shared" si="17"/>
        <v>1.0347896272686619E-3</v>
      </c>
      <c r="I611" s="81">
        <v>99.973739318228326</v>
      </c>
      <c r="J611" s="81">
        <v>101.16295905635158</v>
      </c>
      <c r="K611" s="81">
        <v>99.864727508900359</v>
      </c>
      <c r="L611" s="81">
        <v>100.84583379285205</v>
      </c>
      <c r="M611" s="81">
        <v>7443123.6854249015</v>
      </c>
      <c r="N611" s="81" t="s">
        <v>575</v>
      </c>
      <c r="O611" s="25">
        <f t="shared" si="18"/>
        <v>-8.6477987421383906E-3</v>
      </c>
    </row>
    <row r="612" spans="1:15">
      <c r="A612" s="81">
        <v>480.678449943663</v>
      </c>
      <c r="B612" s="81">
        <v>481.19650747819333</v>
      </c>
      <c r="C612" s="81">
        <v>478.11776555869864</v>
      </c>
      <c r="D612" s="81">
        <v>480.95474729541246</v>
      </c>
      <c r="E612" s="81">
        <v>4088785.0457001971</v>
      </c>
      <c r="F612" s="81" t="s">
        <v>576</v>
      </c>
      <c r="G612" s="25">
        <f t="shared" si="17"/>
        <v>-5.7447681575695242E-4</v>
      </c>
      <c r="I612" s="81">
        <v>101.51972497778856</v>
      </c>
      <c r="J612" s="81">
        <v>101.93585278448685</v>
      </c>
      <c r="K612" s="81">
        <v>100.03815538737666</v>
      </c>
      <c r="L612" s="81">
        <v>100.44942721347763</v>
      </c>
      <c r="M612" s="81">
        <v>7883919.5982368272</v>
      </c>
      <c r="N612" s="81" t="s">
        <v>576</v>
      </c>
      <c r="O612" s="25">
        <f t="shared" si="18"/>
        <v>1.0655090765588016E-2</v>
      </c>
    </row>
    <row r="613" spans="1:15">
      <c r="A613" s="81">
        <v>480.29360720372614</v>
      </c>
      <c r="B613" s="81">
        <v>480.95474729541246</v>
      </c>
      <c r="C613" s="81">
        <v>477.92534418873026</v>
      </c>
      <c r="D613" s="81">
        <v>478.76410400654134</v>
      </c>
      <c r="E613" s="81">
        <v>2589483.6684812554</v>
      </c>
      <c r="F613" s="81" t="s">
        <v>577</v>
      </c>
      <c r="G613" s="25">
        <f t="shared" si="17"/>
        <v>3.1946906302815492E-3</v>
      </c>
      <c r="I613" s="81">
        <v>100.84583379285205</v>
      </c>
      <c r="J613" s="81">
        <v>101.17286922083595</v>
      </c>
      <c r="K613" s="81">
        <v>99.785446193025479</v>
      </c>
      <c r="L613" s="81">
        <v>99.944008824775239</v>
      </c>
      <c r="M613" s="81">
        <v>6510062.4819915332</v>
      </c>
      <c r="N613" s="81" t="s">
        <v>577</v>
      </c>
      <c r="O613" s="25">
        <f t="shared" si="18"/>
        <v>9.0233019335648201E-3</v>
      </c>
    </row>
    <row r="614" spans="1:15">
      <c r="A614" s="81">
        <v>477.04711332066933</v>
      </c>
      <c r="B614" s="81">
        <v>483.51049779909556</v>
      </c>
      <c r="C614" s="81">
        <v>475.9123206259838</v>
      </c>
      <c r="D614" s="81">
        <v>483.43155569859573</v>
      </c>
      <c r="E614" s="81">
        <v>3862382.1518472382</v>
      </c>
      <c r="F614" s="81" t="s">
        <v>578</v>
      </c>
      <c r="G614" s="25">
        <f t="shared" si="17"/>
        <v>-1.320650731767059E-2</v>
      </c>
      <c r="I614" s="81">
        <v>99.755715699572391</v>
      </c>
      <c r="J614" s="81">
        <v>102.08460435339711</v>
      </c>
      <c r="K614" s="81">
        <v>99.36921928468233</v>
      </c>
      <c r="L614" s="81">
        <v>102.05487385994402</v>
      </c>
      <c r="M614" s="81">
        <v>10599211.563619029</v>
      </c>
      <c r="N614" s="81" t="s">
        <v>578</v>
      </c>
      <c r="O614" s="25">
        <f t="shared" si="18"/>
        <v>-2.2528646339095015E-2</v>
      </c>
    </row>
    <row r="615" spans="1:15">
      <c r="A615" s="81">
        <v>480.6192433682881</v>
      </c>
      <c r="B615" s="81">
        <v>481.97112683934824</v>
      </c>
      <c r="C615" s="81">
        <v>478.52727770504174</v>
      </c>
      <c r="D615" s="81">
        <v>481.33959003534937</v>
      </c>
      <c r="E615" s="81">
        <v>3294141.8882115106</v>
      </c>
      <c r="F615" s="81" t="s">
        <v>579</v>
      </c>
      <c r="G615" s="25">
        <f t="shared" si="17"/>
        <v>-1.4965456446421888E-3</v>
      </c>
      <c r="I615" s="81">
        <v>102.09451451788146</v>
      </c>
      <c r="J615" s="81">
        <v>102.89723784111466</v>
      </c>
      <c r="K615" s="81">
        <v>101.82198499456156</v>
      </c>
      <c r="L615" s="81">
        <v>102.05487385994402</v>
      </c>
      <c r="M615" s="81">
        <v>7255523.3683026191</v>
      </c>
      <c r="N615" s="81" t="s">
        <v>579</v>
      </c>
      <c r="O615" s="25">
        <f t="shared" si="18"/>
        <v>3.88424936880849E-4</v>
      </c>
    </row>
    <row r="616" spans="1:15">
      <c r="A616" s="81">
        <v>482.02046565216068</v>
      </c>
      <c r="B616" s="81">
        <v>482.11914327778544</v>
      </c>
      <c r="C616" s="81">
        <v>479.9186322263518</v>
      </c>
      <c r="D616" s="81">
        <v>480.09625195247645</v>
      </c>
      <c r="E616" s="81">
        <v>2486456.2604378862</v>
      </c>
      <c r="F616" s="81" t="s">
        <v>580</v>
      </c>
      <c r="G616" s="25">
        <f t="shared" si="17"/>
        <v>4.0079748422503503E-3</v>
      </c>
      <c r="I616" s="81">
        <v>102.08460435339711</v>
      </c>
      <c r="J616" s="81">
        <v>102.76830660117314</v>
      </c>
      <c r="K616" s="81">
        <v>101.79720958335065</v>
      </c>
      <c r="L616" s="81">
        <v>102.06478402442838</v>
      </c>
      <c r="M616" s="81">
        <v>7399782.3260884508</v>
      </c>
      <c r="N616" s="81" t="s">
        <v>580</v>
      </c>
      <c r="O616" s="25">
        <f t="shared" si="18"/>
        <v>1.941936110303466E-4</v>
      </c>
    </row>
    <row r="617" spans="1:15">
      <c r="A617" s="81">
        <v>480.72778875647543</v>
      </c>
      <c r="B617" s="81">
        <v>482.14864788784729</v>
      </c>
      <c r="C617" s="81">
        <v>480.01730985197662</v>
      </c>
      <c r="D617" s="81">
        <v>480.34294601653852</v>
      </c>
      <c r="E617" s="81">
        <v>2634421.9204094037</v>
      </c>
      <c r="F617" s="81" t="s">
        <v>581</v>
      </c>
      <c r="G617" s="25">
        <f t="shared" si="17"/>
        <v>8.0118328608413947E-4</v>
      </c>
      <c r="I617" s="81">
        <v>101.97559254406914</v>
      </c>
      <c r="J617" s="81">
        <v>102.7386752093649</v>
      </c>
      <c r="K617" s="81">
        <v>101.59900629366344</v>
      </c>
      <c r="L617" s="81">
        <v>102.40172961689665</v>
      </c>
      <c r="M617" s="81">
        <v>7736940.2012451133</v>
      </c>
      <c r="N617" s="81" t="s">
        <v>581</v>
      </c>
      <c r="O617" s="25">
        <f t="shared" si="18"/>
        <v>-4.1614245620826829E-3</v>
      </c>
    </row>
    <row r="618" spans="1:15">
      <c r="A618" s="81">
        <v>480.25413615347622</v>
      </c>
      <c r="B618" s="81">
        <v>480.29360720372614</v>
      </c>
      <c r="C618" s="81">
        <v>478.29045140354214</v>
      </c>
      <c r="D618" s="81">
        <v>479.66207039972721</v>
      </c>
      <c r="E618" s="81">
        <v>3317910.1941993055</v>
      </c>
      <c r="F618" s="81" t="s">
        <v>582</v>
      </c>
      <c r="G618" s="25">
        <f t="shared" si="17"/>
        <v>1.2343393198790409E-3</v>
      </c>
      <c r="I618" s="81">
        <v>102.32244830102175</v>
      </c>
      <c r="J618" s="81">
        <v>102.88732767663029</v>
      </c>
      <c r="K618" s="81">
        <v>102.1143348468502</v>
      </c>
      <c r="L618" s="81">
        <v>102.69903455142745</v>
      </c>
      <c r="M618" s="81">
        <v>7422681.0378462747</v>
      </c>
      <c r="N618" s="81" t="s">
        <v>582</v>
      </c>
      <c r="O618" s="25">
        <f t="shared" si="18"/>
        <v>-3.6668918266911099E-3</v>
      </c>
    </row>
    <row r="619" spans="1:15">
      <c r="A619" s="81">
        <v>479.54365724897747</v>
      </c>
      <c r="B619" s="81">
        <v>482.10927551522298</v>
      </c>
      <c r="C619" s="81">
        <v>479.40550857310268</v>
      </c>
      <c r="D619" s="81">
        <v>480.60937560572563</v>
      </c>
      <c r="E619" s="81">
        <v>3392239.1006110399</v>
      </c>
      <c r="F619" s="81" t="s">
        <v>583</v>
      </c>
      <c r="G619" s="25">
        <f t="shared" si="17"/>
        <v>-2.2174314752079205E-3</v>
      </c>
      <c r="I619" s="81">
        <v>102.44137027483409</v>
      </c>
      <c r="J619" s="81">
        <v>103.09544113080187</v>
      </c>
      <c r="K619" s="81">
        <v>101.91613155716298</v>
      </c>
      <c r="L619" s="81">
        <v>102.1143348468502</v>
      </c>
      <c r="M619" s="81">
        <v>9562592.0386643969</v>
      </c>
      <c r="N619" s="81" t="s">
        <v>583</v>
      </c>
      <c r="O619" s="25">
        <f t="shared" si="18"/>
        <v>3.2026397515527716E-3</v>
      </c>
    </row>
    <row r="620" spans="1:15">
      <c r="A620" s="81">
        <v>480.46135916728832</v>
      </c>
      <c r="B620" s="81">
        <v>480.78699533185028</v>
      </c>
      <c r="C620" s="81">
        <v>476.35143606001429</v>
      </c>
      <c r="D620" s="81">
        <v>476.94843569504445</v>
      </c>
      <c r="E620" s="81">
        <v>4458442.2984870141</v>
      </c>
      <c r="F620" s="81" t="s">
        <v>584</v>
      </c>
      <c r="G620" s="25">
        <f t="shared" si="17"/>
        <v>7.3654156494393774E-3</v>
      </c>
      <c r="I620" s="81">
        <v>101.84676040577246</v>
      </c>
      <c r="J620" s="81">
        <v>104.92882156040855</v>
      </c>
      <c r="K620" s="81">
        <v>100.47915770693071</v>
      </c>
      <c r="L620" s="81">
        <v>104.67115728381519</v>
      </c>
      <c r="M620" s="81">
        <v>20933679.791833233</v>
      </c>
      <c r="N620" s="81" t="s">
        <v>584</v>
      </c>
      <c r="O620" s="25">
        <f t="shared" si="18"/>
        <v>-2.6983525847377399E-2</v>
      </c>
    </row>
    <row r="621" spans="1:15">
      <c r="A621" s="81">
        <v>474.67885030567345</v>
      </c>
      <c r="B621" s="81">
        <v>475.10316409586022</v>
      </c>
      <c r="C621" s="81">
        <v>472.15270308967786</v>
      </c>
      <c r="D621" s="81">
        <v>472.646091217802</v>
      </c>
      <c r="E621" s="81">
        <v>3301380.6112297941</v>
      </c>
      <c r="F621" s="81" t="s">
        <v>585</v>
      </c>
      <c r="G621" s="25">
        <f t="shared" si="17"/>
        <v>4.3008058791598192E-3</v>
      </c>
      <c r="I621" s="81">
        <v>104.40358284273745</v>
      </c>
      <c r="J621" s="81">
        <v>105.03783336973652</v>
      </c>
      <c r="K621" s="81">
        <v>104.00717626336304</v>
      </c>
      <c r="L621" s="81">
        <v>104.35403202031564</v>
      </c>
      <c r="M621" s="81">
        <v>11380661.761768768</v>
      </c>
      <c r="N621" s="81" t="s">
        <v>585</v>
      </c>
      <c r="O621" s="25">
        <f t="shared" si="18"/>
        <v>4.7483380816726317E-4</v>
      </c>
    </row>
    <row r="622" spans="1:15">
      <c r="A622" s="81">
        <v>472.43886820398978</v>
      </c>
      <c r="B622" s="81">
        <v>474.06704902679951</v>
      </c>
      <c r="C622" s="81">
        <v>471.41262089749165</v>
      </c>
      <c r="D622" s="81">
        <v>473.99797468886214</v>
      </c>
      <c r="E622" s="81">
        <v>3150098.0899340655</v>
      </c>
      <c r="F622" s="81" t="s">
        <v>586</v>
      </c>
      <c r="G622" s="25">
        <f t="shared" si="17"/>
        <v>-3.2892682419071173E-3</v>
      </c>
      <c r="I622" s="81">
        <v>104.87927073798676</v>
      </c>
      <c r="J622" s="81">
        <v>105.68278687437871</v>
      </c>
      <c r="K622" s="81">
        <v>104.6414267903621</v>
      </c>
      <c r="L622" s="81">
        <v>104.6414267903621</v>
      </c>
      <c r="M622" s="81">
        <v>9754034.8752584886</v>
      </c>
      <c r="N622" s="81" t="s">
        <v>586</v>
      </c>
      <c r="O622" s="25">
        <f t="shared" si="18"/>
        <v>2.2729425134955239E-3</v>
      </c>
    </row>
    <row r="623" spans="1:15">
      <c r="A623" s="81">
        <v>472.40926491630239</v>
      </c>
      <c r="B623" s="81">
        <v>474.037445739112</v>
      </c>
      <c r="C623" s="81">
        <v>471.2744722216168</v>
      </c>
      <c r="D623" s="81">
        <v>473.34670235973823</v>
      </c>
      <c r="E623" s="81">
        <v>3392014.1255991319</v>
      </c>
      <c r="F623" s="81" t="s">
        <v>587</v>
      </c>
      <c r="G623" s="25">
        <f t="shared" si="17"/>
        <v>-1.9804457045174972E-3</v>
      </c>
      <c r="I623" s="81">
        <v>104.83963008004932</v>
      </c>
      <c r="J623" s="81">
        <v>106.05858031162565</v>
      </c>
      <c r="K623" s="81">
        <v>104.47295399412798</v>
      </c>
      <c r="L623" s="81">
        <v>105.95947866678205</v>
      </c>
      <c r="M623" s="81">
        <v>16028567.46229383</v>
      </c>
      <c r="N623" s="81" t="s">
        <v>587</v>
      </c>
      <c r="O623" s="25">
        <f t="shared" si="18"/>
        <v>-1.0568649457538326E-2</v>
      </c>
    </row>
    <row r="624" spans="1:15">
      <c r="A624" s="81">
        <v>471.82706692511584</v>
      </c>
      <c r="B624" s="81">
        <v>471.82706692511584</v>
      </c>
      <c r="C624" s="81">
        <v>468.65951514255892</v>
      </c>
      <c r="D624" s="81">
        <v>469.30091970912025</v>
      </c>
      <c r="E624" s="81">
        <v>3532765.3841752745</v>
      </c>
      <c r="F624" s="81" t="s">
        <v>588</v>
      </c>
      <c r="G624" s="25">
        <f t="shared" si="17"/>
        <v>5.382787695283664E-3</v>
      </c>
      <c r="I624" s="81">
        <v>104.84954024453367</v>
      </c>
      <c r="J624" s="81">
        <v>105.17657567251757</v>
      </c>
      <c r="K624" s="81">
        <v>103.45220705223885</v>
      </c>
      <c r="L624" s="81">
        <v>103.68014083537915</v>
      </c>
      <c r="M624" s="81">
        <v>15232814.77701346</v>
      </c>
      <c r="N624" s="81" t="s">
        <v>588</v>
      </c>
      <c r="O624" s="25">
        <f t="shared" si="18"/>
        <v>1.1278914165551379E-2</v>
      </c>
    </row>
    <row r="625" spans="1:15">
      <c r="A625" s="81">
        <v>469.13316774555813</v>
      </c>
      <c r="B625" s="81">
        <v>469.56734929830736</v>
      </c>
      <c r="C625" s="81">
        <v>467.2385573335614</v>
      </c>
      <c r="D625" s="81">
        <v>467.3273671966237</v>
      </c>
      <c r="E625" s="81">
        <v>3257960.4339315477</v>
      </c>
      <c r="F625" s="81" t="s">
        <v>589</v>
      </c>
      <c r="G625" s="25">
        <f t="shared" si="17"/>
        <v>3.8641018602589838E-3</v>
      </c>
      <c r="I625" s="81">
        <v>104.4927743230967</v>
      </c>
      <c r="J625" s="81">
        <v>105.52343142947019</v>
      </c>
      <c r="K625" s="81">
        <v>103.50175787466065</v>
      </c>
      <c r="L625" s="81">
        <v>103.95762544094124</v>
      </c>
      <c r="M625" s="81">
        <v>15376244.283379693</v>
      </c>
      <c r="N625" s="81" t="s">
        <v>589</v>
      </c>
      <c r="O625" s="25">
        <f t="shared" si="18"/>
        <v>5.1477597712106249E-3</v>
      </c>
    </row>
    <row r="626" spans="1:15">
      <c r="A626" s="81">
        <v>469.11343222043308</v>
      </c>
      <c r="B626" s="81">
        <v>470.33703477818096</v>
      </c>
      <c r="C626" s="81">
        <v>468.43255660362178</v>
      </c>
      <c r="D626" s="81">
        <v>469.40946509730759</v>
      </c>
      <c r="E626" s="81">
        <v>3497552.7412078525</v>
      </c>
      <c r="F626" s="81" t="s">
        <v>590</v>
      </c>
      <c r="G626" s="25">
        <f t="shared" si="17"/>
        <v>-6.3064956905611869E-4</v>
      </c>
      <c r="I626" s="81">
        <v>104.4432235006749</v>
      </c>
      <c r="J626" s="81">
        <v>106.91085445728065</v>
      </c>
      <c r="K626" s="81">
        <v>103.27382409152035</v>
      </c>
      <c r="L626" s="81">
        <v>106.28651409476595</v>
      </c>
      <c r="M626" s="81">
        <v>55583958.356019974</v>
      </c>
      <c r="N626" s="81" t="s">
        <v>590</v>
      </c>
      <c r="O626" s="25">
        <f t="shared" si="18"/>
        <v>-1.7342657342657275E-2</v>
      </c>
    </row>
    <row r="627" spans="1:15">
      <c r="A627" s="81">
        <v>468.4424243661843</v>
      </c>
      <c r="B627" s="81">
        <v>468.53123422924665</v>
      </c>
      <c r="C627" s="81">
        <v>465.58077322306428</v>
      </c>
      <c r="D627" s="81">
        <v>465.97548372556361</v>
      </c>
      <c r="E627" s="81">
        <v>4846632.6279304698</v>
      </c>
      <c r="F627" s="81" t="s">
        <v>591</v>
      </c>
      <c r="G627" s="25">
        <f t="shared" si="17"/>
        <v>5.2941425606709558E-3</v>
      </c>
      <c r="I627" s="81">
        <v>115.42368574934629</v>
      </c>
      <c r="J627" s="81">
        <v>115.88946348011123</v>
      </c>
      <c r="K627" s="81">
        <v>113.12452758897467</v>
      </c>
      <c r="L627" s="81">
        <v>113.76868828045809</v>
      </c>
      <c r="M627" s="81">
        <v>16451022.60989577</v>
      </c>
      <c r="N627" s="81" t="s">
        <v>591</v>
      </c>
      <c r="O627" s="25">
        <f t="shared" si="18"/>
        <v>1.4547038327526129E-2</v>
      </c>
    </row>
    <row r="628" spans="1:15">
      <c r="A628" s="81">
        <v>463.76510491156745</v>
      </c>
      <c r="B628" s="81">
        <v>464.77161669294065</v>
      </c>
      <c r="C628" s="81">
        <v>461.25879189832239</v>
      </c>
      <c r="D628" s="81">
        <v>463.54801413519277</v>
      </c>
      <c r="E628" s="81">
        <v>4648327.2889431035</v>
      </c>
      <c r="F628" s="81" t="s">
        <v>592</v>
      </c>
      <c r="G628" s="25">
        <f t="shared" si="17"/>
        <v>4.6832425068132899E-4</v>
      </c>
      <c r="I628" s="81">
        <v>112.638929529241</v>
      </c>
      <c r="J628" s="81">
        <v>113.08488693103722</v>
      </c>
      <c r="K628" s="81">
        <v>111.78625897700663</v>
      </c>
      <c r="L628" s="81">
        <v>112.52000755542868</v>
      </c>
      <c r="M628" s="81">
        <v>7478293.6364938309</v>
      </c>
      <c r="N628" s="81" t="s">
        <v>592</v>
      </c>
      <c r="O628" s="25">
        <f t="shared" si="18"/>
        <v>1.0568962480181909E-3</v>
      </c>
    </row>
    <row r="629" spans="1:15">
      <c r="A629" s="81">
        <v>458.08127367557734</v>
      </c>
      <c r="B629" s="81">
        <v>458.80162034263856</v>
      </c>
      <c r="C629" s="81">
        <v>453.08818581896105</v>
      </c>
      <c r="D629" s="81">
        <v>457.23264609520379</v>
      </c>
      <c r="E629" s="81">
        <v>4025658.2734399545</v>
      </c>
      <c r="F629" s="81" t="s">
        <v>593</v>
      </c>
      <c r="G629" s="25">
        <f t="shared" si="17"/>
        <v>1.8560082872929318E-3</v>
      </c>
      <c r="I629" s="81">
        <v>111.60827242286751</v>
      </c>
      <c r="J629" s="81">
        <v>111.85602653497652</v>
      </c>
      <c r="K629" s="81">
        <v>109.56677853908926</v>
      </c>
      <c r="L629" s="81">
        <v>110.42896284922863</v>
      </c>
      <c r="M629" s="81">
        <v>6861445.1462748013</v>
      </c>
      <c r="N629" s="81" t="s">
        <v>593</v>
      </c>
      <c r="O629" s="25">
        <f t="shared" si="18"/>
        <v>1.0679350264740206E-2</v>
      </c>
    </row>
    <row r="630" spans="1:15">
      <c r="A630" s="81">
        <v>453.84800353627219</v>
      </c>
      <c r="B630" s="81">
        <v>460.89358600588491</v>
      </c>
      <c r="C630" s="81">
        <v>453.36448317071051</v>
      </c>
      <c r="D630" s="81">
        <v>454.67689559152075</v>
      </c>
      <c r="E630" s="81">
        <v>6197328.889175579</v>
      </c>
      <c r="F630" s="81" t="s">
        <v>594</v>
      </c>
      <c r="G630" s="25">
        <f t="shared" si="17"/>
        <v>-1.8230353538641886E-3</v>
      </c>
      <c r="I630" s="81">
        <v>109.48749722321438</v>
      </c>
      <c r="J630" s="81">
        <v>110.9839320603528</v>
      </c>
      <c r="K630" s="81">
        <v>109.21992278213663</v>
      </c>
      <c r="L630" s="81">
        <v>110.29022054644757</v>
      </c>
      <c r="M630" s="81">
        <v>6403636.3977762349</v>
      </c>
      <c r="N630" s="81" t="s">
        <v>594</v>
      </c>
      <c r="O630" s="25">
        <f t="shared" si="18"/>
        <v>-7.2782819660346387E-3</v>
      </c>
    </row>
    <row r="631" spans="1:15">
      <c r="A631" s="81">
        <v>455.3281679206446</v>
      </c>
      <c r="B631" s="81">
        <v>462.14679185132024</v>
      </c>
      <c r="C631" s="81">
        <v>455.25909358270724</v>
      </c>
      <c r="D631" s="81">
        <v>461.23895769557186</v>
      </c>
      <c r="E631" s="81">
        <v>4423328.9688131372</v>
      </c>
      <c r="F631" s="81" t="s">
        <v>595</v>
      </c>
      <c r="G631" s="25">
        <f t="shared" si="17"/>
        <v>-1.2815027170424931E-2</v>
      </c>
      <c r="I631" s="81">
        <v>110.10192742124471</v>
      </c>
      <c r="J631" s="81">
        <v>111.03348288277461</v>
      </c>
      <c r="K631" s="81">
        <v>109.8046224867139</v>
      </c>
      <c r="L631" s="81">
        <v>110.99384222483717</v>
      </c>
      <c r="M631" s="81">
        <v>8230514.2491551423</v>
      </c>
      <c r="N631" s="81" t="s">
        <v>595</v>
      </c>
      <c r="O631" s="25">
        <f t="shared" si="18"/>
        <v>-8.0357142857143682E-3</v>
      </c>
    </row>
    <row r="632" spans="1:15">
      <c r="A632" s="81">
        <v>462.64017997944438</v>
      </c>
      <c r="B632" s="81">
        <v>463.21251020806841</v>
      </c>
      <c r="C632" s="81">
        <v>460.04495842551137</v>
      </c>
      <c r="D632" s="81">
        <v>462.64017997944438</v>
      </c>
      <c r="E632" s="81">
        <v>3296801.0523162251</v>
      </c>
      <c r="F632" s="81" t="s">
        <v>596</v>
      </c>
      <c r="G632" s="25">
        <f t="shared" si="17"/>
        <v>0</v>
      </c>
      <c r="I632" s="81">
        <v>111.07312354071205</v>
      </c>
      <c r="J632" s="81">
        <v>112.85695314789692</v>
      </c>
      <c r="K632" s="81">
        <v>109.34875492043332</v>
      </c>
      <c r="L632" s="81">
        <v>112.02449933121065</v>
      </c>
      <c r="M632" s="81">
        <v>7234197.7888600659</v>
      </c>
      <c r="N632" s="81" t="s">
        <v>596</v>
      </c>
      <c r="O632" s="25">
        <f t="shared" si="18"/>
        <v>-8.4925690021231404E-3</v>
      </c>
    </row>
    <row r="633" spans="1:15">
      <c r="A633" s="81">
        <v>461.03173468175964</v>
      </c>
      <c r="B633" s="81">
        <v>462.43295696563223</v>
      </c>
      <c r="C633" s="81">
        <v>458.66347166676383</v>
      </c>
      <c r="D633" s="81">
        <v>459.17659532001289</v>
      </c>
      <c r="E633" s="81">
        <v>4972872.9982385458</v>
      </c>
      <c r="F633" s="81" t="s">
        <v>597</v>
      </c>
      <c r="G633" s="25">
        <f t="shared" si="17"/>
        <v>4.0401435540369235E-3</v>
      </c>
      <c r="I633" s="81">
        <v>111.71728423219548</v>
      </c>
      <c r="J633" s="81">
        <v>112.00646283184911</v>
      </c>
      <c r="K633" s="81">
        <v>110.31995103990064</v>
      </c>
      <c r="L633" s="81">
        <v>110.84518975757175</v>
      </c>
      <c r="M633" s="81">
        <v>6361996.3220084477</v>
      </c>
      <c r="N633" s="81" t="s">
        <v>597</v>
      </c>
      <c r="O633" s="25">
        <f t="shared" si="18"/>
        <v>7.8676799284758125E-3</v>
      </c>
    </row>
    <row r="634" spans="1:15">
      <c r="A634" s="81">
        <v>456.46296061533013</v>
      </c>
      <c r="B634" s="81">
        <v>457.33132372082861</v>
      </c>
      <c r="C634" s="81">
        <v>451.21331093208926</v>
      </c>
      <c r="D634" s="81">
        <v>452.70334307902419</v>
      </c>
      <c r="E634" s="81">
        <v>4941574.1097575594</v>
      </c>
      <c r="F634" s="81" t="s">
        <v>598</v>
      </c>
      <c r="G634" s="25">
        <f t="shared" si="17"/>
        <v>8.3048150489350991E-3</v>
      </c>
      <c r="I634" s="81">
        <v>111.75692489013291</v>
      </c>
      <c r="J634" s="81">
        <v>111.87584686394524</v>
      </c>
      <c r="K634" s="81">
        <v>109.39830574285513</v>
      </c>
      <c r="L634" s="81">
        <v>110.22084939505704</v>
      </c>
      <c r="M634" s="81">
        <v>8118842.0360706374</v>
      </c>
      <c r="N634" s="81" t="s">
        <v>598</v>
      </c>
      <c r="O634" s="25">
        <f t="shared" si="18"/>
        <v>1.3936342384463174E-2</v>
      </c>
    </row>
    <row r="635" spans="1:15">
      <c r="A635" s="81">
        <v>458.35757102732686</v>
      </c>
      <c r="B635" s="81">
        <v>460.14363605113624</v>
      </c>
      <c r="C635" s="81">
        <v>456.3248119394554</v>
      </c>
      <c r="D635" s="81">
        <v>459.4134216215125</v>
      </c>
      <c r="E635" s="81">
        <v>7790861.3541524773</v>
      </c>
      <c r="F635" s="81" t="s">
        <v>599</v>
      </c>
      <c r="G635" s="25">
        <f t="shared" ref="G635:G698" si="19">A635/D635-1</f>
        <v>-2.298258049272861E-3</v>
      </c>
      <c r="I635" s="81">
        <v>112.89659380583437</v>
      </c>
      <c r="J635" s="81">
        <v>113.15425808242775</v>
      </c>
      <c r="K635" s="81">
        <v>112.12360097605425</v>
      </c>
      <c r="L635" s="81">
        <v>112.12360097605425</v>
      </c>
      <c r="M635" s="81">
        <v>6213045.2120314613</v>
      </c>
      <c r="N635" s="81" t="s">
        <v>599</v>
      </c>
      <c r="O635" s="25">
        <f t="shared" ref="O635:O698" si="20">I635/L635-1</f>
        <v>6.8941134877142929E-3</v>
      </c>
    </row>
    <row r="636" spans="1:15">
      <c r="A636" s="81">
        <v>458.69307495445122</v>
      </c>
      <c r="B636" s="81">
        <v>458.97924006876326</v>
      </c>
      <c r="C636" s="81">
        <v>454.57821796589593</v>
      </c>
      <c r="D636" s="81">
        <v>455.08147385658253</v>
      </c>
      <c r="E636" s="81">
        <v>4314453.2238611141</v>
      </c>
      <c r="F636" s="81" t="s">
        <v>600</v>
      </c>
      <c r="G636" s="25">
        <f t="shared" si="19"/>
        <v>7.9361637538488683E-3</v>
      </c>
      <c r="I636" s="81">
        <v>112.68848035166279</v>
      </c>
      <c r="J636" s="81">
        <v>113.21371906933391</v>
      </c>
      <c r="K636" s="81">
        <v>111.78665538358599</v>
      </c>
      <c r="L636" s="81">
        <v>111.81638587703908</v>
      </c>
      <c r="M636" s="81">
        <v>6901316.331119772</v>
      </c>
      <c r="N636" s="81" t="s">
        <v>600</v>
      </c>
      <c r="O636" s="25">
        <f t="shared" si="20"/>
        <v>7.7993441460604274E-3</v>
      </c>
    </row>
    <row r="637" spans="1:15">
      <c r="A637" s="81">
        <v>452.97964043077371</v>
      </c>
      <c r="B637" s="81">
        <v>455.62410211989345</v>
      </c>
      <c r="C637" s="81">
        <v>449.32856828265511</v>
      </c>
      <c r="D637" s="81">
        <v>451.4994760464013</v>
      </c>
      <c r="E637" s="81">
        <v>5896055.932801161</v>
      </c>
      <c r="F637" s="81" t="s">
        <v>601</v>
      </c>
      <c r="G637" s="25">
        <f t="shared" si="19"/>
        <v>3.2783302371326428E-3</v>
      </c>
      <c r="I637" s="81">
        <v>110.9839320603528</v>
      </c>
      <c r="J637" s="81">
        <v>112.61910920027228</v>
      </c>
      <c r="K637" s="81">
        <v>110.74608811272815</v>
      </c>
      <c r="L637" s="81">
        <v>112.08396031811681</v>
      </c>
      <c r="M637" s="81">
        <v>6964252.7234454788</v>
      </c>
      <c r="N637" s="81" t="s">
        <v>601</v>
      </c>
      <c r="O637" s="25">
        <f t="shared" si="20"/>
        <v>-9.8143236074270668E-3</v>
      </c>
    </row>
    <row r="638" spans="1:15">
      <c r="A638" s="81">
        <v>449.08187421859304</v>
      </c>
      <c r="B638" s="81">
        <v>453.85787129883465</v>
      </c>
      <c r="C638" s="81">
        <v>447.89774271109502</v>
      </c>
      <c r="D638" s="81">
        <v>452.92043385539881</v>
      </c>
      <c r="E638" s="81">
        <v>9918615.2261221297</v>
      </c>
      <c r="F638" s="81" t="s">
        <v>602</v>
      </c>
      <c r="G638" s="25">
        <f t="shared" si="19"/>
        <v>-8.4751301771279763E-3</v>
      </c>
      <c r="I638" s="81">
        <v>111.59836225838315</v>
      </c>
      <c r="J638" s="81">
        <v>111.70241898546894</v>
      </c>
      <c r="K638" s="81">
        <v>110.08210709227599</v>
      </c>
      <c r="L638" s="81">
        <v>110.71635761927507</v>
      </c>
      <c r="M638" s="81">
        <v>9521560.4290839788</v>
      </c>
      <c r="N638" s="81" t="s">
        <v>602</v>
      </c>
      <c r="O638" s="25">
        <f t="shared" si="20"/>
        <v>7.9663444325097643E-3</v>
      </c>
    </row>
    <row r="639" spans="1:15">
      <c r="A639" s="81">
        <v>452.87109504258638</v>
      </c>
      <c r="B639" s="81">
        <v>457.17343951982895</v>
      </c>
      <c r="C639" s="81">
        <v>452.15074837552515</v>
      </c>
      <c r="D639" s="81">
        <v>455.25909358270724</v>
      </c>
      <c r="E639" s="81">
        <v>5712831.0134183131</v>
      </c>
      <c r="F639" s="81" t="s">
        <v>603</v>
      </c>
      <c r="G639" s="25">
        <f t="shared" si="19"/>
        <v>-5.245361539795379E-3</v>
      </c>
      <c r="I639" s="81">
        <v>111.41997929766467</v>
      </c>
      <c r="J639" s="81">
        <v>113.22362923381826</v>
      </c>
      <c r="K639" s="81">
        <v>111.18213535004001</v>
      </c>
      <c r="L639" s="81">
        <v>112.1632416339917</v>
      </c>
      <c r="M639" s="81">
        <v>8310291.9361196412</v>
      </c>
      <c r="N639" s="81" t="s">
        <v>603</v>
      </c>
      <c r="O639" s="25">
        <f t="shared" si="20"/>
        <v>-6.6266124757023981E-3</v>
      </c>
    </row>
    <row r="640" spans="1:15">
      <c r="A640" s="81">
        <v>453.90721011164709</v>
      </c>
      <c r="B640" s="81">
        <v>459.0877854569506</v>
      </c>
      <c r="C640" s="81">
        <v>452.66387202877428</v>
      </c>
      <c r="D640" s="81">
        <v>458.95950454363833</v>
      </c>
      <c r="E640" s="81">
        <v>7252129.2995110629</v>
      </c>
      <c r="F640" s="81" t="s">
        <v>604</v>
      </c>
      <c r="G640" s="25">
        <f t="shared" si="19"/>
        <v>-1.1008148610006319E-2</v>
      </c>
      <c r="I640" s="81">
        <v>111.92539768636705</v>
      </c>
      <c r="J640" s="81">
        <v>113.18398857588082</v>
      </c>
      <c r="K640" s="81">
        <v>111.87584686394524</v>
      </c>
      <c r="L640" s="81">
        <v>112.97587512170925</v>
      </c>
      <c r="M640" s="81">
        <v>7445883.4781652903</v>
      </c>
      <c r="N640" s="81" t="s">
        <v>604</v>
      </c>
      <c r="O640" s="25">
        <f t="shared" si="20"/>
        <v>-9.2982456140350278E-3</v>
      </c>
    </row>
    <row r="641" spans="1:15">
      <c r="A641" s="81">
        <v>456.66031586657977</v>
      </c>
      <c r="B641" s="81">
        <v>459.3542150461376</v>
      </c>
      <c r="C641" s="81">
        <v>455.48605212164432</v>
      </c>
      <c r="D641" s="81">
        <v>457.91352171201515</v>
      </c>
      <c r="E641" s="81">
        <v>6852028.4686488919</v>
      </c>
      <c r="F641" s="81" t="s">
        <v>605</v>
      </c>
      <c r="G641" s="25">
        <f t="shared" si="19"/>
        <v>-2.736774054520108E-3</v>
      </c>
      <c r="I641" s="81">
        <v>112.85695314789692</v>
      </c>
      <c r="J641" s="81">
        <v>113.47138334592728</v>
      </c>
      <c r="K641" s="81">
        <v>111.5091707780239</v>
      </c>
      <c r="L641" s="81">
        <v>111.80647571255471</v>
      </c>
      <c r="M641" s="81">
        <v>9375645.5956539139</v>
      </c>
      <c r="N641" s="81" t="s">
        <v>605</v>
      </c>
      <c r="O641" s="25">
        <f t="shared" si="20"/>
        <v>9.3954972522600766E-3</v>
      </c>
    </row>
    <row r="642" spans="1:15">
      <c r="A642" s="81">
        <v>457.47934015926592</v>
      </c>
      <c r="B642" s="81">
        <v>467.3273671966237</v>
      </c>
      <c r="C642" s="81">
        <v>456.72939020451719</v>
      </c>
      <c r="D642" s="81">
        <v>467.20895404587395</v>
      </c>
      <c r="E642" s="81">
        <v>9657755.6864138376</v>
      </c>
      <c r="F642" s="81" t="s">
        <v>606</v>
      </c>
      <c r="G642" s="25">
        <f t="shared" si="19"/>
        <v>-2.0824973071155495E-2</v>
      </c>
      <c r="I642" s="81">
        <v>111.9353078508514</v>
      </c>
      <c r="J642" s="81">
        <v>114.51195061678513</v>
      </c>
      <c r="K642" s="81">
        <v>111.75692489013291</v>
      </c>
      <c r="L642" s="81">
        <v>113.8430145140908</v>
      </c>
      <c r="M642" s="81">
        <v>9724455.1442194525</v>
      </c>
      <c r="N642" s="81" t="s">
        <v>606</v>
      </c>
      <c r="O642" s="25">
        <f t="shared" si="20"/>
        <v>-1.6757344940152352E-2</v>
      </c>
    </row>
    <row r="643" spans="1:15">
      <c r="A643" s="81">
        <v>463.3605266465056</v>
      </c>
      <c r="B643" s="81">
        <v>467.78128427449792</v>
      </c>
      <c r="C643" s="81">
        <v>461.72247806113353</v>
      </c>
      <c r="D643" s="81">
        <v>466.51821066650012</v>
      </c>
      <c r="E643" s="81">
        <v>7052989.9315381097</v>
      </c>
      <c r="F643" s="81" t="s">
        <v>607</v>
      </c>
      <c r="G643" s="25">
        <f t="shared" si="19"/>
        <v>-6.7686189902066429E-3</v>
      </c>
      <c r="I643" s="81">
        <v>112.98578528619362</v>
      </c>
      <c r="J643" s="81">
        <v>115.65161953248658</v>
      </c>
      <c r="K643" s="81">
        <v>112.70830068063152</v>
      </c>
      <c r="L643" s="81">
        <v>115.34440443347141</v>
      </c>
      <c r="M643" s="81">
        <v>12265352.425968757</v>
      </c>
      <c r="N643" s="81" t="s">
        <v>607</v>
      </c>
      <c r="O643" s="25">
        <f t="shared" si="20"/>
        <v>-2.0448492138499863E-2</v>
      </c>
    </row>
    <row r="644" spans="1:15">
      <c r="A644" s="81">
        <v>469.764704549557</v>
      </c>
      <c r="B644" s="81">
        <v>471.11658802061714</v>
      </c>
      <c r="C644" s="81">
        <v>464.44598052837875</v>
      </c>
      <c r="D644" s="81">
        <v>467.71220993656055</v>
      </c>
      <c r="E644" s="81">
        <v>5178378.5510079227</v>
      </c>
      <c r="F644" s="81" t="s">
        <v>608</v>
      </c>
      <c r="G644" s="25">
        <f t="shared" si="19"/>
        <v>4.3883708173340086E-3</v>
      </c>
      <c r="I644" s="81">
        <v>116.0975769342828</v>
      </c>
      <c r="J644" s="81">
        <v>117.21742552101553</v>
      </c>
      <c r="K644" s="81">
        <v>115.32458410450269</v>
      </c>
      <c r="L644" s="81">
        <v>116.53362417159467</v>
      </c>
      <c r="M644" s="81">
        <v>6618871.9777069399</v>
      </c>
      <c r="N644" s="81" t="s">
        <v>608</v>
      </c>
      <c r="O644" s="25">
        <f t="shared" si="20"/>
        <v>-3.7418147801684398E-3</v>
      </c>
    </row>
    <row r="645" spans="1:15">
      <c r="A645" s="81">
        <v>466.39979751575032</v>
      </c>
      <c r="B645" s="81">
        <v>468.11678820162234</v>
      </c>
      <c r="C645" s="81">
        <v>464.44598052837875</v>
      </c>
      <c r="D645" s="81">
        <v>465.66958308612664</v>
      </c>
      <c r="E645" s="81">
        <v>7026302.0174002824</v>
      </c>
      <c r="F645" s="81" t="s">
        <v>609</v>
      </c>
      <c r="G645" s="25">
        <f t="shared" si="19"/>
        <v>1.5680956114512146E-3</v>
      </c>
      <c r="I645" s="81">
        <v>116.13721759222024</v>
      </c>
      <c r="J645" s="81">
        <v>116.50389367814158</v>
      </c>
      <c r="K645" s="81">
        <v>115.32458410450269</v>
      </c>
      <c r="L645" s="81">
        <v>115.55251788764296</v>
      </c>
      <c r="M645" s="81">
        <v>6807436.9609571239</v>
      </c>
      <c r="N645" s="81" t="s">
        <v>609</v>
      </c>
      <c r="O645" s="25">
        <f t="shared" si="20"/>
        <v>5.060034305317318E-3</v>
      </c>
    </row>
    <row r="646" spans="1:15">
      <c r="A646" s="81">
        <v>470.95870381961737</v>
      </c>
      <c r="B646" s="81">
        <v>472.27111624042766</v>
      </c>
      <c r="C646" s="81">
        <v>466.48860737881267</v>
      </c>
      <c r="D646" s="81">
        <v>472.05402546405298</v>
      </c>
      <c r="E646" s="81">
        <v>5324602.174738585</v>
      </c>
      <c r="F646" s="81" t="s">
        <v>610</v>
      </c>
      <c r="G646" s="25">
        <f t="shared" si="19"/>
        <v>-2.3203311175217234E-3</v>
      </c>
      <c r="I646" s="81">
        <v>116.91021042200036</v>
      </c>
      <c r="J646" s="81">
        <v>117.44535930415583</v>
      </c>
      <c r="K646" s="81">
        <v>115.83991265768942</v>
      </c>
      <c r="L646" s="81">
        <v>116.32551071742309</v>
      </c>
      <c r="M646" s="81">
        <v>7522949.8075087927</v>
      </c>
      <c r="N646" s="81" t="s">
        <v>610</v>
      </c>
      <c r="O646" s="25">
        <f t="shared" si="20"/>
        <v>5.0264099505878956E-3</v>
      </c>
    </row>
    <row r="647" spans="1:15">
      <c r="A647" s="81">
        <v>470.37650582843094</v>
      </c>
      <c r="B647" s="81">
        <v>471.74812482461601</v>
      </c>
      <c r="C647" s="81">
        <v>469.67589468649464</v>
      </c>
      <c r="D647" s="81">
        <v>470.84029066886757</v>
      </c>
      <c r="E647" s="81">
        <v>4800255.3466468742</v>
      </c>
      <c r="F647" s="81" t="s">
        <v>611</v>
      </c>
      <c r="G647" s="25">
        <f t="shared" si="19"/>
        <v>-9.8501519438320972E-4</v>
      </c>
      <c r="I647" s="81">
        <v>116.29578022397</v>
      </c>
      <c r="J647" s="81">
        <v>117.45526946864018</v>
      </c>
      <c r="K647" s="81">
        <v>115.7705415062989</v>
      </c>
      <c r="L647" s="81">
        <v>116.95976124442215</v>
      </c>
      <c r="M647" s="81">
        <v>6322812.3104198594</v>
      </c>
      <c r="N647" s="81" t="s">
        <v>611</v>
      </c>
      <c r="O647" s="25">
        <f t="shared" si="20"/>
        <v>-5.6770038976444726E-3</v>
      </c>
    </row>
    <row r="648" spans="1:15">
      <c r="A648" s="81">
        <v>470.18901833974377</v>
      </c>
      <c r="B648" s="81">
        <v>472.00468665124055</v>
      </c>
      <c r="C648" s="81">
        <v>466.17283897681324</v>
      </c>
      <c r="D648" s="81">
        <v>466.59715276700001</v>
      </c>
      <c r="E648" s="81">
        <v>5663046.6781255519</v>
      </c>
      <c r="F648" s="81" t="s">
        <v>612</v>
      </c>
      <c r="G648" s="25">
        <f t="shared" si="19"/>
        <v>7.6980014803849084E-3</v>
      </c>
      <c r="I648" s="81">
        <v>117.31652716585913</v>
      </c>
      <c r="J648" s="81">
        <v>117.79221506110844</v>
      </c>
      <c r="K648" s="81">
        <v>115.25521295311216</v>
      </c>
      <c r="L648" s="81">
        <v>115.55251788764296</v>
      </c>
      <c r="M648" s="81">
        <v>9741427.6173065994</v>
      </c>
      <c r="N648" s="81" t="s">
        <v>612</v>
      </c>
      <c r="O648" s="25">
        <f t="shared" si="20"/>
        <v>1.5265866209262402E-2</v>
      </c>
    </row>
    <row r="649" spans="1:15">
      <c r="A649" s="81">
        <v>465.24526929593986</v>
      </c>
      <c r="B649" s="81">
        <v>475.11303185842269</v>
      </c>
      <c r="C649" s="81">
        <v>465.03804628212771</v>
      </c>
      <c r="D649" s="81">
        <v>474.83673450667311</v>
      </c>
      <c r="E649" s="81">
        <v>6963270.5048297672</v>
      </c>
      <c r="F649" s="81" t="s">
        <v>613</v>
      </c>
      <c r="G649" s="25">
        <f t="shared" si="19"/>
        <v>-2.0199501246882634E-2</v>
      </c>
      <c r="I649" s="81">
        <v>116.03811594737664</v>
      </c>
      <c r="J649" s="81">
        <v>119.11026693752838</v>
      </c>
      <c r="K649" s="81">
        <v>115.90928380907994</v>
      </c>
      <c r="L649" s="81">
        <v>118.14898098254541</v>
      </c>
      <c r="M649" s="81">
        <v>13940635.417103834</v>
      </c>
      <c r="N649" s="81" t="s">
        <v>613</v>
      </c>
      <c r="O649" s="25">
        <f t="shared" si="20"/>
        <v>-1.7866129843985834E-2</v>
      </c>
    </row>
    <row r="650" spans="1:15">
      <c r="A650" s="81">
        <v>471.04751368267978</v>
      </c>
      <c r="B650" s="81">
        <v>472.47044504418977</v>
      </c>
      <c r="C650" s="81">
        <v>469.49827496036994</v>
      </c>
      <c r="D650" s="81">
        <v>469.54761377318232</v>
      </c>
      <c r="E650" s="81">
        <v>6308230.4226357285</v>
      </c>
      <c r="F650" s="81" t="s">
        <v>614</v>
      </c>
      <c r="G650" s="25">
        <f t="shared" si="19"/>
        <v>3.194351042367316E-3</v>
      </c>
      <c r="I650" s="81">
        <v>117.91113703492077</v>
      </c>
      <c r="J650" s="81">
        <v>122.57902271034423</v>
      </c>
      <c r="K650" s="81">
        <v>117.31652716585913</v>
      </c>
      <c r="L650" s="81">
        <v>121.17158115027534</v>
      </c>
      <c r="M650" s="81">
        <v>22684219.858789504</v>
      </c>
      <c r="N650" s="81" t="s">
        <v>614</v>
      </c>
      <c r="O650" s="25">
        <f t="shared" si="20"/>
        <v>-2.6907663367956025E-2</v>
      </c>
    </row>
    <row r="651" spans="1:15">
      <c r="A651" s="81">
        <v>470.62319989249301</v>
      </c>
      <c r="B651" s="81">
        <v>470.68240646786791</v>
      </c>
      <c r="C651" s="81">
        <v>468.43255660362178</v>
      </c>
      <c r="D651" s="81">
        <v>470.03113413874399</v>
      </c>
      <c r="E651" s="81">
        <v>4882385.4136066614</v>
      </c>
      <c r="F651" s="81" t="s">
        <v>615</v>
      </c>
      <c r="G651" s="25">
        <f t="shared" si="19"/>
        <v>1.259630928138078E-3</v>
      </c>
      <c r="I651" s="81">
        <v>121.71664019691518</v>
      </c>
      <c r="J651" s="81">
        <v>122.42026187530477</v>
      </c>
      <c r="K651" s="81">
        <v>119.08053644407529</v>
      </c>
      <c r="L651" s="81">
        <v>119.13999743098145</v>
      </c>
      <c r="M651" s="81">
        <v>15657729.015989559</v>
      </c>
      <c r="N651" s="81" t="s">
        <v>615</v>
      </c>
      <c r="O651" s="25">
        <f t="shared" si="20"/>
        <v>2.1627017135252169E-2</v>
      </c>
    </row>
    <row r="652" spans="1:15">
      <c r="A652" s="81">
        <v>473.72167733711257</v>
      </c>
      <c r="B652" s="81">
        <v>475.58668446142184</v>
      </c>
      <c r="C652" s="81">
        <v>472.49807477936469</v>
      </c>
      <c r="D652" s="81">
        <v>475.07356080817272</v>
      </c>
      <c r="E652" s="81">
        <v>5810800.5372975701</v>
      </c>
      <c r="F652" s="81" t="s">
        <v>616</v>
      </c>
      <c r="G652" s="25">
        <f t="shared" si="19"/>
        <v>-2.8456297773347128E-3</v>
      </c>
      <c r="I652" s="81">
        <v>120.43822897843268</v>
      </c>
      <c r="J652" s="81">
        <v>121.3003141869272</v>
      </c>
      <c r="K652" s="81">
        <v>119.69496664210564</v>
      </c>
      <c r="L652" s="81">
        <v>120.96346769610379</v>
      </c>
      <c r="M652" s="81">
        <v>8496051.7187050059</v>
      </c>
      <c r="N652" s="81" t="s">
        <v>616</v>
      </c>
      <c r="O652" s="25">
        <f t="shared" si="20"/>
        <v>-4.3421268228740484E-3</v>
      </c>
    </row>
    <row r="653" spans="1:15">
      <c r="A653" s="81">
        <v>474.34334637854897</v>
      </c>
      <c r="B653" s="81">
        <v>475.78384235742027</v>
      </c>
      <c r="C653" s="81">
        <v>474.14934616657058</v>
      </c>
      <c r="D653" s="81">
        <v>474.51109834211121</v>
      </c>
      <c r="E653" s="81">
        <v>4119493.1214246862</v>
      </c>
      <c r="F653" s="81" t="s">
        <v>617</v>
      </c>
      <c r="G653" s="25">
        <f t="shared" si="19"/>
        <v>-3.5352590097126324E-4</v>
      </c>
      <c r="I653" s="81">
        <v>121.26077263063459</v>
      </c>
      <c r="J653" s="81">
        <v>122.62837532947634</v>
      </c>
      <c r="K653" s="81">
        <v>120.11119355044879</v>
      </c>
      <c r="L653" s="81">
        <v>120.16074437287058</v>
      </c>
      <c r="M653" s="81">
        <v>15506726.4768933</v>
      </c>
      <c r="N653" s="81" t="s">
        <v>617</v>
      </c>
      <c r="O653" s="25">
        <f t="shared" si="20"/>
        <v>9.1546391752577172E-3</v>
      </c>
    </row>
    <row r="654" spans="1:15">
      <c r="A654" s="81">
        <v>474.40255295392387</v>
      </c>
      <c r="B654" s="81">
        <v>474.51109834211121</v>
      </c>
      <c r="C654" s="81">
        <v>471.13632354574207</v>
      </c>
      <c r="D654" s="81">
        <v>473.16908263361353</v>
      </c>
      <c r="E654" s="81">
        <v>5017782.8749399669</v>
      </c>
      <c r="F654" s="81" t="s">
        <v>618</v>
      </c>
      <c r="G654" s="25">
        <f t="shared" si="19"/>
        <v>2.6068278033826164E-3</v>
      </c>
      <c r="I654" s="81">
        <v>119.89316993179285</v>
      </c>
      <c r="J654" s="81">
        <v>120.92997134014665</v>
      </c>
      <c r="K654" s="81">
        <v>118.94189324293909</v>
      </c>
      <c r="L654" s="81">
        <v>119.86839452058196</v>
      </c>
      <c r="M654" s="81">
        <v>10880581.262820337</v>
      </c>
      <c r="N654" s="81" t="s">
        <v>618</v>
      </c>
      <c r="O654" s="25">
        <f t="shared" si="20"/>
        <v>2.0668843784865665E-4</v>
      </c>
    </row>
    <row r="655" spans="1:15">
      <c r="A655" s="81">
        <v>470.29756372793105</v>
      </c>
      <c r="B655" s="81">
        <v>473.0309339577388</v>
      </c>
      <c r="C655" s="81">
        <v>470.12981176436887</v>
      </c>
      <c r="D655" s="81">
        <v>472.72503331830183</v>
      </c>
      <c r="E655" s="81">
        <v>8181694.6332853744</v>
      </c>
      <c r="F655" s="81" t="s">
        <v>619</v>
      </c>
      <c r="G655" s="25">
        <f t="shared" si="19"/>
        <v>-5.1350561516302351E-3</v>
      </c>
      <c r="I655" s="81">
        <v>118.85260266093502</v>
      </c>
      <c r="J655" s="81">
        <v>119.31838039169996</v>
      </c>
      <c r="K655" s="81">
        <v>117.12823404065628</v>
      </c>
      <c r="L655" s="81">
        <v>118.55529772640419</v>
      </c>
      <c r="M655" s="81">
        <v>11977644.789581934</v>
      </c>
      <c r="N655" s="81" t="s">
        <v>619</v>
      </c>
      <c r="O655" s="25">
        <f t="shared" si="20"/>
        <v>2.5077321742039693E-3</v>
      </c>
    </row>
    <row r="656" spans="1:15">
      <c r="A656" s="81">
        <v>471.61984391130375</v>
      </c>
      <c r="B656" s="81">
        <v>472.45860372911483</v>
      </c>
      <c r="C656" s="81">
        <v>471.23500117136695</v>
      </c>
      <c r="D656" s="81">
        <v>471.41262089749165</v>
      </c>
      <c r="E656" s="81">
        <v>6162771.9166257447</v>
      </c>
      <c r="F656" s="81" t="s">
        <v>620</v>
      </c>
      <c r="G656" s="25">
        <f t="shared" si="19"/>
        <v>4.3957884160494842E-4</v>
      </c>
      <c r="I656" s="81">
        <v>118.28772328532646</v>
      </c>
      <c r="J656" s="81">
        <v>118.33727410774826</v>
      </c>
      <c r="K656" s="81">
        <v>115.8200923287207</v>
      </c>
      <c r="L656" s="81">
        <v>115.9191939735643</v>
      </c>
      <c r="M656" s="81">
        <v>12213271.554776911</v>
      </c>
      <c r="N656" s="81" t="s">
        <v>620</v>
      </c>
      <c r="O656" s="25">
        <f t="shared" si="20"/>
        <v>2.0432589552876967E-2</v>
      </c>
    </row>
    <row r="657" spans="1:15">
      <c r="A657" s="81">
        <v>472.84344646905163</v>
      </c>
      <c r="B657" s="81">
        <v>473.96837140117464</v>
      </c>
      <c r="C657" s="81">
        <v>472.48820701680222</v>
      </c>
      <c r="D657" s="81">
        <v>473.52432208586293</v>
      </c>
      <c r="E657" s="81">
        <v>5960320.7543333527</v>
      </c>
      <c r="F657" s="81" t="s">
        <v>621</v>
      </c>
      <c r="G657" s="25">
        <f t="shared" si="19"/>
        <v>-1.4378894283868515E-3</v>
      </c>
      <c r="I657" s="81">
        <v>114.82907588028466</v>
      </c>
      <c r="J657" s="81">
        <v>116.60299532298518</v>
      </c>
      <c r="K657" s="81">
        <v>114.79934538683158</v>
      </c>
      <c r="L657" s="81">
        <v>115.86964315114251</v>
      </c>
      <c r="M657" s="81">
        <v>7209552.3856091471</v>
      </c>
      <c r="N657" s="81" t="s">
        <v>621</v>
      </c>
      <c r="O657" s="25">
        <f t="shared" si="20"/>
        <v>-8.9804994868286636E-3</v>
      </c>
    </row>
    <row r="658" spans="1:15">
      <c r="A658" s="81">
        <v>473.46225385934514</v>
      </c>
      <c r="B658" s="81">
        <v>475.31636489814201</v>
      </c>
      <c r="C658" s="81">
        <v>473.32454799969969</v>
      </c>
      <c r="D658" s="81">
        <v>474.71144272898545</v>
      </c>
      <c r="E658" s="81">
        <v>5128722.9303001203</v>
      </c>
      <c r="F658" s="81" t="s">
        <v>622</v>
      </c>
      <c r="G658" s="25">
        <f t="shared" si="19"/>
        <v>-2.6314698934979397E-3</v>
      </c>
      <c r="I658" s="81">
        <v>115.65161953248658</v>
      </c>
      <c r="J658" s="81">
        <v>116.30569038845437</v>
      </c>
      <c r="K658" s="81">
        <v>114.8191657158003</v>
      </c>
      <c r="L658" s="81">
        <v>115.93901430253302</v>
      </c>
      <c r="M658" s="81">
        <v>10447399.754402919</v>
      </c>
      <c r="N658" s="81" t="s">
        <v>622</v>
      </c>
      <c r="O658" s="25">
        <f t="shared" si="20"/>
        <v>-2.4788443456704723E-3</v>
      </c>
    </row>
    <row r="659" spans="1:15">
      <c r="A659" s="81">
        <v>471.88847260625494</v>
      </c>
      <c r="B659" s="81">
        <v>472.1540481927139</v>
      </c>
      <c r="C659" s="81">
        <v>467.14745658132085</v>
      </c>
      <c r="D659" s="81">
        <v>467.74746068406148</v>
      </c>
      <c r="E659" s="81">
        <v>6282302.3089051498</v>
      </c>
      <c r="F659" s="81" t="s">
        <v>623</v>
      </c>
      <c r="G659" s="25">
        <f t="shared" si="19"/>
        <v>8.8530933254824529E-3</v>
      </c>
      <c r="I659" s="81">
        <v>115.41377558486192</v>
      </c>
      <c r="J659" s="81">
        <v>115.46332640728373</v>
      </c>
      <c r="K659" s="81">
        <v>113.33264104314623</v>
      </c>
      <c r="L659" s="81">
        <v>113.58039515525525</v>
      </c>
      <c r="M659" s="81">
        <v>11805702.133868286</v>
      </c>
      <c r="N659" s="81" t="s">
        <v>623</v>
      </c>
      <c r="O659" s="25">
        <f t="shared" si="20"/>
        <v>1.6141697932117616E-2</v>
      </c>
    </row>
    <row r="660" spans="1:15">
      <c r="A660" s="81">
        <v>467.80647748105235</v>
      </c>
      <c r="B660" s="81">
        <v>467.94418334069775</v>
      </c>
      <c r="C660" s="81">
        <v>463.56710423054074</v>
      </c>
      <c r="D660" s="81">
        <v>464.46219231823574</v>
      </c>
      <c r="E660" s="81">
        <v>4626053.8341683242</v>
      </c>
      <c r="F660" s="81" t="s">
        <v>624</v>
      </c>
      <c r="G660" s="25">
        <f t="shared" si="19"/>
        <v>7.2003388394747958E-3</v>
      </c>
      <c r="I660" s="81">
        <v>113.48129351041165</v>
      </c>
      <c r="J660" s="81">
        <v>114.13536436637943</v>
      </c>
      <c r="K660" s="81">
        <v>112.22577477188801</v>
      </c>
      <c r="L660" s="81">
        <v>112.39117541713199</v>
      </c>
      <c r="M660" s="81">
        <v>11099456.540160397</v>
      </c>
      <c r="N660" s="81" t="s">
        <v>624</v>
      </c>
      <c r="O660" s="25">
        <f t="shared" si="20"/>
        <v>9.6993210475266878E-3</v>
      </c>
    </row>
    <row r="661" spans="1:15">
      <c r="A661" s="81">
        <v>465.1999022806217</v>
      </c>
      <c r="B661" s="81">
        <v>467.49073761715113</v>
      </c>
      <c r="C661" s="81">
        <v>464.75727630319011</v>
      </c>
      <c r="D661" s="81">
        <v>466.1835155638031</v>
      </c>
      <c r="E661" s="81">
        <v>4004729.366056887</v>
      </c>
      <c r="F661" s="81" t="s">
        <v>625</v>
      </c>
      <c r="G661" s="25">
        <f t="shared" si="19"/>
        <v>-2.1099272075114639E-3</v>
      </c>
      <c r="I661" s="81">
        <v>112.82722265444384</v>
      </c>
      <c r="J661" s="81">
        <v>113.40201219453677</v>
      </c>
      <c r="K661" s="81">
        <v>111.28123699488363</v>
      </c>
      <c r="L661" s="81">
        <v>111.28123699488363</v>
      </c>
      <c r="M661" s="81">
        <v>11927918.067005562</v>
      </c>
      <c r="N661" s="81" t="s">
        <v>625</v>
      </c>
      <c r="O661" s="25">
        <f t="shared" si="20"/>
        <v>1.3892599519102156E-2</v>
      </c>
    </row>
    <row r="662" spans="1:15">
      <c r="A662" s="81">
        <v>462.30807922806855</v>
      </c>
      <c r="B662" s="81">
        <v>464.05045179789602</v>
      </c>
      <c r="C662" s="81">
        <v>461.03931645409295</v>
      </c>
      <c r="D662" s="81">
        <v>462.70152454134114</v>
      </c>
      <c r="E662" s="81">
        <v>6920491.128366488</v>
      </c>
      <c r="F662" s="81" t="s">
        <v>626</v>
      </c>
      <c r="G662" s="25">
        <f t="shared" si="19"/>
        <v>-8.5032205948010198E-4</v>
      </c>
      <c r="I662" s="81">
        <v>110.94429140241536</v>
      </c>
      <c r="J662" s="81">
        <v>111.94521801533575</v>
      </c>
      <c r="K662" s="81">
        <v>110.39923235577554</v>
      </c>
      <c r="L662" s="81">
        <v>110.59743564546274</v>
      </c>
      <c r="M662" s="81">
        <v>15503457.106334303</v>
      </c>
      <c r="N662" s="81" t="s">
        <v>626</v>
      </c>
      <c r="O662" s="25">
        <f t="shared" si="20"/>
        <v>3.1362007168458383E-3</v>
      </c>
    </row>
    <row r="663" spans="1:15">
      <c r="A663" s="81">
        <v>465.51465853123977</v>
      </c>
      <c r="B663" s="81">
        <v>467.53598382817745</v>
      </c>
      <c r="C663" s="81">
        <v>462.74086907266832</v>
      </c>
      <c r="D663" s="81">
        <v>467.37368763645253</v>
      </c>
      <c r="E663" s="81">
        <v>5238827.1774181742</v>
      </c>
      <c r="F663" s="81" t="s">
        <v>627</v>
      </c>
      <c r="G663" s="25">
        <f t="shared" si="19"/>
        <v>-3.9776075427224722E-3</v>
      </c>
      <c r="I663" s="81">
        <v>111.05330321174333</v>
      </c>
      <c r="J663" s="81">
        <v>111.34069798178977</v>
      </c>
      <c r="K663" s="81">
        <v>108.52621126823141</v>
      </c>
      <c r="L663" s="81">
        <v>110.73617794824378</v>
      </c>
      <c r="M663" s="81">
        <v>10615829.854895616</v>
      </c>
      <c r="N663" s="81" t="s">
        <v>627</v>
      </c>
      <c r="O663" s="25">
        <f t="shared" si="20"/>
        <v>2.8637909432611686E-3</v>
      </c>
    </row>
    <row r="664" spans="1:15">
      <c r="A664" s="81">
        <v>466.5376163457484</v>
      </c>
      <c r="B664" s="81">
        <v>467.67860775423878</v>
      </c>
      <c r="C664" s="81">
        <v>465.15072161646265</v>
      </c>
      <c r="D664" s="81">
        <v>467.52122962892975</v>
      </c>
      <c r="E664" s="81">
        <v>3603576.792431822</v>
      </c>
      <c r="F664" s="81" t="s">
        <v>628</v>
      </c>
      <c r="G664" s="25">
        <f t="shared" si="19"/>
        <v>-2.1038900927815574E-3</v>
      </c>
      <c r="I664" s="81">
        <v>111.48935044905518</v>
      </c>
      <c r="J664" s="81">
        <v>113.10470726000594</v>
      </c>
      <c r="K664" s="81">
        <v>111.42493437990684</v>
      </c>
      <c r="L664" s="81">
        <v>111.72719439667983</v>
      </c>
      <c r="M664" s="81">
        <v>7333785.4396561254</v>
      </c>
      <c r="N664" s="81" t="s">
        <v>628</v>
      </c>
      <c r="O664" s="25">
        <f t="shared" si="20"/>
        <v>-2.1287919105907882E-3</v>
      </c>
    </row>
    <row r="665" spans="1:15">
      <c r="A665" s="81">
        <v>467.2458179096389</v>
      </c>
      <c r="B665" s="81">
        <v>467.75729681689324</v>
      </c>
      <c r="C665" s="81">
        <v>461.87528938346873</v>
      </c>
      <c r="D665" s="81">
        <v>464.18678059894495</v>
      </c>
      <c r="E665" s="81">
        <v>4891186.4878841415</v>
      </c>
      <c r="F665" s="81" t="s">
        <v>629</v>
      </c>
      <c r="G665" s="25">
        <f t="shared" si="19"/>
        <v>6.5901000169519275E-3</v>
      </c>
      <c r="I665" s="81">
        <v>111.44970979111774</v>
      </c>
      <c r="J665" s="81">
        <v>111.9353078508514</v>
      </c>
      <c r="K665" s="81">
        <v>110.63707630340018</v>
      </c>
      <c r="L665" s="81">
        <v>111.50421569578172</v>
      </c>
      <c r="M665" s="81">
        <v>8158248.0419564415</v>
      </c>
      <c r="N665" s="81" t="s">
        <v>629</v>
      </c>
      <c r="O665" s="25">
        <f t="shared" si="20"/>
        <v>-4.8882371239389322E-4</v>
      </c>
    </row>
    <row r="666" spans="1:15">
      <c r="A666" s="81">
        <v>462.29824309523673</v>
      </c>
      <c r="B666" s="81">
        <v>462.74578713908426</v>
      </c>
      <c r="C666" s="81">
        <v>459.73101242613342</v>
      </c>
      <c r="D666" s="81">
        <v>461.51135246869165</v>
      </c>
      <c r="E666" s="81">
        <v>5412560.0894497139</v>
      </c>
      <c r="F666" s="81" t="s">
        <v>630</v>
      </c>
      <c r="G666" s="25">
        <f t="shared" si="19"/>
        <v>1.7050298380221207E-3</v>
      </c>
      <c r="I666" s="81">
        <v>111.30105732385233</v>
      </c>
      <c r="J666" s="81">
        <v>111.89566719291396</v>
      </c>
      <c r="K666" s="81">
        <v>109.04153982141816</v>
      </c>
      <c r="L666" s="81">
        <v>109.10100080832432</v>
      </c>
      <c r="M666" s="81">
        <v>8874027.2816647701</v>
      </c>
      <c r="N666" s="81" t="s">
        <v>630</v>
      </c>
      <c r="O666" s="25">
        <f t="shared" si="20"/>
        <v>2.0165319284221939E-2</v>
      </c>
    </row>
    <row r="667" spans="1:15">
      <c r="A667" s="81">
        <v>462.68185227567744</v>
      </c>
      <c r="B667" s="81">
        <v>468.49441661130936</v>
      </c>
      <c r="C667" s="81">
        <v>462.1211927042641</v>
      </c>
      <c r="D667" s="81">
        <v>466.00646517283042</v>
      </c>
      <c r="E667" s="81">
        <v>6390341.7201423468</v>
      </c>
      <c r="F667" s="81" t="s">
        <v>631</v>
      </c>
      <c r="G667" s="25">
        <f t="shared" si="19"/>
        <v>-7.1342634611731848E-3</v>
      </c>
      <c r="I667" s="81">
        <v>109.3289345914646</v>
      </c>
      <c r="J667" s="81">
        <v>110.31004087541629</v>
      </c>
      <c r="K667" s="81">
        <v>108.35773847199728</v>
      </c>
      <c r="L667" s="81">
        <v>109.19019228868356</v>
      </c>
      <c r="M667" s="81">
        <v>10099918.135360727</v>
      </c>
      <c r="N667" s="81" t="s">
        <v>631</v>
      </c>
      <c r="O667" s="25">
        <f t="shared" si="20"/>
        <v>1.2706480304955914E-3</v>
      </c>
    </row>
    <row r="668" spans="1:15">
      <c r="A668" s="81">
        <v>465.50482239840795</v>
      </c>
      <c r="B668" s="81">
        <v>466.4195827517666</v>
      </c>
      <c r="C668" s="81">
        <v>463.06546145611816</v>
      </c>
      <c r="D668" s="81">
        <v>463.90153274682234</v>
      </c>
      <c r="E668" s="81">
        <v>7268915.6625406686</v>
      </c>
      <c r="F668" s="81" t="s">
        <v>632</v>
      </c>
      <c r="G668" s="25">
        <f t="shared" si="19"/>
        <v>3.4560990607044317E-3</v>
      </c>
      <c r="I668" s="81">
        <v>109.19019228868356</v>
      </c>
      <c r="J668" s="81">
        <v>110.08210709227599</v>
      </c>
      <c r="K668" s="81">
        <v>108.21899616921624</v>
      </c>
      <c r="L668" s="81">
        <v>109.70552084187031</v>
      </c>
      <c r="M668" s="81">
        <v>8687333.1049011238</v>
      </c>
      <c r="N668" s="81" t="s">
        <v>632</v>
      </c>
      <c r="O668" s="25">
        <f t="shared" si="20"/>
        <v>-4.6973803071364006E-3</v>
      </c>
    </row>
    <row r="669" spans="1:15">
      <c r="A669" s="81">
        <v>460.94085676444649</v>
      </c>
      <c r="B669" s="81">
        <v>462.94742786213646</v>
      </c>
      <c r="C669" s="81">
        <v>459.66206113498242</v>
      </c>
      <c r="D669" s="81">
        <v>461.56053313285071</v>
      </c>
      <c r="E669" s="81">
        <v>5413763.8145520939</v>
      </c>
      <c r="F669" s="81" t="s">
        <v>633</v>
      </c>
      <c r="G669" s="25">
        <f t="shared" si="19"/>
        <v>-1.3425679275438362E-3</v>
      </c>
      <c r="I669" s="81">
        <v>109.07127031487123</v>
      </c>
      <c r="J669" s="81">
        <v>112.28216360780402</v>
      </c>
      <c r="K669" s="81">
        <v>108.26854699163803</v>
      </c>
      <c r="L669" s="81">
        <v>112.06413998914809</v>
      </c>
      <c r="M669" s="81">
        <v>14877535.103749065</v>
      </c>
      <c r="N669" s="81" t="s">
        <v>633</v>
      </c>
      <c r="O669" s="25">
        <f t="shared" si="20"/>
        <v>-2.6706756278740751E-2</v>
      </c>
    </row>
    <row r="670" spans="1:15">
      <c r="A670" s="81">
        <v>458.51133195498852</v>
      </c>
      <c r="B670" s="81">
        <v>461.68840285966428</v>
      </c>
      <c r="C670" s="81">
        <v>456.4555801931395</v>
      </c>
      <c r="D670" s="81">
        <v>461.26544914789633</v>
      </c>
      <c r="E670" s="81">
        <v>4693412.6235755878</v>
      </c>
      <c r="F670" s="81" t="s">
        <v>634</v>
      </c>
      <c r="G670" s="25">
        <f t="shared" si="19"/>
        <v>-5.9707857980595413E-3</v>
      </c>
      <c r="I670" s="81">
        <v>111.85602653497652</v>
      </c>
      <c r="J670" s="81">
        <v>114.15518469534814</v>
      </c>
      <c r="K670" s="81">
        <v>111.26141666591489</v>
      </c>
      <c r="L670" s="81">
        <v>112.58937870681919</v>
      </c>
      <c r="M670" s="81">
        <v>15064915.444704104</v>
      </c>
      <c r="N670" s="81" t="s">
        <v>634</v>
      </c>
      <c r="O670" s="25">
        <f t="shared" si="20"/>
        <v>-6.5135111345832053E-3</v>
      </c>
    </row>
    <row r="671" spans="1:15">
      <c r="A671" s="81">
        <v>463.1539866516045</v>
      </c>
      <c r="B671" s="81">
        <v>464.85563763150827</v>
      </c>
      <c r="C671" s="81">
        <v>462.88841106514559</v>
      </c>
      <c r="D671" s="81">
        <v>462.89824719797735</v>
      </c>
      <c r="E671" s="81">
        <v>4036385.0995981134</v>
      </c>
      <c r="F671" s="81" t="s">
        <v>635</v>
      </c>
      <c r="G671" s="25">
        <f t="shared" si="19"/>
        <v>5.5247444805672785E-4</v>
      </c>
      <c r="I671" s="81">
        <v>112.66866002269407</v>
      </c>
      <c r="J671" s="81">
        <v>113.10470726000594</v>
      </c>
      <c r="K671" s="81">
        <v>110.79563893514995</v>
      </c>
      <c r="L671" s="81">
        <v>111.65782324528931</v>
      </c>
      <c r="M671" s="81">
        <v>11663632.847104995</v>
      </c>
      <c r="N671" s="81" t="s">
        <v>635</v>
      </c>
      <c r="O671" s="25">
        <f t="shared" si="20"/>
        <v>9.0529865980295554E-3</v>
      </c>
    </row>
    <row r="672" spans="1:15">
      <c r="A672" s="81">
        <v>463.70481009018607</v>
      </c>
      <c r="B672" s="81">
        <v>464.03923860646773</v>
      </c>
      <c r="C672" s="81">
        <v>459.77035695746065</v>
      </c>
      <c r="D672" s="81">
        <v>460.16380227073319</v>
      </c>
      <c r="E672" s="81">
        <v>4920044.3738901056</v>
      </c>
      <c r="F672" s="81" t="s">
        <v>636</v>
      </c>
      <c r="G672" s="25">
        <f t="shared" si="19"/>
        <v>7.6951029220015954E-3</v>
      </c>
      <c r="I672" s="81">
        <v>110.94429140241536</v>
      </c>
      <c r="J672" s="81">
        <v>111.13753960986038</v>
      </c>
      <c r="K672" s="81">
        <v>110.0325562698542</v>
      </c>
      <c r="L672" s="81">
        <v>110.43887301371298</v>
      </c>
      <c r="M672" s="81">
        <v>7308048.2280888986</v>
      </c>
      <c r="N672" s="81" t="s">
        <v>636</v>
      </c>
      <c r="O672" s="25">
        <f t="shared" si="20"/>
        <v>4.576453697056726E-3</v>
      </c>
    </row>
    <row r="673" spans="1:15">
      <c r="A673" s="81">
        <v>459.27855031587001</v>
      </c>
      <c r="B673" s="81">
        <v>460.81298703763292</v>
      </c>
      <c r="C673" s="81">
        <v>456.85886163924386</v>
      </c>
      <c r="D673" s="81">
        <v>459.31789484719724</v>
      </c>
      <c r="E673" s="81">
        <v>7455085.3728639456</v>
      </c>
      <c r="F673" s="81" t="s">
        <v>637</v>
      </c>
      <c r="G673" s="25">
        <f t="shared" si="19"/>
        <v>-8.5658607619332194E-5</v>
      </c>
      <c r="I673" s="81">
        <v>110.57761531649402</v>
      </c>
      <c r="J673" s="81">
        <v>111.7371045611642</v>
      </c>
      <c r="K673" s="81">
        <v>109.97309528294804</v>
      </c>
      <c r="L673" s="81">
        <v>110.14156807918216</v>
      </c>
      <c r="M673" s="81">
        <v>11763970.233186651</v>
      </c>
      <c r="N673" s="81" t="s">
        <v>637</v>
      </c>
      <c r="O673" s="25">
        <f t="shared" si="20"/>
        <v>3.9589706676264047E-3</v>
      </c>
    </row>
    <row r="674" spans="1:15">
      <c r="A674" s="81">
        <v>457.58673546879805</v>
      </c>
      <c r="B674" s="81">
        <v>458.1965757043705</v>
      </c>
      <c r="C674" s="81">
        <v>456.50476085729855</v>
      </c>
      <c r="D674" s="81">
        <v>456.8785339049075</v>
      </c>
      <c r="E674" s="81">
        <v>2847259.2307231338</v>
      </c>
      <c r="F674" s="81" t="s">
        <v>638</v>
      </c>
      <c r="G674" s="25">
        <f t="shared" si="19"/>
        <v>1.55008719240457E-3</v>
      </c>
      <c r="I674" s="81">
        <v>109.8046224867139</v>
      </c>
      <c r="J674" s="81">
        <v>110.04246643433856</v>
      </c>
      <c r="K674" s="81">
        <v>107.68483830350921</v>
      </c>
      <c r="L674" s="81">
        <v>107.80276926087309</v>
      </c>
      <c r="M674" s="81">
        <v>10870705.543789189</v>
      </c>
      <c r="N674" s="81" t="s">
        <v>638</v>
      </c>
      <c r="O674" s="25">
        <f t="shared" si="20"/>
        <v>1.8569589998161273E-2</v>
      </c>
    </row>
    <row r="675" spans="1:15">
      <c r="A675" s="81">
        <v>458.29493703268861</v>
      </c>
      <c r="B675" s="81">
        <v>458.48182355649311</v>
      </c>
      <c r="C675" s="81">
        <v>456.30803820066234</v>
      </c>
      <c r="D675" s="81">
        <v>458.0785421103887</v>
      </c>
      <c r="E675" s="81">
        <v>3646700.4475565357</v>
      </c>
      <c r="F675" s="81" t="s">
        <v>639</v>
      </c>
      <c r="G675" s="25">
        <f t="shared" si="19"/>
        <v>4.7239698524825791E-4</v>
      </c>
      <c r="I675" s="81">
        <v>108.43701978787216</v>
      </c>
      <c r="J675" s="81">
        <v>108.59558241962193</v>
      </c>
      <c r="K675" s="81">
        <v>106.81175281243705</v>
      </c>
      <c r="L675" s="81">
        <v>106.81175281243705</v>
      </c>
      <c r="M675" s="81">
        <v>7663804.180027321</v>
      </c>
      <c r="N675" s="81" t="s">
        <v>639</v>
      </c>
      <c r="O675" s="25">
        <f t="shared" si="20"/>
        <v>1.5216181109667826E-2</v>
      </c>
    </row>
    <row r="676" spans="1:15">
      <c r="A676" s="81">
        <v>457.44902960915266</v>
      </c>
      <c r="B676" s="81">
        <v>459.92773508276963</v>
      </c>
      <c r="C676" s="81">
        <v>457.32115988233909</v>
      </c>
      <c r="D676" s="81">
        <v>459.53428976949715</v>
      </c>
      <c r="E676" s="81">
        <v>3508293.4106368246</v>
      </c>
      <c r="F676" s="81" t="s">
        <v>640</v>
      </c>
      <c r="G676" s="25">
        <f t="shared" si="19"/>
        <v>-4.5377683597680463E-3</v>
      </c>
      <c r="I676" s="81">
        <v>106.71265116759345</v>
      </c>
      <c r="J676" s="81">
        <v>107.78294893190437</v>
      </c>
      <c r="K676" s="81">
        <v>106.41534623306262</v>
      </c>
      <c r="L676" s="81">
        <v>106.55408853584368</v>
      </c>
      <c r="M676" s="81">
        <v>8772962.3597272374</v>
      </c>
      <c r="N676" s="81" t="s">
        <v>640</v>
      </c>
      <c r="O676" s="25">
        <f t="shared" si="20"/>
        <v>1.4880952380953438E-3</v>
      </c>
    </row>
    <row r="677" spans="1:15">
      <c r="A677" s="81">
        <v>459.13100832339273</v>
      </c>
      <c r="B677" s="81">
        <v>461.18676008524181</v>
      </c>
      <c r="C677" s="81">
        <v>458.4530036872959</v>
      </c>
      <c r="D677" s="81">
        <v>460.41954172436033</v>
      </c>
      <c r="E677" s="81">
        <v>4118103.1908178921</v>
      </c>
      <c r="F677" s="81" t="s">
        <v>641</v>
      </c>
      <c r="G677" s="25">
        <f t="shared" si="19"/>
        <v>-2.7986071054711958E-3</v>
      </c>
      <c r="I677" s="81">
        <v>106.7721121544996</v>
      </c>
      <c r="J677" s="81">
        <v>107.02977643109298</v>
      </c>
      <c r="K677" s="81">
        <v>104.87927073798676</v>
      </c>
      <c r="L677" s="81">
        <v>106.60363935826547</v>
      </c>
      <c r="M677" s="81">
        <v>11830229.476515686</v>
      </c>
      <c r="N677" s="81" t="s">
        <v>641</v>
      </c>
      <c r="O677" s="25">
        <f t="shared" si="20"/>
        <v>1.5803662731244117E-3</v>
      </c>
    </row>
    <row r="678" spans="1:15">
      <c r="A678" s="81">
        <v>458.9244495339247</v>
      </c>
      <c r="B678" s="81">
        <v>459.67199562914249</v>
      </c>
      <c r="C678" s="81">
        <v>454.73917501398802</v>
      </c>
      <c r="D678" s="81">
        <v>455.62934503526719</v>
      </c>
      <c r="E678" s="81">
        <v>4400648.1754699135</v>
      </c>
      <c r="F678" s="81" t="s">
        <v>642</v>
      </c>
      <c r="G678" s="25">
        <f t="shared" si="19"/>
        <v>7.2319848020379052E-3</v>
      </c>
      <c r="I678" s="81">
        <v>106.673010509656</v>
      </c>
      <c r="J678" s="81">
        <v>107.51537449082663</v>
      </c>
      <c r="K678" s="81">
        <v>106.44012164427353</v>
      </c>
      <c r="L678" s="81">
        <v>107.01986626660862</v>
      </c>
      <c r="M678" s="81">
        <v>9350192.9404131193</v>
      </c>
      <c r="N678" s="81" t="s">
        <v>642</v>
      </c>
      <c r="O678" s="25">
        <f t="shared" si="20"/>
        <v>-3.2410408371146282E-3</v>
      </c>
    </row>
    <row r="679" spans="1:15">
      <c r="A679" s="81">
        <v>449.48176201538371</v>
      </c>
      <c r="B679" s="81">
        <v>449.62930400786092</v>
      </c>
      <c r="C679" s="81">
        <v>446.16698525106256</v>
      </c>
      <c r="D679" s="81">
        <v>447.85880009813445</v>
      </c>
      <c r="E679" s="81">
        <v>4293433.275261458</v>
      </c>
      <c r="F679" s="81" t="s">
        <v>643</v>
      </c>
      <c r="G679" s="25">
        <f t="shared" si="19"/>
        <v>3.6238250021962681E-3</v>
      </c>
      <c r="I679" s="81">
        <v>106.70274100310908</v>
      </c>
      <c r="J679" s="81">
        <v>108.23881649818495</v>
      </c>
      <c r="K679" s="81">
        <v>106.2716488480394</v>
      </c>
      <c r="L679" s="81">
        <v>107.50546432634228</v>
      </c>
      <c r="M679" s="81">
        <v>10549197.257521264</v>
      </c>
      <c r="N679" s="81" t="s">
        <v>643</v>
      </c>
      <c r="O679" s="25">
        <f t="shared" si="20"/>
        <v>-7.4668141592920678E-3</v>
      </c>
    </row>
    <row r="680" spans="1:15">
      <c r="A680" s="81">
        <v>449.02929990512024</v>
      </c>
      <c r="B680" s="81">
        <v>450.55390049405139</v>
      </c>
      <c r="C680" s="81">
        <v>446.98338427610304</v>
      </c>
      <c r="D680" s="81">
        <v>449.94406025847894</v>
      </c>
      <c r="E680" s="81">
        <v>5395193.508200678</v>
      </c>
      <c r="F680" s="81" t="s">
        <v>644</v>
      </c>
      <c r="G680" s="25">
        <f t="shared" si="19"/>
        <v>-2.0330535152152107E-3</v>
      </c>
      <c r="I680" s="81">
        <v>108.45684011684088</v>
      </c>
      <c r="J680" s="81">
        <v>110.12967588180094</v>
      </c>
      <c r="K680" s="81">
        <v>108.36764863648163</v>
      </c>
      <c r="L680" s="81">
        <v>109.8541733091357</v>
      </c>
      <c r="M680" s="81">
        <v>9859484.1845660377</v>
      </c>
      <c r="N680" s="81" t="s">
        <v>644</v>
      </c>
      <c r="O680" s="25">
        <f t="shared" si="20"/>
        <v>-1.2719891745602174E-2</v>
      </c>
    </row>
    <row r="681" spans="1:15">
      <c r="A681" s="81">
        <v>451.50800537873727</v>
      </c>
      <c r="B681" s="81">
        <v>454.5768788222631</v>
      </c>
      <c r="C681" s="81">
        <v>450.888329010333</v>
      </c>
      <c r="D681" s="81">
        <v>453.52441260925906</v>
      </c>
      <c r="E681" s="81">
        <v>5619986.1210910352</v>
      </c>
      <c r="F681" s="81" t="s">
        <v>645</v>
      </c>
      <c r="G681" s="25">
        <f t="shared" si="19"/>
        <v>-4.4460831092218989E-3</v>
      </c>
      <c r="I681" s="81">
        <v>110.59743564546274</v>
      </c>
      <c r="J681" s="81">
        <v>111.54881143596135</v>
      </c>
      <c r="K681" s="81">
        <v>110.16138840815088</v>
      </c>
      <c r="L681" s="81">
        <v>111.01366255380587</v>
      </c>
      <c r="M681" s="81">
        <v>8861833.7403576896</v>
      </c>
      <c r="N681" s="81" t="s">
        <v>645</v>
      </c>
      <c r="O681" s="25">
        <f t="shared" si="20"/>
        <v>-3.7493304767005631E-3</v>
      </c>
    </row>
    <row r="682" spans="1:15">
      <c r="A682" s="81">
        <v>453.82933272704526</v>
      </c>
      <c r="B682" s="81">
        <v>453.97687471952253</v>
      </c>
      <c r="C682" s="81">
        <v>450.91783740882846</v>
      </c>
      <c r="D682" s="81">
        <v>451.38013565192369</v>
      </c>
      <c r="E682" s="81">
        <v>5790599.9211174203</v>
      </c>
      <c r="F682" s="81" t="s">
        <v>646</v>
      </c>
      <c r="G682" s="25">
        <f t="shared" si="19"/>
        <v>5.4260187404662208E-3</v>
      </c>
      <c r="I682" s="81">
        <v>111.43979962663339</v>
      </c>
      <c r="J682" s="81">
        <v>111.90557735739833</v>
      </c>
      <c r="K682" s="81">
        <v>110.08210709227599</v>
      </c>
      <c r="L682" s="81">
        <v>110.08210709227599</v>
      </c>
      <c r="M682" s="81">
        <v>10052211.560889021</v>
      </c>
      <c r="N682" s="81" t="s">
        <v>646</v>
      </c>
      <c r="O682" s="25">
        <f t="shared" si="20"/>
        <v>1.2333453366942804E-2</v>
      </c>
    </row>
    <row r="683" spans="1:15">
      <c r="A683" s="81">
        <v>450.78013154918312</v>
      </c>
      <c r="B683" s="81">
        <v>451.15390459679202</v>
      </c>
      <c r="C683" s="81">
        <v>446.95387587760757</v>
      </c>
      <c r="D683" s="81">
        <v>449.09323476852705</v>
      </c>
      <c r="E683" s="81">
        <v>5717703.3862433787</v>
      </c>
      <c r="F683" s="81" t="s">
        <v>647</v>
      </c>
      <c r="G683" s="25">
        <f t="shared" si="19"/>
        <v>3.7562284400154411E-3</v>
      </c>
      <c r="I683" s="81">
        <v>110.5577949875253</v>
      </c>
      <c r="J683" s="81">
        <v>110.67671696133763</v>
      </c>
      <c r="K683" s="81">
        <v>108.68477389998118</v>
      </c>
      <c r="L683" s="81">
        <v>109.58659886805798</v>
      </c>
      <c r="M683" s="81">
        <v>11508881.631580748</v>
      </c>
      <c r="N683" s="81" t="s">
        <v>647</v>
      </c>
      <c r="O683" s="25">
        <f t="shared" si="20"/>
        <v>8.8623620907939404E-3</v>
      </c>
    </row>
    <row r="684" spans="1:15">
      <c r="A684" s="81">
        <v>446.53092216583963</v>
      </c>
      <c r="B684" s="81">
        <v>448.23257314574334</v>
      </c>
      <c r="C684" s="81">
        <v>443.60467264837507</v>
      </c>
      <c r="D684" s="81">
        <v>447.03256494026215</v>
      </c>
      <c r="E684" s="81">
        <v>8288056.0270930398</v>
      </c>
      <c r="F684" s="81" t="s">
        <v>648</v>
      </c>
      <c r="G684" s="25">
        <f t="shared" si="19"/>
        <v>-1.1221615912692107E-3</v>
      </c>
      <c r="I684" s="81">
        <v>109.46767689424564</v>
      </c>
      <c r="J684" s="81">
        <v>109.6559700194485</v>
      </c>
      <c r="K684" s="81">
        <v>107.23788988526454</v>
      </c>
      <c r="L684" s="81">
        <v>107.30726103665508</v>
      </c>
      <c r="M684" s="81">
        <v>14726781.803704679</v>
      </c>
      <c r="N684" s="81" t="s">
        <v>648</v>
      </c>
      <c r="O684" s="25">
        <f t="shared" si="20"/>
        <v>2.0132988548208219E-2</v>
      </c>
    </row>
    <row r="685" spans="1:15">
      <c r="A685" s="81">
        <v>452.91457237368661</v>
      </c>
      <c r="B685" s="81">
        <v>455.15721065934014</v>
      </c>
      <c r="C685" s="81">
        <v>452.21620694262788</v>
      </c>
      <c r="D685" s="81">
        <v>453.06211436616383</v>
      </c>
      <c r="E685" s="81">
        <v>4640271.8202804755</v>
      </c>
      <c r="F685" s="81" t="s">
        <v>649</v>
      </c>
      <c r="G685" s="25">
        <f t="shared" si="19"/>
        <v>-3.2565510952864418E-4</v>
      </c>
      <c r="I685" s="81">
        <v>108.30818764957549</v>
      </c>
      <c r="J685" s="81">
        <v>110.06218766166243</v>
      </c>
      <c r="K685" s="81">
        <v>106.86130363485884</v>
      </c>
      <c r="L685" s="81">
        <v>106.91085445728065</v>
      </c>
      <c r="M685" s="81">
        <v>13545642.982197482</v>
      </c>
      <c r="N685" s="81" t="s">
        <v>649</v>
      </c>
      <c r="O685" s="25">
        <f t="shared" si="20"/>
        <v>1.3070077864293816E-2</v>
      </c>
    </row>
    <row r="686" spans="1:15">
      <c r="A686" s="81">
        <v>453.1211311631547</v>
      </c>
      <c r="B686" s="81">
        <v>453.47523194509995</v>
      </c>
      <c r="C686" s="81">
        <v>450.66209795520132</v>
      </c>
      <c r="D686" s="81">
        <v>451.02603486997845</v>
      </c>
      <c r="E686" s="81">
        <v>4069276.0746928803</v>
      </c>
      <c r="F686" s="81" t="s">
        <v>650</v>
      </c>
      <c r="G686" s="25">
        <f t="shared" si="19"/>
        <v>4.6451781742049558E-3</v>
      </c>
      <c r="I686" s="81">
        <v>107.41627284598303</v>
      </c>
      <c r="J686" s="81">
        <v>109.16046179523047</v>
      </c>
      <c r="K686" s="81">
        <v>106.7225613320778</v>
      </c>
      <c r="L686" s="81">
        <v>108.61540274859064</v>
      </c>
      <c r="M686" s="81">
        <v>21704065.592396732</v>
      </c>
      <c r="N686" s="81" t="s">
        <v>650</v>
      </c>
      <c r="O686" s="25">
        <f t="shared" si="20"/>
        <v>-1.1040145985401373E-2</v>
      </c>
    </row>
    <row r="687" spans="1:15">
      <c r="A687" s="81">
        <v>450.56373662688316</v>
      </c>
      <c r="B687" s="81">
        <v>450.8194760805103</v>
      </c>
      <c r="C687" s="81">
        <v>449.54077881237453</v>
      </c>
      <c r="D687" s="81">
        <v>450.30799717325601</v>
      </c>
      <c r="E687" s="81">
        <v>4254306.1094758129</v>
      </c>
      <c r="F687" s="81" t="s">
        <v>651</v>
      </c>
      <c r="G687" s="25">
        <f t="shared" si="19"/>
        <v>5.6792119001336516E-4</v>
      </c>
      <c r="I687" s="81">
        <v>109.54695821012054</v>
      </c>
      <c r="J687" s="81">
        <v>111.75692489013291</v>
      </c>
      <c r="K687" s="81">
        <v>105.84055669296971</v>
      </c>
      <c r="L687" s="81">
        <v>106.11804129853181</v>
      </c>
      <c r="M687" s="81">
        <v>61107371.220295198</v>
      </c>
      <c r="N687" s="81" t="s">
        <v>651</v>
      </c>
      <c r="O687" s="25">
        <f t="shared" si="20"/>
        <v>3.2312289876727851E-2</v>
      </c>
    </row>
    <row r="688" spans="1:15">
      <c r="A688" s="81">
        <v>450.25881650909696</v>
      </c>
      <c r="B688" s="81">
        <v>450.67193408803314</v>
      </c>
      <c r="C688" s="81">
        <v>447.80961943397534</v>
      </c>
      <c r="D688" s="81">
        <v>448.67519912317493</v>
      </c>
      <c r="E688" s="81">
        <v>6876091.5652996404</v>
      </c>
      <c r="F688" s="81" t="s">
        <v>652</v>
      </c>
      <c r="G688" s="25">
        <f t="shared" si="19"/>
        <v>3.5295407212541097E-3</v>
      </c>
      <c r="I688" s="81">
        <v>98.249370697949615</v>
      </c>
      <c r="J688" s="81">
        <v>98.388113000730655</v>
      </c>
      <c r="K688" s="81">
        <v>95.771829576859488</v>
      </c>
      <c r="L688" s="81">
        <v>96.515091913186524</v>
      </c>
      <c r="M688" s="81">
        <v>29148135.780779764</v>
      </c>
      <c r="N688" s="81" t="s">
        <v>652</v>
      </c>
      <c r="O688" s="25">
        <f t="shared" si="20"/>
        <v>1.7968990656124895E-2</v>
      </c>
    </row>
    <row r="689" spans="1:15">
      <c r="A689" s="81">
        <v>446.5899389628305</v>
      </c>
      <c r="B689" s="81">
        <v>446.8456784164577</v>
      </c>
      <c r="C689" s="81">
        <v>444.79976278744044</v>
      </c>
      <c r="D689" s="81">
        <v>446.14731298539886</v>
      </c>
      <c r="E689" s="81">
        <v>4456630.5426680259</v>
      </c>
      <c r="F689" s="81" t="s">
        <v>653</v>
      </c>
      <c r="G689" s="25">
        <f t="shared" si="19"/>
        <v>9.9210723576881321E-4</v>
      </c>
      <c r="I689" s="81">
        <v>98.398023165215022</v>
      </c>
      <c r="J689" s="81">
        <v>98.427753658668095</v>
      </c>
      <c r="K689" s="81">
        <v>95.92048204412491</v>
      </c>
      <c r="L689" s="81">
        <v>96.049314182421583</v>
      </c>
      <c r="M689" s="81">
        <v>16648034.47615502</v>
      </c>
      <c r="N689" s="81" t="s">
        <v>653</v>
      </c>
      <c r="O689" s="25">
        <f t="shared" si="20"/>
        <v>2.4453157243087276E-2</v>
      </c>
    </row>
    <row r="690" spans="1:15">
      <c r="A690" s="81">
        <v>445.2030442335448</v>
      </c>
      <c r="B690" s="81">
        <v>446.70797255681225</v>
      </c>
      <c r="C690" s="81">
        <v>443.1571286045276</v>
      </c>
      <c r="D690" s="81">
        <v>446.29485497787613</v>
      </c>
      <c r="E690" s="81">
        <v>7220171.9125122745</v>
      </c>
      <c r="F690" s="81" t="s">
        <v>654</v>
      </c>
      <c r="G690" s="25">
        <f t="shared" si="19"/>
        <v>-2.4463888215459084E-3</v>
      </c>
      <c r="I690" s="81">
        <v>95.781739741343856</v>
      </c>
      <c r="J690" s="81">
        <v>96.495271584217818</v>
      </c>
      <c r="K690" s="81">
        <v>95.623177109594081</v>
      </c>
      <c r="L690" s="81">
        <v>95.831290563765663</v>
      </c>
      <c r="M690" s="81">
        <v>11785214.078365229</v>
      </c>
      <c r="N690" s="81" t="s">
        <v>654</v>
      </c>
      <c r="O690" s="25">
        <f t="shared" si="20"/>
        <v>-5.170630816959676E-4</v>
      </c>
    </row>
    <row r="691" spans="1:15">
      <c r="A691" s="81">
        <v>446.83584228362582</v>
      </c>
      <c r="B691" s="81">
        <v>448.40962353671603</v>
      </c>
      <c r="C691" s="81">
        <v>442.32105731382342</v>
      </c>
      <c r="D691" s="81">
        <v>442.63581356444143</v>
      </c>
      <c r="E691" s="81">
        <v>6357663.2269279826</v>
      </c>
      <c r="F691" s="81" t="s">
        <v>655</v>
      </c>
      <c r="G691" s="25">
        <f t="shared" si="19"/>
        <v>9.488678029377029E-3</v>
      </c>
      <c r="I691" s="81">
        <v>96.25742763659315</v>
      </c>
      <c r="J691" s="81">
        <v>96.534912242155244</v>
      </c>
      <c r="K691" s="81">
        <v>94.959196089141926</v>
      </c>
      <c r="L691" s="81">
        <v>95.415063655422514</v>
      </c>
      <c r="M691" s="81">
        <v>9405840.856335232</v>
      </c>
      <c r="N691" s="81" t="s">
        <v>655</v>
      </c>
      <c r="O691" s="25">
        <f t="shared" si="20"/>
        <v>8.8284171167427594E-3</v>
      </c>
    </row>
    <row r="692" spans="1:15">
      <c r="A692" s="81">
        <v>442.29154891532801</v>
      </c>
      <c r="B692" s="81">
        <v>442.29154891532801</v>
      </c>
      <c r="C692" s="81">
        <v>437.36384308924602</v>
      </c>
      <c r="D692" s="81">
        <v>438.05217566481639</v>
      </c>
      <c r="E692" s="81">
        <v>6240623.3272352358</v>
      </c>
      <c r="F692" s="81" t="s">
        <v>656</v>
      </c>
      <c r="G692" s="25">
        <f t="shared" si="19"/>
        <v>9.6777815201527506E-3</v>
      </c>
      <c r="I692" s="81">
        <v>96.188056485202637</v>
      </c>
      <c r="J692" s="81">
        <v>97.050240795342006</v>
      </c>
      <c r="K692" s="81">
        <v>95.03847740501682</v>
      </c>
      <c r="L692" s="81">
        <v>95.504255135781762</v>
      </c>
      <c r="M692" s="81">
        <v>8561715.6136915069</v>
      </c>
      <c r="N692" s="81" t="s">
        <v>656</v>
      </c>
      <c r="O692" s="25">
        <f t="shared" si="20"/>
        <v>7.1599045346062429E-3</v>
      </c>
    </row>
    <row r="693" spans="1:15">
      <c r="A693" s="81">
        <v>436.54724734154888</v>
      </c>
      <c r="B693" s="81">
        <v>442.09974432510762</v>
      </c>
      <c r="C693" s="81">
        <v>436.47839441172619</v>
      </c>
      <c r="D693" s="81">
        <v>441.68170867975556</v>
      </c>
      <c r="E693" s="81">
        <v>7226460.9695083257</v>
      </c>
      <c r="F693" s="81" t="s">
        <v>657</v>
      </c>
      <c r="G693" s="25">
        <f t="shared" si="19"/>
        <v>-1.1624799572421129E-2</v>
      </c>
      <c r="I693" s="81">
        <v>95.187129872282227</v>
      </c>
      <c r="J693" s="81">
        <v>96.693474873905004</v>
      </c>
      <c r="K693" s="81">
        <v>94.950673347685395</v>
      </c>
      <c r="L693" s="81">
        <v>95.553805958203569</v>
      </c>
      <c r="M693" s="81">
        <v>9679258.1143712737</v>
      </c>
      <c r="N693" s="81" t="s">
        <v>657</v>
      </c>
      <c r="O693" s="25">
        <f t="shared" si="20"/>
        <v>-3.8373781373159943E-3</v>
      </c>
    </row>
    <row r="694" spans="1:15">
      <c r="A694" s="81">
        <v>443.77680497293187</v>
      </c>
      <c r="B694" s="81">
        <v>444.40631747416791</v>
      </c>
      <c r="C694" s="81">
        <v>443.05876727620944</v>
      </c>
      <c r="D694" s="81">
        <v>443.45221258948197</v>
      </c>
      <c r="E694" s="81">
        <v>3466761.8446255634</v>
      </c>
      <c r="F694" s="81" t="s">
        <v>658</v>
      </c>
      <c r="G694" s="25">
        <f t="shared" si="19"/>
        <v>7.3196699494282313E-4</v>
      </c>
      <c r="I694" s="81">
        <v>96.069134511390303</v>
      </c>
      <c r="J694" s="81">
        <v>96.663744380451945</v>
      </c>
      <c r="K694" s="81">
        <v>95.147489214344787</v>
      </c>
      <c r="L694" s="81">
        <v>95.652907603047169</v>
      </c>
      <c r="M694" s="81">
        <v>9222464.4852499776</v>
      </c>
      <c r="N694" s="81" t="s">
        <v>658</v>
      </c>
      <c r="O694" s="25">
        <f t="shared" si="20"/>
        <v>4.3514297554909653E-3</v>
      </c>
    </row>
    <row r="695" spans="1:15">
      <c r="A695" s="81">
        <v>444.09156122354989</v>
      </c>
      <c r="B695" s="81">
        <v>444.20939809487498</v>
      </c>
      <c r="C695" s="81">
        <v>440.37468334906418</v>
      </c>
      <c r="D695" s="81">
        <v>440.88498192037866</v>
      </c>
      <c r="E695" s="81">
        <v>4618941.2828032468</v>
      </c>
      <c r="F695" s="81" t="s">
        <v>659</v>
      </c>
      <c r="G695" s="25">
        <f t="shared" si="19"/>
        <v>7.2730517814514339E-3</v>
      </c>
      <c r="I695" s="81">
        <v>96.614193558030124</v>
      </c>
      <c r="J695" s="81">
        <v>96.624103722514491</v>
      </c>
      <c r="K695" s="81">
        <v>94.146562601424378</v>
      </c>
      <c r="L695" s="81">
        <v>94.562789509767512</v>
      </c>
      <c r="M695" s="81">
        <v>13543893.263509424</v>
      </c>
      <c r="N695" s="81" t="s">
        <v>659</v>
      </c>
      <c r="O695" s="25">
        <f t="shared" si="20"/>
        <v>2.1693565290295425E-2</v>
      </c>
    </row>
    <row r="696" spans="1:15">
      <c r="A696" s="81">
        <v>440.88498192037866</v>
      </c>
      <c r="B696" s="81">
        <v>442.14400692285079</v>
      </c>
      <c r="C696" s="81">
        <v>439.83251570737463</v>
      </c>
      <c r="D696" s="81">
        <v>440.75711219356509</v>
      </c>
      <c r="E696" s="81">
        <v>6510712.1970609371</v>
      </c>
      <c r="F696" s="81" t="s">
        <v>660</v>
      </c>
      <c r="G696" s="25">
        <f t="shared" si="19"/>
        <v>2.9011381388088786E-4</v>
      </c>
      <c r="I696" s="81">
        <v>94.503328522861352</v>
      </c>
      <c r="J696" s="81">
        <v>94.671801319095479</v>
      </c>
      <c r="K696" s="81">
        <v>93.849257666893564</v>
      </c>
      <c r="L696" s="81">
        <v>94.146562601424378</v>
      </c>
      <c r="M696" s="81">
        <v>7883577.525206117</v>
      </c>
      <c r="N696" s="81" t="s">
        <v>660</v>
      </c>
      <c r="O696" s="25">
        <f t="shared" si="20"/>
        <v>3.7894736842105647E-3</v>
      </c>
    </row>
    <row r="697" spans="1:15">
      <c r="A697" s="81">
        <v>441.15055750683763</v>
      </c>
      <c r="B697" s="81">
        <v>441.40629696046477</v>
      </c>
      <c r="C697" s="81">
        <v>438.79972176003417</v>
      </c>
      <c r="D697" s="81">
        <v>440.79645672489232</v>
      </c>
      <c r="E697" s="81">
        <v>4236476.9480565209</v>
      </c>
      <c r="F697" s="81" t="s">
        <v>661</v>
      </c>
      <c r="G697" s="25">
        <f t="shared" si="19"/>
        <v>8.033203909492137E-4</v>
      </c>
      <c r="I697" s="81">
        <v>94.007820298643324</v>
      </c>
      <c r="J697" s="81">
        <v>94.087101614518218</v>
      </c>
      <c r="K697" s="81">
        <v>92.907792040879315</v>
      </c>
      <c r="L697" s="81">
        <v>93.076264837113456</v>
      </c>
      <c r="M697" s="81">
        <v>8740089.0405695047</v>
      </c>
      <c r="N697" s="81" t="s">
        <v>661</v>
      </c>
      <c r="O697" s="25">
        <f t="shared" si="20"/>
        <v>1.0008517887563739E-2</v>
      </c>
    </row>
    <row r="698" spans="1:15">
      <c r="A698" s="81">
        <v>438.68168816605242</v>
      </c>
      <c r="B698" s="81">
        <v>441.82885722691947</v>
      </c>
      <c r="C698" s="81">
        <v>438.44562097808887</v>
      </c>
      <c r="D698" s="81">
        <v>440.97350711586495</v>
      </c>
      <c r="E698" s="81">
        <v>4644308.9760081377</v>
      </c>
      <c r="F698" s="81" t="s">
        <v>662</v>
      </c>
      <c r="G698" s="25">
        <f t="shared" si="19"/>
        <v>-5.1971805852961683E-3</v>
      </c>
      <c r="I698" s="81">
        <v>92.660037928770308</v>
      </c>
      <c r="J698" s="81">
        <v>94.394316713533385</v>
      </c>
      <c r="K698" s="81">
        <v>92.417238898903477</v>
      </c>
      <c r="L698" s="81">
        <v>93.57177306133147</v>
      </c>
      <c r="M698" s="81">
        <v>10549677.57245524</v>
      </c>
      <c r="N698" s="81" t="s">
        <v>662</v>
      </c>
      <c r="O698" s="25">
        <f t="shared" si="20"/>
        <v>-9.743698368989584E-3</v>
      </c>
    </row>
    <row r="699" spans="1:15">
      <c r="A699" s="81">
        <v>438.3177512512753</v>
      </c>
      <c r="B699" s="81">
        <v>438.51447390791157</v>
      </c>
      <c r="C699" s="81">
        <v>436.50790281022159</v>
      </c>
      <c r="D699" s="81">
        <v>437.54069675756205</v>
      </c>
      <c r="E699" s="81">
        <v>3305756.4955642079</v>
      </c>
      <c r="F699" s="81" t="s">
        <v>663</v>
      </c>
      <c r="G699" s="25">
        <f t="shared" ref="G699:G762" si="21">A699/D699-1</f>
        <v>1.7759593552593156E-3</v>
      </c>
      <c r="I699" s="81">
        <v>92.927612369848035</v>
      </c>
      <c r="J699" s="81">
        <v>95.028567240532453</v>
      </c>
      <c r="K699" s="81">
        <v>92.337957583028597</v>
      </c>
      <c r="L699" s="81">
        <v>94.572699674251879</v>
      </c>
      <c r="M699" s="81">
        <v>11664196.914432921</v>
      </c>
      <c r="N699" s="81" t="s">
        <v>663</v>
      </c>
      <c r="O699" s="25">
        <f t="shared" ref="O699:O762" si="22">I699/L699-1</f>
        <v>-1.7394949177407582E-2</v>
      </c>
    </row>
    <row r="700" spans="1:15">
      <c r="A700" s="81">
        <v>437.01938171747594</v>
      </c>
      <c r="B700" s="81">
        <v>438.61283523622973</v>
      </c>
      <c r="C700" s="81">
        <v>436.40954148190349</v>
      </c>
      <c r="D700" s="81">
        <v>437.48167996057117</v>
      </c>
      <c r="E700" s="81">
        <v>5968211.3899611058</v>
      </c>
      <c r="F700" s="81" t="s">
        <v>664</v>
      </c>
      <c r="G700" s="25">
        <f t="shared" si="21"/>
        <v>-1.0567259482429092E-3</v>
      </c>
      <c r="I700" s="81">
        <v>94.225843917299258</v>
      </c>
      <c r="J700" s="81">
        <v>94.374496384564679</v>
      </c>
      <c r="K700" s="81">
        <v>92.035697566255607</v>
      </c>
      <c r="L700" s="81">
        <v>92.035697566255607</v>
      </c>
      <c r="M700" s="81">
        <v>15256435.979302224</v>
      </c>
      <c r="N700" s="81" t="s">
        <v>664</v>
      </c>
      <c r="O700" s="25">
        <f t="shared" si="22"/>
        <v>2.3796705071605251E-2</v>
      </c>
    </row>
    <row r="701" spans="1:15">
      <c r="A701" s="81">
        <v>436.02593230146277</v>
      </c>
      <c r="B701" s="81">
        <v>436.34068855208079</v>
      </c>
      <c r="C701" s="81">
        <v>431.1275381512196</v>
      </c>
      <c r="D701" s="81">
        <v>431.80623131661474</v>
      </c>
      <c r="E701" s="81">
        <v>4917381.7420969186</v>
      </c>
      <c r="F701" s="81" t="s">
        <v>665</v>
      </c>
      <c r="G701" s="25">
        <f t="shared" si="21"/>
        <v>9.7722095671981535E-3</v>
      </c>
      <c r="I701" s="81">
        <v>92.223990691458454</v>
      </c>
      <c r="J701" s="81">
        <v>92.739319244645188</v>
      </c>
      <c r="K701" s="81">
        <v>90.806837170194896</v>
      </c>
      <c r="L701" s="81">
        <v>91.490638519615771</v>
      </c>
      <c r="M701" s="81">
        <v>19969477.833825406</v>
      </c>
      <c r="N701" s="81" t="s">
        <v>665</v>
      </c>
      <c r="O701" s="25">
        <f t="shared" si="22"/>
        <v>8.0155979202773953E-3</v>
      </c>
    </row>
    <row r="702" spans="1:15">
      <c r="A702" s="81">
        <v>430.7537651036107</v>
      </c>
      <c r="B702" s="81">
        <v>431.20622721387412</v>
      </c>
      <c r="C702" s="81">
        <v>427.04554302601701</v>
      </c>
      <c r="D702" s="81">
        <v>428.44227388813448</v>
      </c>
      <c r="E702" s="81">
        <v>4403442.9730260307</v>
      </c>
      <c r="F702" s="81" t="s">
        <v>666</v>
      </c>
      <c r="G702" s="25">
        <f t="shared" si="21"/>
        <v>5.395105376739151E-3</v>
      </c>
      <c r="I702" s="81">
        <v>91.381626710287804</v>
      </c>
      <c r="J702" s="81">
        <v>91.678931644818633</v>
      </c>
      <c r="K702" s="81">
        <v>89.592842020860743</v>
      </c>
      <c r="L702" s="81">
        <v>89.840596132969765</v>
      </c>
      <c r="M702" s="81">
        <v>12313818.826375935</v>
      </c>
      <c r="N702" s="81" t="s">
        <v>666</v>
      </c>
      <c r="O702" s="25">
        <f t="shared" si="22"/>
        <v>1.7152942474215394E-2</v>
      </c>
    </row>
    <row r="703" spans="1:15">
      <c r="A703" s="81">
        <v>426.95701783053067</v>
      </c>
      <c r="B703" s="81">
        <v>427.36029927663503</v>
      </c>
      <c r="C703" s="81">
        <v>424.73405181054079</v>
      </c>
      <c r="D703" s="81">
        <v>426.49471958743544</v>
      </c>
      <c r="E703" s="81">
        <v>6145312.4956279369</v>
      </c>
      <c r="F703" s="81" t="s">
        <v>667</v>
      </c>
      <c r="G703" s="25">
        <f t="shared" si="21"/>
        <v>1.0839483394833316E-3</v>
      </c>
      <c r="I703" s="81">
        <v>89.528425951712407</v>
      </c>
      <c r="J703" s="81">
        <v>92.917702205363682</v>
      </c>
      <c r="K703" s="81">
        <v>89.290582004087753</v>
      </c>
      <c r="L703" s="81">
        <v>91.743347713966969</v>
      </c>
      <c r="M703" s="81">
        <v>15877856.542978914</v>
      </c>
      <c r="N703" s="81" t="s">
        <v>667</v>
      </c>
      <c r="O703" s="25">
        <f t="shared" si="22"/>
        <v>-2.4142587091547374E-2</v>
      </c>
    </row>
    <row r="704" spans="1:15">
      <c r="A704" s="81">
        <v>429.34719810866136</v>
      </c>
      <c r="B704" s="81">
        <v>430.80294576776976</v>
      </c>
      <c r="C704" s="81">
        <v>427.61603873026218</v>
      </c>
      <c r="D704" s="81">
        <v>429.63244596078397</v>
      </c>
      <c r="E704" s="81">
        <v>5826313.1435806062</v>
      </c>
      <c r="F704" s="81" t="s">
        <v>668</v>
      </c>
      <c r="G704" s="25">
        <f t="shared" si="21"/>
        <v>-6.6393461388769559E-4</v>
      </c>
      <c r="I704" s="81">
        <v>92.214080526974087</v>
      </c>
      <c r="J704" s="81">
        <v>92.253721184911527</v>
      </c>
      <c r="K704" s="81">
        <v>88.651376394846494</v>
      </c>
      <c r="L704" s="81">
        <v>89.4788751292906</v>
      </c>
      <c r="M704" s="81">
        <v>16932987.365126394</v>
      </c>
      <c r="N704" s="81" t="s">
        <v>668</v>
      </c>
      <c r="O704" s="25">
        <f t="shared" si="22"/>
        <v>3.0568169232473075E-2</v>
      </c>
    </row>
    <row r="705" spans="1:15">
      <c r="A705" s="81">
        <v>430.81278190060158</v>
      </c>
      <c r="B705" s="81">
        <v>432.59312194315982</v>
      </c>
      <c r="C705" s="81">
        <v>429.57342916379309</v>
      </c>
      <c r="D705" s="81">
        <v>431.91442877776473</v>
      </c>
      <c r="E705" s="81">
        <v>5269010.787692301</v>
      </c>
      <c r="F705" s="81" t="s">
        <v>669</v>
      </c>
      <c r="G705" s="25">
        <f t="shared" si="21"/>
        <v>-2.5506137414316177E-3</v>
      </c>
      <c r="I705" s="81">
        <v>89.53833611619676</v>
      </c>
      <c r="J705" s="81">
        <v>90.014024011446068</v>
      </c>
      <c r="K705" s="81">
        <v>88.844624602291532</v>
      </c>
      <c r="L705" s="81">
        <v>88.844624602291532</v>
      </c>
      <c r="M705" s="81">
        <v>12027497.645281723</v>
      </c>
      <c r="N705" s="81" t="s">
        <v>669</v>
      </c>
      <c r="O705" s="25">
        <f t="shared" si="22"/>
        <v>7.8081427774678858E-3</v>
      </c>
    </row>
    <row r="706" spans="1:15">
      <c r="A706" s="81">
        <v>430.61605924396531</v>
      </c>
      <c r="B706" s="81">
        <v>432.15541403214417</v>
      </c>
      <c r="C706" s="81">
        <v>426.88816490070798</v>
      </c>
      <c r="D706" s="81">
        <v>431.74721451962387</v>
      </c>
      <c r="E706" s="81">
        <v>4876496.7716643009</v>
      </c>
      <c r="F706" s="81" t="s">
        <v>670</v>
      </c>
      <c r="G706" s="25">
        <f t="shared" si="21"/>
        <v>-2.6199480566819755E-3</v>
      </c>
      <c r="I706" s="81">
        <v>88.646421312604332</v>
      </c>
      <c r="J706" s="81">
        <v>88.97325853729852</v>
      </c>
      <c r="K706" s="81">
        <v>87.888293729550753</v>
      </c>
      <c r="L706" s="81">
        <v>88.586960325698158</v>
      </c>
      <c r="M706" s="81">
        <v>9729582.2034201529</v>
      </c>
      <c r="N706" s="81" t="s">
        <v>670</v>
      </c>
      <c r="O706" s="25">
        <f t="shared" si="22"/>
        <v>6.7121601968911371E-4</v>
      </c>
    </row>
    <row r="707" spans="1:15">
      <c r="A707" s="81">
        <v>430.76360123644253</v>
      </c>
      <c r="B707" s="81">
        <v>431.54557379657172</v>
      </c>
      <c r="C707" s="81">
        <v>428.34391255981637</v>
      </c>
      <c r="D707" s="81">
        <v>428.62916041193893</v>
      </c>
      <c r="E707" s="81">
        <v>4350125.2709405348</v>
      </c>
      <c r="F707" s="81" t="s">
        <v>671</v>
      </c>
      <c r="G707" s="25">
        <f t="shared" si="21"/>
        <v>4.9796911214632367E-3</v>
      </c>
      <c r="I707" s="81">
        <v>88.487858680854558</v>
      </c>
      <c r="J707" s="81">
        <v>89.013097398525659</v>
      </c>
      <c r="K707" s="81">
        <v>88.081541936995777</v>
      </c>
      <c r="L707" s="81">
        <v>89.013097398525659</v>
      </c>
      <c r="M707" s="81">
        <v>15228378.927329089</v>
      </c>
      <c r="N707" s="81" t="s">
        <v>671</v>
      </c>
      <c r="O707" s="25">
        <f t="shared" si="22"/>
        <v>-5.9006902694277441E-3</v>
      </c>
    </row>
    <row r="708" spans="1:15">
      <c r="A708" s="81">
        <v>427.94063111371202</v>
      </c>
      <c r="B708" s="81">
        <v>429.27834517883866</v>
      </c>
      <c r="C708" s="81">
        <v>426.06517566667014</v>
      </c>
      <c r="D708" s="81">
        <v>426.51439185309908</v>
      </c>
      <c r="E708" s="81">
        <v>8071837.922237711</v>
      </c>
      <c r="F708" s="81" t="s">
        <v>672</v>
      </c>
      <c r="G708" s="25">
        <f t="shared" si="21"/>
        <v>3.3439417001059901E-3</v>
      </c>
      <c r="I708" s="81">
        <v>88.864444931260252</v>
      </c>
      <c r="J708" s="81">
        <v>90.281598452523795</v>
      </c>
      <c r="K708" s="81">
        <v>88.797055812766601</v>
      </c>
      <c r="L708" s="81">
        <v>90.232047630101988</v>
      </c>
      <c r="M708" s="81">
        <v>11357076.885819549</v>
      </c>
      <c r="N708" s="81" t="s">
        <v>672</v>
      </c>
      <c r="O708" s="25">
        <f t="shared" si="22"/>
        <v>-1.5156507413508935E-2</v>
      </c>
    </row>
    <row r="709" spans="1:15">
      <c r="A709" s="81">
        <v>428.98326119388423</v>
      </c>
      <c r="B709" s="81">
        <v>429.12096705352963</v>
      </c>
      <c r="C709" s="81">
        <v>423.31764868275968</v>
      </c>
      <c r="D709" s="81">
        <v>423.39633774541414</v>
      </c>
      <c r="E709" s="81">
        <v>7342684.4914500499</v>
      </c>
      <c r="F709" s="81" t="s">
        <v>673</v>
      </c>
      <c r="G709" s="25">
        <f t="shared" si="21"/>
        <v>1.3195493088628218E-2</v>
      </c>
      <c r="I709" s="81">
        <v>90.727555854320016</v>
      </c>
      <c r="J709" s="81">
        <v>91.114052269210077</v>
      </c>
      <c r="K709" s="81">
        <v>90.182496807680195</v>
      </c>
      <c r="L709" s="81">
        <v>90.727555854320016</v>
      </c>
      <c r="M709" s="81">
        <v>11204372.054089639</v>
      </c>
      <c r="N709" s="81" t="s">
        <v>673</v>
      </c>
      <c r="O709" s="25">
        <f t="shared" si="22"/>
        <v>0</v>
      </c>
    </row>
    <row r="710" spans="1:15">
      <c r="A710" s="81">
        <v>422.93403950231897</v>
      </c>
      <c r="B710" s="81">
        <v>425.21602231929967</v>
      </c>
      <c r="C710" s="81">
        <v>421.61599770285591</v>
      </c>
      <c r="D710" s="81">
        <v>422.5504303218782</v>
      </c>
      <c r="E710" s="81">
        <v>5819978.3368973872</v>
      </c>
      <c r="F710" s="81" t="s">
        <v>674</v>
      </c>
      <c r="G710" s="25">
        <f t="shared" si="21"/>
        <v>9.0784236132135376E-4</v>
      </c>
      <c r="I710" s="81">
        <v>90.083395162836595</v>
      </c>
      <c r="J710" s="81">
        <v>90.499622071179715</v>
      </c>
      <c r="K710" s="81">
        <v>89.543291198438951</v>
      </c>
      <c r="L710" s="81">
        <v>89.59779710310292</v>
      </c>
      <c r="M710" s="81">
        <v>9174488.4904266503</v>
      </c>
      <c r="N710" s="81" t="s">
        <v>674</v>
      </c>
      <c r="O710" s="25">
        <f t="shared" si="22"/>
        <v>5.4197544519412055E-3</v>
      </c>
    </row>
    <row r="711" spans="1:15">
      <c r="A711" s="81">
        <v>422.39305219656916</v>
      </c>
      <c r="B711" s="81">
        <v>425.68815669522667</v>
      </c>
      <c r="C711" s="81">
        <v>422.17665727426925</v>
      </c>
      <c r="D711" s="81">
        <v>423.27830415143239</v>
      </c>
      <c r="E711" s="81">
        <v>4010985.8899420621</v>
      </c>
      <c r="F711" s="81" t="s">
        <v>675</v>
      </c>
      <c r="G711" s="25">
        <f t="shared" si="21"/>
        <v>-2.0914182139288862E-3</v>
      </c>
      <c r="I711" s="81">
        <v>89.746449570368341</v>
      </c>
      <c r="J711" s="81">
        <v>91.114052269210077</v>
      </c>
      <c r="K711" s="81">
        <v>89.191480359244153</v>
      </c>
      <c r="L711" s="81">
        <v>91.114052269210077</v>
      </c>
      <c r="M711" s="81">
        <v>12197002.399985943</v>
      </c>
      <c r="N711" s="81" t="s">
        <v>675</v>
      </c>
      <c r="O711" s="25">
        <f t="shared" si="22"/>
        <v>-1.5009788992821349E-2</v>
      </c>
    </row>
    <row r="712" spans="1:15">
      <c r="A712" s="81">
        <v>423.73076626169586</v>
      </c>
      <c r="B712" s="81">
        <v>425.90455161752664</v>
      </c>
      <c r="C712" s="81">
        <v>423.19961508877788</v>
      </c>
      <c r="D712" s="81">
        <v>425.23569458496331</v>
      </c>
      <c r="E712" s="81">
        <v>4885099.7461713459</v>
      </c>
      <c r="F712" s="81" t="s">
        <v>676</v>
      </c>
      <c r="G712" s="25">
        <f t="shared" si="21"/>
        <v>-3.5390451517394172E-3</v>
      </c>
      <c r="I712" s="81">
        <v>90.82665749916363</v>
      </c>
      <c r="J712" s="81">
        <v>91.252794571991117</v>
      </c>
      <c r="K712" s="81">
        <v>89.191480359244153</v>
      </c>
      <c r="L712" s="81">
        <v>89.41941414238444</v>
      </c>
      <c r="M712" s="81">
        <v>12037911.195951125</v>
      </c>
      <c r="N712" s="81" t="s">
        <v>676</v>
      </c>
      <c r="O712" s="25">
        <f t="shared" si="22"/>
        <v>1.5737559569987791E-2</v>
      </c>
    </row>
    <row r="713" spans="1:15">
      <c r="A713" s="81">
        <v>426.8980010335398</v>
      </c>
      <c r="B713" s="81">
        <v>428.13735377034828</v>
      </c>
      <c r="C713" s="81">
        <v>425.27503911629054</v>
      </c>
      <c r="D713" s="81">
        <v>426.79963970522169</v>
      </c>
      <c r="E713" s="81">
        <v>9227245.2550100368</v>
      </c>
      <c r="F713" s="81" t="s">
        <v>677</v>
      </c>
      <c r="G713" s="25">
        <f t="shared" si="21"/>
        <v>2.3046253831426888E-4</v>
      </c>
      <c r="I713" s="81">
        <v>89.895102037633734</v>
      </c>
      <c r="J713" s="81">
        <v>90.653229620687313</v>
      </c>
      <c r="K713" s="81">
        <v>88.924302324745796</v>
      </c>
      <c r="L713" s="81">
        <v>89.290582004087753</v>
      </c>
      <c r="M713" s="81">
        <v>10683610.768225567</v>
      </c>
      <c r="N713" s="81" t="s">
        <v>677</v>
      </c>
      <c r="O713" s="25">
        <f t="shared" si="22"/>
        <v>6.7702552719199893E-3</v>
      </c>
    </row>
    <row r="714" spans="1:15">
      <c r="A714" s="81">
        <v>429.64228209361579</v>
      </c>
      <c r="B714" s="81">
        <v>431.15704654971501</v>
      </c>
      <c r="C714" s="81">
        <v>427.81276138689844</v>
      </c>
      <c r="D714" s="81">
        <v>430.69474830661983</v>
      </c>
      <c r="E714" s="81">
        <v>4449802.6560231056</v>
      </c>
      <c r="F714" s="81" t="s">
        <v>678</v>
      </c>
      <c r="G714" s="25">
        <f t="shared" si="21"/>
        <v>-2.4436476579806632E-3</v>
      </c>
      <c r="I714" s="81">
        <v>89.4788751292906</v>
      </c>
      <c r="J714" s="81">
        <v>89.786090228305767</v>
      </c>
      <c r="K714" s="81">
        <v>89.052738056463099</v>
      </c>
      <c r="L714" s="81">
        <v>89.310402333056473</v>
      </c>
      <c r="M714" s="81">
        <v>9294451.1814471837</v>
      </c>
      <c r="N714" s="81" t="s">
        <v>678</v>
      </c>
      <c r="O714" s="25">
        <f t="shared" si="22"/>
        <v>1.88637372392364E-3</v>
      </c>
    </row>
    <row r="715" spans="1:15">
      <c r="A715" s="81">
        <v>430.79310963493799</v>
      </c>
      <c r="B715" s="81">
        <v>431.6488531913057</v>
      </c>
      <c r="C715" s="81">
        <v>430.48818951715174</v>
      </c>
      <c r="D715" s="81">
        <v>431.06852135422872</v>
      </c>
      <c r="E715" s="81">
        <v>4782016.5510440329</v>
      </c>
      <c r="F715" s="81" t="s">
        <v>679</v>
      </c>
      <c r="G715" s="25">
        <f t="shared" si="21"/>
        <v>-6.3890473474037535E-4</v>
      </c>
      <c r="I715" s="81">
        <v>89.587886938618567</v>
      </c>
      <c r="J715" s="81">
        <v>90.162577377066626</v>
      </c>
      <c r="K715" s="81">
        <v>89.161749865791066</v>
      </c>
      <c r="L715" s="81">
        <v>89.2806718396034</v>
      </c>
      <c r="M715" s="81">
        <v>8556515.9018117171</v>
      </c>
      <c r="N715" s="81" t="s">
        <v>679</v>
      </c>
      <c r="O715" s="25">
        <f t="shared" si="22"/>
        <v>3.4410034410032875E-3</v>
      </c>
    </row>
    <row r="716" spans="1:15">
      <c r="A716" s="81">
        <v>430.72425670511524</v>
      </c>
      <c r="B716" s="81">
        <v>430.84229029909699</v>
      </c>
      <c r="C716" s="81">
        <v>429.26850904600684</v>
      </c>
      <c r="D716" s="81">
        <v>429.73572535551796</v>
      </c>
      <c r="E716" s="81">
        <v>4342162.7920538438</v>
      </c>
      <c r="F716" s="81" t="s">
        <v>680</v>
      </c>
      <c r="G716" s="25">
        <f t="shared" si="21"/>
        <v>2.3003238764462974E-3</v>
      </c>
      <c r="I716" s="81">
        <v>89.568066609649847</v>
      </c>
      <c r="J716" s="81">
        <v>90.122342109260131</v>
      </c>
      <c r="K716" s="81">
        <v>89.231121017181593</v>
      </c>
      <c r="L716" s="81">
        <v>90.093305327320948</v>
      </c>
      <c r="M716" s="81">
        <v>11224342.459254187</v>
      </c>
      <c r="N716" s="81" t="s">
        <v>680</v>
      </c>
      <c r="O716" s="25">
        <f t="shared" si="22"/>
        <v>-5.8299417005829302E-3</v>
      </c>
    </row>
    <row r="717" spans="1:15">
      <c r="A717" s="81">
        <v>429.93736607857016</v>
      </c>
      <c r="B717" s="81">
        <v>430.74392897077888</v>
      </c>
      <c r="C717" s="81">
        <v>428.44227388813448</v>
      </c>
      <c r="D717" s="81">
        <v>428.52647118517484</v>
      </c>
      <c r="E717" s="81">
        <v>3899740.9506239491</v>
      </c>
      <c r="F717" s="81" t="s">
        <v>681</v>
      </c>
      <c r="G717" s="25">
        <f t="shared" si="21"/>
        <v>3.2924334627291163E-3</v>
      </c>
      <c r="I717" s="81">
        <v>90.132945985258388</v>
      </c>
      <c r="J717" s="81">
        <v>90.448188317505895</v>
      </c>
      <c r="K717" s="81">
        <v>89.786090228305767</v>
      </c>
      <c r="L717" s="81">
        <v>90.023934175930435</v>
      </c>
      <c r="M717" s="81">
        <v>8160242.9634364229</v>
      </c>
      <c r="N717" s="81" t="s">
        <v>681</v>
      </c>
      <c r="O717" s="25">
        <f t="shared" si="22"/>
        <v>1.210920299427487E-3</v>
      </c>
    </row>
    <row r="718" spans="1:15">
      <c r="A718" s="81">
        <v>428.15702603601193</v>
      </c>
      <c r="B718" s="81">
        <v>429.67965939837666</v>
      </c>
      <c r="C718" s="81">
        <v>426.37668599345369</v>
      </c>
      <c r="D718" s="81">
        <v>428.32424029415273</v>
      </c>
      <c r="E718" s="81">
        <v>4105098.0797455548</v>
      </c>
      <c r="F718" s="81" t="s">
        <v>682</v>
      </c>
      <c r="G718" s="25">
        <f t="shared" si="21"/>
        <v>-3.9039176962285538E-4</v>
      </c>
      <c r="I718" s="81">
        <v>90.202317136648915</v>
      </c>
      <c r="J718" s="81">
        <v>91.411357203740891</v>
      </c>
      <c r="K718" s="81">
        <v>89.934742695571188</v>
      </c>
      <c r="L718" s="81">
        <v>90.796927005710543</v>
      </c>
      <c r="M718" s="81">
        <v>9505206.5128340758</v>
      </c>
      <c r="N718" s="81" t="s">
        <v>682</v>
      </c>
      <c r="O718" s="25">
        <f t="shared" si="22"/>
        <v>-6.5487884741323166E-3</v>
      </c>
    </row>
    <row r="719" spans="1:15">
      <c r="A719" s="81">
        <v>427.16357661999871</v>
      </c>
      <c r="B719" s="81">
        <v>427.51767740194401</v>
      </c>
      <c r="C719" s="81">
        <v>423.79489784775927</v>
      </c>
      <c r="D719" s="81">
        <v>426.03242134434021</v>
      </c>
      <c r="E719" s="81">
        <v>4698600.6381004583</v>
      </c>
      <c r="F719" s="81" t="s">
        <v>683</v>
      </c>
      <c r="G719" s="25">
        <f t="shared" si="21"/>
        <v>2.6550920047097026E-3</v>
      </c>
      <c r="I719" s="81">
        <v>91.193333585084957</v>
      </c>
      <c r="J719" s="81">
        <v>91.252794571991117</v>
      </c>
      <c r="K719" s="81">
        <v>90.241957794586355</v>
      </c>
      <c r="L719" s="81">
        <v>91.104142104725724</v>
      </c>
      <c r="M719" s="81">
        <v>13155359.853587069</v>
      </c>
      <c r="N719" s="81" t="s">
        <v>683</v>
      </c>
      <c r="O719" s="25">
        <f t="shared" si="22"/>
        <v>9.7900576525611349E-4</v>
      </c>
    </row>
    <row r="720" spans="1:15">
      <c r="A720" s="81">
        <v>423.04223696346884</v>
      </c>
      <c r="B720" s="81">
        <v>430.13900680162237</v>
      </c>
      <c r="C720" s="81">
        <v>422.85535043966439</v>
      </c>
      <c r="D720" s="81">
        <v>428.37342095831178</v>
      </c>
      <c r="E720" s="81">
        <v>5879581.0293400744</v>
      </c>
      <c r="F720" s="81" t="s">
        <v>684</v>
      </c>
      <c r="G720" s="25">
        <f t="shared" si="21"/>
        <v>-1.2445179215173074E-2</v>
      </c>
      <c r="I720" s="81">
        <v>90.450071248757922</v>
      </c>
      <c r="J720" s="81">
        <v>93.423120594066063</v>
      </c>
      <c r="K720" s="81">
        <v>90.430250919789202</v>
      </c>
      <c r="L720" s="81">
        <v>92.402373652176934</v>
      </c>
      <c r="M720" s="81">
        <v>13178964.910836035</v>
      </c>
      <c r="N720" s="81" t="s">
        <v>684</v>
      </c>
      <c r="O720" s="25">
        <f t="shared" si="22"/>
        <v>-2.1128271128271092E-2</v>
      </c>
    </row>
    <row r="721" spans="1:15">
      <c r="A721" s="81">
        <v>429.23791867290009</v>
      </c>
      <c r="B721" s="81">
        <v>429.2673057825105</v>
      </c>
      <c r="C721" s="81">
        <v>427.04368115532253</v>
      </c>
      <c r="D721" s="81">
        <v>427.13184248415382</v>
      </c>
      <c r="E721" s="81">
        <v>4146213.8201173837</v>
      </c>
      <c r="F721" s="81" t="s">
        <v>685</v>
      </c>
      <c r="G721" s="25">
        <f t="shared" si="21"/>
        <v>4.9307402990550475E-3</v>
      </c>
      <c r="I721" s="81">
        <v>93.086175001597809</v>
      </c>
      <c r="J721" s="81">
        <v>93.145635988503969</v>
      </c>
      <c r="K721" s="81">
        <v>91.778033289662233</v>
      </c>
      <c r="L721" s="81">
        <v>91.807763783115306</v>
      </c>
      <c r="M721" s="81">
        <v>8883769.8041175865</v>
      </c>
      <c r="N721" s="81" t="s">
        <v>685</v>
      </c>
      <c r="O721" s="25">
        <f t="shared" si="22"/>
        <v>1.3924870466321293E-2</v>
      </c>
    </row>
    <row r="722" spans="1:15">
      <c r="A722" s="81">
        <v>426.64205732398028</v>
      </c>
      <c r="B722" s="81">
        <v>427.48448779947876</v>
      </c>
      <c r="C722" s="81">
        <v>425.57432567480186</v>
      </c>
      <c r="D722" s="81">
        <v>425.76044403566783</v>
      </c>
      <c r="E722" s="81">
        <v>4369747.5424563875</v>
      </c>
      <c r="F722" s="81" t="s">
        <v>686</v>
      </c>
      <c r="G722" s="25">
        <f t="shared" si="21"/>
        <v>2.0706791827720394E-3</v>
      </c>
      <c r="I722" s="81">
        <v>92.02578740177124</v>
      </c>
      <c r="J722" s="81">
        <v>92.868151382941875</v>
      </c>
      <c r="K722" s="81">
        <v>91.86722477002148</v>
      </c>
      <c r="L722" s="81">
        <v>91.86722477002148</v>
      </c>
      <c r="M722" s="81">
        <v>9165912.4470992032</v>
      </c>
      <c r="N722" s="81" t="s">
        <v>686</v>
      </c>
      <c r="O722" s="25">
        <f t="shared" si="22"/>
        <v>1.7259978425026024E-3</v>
      </c>
    </row>
    <row r="723" spans="1:15">
      <c r="A723" s="81">
        <v>424.24211003912978</v>
      </c>
      <c r="B723" s="81">
        <v>425.37841161073248</v>
      </c>
      <c r="C723" s="81">
        <v>423.40947526683476</v>
      </c>
      <c r="D723" s="81">
        <v>424.34006707116453</v>
      </c>
      <c r="E723" s="81">
        <v>5437119.6119056791</v>
      </c>
      <c r="F723" s="81" t="s">
        <v>687</v>
      </c>
      <c r="G723" s="25">
        <f t="shared" si="21"/>
        <v>-2.3084558738661887E-4</v>
      </c>
      <c r="I723" s="81">
        <v>92.620397270832854</v>
      </c>
      <c r="J723" s="81">
        <v>93.104013297669653</v>
      </c>
      <c r="K723" s="81">
        <v>92.095158553161767</v>
      </c>
      <c r="L723" s="81">
        <v>92.214080526974087</v>
      </c>
      <c r="M723" s="81">
        <v>17710703.01375797</v>
      </c>
      <c r="N723" s="81" t="s">
        <v>687</v>
      </c>
      <c r="O723" s="25">
        <f t="shared" si="22"/>
        <v>4.4062332079526367E-3</v>
      </c>
    </row>
    <row r="724" spans="1:15">
      <c r="A724" s="81">
        <v>424.88862645055889</v>
      </c>
      <c r="B724" s="81">
        <v>426.46984886166319</v>
      </c>
      <c r="C724" s="81">
        <v>422.42990494648768</v>
      </c>
      <c r="D724" s="81">
        <v>425.34902450112207</v>
      </c>
      <c r="E724" s="81">
        <v>8523270.6897872202</v>
      </c>
      <c r="F724" s="81" t="s">
        <v>688</v>
      </c>
      <c r="G724" s="25">
        <f t="shared" si="21"/>
        <v>-1.082400626410629E-3</v>
      </c>
      <c r="I724" s="81">
        <v>93.096085166082162</v>
      </c>
      <c r="J724" s="81">
        <v>93.978089805190251</v>
      </c>
      <c r="K724" s="81">
        <v>92.372643158723847</v>
      </c>
      <c r="L724" s="81">
        <v>92.372643158723847</v>
      </c>
      <c r="M724" s="81">
        <v>12552096.405292667</v>
      </c>
      <c r="N724" s="81" t="s">
        <v>688</v>
      </c>
      <c r="O724" s="25">
        <f t="shared" si="22"/>
        <v>7.8317777062546501E-3</v>
      </c>
    </row>
    <row r="725" spans="1:15">
      <c r="A725" s="81">
        <v>423.64457214371811</v>
      </c>
      <c r="B725" s="81">
        <v>423.7719162853632</v>
      </c>
      <c r="C725" s="81">
        <v>417.79653733124582</v>
      </c>
      <c r="D725" s="81">
        <v>418.15897834977426</v>
      </c>
      <c r="E725" s="81">
        <v>8839708.4110629745</v>
      </c>
      <c r="F725" s="81" t="s">
        <v>689</v>
      </c>
      <c r="G725" s="25">
        <f t="shared" si="21"/>
        <v>1.311844077961033E-2</v>
      </c>
      <c r="I725" s="81">
        <v>91.996056908318153</v>
      </c>
      <c r="J725" s="81">
        <v>92.035697566255607</v>
      </c>
      <c r="K725" s="81">
        <v>89.964473189024261</v>
      </c>
      <c r="L725" s="81">
        <v>90.350969603914322</v>
      </c>
      <c r="M725" s="81">
        <v>10265456.255599692</v>
      </c>
      <c r="N725" s="81" t="s">
        <v>689</v>
      </c>
      <c r="O725" s="25">
        <f t="shared" si="22"/>
        <v>1.8207743775364715E-2</v>
      </c>
    </row>
    <row r="726" spans="1:15">
      <c r="A726" s="81">
        <v>417.95326858250138</v>
      </c>
      <c r="B726" s="81">
        <v>417.95326858250138</v>
      </c>
      <c r="C726" s="81">
        <v>414.62654981757061</v>
      </c>
      <c r="D726" s="81">
        <v>415.553321297651</v>
      </c>
      <c r="E726" s="81">
        <v>6107327.7494566049</v>
      </c>
      <c r="F726" s="81" t="s">
        <v>690</v>
      </c>
      <c r="G726" s="25">
        <f t="shared" si="21"/>
        <v>5.7753052661353443E-3</v>
      </c>
      <c r="I726" s="81">
        <v>90.251867959070708</v>
      </c>
      <c r="J726" s="81">
        <v>91.371716545803451</v>
      </c>
      <c r="K726" s="81">
        <v>90.045141927926963</v>
      </c>
      <c r="L726" s="81">
        <v>91.292435229928572</v>
      </c>
      <c r="M726" s="81">
        <v>13338252.882543385</v>
      </c>
      <c r="N726" s="81" t="s">
        <v>690</v>
      </c>
      <c r="O726" s="25">
        <f t="shared" si="22"/>
        <v>-1.1398176291793516E-2</v>
      </c>
    </row>
    <row r="727" spans="1:15">
      <c r="A727" s="81">
        <v>415.88637520656897</v>
      </c>
      <c r="B727" s="81">
        <v>416.03331075462103</v>
      </c>
      <c r="C727" s="81">
        <v>413.59418065695678</v>
      </c>
      <c r="D727" s="81">
        <v>413.7802990178227</v>
      </c>
      <c r="E727" s="81">
        <v>5356517.9456853075</v>
      </c>
      <c r="F727" s="81" t="s">
        <v>691</v>
      </c>
      <c r="G727" s="25">
        <f t="shared" si="21"/>
        <v>5.0898416230675814E-3</v>
      </c>
      <c r="I727" s="81">
        <v>91.371716545803451</v>
      </c>
      <c r="J727" s="81">
        <v>92.243811020427174</v>
      </c>
      <c r="K727" s="81">
        <v>91.14378276266315</v>
      </c>
      <c r="L727" s="81">
        <v>91.896955263474553</v>
      </c>
      <c r="M727" s="81">
        <v>10908962.224654408</v>
      </c>
      <c r="N727" s="81" t="s">
        <v>691</v>
      </c>
      <c r="O727" s="25">
        <f t="shared" si="22"/>
        <v>-5.7155181710341063E-3</v>
      </c>
    </row>
    <row r="728" spans="1:15">
      <c r="A728" s="81">
        <v>414.27987988119975</v>
      </c>
      <c r="B728" s="81">
        <v>414.72068652535592</v>
      </c>
      <c r="C728" s="81">
        <v>411.56647009383818</v>
      </c>
      <c r="D728" s="81">
        <v>411.78197556431456</v>
      </c>
      <c r="E728" s="81">
        <v>5232169.5477501424</v>
      </c>
      <c r="F728" s="81" t="s">
        <v>692</v>
      </c>
      <c r="G728" s="25">
        <f t="shared" si="21"/>
        <v>6.0660846397222468E-3</v>
      </c>
      <c r="I728" s="81">
        <v>91.986146743833785</v>
      </c>
      <c r="J728" s="81">
        <v>92.699678586707762</v>
      </c>
      <c r="K728" s="81">
        <v>91.228019160780235</v>
      </c>
      <c r="L728" s="81">
        <v>91.228019160780235</v>
      </c>
      <c r="M728" s="81">
        <v>9584255.6548777111</v>
      </c>
      <c r="N728" s="81" t="s">
        <v>692</v>
      </c>
      <c r="O728" s="25">
        <f t="shared" si="22"/>
        <v>8.310249307478923E-3</v>
      </c>
    </row>
    <row r="729" spans="1:15">
      <c r="A729" s="81">
        <v>412.52644900777841</v>
      </c>
      <c r="B729" s="81">
        <v>413.05541698076587</v>
      </c>
      <c r="C729" s="81">
        <v>410.71424391513619</v>
      </c>
      <c r="D729" s="81">
        <v>411.2334161849202</v>
      </c>
      <c r="E729" s="81">
        <v>3315995.7305045594</v>
      </c>
      <c r="F729" s="81" t="s">
        <v>693</v>
      </c>
      <c r="G729" s="25">
        <f t="shared" si="21"/>
        <v>3.1442795550369329E-3</v>
      </c>
      <c r="I729" s="81">
        <v>91.223064078538002</v>
      </c>
      <c r="J729" s="81">
        <v>92.250373083862101</v>
      </c>
      <c r="K729" s="81">
        <v>90.531606094185264</v>
      </c>
      <c r="L729" s="81">
        <v>90.679775662260838</v>
      </c>
      <c r="M729" s="81">
        <v>10391490.101493116</v>
      </c>
      <c r="N729" s="81" t="s">
        <v>693</v>
      </c>
      <c r="O729" s="25">
        <f t="shared" si="22"/>
        <v>5.9912854030501617E-3</v>
      </c>
    </row>
    <row r="730" spans="1:15">
      <c r="A730" s="81">
        <v>409.32325406024336</v>
      </c>
      <c r="B730" s="81">
        <v>413.05541698076587</v>
      </c>
      <c r="C730" s="81">
        <v>408.9314259321045</v>
      </c>
      <c r="D730" s="81">
        <v>412.99664276154499</v>
      </c>
      <c r="E730" s="81">
        <v>4289432.7367034713</v>
      </c>
      <c r="F730" s="81" t="s">
        <v>694</v>
      </c>
      <c r="G730" s="25">
        <f t="shared" si="21"/>
        <v>-8.8944759374777194E-3</v>
      </c>
      <c r="I730" s="81">
        <v>90.383436526109662</v>
      </c>
      <c r="J730" s="81">
        <v>91.415684517036269</v>
      </c>
      <c r="K730" s="81">
        <v>89.514175060066208</v>
      </c>
      <c r="L730" s="81">
        <v>89.998195649113129</v>
      </c>
      <c r="M730" s="81">
        <v>10591284.164366389</v>
      </c>
      <c r="N730" s="81" t="s">
        <v>694</v>
      </c>
      <c r="O730" s="25">
        <f t="shared" si="22"/>
        <v>4.2805400065855093E-3</v>
      </c>
    </row>
    <row r="731" spans="1:15">
      <c r="A731" s="81">
        <v>411.03750212085077</v>
      </c>
      <c r="B731" s="81">
        <v>411.87993259634931</v>
      </c>
      <c r="C731" s="81">
        <v>409.46039390509196</v>
      </c>
      <c r="D731" s="81">
        <v>409.79344781400994</v>
      </c>
      <c r="E731" s="81">
        <v>3490594.7321764301</v>
      </c>
      <c r="F731" s="81" t="s">
        <v>695</v>
      </c>
      <c r="G731" s="25">
        <f t="shared" si="21"/>
        <v>3.0358081942918336E-3</v>
      </c>
      <c r="I731" s="81">
        <v>89.682100570551881</v>
      </c>
      <c r="J731" s="81">
        <v>90.660019719850766</v>
      </c>
      <c r="K731" s="81">
        <v>88.833582844039</v>
      </c>
      <c r="L731" s="81">
        <v>90.492094209365092</v>
      </c>
      <c r="M731" s="81">
        <v>12509641.649588943</v>
      </c>
      <c r="N731" s="81" t="s">
        <v>695</v>
      </c>
      <c r="O731" s="25">
        <f t="shared" si="22"/>
        <v>-8.9509878834187484E-3</v>
      </c>
    </row>
    <row r="732" spans="1:15">
      <c r="A732" s="81">
        <v>411.16484626249593</v>
      </c>
      <c r="B732" s="81">
        <v>411.29219040414102</v>
      </c>
      <c r="C732" s="81">
        <v>408.97060874491837</v>
      </c>
      <c r="D732" s="81">
        <v>410.09711461331756</v>
      </c>
      <c r="E732" s="81">
        <v>5927169.1673371857</v>
      </c>
      <c r="F732" s="81" t="s">
        <v>696</v>
      </c>
      <c r="G732" s="25">
        <f t="shared" si="21"/>
        <v>2.6036068314820859E-3</v>
      </c>
      <c r="I732" s="81">
        <v>90.887213057566669</v>
      </c>
      <c r="J732" s="81">
        <v>91.282331905768231</v>
      </c>
      <c r="K732" s="81">
        <v>90.492094209365092</v>
      </c>
      <c r="L732" s="81">
        <v>90.778555374311239</v>
      </c>
      <c r="M732" s="81">
        <v>12758495.381693967</v>
      </c>
      <c r="N732" s="81" t="s">
        <v>696</v>
      </c>
      <c r="O732" s="25">
        <f t="shared" si="22"/>
        <v>1.1969532100108982E-3</v>
      </c>
    </row>
    <row r="733" spans="1:15">
      <c r="A733" s="81">
        <v>413.24153534163179</v>
      </c>
      <c r="B733" s="81">
        <v>413.74111620500884</v>
      </c>
      <c r="C733" s="81">
        <v>409.7052864851787</v>
      </c>
      <c r="D733" s="81">
        <v>410.27343727098003</v>
      </c>
      <c r="E733" s="81">
        <v>5077353.7097751191</v>
      </c>
      <c r="F733" s="81" t="s">
        <v>697</v>
      </c>
      <c r="G733" s="25">
        <f t="shared" si="21"/>
        <v>7.2344387937828269E-3</v>
      </c>
      <c r="I733" s="81">
        <v>91.450257416253905</v>
      </c>
      <c r="J733" s="81">
        <v>91.707084667584937</v>
      </c>
      <c r="K733" s="81">
        <v>90.650141748645723</v>
      </c>
      <c r="L733" s="81">
        <v>91.608304955534535</v>
      </c>
      <c r="M733" s="81">
        <v>12045154.569725893</v>
      </c>
      <c r="N733" s="81" t="s">
        <v>697</v>
      </c>
      <c r="O733" s="25">
        <f t="shared" si="22"/>
        <v>-1.7252533965926853E-3</v>
      </c>
    </row>
    <row r="734" spans="1:15">
      <c r="A734" s="81">
        <v>410.83179235357784</v>
      </c>
      <c r="B734" s="81">
        <v>411.12566344968201</v>
      </c>
      <c r="C734" s="81">
        <v>408.05960834699556</v>
      </c>
      <c r="D734" s="81">
        <v>409.98936187807942</v>
      </c>
      <c r="E734" s="81">
        <v>4497573.9959524777</v>
      </c>
      <c r="F734" s="81" t="s">
        <v>698</v>
      </c>
      <c r="G734" s="25">
        <f t="shared" si="21"/>
        <v>2.0547617909874027E-3</v>
      </c>
      <c r="I734" s="81">
        <v>91.558915099509335</v>
      </c>
      <c r="J734" s="81">
        <v>92.714637730498936</v>
      </c>
      <c r="K734" s="81">
        <v>91.074894510462414</v>
      </c>
      <c r="L734" s="81">
        <v>92.408420623142717</v>
      </c>
      <c r="M734" s="81">
        <v>13562196.853910236</v>
      </c>
      <c r="N734" s="81" t="s">
        <v>698</v>
      </c>
      <c r="O734" s="25">
        <f t="shared" si="22"/>
        <v>-9.1929449492250681E-3</v>
      </c>
    </row>
    <row r="735" spans="1:15">
      <c r="A735" s="81">
        <v>409.24488843461552</v>
      </c>
      <c r="B735" s="81">
        <v>412.5166533045749</v>
      </c>
      <c r="C735" s="81">
        <v>408.83836675167151</v>
      </c>
      <c r="D735" s="81">
        <v>411.47772102281476</v>
      </c>
      <c r="E735" s="81">
        <v>4177972.6426886683</v>
      </c>
      <c r="F735" s="81" t="s">
        <v>699</v>
      </c>
      <c r="G735" s="25">
        <f t="shared" si="21"/>
        <v>-5.4263754126203656E-3</v>
      </c>
      <c r="I735" s="81">
        <v>91.371233646613589</v>
      </c>
      <c r="J735" s="81">
        <v>92.102203515786499</v>
      </c>
      <c r="K735" s="81">
        <v>90.324168698879433</v>
      </c>
      <c r="L735" s="81">
        <v>91.470013358663977</v>
      </c>
      <c r="M735" s="81">
        <v>14028222.711289892</v>
      </c>
      <c r="N735" s="81" t="s">
        <v>699</v>
      </c>
      <c r="O735" s="25">
        <f t="shared" si="22"/>
        <v>-1.0799136069113979E-3</v>
      </c>
    </row>
    <row r="736" spans="1:15">
      <c r="A736" s="81">
        <v>409.50937242110928</v>
      </c>
      <c r="B736" s="81">
        <v>410.68485680552584</v>
      </c>
      <c r="C736" s="81">
        <v>408.19674819184416</v>
      </c>
      <c r="D736" s="81">
        <v>408.72571616483162</v>
      </c>
      <c r="E736" s="81">
        <v>3452985.3852671185</v>
      </c>
      <c r="F736" s="81" t="s">
        <v>700</v>
      </c>
      <c r="G736" s="25">
        <f t="shared" si="21"/>
        <v>1.9173157579388533E-3</v>
      </c>
      <c r="I736" s="81">
        <v>91.371233646613589</v>
      </c>
      <c r="J736" s="81">
        <v>93.979018044743967</v>
      </c>
      <c r="K736" s="81">
        <v>91.316904804985867</v>
      </c>
      <c r="L736" s="81">
        <v>93.840726447873422</v>
      </c>
      <c r="M736" s="81">
        <v>18890827.49145931</v>
      </c>
      <c r="N736" s="81" t="s">
        <v>700</v>
      </c>
      <c r="O736" s="25">
        <f t="shared" si="22"/>
        <v>-2.6315789473684292E-2</v>
      </c>
    </row>
    <row r="737" spans="1:15">
      <c r="A737" s="81">
        <v>409.10774858976697</v>
      </c>
      <c r="B737" s="81">
        <v>409.97692133501101</v>
      </c>
      <c r="C737" s="81">
        <v>408.70612475842466</v>
      </c>
      <c r="D737" s="81">
        <v>409.25468413781908</v>
      </c>
      <c r="E737" s="81">
        <v>3708311.6184173571</v>
      </c>
      <c r="F737" s="81" t="s">
        <v>701</v>
      </c>
      <c r="G737" s="25">
        <f t="shared" si="21"/>
        <v>-3.5903204959442103E-4</v>
      </c>
      <c r="I737" s="81">
        <v>94.008651958359096</v>
      </c>
      <c r="J737" s="81">
        <v>94.571696317046332</v>
      </c>
      <c r="K737" s="81">
        <v>93.361644844429023</v>
      </c>
      <c r="L737" s="81">
        <v>94.571696317046332</v>
      </c>
      <c r="M737" s="81">
        <v>11185971.0568533</v>
      </c>
      <c r="N737" s="81" t="s">
        <v>701</v>
      </c>
      <c r="O737" s="25">
        <f t="shared" si="22"/>
        <v>-5.9536243994150473E-3</v>
      </c>
    </row>
    <row r="738" spans="1:15">
      <c r="A738" s="81">
        <v>409.82283492362035</v>
      </c>
      <c r="B738" s="81">
        <v>409.94038336206205</v>
      </c>
      <c r="C738" s="81">
        <v>409.3036626538364</v>
      </c>
      <c r="D738" s="81">
        <v>409.64651226595788</v>
      </c>
      <c r="E738" s="81">
        <v>1379453.7992139023</v>
      </c>
      <c r="F738" s="81" t="s">
        <v>702</v>
      </c>
      <c r="G738" s="25">
        <f t="shared" si="21"/>
        <v>4.304263612233683E-4</v>
      </c>
      <c r="I738" s="81">
        <v>94.887791395607593</v>
      </c>
      <c r="J738" s="81">
        <v>95.332300099834356</v>
      </c>
      <c r="K738" s="81">
        <v>93.741946735823035</v>
      </c>
      <c r="L738" s="81">
        <v>93.741946735823035</v>
      </c>
      <c r="M738" s="81">
        <v>5507677.5251425235</v>
      </c>
      <c r="N738" s="81" t="s">
        <v>702</v>
      </c>
      <c r="O738" s="25">
        <f t="shared" si="22"/>
        <v>1.2223393045310837E-2</v>
      </c>
    </row>
    <row r="739" spans="1:15">
      <c r="A739" s="81">
        <v>409.59753374994051</v>
      </c>
      <c r="B739" s="81">
        <v>410.74363102474666</v>
      </c>
      <c r="C739" s="81">
        <v>408.53959780396565</v>
      </c>
      <c r="D739" s="81">
        <v>409.52896382751624</v>
      </c>
      <c r="E739" s="81">
        <v>3771106.4976846292</v>
      </c>
      <c r="F739" s="81" t="s">
        <v>703</v>
      </c>
      <c r="G739" s="25">
        <f t="shared" si="21"/>
        <v>1.6743607529834392E-4</v>
      </c>
      <c r="I739" s="81">
        <v>93.909872246308694</v>
      </c>
      <c r="J739" s="81">
        <v>94.538209994661258</v>
      </c>
      <c r="K739" s="81">
        <v>93.60365513895249</v>
      </c>
      <c r="L739" s="81">
        <v>93.751824707028064</v>
      </c>
      <c r="M739" s="81">
        <v>7421495.6166910874</v>
      </c>
      <c r="N739" s="81" t="s">
        <v>703</v>
      </c>
      <c r="O739" s="25">
        <f t="shared" si="22"/>
        <v>1.685807607206824E-3</v>
      </c>
    </row>
    <row r="740" spans="1:15">
      <c r="A740" s="81">
        <v>407.83430717331572</v>
      </c>
      <c r="B740" s="81">
        <v>408.32409233348926</v>
      </c>
      <c r="C740" s="81">
        <v>406.81555404015472</v>
      </c>
      <c r="D740" s="81">
        <v>407.89308139253654</v>
      </c>
      <c r="E740" s="81">
        <v>5357641.9078727392</v>
      </c>
      <c r="F740" s="81" t="s">
        <v>704</v>
      </c>
      <c r="G740" s="25">
        <f t="shared" si="21"/>
        <v>-1.4409221902011993E-4</v>
      </c>
      <c r="I740" s="81">
        <v>93.297438031596258</v>
      </c>
      <c r="J740" s="81">
        <v>93.801214563053264</v>
      </c>
      <c r="K740" s="81">
        <v>92.813417442549323</v>
      </c>
      <c r="L740" s="81">
        <v>93.574021225337361</v>
      </c>
      <c r="M740" s="81">
        <v>7749408.093126284</v>
      </c>
      <c r="N740" s="81" t="s">
        <v>704</v>
      </c>
      <c r="O740" s="25">
        <f t="shared" si="22"/>
        <v>-2.9557690277631776E-3</v>
      </c>
    </row>
    <row r="741" spans="1:15">
      <c r="A741" s="81">
        <v>408.90203882249409</v>
      </c>
      <c r="B741" s="81">
        <v>409.65630796916133</v>
      </c>
      <c r="C741" s="81">
        <v>405.52242326026453</v>
      </c>
      <c r="D741" s="81">
        <v>405.53231692050002</v>
      </c>
      <c r="E741" s="81">
        <v>3597916.2769561326</v>
      </c>
      <c r="F741" s="81" t="s">
        <v>705</v>
      </c>
      <c r="G741" s="25">
        <f t="shared" si="21"/>
        <v>8.3093794536099885E-3</v>
      </c>
      <c r="I741" s="81">
        <v>93.870360361488537</v>
      </c>
      <c r="J741" s="81">
        <v>94.418587763368222</v>
      </c>
      <c r="K741" s="81">
        <v>92.724515701703979</v>
      </c>
      <c r="L741" s="81">
        <v>92.833173384959423</v>
      </c>
      <c r="M741" s="81">
        <v>14289134.587474061</v>
      </c>
      <c r="N741" s="81" t="s">
        <v>705</v>
      </c>
      <c r="O741" s="25">
        <f t="shared" si="22"/>
        <v>1.1172589912747277E-2</v>
      </c>
    </row>
    <row r="742" spans="1:15">
      <c r="A742" s="81">
        <v>405.84577942301109</v>
      </c>
      <c r="B742" s="81">
        <v>406.31597317677773</v>
      </c>
      <c r="C742" s="81">
        <v>404.43519816171124</v>
      </c>
      <c r="D742" s="81">
        <v>405.48333840448265</v>
      </c>
      <c r="E742" s="81">
        <v>4798163.9524710281</v>
      </c>
      <c r="F742" s="81" t="s">
        <v>706</v>
      </c>
      <c r="G742" s="25">
        <f t="shared" si="21"/>
        <v>8.9384935014735767E-4</v>
      </c>
      <c r="I742" s="81">
        <v>93.001098895445082</v>
      </c>
      <c r="J742" s="81">
        <v>94.213125962303394</v>
      </c>
      <c r="K742" s="81">
        <v>92.773905557729179</v>
      </c>
      <c r="L742" s="81">
        <v>93.593777167747433</v>
      </c>
      <c r="M742" s="81">
        <v>12352034.38715779</v>
      </c>
      <c r="N742" s="81" t="s">
        <v>706</v>
      </c>
      <c r="O742" s="25">
        <f t="shared" si="22"/>
        <v>-6.3324538258574536E-3</v>
      </c>
    </row>
    <row r="743" spans="1:15">
      <c r="A743" s="81">
        <v>405.24824152759936</v>
      </c>
      <c r="B743" s="81">
        <v>405.4931341076861</v>
      </c>
      <c r="C743" s="81">
        <v>403.33807940292252</v>
      </c>
      <c r="D743" s="81">
        <v>404.30785402006615</v>
      </c>
      <c r="E743" s="81">
        <v>3878117.7023144872</v>
      </c>
      <c r="F743" s="81" t="s">
        <v>707</v>
      </c>
      <c r="G743" s="25">
        <f t="shared" si="21"/>
        <v>2.3259194650384618E-3</v>
      </c>
      <c r="I743" s="81">
        <v>93.356705858826501</v>
      </c>
      <c r="J743" s="81">
        <v>93.455485570876888</v>
      </c>
      <c r="K743" s="81">
        <v>92.487444392783033</v>
      </c>
      <c r="L743" s="81">
        <v>92.744271644114065</v>
      </c>
      <c r="M743" s="81">
        <v>13083576.305027882</v>
      </c>
      <c r="N743" s="81" t="s">
        <v>707</v>
      </c>
      <c r="O743" s="25">
        <f t="shared" si="22"/>
        <v>6.6034721482586267E-3</v>
      </c>
    </row>
    <row r="744" spans="1:15">
      <c r="A744" s="81">
        <v>404.68009074179804</v>
      </c>
      <c r="B744" s="81">
        <v>406.24740325435346</v>
      </c>
      <c r="C744" s="81">
        <v>403.9454130015377</v>
      </c>
      <c r="D744" s="81">
        <v>405.09151027634385</v>
      </c>
      <c r="E744" s="81">
        <v>4506881.1378805526</v>
      </c>
      <c r="F744" s="81" t="s">
        <v>708</v>
      </c>
      <c r="G744" s="25">
        <f t="shared" si="21"/>
        <v>-1.0156212216473337E-3</v>
      </c>
      <c r="I744" s="81">
        <v>92.783783528934222</v>
      </c>
      <c r="J744" s="81">
        <v>93.411034700454209</v>
      </c>
      <c r="K744" s="81">
        <v>91.608304955534535</v>
      </c>
      <c r="L744" s="81">
        <v>91.85525423566051</v>
      </c>
      <c r="M744" s="81">
        <v>20847452.956224784</v>
      </c>
      <c r="N744" s="81" t="s">
        <v>708</v>
      </c>
      <c r="O744" s="25">
        <f t="shared" si="22"/>
        <v>1.0108613829444169E-2</v>
      </c>
    </row>
    <row r="745" spans="1:15">
      <c r="A745" s="81">
        <v>403.79847745348565</v>
      </c>
      <c r="B745" s="81">
        <v>405.06212316673339</v>
      </c>
      <c r="C745" s="81">
        <v>401.51176849766733</v>
      </c>
      <c r="D745" s="81">
        <v>401.66301415512896</v>
      </c>
      <c r="E745" s="81">
        <v>7118544.5854760921</v>
      </c>
      <c r="F745" s="81" t="s">
        <v>709</v>
      </c>
      <c r="G745" s="25">
        <f t="shared" si="21"/>
        <v>5.3165544824895772E-3</v>
      </c>
      <c r="I745" s="81">
        <v>89.958683764292971</v>
      </c>
      <c r="J745" s="81">
        <v>90.424627666034681</v>
      </c>
      <c r="K745" s="81">
        <v>88.891862874148728</v>
      </c>
      <c r="L745" s="81">
        <v>88.931374758968886</v>
      </c>
      <c r="M745" s="81">
        <v>13314504.291418072</v>
      </c>
      <c r="N745" s="81" t="s">
        <v>709</v>
      </c>
      <c r="O745" s="25">
        <f t="shared" si="22"/>
        <v>1.1551704987226463E-2</v>
      </c>
    </row>
    <row r="746" spans="1:15">
      <c r="A746" s="81">
        <v>396.18721606438856</v>
      </c>
      <c r="B746" s="81">
        <v>397.20596919754962</v>
      </c>
      <c r="C746" s="81">
        <v>394.59051644222279</v>
      </c>
      <c r="D746" s="81">
        <v>395.34478558889003</v>
      </c>
      <c r="E746" s="81">
        <v>2932858.3566945717</v>
      </c>
      <c r="F746" s="81" t="s">
        <v>710</v>
      </c>
      <c r="G746" s="25">
        <f t="shared" si="21"/>
        <v>2.1308753933446667E-3</v>
      </c>
      <c r="I746" s="81">
        <v>88.348574457871564</v>
      </c>
      <c r="J746" s="81">
        <v>88.802961133303384</v>
      </c>
      <c r="K746" s="81">
        <v>86.33850609735812</v>
      </c>
      <c r="L746" s="81">
        <v>87.341021394957565</v>
      </c>
      <c r="M746" s="81">
        <v>12992994.951688491</v>
      </c>
      <c r="N746" s="81" t="s">
        <v>710</v>
      </c>
      <c r="O746" s="25">
        <f t="shared" si="22"/>
        <v>1.153585161728099E-2</v>
      </c>
    </row>
    <row r="747" spans="1:15">
      <c r="A747" s="81">
        <v>396.58883989573093</v>
      </c>
      <c r="B747" s="81">
        <v>396.83275290549733</v>
      </c>
      <c r="C747" s="81">
        <v>390.98569766334543</v>
      </c>
      <c r="D747" s="81">
        <v>392.40607462784874</v>
      </c>
      <c r="E747" s="81">
        <v>4077746.0454136403</v>
      </c>
      <c r="F747" s="81" t="s">
        <v>711</v>
      </c>
      <c r="G747" s="25">
        <f t="shared" si="21"/>
        <v>1.065927756559093E-2</v>
      </c>
      <c r="I747" s="81">
        <v>87.192851826881963</v>
      </c>
      <c r="J747" s="81">
        <v>89.059788384634388</v>
      </c>
      <c r="K747" s="81">
        <v>85.874142671009224</v>
      </c>
      <c r="L747" s="81">
        <v>89.030154471019273</v>
      </c>
      <c r="M747" s="81">
        <v>25511312.471880931</v>
      </c>
      <c r="N747" s="81" t="s">
        <v>711</v>
      </c>
      <c r="O747" s="25">
        <f t="shared" si="22"/>
        <v>-2.0636857871962677E-2</v>
      </c>
    </row>
    <row r="748" spans="1:15">
      <c r="A748" s="81">
        <v>390.49591250317189</v>
      </c>
      <c r="B748" s="81">
        <v>394.64929066144362</v>
      </c>
      <c r="C748" s="81">
        <v>390.07469726542263</v>
      </c>
      <c r="D748" s="81">
        <v>394.58072073901934</v>
      </c>
      <c r="E748" s="81">
        <v>4232074.935193019</v>
      </c>
      <c r="F748" s="81" t="s">
        <v>712</v>
      </c>
      <c r="G748" s="25">
        <f t="shared" si="21"/>
        <v>-1.0352275266254596E-2</v>
      </c>
      <c r="I748" s="81">
        <v>89.237591866325104</v>
      </c>
      <c r="J748" s="81">
        <v>90.096975361163516</v>
      </c>
      <c r="K748" s="81">
        <v>86.531027756144326</v>
      </c>
      <c r="L748" s="81">
        <v>86.768099065065286</v>
      </c>
      <c r="M748" s="81">
        <v>51693513.71863693</v>
      </c>
      <c r="N748" s="81" t="s">
        <v>712</v>
      </c>
      <c r="O748" s="25">
        <f t="shared" si="22"/>
        <v>2.8460837887067214E-2</v>
      </c>
    </row>
    <row r="749" spans="1:15">
      <c r="A749" s="81">
        <v>393.46401057382366</v>
      </c>
      <c r="B749" s="81">
        <v>394.27960082254458</v>
      </c>
      <c r="C749" s="81">
        <v>391.39711719789125</v>
      </c>
      <c r="D749" s="81">
        <v>393.77747307633473</v>
      </c>
      <c r="E749" s="81">
        <v>3809688.7201294741</v>
      </c>
      <c r="F749" s="81" t="s">
        <v>713</v>
      </c>
      <c r="G749" s="25">
        <f t="shared" si="21"/>
        <v>-7.9603970248010025E-4</v>
      </c>
      <c r="I749" s="81">
        <v>83.468856682582143</v>
      </c>
      <c r="J749" s="81">
        <v>83.883731473193805</v>
      </c>
      <c r="K749" s="81">
        <v>82.925568266304992</v>
      </c>
      <c r="L749" s="81">
        <v>83.113249719200738</v>
      </c>
      <c r="M749" s="81">
        <v>27275438.894026201</v>
      </c>
      <c r="N749" s="81" t="s">
        <v>713</v>
      </c>
      <c r="O749" s="25">
        <f t="shared" si="22"/>
        <v>4.2785833135250417E-3</v>
      </c>
    </row>
    <row r="750" spans="1:15">
      <c r="A750" s="81">
        <v>393.14075236810908</v>
      </c>
      <c r="B750" s="81">
        <v>393.8264515923521</v>
      </c>
      <c r="C750" s="81">
        <v>391.07385899217672</v>
      </c>
      <c r="D750" s="81">
        <v>392.08281642213421</v>
      </c>
      <c r="E750" s="81">
        <v>3428623.6835043048</v>
      </c>
      <c r="F750" s="81" t="s">
        <v>714</v>
      </c>
      <c r="G750" s="25">
        <f t="shared" si="21"/>
        <v>2.6982461400089086E-3</v>
      </c>
      <c r="I750" s="81">
        <v>83.557758423427501</v>
      </c>
      <c r="J750" s="81">
        <v>83.646660164272859</v>
      </c>
      <c r="K750" s="81">
        <v>82.925568266304992</v>
      </c>
      <c r="L750" s="81">
        <v>83.128066676008288</v>
      </c>
      <c r="M750" s="81">
        <v>10670413.773450615</v>
      </c>
      <c r="N750" s="81" t="s">
        <v>714</v>
      </c>
      <c r="O750" s="25">
        <f t="shared" si="22"/>
        <v>5.1690333313529901E-3</v>
      </c>
    </row>
    <row r="751" spans="1:15">
      <c r="A751" s="81">
        <v>392.03383790611684</v>
      </c>
      <c r="B751" s="81">
        <v>392.54615318365842</v>
      </c>
      <c r="C751" s="81">
        <v>390.31958984550937</v>
      </c>
      <c r="D751" s="81">
        <v>391.94567657728561</v>
      </c>
      <c r="E751" s="81">
        <v>4090676.2044200012</v>
      </c>
      <c r="F751" s="81" t="s">
        <v>715</v>
      </c>
      <c r="G751" s="25">
        <f t="shared" si="21"/>
        <v>2.2493252024391452E-4</v>
      </c>
      <c r="I751" s="81">
        <v>82.994714064740265</v>
      </c>
      <c r="J751" s="81">
        <v>84.752992939237259</v>
      </c>
      <c r="K751" s="81">
        <v>82.569961302923573</v>
      </c>
      <c r="L751" s="81">
        <v>84.041779012474422</v>
      </c>
      <c r="M751" s="81">
        <v>14335860.781590169</v>
      </c>
      <c r="N751" s="81" t="s">
        <v>715</v>
      </c>
      <c r="O751" s="25">
        <f t="shared" si="22"/>
        <v>-1.2458862247296532E-2</v>
      </c>
    </row>
    <row r="752" spans="1:15">
      <c r="A752" s="81">
        <v>391.27956875944955</v>
      </c>
      <c r="B752" s="81">
        <v>392.66076291113905</v>
      </c>
      <c r="C752" s="81">
        <v>389.71225624689419</v>
      </c>
      <c r="D752" s="81">
        <v>389.79062187252197</v>
      </c>
      <c r="E752" s="81">
        <v>6106182.3492982965</v>
      </c>
      <c r="F752" s="81" t="s">
        <v>716</v>
      </c>
      <c r="G752" s="25">
        <f t="shared" si="21"/>
        <v>3.8198632891033313E-3</v>
      </c>
      <c r="I752" s="81">
        <v>84.031901041269379</v>
      </c>
      <c r="J752" s="81">
        <v>84.881406564902775</v>
      </c>
      <c r="K752" s="81">
        <v>83.13300566161081</v>
      </c>
      <c r="L752" s="81">
        <v>83.142883632815852</v>
      </c>
      <c r="M752" s="81">
        <v>11471766.5852468</v>
      </c>
      <c r="N752" s="81" t="s">
        <v>716</v>
      </c>
      <c r="O752" s="25">
        <f t="shared" si="22"/>
        <v>1.0692645835808312E-2</v>
      </c>
    </row>
    <row r="753" spans="1:15">
      <c r="A753" s="81">
        <v>387.69434138697915</v>
      </c>
      <c r="B753" s="81">
        <v>387.82129370049614</v>
      </c>
      <c r="C753" s="81">
        <v>383.91319995043932</v>
      </c>
      <c r="D753" s="81">
        <v>383.92299565364277</v>
      </c>
      <c r="E753" s="81">
        <v>4851273.9731804803</v>
      </c>
      <c r="F753" s="81" t="s">
        <v>717</v>
      </c>
      <c r="G753" s="25">
        <f t="shared" si="21"/>
        <v>9.8231827111985304E-3</v>
      </c>
      <c r="I753" s="81">
        <v>82.273622166772398</v>
      </c>
      <c r="J753" s="81">
        <v>82.283500137977427</v>
      </c>
      <c r="K753" s="81">
        <v>80.821560399631608</v>
      </c>
      <c r="L753" s="81">
        <v>80.851194313246722</v>
      </c>
      <c r="M753" s="81">
        <v>11660744.661944138</v>
      </c>
      <c r="N753" s="81" t="s">
        <v>717</v>
      </c>
      <c r="O753" s="25">
        <f t="shared" si="22"/>
        <v>1.7593158216249405E-2</v>
      </c>
    </row>
    <row r="754" spans="1:15">
      <c r="A754" s="81">
        <v>380.46511242281747</v>
      </c>
      <c r="B754" s="81">
        <v>381.13122024065348</v>
      </c>
      <c r="C754" s="81">
        <v>376.76233661190543</v>
      </c>
      <c r="D754" s="81">
        <v>377.2227346624685</v>
      </c>
      <c r="E754" s="81">
        <v>5664890.9064881224</v>
      </c>
      <c r="F754" s="81" t="s">
        <v>718</v>
      </c>
      <c r="G754" s="25">
        <f t="shared" si="21"/>
        <v>8.5953932846867254E-3</v>
      </c>
      <c r="I754" s="81">
        <v>80.080712559253655</v>
      </c>
      <c r="J754" s="81">
        <v>80.584489090710676</v>
      </c>
      <c r="K754" s="81">
        <v>79.201573122005172</v>
      </c>
      <c r="L754" s="81">
        <v>80.535099234685475</v>
      </c>
      <c r="M754" s="81">
        <v>9205305.2304517385</v>
      </c>
      <c r="N754" s="81" t="s">
        <v>718</v>
      </c>
      <c r="O754" s="25">
        <f t="shared" si="22"/>
        <v>-5.6420949343801707E-3</v>
      </c>
    </row>
    <row r="755" spans="1:15">
      <c r="A755" s="81">
        <v>376.3215299677492</v>
      </c>
      <c r="B755" s="81">
        <v>376.62519676705682</v>
      </c>
      <c r="C755" s="81">
        <v>372.78528111129611</v>
      </c>
      <c r="D755" s="81">
        <v>374.53871198471751</v>
      </c>
      <c r="E755" s="81">
        <v>4617493.921617819</v>
      </c>
      <c r="F755" s="81" t="s">
        <v>719</v>
      </c>
      <c r="G755" s="25">
        <f t="shared" si="21"/>
        <v>4.7600366156661522E-3</v>
      </c>
      <c r="I755" s="81">
        <v>80.594367061915719</v>
      </c>
      <c r="J755" s="81">
        <v>80.668451845953513</v>
      </c>
      <c r="K755" s="81">
        <v>79.34974269008076</v>
      </c>
      <c r="L755" s="81">
        <v>79.705349653462164</v>
      </c>
      <c r="M755" s="81">
        <v>8779367.564440567</v>
      </c>
      <c r="N755" s="81" t="s">
        <v>719</v>
      </c>
      <c r="O755" s="25">
        <f t="shared" si="22"/>
        <v>1.1153798488040767E-2</v>
      </c>
    </row>
    <row r="756" spans="1:15">
      <c r="A756" s="81">
        <v>374.05872252774742</v>
      </c>
      <c r="B756" s="81">
        <v>374.97951862887368</v>
      </c>
      <c r="C756" s="81">
        <v>370.97307601865396</v>
      </c>
      <c r="D756" s="81">
        <v>372.14856040307052</v>
      </c>
      <c r="E756" s="81">
        <v>5916635.9776460733</v>
      </c>
      <c r="F756" s="81" t="s">
        <v>720</v>
      </c>
      <c r="G756" s="25">
        <f t="shared" si="21"/>
        <v>5.1327946092496468E-3</v>
      </c>
      <c r="I756" s="81">
        <v>79.695471682257136</v>
      </c>
      <c r="J756" s="81">
        <v>79.942420962383125</v>
      </c>
      <c r="K756" s="81">
        <v>78.559504993677621</v>
      </c>
      <c r="L756" s="81">
        <v>78.747186446573366</v>
      </c>
      <c r="M756" s="81">
        <v>10418314.435609907</v>
      </c>
      <c r="N756" s="81" t="s">
        <v>720</v>
      </c>
      <c r="O756" s="25">
        <f t="shared" si="22"/>
        <v>1.2042147516307056E-2</v>
      </c>
    </row>
    <row r="757" spans="1:15">
      <c r="A757" s="81">
        <v>369.61147327337147</v>
      </c>
      <c r="B757" s="81">
        <v>373.1085393170107</v>
      </c>
      <c r="C757" s="81">
        <v>368.2645640828942</v>
      </c>
      <c r="D757" s="81">
        <v>372.7558940016857</v>
      </c>
      <c r="E757" s="81">
        <v>5756352.4362415485</v>
      </c>
      <c r="F757" s="81" t="s">
        <v>721</v>
      </c>
      <c r="G757" s="25">
        <f t="shared" si="21"/>
        <v>-8.4356029747982841E-3</v>
      </c>
      <c r="I757" s="81">
        <v>78.361945569576832</v>
      </c>
      <c r="J757" s="81">
        <v>80.03626168883099</v>
      </c>
      <c r="K757" s="81">
        <v>78.263165857526431</v>
      </c>
      <c r="L757" s="81">
        <v>78.776820360188481</v>
      </c>
      <c r="M757" s="81">
        <v>10427805.250885028</v>
      </c>
      <c r="N757" s="81" t="s">
        <v>721</v>
      </c>
      <c r="O757" s="25">
        <f t="shared" si="22"/>
        <v>-5.2664576802508023E-3</v>
      </c>
    </row>
    <row r="758" spans="1:15">
      <c r="A758" s="81">
        <v>371.25715141155467</v>
      </c>
      <c r="B758" s="81">
        <v>375.56442006715292</v>
      </c>
      <c r="C758" s="81">
        <v>370.42451663925959</v>
      </c>
      <c r="D758" s="81">
        <v>374.81299167441466</v>
      </c>
      <c r="E758" s="81">
        <v>7104544.5696373712</v>
      </c>
      <c r="F758" s="81" t="s">
        <v>722</v>
      </c>
      <c r="G758" s="25">
        <f t="shared" si="21"/>
        <v>-9.4869717481639304E-3</v>
      </c>
      <c r="I758" s="81">
        <v>78.806454273803595</v>
      </c>
      <c r="J758" s="81">
        <v>79.626325883821863</v>
      </c>
      <c r="K758" s="81">
        <v>78.450847310422176</v>
      </c>
      <c r="L758" s="81">
        <v>79.102793409954771</v>
      </c>
      <c r="M758" s="81">
        <v>11794920.99962407</v>
      </c>
      <c r="N758" s="81" t="s">
        <v>722</v>
      </c>
      <c r="O758" s="25">
        <f t="shared" si="22"/>
        <v>-3.7462537462537027E-3</v>
      </c>
    </row>
    <row r="759" spans="1:15">
      <c r="A759" s="81">
        <v>375.87092762038952</v>
      </c>
      <c r="B759" s="81">
        <v>379.75982179216754</v>
      </c>
      <c r="C759" s="81">
        <v>375.29298113138475</v>
      </c>
      <c r="D759" s="81">
        <v>379.68145616653982</v>
      </c>
      <c r="E759" s="81">
        <v>5585320.3045813804</v>
      </c>
      <c r="F759" s="81" t="s">
        <v>723</v>
      </c>
      <c r="G759" s="25">
        <f t="shared" si="21"/>
        <v>-1.0036119711042457E-2</v>
      </c>
      <c r="I759" s="81">
        <v>79.606569941411777</v>
      </c>
      <c r="J759" s="81">
        <v>81.542652297599474</v>
      </c>
      <c r="K759" s="81">
        <v>79.532485157373983</v>
      </c>
      <c r="L759" s="81">
        <v>81.127777506987826</v>
      </c>
      <c r="M759" s="81">
        <v>9488306.6628282443</v>
      </c>
      <c r="N759" s="81" t="s">
        <v>723</v>
      </c>
      <c r="O759" s="25">
        <f t="shared" si="22"/>
        <v>-1.8750760988676451E-2</v>
      </c>
    </row>
    <row r="760" spans="1:15">
      <c r="A760" s="81">
        <v>381.24876867909518</v>
      </c>
      <c r="B760" s="81">
        <v>382.28711321866308</v>
      </c>
      <c r="C760" s="81">
        <v>378.65290733017537</v>
      </c>
      <c r="D760" s="81">
        <v>380.34756398437582</v>
      </c>
      <c r="E760" s="81">
        <v>4544352.6692627948</v>
      </c>
      <c r="F760" s="81" t="s">
        <v>724</v>
      </c>
      <c r="G760" s="25">
        <f t="shared" si="21"/>
        <v>2.3694241269187621E-3</v>
      </c>
      <c r="I760" s="81">
        <v>81.552530268804531</v>
      </c>
      <c r="J760" s="81">
        <v>83.172221207294825</v>
      </c>
      <c r="K760" s="81">
        <v>80.742536629991292</v>
      </c>
      <c r="L760" s="81">
        <v>82.392157821232857</v>
      </c>
      <c r="M760" s="81">
        <v>11641529.177705515</v>
      </c>
      <c r="N760" s="81" t="s">
        <v>724</v>
      </c>
      <c r="O760" s="25">
        <f t="shared" si="22"/>
        <v>-1.019062462534448E-2</v>
      </c>
    </row>
    <row r="761" spans="1:15">
      <c r="A761" s="81">
        <v>378.41781045329202</v>
      </c>
      <c r="B761" s="81">
        <v>381.97365071615201</v>
      </c>
      <c r="C761" s="81">
        <v>376.00806746523813</v>
      </c>
      <c r="D761" s="81">
        <v>377.60476708740396</v>
      </c>
      <c r="E761" s="81">
        <v>5652612.0534541337</v>
      </c>
      <c r="F761" s="81" t="s">
        <v>725</v>
      </c>
      <c r="G761" s="25">
        <f t="shared" si="21"/>
        <v>2.1531596970010281E-3</v>
      </c>
      <c r="I761" s="81">
        <v>82.085940713876639</v>
      </c>
      <c r="J761" s="81">
        <v>82.999653050342786</v>
      </c>
      <c r="K761" s="81">
        <v>79.922665019973039</v>
      </c>
      <c r="L761" s="81">
        <v>81.07838765096264</v>
      </c>
      <c r="M761" s="81">
        <v>10905603.768620353</v>
      </c>
      <c r="N761" s="81" t="s">
        <v>725</v>
      </c>
      <c r="O761" s="25">
        <f t="shared" si="22"/>
        <v>1.2426900584795231E-2</v>
      </c>
    </row>
    <row r="762" spans="1:15">
      <c r="A762" s="81">
        <v>379.08391827112808</v>
      </c>
      <c r="B762" s="81">
        <v>383.81524291840458</v>
      </c>
      <c r="C762" s="81">
        <v>378.93698272307597</v>
      </c>
      <c r="D762" s="81">
        <v>383.38423197745186</v>
      </c>
      <c r="E762" s="81">
        <v>7707066.9079937013</v>
      </c>
      <c r="F762" s="81" t="s">
        <v>726</v>
      </c>
      <c r="G762" s="25">
        <f t="shared" si="21"/>
        <v>-1.1216720322959728E-2</v>
      </c>
      <c r="I762" s="81">
        <v>81.64143200964989</v>
      </c>
      <c r="J762" s="81">
        <v>82.421791734847986</v>
      </c>
      <c r="K762" s="81">
        <v>81.601920124829718</v>
      </c>
      <c r="L762" s="81">
        <v>81.888381289775865</v>
      </c>
      <c r="M762" s="81">
        <v>10565927.743012153</v>
      </c>
      <c r="N762" s="81" t="s">
        <v>726</v>
      </c>
      <c r="O762" s="25">
        <f t="shared" si="22"/>
        <v>-3.0156815440288698E-3</v>
      </c>
    </row>
    <row r="763" spans="1:15">
      <c r="A763" s="81">
        <v>383.86422143442195</v>
      </c>
      <c r="B763" s="81">
        <v>389.4771593700109</v>
      </c>
      <c r="C763" s="81">
        <v>383.14423724896682</v>
      </c>
      <c r="D763" s="81">
        <v>387.88045974784512</v>
      </c>
      <c r="E763" s="81">
        <v>6848822.2444537785</v>
      </c>
      <c r="F763" s="81" t="s">
        <v>727</v>
      </c>
      <c r="G763" s="25">
        <f t="shared" ref="G763:G826" si="23">A763/D763-1</f>
        <v>-1.0354319771699982E-2</v>
      </c>
      <c r="I763" s="81">
        <v>82.23411028195224</v>
      </c>
      <c r="J763" s="81">
        <v>84.229460465370167</v>
      </c>
      <c r="K763" s="81">
        <v>82.155086512311925</v>
      </c>
      <c r="L763" s="81">
        <v>84.219582494165138</v>
      </c>
      <c r="M763" s="81">
        <v>14493673.55180808</v>
      </c>
      <c r="N763" s="81" t="s">
        <v>727</v>
      </c>
      <c r="O763" s="25">
        <f t="shared" ref="O763:O826" si="24">I763/L763-1</f>
        <v>-2.3574947220267428E-2</v>
      </c>
    </row>
    <row r="764" spans="1:15">
      <c r="A764" s="81">
        <v>387.14578200758478</v>
      </c>
      <c r="B764" s="81">
        <v>391.64200977797799</v>
      </c>
      <c r="C764" s="81">
        <v>386.16621168723771</v>
      </c>
      <c r="D764" s="81">
        <v>390.74080508325864</v>
      </c>
      <c r="E764" s="81">
        <v>7482118.2795767868</v>
      </c>
      <c r="F764" s="81" t="s">
        <v>728</v>
      </c>
      <c r="G764" s="25">
        <f t="shared" si="23"/>
        <v>-9.2005314748425659E-3</v>
      </c>
      <c r="I764" s="81">
        <v>83.646660164272859</v>
      </c>
      <c r="J764" s="81">
        <v>85.207379614669065</v>
      </c>
      <c r="K764" s="81">
        <v>83.56763639463253</v>
      </c>
      <c r="L764" s="81">
        <v>84.644335255981829</v>
      </c>
      <c r="M764" s="81">
        <v>10171136.148761449</v>
      </c>
      <c r="N764" s="81" t="s">
        <v>728</v>
      </c>
      <c r="O764" s="25">
        <f t="shared" si="24"/>
        <v>-1.1786672890652383E-2</v>
      </c>
    </row>
    <row r="765" spans="1:15">
      <c r="A765" s="81">
        <v>392.39627892464529</v>
      </c>
      <c r="B765" s="81">
        <v>394.27705393971172</v>
      </c>
      <c r="C765" s="81">
        <v>389.19063505130936</v>
      </c>
      <c r="D765" s="81">
        <v>389.50654647962131</v>
      </c>
      <c r="E765" s="81">
        <v>4302507.8572271941</v>
      </c>
      <c r="F765" s="81" t="s">
        <v>729</v>
      </c>
      <c r="G765" s="25">
        <f t="shared" si="23"/>
        <v>7.4189573221337124E-3</v>
      </c>
      <c r="I765" s="81">
        <v>85.148111787438836</v>
      </c>
      <c r="J765" s="81">
        <v>85.232074542681659</v>
      </c>
      <c r="K765" s="81">
        <v>84.268972350190339</v>
      </c>
      <c r="L765" s="81">
        <v>84.303545249407975</v>
      </c>
      <c r="M765" s="81">
        <v>10109010.031235725</v>
      </c>
      <c r="N765" s="81" t="s">
        <v>729</v>
      </c>
      <c r="O765" s="25">
        <f t="shared" si="24"/>
        <v>1.0018161579471663E-2</v>
      </c>
    </row>
    <row r="766" spans="1:15">
      <c r="A766" s="81">
        <v>392.38648322144178</v>
      </c>
      <c r="B766" s="81">
        <v>393.39544065139933</v>
      </c>
      <c r="C766" s="81">
        <v>390.20204140706772</v>
      </c>
      <c r="D766" s="81">
        <v>390.42734258074756</v>
      </c>
      <c r="E766" s="81">
        <v>5258367.7690181229</v>
      </c>
      <c r="F766" s="81" t="s">
        <v>730</v>
      </c>
      <c r="G766" s="25">
        <f t="shared" si="23"/>
        <v>5.0179391323983413E-3</v>
      </c>
      <c r="I766" s="81">
        <v>84.664091198391901</v>
      </c>
      <c r="J766" s="81">
        <v>84.876467579300254</v>
      </c>
      <c r="K766" s="81">
        <v>83.281175229686411</v>
      </c>
      <c r="L766" s="81">
        <v>83.281175229686411</v>
      </c>
      <c r="M766" s="81">
        <v>10402079.32045608</v>
      </c>
      <c r="N766" s="81" t="s">
        <v>730</v>
      </c>
      <c r="O766" s="25">
        <f t="shared" si="24"/>
        <v>1.6605384889099684E-2</v>
      </c>
    </row>
    <row r="767" spans="1:15">
      <c r="A767" s="81">
        <v>388.32126639200129</v>
      </c>
      <c r="B767" s="81">
        <v>392.76851564637718</v>
      </c>
      <c r="C767" s="81">
        <v>386.89109372429448</v>
      </c>
      <c r="D767" s="81">
        <v>391.64200977797799</v>
      </c>
      <c r="E767" s="81">
        <v>3850891.479300146</v>
      </c>
      <c r="F767" s="81" t="s">
        <v>731</v>
      </c>
      <c r="G767" s="25">
        <f t="shared" si="23"/>
        <v>-8.4790275380806079E-3</v>
      </c>
      <c r="I767" s="81">
        <v>83.320687114506555</v>
      </c>
      <c r="J767" s="81">
        <v>83.547880452222458</v>
      </c>
      <c r="K767" s="81">
        <v>82.36657387581181</v>
      </c>
      <c r="L767" s="81">
        <v>82.915690295099949</v>
      </c>
      <c r="M767" s="81">
        <v>10946674.955362933</v>
      </c>
      <c r="N767" s="81" t="s">
        <v>731</v>
      </c>
      <c r="O767" s="25">
        <f t="shared" si="24"/>
        <v>4.8844412675719262E-3</v>
      </c>
    </row>
    <row r="768" spans="1:15">
      <c r="A768" s="81">
        <v>390.37836406473019</v>
      </c>
      <c r="B768" s="81">
        <v>393.59135471546875</v>
      </c>
      <c r="C768" s="81">
        <v>388.1057609215249</v>
      </c>
      <c r="D768" s="81">
        <v>393.27789221295768</v>
      </c>
      <c r="E768" s="81">
        <v>3953701.8624937828</v>
      </c>
      <c r="F768" s="81" t="s">
        <v>732</v>
      </c>
      <c r="G768" s="25">
        <f t="shared" si="23"/>
        <v>-7.3727209325497034E-3</v>
      </c>
      <c r="I768" s="81">
        <v>83.320687114506555</v>
      </c>
      <c r="J768" s="81">
        <v>84.026962055666871</v>
      </c>
      <c r="K768" s="81">
        <v>82.490937533283258</v>
      </c>
      <c r="L768" s="81">
        <v>83.794829732348447</v>
      </c>
      <c r="M768" s="81">
        <v>9672918.4583222102</v>
      </c>
      <c r="N768" s="81" t="s">
        <v>732</v>
      </c>
      <c r="O768" s="25">
        <f t="shared" si="24"/>
        <v>-5.6583755746788533E-3</v>
      </c>
    </row>
    <row r="769" spans="1:15">
      <c r="A769" s="81">
        <v>392.73912853676677</v>
      </c>
      <c r="B769" s="81">
        <v>392.89585978802228</v>
      </c>
      <c r="C769" s="81">
        <v>389.8591917949463</v>
      </c>
      <c r="D769" s="81">
        <v>392.09261212533767</v>
      </c>
      <c r="E769" s="81">
        <v>4268998.2670342531</v>
      </c>
      <c r="F769" s="81" t="s">
        <v>733</v>
      </c>
      <c r="G769" s="25">
        <f t="shared" si="23"/>
        <v>1.6488870012740797E-3</v>
      </c>
      <c r="I769" s="81">
        <v>83.814585674758519</v>
      </c>
      <c r="J769" s="81">
        <v>84.673969169596944</v>
      </c>
      <c r="K769" s="81">
        <v>83.226846388058675</v>
      </c>
      <c r="L769" s="81">
        <v>84.328240177420568</v>
      </c>
      <c r="M769" s="81">
        <v>9616519.2252776977</v>
      </c>
      <c r="N769" s="81" t="s">
        <v>733</v>
      </c>
      <c r="O769" s="25">
        <f t="shared" si="24"/>
        <v>-6.0911327164109297E-3</v>
      </c>
    </row>
    <row r="770" spans="1:15">
      <c r="A770" s="81">
        <v>391.08365469538018</v>
      </c>
      <c r="B770" s="81">
        <v>393.47380627702711</v>
      </c>
      <c r="C770" s="81">
        <v>389.26900067693714</v>
      </c>
      <c r="D770" s="81">
        <v>389.64368632446991</v>
      </c>
      <c r="E770" s="81">
        <v>3358247.9293924696</v>
      </c>
      <c r="F770" s="81" t="s">
        <v>734</v>
      </c>
      <c r="G770" s="25">
        <f t="shared" si="23"/>
        <v>3.6956029866506146E-3</v>
      </c>
      <c r="I770" s="81">
        <v>83.952877271629063</v>
      </c>
      <c r="J770" s="81">
        <v>84.244277422177731</v>
      </c>
      <c r="K770" s="81">
        <v>82.905812323894921</v>
      </c>
      <c r="L770" s="81">
        <v>83.755317847528289</v>
      </c>
      <c r="M770" s="81">
        <v>9567358.3206830099</v>
      </c>
      <c r="N770" s="81" t="s">
        <v>734</v>
      </c>
      <c r="O770" s="25">
        <f t="shared" si="24"/>
        <v>2.3587687227266674E-3</v>
      </c>
    </row>
    <row r="771" spans="1:15">
      <c r="A771" s="81">
        <v>389.07553553866859</v>
      </c>
      <c r="B771" s="81">
        <v>389.56532069884213</v>
      </c>
      <c r="C771" s="81">
        <v>384.29523237537467</v>
      </c>
      <c r="D771" s="81">
        <v>384.77522183234476</v>
      </c>
      <c r="E771" s="81">
        <v>3021224.6517955987</v>
      </c>
      <c r="F771" s="81" t="s">
        <v>735</v>
      </c>
      <c r="G771" s="25">
        <f t="shared" si="23"/>
        <v>1.1176171079429809E-2</v>
      </c>
      <c r="I771" s="81">
        <v>83.666416106682945</v>
      </c>
      <c r="J771" s="81">
        <v>83.844219588373633</v>
      </c>
      <c r="K771" s="81">
        <v>82.115574627491753</v>
      </c>
      <c r="L771" s="81">
        <v>83.271297258481354</v>
      </c>
      <c r="M771" s="81">
        <v>13772468.776847243</v>
      </c>
      <c r="N771" s="81" t="s">
        <v>735</v>
      </c>
      <c r="O771" s="25">
        <f t="shared" si="24"/>
        <v>4.7449584816134927E-3</v>
      </c>
    </row>
    <row r="772" spans="1:15">
      <c r="A772" s="81">
        <v>386.49926559615568</v>
      </c>
      <c r="B772" s="81">
        <v>387.99311033468501</v>
      </c>
      <c r="C772" s="81">
        <v>378.51615931345486</v>
      </c>
      <c r="D772" s="81">
        <v>379.76961749537105</v>
      </c>
      <c r="E772" s="81">
        <v>4999354.2048769658</v>
      </c>
      <c r="F772" s="81" t="s">
        <v>736</v>
      </c>
      <c r="G772" s="25">
        <f t="shared" si="23"/>
        <v>1.7720343573473629E-2</v>
      </c>
      <c r="I772" s="81">
        <v>81.927893174596008</v>
      </c>
      <c r="J772" s="81">
        <v>82.510693475693344</v>
      </c>
      <c r="K772" s="81">
        <v>79.507790229361376</v>
      </c>
      <c r="L772" s="81">
        <v>80.060956616843583</v>
      </c>
      <c r="M772" s="81">
        <v>15581208.611084176</v>
      </c>
      <c r="N772" s="81" t="s">
        <v>736</v>
      </c>
      <c r="O772" s="25">
        <f t="shared" si="24"/>
        <v>2.3318938926588428E-2</v>
      </c>
    </row>
    <row r="773" spans="1:15">
      <c r="A773" s="81">
        <v>381.94426360654165</v>
      </c>
      <c r="B773" s="81">
        <v>382.80520796109471</v>
      </c>
      <c r="C773" s="81">
        <v>379.04473545831416</v>
      </c>
      <c r="D773" s="81">
        <v>381.92467220013464</v>
      </c>
      <c r="E773" s="81">
        <v>3398521.7098251195</v>
      </c>
      <c r="F773" s="81" t="s">
        <v>737</v>
      </c>
      <c r="G773" s="25">
        <f t="shared" si="23"/>
        <v>5.1296519531396356E-5</v>
      </c>
      <c r="I773" s="81">
        <v>79.823885307922652</v>
      </c>
      <c r="J773" s="81">
        <v>79.952298933588153</v>
      </c>
      <c r="K773" s="81">
        <v>77.917436865350055</v>
      </c>
      <c r="L773" s="81">
        <v>78.134752231860915</v>
      </c>
      <c r="M773" s="81">
        <v>15657639.285392566</v>
      </c>
      <c r="N773" s="81" t="s">
        <v>737</v>
      </c>
      <c r="O773" s="25">
        <f t="shared" si="24"/>
        <v>2.1618204804045638E-2</v>
      </c>
    </row>
    <row r="774" spans="1:15">
      <c r="A774" s="81">
        <v>382.26752181225618</v>
      </c>
      <c r="B774" s="81">
        <v>382.86505970766791</v>
      </c>
      <c r="C774" s="81">
        <v>378.50597178212325</v>
      </c>
      <c r="D774" s="81">
        <v>379.80880030818491</v>
      </c>
      <c r="E774" s="81">
        <v>4424123.4243033649</v>
      </c>
      <c r="F774" s="81" t="s">
        <v>738</v>
      </c>
      <c r="G774" s="25">
        <f t="shared" si="23"/>
        <v>6.4735769736672388E-3</v>
      </c>
      <c r="I774" s="81">
        <v>78.352067598371775</v>
      </c>
      <c r="J774" s="81">
        <v>78.820283433490644</v>
      </c>
      <c r="K774" s="81">
        <v>77.770156314682922</v>
      </c>
      <c r="L774" s="81">
        <v>78.638528763317922</v>
      </c>
      <c r="M774" s="81">
        <v>12158881.36409303</v>
      </c>
      <c r="N774" s="81" t="s">
        <v>738</v>
      </c>
      <c r="O774" s="25">
        <f t="shared" si="24"/>
        <v>-3.6427584474313379E-3</v>
      </c>
    </row>
    <row r="775" spans="1:15">
      <c r="A775" s="81">
        <v>379.47574639926688</v>
      </c>
      <c r="B775" s="81">
        <v>383.92299565364277</v>
      </c>
      <c r="C775" s="81">
        <v>378.14353076359481</v>
      </c>
      <c r="D775" s="81">
        <v>382.60057572117415</v>
      </c>
      <c r="E775" s="81">
        <v>7030289.5636524763</v>
      </c>
      <c r="F775" s="81" t="s">
        <v>739</v>
      </c>
      <c r="G775" s="25">
        <f t="shared" si="23"/>
        <v>-8.167340877669127E-3</v>
      </c>
      <c r="I775" s="81">
        <v>78.569382964882664</v>
      </c>
      <c r="J775" s="81">
        <v>80.890706198066894</v>
      </c>
      <c r="K775" s="81">
        <v>78.490359195242334</v>
      </c>
      <c r="L775" s="81">
        <v>80.258516040944372</v>
      </c>
      <c r="M775" s="81">
        <v>12741720.682055699</v>
      </c>
      <c r="N775" s="81" t="s">
        <v>739</v>
      </c>
      <c r="O775" s="25">
        <f t="shared" si="24"/>
        <v>-2.1046153846153715E-2</v>
      </c>
    </row>
    <row r="776" spans="1:15">
      <c r="A776" s="81">
        <v>384.64787769069966</v>
      </c>
      <c r="B776" s="81">
        <v>385.71551138284599</v>
      </c>
      <c r="C776" s="81">
        <v>382.00303782576248</v>
      </c>
      <c r="D776" s="81">
        <v>383.89360854403236</v>
      </c>
      <c r="E776" s="81">
        <v>6008913.1711485982</v>
      </c>
      <c r="F776" s="81" t="s">
        <v>740</v>
      </c>
      <c r="G776" s="25">
        <f t="shared" si="23"/>
        <v>1.964786935442886E-3</v>
      </c>
      <c r="I776" s="81">
        <v>80.67339083155602</v>
      </c>
      <c r="J776" s="81">
        <v>80.772170543606421</v>
      </c>
      <c r="K776" s="81">
        <v>79.804129365512566</v>
      </c>
      <c r="L776" s="81">
        <v>79.932542991178082</v>
      </c>
      <c r="M776" s="81">
        <v>9240838.8428417947</v>
      </c>
      <c r="N776" s="81" t="s">
        <v>740</v>
      </c>
      <c r="O776" s="25">
        <f t="shared" si="24"/>
        <v>9.2684132476519299E-3</v>
      </c>
    </row>
    <row r="777" spans="1:15">
      <c r="A777" s="81">
        <v>384.67726480031007</v>
      </c>
      <c r="B777" s="81">
        <v>388.63472889451236</v>
      </c>
      <c r="C777" s="81">
        <v>383.30586635182414</v>
      </c>
      <c r="D777" s="81">
        <v>388.51718045607072</v>
      </c>
      <c r="E777" s="81">
        <v>5886851.490107025</v>
      </c>
      <c r="F777" s="81" t="s">
        <v>741</v>
      </c>
      <c r="G777" s="25">
        <f t="shared" si="23"/>
        <v>-9.8835157077302727E-3</v>
      </c>
      <c r="I777" s="81">
        <v>80.060956616843583</v>
      </c>
      <c r="J777" s="81">
        <v>80.337539810584687</v>
      </c>
      <c r="K777" s="81">
        <v>79.428766459721075</v>
      </c>
      <c r="L777" s="81">
        <v>79.67571573984705</v>
      </c>
      <c r="M777" s="81">
        <v>11400484.741497267</v>
      </c>
      <c r="N777" s="81" t="s">
        <v>741</v>
      </c>
      <c r="O777" s="25">
        <f t="shared" si="24"/>
        <v>4.8351103396975237E-3</v>
      </c>
    </row>
    <row r="778" spans="1:15">
      <c r="A778" s="81">
        <v>385.59806090143633</v>
      </c>
      <c r="B778" s="81">
        <v>387.1947605236021</v>
      </c>
      <c r="C778" s="81">
        <v>382.35568314108741</v>
      </c>
      <c r="D778" s="81">
        <v>382.88465111407487</v>
      </c>
      <c r="E778" s="81">
        <v>4150569.8116285275</v>
      </c>
      <c r="F778" s="81" t="s">
        <v>742</v>
      </c>
      <c r="G778" s="25">
        <f t="shared" si="23"/>
        <v>7.0867551871465206E-3</v>
      </c>
      <c r="I778" s="81">
        <v>79.152183265979971</v>
      </c>
      <c r="J778" s="81">
        <v>79.932542991178082</v>
      </c>
      <c r="K778" s="81">
        <v>78.679423564106784</v>
      </c>
      <c r="L778" s="81">
        <v>79.300352834055559</v>
      </c>
      <c r="M778" s="81">
        <v>12380902.663252229</v>
      </c>
      <c r="N778" s="81" t="s">
        <v>742</v>
      </c>
      <c r="O778" s="25">
        <f t="shared" si="24"/>
        <v>-1.8684603886397477E-3</v>
      </c>
    </row>
    <row r="779" spans="1:15">
      <c r="A779" s="81">
        <v>383.36219164524408</v>
      </c>
      <c r="B779" s="81">
        <v>384.86499876025914</v>
      </c>
      <c r="C779" s="81">
        <v>380.04430580689905</v>
      </c>
      <c r="D779" s="81">
        <v>384.32828193346802</v>
      </c>
      <c r="E779" s="81">
        <v>4957425.903540004</v>
      </c>
      <c r="F779" s="81" t="s">
        <v>743</v>
      </c>
      <c r="G779" s="25">
        <f t="shared" si="23"/>
        <v>-2.5137111517365973E-3</v>
      </c>
      <c r="I779" s="81">
        <v>78.924989928264068</v>
      </c>
      <c r="J779" s="81">
        <v>79.576936027796663</v>
      </c>
      <c r="K779" s="81">
        <v>78.248348900718881</v>
      </c>
      <c r="L779" s="81">
        <v>79.142305294774943</v>
      </c>
      <c r="M779" s="81">
        <v>14843641.164412215</v>
      </c>
      <c r="N779" s="81" t="s">
        <v>743</v>
      </c>
      <c r="O779" s="25">
        <f t="shared" si="24"/>
        <v>-2.745881178232823E-3</v>
      </c>
    </row>
    <row r="780" spans="1:15">
      <c r="A780" s="81">
        <v>383.27436525540548</v>
      </c>
      <c r="B780" s="81">
        <v>386.78742084894725</v>
      </c>
      <c r="C780" s="81">
        <v>382.49368623461845</v>
      </c>
      <c r="D780" s="81">
        <v>386.16287763231765</v>
      </c>
      <c r="E780" s="81">
        <v>5876662.5947943795</v>
      </c>
      <c r="F780" s="81" t="s">
        <v>744</v>
      </c>
      <c r="G780" s="25">
        <f t="shared" si="23"/>
        <v>-7.4800363893663402E-3</v>
      </c>
      <c r="I780" s="81">
        <v>79.073159496339656</v>
      </c>
      <c r="J780" s="81">
        <v>79.749800523884844</v>
      </c>
      <c r="K780" s="81">
        <v>78.816332245008638</v>
      </c>
      <c r="L780" s="81">
        <v>79.517668200566419</v>
      </c>
      <c r="M780" s="81">
        <v>15051534.056320257</v>
      </c>
      <c r="N780" s="81" t="s">
        <v>744</v>
      </c>
      <c r="O780" s="25">
        <f t="shared" si="24"/>
        <v>-5.5900621118011307E-3</v>
      </c>
    </row>
    <row r="781" spans="1:15">
      <c r="A781" s="81">
        <v>388.98308059491086</v>
      </c>
      <c r="B781" s="81">
        <v>389.01157537916959</v>
      </c>
      <c r="C781" s="81">
        <v>385.82133056072325</v>
      </c>
      <c r="D781" s="81">
        <v>386.20191158335695</v>
      </c>
      <c r="E781" s="81">
        <v>3307787.1074293554</v>
      </c>
      <c r="F781" s="81" t="s">
        <v>745</v>
      </c>
      <c r="G781" s="25">
        <f t="shared" si="23"/>
        <v>7.2013341419041588E-3</v>
      </c>
      <c r="I781" s="81">
        <v>80.02144473202344</v>
      </c>
      <c r="J781" s="81">
        <v>80.772170543606421</v>
      </c>
      <c r="K781" s="81">
        <v>79.580689656854574</v>
      </c>
      <c r="L781" s="81">
        <v>80.56473314830059</v>
      </c>
      <c r="M781" s="81">
        <v>11170754.369450595</v>
      </c>
      <c r="N781" s="81" t="s">
        <v>745</v>
      </c>
      <c r="O781" s="25">
        <f t="shared" si="24"/>
        <v>-6.7435017165276001E-3</v>
      </c>
    </row>
    <row r="782" spans="1:15">
      <c r="A782" s="81">
        <v>387.37293011453755</v>
      </c>
      <c r="B782" s="81">
        <v>390.65763709449914</v>
      </c>
      <c r="C782" s="81">
        <v>386.9777113602641</v>
      </c>
      <c r="D782" s="81">
        <v>389.16361261846788</v>
      </c>
      <c r="E782" s="81">
        <v>7384881.9380181106</v>
      </c>
      <c r="F782" s="81" t="s">
        <v>746</v>
      </c>
      <c r="G782" s="25">
        <f t="shared" si="23"/>
        <v>-4.6013616018255599E-3</v>
      </c>
      <c r="I782" s="81">
        <v>80.258516040944372</v>
      </c>
      <c r="J782" s="81">
        <v>82.332889994002628</v>
      </c>
      <c r="K782" s="81">
        <v>80.209126184919185</v>
      </c>
      <c r="L782" s="81">
        <v>81.898259260980893</v>
      </c>
      <c r="M782" s="81">
        <v>11637308.67542477</v>
      </c>
      <c r="N782" s="81" t="s">
        <v>746</v>
      </c>
      <c r="O782" s="25">
        <f t="shared" si="24"/>
        <v>-2.0021710288264383E-2</v>
      </c>
    </row>
    <row r="783" spans="1:15">
      <c r="A783" s="81">
        <v>388.30974493948202</v>
      </c>
      <c r="B783" s="81">
        <v>392.34000038429519</v>
      </c>
      <c r="C783" s="81">
        <v>388.08529972100575</v>
      </c>
      <c r="D783" s="81">
        <v>392.09603819029928</v>
      </c>
      <c r="E783" s="81">
        <v>4747804.284868842</v>
      </c>
      <c r="F783" s="81" t="s">
        <v>747</v>
      </c>
      <c r="G783" s="25">
        <f t="shared" si="23"/>
        <v>-9.656545545047357E-3</v>
      </c>
      <c r="I783" s="81">
        <v>81.720455779290191</v>
      </c>
      <c r="J783" s="81">
        <v>82.648985072563889</v>
      </c>
      <c r="K783" s="81">
        <v>80.920340111682009</v>
      </c>
      <c r="L783" s="81">
        <v>81.058631708552554</v>
      </c>
      <c r="M783" s="81">
        <v>14555645.791582145</v>
      </c>
      <c r="N783" s="81" t="s">
        <v>747</v>
      </c>
      <c r="O783" s="25">
        <f t="shared" si="24"/>
        <v>8.1647574945162837E-3</v>
      </c>
    </row>
    <row r="784" spans="1:15">
      <c r="A784" s="81">
        <v>394.77962232425477</v>
      </c>
      <c r="B784" s="81">
        <v>399.94186234920915</v>
      </c>
      <c r="C784" s="81">
        <v>394.56493559353828</v>
      </c>
      <c r="D784" s="81">
        <v>399.57103981433528</v>
      </c>
      <c r="E784" s="81">
        <v>4108643.7762427176</v>
      </c>
      <c r="F784" s="81" t="s">
        <v>748</v>
      </c>
      <c r="G784" s="25">
        <f t="shared" si="23"/>
        <v>-1.1991403311678694E-2</v>
      </c>
      <c r="I784" s="81">
        <v>81.552530268804531</v>
      </c>
      <c r="J784" s="81">
        <v>82.18472042592704</v>
      </c>
      <c r="K784" s="81">
        <v>80.643756917940905</v>
      </c>
      <c r="L784" s="81">
        <v>81.028997794937439</v>
      </c>
      <c r="M784" s="81">
        <v>12872245.460194578</v>
      </c>
      <c r="N784" s="81" t="s">
        <v>748</v>
      </c>
      <c r="O784" s="25">
        <f t="shared" si="24"/>
        <v>6.4610508350604334E-3</v>
      </c>
    </row>
    <row r="785" spans="1:15">
      <c r="A785" s="81">
        <v>398.50736464851298</v>
      </c>
      <c r="B785" s="81">
        <v>398.93185886606591</v>
      </c>
      <c r="C785" s="81">
        <v>395.91160690439597</v>
      </c>
      <c r="D785" s="81">
        <v>398.36098733211543</v>
      </c>
      <c r="E785" s="81">
        <v>3719606.0386923924</v>
      </c>
      <c r="F785" s="81" t="s">
        <v>749</v>
      </c>
      <c r="G785" s="25">
        <f t="shared" si="23"/>
        <v>3.6744892459950051E-4</v>
      </c>
      <c r="I785" s="81">
        <v>80.940096054092081</v>
      </c>
      <c r="J785" s="81">
        <v>83.755317847528289</v>
      </c>
      <c r="K785" s="81">
        <v>80.712902716376178</v>
      </c>
      <c r="L785" s="81">
        <v>82.890995367087356</v>
      </c>
      <c r="M785" s="81">
        <v>21744257.554671146</v>
      </c>
      <c r="N785" s="81" t="s">
        <v>749</v>
      </c>
      <c r="O785" s="25">
        <f t="shared" si="24"/>
        <v>-2.3535720669725424E-2</v>
      </c>
    </row>
    <row r="786" spans="1:15">
      <c r="A786" s="81">
        <v>399.30756064481966</v>
      </c>
      <c r="B786" s="81">
        <v>400.42978673720103</v>
      </c>
      <c r="C786" s="81">
        <v>398.30243640555636</v>
      </c>
      <c r="D786" s="81">
        <v>398.71229289146953</v>
      </c>
      <c r="E786" s="81">
        <v>3089178.4405435175</v>
      </c>
      <c r="F786" s="81" t="s">
        <v>750</v>
      </c>
      <c r="G786" s="25">
        <f t="shared" si="23"/>
        <v>1.4929756718391474E-3</v>
      </c>
      <c r="I786" s="81">
        <v>83.982511185244192</v>
      </c>
      <c r="J786" s="81">
        <v>84.871528593697732</v>
      </c>
      <c r="K786" s="81">
        <v>83.942999300424034</v>
      </c>
      <c r="L786" s="81">
        <v>84.199826551755052</v>
      </c>
      <c r="M786" s="81">
        <v>12041119.328159319</v>
      </c>
      <c r="N786" s="81" t="s">
        <v>750</v>
      </c>
      <c r="O786" s="25">
        <f t="shared" si="24"/>
        <v>-2.5809479117784306E-3</v>
      </c>
    </row>
    <row r="787" spans="1:15">
      <c r="A787" s="81">
        <v>398.86842869562696</v>
      </c>
      <c r="B787" s="81">
        <v>402.70351438524341</v>
      </c>
      <c r="C787" s="81">
        <v>398.61470801387117</v>
      </c>
      <c r="D787" s="81">
        <v>402.38148428916867</v>
      </c>
      <c r="E787" s="81">
        <v>4103125.5031941393</v>
      </c>
      <c r="F787" s="81" t="s">
        <v>751</v>
      </c>
      <c r="G787" s="25">
        <f t="shared" si="23"/>
        <v>-8.7306591647667853E-3</v>
      </c>
      <c r="I787" s="81">
        <v>84.535677572726399</v>
      </c>
      <c r="J787" s="81">
        <v>85.138233816233793</v>
      </c>
      <c r="K787" s="81">
        <v>83.577514365837587</v>
      </c>
      <c r="L787" s="81">
        <v>84.18007060934498</v>
      </c>
      <c r="M787" s="81">
        <v>21898464.321261324</v>
      </c>
      <c r="N787" s="81" t="s">
        <v>751</v>
      </c>
      <c r="O787" s="25">
        <f t="shared" si="24"/>
        <v>4.2243604787608469E-3</v>
      </c>
    </row>
    <row r="788" spans="1:15">
      <c r="A788" s="81">
        <v>403.90380837970343</v>
      </c>
      <c r="B788" s="81">
        <v>404.49907613305362</v>
      </c>
      <c r="C788" s="81">
        <v>401.48370341526362</v>
      </c>
      <c r="D788" s="81">
        <v>402.70351438524341</v>
      </c>
      <c r="E788" s="81">
        <v>3751504.4237353187</v>
      </c>
      <c r="F788" s="81" t="s">
        <v>752</v>
      </c>
      <c r="G788" s="25">
        <f t="shared" si="23"/>
        <v>2.9805898175294665E-3</v>
      </c>
      <c r="I788" s="81">
        <v>83.449100740172071</v>
      </c>
      <c r="J788" s="81">
        <v>83.705927991503088</v>
      </c>
      <c r="K788" s="81">
        <v>82.026672886646423</v>
      </c>
      <c r="L788" s="81">
        <v>82.974958122330179</v>
      </c>
      <c r="M788" s="81">
        <v>22648292.3827383</v>
      </c>
      <c r="N788" s="81" t="s">
        <v>752</v>
      </c>
      <c r="O788" s="25">
        <f t="shared" si="24"/>
        <v>5.7142857142857828E-3</v>
      </c>
    </row>
    <row r="789" spans="1:15">
      <c r="A789" s="81">
        <v>400.43954522496091</v>
      </c>
      <c r="B789" s="81">
        <v>401.46418643974391</v>
      </c>
      <c r="C789" s="81">
        <v>399.11239088962293</v>
      </c>
      <c r="D789" s="81">
        <v>400.12727361664605</v>
      </c>
      <c r="E789" s="81">
        <v>2592356.5846046028</v>
      </c>
      <c r="F789" s="81" t="s">
        <v>753</v>
      </c>
      <c r="G789" s="25">
        <f t="shared" si="23"/>
        <v>7.8043070019284677E-4</v>
      </c>
      <c r="I789" s="81">
        <v>82.461303619668143</v>
      </c>
      <c r="J789" s="81">
        <v>83.019408992752858</v>
      </c>
      <c r="K789" s="81">
        <v>82.105696656286725</v>
      </c>
      <c r="L789" s="81">
        <v>82.332889994002628</v>
      </c>
      <c r="M789" s="81">
        <v>9893420.2146837618</v>
      </c>
      <c r="N789" s="81" t="s">
        <v>753</v>
      </c>
      <c r="O789" s="25">
        <f t="shared" si="24"/>
        <v>1.5596880623875986E-3</v>
      </c>
    </row>
    <row r="790" spans="1:15">
      <c r="A790" s="81">
        <v>399.97113781248868</v>
      </c>
      <c r="B790" s="81">
        <v>402.19607302173176</v>
      </c>
      <c r="C790" s="81">
        <v>399.40514552241808</v>
      </c>
      <c r="D790" s="81">
        <v>400.78109229655524</v>
      </c>
      <c r="E790" s="81">
        <v>7783271.5344061935</v>
      </c>
      <c r="F790" s="81" t="s">
        <v>754</v>
      </c>
      <c r="G790" s="25">
        <f t="shared" si="23"/>
        <v>-2.020939858777715E-3</v>
      </c>
      <c r="I790" s="81">
        <v>82.658863043768932</v>
      </c>
      <c r="J790" s="81">
        <v>83.636782193067816</v>
      </c>
      <c r="K790" s="81">
        <v>81.56240824000956</v>
      </c>
      <c r="L790" s="81">
        <v>82.016794915441366</v>
      </c>
      <c r="M790" s="81">
        <v>16799611.636379503</v>
      </c>
      <c r="N790" s="81" t="s">
        <v>754</v>
      </c>
      <c r="O790" s="25">
        <f t="shared" si="24"/>
        <v>7.8284957244370013E-3</v>
      </c>
    </row>
    <row r="791" spans="1:15">
      <c r="A791" s="81">
        <v>402.12776360741293</v>
      </c>
      <c r="B791" s="81">
        <v>402.42051824020808</v>
      </c>
      <c r="C791" s="81">
        <v>400.3809942984019</v>
      </c>
      <c r="D791" s="81">
        <v>401.93259385221614</v>
      </c>
      <c r="E791" s="81">
        <v>3429386.8910437454</v>
      </c>
      <c r="F791" s="81" t="s">
        <v>755</v>
      </c>
      <c r="G791" s="25">
        <f t="shared" si="23"/>
        <v>4.8557832378359755E-4</v>
      </c>
      <c r="I791" s="81">
        <v>81.51301838398436</v>
      </c>
      <c r="J791" s="81">
        <v>82.826788554254591</v>
      </c>
      <c r="K791" s="81">
        <v>80.179492271304056</v>
      </c>
      <c r="L791" s="81">
        <v>80.940096054092081</v>
      </c>
      <c r="M791" s="81">
        <v>26907408.86796727</v>
      </c>
      <c r="N791" s="81" t="s">
        <v>755</v>
      </c>
      <c r="O791" s="25">
        <f t="shared" si="24"/>
        <v>7.0783500122040266E-3</v>
      </c>
    </row>
    <row r="792" spans="1:15">
      <c r="A792" s="81">
        <v>399.50273040001645</v>
      </c>
      <c r="B792" s="81">
        <v>400.91771112519297</v>
      </c>
      <c r="C792" s="81">
        <v>398.62446650163099</v>
      </c>
      <c r="D792" s="81">
        <v>398.94649659770567</v>
      </c>
      <c r="E792" s="81">
        <v>4227317.901629867</v>
      </c>
      <c r="F792" s="81" t="s">
        <v>756</v>
      </c>
      <c r="G792" s="25">
        <f t="shared" si="23"/>
        <v>1.3942566410645174E-3</v>
      </c>
      <c r="I792" s="81">
        <v>80.584489090710676</v>
      </c>
      <c r="J792" s="81">
        <v>80.67339083155602</v>
      </c>
      <c r="K792" s="81">
        <v>79.191695150800129</v>
      </c>
      <c r="L792" s="81">
        <v>79.557180085386591</v>
      </c>
      <c r="M792" s="81">
        <v>16434165.136782661</v>
      </c>
      <c r="N792" s="81" t="s">
        <v>756</v>
      </c>
      <c r="O792" s="25">
        <f t="shared" si="24"/>
        <v>1.2912838341196942E-2</v>
      </c>
    </row>
    <row r="793" spans="1:15">
      <c r="A793" s="81">
        <v>398.9562550854655</v>
      </c>
      <c r="B793" s="81">
        <v>399.5417643510558</v>
      </c>
      <c r="C793" s="81">
        <v>397.02895375289745</v>
      </c>
      <c r="D793" s="81">
        <v>397.33634611733237</v>
      </c>
      <c r="E793" s="81">
        <v>2301339.1575307297</v>
      </c>
      <c r="F793" s="81" t="s">
        <v>757</v>
      </c>
      <c r="G793" s="25">
        <f t="shared" si="23"/>
        <v>4.0769211877103029E-3</v>
      </c>
      <c r="I793" s="81">
        <v>79.586813999001691</v>
      </c>
      <c r="J793" s="81">
        <v>79.863397192742795</v>
      </c>
      <c r="K793" s="81">
        <v>78.776820360188481</v>
      </c>
      <c r="L793" s="81">
        <v>79.83376327912768</v>
      </c>
      <c r="M793" s="81">
        <v>14950410.052284854</v>
      </c>
      <c r="N793" s="81" t="s">
        <v>757</v>
      </c>
      <c r="O793" s="25">
        <f t="shared" si="24"/>
        <v>-3.0932937391735527E-3</v>
      </c>
    </row>
    <row r="794" spans="1:15">
      <c r="A794" s="81">
        <v>400.14679059216576</v>
      </c>
      <c r="B794" s="81">
        <v>402.17655604621211</v>
      </c>
      <c r="C794" s="81">
        <v>397.98040630948168</v>
      </c>
      <c r="D794" s="81">
        <v>402.14728058293264</v>
      </c>
      <c r="E794" s="81">
        <v>3836729.7189314449</v>
      </c>
      <c r="F794" s="81" t="s">
        <v>758</v>
      </c>
      <c r="G794" s="25">
        <f t="shared" si="23"/>
        <v>-4.9745207473915753E-3</v>
      </c>
      <c r="I794" s="81">
        <v>79.991810818408311</v>
      </c>
      <c r="J794" s="81">
        <v>81.088265622167683</v>
      </c>
      <c r="K794" s="81">
        <v>79.547302114181548</v>
      </c>
      <c r="L794" s="81">
        <v>79.804129365512566</v>
      </c>
      <c r="M794" s="81">
        <v>15710254.340570582</v>
      </c>
      <c r="N794" s="81" t="s">
        <v>758</v>
      </c>
      <c r="O794" s="25">
        <f t="shared" si="24"/>
        <v>2.3517762099269923E-3</v>
      </c>
    </row>
    <row r="795" spans="1:15">
      <c r="A795" s="81">
        <v>402.92795960371961</v>
      </c>
      <c r="B795" s="81">
        <v>404.46004218201426</v>
      </c>
      <c r="C795" s="81">
        <v>402.80109926284172</v>
      </c>
      <c r="D795" s="81">
        <v>404.19656301249859</v>
      </c>
      <c r="E795" s="81">
        <v>4536242.8164519137</v>
      </c>
      <c r="F795" s="81" t="s">
        <v>759</v>
      </c>
      <c r="G795" s="25">
        <f t="shared" si="23"/>
        <v>-3.1385803959439462E-3</v>
      </c>
      <c r="I795" s="81">
        <v>80.199248213714142</v>
      </c>
      <c r="J795" s="81">
        <v>81.379665772716336</v>
      </c>
      <c r="K795" s="81">
        <v>80.184431256906578</v>
      </c>
      <c r="L795" s="81">
        <v>80.426441551430045</v>
      </c>
      <c r="M795" s="81">
        <v>12899088.016676696</v>
      </c>
      <c r="N795" s="81" t="s">
        <v>759</v>
      </c>
      <c r="O795" s="25">
        <f t="shared" si="24"/>
        <v>-2.8248587570621764E-3</v>
      </c>
    </row>
    <row r="796" spans="1:15">
      <c r="A796" s="81">
        <v>404.69424588825035</v>
      </c>
      <c r="B796" s="81">
        <v>406.81183773213525</v>
      </c>
      <c r="C796" s="81">
        <v>403.23047272427465</v>
      </c>
      <c r="D796" s="81">
        <v>406.40198124622202</v>
      </c>
      <c r="E796" s="81">
        <v>3676769.4834506679</v>
      </c>
      <c r="F796" s="81" t="s">
        <v>760</v>
      </c>
      <c r="G796" s="25">
        <f t="shared" si="23"/>
        <v>-4.2020842337798792E-3</v>
      </c>
      <c r="I796" s="81">
        <v>80.643756917940905</v>
      </c>
      <c r="J796" s="81">
        <v>81.226557219038227</v>
      </c>
      <c r="K796" s="81">
        <v>79.547302114181548</v>
      </c>
      <c r="L796" s="81">
        <v>81.103082578975233</v>
      </c>
      <c r="M796" s="81">
        <v>28044107.868898939</v>
      </c>
      <c r="N796" s="81" t="s">
        <v>760</v>
      </c>
      <c r="O796" s="25">
        <f t="shared" si="24"/>
        <v>-5.663479690640072E-3</v>
      </c>
    </row>
    <row r="797" spans="1:15">
      <c r="A797" s="81">
        <v>403.8354989653846</v>
      </c>
      <c r="B797" s="81">
        <v>406.07019266238757</v>
      </c>
      <c r="C797" s="81">
        <v>403.6696046734674</v>
      </c>
      <c r="D797" s="81">
        <v>404.95967675531801</v>
      </c>
      <c r="E797" s="81">
        <v>4868716.4619436599</v>
      </c>
      <c r="F797" s="81" t="s">
        <v>761</v>
      </c>
      <c r="G797" s="25">
        <f t="shared" si="23"/>
        <v>-2.7760240203190678E-3</v>
      </c>
      <c r="I797" s="81">
        <v>82.658863043768932</v>
      </c>
      <c r="J797" s="81">
        <v>83.577514365837587</v>
      </c>
      <c r="K797" s="81">
        <v>82.619351158948774</v>
      </c>
      <c r="L797" s="81">
        <v>83.429344797761985</v>
      </c>
      <c r="M797" s="81">
        <v>10577030.225265194</v>
      </c>
      <c r="N797" s="81" t="s">
        <v>761</v>
      </c>
      <c r="O797" s="25">
        <f t="shared" si="24"/>
        <v>-9.2351408950981373E-3</v>
      </c>
    </row>
    <row r="798" spans="1:15">
      <c r="A798" s="81">
        <v>404.35269881665607</v>
      </c>
      <c r="B798" s="81">
        <v>405.0057368175444</v>
      </c>
      <c r="C798" s="81">
        <v>402.44003521572773</v>
      </c>
      <c r="D798" s="81">
        <v>403.05481994459751</v>
      </c>
      <c r="E798" s="81">
        <v>3078874.5899393465</v>
      </c>
      <c r="F798" s="81" t="s">
        <v>762</v>
      </c>
      <c r="G798" s="25">
        <f t="shared" si="23"/>
        <v>3.2201050771132333E-3</v>
      </c>
      <c r="I798" s="81">
        <v>83.251541316071282</v>
      </c>
      <c r="J798" s="81">
        <v>83.646660164272859</v>
      </c>
      <c r="K798" s="81">
        <v>82.807032611844519</v>
      </c>
      <c r="L798" s="81">
        <v>83.370076970531755</v>
      </c>
      <c r="M798" s="81">
        <v>11962621.427739805</v>
      </c>
      <c r="N798" s="81" t="s">
        <v>762</v>
      </c>
      <c r="O798" s="25">
        <f t="shared" si="24"/>
        <v>-1.4218009478673688E-3</v>
      </c>
    </row>
    <row r="799" spans="1:15">
      <c r="A799" s="81">
        <v>402.67423892196388</v>
      </c>
      <c r="B799" s="81">
        <v>403.00602750579839</v>
      </c>
      <c r="C799" s="81">
        <v>396.75083685174206</v>
      </c>
      <c r="D799" s="81">
        <v>396.95576509469862</v>
      </c>
      <c r="E799" s="81">
        <v>3568856.2466954826</v>
      </c>
      <c r="F799" s="81" t="s">
        <v>763</v>
      </c>
      <c r="G799" s="25">
        <f t="shared" si="23"/>
        <v>1.4405821328482338E-2</v>
      </c>
      <c r="I799" s="81">
        <v>83.370076970531755</v>
      </c>
      <c r="J799" s="81">
        <v>83.513307553004822</v>
      </c>
      <c r="K799" s="81">
        <v>82.708252899794132</v>
      </c>
      <c r="L799" s="81">
        <v>82.767520727024362</v>
      </c>
      <c r="M799" s="81">
        <v>11349161.449550297</v>
      </c>
      <c r="N799" s="81" t="s">
        <v>763</v>
      </c>
      <c r="O799" s="25">
        <f t="shared" si="24"/>
        <v>7.280105024465966E-3</v>
      </c>
    </row>
    <row r="800" spans="1:15">
      <c r="A800" s="81">
        <v>397.03383299677739</v>
      </c>
      <c r="B800" s="81">
        <v>397.59982528684799</v>
      </c>
      <c r="C800" s="81">
        <v>395.3163391510459</v>
      </c>
      <c r="D800" s="81">
        <v>396.54590860878545</v>
      </c>
      <c r="E800" s="81">
        <v>3316816.1703506233</v>
      </c>
      <c r="F800" s="81" t="s">
        <v>764</v>
      </c>
      <c r="G800" s="25">
        <f t="shared" si="23"/>
        <v>1.2304360665420511E-3</v>
      </c>
      <c r="I800" s="81">
        <v>83.13300566161081</v>
      </c>
      <c r="J800" s="81">
        <v>83.651599149875381</v>
      </c>
      <c r="K800" s="81">
        <v>82.510693475693344</v>
      </c>
      <c r="L800" s="81">
        <v>82.807032611844519</v>
      </c>
      <c r="M800" s="81">
        <v>12316735.640809743</v>
      </c>
      <c r="N800" s="81" t="s">
        <v>764</v>
      </c>
      <c r="O800" s="25">
        <f t="shared" si="24"/>
        <v>3.9365382321363551E-3</v>
      </c>
    </row>
    <row r="801" spans="1:15">
      <c r="A801" s="81">
        <v>394.43807525266038</v>
      </c>
      <c r="B801" s="81">
        <v>395.99943329423456</v>
      </c>
      <c r="C801" s="81">
        <v>390.05651424849304</v>
      </c>
      <c r="D801" s="81">
        <v>393.34512462355855</v>
      </c>
      <c r="E801" s="81">
        <v>4527171.7388240546</v>
      </c>
      <c r="F801" s="81" t="s">
        <v>765</v>
      </c>
      <c r="G801" s="25">
        <f t="shared" si="23"/>
        <v>2.7786047434750216E-3</v>
      </c>
      <c r="I801" s="81">
        <v>82.34276796520767</v>
      </c>
      <c r="J801" s="81">
        <v>82.629229130153817</v>
      </c>
      <c r="K801" s="81">
        <v>81.45375055675413</v>
      </c>
      <c r="L801" s="81">
        <v>82.056306800261524</v>
      </c>
      <c r="M801" s="81">
        <v>16249168.646909544</v>
      </c>
      <c r="N801" s="81" t="s">
        <v>765</v>
      </c>
      <c r="O801" s="25">
        <f t="shared" si="24"/>
        <v>3.4910316600458291E-3</v>
      </c>
    </row>
    <row r="802" spans="1:15">
      <c r="A802" s="81">
        <v>391.84231750854349</v>
      </c>
      <c r="B802" s="81">
        <v>399.1992414306855</v>
      </c>
      <c r="C802" s="81">
        <v>391.70569867990571</v>
      </c>
      <c r="D802" s="81">
        <v>398.73180986698924</v>
      </c>
      <c r="E802" s="81">
        <v>3544392.4152212543</v>
      </c>
      <c r="F802" s="81" t="s">
        <v>766</v>
      </c>
      <c r="G802" s="25">
        <f t="shared" si="23"/>
        <v>-1.7278511992168344E-2</v>
      </c>
      <c r="I802" s="81">
        <v>81.463628527959173</v>
      </c>
      <c r="J802" s="81">
        <v>84.901162507312847</v>
      </c>
      <c r="K802" s="81">
        <v>81.45375055675413</v>
      </c>
      <c r="L802" s="81">
        <v>84.466531774291127</v>
      </c>
      <c r="M802" s="81">
        <v>27871129.028959792</v>
      </c>
      <c r="N802" s="81" t="s">
        <v>766</v>
      </c>
      <c r="O802" s="25">
        <f t="shared" si="24"/>
        <v>-3.5551397497368797E-2</v>
      </c>
    </row>
    <row r="803" spans="1:15">
      <c r="A803" s="81">
        <v>397.12165938661593</v>
      </c>
      <c r="B803" s="81">
        <v>397.82427050532431</v>
      </c>
      <c r="C803" s="81">
        <v>393.72570564619224</v>
      </c>
      <c r="D803" s="81">
        <v>393.81353203603078</v>
      </c>
      <c r="E803" s="81">
        <v>3330397.1680688797</v>
      </c>
      <c r="F803" s="81" t="s">
        <v>767</v>
      </c>
      <c r="G803" s="25">
        <f t="shared" si="23"/>
        <v>8.4002378828427204E-3</v>
      </c>
      <c r="I803" s="81">
        <v>84.782626852852374</v>
      </c>
      <c r="J803" s="81">
        <v>85.27158642750183</v>
      </c>
      <c r="K803" s="81">
        <v>84.590006414354121</v>
      </c>
      <c r="L803" s="81">
        <v>84.762870910442302</v>
      </c>
      <c r="M803" s="81">
        <v>7669543.5153071526</v>
      </c>
      <c r="N803" s="81" t="s">
        <v>767</v>
      </c>
      <c r="O803" s="25">
        <f t="shared" si="24"/>
        <v>2.330730684068083E-4</v>
      </c>
    </row>
    <row r="804" spans="1:15">
      <c r="A804" s="81">
        <v>392.88647569884614</v>
      </c>
      <c r="B804" s="81">
        <v>395.60909378384099</v>
      </c>
      <c r="C804" s="81">
        <v>392.34975887205502</v>
      </c>
      <c r="D804" s="81">
        <v>395.56030134504181</v>
      </c>
      <c r="E804" s="81">
        <v>2713587.4586001462</v>
      </c>
      <c r="F804" s="81" t="s">
        <v>768</v>
      </c>
      <c r="G804" s="25">
        <f t="shared" si="23"/>
        <v>-6.7595904773651849E-3</v>
      </c>
      <c r="I804" s="81">
        <v>84.743114968032231</v>
      </c>
      <c r="J804" s="81">
        <v>85.040540681015955</v>
      </c>
      <c r="K804" s="81">
        <v>84.328240177420568</v>
      </c>
      <c r="L804" s="81">
        <v>84.664091198391901</v>
      </c>
      <c r="M804" s="81">
        <v>9967484.0062067378</v>
      </c>
      <c r="N804" s="81" t="s">
        <v>768</v>
      </c>
      <c r="O804" s="25">
        <f t="shared" si="24"/>
        <v>9.3338000233367246E-4</v>
      </c>
    </row>
    <row r="805" spans="1:15">
      <c r="A805" s="81">
        <v>393.98918481570786</v>
      </c>
      <c r="B805" s="81">
        <v>394.62348652009734</v>
      </c>
      <c r="C805" s="81">
        <v>390.32975190576855</v>
      </c>
      <c r="D805" s="81">
        <v>392.42782677413373</v>
      </c>
      <c r="E805" s="81">
        <v>3373918.2556033526</v>
      </c>
      <c r="F805" s="81" t="s">
        <v>769</v>
      </c>
      <c r="G805" s="25">
        <f t="shared" si="23"/>
        <v>3.9787138807381162E-3</v>
      </c>
      <c r="I805" s="81">
        <v>84.832016708877575</v>
      </c>
      <c r="J805" s="81">
        <v>85.197501643464022</v>
      </c>
      <c r="K805" s="81">
        <v>84.367159383968428</v>
      </c>
      <c r="L805" s="81">
        <v>84.762870910442302</v>
      </c>
      <c r="M805" s="81">
        <v>11353531.780168185</v>
      </c>
      <c r="N805" s="81" t="s">
        <v>769</v>
      </c>
      <c r="O805" s="25">
        <f t="shared" si="24"/>
        <v>8.1575573942438417E-4</v>
      </c>
    </row>
    <row r="806" spans="1:15">
      <c r="A806" s="81">
        <v>391.40318555935073</v>
      </c>
      <c r="B806" s="81">
        <v>392.31072492101566</v>
      </c>
      <c r="C806" s="81">
        <v>388.24143552516318</v>
      </c>
      <c r="D806" s="81">
        <v>388.55370713347799</v>
      </c>
      <c r="E806" s="81">
        <v>4260564.8562794654</v>
      </c>
      <c r="F806" s="81" t="s">
        <v>770</v>
      </c>
      <c r="G806" s="25">
        <f t="shared" si="23"/>
        <v>7.3335509958056821E-3</v>
      </c>
      <c r="I806" s="81">
        <v>84.911040478517876</v>
      </c>
      <c r="J806" s="81">
        <v>85.661766290100871</v>
      </c>
      <c r="K806" s="81">
        <v>84.328240177420568</v>
      </c>
      <c r="L806" s="81">
        <v>84.328240177420568</v>
      </c>
      <c r="M806" s="81">
        <v>12517133.066446105</v>
      </c>
      <c r="N806" s="81" t="s">
        <v>770</v>
      </c>
      <c r="O806" s="25">
        <f t="shared" si="24"/>
        <v>6.9110928897737622E-3</v>
      </c>
    </row>
    <row r="807" spans="1:15">
      <c r="A807" s="81">
        <v>391.04212151223675</v>
      </c>
      <c r="B807" s="81">
        <v>395.78474656351807</v>
      </c>
      <c r="C807" s="81">
        <v>390.70057444064236</v>
      </c>
      <c r="D807" s="81">
        <v>395.5407843695221</v>
      </c>
      <c r="E807" s="81">
        <v>7278283.4541545361</v>
      </c>
      <c r="F807" s="81" t="s">
        <v>771</v>
      </c>
      <c r="G807" s="25">
        <f t="shared" si="23"/>
        <v>-1.137344879480906E-2</v>
      </c>
      <c r="I807" s="81">
        <v>84.871528593697732</v>
      </c>
      <c r="J807" s="81">
        <v>85.898837599021817</v>
      </c>
      <c r="K807" s="81">
        <v>84.752992939237259</v>
      </c>
      <c r="L807" s="81">
        <v>85.85932571420166</v>
      </c>
      <c r="M807" s="81">
        <v>14381510.843798283</v>
      </c>
      <c r="N807" s="81" t="s">
        <v>771</v>
      </c>
      <c r="O807" s="25">
        <f t="shared" si="24"/>
        <v>-1.1504832029452294E-2</v>
      </c>
    </row>
    <row r="808" spans="1:15">
      <c r="A808" s="81">
        <v>394.23314700970383</v>
      </c>
      <c r="B808" s="81">
        <v>398.25364396675718</v>
      </c>
      <c r="C808" s="81">
        <v>394.11604515658576</v>
      </c>
      <c r="D808" s="81">
        <v>396.77035382726172</v>
      </c>
      <c r="E808" s="81">
        <v>3436652.3610371388</v>
      </c>
      <c r="F808" s="81" t="s">
        <v>772</v>
      </c>
      <c r="G808" s="25">
        <f t="shared" si="23"/>
        <v>-6.3946481713764713E-3</v>
      </c>
      <c r="I808" s="81">
        <v>85.296281355514409</v>
      </c>
      <c r="J808" s="81">
        <v>85.997617311072219</v>
      </c>
      <c r="K808" s="81">
        <v>85.029576132978363</v>
      </c>
      <c r="L808" s="81">
        <v>85.483962808410169</v>
      </c>
      <c r="M808" s="81">
        <v>12333217.77024913</v>
      </c>
      <c r="N808" s="81" t="s">
        <v>772</v>
      </c>
      <c r="O808" s="25">
        <f t="shared" si="24"/>
        <v>-2.1955165241508423E-3</v>
      </c>
    </row>
    <row r="809" spans="1:15">
      <c r="A809" s="81">
        <v>397.17045182541511</v>
      </c>
      <c r="B809" s="81">
        <v>401.76913918223886</v>
      </c>
      <c r="C809" s="81">
        <v>396.59470104758469</v>
      </c>
      <c r="D809" s="81">
        <v>400.18582454320511</v>
      </c>
      <c r="E809" s="81">
        <v>4802095.4837757498</v>
      </c>
      <c r="F809" s="81" t="s">
        <v>773</v>
      </c>
      <c r="G809" s="25">
        <f t="shared" si="23"/>
        <v>-7.5349313565314935E-3</v>
      </c>
      <c r="I809" s="81">
        <v>85.997617311072219</v>
      </c>
      <c r="J809" s="81">
        <v>87.15333994206182</v>
      </c>
      <c r="K809" s="81">
        <v>85.829691800586545</v>
      </c>
      <c r="L809" s="81">
        <v>86.916268633140859</v>
      </c>
      <c r="M809" s="81">
        <v>13846837.286812654</v>
      </c>
      <c r="N809" s="81" t="s">
        <v>773</v>
      </c>
      <c r="O809" s="25">
        <f t="shared" si="24"/>
        <v>-1.0569382884418554E-2</v>
      </c>
    </row>
    <row r="810" spans="1:15">
      <c r="A810" s="81">
        <v>401.77645804805877</v>
      </c>
      <c r="B810" s="81">
        <v>401.79597502357842</v>
      </c>
      <c r="C810" s="81">
        <v>398.44881372195391</v>
      </c>
      <c r="D810" s="81">
        <v>398.69277591594988</v>
      </c>
      <c r="E810" s="81">
        <v>2841538.6361523434</v>
      </c>
      <c r="F810" s="81" t="s">
        <v>774</v>
      </c>
      <c r="G810" s="25">
        <f t="shared" si="23"/>
        <v>7.7344820834148731E-3</v>
      </c>
      <c r="I810" s="81">
        <v>87.726262271954099</v>
      </c>
      <c r="J810" s="81">
        <v>88.210282861001019</v>
      </c>
      <c r="K810" s="81">
        <v>86.916268633140859</v>
      </c>
      <c r="L810" s="81">
        <v>87.904065753644787</v>
      </c>
      <c r="M810" s="81">
        <v>13845336.978733962</v>
      </c>
      <c r="N810" s="81" t="s">
        <v>774</v>
      </c>
      <c r="O810" s="25">
        <f t="shared" si="24"/>
        <v>-2.0226991796828964E-3</v>
      </c>
    </row>
    <row r="811" spans="1:15">
      <c r="A811" s="81">
        <v>399.52224737553615</v>
      </c>
      <c r="B811" s="81">
        <v>400.49809615151997</v>
      </c>
      <c r="C811" s="81">
        <v>397.50224040924957</v>
      </c>
      <c r="D811" s="81">
        <v>398.09750816259975</v>
      </c>
      <c r="E811" s="81">
        <v>2991100.7441263557</v>
      </c>
      <c r="F811" s="81" t="s">
        <v>775</v>
      </c>
      <c r="G811" s="25">
        <f t="shared" si="23"/>
        <v>3.5788699595540319E-3</v>
      </c>
      <c r="I811" s="81">
        <v>87.933699667259916</v>
      </c>
      <c r="J811" s="81">
        <v>90.235266958034074</v>
      </c>
      <c r="K811" s="81">
        <v>87.775652127979285</v>
      </c>
      <c r="L811" s="81">
        <v>90.205633044418946</v>
      </c>
      <c r="M811" s="81">
        <v>22270686.503699381</v>
      </c>
      <c r="N811" s="81" t="s">
        <v>775</v>
      </c>
      <c r="O811" s="25">
        <f t="shared" si="24"/>
        <v>-2.5186158563293759E-2</v>
      </c>
    </row>
    <row r="812" spans="1:15">
      <c r="A812" s="81">
        <v>399.89306991041002</v>
      </c>
      <c r="B812" s="81">
        <v>405.02603447208486</v>
      </c>
      <c r="C812" s="81">
        <v>398.75132684250889</v>
      </c>
      <c r="D812" s="81">
        <v>401.85452595013749</v>
      </c>
      <c r="E812" s="81">
        <v>4701882.2105650436</v>
      </c>
      <c r="F812" s="81" t="s">
        <v>776</v>
      </c>
      <c r="G812" s="25">
        <f t="shared" si="23"/>
        <v>-4.8810101991257904E-3</v>
      </c>
      <c r="I812" s="81">
        <v>90.640263777440694</v>
      </c>
      <c r="J812" s="81">
        <v>91.400867560228718</v>
      </c>
      <c r="K812" s="81">
        <v>86.679197324219928</v>
      </c>
      <c r="L812" s="81">
        <v>88.872106931738642</v>
      </c>
      <c r="M812" s="81">
        <v>57417407.707227983</v>
      </c>
      <c r="N812" s="81" t="s">
        <v>776</v>
      </c>
      <c r="O812" s="25">
        <f t="shared" si="24"/>
        <v>1.9895520729132032E-2</v>
      </c>
    </row>
    <row r="813" spans="1:15">
      <c r="A813" s="81">
        <v>399.65886620417388</v>
      </c>
      <c r="B813" s="81">
        <v>402.76206531180242</v>
      </c>
      <c r="C813" s="81">
        <v>398.97577206098521</v>
      </c>
      <c r="D813" s="81">
        <v>402.69375589748358</v>
      </c>
      <c r="E813" s="81">
        <v>3223792.5357116582</v>
      </c>
      <c r="F813" s="81" t="s">
        <v>777</v>
      </c>
      <c r="G813" s="25">
        <f t="shared" si="23"/>
        <v>-7.5364707022731459E-3</v>
      </c>
      <c r="I813" s="81">
        <v>86.422370072888896</v>
      </c>
      <c r="J813" s="81">
        <v>88.467110112332037</v>
      </c>
      <c r="K813" s="81">
        <v>85.977861368662133</v>
      </c>
      <c r="L813" s="81">
        <v>88.111503148950632</v>
      </c>
      <c r="M813" s="81">
        <v>32919629.269025188</v>
      </c>
      <c r="N813" s="81" t="s">
        <v>777</v>
      </c>
      <c r="O813" s="25">
        <f t="shared" si="24"/>
        <v>-1.9170403587444151E-2</v>
      </c>
    </row>
    <row r="814" spans="1:15">
      <c r="A814" s="81">
        <v>402.33269185036954</v>
      </c>
      <c r="B814" s="81">
        <v>402.77182379956224</v>
      </c>
      <c r="C814" s="81">
        <v>399.24413047438071</v>
      </c>
      <c r="D814" s="81">
        <v>401.81549199909807</v>
      </c>
      <c r="E814" s="81">
        <v>3873639.1262970357</v>
      </c>
      <c r="F814" s="81" t="s">
        <v>778</v>
      </c>
      <c r="G814" s="25">
        <f t="shared" si="23"/>
        <v>1.2871575675150737E-3</v>
      </c>
      <c r="I814" s="81">
        <v>87.054560230011418</v>
      </c>
      <c r="J814" s="81">
        <v>87.252119654112207</v>
      </c>
      <c r="K814" s="81">
        <v>85.049332075388435</v>
      </c>
      <c r="L814" s="81">
        <v>85.444450923590011</v>
      </c>
      <c r="M814" s="81">
        <v>16975037.335040778</v>
      </c>
      <c r="N814" s="81" t="s">
        <v>778</v>
      </c>
      <c r="O814" s="25">
        <f t="shared" si="24"/>
        <v>1.8843930635838113E-2</v>
      </c>
    </row>
    <row r="815" spans="1:15">
      <c r="A815" s="81">
        <v>404.07946115938057</v>
      </c>
      <c r="B815" s="81">
        <v>404.235596963538</v>
      </c>
      <c r="C815" s="81">
        <v>401.69839014598006</v>
      </c>
      <c r="D815" s="81">
        <v>402.33269185036954</v>
      </c>
      <c r="E815" s="81">
        <v>2662274.1801164825</v>
      </c>
      <c r="F815" s="81" t="s">
        <v>779</v>
      </c>
      <c r="G815" s="25">
        <f t="shared" si="23"/>
        <v>4.341604210628347E-3</v>
      </c>
      <c r="I815" s="81">
        <v>85.770423973356301</v>
      </c>
      <c r="J815" s="81">
        <v>86.165542821557878</v>
      </c>
      <c r="K815" s="81">
        <v>84.940674392133005</v>
      </c>
      <c r="L815" s="81">
        <v>85.602498462870642</v>
      </c>
      <c r="M815" s="81">
        <v>10952012.083696846</v>
      </c>
      <c r="N815" s="81" t="s">
        <v>779</v>
      </c>
      <c r="O815" s="25">
        <f t="shared" si="24"/>
        <v>1.9616893607199426E-3</v>
      </c>
    </row>
    <row r="816" spans="1:15">
      <c r="A816" s="81">
        <v>400.46882068824044</v>
      </c>
      <c r="B816" s="81">
        <v>406.07848737698339</v>
      </c>
      <c r="C816" s="81">
        <v>400.12727361664605</v>
      </c>
      <c r="D816" s="81">
        <v>404.1477705736994</v>
      </c>
      <c r="E816" s="81">
        <v>5858762.280288795</v>
      </c>
      <c r="F816" s="81" t="s">
        <v>780</v>
      </c>
      <c r="G816" s="25">
        <f t="shared" si="23"/>
        <v>-9.1029820113484039E-3</v>
      </c>
      <c r="I816" s="81">
        <v>85.246891499489223</v>
      </c>
      <c r="J816" s="81">
        <v>86.045031572856402</v>
      </c>
      <c r="K816" s="81">
        <v>84.407263947060883</v>
      </c>
      <c r="L816" s="81">
        <v>84.891284536107804</v>
      </c>
      <c r="M816" s="81">
        <v>11676391.599639313</v>
      </c>
      <c r="N816" s="81" t="s">
        <v>780</v>
      </c>
      <c r="O816" s="25">
        <f t="shared" si="24"/>
        <v>4.188969048173119E-3</v>
      </c>
    </row>
    <row r="817" spans="1:15">
      <c r="A817" s="81">
        <v>402.44003521572773</v>
      </c>
      <c r="B817" s="81">
        <v>404.18680452473876</v>
      </c>
      <c r="C817" s="81">
        <v>401.16167331918894</v>
      </c>
      <c r="D817" s="81">
        <v>401.73742409701941</v>
      </c>
      <c r="E817" s="81">
        <v>3103143.719114739</v>
      </c>
      <c r="F817" s="81" t="s">
        <v>781</v>
      </c>
      <c r="G817" s="25">
        <f t="shared" si="23"/>
        <v>1.748931208705784E-3</v>
      </c>
      <c r="I817" s="81">
        <v>84.446775831881041</v>
      </c>
      <c r="J817" s="81">
        <v>85.404939038769854</v>
      </c>
      <c r="K817" s="81">
        <v>84.407263947060883</v>
      </c>
      <c r="L817" s="81">
        <v>84.772748881647331</v>
      </c>
      <c r="M817" s="81">
        <v>14369486.107388908</v>
      </c>
      <c r="N817" s="81" t="s">
        <v>781</v>
      </c>
      <c r="O817" s="25">
        <f t="shared" si="24"/>
        <v>-3.8452575157305047E-3</v>
      </c>
    </row>
    <row r="818" spans="1:15">
      <c r="A818" s="81">
        <v>403.58177828362881</v>
      </c>
      <c r="B818" s="81">
        <v>406.63618495245817</v>
      </c>
      <c r="C818" s="81">
        <v>402.90844262819996</v>
      </c>
      <c r="D818" s="81">
        <v>406.40198124622202</v>
      </c>
      <c r="E818" s="81">
        <v>5102294.661363136</v>
      </c>
      <c r="F818" s="81" t="s">
        <v>782</v>
      </c>
      <c r="G818" s="25">
        <f t="shared" si="23"/>
        <v>-6.9394419632137216E-3</v>
      </c>
      <c r="I818" s="81">
        <v>85.246891499489223</v>
      </c>
      <c r="J818" s="81">
        <v>87.252119654112207</v>
      </c>
      <c r="K818" s="81">
        <v>85.207379614669065</v>
      </c>
      <c r="L818" s="81">
        <v>87.182973855676934</v>
      </c>
      <c r="M818" s="81">
        <v>15349975.906251553</v>
      </c>
      <c r="N818" s="81" t="s">
        <v>782</v>
      </c>
      <c r="O818" s="25">
        <f t="shared" si="24"/>
        <v>-2.220711534103792E-2</v>
      </c>
    </row>
    <row r="819" spans="1:15">
      <c r="A819" s="81">
        <v>409.25145967209482</v>
      </c>
      <c r="B819" s="81">
        <v>409.93455381528349</v>
      </c>
      <c r="C819" s="81">
        <v>408.44150518802826</v>
      </c>
      <c r="D819" s="81">
        <v>409.13435781897675</v>
      </c>
      <c r="E819" s="81">
        <v>3214919.2346294592</v>
      </c>
      <c r="F819" s="81" t="s">
        <v>783</v>
      </c>
      <c r="G819" s="25">
        <f t="shared" si="23"/>
        <v>2.8621857558563946E-4</v>
      </c>
      <c r="I819" s="81">
        <v>87.943577638464959</v>
      </c>
      <c r="J819" s="81">
        <v>88.635035622817711</v>
      </c>
      <c r="K819" s="81">
        <v>87.380533279777708</v>
      </c>
      <c r="L819" s="81">
        <v>88.032479379310317</v>
      </c>
      <c r="M819" s="81">
        <v>13914885.673070055</v>
      </c>
      <c r="N819" s="81" t="s">
        <v>783</v>
      </c>
      <c r="O819" s="25">
        <f t="shared" si="24"/>
        <v>-1.0098743267504817E-3</v>
      </c>
    </row>
    <row r="820" spans="1:15">
      <c r="A820" s="81">
        <v>410.5200630808738</v>
      </c>
      <c r="B820" s="81">
        <v>410.80305922590912</v>
      </c>
      <c r="C820" s="81">
        <v>408.92942957602014</v>
      </c>
      <c r="D820" s="81">
        <v>410.16875752151958</v>
      </c>
      <c r="E820" s="81">
        <v>3540033.1332252184</v>
      </c>
      <c r="F820" s="81" t="s">
        <v>784</v>
      </c>
      <c r="G820" s="25">
        <f t="shared" si="23"/>
        <v>8.5649029311007929E-4</v>
      </c>
      <c r="I820" s="81">
        <v>87.8052860415944</v>
      </c>
      <c r="J820" s="81">
        <v>88.269550688231249</v>
      </c>
      <c r="K820" s="81">
        <v>85.819813829381502</v>
      </c>
      <c r="L820" s="81">
        <v>85.938349483841975</v>
      </c>
      <c r="M820" s="81">
        <v>21095208.284641966</v>
      </c>
      <c r="N820" s="81" t="s">
        <v>784</v>
      </c>
      <c r="O820" s="25">
        <f t="shared" si="24"/>
        <v>2.1724137931034448E-2</v>
      </c>
    </row>
    <row r="821" spans="1:15">
      <c r="A821" s="81">
        <v>409.72962557232688</v>
      </c>
      <c r="B821" s="81">
        <v>410.46151215431473</v>
      </c>
      <c r="C821" s="81">
        <v>408.06092416539457</v>
      </c>
      <c r="D821" s="81">
        <v>408.81232772290213</v>
      </c>
      <c r="E821" s="81">
        <v>2769618.6812092797</v>
      </c>
      <c r="F821" s="81" t="s">
        <v>785</v>
      </c>
      <c r="G821" s="25">
        <f t="shared" si="23"/>
        <v>2.2438116153056242E-3</v>
      </c>
      <c r="I821" s="81">
        <v>85.078965989003549</v>
      </c>
      <c r="J821" s="81">
        <v>85.523474693230327</v>
      </c>
      <c r="K821" s="81">
        <v>84.402324961458362</v>
      </c>
      <c r="L821" s="81">
        <v>84.812260766467489</v>
      </c>
      <c r="M821" s="81">
        <v>13806814.898430075</v>
      </c>
      <c r="N821" s="81" t="s">
        <v>785</v>
      </c>
      <c r="O821" s="25">
        <f t="shared" si="24"/>
        <v>3.1446540880502027E-3</v>
      </c>
    </row>
    <row r="822" spans="1:15">
      <c r="A822" s="81">
        <v>405.77743802959242</v>
      </c>
      <c r="B822" s="81">
        <v>411.95456078156997</v>
      </c>
      <c r="C822" s="81">
        <v>404.89917413120696</v>
      </c>
      <c r="D822" s="81">
        <v>411.60325522221586</v>
      </c>
      <c r="E822" s="81">
        <v>4252137.3209867058</v>
      </c>
      <c r="F822" s="81" t="s">
        <v>786</v>
      </c>
      <c r="G822" s="25">
        <f t="shared" si="23"/>
        <v>-1.4153962872519577E-2</v>
      </c>
      <c r="I822" s="81">
        <v>84.318362206215525</v>
      </c>
      <c r="J822" s="81">
        <v>85.819813829381502</v>
      </c>
      <c r="K822" s="81">
        <v>84.150436695729866</v>
      </c>
      <c r="L822" s="81">
        <v>85.543230635640398</v>
      </c>
      <c r="M822" s="81">
        <v>16897566.973555051</v>
      </c>
      <c r="N822" s="81" t="s">
        <v>786</v>
      </c>
      <c r="O822" s="25">
        <f t="shared" si="24"/>
        <v>-1.4318706697459604E-2</v>
      </c>
    </row>
    <row r="823" spans="1:15">
      <c r="A823" s="81">
        <v>408.54884855338651</v>
      </c>
      <c r="B823" s="81">
        <v>409.74914254784653</v>
      </c>
      <c r="C823" s="81">
        <v>406.51908309934009</v>
      </c>
      <c r="D823" s="81">
        <v>407.53396582636327</v>
      </c>
      <c r="E823" s="81">
        <v>6290766.7161963824</v>
      </c>
      <c r="F823" s="81" t="s">
        <v>787</v>
      </c>
      <c r="G823" s="25">
        <f t="shared" si="23"/>
        <v>2.4903021885926968E-3</v>
      </c>
      <c r="I823" s="81">
        <v>84.812260766467489</v>
      </c>
      <c r="J823" s="81">
        <v>85.217257585874108</v>
      </c>
      <c r="K823" s="81">
        <v>84.407263947060883</v>
      </c>
      <c r="L823" s="81">
        <v>84.624579313571743</v>
      </c>
      <c r="M823" s="81">
        <v>15168805.100743737</v>
      </c>
      <c r="N823" s="81" t="s">
        <v>787</v>
      </c>
      <c r="O823" s="25">
        <f t="shared" si="24"/>
        <v>2.2178125364771262E-3</v>
      </c>
    </row>
    <row r="824" spans="1:15">
      <c r="A824" s="81">
        <v>408.45126367578808</v>
      </c>
      <c r="B824" s="81">
        <v>409.51493884161044</v>
      </c>
      <c r="C824" s="81">
        <v>406.99471179275463</v>
      </c>
      <c r="D824" s="81">
        <v>407.00700748733203</v>
      </c>
      <c r="E824" s="81">
        <v>4047049.1916315909</v>
      </c>
      <c r="F824" s="81" t="s">
        <v>788</v>
      </c>
      <c r="G824" s="25">
        <f t="shared" si="23"/>
        <v>3.548479907931279E-3</v>
      </c>
      <c r="I824" s="81">
        <v>84.585067428751586</v>
      </c>
      <c r="J824" s="81">
        <v>85.256769470694266</v>
      </c>
      <c r="K824" s="81">
        <v>84.120802782114737</v>
      </c>
      <c r="L824" s="81">
        <v>84.683847140801987</v>
      </c>
      <c r="M824" s="81">
        <v>15524858.983367501</v>
      </c>
      <c r="N824" s="81" t="s">
        <v>788</v>
      </c>
      <c r="O824" s="25">
        <f t="shared" si="24"/>
        <v>-1.1664528169836874E-3</v>
      </c>
    </row>
    <row r="825" spans="1:15">
      <c r="A825" s="81">
        <v>407.25096968132794</v>
      </c>
      <c r="B825" s="81">
        <v>408.00237323883556</v>
      </c>
      <c r="C825" s="81">
        <v>405.96772854090926</v>
      </c>
      <c r="D825" s="81">
        <v>406.51908309934009</v>
      </c>
      <c r="E825" s="81">
        <v>3557032.6934114527</v>
      </c>
      <c r="F825" s="81" t="s">
        <v>789</v>
      </c>
      <c r="G825" s="25">
        <f t="shared" si="23"/>
        <v>1.8003744778913866E-3</v>
      </c>
      <c r="I825" s="81">
        <v>85.543230635640398</v>
      </c>
      <c r="J825" s="81">
        <v>86.886634719525745</v>
      </c>
      <c r="K825" s="81">
        <v>85.493939559327259</v>
      </c>
      <c r="L825" s="81">
        <v>86.422370072888896</v>
      </c>
      <c r="M825" s="81">
        <v>14083762.45610309</v>
      </c>
      <c r="N825" s="81" t="s">
        <v>789</v>
      </c>
      <c r="O825" s="25">
        <f t="shared" si="24"/>
        <v>-1.0172591153274624E-2</v>
      </c>
    </row>
    <row r="826" spans="1:15">
      <c r="A826" s="81">
        <v>405.53347583559645</v>
      </c>
      <c r="B826" s="81">
        <v>407.22169421804847</v>
      </c>
      <c r="C826" s="81">
        <v>405.44564944575791</v>
      </c>
      <c r="D826" s="81">
        <v>407.03628295061156</v>
      </c>
      <c r="E826" s="81">
        <v>3255333.2833740916</v>
      </c>
      <c r="F826" s="81" t="s">
        <v>790</v>
      </c>
      <c r="G826" s="25">
        <f t="shared" si="23"/>
        <v>-3.6920716357795591E-3</v>
      </c>
      <c r="I826" s="81">
        <v>86.116152965532692</v>
      </c>
      <c r="J826" s="81">
        <v>86.827366892295515</v>
      </c>
      <c r="K826" s="81">
        <v>84.832016708877575</v>
      </c>
      <c r="L826" s="81">
        <v>85.241952513886702</v>
      </c>
      <c r="M826" s="81">
        <v>20146810.095829599</v>
      </c>
      <c r="N826" s="81" t="s">
        <v>790</v>
      </c>
      <c r="O826" s="25">
        <f t="shared" si="24"/>
        <v>1.0255518859725532E-2</v>
      </c>
    </row>
    <row r="827" spans="1:15">
      <c r="A827" s="81">
        <v>405.48468339679727</v>
      </c>
      <c r="B827" s="81">
        <v>408.06092416539457</v>
      </c>
      <c r="C827" s="81">
        <v>404.8015892536086</v>
      </c>
      <c r="D827" s="81">
        <v>407.22169421804847</v>
      </c>
      <c r="E827" s="81">
        <v>4186096.3507195371</v>
      </c>
      <c r="F827" s="81" t="s">
        <v>791</v>
      </c>
      <c r="G827" s="25">
        <f t="shared" ref="G827:G890" si="25">A827/D827-1</f>
        <v>-4.2655164150491309E-3</v>
      </c>
      <c r="I827" s="81">
        <v>85.157989758643865</v>
      </c>
      <c r="J827" s="81">
        <v>86.114177371291674</v>
      </c>
      <c r="K827" s="81">
        <v>84.980186276953162</v>
      </c>
      <c r="L827" s="81">
        <v>85.780301944561344</v>
      </c>
      <c r="M827" s="81">
        <v>15466264.967654565</v>
      </c>
      <c r="N827" s="81" t="s">
        <v>791</v>
      </c>
      <c r="O827" s="25">
        <f t="shared" ref="O827:O890" si="26">I827/L827-1</f>
        <v>-7.2547213265776733E-3</v>
      </c>
    </row>
    <row r="828" spans="1:15">
      <c r="A828" s="81">
        <v>408.14875055523311</v>
      </c>
      <c r="B828" s="81">
        <v>409.241701184335</v>
      </c>
      <c r="C828" s="81">
        <v>407.40710548548543</v>
      </c>
      <c r="D828" s="81">
        <v>407.97309777555603</v>
      </c>
      <c r="E828" s="81">
        <v>3581411.4707235582</v>
      </c>
      <c r="F828" s="81" t="s">
        <v>792</v>
      </c>
      <c r="G828" s="25">
        <f t="shared" si="25"/>
        <v>4.3054990791024927E-4</v>
      </c>
      <c r="I828" s="81">
        <v>85.977861368662133</v>
      </c>
      <c r="J828" s="81">
        <v>86.817488921090472</v>
      </c>
      <c r="K828" s="81">
        <v>85.138233816233793</v>
      </c>
      <c r="L828" s="81">
        <v>85.148111787438836</v>
      </c>
      <c r="M828" s="81">
        <v>17389208.41481806</v>
      </c>
      <c r="N828" s="81" t="s">
        <v>792</v>
      </c>
      <c r="O828" s="25">
        <f t="shared" si="26"/>
        <v>9.7447795823666361E-3</v>
      </c>
    </row>
    <row r="829" spans="1:15">
      <c r="A829" s="81">
        <v>407.27048665684771</v>
      </c>
      <c r="B829" s="81">
        <v>407.83647894691831</v>
      </c>
      <c r="C829" s="81">
        <v>403.55250282034933</v>
      </c>
      <c r="D829" s="81">
        <v>403.91356686746332</v>
      </c>
      <c r="E829" s="81">
        <v>3686312.9703404387</v>
      </c>
      <c r="F829" s="81" t="s">
        <v>793</v>
      </c>
      <c r="G829" s="25">
        <f t="shared" si="25"/>
        <v>8.3109854799354732E-3</v>
      </c>
      <c r="I829" s="81">
        <v>84.901162507312847</v>
      </c>
      <c r="J829" s="81">
        <v>86.23468861999315</v>
      </c>
      <c r="K829" s="81">
        <v>84.268972350190339</v>
      </c>
      <c r="L829" s="81">
        <v>84.466531774291127</v>
      </c>
      <c r="M829" s="81">
        <v>22186263.2974873</v>
      </c>
      <c r="N829" s="81" t="s">
        <v>793</v>
      </c>
      <c r="O829" s="25">
        <f t="shared" si="26"/>
        <v>5.1455970061979883E-3</v>
      </c>
    </row>
    <row r="830" spans="1:15">
      <c r="A830" s="81">
        <v>404.20632150025847</v>
      </c>
      <c r="B830" s="81">
        <v>405.22071630289366</v>
      </c>
      <c r="C830" s="81">
        <v>402.66448043420399</v>
      </c>
      <c r="D830" s="81">
        <v>402.6839974097237</v>
      </c>
      <c r="E830" s="81">
        <v>3041728.4655683292</v>
      </c>
      <c r="F830" s="81" t="s">
        <v>794</v>
      </c>
      <c r="G830" s="25">
        <f t="shared" si="25"/>
        <v>3.7804434750998706E-3</v>
      </c>
      <c r="I830" s="81">
        <v>84.515921630316313</v>
      </c>
      <c r="J830" s="81">
        <v>87.410167193392823</v>
      </c>
      <c r="K830" s="81">
        <v>84.259094378985296</v>
      </c>
      <c r="L830" s="81">
        <v>87.341021394957565</v>
      </c>
      <c r="M830" s="81">
        <v>34929686.758347563</v>
      </c>
      <c r="N830" s="81" t="s">
        <v>794</v>
      </c>
      <c r="O830" s="25">
        <f t="shared" si="26"/>
        <v>-3.2345623162180592E-2</v>
      </c>
    </row>
    <row r="831" spans="1:15">
      <c r="A831" s="81">
        <v>402.80109926284172</v>
      </c>
      <c r="B831" s="81">
        <v>404.69424588825035</v>
      </c>
      <c r="C831" s="81">
        <v>402.12776360741293</v>
      </c>
      <c r="D831" s="81">
        <v>403.94284233074285</v>
      </c>
      <c r="E831" s="81">
        <v>3772044.4915135377</v>
      </c>
      <c r="F831" s="81" t="s">
        <v>795</v>
      </c>
      <c r="G831" s="25">
        <f t="shared" si="25"/>
        <v>-2.8264965937093711E-3</v>
      </c>
      <c r="I831" s="81">
        <v>87.538580819058353</v>
      </c>
      <c r="J831" s="81">
        <v>89.385761434400692</v>
      </c>
      <c r="K831" s="81">
        <v>87.342107971790114</v>
      </c>
      <c r="L831" s="81">
        <v>89.306737664760377</v>
      </c>
      <c r="M831" s="81">
        <v>17989512.857594211</v>
      </c>
      <c r="N831" s="81" t="s">
        <v>795</v>
      </c>
      <c r="O831" s="25">
        <f t="shared" si="26"/>
        <v>-1.9798694834642028E-2</v>
      </c>
    </row>
    <row r="832" spans="1:15">
      <c r="A832" s="81">
        <v>403.12312935891646</v>
      </c>
      <c r="B832" s="81">
        <v>403.81598198986495</v>
      </c>
      <c r="C832" s="81">
        <v>401.20070727022829</v>
      </c>
      <c r="D832" s="81">
        <v>401.60080526838169</v>
      </c>
      <c r="E832" s="81">
        <v>3354440.8524771994</v>
      </c>
      <c r="F832" s="81" t="s">
        <v>796</v>
      </c>
      <c r="G832" s="25">
        <f t="shared" si="25"/>
        <v>3.7906400349905223E-3</v>
      </c>
      <c r="I832" s="81">
        <v>89.36600549199062</v>
      </c>
      <c r="J832" s="81">
        <v>89.701856512961953</v>
      </c>
      <c r="K832" s="81">
        <v>87.99346139305041</v>
      </c>
      <c r="L832" s="81">
        <v>89.445029261630921</v>
      </c>
      <c r="M832" s="81">
        <v>15514847.818326896</v>
      </c>
      <c r="N832" s="81" t="s">
        <v>796</v>
      </c>
      <c r="O832" s="25">
        <f t="shared" si="26"/>
        <v>-8.8348978464924954E-4</v>
      </c>
    </row>
    <row r="833" spans="1:15">
      <c r="A833" s="81">
        <v>399.86379444713043</v>
      </c>
      <c r="B833" s="81">
        <v>401.20070727022829</v>
      </c>
      <c r="C833" s="81">
        <v>398.9172211344262</v>
      </c>
      <c r="D833" s="81">
        <v>400.28340942080348</v>
      </c>
      <c r="E833" s="81">
        <v>4351451.8893759446</v>
      </c>
      <c r="F833" s="81" t="s">
        <v>797</v>
      </c>
      <c r="G833" s="25">
        <f t="shared" si="25"/>
        <v>-1.0482946927033998E-3</v>
      </c>
      <c r="I833" s="81">
        <v>89.049910413429359</v>
      </c>
      <c r="J833" s="81">
        <v>89.602978021199519</v>
      </c>
      <c r="K833" s="81">
        <v>88.476988083537066</v>
      </c>
      <c r="L833" s="81">
        <v>89.010398528609201</v>
      </c>
      <c r="M833" s="81">
        <v>15096297.296749065</v>
      </c>
      <c r="N833" s="81" t="s">
        <v>797</v>
      </c>
      <c r="O833" s="25">
        <f t="shared" si="26"/>
        <v>4.439018976805098E-4</v>
      </c>
    </row>
    <row r="834" spans="1:15">
      <c r="A834" s="81">
        <v>396.74107836398224</v>
      </c>
      <c r="B834" s="81">
        <v>397.17045182541511</v>
      </c>
      <c r="C834" s="81">
        <v>394.01846027898733</v>
      </c>
      <c r="D834" s="81">
        <v>394.99430905497115</v>
      </c>
      <c r="E834" s="81">
        <v>3260618.9384130086</v>
      </c>
      <c r="F834" s="81" t="s">
        <v>798</v>
      </c>
      <c r="G834" s="25">
        <f t="shared" si="25"/>
        <v>4.4222644958866741E-3</v>
      </c>
      <c r="I834" s="81">
        <v>88.397964313896765</v>
      </c>
      <c r="J834" s="81">
        <v>88.496744025947166</v>
      </c>
      <c r="K834" s="81">
        <v>87.074316172421504</v>
      </c>
      <c r="L834" s="81">
        <v>87.118767042844169</v>
      </c>
      <c r="M834" s="81">
        <v>13905190.362361804</v>
      </c>
      <c r="N834" s="81" t="s">
        <v>798</v>
      </c>
      <c r="O834" s="25">
        <f t="shared" si="26"/>
        <v>1.4683372073246881E-2</v>
      </c>
    </row>
    <row r="835" spans="1:15">
      <c r="A835" s="81">
        <v>394.21363003418418</v>
      </c>
      <c r="B835" s="81">
        <v>394.3502488628219</v>
      </c>
      <c r="C835" s="81">
        <v>392.34975887205502</v>
      </c>
      <c r="D835" s="81">
        <v>392.90599267436579</v>
      </c>
      <c r="E835" s="81">
        <v>3445489.7959063947</v>
      </c>
      <c r="F835" s="81" t="s">
        <v>799</v>
      </c>
      <c r="G835" s="25">
        <f t="shared" si="25"/>
        <v>3.3281176266053425E-3</v>
      </c>
      <c r="I835" s="81">
        <v>87.024926316396289</v>
      </c>
      <c r="J835" s="81">
        <v>87.597848646288583</v>
      </c>
      <c r="K835" s="81">
        <v>86.782916021872836</v>
      </c>
      <c r="L835" s="81">
        <v>87.173095884471891</v>
      </c>
      <c r="M835" s="81">
        <v>13811155.870792713</v>
      </c>
      <c r="N835" s="81" t="s">
        <v>799</v>
      </c>
      <c r="O835" s="25">
        <f t="shared" si="26"/>
        <v>-1.6997167138811387E-3</v>
      </c>
    </row>
    <row r="836" spans="1:15">
      <c r="A836" s="81">
        <v>393.15971335612159</v>
      </c>
      <c r="B836" s="81">
        <v>396.85720436832429</v>
      </c>
      <c r="C836" s="81">
        <v>392.98406057644451</v>
      </c>
      <c r="D836" s="81">
        <v>393.29633218475931</v>
      </c>
      <c r="E836" s="81">
        <v>3764158.0236617527</v>
      </c>
      <c r="F836" s="81" t="s">
        <v>800</v>
      </c>
      <c r="G836" s="25">
        <f t="shared" si="25"/>
        <v>-3.4736868223206319E-4</v>
      </c>
      <c r="I836" s="81">
        <v>87.558336761468425</v>
      </c>
      <c r="J836" s="81">
        <v>88.635035622817711</v>
      </c>
      <c r="K836" s="81">
        <v>87.005170373986218</v>
      </c>
      <c r="L836" s="81">
        <v>87.232363711702121</v>
      </c>
      <c r="M836" s="81">
        <v>9825016.4923024606</v>
      </c>
      <c r="N836" s="81" t="s">
        <v>800</v>
      </c>
      <c r="O836" s="25">
        <f t="shared" si="26"/>
        <v>3.7368361453968824E-3</v>
      </c>
    </row>
    <row r="837" spans="1:15">
      <c r="A837" s="81">
        <v>394.0770112055464</v>
      </c>
      <c r="B837" s="81">
        <v>394.58445256905799</v>
      </c>
      <c r="C837" s="81">
        <v>391.86183448406314</v>
      </c>
      <c r="D837" s="81">
        <v>394.02821876674716</v>
      </c>
      <c r="E837" s="81">
        <v>6189761.3120540967</v>
      </c>
      <c r="F837" s="81" t="s">
        <v>801</v>
      </c>
      <c r="G837" s="25">
        <f t="shared" si="25"/>
        <v>1.2382980831149304E-4</v>
      </c>
      <c r="I837" s="81">
        <v>87.657116473518812</v>
      </c>
      <c r="J837" s="81">
        <v>87.74601821436417</v>
      </c>
      <c r="K837" s="81">
        <v>86.708831237835042</v>
      </c>
      <c r="L837" s="81">
        <v>87.58797067508354</v>
      </c>
      <c r="M837" s="81">
        <v>12258116.316256072</v>
      </c>
      <c r="N837" s="81" t="s">
        <v>801</v>
      </c>
      <c r="O837" s="25">
        <f t="shared" si="26"/>
        <v>7.8944400586444807E-4</v>
      </c>
    </row>
    <row r="838" spans="1:15">
      <c r="A838" s="81">
        <v>397.31682914181266</v>
      </c>
      <c r="B838" s="81">
        <v>397.9901647972415</v>
      </c>
      <c r="C838" s="81">
        <v>396.20436153719112</v>
      </c>
      <c r="D838" s="81">
        <v>396.20436153719112</v>
      </c>
      <c r="E838" s="81">
        <v>4338914.0860798694</v>
      </c>
      <c r="F838" s="81" t="s">
        <v>802</v>
      </c>
      <c r="G838" s="25">
        <f t="shared" si="25"/>
        <v>2.8078126154527094E-3</v>
      </c>
      <c r="I838" s="81">
        <v>88.694303450047954</v>
      </c>
      <c r="J838" s="81">
        <v>89.286784162926196</v>
      </c>
      <c r="K838" s="81">
        <v>88.160893004975819</v>
      </c>
      <c r="L838" s="81">
        <v>89.010398528609201</v>
      </c>
      <c r="M838" s="81">
        <v>11165027.484969383</v>
      </c>
      <c r="N838" s="81" t="s">
        <v>802</v>
      </c>
      <c r="O838" s="25">
        <f t="shared" si="26"/>
        <v>-3.5512151814447446E-3</v>
      </c>
    </row>
    <row r="839" spans="1:15">
      <c r="A839" s="81">
        <v>398.20485152795794</v>
      </c>
      <c r="B839" s="81">
        <v>398.20485152795794</v>
      </c>
      <c r="C839" s="81">
        <v>396.85818021710031</v>
      </c>
      <c r="D839" s="81">
        <v>397.0923839233364</v>
      </c>
      <c r="E839" s="81">
        <v>2430723.9588517216</v>
      </c>
      <c r="F839" s="81" t="s">
        <v>803</v>
      </c>
      <c r="G839" s="25">
        <f t="shared" si="25"/>
        <v>2.8015334709525774E-3</v>
      </c>
      <c r="I839" s="81">
        <v>89.395639405605735</v>
      </c>
      <c r="J839" s="81">
        <v>89.840148109832512</v>
      </c>
      <c r="K839" s="81">
        <v>87.825041984004486</v>
      </c>
      <c r="L839" s="81">
        <v>88.027540393707781</v>
      </c>
      <c r="M839" s="81">
        <v>8078123.3659895519</v>
      </c>
      <c r="N839" s="81" t="s">
        <v>803</v>
      </c>
      <c r="O839" s="25">
        <f t="shared" si="26"/>
        <v>1.5541715760534203E-2</v>
      </c>
    </row>
    <row r="840" spans="1:15">
      <c r="A840" s="81">
        <v>397.44368948269056</v>
      </c>
      <c r="B840" s="81">
        <v>398.36098733211543</v>
      </c>
      <c r="C840" s="81">
        <v>395.5017504184828</v>
      </c>
      <c r="D840" s="81">
        <v>395.60909378384099</v>
      </c>
      <c r="E840" s="81">
        <v>5301735.3993030749</v>
      </c>
      <c r="F840" s="81" t="s">
        <v>804</v>
      </c>
      <c r="G840" s="25">
        <f t="shared" si="25"/>
        <v>4.6373951652687317E-3</v>
      </c>
      <c r="I840" s="81">
        <v>88.190526918590933</v>
      </c>
      <c r="J840" s="81">
        <v>88.506621997152195</v>
      </c>
      <c r="K840" s="81">
        <v>87.523763862250789</v>
      </c>
      <c r="L840" s="81">
        <v>88.091747206540546</v>
      </c>
      <c r="M840" s="81">
        <v>12996139.322061241</v>
      </c>
      <c r="N840" s="81" t="s">
        <v>804</v>
      </c>
      <c r="O840" s="25">
        <f t="shared" si="26"/>
        <v>1.1213276519397297E-3</v>
      </c>
    </row>
    <row r="841" spans="1:15">
      <c r="A841" s="81">
        <v>392.78889082124778</v>
      </c>
      <c r="B841" s="81">
        <v>392.94502662540521</v>
      </c>
      <c r="C841" s="81">
        <v>390.52492166096528</v>
      </c>
      <c r="D841" s="81">
        <v>390.92501965911868</v>
      </c>
      <c r="E841" s="81">
        <v>4011737.3678653939</v>
      </c>
      <c r="F841" s="81" t="s">
        <v>805</v>
      </c>
      <c r="G841" s="25">
        <f t="shared" si="25"/>
        <v>4.7678482276585221E-3</v>
      </c>
      <c r="I841" s="81">
        <v>87.864553868824643</v>
      </c>
      <c r="J841" s="81">
        <v>88.032479379310317</v>
      </c>
      <c r="K841" s="81">
        <v>86.274200504813322</v>
      </c>
      <c r="L841" s="81">
        <v>86.728587180245114</v>
      </c>
      <c r="M841" s="81">
        <v>13568149.493250793</v>
      </c>
      <c r="N841" s="81" t="s">
        <v>805</v>
      </c>
      <c r="O841" s="25">
        <f t="shared" si="26"/>
        <v>1.3097949886104798E-2</v>
      </c>
    </row>
    <row r="842" spans="1:15">
      <c r="A842" s="81">
        <v>391.28979193158125</v>
      </c>
      <c r="B842" s="81">
        <v>392.1986379270005</v>
      </c>
      <c r="C842" s="81">
        <v>389.50126077482031</v>
      </c>
      <c r="D842" s="81">
        <v>390.12335856847631</v>
      </c>
      <c r="E842" s="81">
        <v>4445008.6597304381</v>
      </c>
      <c r="F842" s="81" t="s">
        <v>806</v>
      </c>
      <c r="G842" s="25">
        <f t="shared" si="25"/>
        <v>2.9899090569327491E-3</v>
      </c>
      <c r="I842" s="81">
        <v>87.74601821436417</v>
      </c>
      <c r="J842" s="81">
        <v>88.30906257305142</v>
      </c>
      <c r="K842" s="81">
        <v>87.444740092610473</v>
      </c>
      <c r="L842" s="81">
        <v>88.299184601846378</v>
      </c>
      <c r="M842" s="81">
        <v>12267978.665313166</v>
      </c>
      <c r="N842" s="81" t="s">
        <v>806</v>
      </c>
      <c r="O842" s="25">
        <f t="shared" si="26"/>
        <v>-6.2646828504308028E-3</v>
      </c>
    </row>
    <row r="843" spans="1:15">
      <c r="A843" s="81">
        <v>391.11482692711547</v>
      </c>
      <c r="B843" s="81">
        <v>391.65916249656448</v>
      </c>
      <c r="C843" s="81">
        <v>387.24615627281742</v>
      </c>
      <c r="D843" s="81">
        <v>387.64468767187827</v>
      </c>
      <c r="E843" s="81">
        <v>4426170.7211948764</v>
      </c>
      <c r="F843" s="81" t="s">
        <v>807</v>
      </c>
      <c r="G843" s="25">
        <f t="shared" si="25"/>
        <v>8.9518555667000843E-3</v>
      </c>
      <c r="I843" s="81">
        <v>87.973211552080073</v>
      </c>
      <c r="J843" s="81">
        <v>88.565889824382424</v>
      </c>
      <c r="K843" s="81">
        <v>87.410167193392823</v>
      </c>
      <c r="L843" s="81">
        <v>87.815164012799457</v>
      </c>
      <c r="M843" s="81">
        <v>10156591.664168632</v>
      </c>
      <c r="N843" s="81" t="s">
        <v>807</v>
      </c>
      <c r="O843" s="25">
        <f t="shared" si="26"/>
        <v>1.799775028121342E-3</v>
      </c>
    </row>
    <row r="844" spans="1:15">
      <c r="A844" s="81">
        <v>386.82818431770477</v>
      </c>
      <c r="B844" s="81">
        <v>389.64706494520846</v>
      </c>
      <c r="C844" s="81">
        <v>386.60461792310969</v>
      </c>
      <c r="D844" s="81">
        <v>387.87797434449925</v>
      </c>
      <c r="E844" s="81">
        <v>3344245.9066982488</v>
      </c>
      <c r="F844" s="81" t="s">
        <v>808</v>
      </c>
      <c r="G844" s="25">
        <f t="shared" si="25"/>
        <v>-2.7064955894147147E-3</v>
      </c>
      <c r="I844" s="81">
        <v>87.617604588698654</v>
      </c>
      <c r="J844" s="81">
        <v>88.397865534184717</v>
      </c>
      <c r="K844" s="81">
        <v>86.698953266629999</v>
      </c>
      <c r="L844" s="81">
        <v>86.965658489166074</v>
      </c>
      <c r="M844" s="81">
        <v>13294920.310458368</v>
      </c>
      <c r="N844" s="81" t="s">
        <v>808</v>
      </c>
      <c r="O844" s="25">
        <f t="shared" si="26"/>
        <v>7.4965924579735166E-3</v>
      </c>
    </row>
    <row r="845" spans="1:15">
      <c r="A845" s="81">
        <v>388.43203019197409</v>
      </c>
      <c r="B845" s="81">
        <v>390.05531662229515</v>
      </c>
      <c r="C845" s="81">
        <v>387.77105128621463</v>
      </c>
      <c r="D845" s="81">
        <v>388.15986240724959</v>
      </c>
      <c r="E845" s="81">
        <v>4336611.5545040993</v>
      </c>
      <c r="F845" s="81" t="s">
        <v>809</v>
      </c>
      <c r="G845" s="25">
        <f t="shared" si="25"/>
        <v>7.0117446723272359E-4</v>
      </c>
      <c r="I845" s="81">
        <v>87.024926316396289</v>
      </c>
      <c r="J845" s="81">
        <v>87.316326466944957</v>
      </c>
      <c r="K845" s="81">
        <v>86.540905727349369</v>
      </c>
      <c r="L845" s="81">
        <v>86.940963561153467</v>
      </c>
      <c r="M845" s="81">
        <v>13705256.594687682</v>
      </c>
      <c r="N845" s="81" t="s">
        <v>809</v>
      </c>
      <c r="O845" s="25">
        <f t="shared" si="26"/>
        <v>9.6574447537345343E-4</v>
      </c>
    </row>
    <row r="846" spans="1:15">
      <c r="A846" s="81">
        <v>391.36755415578824</v>
      </c>
      <c r="B846" s="81">
        <v>391.45503665802113</v>
      </c>
      <c r="C846" s="81">
        <v>388.76251964485385</v>
      </c>
      <c r="D846" s="81">
        <v>389.08328881970766</v>
      </c>
      <c r="E846" s="81">
        <v>3231410.6568133757</v>
      </c>
      <c r="F846" s="81" t="s">
        <v>810</v>
      </c>
      <c r="G846" s="25">
        <f t="shared" si="25"/>
        <v>5.8708903767363818E-3</v>
      </c>
      <c r="I846" s="81">
        <v>87.410167193392823</v>
      </c>
      <c r="J846" s="81">
        <v>88.101625177745589</v>
      </c>
      <c r="K846" s="81">
        <v>87.04468225880639</v>
      </c>
      <c r="L846" s="81">
        <v>87.360777337367637</v>
      </c>
      <c r="M846" s="81">
        <v>11050171.916305525</v>
      </c>
      <c r="N846" s="81" t="s">
        <v>810</v>
      </c>
      <c r="O846" s="25">
        <f t="shared" si="26"/>
        <v>5.6535504296695294E-4</v>
      </c>
    </row>
    <row r="847" spans="1:15">
      <c r="A847" s="81">
        <v>389.94839356401053</v>
      </c>
      <c r="B847" s="81">
        <v>391.78552611090083</v>
      </c>
      <c r="C847" s="81">
        <v>389.46237966271684</v>
      </c>
      <c r="D847" s="81">
        <v>391.05650525896021</v>
      </c>
      <c r="E847" s="81">
        <v>3522062.8369752495</v>
      </c>
      <c r="F847" s="81" t="s">
        <v>811</v>
      </c>
      <c r="G847" s="25">
        <f t="shared" si="25"/>
        <v>-2.8336357535233558E-3</v>
      </c>
      <c r="I847" s="81">
        <v>87.558336761468425</v>
      </c>
      <c r="J847" s="81">
        <v>88.575767795587467</v>
      </c>
      <c r="K847" s="81">
        <v>87.034804287601332</v>
      </c>
      <c r="L847" s="81">
        <v>88.457232141126994</v>
      </c>
      <c r="M847" s="81">
        <v>18093759.972576149</v>
      </c>
      <c r="N847" s="81" t="s">
        <v>811</v>
      </c>
      <c r="O847" s="25">
        <f t="shared" si="26"/>
        <v>-1.0161920714684469E-2</v>
      </c>
    </row>
    <row r="848" spans="1:15">
      <c r="A848" s="81">
        <v>392.0965750077288</v>
      </c>
      <c r="B848" s="81">
        <v>393.01028114216103</v>
      </c>
      <c r="C848" s="81">
        <v>390.03587606624342</v>
      </c>
      <c r="D848" s="81">
        <v>392.20349806601342</v>
      </c>
      <c r="E848" s="81">
        <v>4369094.1644829009</v>
      </c>
      <c r="F848" s="81" t="s">
        <v>812</v>
      </c>
      <c r="G848" s="25">
        <f t="shared" si="25"/>
        <v>-2.7262137847283707E-4</v>
      </c>
      <c r="I848" s="81">
        <v>88.654791565227782</v>
      </c>
      <c r="J848" s="81">
        <v>89.672222599346838</v>
      </c>
      <c r="K848" s="81">
        <v>88.644913594022739</v>
      </c>
      <c r="L848" s="81">
        <v>89.188202010299918</v>
      </c>
      <c r="M848" s="81">
        <v>15123741.191287015</v>
      </c>
      <c r="N848" s="81" t="s">
        <v>812</v>
      </c>
      <c r="O848" s="25">
        <f t="shared" si="26"/>
        <v>-5.9807287628753647E-3</v>
      </c>
    </row>
    <row r="849" spans="1:15">
      <c r="A849" s="81">
        <v>393.91426699856737</v>
      </c>
      <c r="B849" s="81">
        <v>397.32608458564931</v>
      </c>
      <c r="C849" s="81">
        <v>393.56433698963588</v>
      </c>
      <c r="D849" s="81">
        <v>397.25804263946821</v>
      </c>
      <c r="E849" s="81">
        <v>5289853.8357778713</v>
      </c>
      <c r="F849" s="81" t="s">
        <v>813</v>
      </c>
      <c r="G849" s="25">
        <f t="shared" si="25"/>
        <v>-8.4171376838190204E-3</v>
      </c>
      <c r="I849" s="81">
        <v>90.205633044418946</v>
      </c>
      <c r="J849" s="81">
        <v>91.835498293250438</v>
      </c>
      <c r="K849" s="81">
        <v>89.751246368987154</v>
      </c>
      <c r="L849" s="81">
        <v>91.74659655240508</v>
      </c>
      <c r="M849" s="81">
        <v>22963607.130609911</v>
      </c>
      <c r="N849" s="81" t="s">
        <v>813</v>
      </c>
      <c r="O849" s="25">
        <f t="shared" si="26"/>
        <v>-1.6795865633075002E-2</v>
      </c>
    </row>
    <row r="850" spans="1:15">
      <c r="A850" s="81">
        <v>395.37230870244855</v>
      </c>
      <c r="B850" s="81">
        <v>396.51930150950176</v>
      </c>
      <c r="C850" s="81">
        <v>389.67622577928603</v>
      </c>
      <c r="D850" s="81">
        <v>389.78314883757065</v>
      </c>
      <c r="E850" s="81">
        <v>5437070.8182747522</v>
      </c>
      <c r="F850" s="81" t="s">
        <v>814</v>
      </c>
      <c r="G850" s="25">
        <f t="shared" si="25"/>
        <v>1.4339152119700715E-2</v>
      </c>
      <c r="I850" s="81">
        <v>91.805864379635324</v>
      </c>
      <c r="J850" s="81">
        <v>92.378786709527603</v>
      </c>
      <c r="K850" s="81">
        <v>90.492094209365092</v>
      </c>
      <c r="L850" s="81">
        <v>90.936602913591869</v>
      </c>
      <c r="M850" s="81">
        <v>13519583.85259016</v>
      </c>
      <c r="N850" s="81" t="s">
        <v>814</v>
      </c>
      <c r="O850" s="25">
        <f t="shared" si="26"/>
        <v>9.5589832717792866E-3</v>
      </c>
    </row>
    <row r="851" spans="1:15">
      <c r="A851" s="81">
        <v>390.36636551912318</v>
      </c>
      <c r="B851" s="81">
        <v>392.1510085646737</v>
      </c>
      <c r="C851" s="81">
        <v>387.31419821899851</v>
      </c>
      <c r="D851" s="81">
        <v>390.37608579714902</v>
      </c>
      <c r="E851" s="81">
        <v>5309804.9111981187</v>
      </c>
      <c r="F851" s="81" t="s">
        <v>815</v>
      </c>
      <c r="G851" s="25">
        <f t="shared" si="25"/>
        <v>-2.4899778391929139E-5</v>
      </c>
      <c r="I851" s="81">
        <v>91.321843790588403</v>
      </c>
      <c r="J851" s="81">
        <v>93.36658383003153</v>
      </c>
      <c r="K851" s="81">
        <v>90.798311316721311</v>
      </c>
      <c r="L851" s="81">
        <v>93.109756578700512</v>
      </c>
      <c r="M851" s="81">
        <v>16073520.230449811</v>
      </c>
      <c r="N851" s="81" t="s">
        <v>815</v>
      </c>
      <c r="O851" s="25">
        <f t="shared" si="26"/>
        <v>-1.9202206662423005E-2</v>
      </c>
    </row>
    <row r="852" spans="1:15">
      <c r="A852" s="81">
        <v>390.06503690032105</v>
      </c>
      <c r="B852" s="81">
        <v>390.60937246977005</v>
      </c>
      <c r="C852" s="81">
        <v>388.22790435343069</v>
      </c>
      <c r="D852" s="81">
        <v>388.82958956323239</v>
      </c>
      <c r="E852" s="81">
        <v>4025692.4643345485</v>
      </c>
      <c r="F852" s="81" t="s">
        <v>816</v>
      </c>
      <c r="G852" s="25">
        <f t="shared" si="25"/>
        <v>3.1773490759188228E-3</v>
      </c>
      <c r="I852" s="81">
        <v>92.704759759293893</v>
      </c>
      <c r="J852" s="81">
        <v>93.287560060391215</v>
      </c>
      <c r="K852" s="81">
        <v>92.299762939887287</v>
      </c>
      <c r="L852" s="81">
        <v>92.971464981829968</v>
      </c>
      <c r="M852" s="81">
        <v>13124590.799967218</v>
      </c>
      <c r="N852" s="81" t="s">
        <v>816</v>
      </c>
      <c r="O852" s="25">
        <f t="shared" si="26"/>
        <v>-2.8686782830430468E-3</v>
      </c>
    </row>
    <row r="853" spans="1:15">
      <c r="A853" s="81">
        <v>387.50860377951602</v>
      </c>
      <c r="B853" s="81">
        <v>387.53290447458073</v>
      </c>
      <c r="C853" s="81">
        <v>384.24259036282217</v>
      </c>
      <c r="D853" s="81">
        <v>384.90356926858163</v>
      </c>
      <c r="E853" s="81">
        <v>3906518.9183807769</v>
      </c>
      <c r="F853" s="81" t="s">
        <v>817</v>
      </c>
      <c r="G853" s="25">
        <f t="shared" si="25"/>
        <v>6.7680185867973197E-3</v>
      </c>
      <c r="I853" s="81">
        <v>92.003423803736112</v>
      </c>
      <c r="J853" s="81">
        <v>92.087386558978935</v>
      </c>
      <c r="K853" s="81">
        <v>90.650141748645723</v>
      </c>
      <c r="L853" s="81">
        <v>91.124284366487615</v>
      </c>
      <c r="M853" s="81">
        <v>12510272.345900025</v>
      </c>
      <c r="N853" s="81" t="s">
        <v>817</v>
      </c>
      <c r="O853" s="25">
        <f t="shared" si="26"/>
        <v>9.6476964769647289E-3</v>
      </c>
    </row>
    <row r="854" spans="1:15">
      <c r="A854" s="81">
        <v>383.98014285612351</v>
      </c>
      <c r="B854" s="81">
        <v>385.8269956810397</v>
      </c>
      <c r="C854" s="81">
        <v>383.05671644366544</v>
      </c>
      <c r="D854" s="81">
        <v>383.9995834121753</v>
      </c>
      <c r="E854" s="81">
        <v>3151008.635603732</v>
      </c>
      <c r="F854" s="81" t="s">
        <v>818</v>
      </c>
      <c r="G854" s="25">
        <f t="shared" si="25"/>
        <v>-5.0626502974382426E-5</v>
      </c>
      <c r="I854" s="81">
        <v>90.808189287926368</v>
      </c>
      <c r="J854" s="81">
        <v>91.786108437225252</v>
      </c>
      <c r="K854" s="81">
        <v>90.432826382134863</v>
      </c>
      <c r="L854" s="81">
        <v>91.647816840354693</v>
      </c>
      <c r="M854" s="81">
        <v>9753440.0536467861</v>
      </c>
      <c r="N854" s="81" t="s">
        <v>818</v>
      </c>
      <c r="O854" s="25">
        <f t="shared" si="26"/>
        <v>-9.1614572106055725E-3</v>
      </c>
    </row>
    <row r="855" spans="1:15">
      <c r="A855" s="81">
        <v>383.33860450641583</v>
      </c>
      <c r="B855" s="81">
        <v>383.68853451534733</v>
      </c>
      <c r="C855" s="81">
        <v>380.34475887444648</v>
      </c>
      <c r="D855" s="81">
        <v>380.99601750218005</v>
      </c>
      <c r="E855" s="81">
        <v>3559930.066597715</v>
      </c>
      <c r="F855" s="81" t="s">
        <v>819</v>
      </c>
      <c r="G855" s="25">
        <f t="shared" si="25"/>
        <v>6.1485865904684633E-3</v>
      </c>
      <c r="I855" s="81">
        <v>91.400867560228718</v>
      </c>
      <c r="J855" s="81">
        <v>91.549037128304306</v>
      </c>
      <c r="K855" s="81">
        <v>90.185877102008874</v>
      </c>
      <c r="L855" s="81">
        <v>91.390989589023675</v>
      </c>
      <c r="M855" s="81">
        <v>9141720.3113461249</v>
      </c>
      <c r="N855" s="81" t="s">
        <v>819</v>
      </c>
      <c r="O855" s="25">
        <f t="shared" si="26"/>
        <v>1.080847384349326E-4</v>
      </c>
    </row>
    <row r="856" spans="1:15">
      <c r="A856" s="81">
        <v>381.05433917033525</v>
      </c>
      <c r="B856" s="81">
        <v>383.7176953494249</v>
      </c>
      <c r="C856" s="81">
        <v>380.58776582509336</v>
      </c>
      <c r="D856" s="81">
        <v>382.65818504460464</v>
      </c>
      <c r="E856" s="81">
        <v>4056358.2538527637</v>
      </c>
      <c r="F856" s="81" t="s">
        <v>820</v>
      </c>
      <c r="G856" s="25">
        <f t="shared" si="25"/>
        <v>-4.1913277618311762E-3</v>
      </c>
      <c r="I856" s="81">
        <v>91.390989589023675</v>
      </c>
      <c r="J856" s="81">
        <v>91.944155976505868</v>
      </c>
      <c r="K856" s="81">
        <v>90.739043489491081</v>
      </c>
      <c r="L856" s="81">
        <v>91.647816840354693</v>
      </c>
      <c r="M856" s="81">
        <v>11219333.170708407</v>
      </c>
      <c r="N856" s="81" t="s">
        <v>820</v>
      </c>
      <c r="O856" s="25">
        <f t="shared" si="26"/>
        <v>-2.8023280879498902E-3</v>
      </c>
    </row>
    <row r="857" spans="1:15">
      <c r="A857" s="81">
        <v>382.30825503567314</v>
      </c>
      <c r="B857" s="81">
        <v>382.7748283809151</v>
      </c>
      <c r="C857" s="81">
        <v>380.46140221075694</v>
      </c>
      <c r="D857" s="81">
        <v>381.08350000441294</v>
      </c>
      <c r="E857" s="81">
        <v>2977963.1737843766</v>
      </c>
      <c r="F857" s="81" t="s">
        <v>821</v>
      </c>
      <c r="G857" s="25">
        <f t="shared" si="25"/>
        <v>3.2138757811503993E-3</v>
      </c>
      <c r="I857" s="81">
        <v>91.035382625642256</v>
      </c>
      <c r="J857" s="81">
        <v>91.381111617818647</v>
      </c>
      <c r="K857" s="81">
        <v>89.90929390826777</v>
      </c>
      <c r="L857" s="81">
        <v>89.988317677908086</v>
      </c>
      <c r="M857" s="81">
        <v>12258675.135459471</v>
      </c>
      <c r="N857" s="81" t="s">
        <v>821</v>
      </c>
      <c r="O857" s="25">
        <f t="shared" si="26"/>
        <v>1.1635565312843044E-2</v>
      </c>
    </row>
    <row r="858" spans="1:15">
      <c r="A858" s="81">
        <v>381.52091251557727</v>
      </c>
      <c r="B858" s="81">
        <v>383.7274156274508</v>
      </c>
      <c r="C858" s="81">
        <v>380.83077277574017</v>
      </c>
      <c r="D858" s="81">
        <v>382.53182143026822</v>
      </c>
      <c r="E858" s="81">
        <v>4127225.568364379</v>
      </c>
      <c r="F858" s="81" t="s">
        <v>822</v>
      </c>
      <c r="G858" s="25">
        <f t="shared" si="25"/>
        <v>-2.642679270213999E-3</v>
      </c>
      <c r="I858" s="81">
        <v>89.889537965857699</v>
      </c>
      <c r="J858" s="81">
        <v>90.640263777440694</v>
      </c>
      <c r="K858" s="81">
        <v>88.348574457871564</v>
      </c>
      <c r="L858" s="81">
        <v>90.087097389958487</v>
      </c>
      <c r="M858" s="81">
        <v>20021531.334197994</v>
      </c>
      <c r="N858" s="81" t="s">
        <v>822</v>
      </c>
      <c r="O858" s="25">
        <f t="shared" si="26"/>
        <v>-2.1929824561404132E-3</v>
      </c>
    </row>
    <row r="859" spans="1:15">
      <c r="A859" s="81">
        <v>382.25965364554372</v>
      </c>
      <c r="B859" s="81">
        <v>382.94007310735492</v>
      </c>
      <c r="C859" s="81">
        <v>378.64371021991843</v>
      </c>
      <c r="D859" s="81">
        <v>379.16860523331559</v>
      </c>
      <c r="E859" s="81">
        <v>7580958.055299025</v>
      </c>
      <c r="F859" s="81" t="s">
        <v>823</v>
      </c>
      <c r="G859" s="25">
        <f t="shared" si="25"/>
        <v>8.152173913043459E-3</v>
      </c>
      <c r="I859" s="81">
        <v>89.662344628141796</v>
      </c>
      <c r="J859" s="81">
        <v>90.225388986829046</v>
      </c>
      <c r="K859" s="81">
        <v>88.506621997152195</v>
      </c>
      <c r="L859" s="81">
        <v>88.536255910767309</v>
      </c>
      <c r="M859" s="81">
        <v>14527523.620112533</v>
      </c>
      <c r="N859" s="81" t="s">
        <v>823</v>
      </c>
      <c r="O859" s="25">
        <f t="shared" si="26"/>
        <v>1.2718955706794599E-2</v>
      </c>
    </row>
    <row r="860" spans="1:15">
      <c r="A860" s="81">
        <v>376.72881544882108</v>
      </c>
      <c r="B860" s="81">
        <v>377.70084325140857</v>
      </c>
      <c r="C860" s="81">
        <v>372.25748755691882</v>
      </c>
      <c r="D860" s="81">
        <v>373.45308175410133</v>
      </c>
      <c r="E860" s="81">
        <v>3666103.9843861563</v>
      </c>
      <c r="F860" s="81" t="s">
        <v>824</v>
      </c>
      <c r="G860" s="25">
        <f t="shared" si="25"/>
        <v>8.7714731910464305E-3</v>
      </c>
      <c r="I860" s="81">
        <v>87.508946905443224</v>
      </c>
      <c r="J860" s="81">
        <v>87.968272566477566</v>
      </c>
      <c r="K860" s="81">
        <v>86.047007167097405</v>
      </c>
      <c r="L860" s="81">
        <v>87.321265452547479</v>
      </c>
      <c r="M860" s="81">
        <v>12141331.201574681</v>
      </c>
      <c r="N860" s="81" t="s">
        <v>824</v>
      </c>
      <c r="O860" s="25">
        <f t="shared" si="26"/>
        <v>2.1493212669683182E-3</v>
      </c>
    </row>
    <row r="861" spans="1:15">
      <c r="A861" s="81">
        <v>373.15175313529926</v>
      </c>
      <c r="B861" s="81">
        <v>374.38622844458536</v>
      </c>
      <c r="C861" s="81">
        <v>371.72287226549571</v>
      </c>
      <c r="D861" s="81">
        <v>373.56000481238601</v>
      </c>
      <c r="E861" s="81">
        <v>4326365.9627900664</v>
      </c>
      <c r="F861" s="81" t="s">
        <v>825</v>
      </c>
      <c r="G861" s="25">
        <f t="shared" si="25"/>
        <v>-1.0928677369832496E-3</v>
      </c>
      <c r="I861" s="81">
        <v>86.886634719525745</v>
      </c>
      <c r="J861" s="81">
        <v>87.094072114831576</v>
      </c>
      <c r="K861" s="81">
        <v>86.086519051917577</v>
      </c>
      <c r="L861" s="81">
        <v>86.511271813734254</v>
      </c>
      <c r="M861" s="81">
        <v>11581909.64776605</v>
      </c>
      <c r="N861" s="81" t="s">
        <v>825</v>
      </c>
      <c r="O861" s="25">
        <f t="shared" si="26"/>
        <v>4.3388901575702743E-3</v>
      </c>
    </row>
    <row r="862" spans="1:15">
      <c r="A862" s="81">
        <v>375.19301152073291</v>
      </c>
      <c r="B862" s="81">
        <v>377.39951463260644</v>
      </c>
      <c r="C862" s="81">
        <v>373.99741732355034</v>
      </c>
      <c r="D862" s="81">
        <v>376.91350073131269</v>
      </c>
      <c r="E862" s="81">
        <v>4082651.7404505406</v>
      </c>
      <c r="F862" s="81" t="s">
        <v>826</v>
      </c>
      <c r="G862" s="25">
        <f t="shared" si="25"/>
        <v>-4.5646791829997424E-3</v>
      </c>
      <c r="I862" s="81">
        <v>86.748343122655186</v>
      </c>
      <c r="J862" s="81">
        <v>87.884309811234715</v>
      </c>
      <c r="K862" s="81">
        <v>85.948227455047018</v>
      </c>
      <c r="L862" s="81">
        <v>87.884309811234715</v>
      </c>
      <c r="M862" s="81">
        <v>14983575.769535869</v>
      </c>
      <c r="N862" s="81" t="s">
        <v>826</v>
      </c>
      <c r="O862" s="25">
        <f t="shared" si="26"/>
        <v>-1.2925705293919454E-2</v>
      </c>
    </row>
    <row r="863" spans="1:15">
      <c r="A863" s="81">
        <v>375.07636818442245</v>
      </c>
      <c r="B863" s="81">
        <v>375.75678764623365</v>
      </c>
      <c r="C863" s="81">
        <v>370.86262766020582</v>
      </c>
      <c r="D863" s="81">
        <v>370.96469057947746</v>
      </c>
      <c r="E863" s="81">
        <v>3130354.9053847413</v>
      </c>
      <c r="F863" s="81" t="s">
        <v>827</v>
      </c>
      <c r="G863" s="25">
        <f t="shared" si="25"/>
        <v>1.1083743842364546E-2</v>
      </c>
      <c r="I863" s="81">
        <v>87.212607769292049</v>
      </c>
      <c r="J863" s="81">
        <v>88.151015033770776</v>
      </c>
      <c r="K863" s="81">
        <v>87.024926316396289</v>
      </c>
      <c r="L863" s="81">
        <v>87.410167193392823</v>
      </c>
      <c r="M863" s="81">
        <v>13051973.661780577</v>
      </c>
      <c r="N863" s="81" t="s">
        <v>827</v>
      </c>
      <c r="O863" s="25">
        <f t="shared" si="26"/>
        <v>-2.2601423889703209E-3</v>
      </c>
    </row>
    <row r="864" spans="1:15">
      <c r="A864" s="81">
        <v>370.26483056161453</v>
      </c>
      <c r="B864" s="81">
        <v>371.5867883731334</v>
      </c>
      <c r="C864" s="81">
        <v>368.32077495643961</v>
      </c>
      <c r="D864" s="81">
        <v>370.33287250779563</v>
      </c>
      <c r="E864" s="81">
        <v>3411293.3716231384</v>
      </c>
      <c r="F864" s="81" t="s">
        <v>828</v>
      </c>
      <c r="G864" s="25">
        <f t="shared" si="25"/>
        <v>-1.8373185647913015E-4</v>
      </c>
      <c r="I864" s="81">
        <v>87.064438201216461</v>
      </c>
      <c r="J864" s="81">
        <v>88.467110112332037</v>
      </c>
      <c r="K864" s="81">
        <v>86.718709209040085</v>
      </c>
      <c r="L864" s="81">
        <v>88.467110112332037</v>
      </c>
      <c r="M864" s="81">
        <v>13773840.516015008</v>
      </c>
      <c r="N864" s="81" t="s">
        <v>828</v>
      </c>
      <c r="O864" s="25">
        <f t="shared" si="26"/>
        <v>-1.5855292541313015E-2</v>
      </c>
    </row>
    <row r="865" spans="1:15">
      <c r="A865" s="81">
        <v>367.06685909110178</v>
      </c>
      <c r="B865" s="81">
        <v>368.64154413129347</v>
      </c>
      <c r="C865" s="81">
        <v>366.03650962035908</v>
      </c>
      <c r="D865" s="81">
        <v>368.31105467841377</v>
      </c>
      <c r="E865" s="81">
        <v>3715523.3527129977</v>
      </c>
      <c r="F865" s="81" t="s">
        <v>829</v>
      </c>
      <c r="G865" s="25">
        <f t="shared" si="25"/>
        <v>-3.378110897046871E-3</v>
      </c>
      <c r="I865" s="81">
        <v>87.983089523285102</v>
      </c>
      <c r="J865" s="81">
        <v>88.397964313896765</v>
      </c>
      <c r="K865" s="81">
        <v>87.331143423752522</v>
      </c>
      <c r="L865" s="81">
        <v>88.348574457871564</v>
      </c>
      <c r="M865" s="81">
        <v>15540409.74746789</v>
      </c>
      <c r="N865" s="81" t="s">
        <v>829</v>
      </c>
      <c r="O865" s="25">
        <f t="shared" si="26"/>
        <v>-4.1368515205725265E-3</v>
      </c>
    </row>
    <row r="866" spans="1:15">
      <c r="A866" s="81">
        <v>369.83713832847604</v>
      </c>
      <c r="B866" s="81">
        <v>373.3655992518685</v>
      </c>
      <c r="C866" s="81">
        <v>369.44832720744103</v>
      </c>
      <c r="D866" s="81">
        <v>372.47133367348806</v>
      </c>
      <c r="E866" s="81">
        <v>2970351.2515941835</v>
      </c>
      <c r="F866" s="81" t="s">
        <v>830</v>
      </c>
      <c r="G866" s="25">
        <f t="shared" si="25"/>
        <v>-7.0722096088102759E-3</v>
      </c>
      <c r="I866" s="81">
        <v>88.723937363663055</v>
      </c>
      <c r="J866" s="81">
        <v>90.906968999976755</v>
      </c>
      <c r="K866" s="81">
        <v>88.709120406855504</v>
      </c>
      <c r="L866" s="81">
        <v>89.988317677908086</v>
      </c>
      <c r="M866" s="81">
        <v>14961269.569666853</v>
      </c>
      <c r="N866" s="81" t="s">
        <v>830</v>
      </c>
      <c r="O866" s="25">
        <f t="shared" si="26"/>
        <v>-1.4050493962678323E-2</v>
      </c>
    </row>
    <row r="867" spans="1:15">
      <c r="A867" s="81">
        <v>374.01685787960207</v>
      </c>
      <c r="B867" s="81">
        <v>375.42629819335394</v>
      </c>
      <c r="C867" s="81">
        <v>372.74350145821256</v>
      </c>
      <c r="D867" s="81">
        <v>373.90021454329161</v>
      </c>
      <c r="E867" s="81">
        <v>2864127.9525021706</v>
      </c>
      <c r="F867" s="81" t="s">
        <v>831</v>
      </c>
      <c r="G867" s="25">
        <f t="shared" si="25"/>
        <v>3.1196381219777969E-4</v>
      </c>
      <c r="I867" s="81">
        <v>90.699531604670909</v>
      </c>
      <c r="J867" s="81">
        <v>90.813128273528875</v>
      </c>
      <c r="K867" s="81">
        <v>88.793083162098341</v>
      </c>
      <c r="L867" s="81">
        <v>90.215511015623989</v>
      </c>
      <c r="M867" s="81">
        <v>14325453.78628049</v>
      </c>
      <c r="N867" s="81" t="s">
        <v>831</v>
      </c>
      <c r="O867" s="25">
        <f t="shared" si="26"/>
        <v>5.3651593123835717E-3</v>
      </c>
    </row>
    <row r="868" spans="1:15">
      <c r="A868" s="81">
        <v>373.81273204105872</v>
      </c>
      <c r="B868" s="81">
        <v>375.72762681215602</v>
      </c>
      <c r="C868" s="81">
        <v>372.71434062413488</v>
      </c>
      <c r="D868" s="81">
        <v>375.22217235481054</v>
      </c>
      <c r="E868" s="81">
        <v>3754052.0860478966</v>
      </c>
      <c r="F868" s="81" t="s">
        <v>832</v>
      </c>
      <c r="G868" s="25">
        <f t="shared" si="25"/>
        <v>-3.7562820579244427E-3</v>
      </c>
      <c r="I868" s="81">
        <v>90.235266958034074</v>
      </c>
      <c r="J868" s="81">
        <v>91.865132206865567</v>
      </c>
      <c r="K868" s="81">
        <v>90.200694058816438</v>
      </c>
      <c r="L868" s="81">
        <v>91.865132206865567</v>
      </c>
      <c r="M868" s="81">
        <v>16631998.27067589</v>
      </c>
      <c r="N868" s="81" t="s">
        <v>832</v>
      </c>
      <c r="O868" s="25">
        <f t="shared" si="26"/>
        <v>-1.7741935483871041E-2</v>
      </c>
    </row>
    <row r="869" spans="1:15">
      <c r="A869" s="81">
        <v>374.40566900063709</v>
      </c>
      <c r="B869" s="81">
        <v>374.78475984364616</v>
      </c>
      <c r="C869" s="81">
        <v>370.34259278582152</v>
      </c>
      <c r="D869" s="81">
        <v>370.59532001449423</v>
      </c>
      <c r="E869" s="81">
        <v>3436753.5487231379</v>
      </c>
      <c r="F869" s="81" t="s">
        <v>833</v>
      </c>
      <c r="G869" s="25">
        <f t="shared" si="25"/>
        <v>1.0281697529245237E-2</v>
      </c>
      <c r="I869" s="81">
        <v>92.615858018448549</v>
      </c>
      <c r="J869" s="81">
        <v>93.090000636290426</v>
      </c>
      <c r="K869" s="81">
        <v>91.331721761793432</v>
      </c>
      <c r="L869" s="81">
        <v>91.712023653187444</v>
      </c>
      <c r="M869" s="81">
        <v>15200310.558042623</v>
      </c>
      <c r="N869" s="81" t="s">
        <v>833</v>
      </c>
      <c r="O869" s="25">
        <f t="shared" si="26"/>
        <v>9.8551349022566459E-3</v>
      </c>
    </row>
    <row r="870" spans="1:15">
      <c r="A870" s="81">
        <v>370.78000529698585</v>
      </c>
      <c r="B870" s="81">
        <v>371.40210309064179</v>
      </c>
      <c r="C870" s="81">
        <v>366.72664936019612</v>
      </c>
      <c r="D870" s="81">
        <v>368.25273301025851</v>
      </c>
      <c r="E870" s="81">
        <v>3315383.5635375697</v>
      </c>
      <c r="F870" s="81" t="s">
        <v>834</v>
      </c>
      <c r="G870" s="25">
        <f t="shared" si="25"/>
        <v>6.8628744885836923E-3</v>
      </c>
      <c r="I870" s="81">
        <v>91.63793886914965</v>
      </c>
      <c r="J870" s="81">
        <v>91.914522062890754</v>
      </c>
      <c r="K870" s="81">
        <v>89.741368397782111</v>
      </c>
      <c r="L870" s="81">
        <v>89.90929390826777</v>
      </c>
      <c r="M870" s="81">
        <v>12615539.913340343</v>
      </c>
      <c r="N870" s="81" t="s">
        <v>834</v>
      </c>
      <c r="O870" s="25">
        <f t="shared" si="26"/>
        <v>1.922654361678755E-2</v>
      </c>
    </row>
    <row r="871" spans="1:15">
      <c r="A871" s="81">
        <v>366.40588018534231</v>
      </c>
      <c r="B871" s="81">
        <v>368.67070496537104</v>
      </c>
      <c r="C871" s="81">
        <v>366.36699907323884</v>
      </c>
      <c r="D871" s="81">
        <v>367.80560022106823</v>
      </c>
      <c r="E871" s="81">
        <v>2343159.3149261507</v>
      </c>
      <c r="F871" s="81" t="s">
        <v>835</v>
      </c>
      <c r="G871" s="25">
        <f t="shared" si="25"/>
        <v>-3.8055973995083647E-3</v>
      </c>
      <c r="I871" s="81">
        <v>89.869782023447627</v>
      </c>
      <c r="J871" s="81">
        <v>91.287270891370767</v>
      </c>
      <c r="K871" s="81">
        <v>89.672222599346838</v>
      </c>
      <c r="L871" s="81">
        <v>90.916846971181798</v>
      </c>
      <c r="M871" s="81">
        <v>17223485.113340437</v>
      </c>
      <c r="N871" s="81" t="s">
        <v>835</v>
      </c>
      <c r="O871" s="25">
        <f t="shared" si="26"/>
        <v>-1.1516731855715001E-2</v>
      </c>
    </row>
    <row r="872" spans="1:15">
      <c r="A872" s="81">
        <v>368.84566996983682</v>
      </c>
      <c r="B872" s="81">
        <v>369.21504053482005</v>
      </c>
      <c r="C872" s="81">
        <v>366.36699907323884</v>
      </c>
      <c r="D872" s="81">
        <v>368.14580995197389</v>
      </c>
      <c r="E872" s="81">
        <v>3994290.0703713847</v>
      </c>
      <c r="F872" s="81" t="s">
        <v>836</v>
      </c>
      <c r="G872" s="25">
        <f t="shared" si="25"/>
        <v>1.9010402914927393E-3</v>
      </c>
      <c r="I872" s="81">
        <v>91.726840609995008</v>
      </c>
      <c r="J872" s="81">
        <v>91.736718581200051</v>
      </c>
      <c r="K872" s="81">
        <v>89.593198829706523</v>
      </c>
      <c r="L872" s="81">
        <v>90.422948410929834</v>
      </c>
      <c r="M872" s="81">
        <v>16999491.749311268</v>
      </c>
      <c r="N872" s="81" t="s">
        <v>836</v>
      </c>
      <c r="O872" s="25">
        <f t="shared" si="26"/>
        <v>1.4419925715533966E-2</v>
      </c>
    </row>
    <row r="873" spans="1:15">
      <c r="A873" s="81">
        <v>367.57231354844726</v>
      </c>
      <c r="B873" s="81">
        <v>369.38028526125993</v>
      </c>
      <c r="C873" s="81">
        <v>365.32206918545728</v>
      </c>
      <c r="D873" s="81">
        <v>369.22476081284594</v>
      </c>
      <c r="E873" s="81">
        <v>2603850.4179228684</v>
      </c>
      <c r="F873" s="81" t="s">
        <v>837</v>
      </c>
      <c r="G873" s="25">
        <f t="shared" si="25"/>
        <v>-4.4754508358563205E-3</v>
      </c>
      <c r="I873" s="81">
        <v>90.867457115156583</v>
      </c>
      <c r="J873" s="81">
        <v>91.74659655240508</v>
      </c>
      <c r="K873" s="81">
        <v>90.126609274778644</v>
      </c>
      <c r="L873" s="81">
        <v>91.213186107332973</v>
      </c>
      <c r="M873" s="81">
        <v>22107221.76316883</v>
      </c>
      <c r="N873" s="81" t="s">
        <v>837</v>
      </c>
      <c r="O873" s="25">
        <f t="shared" si="26"/>
        <v>-3.7903400476501092E-3</v>
      </c>
    </row>
    <row r="874" spans="1:15">
      <c r="A874" s="81">
        <v>368.0680477277669</v>
      </c>
      <c r="B874" s="81">
        <v>368.28189384433608</v>
      </c>
      <c r="C874" s="81">
        <v>366.13371240061781</v>
      </c>
      <c r="D874" s="81">
        <v>367.88336244527528</v>
      </c>
      <c r="E874" s="81">
        <v>2753647.5735313874</v>
      </c>
      <c r="F874" s="81" t="s">
        <v>838</v>
      </c>
      <c r="G874" s="25">
        <f t="shared" si="25"/>
        <v>5.0202129627185954E-4</v>
      </c>
      <c r="I874" s="81">
        <v>91.183552193717844</v>
      </c>
      <c r="J874" s="81">
        <v>93.949384131128852</v>
      </c>
      <c r="K874" s="81">
        <v>90.758799431901153</v>
      </c>
      <c r="L874" s="81">
        <v>93.643167023772634</v>
      </c>
      <c r="M874" s="81">
        <v>57832970.77324561</v>
      </c>
      <c r="N874" s="81" t="s">
        <v>838</v>
      </c>
      <c r="O874" s="25">
        <f t="shared" si="26"/>
        <v>-2.6265822784810156E-2</v>
      </c>
    </row>
    <row r="875" spans="1:15">
      <c r="A875" s="81">
        <v>368.58322246313821</v>
      </c>
      <c r="B875" s="81">
        <v>370.17734805938164</v>
      </c>
      <c r="C875" s="81">
        <v>365.13252376395269</v>
      </c>
      <c r="D875" s="81">
        <v>369.64273276795853</v>
      </c>
      <c r="E875" s="81">
        <v>3614039.6299867393</v>
      </c>
      <c r="F875" s="81" t="s">
        <v>839</v>
      </c>
      <c r="G875" s="25">
        <f t="shared" si="25"/>
        <v>-2.8663090354474896E-3</v>
      </c>
      <c r="I875" s="81">
        <v>99.905800767767559</v>
      </c>
      <c r="J875" s="81">
        <v>101.99005269203086</v>
      </c>
      <c r="K875" s="81">
        <v>98.819223935213245</v>
      </c>
      <c r="L875" s="81">
        <v>101.74310341190487</v>
      </c>
      <c r="M875" s="81">
        <v>19766359.503092218</v>
      </c>
      <c r="N875" s="81" t="s">
        <v>839</v>
      </c>
      <c r="O875" s="25">
        <f t="shared" si="26"/>
        <v>-1.8058252427184507E-2</v>
      </c>
    </row>
    <row r="876" spans="1:15">
      <c r="A876" s="81">
        <v>366.97937658886894</v>
      </c>
      <c r="B876" s="81">
        <v>367.99028550355985</v>
      </c>
      <c r="C876" s="81">
        <v>366.77525075032554</v>
      </c>
      <c r="D876" s="81">
        <v>367.14462131530877</v>
      </c>
      <c r="E876" s="81">
        <v>2336403.3353312062</v>
      </c>
      <c r="F876" s="81" t="s">
        <v>840</v>
      </c>
      <c r="G876" s="25">
        <f t="shared" si="25"/>
        <v>-4.500807497814785E-4</v>
      </c>
      <c r="I876" s="81">
        <v>100.93310977309166</v>
      </c>
      <c r="J876" s="81">
        <v>101.7233474694948</v>
      </c>
      <c r="K876" s="81">
        <v>100.8442080322463</v>
      </c>
      <c r="L876" s="81">
        <v>101.65420167105951</v>
      </c>
      <c r="M876" s="81">
        <v>6914253.8059998546</v>
      </c>
      <c r="N876" s="81" t="s">
        <v>840</v>
      </c>
      <c r="O876" s="25">
        <f t="shared" si="26"/>
        <v>-7.0935769118645187E-3</v>
      </c>
    </row>
    <row r="877" spans="1:15">
      <c r="A877" s="81">
        <v>368.57350218511232</v>
      </c>
      <c r="B877" s="81">
        <v>369.0011944182508</v>
      </c>
      <c r="C877" s="81">
        <v>367.30986604174865</v>
      </c>
      <c r="D877" s="81">
        <v>368.79706857970746</v>
      </c>
      <c r="E877" s="81">
        <v>3042729.8397505339</v>
      </c>
      <c r="F877" s="81" t="s">
        <v>841</v>
      </c>
      <c r="G877" s="25">
        <f t="shared" si="25"/>
        <v>-6.0620436994285321E-4</v>
      </c>
      <c r="I877" s="81">
        <v>101.71346949828975</v>
      </c>
      <c r="J877" s="81">
        <v>102.64199879156344</v>
      </c>
      <c r="K877" s="81">
        <v>100.44908918404472</v>
      </c>
      <c r="L877" s="81">
        <v>100.45896715524977</v>
      </c>
      <c r="M877" s="81">
        <v>10943683.450388215</v>
      </c>
      <c r="N877" s="81" t="s">
        <v>841</v>
      </c>
      <c r="O877" s="25">
        <f t="shared" si="26"/>
        <v>1.2487708947885867E-2</v>
      </c>
    </row>
    <row r="878" spans="1:15">
      <c r="A878" s="81">
        <v>368.36937634656897</v>
      </c>
      <c r="B878" s="81">
        <v>369.45804748546692</v>
      </c>
      <c r="C878" s="81">
        <v>364.9283979254094</v>
      </c>
      <c r="D878" s="81">
        <v>365.22972654421147</v>
      </c>
      <c r="E878" s="81">
        <v>3229736.8363777162</v>
      </c>
      <c r="F878" s="81" t="s">
        <v>842</v>
      </c>
      <c r="G878" s="25">
        <f t="shared" si="25"/>
        <v>8.5963698302018443E-3</v>
      </c>
      <c r="I878" s="81">
        <v>99.293366553055122</v>
      </c>
      <c r="J878" s="81">
        <v>99.615487194051454</v>
      </c>
      <c r="K878" s="81">
        <v>96.912775492640648</v>
      </c>
      <c r="L878" s="81">
        <v>97.38691811048254</v>
      </c>
      <c r="M878" s="81">
        <v>9414999.099466389</v>
      </c>
      <c r="N878" s="81" t="s">
        <v>842</v>
      </c>
      <c r="O878" s="25">
        <f t="shared" si="26"/>
        <v>1.9576021908915608E-2</v>
      </c>
    </row>
    <row r="879" spans="1:15">
      <c r="A879" s="81">
        <v>361.73042645489659</v>
      </c>
      <c r="B879" s="81">
        <v>363.64532122599394</v>
      </c>
      <c r="C879" s="81">
        <v>360.54455253573997</v>
      </c>
      <c r="D879" s="81">
        <v>363.38287371929528</v>
      </c>
      <c r="E879" s="81">
        <v>4548721.7425575415</v>
      </c>
      <c r="F879" s="81" t="s">
        <v>843</v>
      </c>
      <c r="G879" s="25">
        <f t="shared" si="25"/>
        <v>-4.5473999572009927E-3</v>
      </c>
      <c r="I879" s="81">
        <v>96.260829393108054</v>
      </c>
      <c r="J879" s="81">
        <v>98.325325374961281</v>
      </c>
      <c r="K879" s="81">
        <v>95.431079811884743</v>
      </c>
      <c r="L879" s="81">
        <v>98.325325374961281</v>
      </c>
      <c r="M879" s="81">
        <v>13424538.019745352</v>
      </c>
      <c r="N879" s="81" t="s">
        <v>843</v>
      </c>
      <c r="O879" s="25">
        <f t="shared" si="26"/>
        <v>-2.0996584287723663E-2</v>
      </c>
    </row>
    <row r="880" spans="1:15">
      <c r="A880" s="81">
        <v>364.39378263398623</v>
      </c>
      <c r="B880" s="81">
        <v>369.56497054375154</v>
      </c>
      <c r="C880" s="81">
        <v>364.12161484926179</v>
      </c>
      <c r="D880" s="81">
        <v>367.33902687582628</v>
      </c>
      <c r="E880" s="81">
        <v>5671688.5929854512</v>
      </c>
      <c r="F880" s="81" t="s">
        <v>844</v>
      </c>
      <c r="G880" s="25">
        <f t="shared" si="25"/>
        <v>-8.0177820115902021E-3</v>
      </c>
      <c r="I880" s="81">
        <v>99.629217574026455</v>
      </c>
      <c r="J880" s="81">
        <v>101.32822862129322</v>
      </c>
      <c r="K880" s="81">
        <v>99.411902207515595</v>
      </c>
      <c r="L880" s="81">
        <v>99.826776998127244</v>
      </c>
      <c r="M880" s="81">
        <v>7868077.1979118893</v>
      </c>
      <c r="N880" s="81" t="s">
        <v>844</v>
      </c>
      <c r="O880" s="25">
        <f t="shared" si="26"/>
        <v>-1.9790223629527759E-3</v>
      </c>
    </row>
    <row r="881" spans="1:15">
      <c r="A881" s="81">
        <v>366.95021575479126</v>
      </c>
      <c r="B881" s="81">
        <v>370.44951584410614</v>
      </c>
      <c r="C881" s="81">
        <v>364.18965679544289</v>
      </c>
      <c r="D881" s="81">
        <v>370.40091445397678</v>
      </c>
      <c r="E881" s="81">
        <v>4435665.3055837518</v>
      </c>
      <c r="F881" s="81" t="s">
        <v>845</v>
      </c>
      <c r="G881" s="25">
        <f t="shared" si="25"/>
        <v>-9.3161181966096018E-3</v>
      </c>
      <c r="I881" s="81">
        <v>99.372390322695423</v>
      </c>
      <c r="J881" s="81">
        <v>100.45402816964723</v>
      </c>
      <c r="K881" s="81">
        <v>98.404349144601582</v>
      </c>
      <c r="L881" s="81">
        <v>100.0934822206633</v>
      </c>
      <c r="M881" s="81">
        <v>7041832.6350773368</v>
      </c>
      <c r="N881" s="81" t="s">
        <v>845</v>
      </c>
      <c r="O881" s="25">
        <f t="shared" si="26"/>
        <v>-7.2041843481694956E-3</v>
      </c>
    </row>
    <row r="882" spans="1:15">
      <c r="A882" s="81">
        <v>371.11049474986561</v>
      </c>
      <c r="B882" s="81">
        <v>372.90874618465239</v>
      </c>
      <c r="C882" s="81">
        <v>370.84804724316695</v>
      </c>
      <c r="D882" s="81">
        <v>371.05217308171035</v>
      </c>
      <c r="E882" s="81">
        <v>3157622.6439509075</v>
      </c>
      <c r="F882" s="81" t="s">
        <v>846</v>
      </c>
      <c r="G882" s="25">
        <f t="shared" si="25"/>
        <v>1.5717915804369653E-4</v>
      </c>
      <c r="I882" s="81">
        <v>100.96274368670676</v>
      </c>
      <c r="J882" s="81">
        <v>101.35657839865168</v>
      </c>
      <c r="K882" s="81">
        <v>100.36512642880189</v>
      </c>
      <c r="L882" s="81">
        <v>101.15536412520503</v>
      </c>
      <c r="M882" s="81">
        <v>6994892.8343454357</v>
      </c>
      <c r="N882" s="81" t="s">
        <v>846</v>
      </c>
      <c r="O882" s="25">
        <f t="shared" si="26"/>
        <v>-1.9042038962940877E-3</v>
      </c>
    </row>
    <row r="883" spans="1:15">
      <c r="A883" s="81">
        <v>371.36322197853838</v>
      </c>
      <c r="B883" s="81">
        <v>371.43126392471947</v>
      </c>
      <c r="C883" s="81">
        <v>367.42650937805911</v>
      </c>
      <c r="D883" s="81">
        <v>367.46539049016263</v>
      </c>
      <c r="E883" s="81">
        <v>3484372.5570239169</v>
      </c>
      <c r="F883" s="81" t="s">
        <v>847</v>
      </c>
      <c r="G883" s="25">
        <f t="shared" si="25"/>
        <v>1.0607343138292258E-2</v>
      </c>
      <c r="I883" s="81">
        <v>101.24920485165291</v>
      </c>
      <c r="J883" s="81">
        <v>101.30847267888313</v>
      </c>
      <c r="K883" s="81">
        <v>97.870938699529461</v>
      </c>
      <c r="L883" s="81">
        <v>98.157399864475607</v>
      </c>
      <c r="M883" s="81">
        <v>11469651.778515097</v>
      </c>
      <c r="N883" s="81" t="s">
        <v>847</v>
      </c>
      <c r="O883" s="25">
        <f t="shared" si="26"/>
        <v>3.1498440173090447E-2</v>
      </c>
    </row>
    <row r="884" spans="1:15">
      <c r="A884" s="81">
        <v>368.21385189815499</v>
      </c>
      <c r="B884" s="81">
        <v>368.52490079498295</v>
      </c>
      <c r="C884" s="81">
        <v>363.21762899285545</v>
      </c>
      <c r="D884" s="81">
        <v>363.43147510942464</v>
      </c>
      <c r="E884" s="81">
        <v>4426187.1816294007</v>
      </c>
      <c r="F884" s="81" t="s">
        <v>848</v>
      </c>
      <c r="G884" s="25">
        <f t="shared" si="25"/>
        <v>1.315895049346083E-2</v>
      </c>
      <c r="I884" s="81">
        <v>98.7105662519578</v>
      </c>
      <c r="J884" s="81">
        <v>98.843918863225824</v>
      </c>
      <c r="K884" s="81">
        <v>95.529859523935144</v>
      </c>
      <c r="L884" s="81">
        <v>95.944734314546793</v>
      </c>
      <c r="M884" s="81">
        <v>8267351.4940333366</v>
      </c>
      <c r="N884" s="81" t="s">
        <v>848</v>
      </c>
      <c r="O884" s="25">
        <f t="shared" si="26"/>
        <v>2.8827344795634646E-2</v>
      </c>
    </row>
    <row r="885" spans="1:15">
      <c r="A885" s="81">
        <v>361.05000699308539</v>
      </c>
      <c r="B885" s="81">
        <v>364.19937707346878</v>
      </c>
      <c r="C885" s="81">
        <v>360.60287420389517</v>
      </c>
      <c r="D885" s="81">
        <v>363.20790871482961</v>
      </c>
      <c r="E885" s="81">
        <v>3875296.5604202193</v>
      </c>
      <c r="F885" s="81" t="s">
        <v>849</v>
      </c>
      <c r="G885" s="25">
        <f t="shared" si="25"/>
        <v>-5.9412299951829839E-3</v>
      </c>
      <c r="I885" s="81">
        <v>95.431079811884743</v>
      </c>
      <c r="J885" s="81">
        <v>97.27826042722711</v>
      </c>
      <c r="K885" s="81">
        <v>95.277971258206634</v>
      </c>
      <c r="L885" s="81">
        <v>96.646070270104588</v>
      </c>
      <c r="M885" s="81">
        <v>8741198.7955533229</v>
      </c>
      <c r="N885" s="81" t="s">
        <v>849</v>
      </c>
      <c r="O885" s="25">
        <f t="shared" si="26"/>
        <v>-1.2571545380212656E-2</v>
      </c>
    </row>
    <row r="886" spans="1:15">
      <c r="A886" s="81">
        <v>362.66357314538061</v>
      </c>
      <c r="B886" s="81">
        <v>367.13490103728287</v>
      </c>
      <c r="C886" s="81">
        <v>362.58581092117356</v>
      </c>
      <c r="D886" s="81">
        <v>366.62944657993745</v>
      </c>
      <c r="E886" s="81">
        <v>3904649.6302851452</v>
      </c>
      <c r="F886" s="81" t="s">
        <v>850</v>
      </c>
      <c r="G886" s="25">
        <f t="shared" si="25"/>
        <v>-1.081711649610273E-2</v>
      </c>
      <c r="I886" s="81">
        <v>96.813995780590261</v>
      </c>
      <c r="J886" s="81">
        <v>98.493250885446926</v>
      </c>
      <c r="K886" s="81">
        <v>96.813995780590261</v>
      </c>
      <c r="L886" s="81">
        <v>98.162338850078115</v>
      </c>
      <c r="M886" s="81">
        <v>6591833.3480038615</v>
      </c>
      <c r="N886" s="81" t="s">
        <v>850</v>
      </c>
      <c r="O886" s="25">
        <f t="shared" si="26"/>
        <v>-1.3735849056603633E-2</v>
      </c>
    </row>
    <row r="887" spans="1:15">
      <c r="A887" s="81">
        <v>368.48601968287943</v>
      </c>
      <c r="B887" s="81">
        <v>368.85539024786272</v>
      </c>
      <c r="C887" s="81">
        <v>366.67804797006681</v>
      </c>
      <c r="D887" s="81">
        <v>367.89308272330112</v>
      </c>
      <c r="E887" s="81">
        <v>2376858.9682825711</v>
      </c>
      <c r="F887" s="81" t="s">
        <v>851</v>
      </c>
      <c r="G887" s="25">
        <f t="shared" si="25"/>
        <v>1.6117099978860683E-3</v>
      </c>
      <c r="I887" s="81">
        <v>98.463616971831826</v>
      </c>
      <c r="J887" s="81">
        <v>99.505742933963461</v>
      </c>
      <c r="K887" s="81">
        <v>97.465941880122855</v>
      </c>
      <c r="L887" s="81">
        <v>98.922942632866139</v>
      </c>
      <c r="M887" s="81">
        <v>8646078.0485399421</v>
      </c>
      <c r="N887" s="81" t="s">
        <v>851</v>
      </c>
      <c r="O887" s="25">
        <f t="shared" si="26"/>
        <v>-4.6432672624692195E-3</v>
      </c>
    </row>
    <row r="888" spans="1:15">
      <c r="A888" s="81">
        <v>368.00000578158568</v>
      </c>
      <c r="B888" s="81">
        <v>368.49573996090538</v>
      </c>
      <c r="C888" s="81">
        <v>366.2795165710059</v>
      </c>
      <c r="D888" s="81">
        <v>368.08748828381863</v>
      </c>
      <c r="E888" s="81">
        <v>2841797.3155160467</v>
      </c>
      <c r="F888" s="81" t="s">
        <v>852</v>
      </c>
      <c r="G888" s="25">
        <f t="shared" si="25"/>
        <v>-2.376676877576811E-4</v>
      </c>
      <c r="I888" s="81">
        <v>98.354959288576381</v>
      </c>
      <c r="J888" s="81">
        <v>98.503128856651969</v>
      </c>
      <c r="K888" s="81">
        <v>96.527534615644115</v>
      </c>
      <c r="L888" s="81">
        <v>96.962165348665835</v>
      </c>
      <c r="M888" s="81">
        <v>9584942.9032247551</v>
      </c>
      <c r="N888" s="81" t="s">
        <v>852</v>
      </c>
      <c r="O888" s="25">
        <f t="shared" si="26"/>
        <v>1.4364303178484139E-2</v>
      </c>
    </row>
    <row r="889" spans="1:15">
      <c r="A889" s="81">
        <v>367.7861596650165</v>
      </c>
      <c r="B889" s="81">
        <v>369.43860692941519</v>
      </c>
      <c r="C889" s="81">
        <v>366.39615990731642</v>
      </c>
      <c r="D889" s="81">
        <v>367.21266326148987</v>
      </c>
      <c r="E889" s="81">
        <v>3038156.9252843349</v>
      </c>
      <c r="F889" s="81" t="s">
        <v>853</v>
      </c>
      <c r="G889" s="25">
        <f t="shared" si="25"/>
        <v>1.5617555190852173E-3</v>
      </c>
      <c r="I889" s="81">
        <v>96.873263607820476</v>
      </c>
      <c r="J889" s="81">
        <v>97.377040139277497</v>
      </c>
      <c r="K889" s="81">
        <v>96.202549362998326</v>
      </c>
      <c r="L889" s="81">
        <v>96.557168529259229</v>
      </c>
      <c r="M889" s="81">
        <v>7858633.9632573463</v>
      </c>
      <c r="N889" s="81" t="s">
        <v>853</v>
      </c>
      <c r="O889" s="25">
        <f t="shared" si="26"/>
        <v>3.2736572890024185E-3</v>
      </c>
    </row>
    <row r="890" spans="1:15">
      <c r="A890" s="81">
        <v>369.87601944057951</v>
      </c>
      <c r="B890" s="81">
        <v>370.66336196067533</v>
      </c>
      <c r="C890" s="81">
        <v>368.07776800579273</v>
      </c>
      <c r="D890" s="81">
        <v>368.13608967394799</v>
      </c>
      <c r="E890" s="81">
        <v>2748183.7380465763</v>
      </c>
      <c r="F890" s="81" t="s">
        <v>854</v>
      </c>
      <c r="G890" s="25">
        <f t="shared" si="25"/>
        <v>4.7263221820292856E-3</v>
      </c>
      <c r="I890" s="81">
        <v>97.544965649763157</v>
      </c>
      <c r="J890" s="81">
        <v>98.611786539907399</v>
      </c>
      <c r="K890" s="81">
        <v>97.154785787164116</v>
      </c>
      <c r="L890" s="81">
        <v>98.562396683882213</v>
      </c>
      <c r="M890" s="81">
        <v>11665661.663521873</v>
      </c>
      <c r="N890" s="81" t="s">
        <v>854</v>
      </c>
      <c r="O890" s="25">
        <f t="shared" si="26"/>
        <v>-1.032270996191631E-2</v>
      </c>
    </row>
    <row r="891" spans="1:15">
      <c r="A891" s="81">
        <v>369.8954599966313</v>
      </c>
      <c r="B891" s="81">
        <v>371.23199822518905</v>
      </c>
      <c r="C891" s="81">
        <v>368.63182385326758</v>
      </c>
      <c r="D891" s="81">
        <v>371.15909613999497</v>
      </c>
      <c r="E891" s="81">
        <v>3106153.9515258279</v>
      </c>
      <c r="F891" s="81" t="s">
        <v>855</v>
      </c>
      <c r="G891" s="25">
        <f t="shared" ref="G891:G939" si="27">A891/D891-1</f>
        <v>-3.4045673580556102E-3</v>
      </c>
      <c r="I891" s="81">
        <v>99.698363372461742</v>
      </c>
      <c r="J891" s="81">
        <v>99.915678738972602</v>
      </c>
      <c r="K891" s="81">
        <v>98.379654216588989</v>
      </c>
      <c r="L891" s="81">
        <v>99.382268293900466</v>
      </c>
      <c r="M891" s="81">
        <v>8281202.5163900536</v>
      </c>
      <c r="N891" s="81" t="s">
        <v>855</v>
      </c>
      <c r="O891" s="25">
        <f t="shared" ref="O891:O939" si="28">I891/L891-1</f>
        <v>3.1805983500647894E-3</v>
      </c>
    </row>
    <row r="892" spans="1:15">
      <c r="A892" s="81">
        <v>369.64273276795853</v>
      </c>
      <c r="B892" s="81">
        <v>369.681613880062</v>
      </c>
      <c r="C892" s="81">
        <v>367.11546048123114</v>
      </c>
      <c r="D892" s="81">
        <v>368.24301273223256</v>
      </c>
      <c r="E892" s="81">
        <v>2799306.7613466522</v>
      </c>
      <c r="F892" s="81" t="s">
        <v>856</v>
      </c>
      <c r="G892" s="25">
        <f t="shared" si="27"/>
        <v>3.8010769718088699E-3</v>
      </c>
      <c r="I892" s="81">
        <v>99.076051186544248</v>
      </c>
      <c r="J892" s="81">
        <v>99.342756409080309</v>
      </c>
      <c r="K892" s="81">
        <v>97.940084497964747</v>
      </c>
      <c r="L892" s="81">
        <v>98.354959288576381</v>
      </c>
      <c r="M892" s="81">
        <v>6788103.4078933802</v>
      </c>
      <c r="N892" s="81" t="s">
        <v>856</v>
      </c>
      <c r="O892" s="25">
        <f t="shared" si="28"/>
        <v>7.3315255599075702E-3</v>
      </c>
    </row>
    <row r="893" spans="1:15">
      <c r="A893" s="81">
        <v>368.3888169026207</v>
      </c>
      <c r="B893" s="81">
        <v>370.66336196067533</v>
      </c>
      <c r="C893" s="81">
        <v>366.18231379074723</v>
      </c>
      <c r="D893" s="81">
        <v>368.66098468734521</v>
      </c>
      <c r="E893" s="81">
        <v>3067456.4987370577</v>
      </c>
      <c r="F893" s="81" t="s">
        <v>857</v>
      </c>
      <c r="G893" s="25">
        <f t="shared" si="27"/>
        <v>-7.3826034223645198E-4</v>
      </c>
      <c r="I893" s="81">
        <v>98.680932338342686</v>
      </c>
      <c r="J893" s="81">
        <v>99.629217574026455</v>
      </c>
      <c r="K893" s="81">
        <v>97.722769131453873</v>
      </c>
      <c r="L893" s="81">
        <v>99.273610610645036</v>
      </c>
      <c r="M893" s="81">
        <v>7427891.6669212971</v>
      </c>
      <c r="N893" s="81" t="s">
        <v>857</v>
      </c>
      <c r="O893" s="25">
        <f t="shared" si="28"/>
        <v>-5.9701492537312939E-3</v>
      </c>
    </row>
    <row r="894" spans="1:15">
      <c r="A894" s="81">
        <v>369.14699858863889</v>
      </c>
      <c r="B894" s="81">
        <v>369.53580970967391</v>
      </c>
      <c r="C894" s="81">
        <v>364.94278393688762</v>
      </c>
      <c r="D894" s="81">
        <v>365.39497127065135</v>
      </c>
      <c r="E894" s="81">
        <v>2758017.8188975095</v>
      </c>
      <c r="F894" s="81" t="s">
        <v>858</v>
      </c>
      <c r="G894" s="25">
        <f t="shared" si="27"/>
        <v>1.0268415312175705E-2</v>
      </c>
      <c r="I894" s="81">
        <v>99.609461631616384</v>
      </c>
      <c r="J894" s="81">
        <v>99.836654969332272</v>
      </c>
      <c r="K894" s="81">
        <v>97.307894340842225</v>
      </c>
      <c r="L894" s="81">
        <v>97.307894340842225</v>
      </c>
      <c r="M894" s="81">
        <v>8853009.2045001071</v>
      </c>
      <c r="N894" s="81" t="s">
        <v>858</v>
      </c>
      <c r="O894" s="25">
        <f t="shared" si="28"/>
        <v>2.3652421074002561E-2</v>
      </c>
    </row>
    <row r="895" spans="1:15">
      <c r="A895" s="81">
        <v>364.42294346806392</v>
      </c>
      <c r="B895" s="81">
        <v>368.02916661566337</v>
      </c>
      <c r="C895" s="81">
        <v>363.84944706453729</v>
      </c>
      <c r="D895" s="81">
        <v>367.81532049909407</v>
      </c>
      <c r="E895" s="81">
        <v>3728466.3981346516</v>
      </c>
      <c r="F895" s="81" t="s">
        <v>859</v>
      </c>
      <c r="G895" s="25">
        <f t="shared" si="27"/>
        <v>-9.2230443974627985E-3</v>
      </c>
      <c r="I895" s="81">
        <v>96.744849982154975</v>
      </c>
      <c r="J895" s="81">
        <v>100.9726216579118</v>
      </c>
      <c r="K895" s="81">
        <v>96.507778673234043</v>
      </c>
      <c r="L895" s="81">
        <v>100.01445845102299</v>
      </c>
      <c r="M895" s="81">
        <v>9403951.2843093332</v>
      </c>
      <c r="N895" s="81" t="s">
        <v>859</v>
      </c>
      <c r="O895" s="25">
        <f t="shared" si="28"/>
        <v>-3.2691358024691364E-2</v>
      </c>
    </row>
    <row r="896" spans="1:15">
      <c r="A896" s="81">
        <v>365.8809851719451</v>
      </c>
      <c r="B896" s="81">
        <v>367.19322270543813</v>
      </c>
      <c r="C896" s="81">
        <v>365.18112515408211</v>
      </c>
      <c r="D896" s="81">
        <v>366.35727879521289</v>
      </c>
      <c r="E896" s="81">
        <v>3157318.1259122137</v>
      </c>
      <c r="F896" s="81" t="s">
        <v>860</v>
      </c>
      <c r="G896" s="25">
        <f t="shared" si="27"/>
        <v>-1.3000795967098577E-3</v>
      </c>
      <c r="I896" s="81">
        <v>99.194586841004735</v>
      </c>
      <c r="J896" s="81">
        <v>100.66640455055558</v>
      </c>
      <c r="K896" s="81">
        <v>99.066173215339219</v>
      </c>
      <c r="L896" s="81">
        <v>99.925556710177631</v>
      </c>
      <c r="M896" s="81">
        <v>7597333.3432795089</v>
      </c>
      <c r="N896" s="81" t="s">
        <v>860</v>
      </c>
      <c r="O896" s="25">
        <f t="shared" si="28"/>
        <v>-7.3151443258203663E-3</v>
      </c>
    </row>
    <row r="897" spans="1:15">
      <c r="A897" s="81">
        <v>365.83238378181574</v>
      </c>
      <c r="B897" s="81">
        <v>365.86154461589331</v>
      </c>
      <c r="C897" s="81">
        <v>362.5274892530183</v>
      </c>
      <c r="D897" s="81">
        <v>363.10098565654494</v>
      </c>
      <c r="E897" s="81">
        <v>2747984.155277973</v>
      </c>
      <c r="F897" s="81" t="s">
        <v>861</v>
      </c>
      <c r="G897" s="25">
        <f t="shared" si="27"/>
        <v>7.5224200240933126E-3</v>
      </c>
      <c r="I897" s="81">
        <v>99.579827718001269</v>
      </c>
      <c r="J897" s="81">
        <v>99.579827718001269</v>
      </c>
      <c r="K897" s="81">
        <v>97.693135217838758</v>
      </c>
      <c r="L897" s="81">
        <v>98.088254066040321</v>
      </c>
      <c r="M897" s="81">
        <v>8115609.8085306166</v>
      </c>
      <c r="N897" s="81" t="s">
        <v>861</v>
      </c>
      <c r="O897" s="25">
        <f t="shared" si="28"/>
        <v>1.5206445115810707E-2</v>
      </c>
    </row>
    <row r="898" spans="1:15">
      <c r="A898" s="81">
        <v>365.43385238275482</v>
      </c>
      <c r="B898" s="81">
        <v>365.66227891636288</v>
      </c>
      <c r="C898" s="81">
        <v>362.29420258039738</v>
      </c>
      <c r="D898" s="81">
        <v>363.21762899285545</v>
      </c>
      <c r="E898" s="81">
        <v>3164747.9545454849</v>
      </c>
      <c r="F898" s="81" t="s">
        <v>862</v>
      </c>
      <c r="G898" s="25">
        <f t="shared" si="27"/>
        <v>6.1016404849196793E-3</v>
      </c>
      <c r="I898" s="81">
        <v>98.750078136777958</v>
      </c>
      <c r="J898" s="81">
        <v>99.095807128954334</v>
      </c>
      <c r="K898" s="81">
        <v>97.347406225662368</v>
      </c>
      <c r="L898" s="81">
        <v>98.226545662910866</v>
      </c>
      <c r="M898" s="81">
        <v>7129486.2617206583</v>
      </c>
      <c r="N898" s="81" t="s">
        <v>862</v>
      </c>
      <c r="O898" s="25">
        <f t="shared" si="28"/>
        <v>5.3298471440066386E-3</v>
      </c>
    </row>
    <row r="899" spans="1:15">
      <c r="A899" s="81">
        <v>364.04385262505474</v>
      </c>
      <c r="B899" s="81">
        <v>364.9186776473835</v>
      </c>
      <c r="C899" s="81">
        <v>362.45944730683721</v>
      </c>
      <c r="D899" s="81">
        <v>364.22853790754635</v>
      </c>
      <c r="E899" s="81">
        <v>3320620.0392705179</v>
      </c>
      <c r="F899" s="81" t="s">
        <v>863</v>
      </c>
      <c r="G899" s="25">
        <f t="shared" si="27"/>
        <v>-5.0705879213253091E-4</v>
      </c>
      <c r="I899" s="81">
        <v>98.690810309547714</v>
      </c>
      <c r="J899" s="81">
        <v>98.957515532083789</v>
      </c>
      <c r="K899" s="81">
        <v>97.428405589543701</v>
      </c>
      <c r="L899" s="81">
        <v>98.483372914241897</v>
      </c>
      <c r="M899" s="81">
        <v>7842936.4078807021</v>
      </c>
      <c r="N899" s="81" t="s">
        <v>863</v>
      </c>
      <c r="O899" s="25">
        <f t="shared" si="28"/>
        <v>2.1063189568706342E-3</v>
      </c>
    </row>
    <row r="900" spans="1:15">
      <c r="A900" s="81">
        <v>364.9283979254094</v>
      </c>
      <c r="B900" s="81">
        <v>367.81532049909407</v>
      </c>
      <c r="C900" s="81">
        <v>363.66476178204567</v>
      </c>
      <c r="D900" s="81">
        <v>367.61119466055072</v>
      </c>
      <c r="E900" s="81">
        <v>2791358.4290258749</v>
      </c>
      <c r="F900" s="81" t="s">
        <v>864</v>
      </c>
      <c r="G900" s="25">
        <f t="shared" si="27"/>
        <v>-7.2979190354053314E-3</v>
      </c>
      <c r="I900" s="81">
        <v>98.354959288576381</v>
      </c>
      <c r="J900" s="81">
        <v>99.194586841004735</v>
      </c>
      <c r="K900" s="81">
        <v>97.554843620968214</v>
      </c>
      <c r="L900" s="81">
        <v>99.076051186544248</v>
      </c>
      <c r="M900" s="81">
        <v>6878100.6331886388</v>
      </c>
      <c r="N900" s="81" t="s">
        <v>864</v>
      </c>
      <c r="O900" s="25">
        <f t="shared" si="28"/>
        <v>-7.2781655034894754E-3</v>
      </c>
    </row>
    <row r="901" spans="1:15">
      <c r="A901" s="81">
        <v>366.99881714492068</v>
      </c>
      <c r="B901" s="81">
        <v>367.33902687582628</v>
      </c>
      <c r="C901" s="81">
        <v>364.72427208686605</v>
      </c>
      <c r="D901" s="81">
        <v>365.09364265184928</v>
      </c>
      <c r="E901" s="81">
        <v>3626743.9991077953</v>
      </c>
      <c r="F901" s="81" t="s">
        <v>865</v>
      </c>
      <c r="G901" s="25">
        <f t="shared" si="27"/>
        <v>5.2183173588924436E-3</v>
      </c>
      <c r="I901" s="81">
        <v>98.542640741472141</v>
      </c>
      <c r="J901" s="81">
        <v>99.204464812209778</v>
      </c>
      <c r="K901" s="81">
        <v>98.058620152425206</v>
      </c>
      <c r="L901" s="81">
        <v>98.98714944569889</v>
      </c>
      <c r="M901" s="81">
        <v>7403545.5744891474</v>
      </c>
      <c r="N901" s="81" t="s">
        <v>865</v>
      </c>
      <c r="O901" s="25">
        <f t="shared" si="28"/>
        <v>-4.4905698034126695E-3</v>
      </c>
    </row>
    <row r="902" spans="1:15">
      <c r="A902" s="81">
        <v>365.55049571906534</v>
      </c>
      <c r="B902" s="81">
        <v>365.81294322576395</v>
      </c>
      <c r="C902" s="81">
        <v>361.25413283162874</v>
      </c>
      <c r="D902" s="81">
        <v>361.38049644596509</v>
      </c>
      <c r="E902" s="81">
        <v>4279552.4870038051</v>
      </c>
      <c r="F902" s="81" t="s">
        <v>866</v>
      </c>
      <c r="G902" s="25">
        <f t="shared" si="27"/>
        <v>1.1539082252945532E-2</v>
      </c>
      <c r="I902" s="81">
        <v>98.908125676058589</v>
      </c>
      <c r="J902" s="81">
        <v>98.977271474493861</v>
      </c>
      <c r="K902" s="81">
        <v>97.298016369637182</v>
      </c>
      <c r="L902" s="81">
        <v>97.683257246633715</v>
      </c>
      <c r="M902" s="81">
        <v>9030158.941392161</v>
      </c>
      <c r="N902" s="81" t="s">
        <v>866</v>
      </c>
      <c r="O902" s="25">
        <f t="shared" si="28"/>
        <v>1.2539184952978122E-2</v>
      </c>
    </row>
    <row r="903" spans="1:15">
      <c r="A903" s="81">
        <v>360.51539170166228</v>
      </c>
      <c r="B903" s="81">
        <v>361.08888810518891</v>
      </c>
      <c r="C903" s="81">
        <v>358.77740599063588</v>
      </c>
      <c r="D903" s="81">
        <v>360.84588115454204</v>
      </c>
      <c r="E903" s="81">
        <v>3412188.4077503812</v>
      </c>
      <c r="F903" s="81" t="s">
        <v>867</v>
      </c>
      <c r="G903" s="25">
        <f t="shared" si="27"/>
        <v>-9.1587425585226701E-4</v>
      </c>
      <c r="I903" s="81">
        <v>96.902897521435605</v>
      </c>
      <c r="J903" s="81">
        <v>97.71289116024883</v>
      </c>
      <c r="K903" s="81">
        <v>96.478144759618914</v>
      </c>
      <c r="L903" s="81">
        <v>97.525209707353085</v>
      </c>
      <c r="M903" s="81">
        <v>7764227.9379062848</v>
      </c>
      <c r="N903" s="81" t="s">
        <v>867</v>
      </c>
      <c r="O903" s="25">
        <f t="shared" si="28"/>
        <v>-6.3810391978122993E-3</v>
      </c>
    </row>
    <row r="904" spans="1:15">
      <c r="A904" s="81">
        <v>358.3769305359699</v>
      </c>
      <c r="B904" s="81">
        <v>358.61993748661678</v>
      </c>
      <c r="C904" s="81">
        <v>356.04406380976002</v>
      </c>
      <c r="D904" s="81">
        <v>357.12301467063207</v>
      </c>
      <c r="E904" s="81">
        <v>3740704.7312032469</v>
      </c>
      <c r="F904" s="81" t="s">
        <v>868</v>
      </c>
      <c r="G904" s="25">
        <f t="shared" si="27"/>
        <v>3.5111594991834583E-3</v>
      </c>
      <c r="I904" s="81">
        <v>95.687907063215775</v>
      </c>
      <c r="J904" s="81">
        <v>95.727418948035933</v>
      </c>
      <c r="K904" s="81">
        <v>94.186455440049798</v>
      </c>
      <c r="L904" s="81">
        <v>94.907547338017665</v>
      </c>
      <c r="M904" s="81">
        <v>5961875.0427168971</v>
      </c>
      <c r="N904" s="81" t="s">
        <v>868</v>
      </c>
      <c r="O904" s="25">
        <f t="shared" si="28"/>
        <v>8.2223147377187278E-3</v>
      </c>
    </row>
    <row r="905" spans="1:15">
      <c r="A905" s="81">
        <v>353.35154679659274</v>
      </c>
      <c r="B905" s="81">
        <v>354.01252570235221</v>
      </c>
      <c r="C905" s="81">
        <v>351.56495969543698</v>
      </c>
      <c r="D905" s="81">
        <v>353.37098735264453</v>
      </c>
      <c r="E905" s="81">
        <v>2483111.0731350011</v>
      </c>
      <c r="F905" s="81" t="s">
        <v>869</v>
      </c>
      <c r="G905" s="25">
        <f t="shared" si="27"/>
        <v>-5.5014578863477048E-5</v>
      </c>
      <c r="I905" s="81">
        <v>93.662922966182705</v>
      </c>
      <c r="J905" s="81">
        <v>94.828523568377349</v>
      </c>
      <c r="K905" s="81">
        <v>93.435729628466817</v>
      </c>
      <c r="L905" s="81">
        <v>94.344502979330429</v>
      </c>
      <c r="M905" s="81">
        <v>5493084.4475754956</v>
      </c>
      <c r="N905" s="81" t="s">
        <v>869</v>
      </c>
      <c r="O905" s="25">
        <f t="shared" si="28"/>
        <v>-7.2243744110565E-3</v>
      </c>
    </row>
    <row r="906" spans="1:15">
      <c r="A906" s="81">
        <v>353.97364459024874</v>
      </c>
      <c r="B906" s="81">
        <v>356.18014770212227</v>
      </c>
      <c r="C906" s="81">
        <v>353.23490346028223</v>
      </c>
      <c r="D906" s="81">
        <v>355.4948681012981</v>
      </c>
      <c r="E906" s="81">
        <v>4264070.4195568245</v>
      </c>
      <c r="F906" s="81" t="s">
        <v>870</v>
      </c>
      <c r="G906" s="25">
        <f t="shared" si="27"/>
        <v>-4.279171508647206E-3</v>
      </c>
      <c r="I906" s="81">
        <v>94.453160662585859</v>
      </c>
      <c r="J906" s="81">
        <v>94.848279510787421</v>
      </c>
      <c r="K906" s="81">
        <v>93.228292233160985</v>
      </c>
      <c r="L906" s="81">
        <v>93.623411081362562</v>
      </c>
      <c r="M906" s="81">
        <v>7580402.7411823208</v>
      </c>
      <c r="N906" s="81" t="s">
        <v>870</v>
      </c>
      <c r="O906" s="25">
        <f t="shared" si="28"/>
        <v>8.8626292466764678E-3</v>
      </c>
    </row>
    <row r="907" spans="1:15">
      <c r="A907" s="81">
        <v>353.39042790869627</v>
      </c>
      <c r="B907" s="81">
        <v>353.45846985487736</v>
      </c>
      <c r="C907" s="81">
        <v>347.71378554158554</v>
      </c>
      <c r="D907" s="81">
        <v>349.91056837543317</v>
      </c>
      <c r="E907" s="81">
        <v>3848594.6492908155</v>
      </c>
      <c r="F907" s="81" t="s">
        <v>871</v>
      </c>
      <c r="G907" s="25">
        <f t="shared" si="27"/>
        <v>9.9449969442746422E-3</v>
      </c>
      <c r="I907" s="81">
        <v>92.93195309700981</v>
      </c>
      <c r="J907" s="81">
        <v>93.840726447873422</v>
      </c>
      <c r="K907" s="81">
        <v>91.884888149275639</v>
      </c>
      <c r="L907" s="81">
        <v>93.653044994977677</v>
      </c>
      <c r="M907" s="81">
        <v>9662058.9409402125</v>
      </c>
      <c r="N907" s="81" t="s">
        <v>871</v>
      </c>
      <c r="O907" s="25">
        <f t="shared" si="28"/>
        <v>-7.699609745807412E-3</v>
      </c>
    </row>
    <row r="908" spans="1:15">
      <c r="A908" s="81">
        <v>351.0503681767471</v>
      </c>
      <c r="B908" s="81">
        <v>356.51592735037912</v>
      </c>
      <c r="C908" s="81">
        <v>348.61090499616745</v>
      </c>
      <c r="D908" s="81">
        <v>352.83156351494813</v>
      </c>
      <c r="E908" s="81">
        <v>4945238.139291577</v>
      </c>
      <c r="F908" s="81" t="s">
        <v>872</v>
      </c>
      <c r="G908" s="25">
        <f t="shared" si="27"/>
        <v>-5.0482879719052631E-3</v>
      </c>
      <c r="I908" s="81">
        <v>94.66059805789169</v>
      </c>
      <c r="J908" s="81">
        <v>95.836076631291363</v>
      </c>
      <c r="K908" s="81">
        <v>93.60365513895249</v>
      </c>
      <c r="L908" s="81">
        <v>94.117309641614526</v>
      </c>
      <c r="M908" s="81">
        <v>9644702.1379650682</v>
      </c>
      <c r="N908" s="81" t="s">
        <v>872</v>
      </c>
      <c r="O908" s="25">
        <f t="shared" si="28"/>
        <v>5.7724601175483947E-3</v>
      </c>
    </row>
    <row r="909" spans="1:15">
      <c r="A909" s="81">
        <v>350.21785296432705</v>
      </c>
      <c r="B909" s="81">
        <v>359.3551914411093</v>
      </c>
      <c r="C909" s="81">
        <v>350.10168805096617</v>
      </c>
      <c r="D909" s="81">
        <v>356.02609863237382</v>
      </c>
      <c r="E909" s="81">
        <v>4230027.6889393684</v>
      </c>
      <c r="F909" s="81" t="s">
        <v>873</v>
      </c>
      <c r="G909" s="25">
        <f t="shared" si="27"/>
        <v>-1.631410082114304E-2</v>
      </c>
      <c r="I909" s="81">
        <v>93.741946735823035</v>
      </c>
      <c r="J909" s="81">
        <v>96.734972010949946</v>
      </c>
      <c r="K909" s="81">
        <v>93.662922966182705</v>
      </c>
      <c r="L909" s="81">
        <v>96.260829393108054</v>
      </c>
      <c r="M909" s="81">
        <v>8919954.1253015194</v>
      </c>
      <c r="N909" s="81" t="s">
        <v>873</v>
      </c>
      <c r="O909" s="25">
        <f t="shared" si="28"/>
        <v>-2.6167265264238071E-2</v>
      </c>
    </row>
    <row r="910" spans="1:15">
      <c r="A910" s="81">
        <v>356.12290272684129</v>
      </c>
      <c r="B910" s="81">
        <v>356.63596442751879</v>
      </c>
      <c r="C910" s="81">
        <v>353.21877989281791</v>
      </c>
      <c r="D910" s="81">
        <v>354.70956294761658</v>
      </c>
      <c r="E910" s="81">
        <v>4253569.048553722</v>
      </c>
      <c r="F910" s="81" t="s">
        <v>874</v>
      </c>
      <c r="G910" s="25">
        <f t="shared" si="27"/>
        <v>3.9844986627366463E-3</v>
      </c>
      <c r="I910" s="81">
        <v>95.361934013449485</v>
      </c>
      <c r="J910" s="81">
        <v>95.668151120805689</v>
      </c>
      <c r="K910" s="81">
        <v>94.008651958359096</v>
      </c>
      <c r="L910" s="81">
        <v>94.008651958359096</v>
      </c>
      <c r="M910" s="81">
        <v>7375771.6526680319</v>
      </c>
      <c r="N910" s="81" t="s">
        <v>874</v>
      </c>
      <c r="O910" s="25">
        <f t="shared" si="28"/>
        <v>1.4395292634233448E-2</v>
      </c>
    </row>
    <row r="911" spans="1:15">
      <c r="A911" s="81">
        <v>351.52470823963756</v>
      </c>
      <c r="B911" s="81">
        <v>351.9603266647411</v>
      </c>
      <c r="C911" s="81">
        <v>348.32049271276509</v>
      </c>
      <c r="D911" s="81">
        <v>348.94971932680352</v>
      </c>
      <c r="E911" s="81">
        <v>3202088.7309083808</v>
      </c>
      <c r="F911" s="81" t="s">
        <v>875</v>
      </c>
      <c r="G911" s="25">
        <f t="shared" si="27"/>
        <v>7.3792548617082065E-3</v>
      </c>
      <c r="I911" s="81">
        <v>93.070244693880355</v>
      </c>
      <c r="J911" s="81">
        <v>93.761702678233107</v>
      </c>
      <c r="K911" s="81">
        <v>91.865132206865567</v>
      </c>
      <c r="L911" s="81">
        <v>92.289884968682259</v>
      </c>
      <c r="M911" s="81">
        <v>6739391.9883101229</v>
      </c>
      <c r="N911" s="81" t="s">
        <v>875</v>
      </c>
      <c r="O911" s="25">
        <f t="shared" si="28"/>
        <v>8.4555282029326051E-3</v>
      </c>
    </row>
    <row r="912" spans="1:15">
      <c r="A912" s="81">
        <v>348.37857516944558</v>
      </c>
      <c r="B912" s="81">
        <v>352.16361526312278</v>
      </c>
      <c r="C912" s="81">
        <v>346.96533219431535</v>
      </c>
      <c r="D912" s="81">
        <v>351.16653309010803</v>
      </c>
      <c r="E912" s="81">
        <v>5361247.4023454525</v>
      </c>
      <c r="F912" s="81" t="s">
        <v>876</v>
      </c>
      <c r="G912" s="25">
        <f t="shared" si="27"/>
        <v>-7.9391333112801554E-3</v>
      </c>
      <c r="I912" s="81">
        <v>92.062691630966356</v>
      </c>
      <c r="J912" s="81">
        <v>93.119634549905555</v>
      </c>
      <c r="K912" s="81">
        <v>91.776230466020209</v>
      </c>
      <c r="L912" s="81">
        <v>92.902319183394681</v>
      </c>
      <c r="M912" s="81">
        <v>13103087.396526273</v>
      </c>
      <c r="N912" s="81" t="s">
        <v>876</v>
      </c>
      <c r="O912" s="25">
        <f t="shared" si="28"/>
        <v>-9.0377458798509558E-3</v>
      </c>
    </row>
    <row r="913" spans="1:15">
      <c r="A913" s="81">
        <v>352.23137812924995</v>
      </c>
      <c r="B913" s="81">
        <v>352.61859450711972</v>
      </c>
      <c r="C913" s="81">
        <v>343.64485494998746</v>
      </c>
      <c r="D913" s="81">
        <v>344.17727746955842</v>
      </c>
      <c r="E913" s="81">
        <v>5216558.2745037554</v>
      </c>
      <c r="F913" s="81" t="s">
        <v>877</v>
      </c>
      <c r="G913" s="25">
        <f t="shared" si="27"/>
        <v>2.3401023794791032E-2</v>
      </c>
      <c r="I913" s="81">
        <v>93.139390492315641</v>
      </c>
      <c r="J913" s="81">
        <v>93.40599693513964</v>
      </c>
      <c r="K913" s="81">
        <v>90.768677403106196</v>
      </c>
      <c r="L913" s="81">
        <v>91.539159157099263</v>
      </c>
      <c r="M913" s="81">
        <v>10069555.573239211</v>
      </c>
      <c r="N913" s="81" t="s">
        <v>877</v>
      </c>
      <c r="O913" s="25">
        <f t="shared" si="28"/>
        <v>1.7481385561670448E-2</v>
      </c>
    </row>
    <row r="914" spans="1:15">
      <c r="A914" s="81">
        <v>346.30696754784225</v>
      </c>
      <c r="B914" s="81">
        <v>346.44249328009664</v>
      </c>
      <c r="C914" s="81">
        <v>341.29735565915189</v>
      </c>
      <c r="D914" s="81">
        <v>343.13179324930996</v>
      </c>
      <c r="E914" s="81">
        <v>6828629.549572384</v>
      </c>
      <c r="F914" s="81" t="s">
        <v>878</v>
      </c>
      <c r="G914" s="25">
        <f t="shared" si="27"/>
        <v>9.2535123850365775E-3</v>
      </c>
      <c r="I914" s="81">
        <v>91.963911918915954</v>
      </c>
      <c r="J914" s="81">
        <v>92.21649164262881</v>
      </c>
      <c r="K914" s="81">
        <v>90.294534785264304</v>
      </c>
      <c r="L914" s="81">
        <v>90.511850151775164</v>
      </c>
      <c r="M914" s="81">
        <v>9661737.0124860797</v>
      </c>
      <c r="N914" s="81" t="s">
        <v>878</v>
      </c>
      <c r="O914" s="25">
        <f t="shared" si="28"/>
        <v>1.6042780748663166E-2</v>
      </c>
    </row>
    <row r="915" spans="1:15">
      <c r="A915" s="81">
        <v>348.45601844501954</v>
      </c>
      <c r="B915" s="81">
        <v>349.95648190926494</v>
      </c>
      <c r="C915" s="81">
        <v>344.2644011545791</v>
      </c>
      <c r="D915" s="81">
        <v>347.41053422477114</v>
      </c>
      <c r="E915" s="81">
        <v>4957239.6977627501</v>
      </c>
      <c r="F915" s="81" t="s">
        <v>879</v>
      </c>
      <c r="G915" s="25">
        <f t="shared" si="27"/>
        <v>3.0093624609897063E-3</v>
      </c>
      <c r="I915" s="81">
        <v>92.220739170246972</v>
      </c>
      <c r="J915" s="81">
        <v>93.14926846352067</v>
      </c>
      <c r="K915" s="81">
        <v>91.213186107332973</v>
      </c>
      <c r="L915" s="81">
        <v>92.852929327369495</v>
      </c>
      <c r="M915" s="81">
        <v>10451161.261467677</v>
      </c>
      <c r="N915" s="81" t="s">
        <v>879</v>
      </c>
      <c r="O915" s="25">
        <f t="shared" si="28"/>
        <v>-6.8085106382979044E-3</v>
      </c>
    </row>
    <row r="916" spans="1:15">
      <c r="A916" s="81">
        <v>342.76393769033371</v>
      </c>
      <c r="B916" s="81">
        <v>347.20724562638952</v>
      </c>
      <c r="C916" s="81">
        <v>338.58200080934</v>
      </c>
      <c r="D916" s="81">
        <v>339.5500417540145</v>
      </c>
      <c r="E916" s="81">
        <v>6692581.585150498</v>
      </c>
      <c r="F916" s="81" t="s">
        <v>880</v>
      </c>
      <c r="G916" s="25">
        <f t="shared" si="27"/>
        <v>9.4651613638954135E-3</v>
      </c>
      <c r="I916" s="81">
        <v>91.470013358663977</v>
      </c>
      <c r="J916" s="81">
        <v>92.876834017685681</v>
      </c>
      <c r="K916" s="81">
        <v>89.356127520785577</v>
      </c>
      <c r="L916" s="81">
        <v>90.763738417503689</v>
      </c>
      <c r="M916" s="81">
        <v>12062518.459176442</v>
      </c>
      <c r="N916" s="81" t="s">
        <v>880</v>
      </c>
      <c r="O916" s="25">
        <f t="shared" si="28"/>
        <v>7.78146596288809E-3</v>
      </c>
    </row>
    <row r="917" spans="1:15">
      <c r="A917" s="81">
        <v>343.34476225713837</v>
      </c>
      <c r="B917" s="81">
        <v>349.69511085420288</v>
      </c>
      <c r="C917" s="81">
        <v>341.8539792023397</v>
      </c>
      <c r="D917" s="81">
        <v>347.84615264987463</v>
      </c>
      <c r="E917" s="81">
        <v>8636413.6207187772</v>
      </c>
      <c r="F917" s="81" t="s">
        <v>881</v>
      </c>
      <c r="G917" s="25">
        <f t="shared" si="27"/>
        <v>-1.2940750841844539E-2</v>
      </c>
      <c r="I917" s="81">
        <v>92.428176565552789</v>
      </c>
      <c r="J917" s="81">
        <v>94.729743856326962</v>
      </c>
      <c r="K917" s="81">
        <v>91.697206696379894</v>
      </c>
      <c r="L917" s="81">
        <v>94.433404720175773</v>
      </c>
      <c r="M917" s="81">
        <v>14151534.46981968</v>
      </c>
      <c r="N917" s="81" t="s">
        <v>881</v>
      </c>
      <c r="O917" s="25">
        <f t="shared" si="28"/>
        <v>-2.123430962343098E-2</v>
      </c>
    </row>
    <row r="918" spans="1:15">
      <c r="A918" s="81">
        <v>348.3398535316586</v>
      </c>
      <c r="B918" s="81">
        <v>357.09094367151573</v>
      </c>
      <c r="C918" s="81">
        <v>347.38149299643089</v>
      </c>
      <c r="D918" s="81">
        <v>355.60984102616385</v>
      </c>
      <c r="E918" s="81">
        <v>4555209.1822757469</v>
      </c>
      <c r="F918" s="81" t="s">
        <v>882</v>
      </c>
      <c r="G918" s="25">
        <f t="shared" si="27"/>
        <v>-2.0443718524567944E-2</v>
      </c>
      <c r="I918" s="81">
        <v>94.966815165247908</v>
      </c>
      <c r="J918" s="81">
        <v>98.829101906418273</v>
      </c>
      <c r="K918" s="81">
        <v>94.749499798737034</v>
      </c>
      <c r="L918" s="81">
        <v>98.236423634115923</v>
      </c>
      <c r="M918" s="81">
        <v>8377819.5220676074</v>
      </c>
      <c r="N918" s="81" t="s">
        <v>882</v>
      </c>
      <c r="O918" s="25">
        <f t="shared" si="28"/>
        <v>-3.328305681246857E-2</v>
      </c>
    </row>
    <row r="919" spans="1:15">
      <c r="A919" s="81">
        <v>354.83540827042424</v>
      </c>
      <c r="B919" s="81">
        <v>355.56018052570204</v>
      </c>
      <c r="C919" s="81">
        <v>352.79284187716115</v>
      </c>
      <c r="D919" s="81">
        <v>354.40947025476748</v>
      </c>
      <c r="E919" s="81">
        <v>3002205.6566804931</v>
      </c>
      <c r="F919" s="81" t="s">
        <v>883</v>
      </c>
      <c r="G919" s="25">
        <f t="shared" si="27"/>
        <v>1.201824588238587E-3</v>
      </c>
      <c r="I919" s="81">
        <v>98.088254066040321</v>
      </c>
      <c r="J919" s="81">
        <v>98.404349144601582</v>
      </c>
      <c r="K919" s="81">
        <v>97.100456945536394</v>
      </c>
      <c r="L919" s="81">
        <v>97.791914929889145</v>
      </c>
      <c r="M919" s="81">
        <v>5738767.488113408</v>
      </c>
      <c r="N919" s="81" t="s">
        <v>883</v>
      </c>
      <c r="O919" s="25">
        <f t="shared" si="28"/>
        <v>3.0303030303029388E-3</v>
      </c>
    </row>
    <row r="920" spans="1:15">
      <c r="A920" s="81">
        <v>354.28362493195982</v>
      </c>
      <c r="B920" s="81">
        <v>360.00474691498584</v>
      </c>
      <c r="C920" s="81">
        <v>353.70764056987849</v>
      </c>
      <c r="D920" s="81">
        <v>359.75305626937052</v>
      </c>
      <c r="E920" s="81">
        <v>3663213.85423683</v>
      </c>
      <c r="F920" s="81" t="s">
        <v>884</v>
      </c>
      <c r="G920" s="25">
        <f t="shared" si="27"/>
        <v>-1.5203293598471501E-2</v>
      </c>
      <c r="I920" s="81">
        <v>97.851182757119389</v>
      </c>
      <c r="J920" s="81">
        <v>99.708241343666771</v>
      </c>
      <c r="K920" s="81">
        <v>97.683257246633715</v>
      </c>
      <c r="L920" s="81">
        <v>99.174830898594649</v>
      </c>
      <c r="M920" s="81">
        <v>7037214.2778202584</v>
      </c>
      <c r="N920" s="81" t="s">
        <v>884</v>
      </c>
      <c r="O920" s="25">
        <f t="shared" si="28"/>
        <v>-1.3346613545816677E-2</v>
      </c>
    </row>
    <row r="921" spans="1:15">
      <c r="A921" s="81">
        <v>359.84986036383799</v>
      </c>
      <c r="B921" s="81">
        <v>362.47325132390574</v>
      </c>
      <c r="C921" s="81">
        <v>359.43360275762797</v>
      </c>
      <c r="D921" s="81">
        <v>360.36292206451543</v>
      </c>
      <c r="E921" s="81">
        <v>2725427.0746649345</v>
      </c>
      <c r="F921" s="81" t="s">
        <v>885</v>
      </c>
      <c r="G921" s="25">
        <f t="shared" si="27"/>
        <v>-1.4237360984257208E-3</v>
      </c>
      <c r="I921" s="81">
        <v>99.431658149925667</v>
      </c>
      <c r="J921" s="81">
        <v>101.44182529015116</v>
      </c>
      <c r="K921" s="81">
        <v>99.263732639439993</v>
      </c>
      <c r="L921" s="81">
        <v>100.37006541440441</v>
      </c>
      <c r="M921" s="81">
        <v>6856935.3558598952</v>
      </c>
      <c r="N921" s="81" t="s">
        <v>885</v>
      </c>
      <c r="O921" s="25">
        <f t="shared" si="28"/>
        <v>-9.3494734770200871E-3</v>
      </c>
    </row>
    <row r="922" spans="1:15">
      <c r="A922" s="81">
        <v>359.41424193873445</v>
      </c>
      <c r="B922" s="81">
        <v>359.7917779071575</v>
      </c>
      <c r="C922" s="81">
        <v>354.98061441212542</v>
      </c>
      <c r="D922" s="81">
        <v>355.55175856948335</v>
      </c>
      <c r="E922" s="81">
        <v>5075817.3267685166</v>
      </c>
      <c r="F922" s="81" t="s">
        <v>886</v>
      </c>
      <c r="G922" s="25">
        <f t="shared" si="27"/>
        <v>1.0863350485992074E-2</v>
      </c>
      <c r="I922" s="81">
        <v>99.905800767767559</v>
      </c>
      <c r="J922" s="81">
        <v>99.945312652587717</v>
      </c>
      <c r="K922" s="81">
        <v>97.673379275428672</v>
      </c>
      <c r="L922" s="81">
        <v>98.453739000626783</v>
      </c>
      <c r="M922" s="81">
        <v>7526104.1419187011</v>
      </c>
      <c r="N922" s="81" t="s">
        <v>886</v>
      </c>
      <c r="O922" s="25">
        <f t="shared" si="28"/>
        <v>1.4748670613022874E-2</v>
      </c>
    </row>
    <row r="923" spans="1:15">
      <c r="A923" s="81">
        <v>353.8092848690693</v>
      </c>
      <c r="B923" s="81">
        <v>354.65148049093614</v>
      </c>
      <c r="C923" s="81">
        <v>349.00780178348396</v>
      </c>
      <c r="D923" s="81">
        <v>349.27885324799286</v>
      </c>
      <c r="E923" s="81">
        <v>2820969.5209930725</v>
      </c>
      <c r="F923" s="81" t="s">
        <v>887</v>
      </c>
      <c r="G923" s="25">
        <f t="shared" si="27"/>
        <v>1.297081566475411E-2</v>
      </c>
      <c r="I923" s="81">
        <v>97.71289116024883</v>
      </c>
      <c r="J923" s="81">
        <v>98.078376094835292</v>
      </c>
      <c r="K923" s="81">
        <v>96.231195479492939</v>
      </c>
      <c r="L923" s="81">
        <v>96.547290558054186</v>
      </c>
      <c r="M923" s="81">
        <v>7879279.9031742355</v>
      </c>
      <c r="N923" s="81" t="s">
        <v>887</v>
      </c>
      <c r="O923" s="25">
        <f t="shared" si="28"/>
        <v>1.2072846326990128E-2</v>
      </c>
    </row>
    <row r="924" spans="1:15">
      <c r="A924" s="81">
        <v>351.18589390900149</v>
      </c>
      <c r="B924" s="81">
        <v>352.86060474328832</v>
      </c>
      <c r="C924" s="81">
        <v>349.8983994525845</v>
      </c>
      <c r="D924" s="81">
        <v>351.72799683801918</v>
      </c>
      <c r="E924" s="81">
        <v>3889013.1876250538</v>
      </c>
      <c r="F924" s="81" t="s">
        <v>888</v>
      </c>
      <c r="G924" s="25">
        <f t="shared" si="27"/>
        <v>-1.5412561237407862E-3</v>
      </c>
      <c r="I924" s="81">
        <v>97.337528254457339</v>
      </c>
      <c r="J924" s="81">
        <v>98.414227115806611</v>
      </c>
      <c r="K924" s="81">
        <v>96.902897521435605</v>
      </c>
      <c r="L924" s="81">
        <v>97.979596382784891</v>
      </c>
      <c r="M924" s="81">
        <v>7995823.065338213</v>
      </c>
      <c r="N924" s="81" t="s">
        <v>888</v>
      </c>
      <c r="O924" s="25">
        <f t="shared" si="28"/>
        <v>-6.5530799475753687E-3</v>
      </c>
    </row>
    <row r="925" spans="1:15">
      <c r="A925" s="81">
        <v>352.4733883654186</v>
      </c>
      <c r="B925" s="81">
        <v>355.13550096327333</v>
      </c>
      <c r="C925" s="81">
        <v>352.41530590873811</v>
      </c>
      <c r="D925" s="81">
        <v>353.34462521562557</v>
      </c>
      <c r="E925" s="81">
        <v>3121975.3840229558</v>
      </c>
      <c r="F925" s="81" t="s">
        <v>889</v>
      </c>
      <c r="G925" s="25">
        <f t="shared" si="27"/>
        <v>-2.4656858716197716E-3</v>
      </c>
      <c r="I925" s="81">
        <v>98.394471173396539</v>
      </c>
      <c r="J925" s="81">
        <v>99.520559890771025</v>
      </c>
      <c r="K925" s="81">
        <v>98.354959288576381</v>
      </c>
      <c r="L925" s="81">
        <v>99.22422075461985</v>
      </c>
      <c r="M925" s="81">
        <v>8335459.6091548689</v>
      </c>
      <c r="N925" s="81" t="s">
        <v>889</v>
      </c>
      <c r="O925" s="25">
        <f t="shared" si="28"/>
        <v>-8.3623693379791808E-3</v>
      </c>
    </row>
    <row r="926" spans="1:15">
      <c r="A926" s="81">
        <v>353.8092848690693</v>
      </c>
      <c r="B926" s="81">
        <v>356.98445916760153</v>
      </c>
      <c r="C926" s="81">
        <v>352.94153296626314</v>
      </c>
      <c r="D926" s="81">
        <v>355.74536675841824</v>
      </c>
      <c r="E926" s="81">
        <v>3409099.602816686</v>
      </c>
      <c r="F926" s="81" t="s">
        <v>890</v>
      </c>
      <c r="G926" s="25">
        <f t="shared" si="27"/>
        <v>-5.4423249612234326E-3</v>
      </c>
      <c r="I926" s="81">
        <v>99.22422075461985</v>
      </c>
      <c r="J926" s="81">
        <v>100.23177381753385</v>
      </c>
      <c r="K926" s="81">
        <v>98.838979877623316</v>
      </c>
      <c r="L926" s="81">
        <v>99.500803948360954</v>
      </c>
      <c r="M926" s="81">
        <v>6723255.0714583425</v>
      </c>
      <c r="N926" s="81" t="s">
        <v>890</v>
      </c>
      <c r="O926" s="25">
        <f t="shared" si="28"/>
        <v>-2.7797081306463189E-3</v>
      </c>
    </row>
    <row r="927" spans="1:15">
      <c r="A927" s="81">
        <v>352.58955327877953</v>
      </c>
      <c r="B927" s="81">
        <v>353.36398603451903</v>
      </c>
      <c r="C927" s="81">
        <v>350.16945091709334</v>
      </c>
      <c r="D927" s="81">
        <v>351.69895560967899</v>
      </c>
      <c r="E927" s="81">
        <v>4188879.6360402266</v>
      </c>
      <c r="F927" s="81" t="s">
        <v>891</v>
      </c>
      <c r="G927" s="25">
        <f t="shared" si="27"/>
        <v>2.5322727147616408E-3</v>
      </c>
      <c r="I927" s="81">
        <v>99.076051186544248</v>
      </c>
      <c r="J927" s="81">
        <v>99.204464812209778</v>
      </c>
      <c r="K927" s="81">
        <v>97.752403045068988</v>
      </c>
      <c r="L927" s="81">
        <v>98.315447403756224</v>
      </c>
      <c r="M927" s="81">
        <v>8628289.9829186983</v>
      </c>
      <c r="N927" s="81" t="s">
        <v>891</v>
      </c>
      <c r="O927" s="25">
        <f t="shared" si="28"/>
        <v>7.7363608962122132E-3</v>
      </c>
    </row>
    <row r="928" spans="1:15">
      <c r="A928" s="81">
        <v>356.40363460079692</v>
      </c>
      <c r="B928" s="81">
        <v>357.75889192334114</v>
      </c>
      <c r="C928" s="81">
        <v>352.49274918431206</v>
      </c>
      <c r="D928" s="81">
        <v>357.27487145100389</v>
      </c>
      <c r="E928" s="81">
        <v>2961850.9586536069</v>
      </c>
      <c r="F928" s="81" t="s">
        <v>892</v>
      </c>
      <c r="G928" s="25">
        <f t="shared" si="27"/>
        <v>-2.4385617904461032E-3</v>
      </c>
      <c r="I928" s="81">
        <v>100.48860106886488</v>
      </c>
      <c r="J928" s="81">
        <v>100.80459736771408</v>
      </c>
      <c r="K928" s="81">
        <v>98.389532187794032</v>
      </c>
      <c r="L928" s="81">
        <v>100.21201787512378</v>
      </c>
      <c r="M928" s="81">
        <v>11110331.03072943</v>
      </c>
      <c r="N928" s="81" t="s">
        <v>892</v>
      </c>
      <c r="O928" s="25">
        <f t="shared" si="28"/>
        <v>2.7599802858551126E-3</v>
      </c>
    </row>
    <row r="929" spans="1:15">
      <c r="A929" s="81">
        <v>354.62243926259583</v>
      </c>
      <c r="B929" s="81">
        <v>356.81989220700694</v>
      </c>
      <c r="C929" s="81">
        <v>353.18005825503087</v>
      </c>
      <c r="D929" s="81">
        <v>355.44527406556915</v>
      </c>
      <c r="E929" s="81">
        <v>3999834.9463432003</v>
      </c>
      <c r="F929" s="81" t="s">
        <v>893</v>
      </c>
      <c r="G929" s="25">
        <f t="shared" si="27"/>
        <v>-2.3149409009205479E-3</v>
      </c>
      <c r="I929" s="81">
        <v>100.43921121283968</v>
      </c>
      <c r="J929" s="81">
        <v>101.30847267888313</v>
      </c>
      <c r="K929" s="81">
        <v>99.856410911742358</v>
      </c>
      <c r="L929" s="81">
        <v>100.0934822206633</v>
      </c>
      <c r="M929" s="81">
        <v>10007217.873804953</v>
      </c>
      <c r="N929" s="81" t="s">
        <v>893</v>
      </c>
      <c r="O929" s="25">
        <f t="shared" si="28"/>
        <v>3.4540609888482621E-3</v>
      </c>
    </row>
    <row r="930" spans="1:15">
      <c r="A930" s="81">
        <v>355.06773809714616</v>
      </c>
      <c r="B930" s="81">
        <v>359.46748419069155</v>
      </c>
      <c r="C930" s="81">
        <v>354.76764540429707</v>
      </c>
      <c r="D930" s="81">
        <v>358.56236590742088</v>
      </c>
      <c r="E930" s="81">
        <v>3211822.8233058555</v>
      </c>
      <c r="F930" s="81" t="s">
        <v>894</v>
      </c>
      <c r="G930" s="25">
        <f t="shared" si="27"/>
        <v>-9.7462203023755967E-3</v>
      </c>
      <c r="I930" s="81">
        <v>100.8442080322463</v>
      </c>
      <c r="J930" s="81">
        <v>102.46419530987274</v>
      </c>
      <c r="K930" s="81">
        <v>100.58738078091527</v>
      </c>
      <c r="L930" s="81">
        <v>102.28639182818203</v>
      </c>
      <c r="M930" s="81">
        <v>10779748.977773648</v>
      </c>
      <c r="N930" s="81" t="s">
        <v>894</v>
      </c>
      <c r="O930" s="25">
        <f t="shared" si="28"/>
        <v>-1.4099468855625297E-2</v>
      </c>
    </row>
    <row r="931" spans="1:15">
      <c r="A931" s="81">
        <v>362.26028231607739</v>
      </c>
      <c r="B931" s="81">
        <v>362.48293173335247</v>
      </c>
      <c r="C931" s="81">
        <v>359.45296357652143</v>
      </c>
      <c r="D931" s="81">
        <v>361.25255169267126</v>
      </c>
      <c r="E931" s="81">
        <v>3393789.3000019803</v>
      </c>
      <c r="F931" s="81" t="s">
        <v>895</v>
      </c>
      <c r="G931" s="25">
        <f t="shared" si="27"/>
        <v>2.7895460355487067E-3</v>
      </c>
      <c r="I931" s="81">
        <v>103.9360130194236</v>
      </c>
      <c r="J931" s="81">
        <v>104.50893534931588</v>
      </c>
      <c r="K931" s="81">
        <v>102.61236487794832</v>
      </c>
      <c r="L931" s="81">
        <v>103.74833156652785</v>
      </c>
      <c r="M931" s="81">
        <v>9609446.9228230827</v>
      </c>
      <c r="N931" s="81" t="s">
        <v>895</v>
      </c>
      <c r="O931" s="25">
        <f t="shared" si="28"/>
        <v>1.8090069503950978E-3</v>
      </c>
    </row>
    <row r="932" spans="1:15">
      <c r="A932" s="81">
        <v>363.19928203241159</v>
      </c>
      <c r="B932" s="81">
        <v>367.30377563783134</v>
      </c>
      <c r="C932" s="81">
        <v>363.10247793794412</v>
      </c>
      <c r="D932" s="81">
        <v>363.65426127640865</v>
      </c>
      <c r="E932" s="81">
        <v>3179102.099896112</v>
      </c>
      <c r="F932" s="81" t="s">
        <v>896</v>
      </c>
      <c r="G932" s="25">
        <f t="shared" si="27"/>
        <v>-1.2511313421712522E-3</v>
      </c>
      <c r="I932" s="81">
        <v>104.53856926293099</v>
      </c>
      <c r="J932" s="81">
        <v>106.70184495683459</v>
      </c>
      <c r="K932" s="81">
        <v>104.41015563726549</v>
      </c>
      <c r="L932" s="81">
        <v>106.23758031019776</v>
      </c>
      <c r="M932" s="81">
        <v>9597033.442620039</v>
      </c>
      <c r="N932" s="81" t="s">
        <v>896</v>
      </c>
      <c r="O932" s="25">
        <f t="shared" si="28"/>
        <v>-1.5992561599256216E-2</v>
      </c>
    </row>
    <row r="933" spans="1:15">
      <c r="A933" s="81">
        <v>368.32021862973954</v>
      </c>
      <c r="B933" s="81">
        <v>368.36862067697319</v>
      </c>
      <c r="C933" s="81">
        <v>364.30284870934048</v>
      </c>
      <c r="D933" s="81">
        <v>365.09664228397355</v>
      </c>
      <c r="E933" s="81">
        <v>2925104.579075662</v>
      </c>
      <c r="F933" s="81" t="s">
        <v>897</v>
      </c>
      <c r="G933" s="25">
        <f t="shared" si="27"/>
        <v>8.8293782314730063E-3</v>
      </c>
      <c r="I933" s="81">
        <v>107.90695744384939</v>
      </c>
      <c r="J933" s="81">
        <v>107.93659135746451</v>
      </c>
      <c r="K933" s="81">
        <v>105.39795275776942</v>
      </c>
      <c r="L933" s="81">
        <v>105.78319363476595</v>
      </c>
      <c r="M933" s="81">
        <v>8264338.7296324018</v>
      </c>
      <c r="N933" s="81" t="s">
        <v>897</v>
      </c>
      <c r="O933" s="25">
        <f t="shared" si="28"/>
        <v>2.0076571108413432E-2</v>
      </c>
    </row>
    <row r="934" spans="1:15">
      <c r="A934" s="81">
        <v>367.09080663000293</v>
      </c>
      <c r="B934" s="81">
        <v>369.23017711773355</v>
      </c>
      <c r="C934" s="81">
        <v>363.45097267802697</v>
      </c>
      <c r="D934" s="81">
        <v>365.88075544915984</v>
      </c>
      <c r="E934" s="81">
        <v>4873799.0122789731</v>
      </c>
      <c r="F934" s="81" t="s">
        <v>898</v>
      </c>
      <c r="G934" s="25">
        <f t="shared" si="27"/>
        <v>3.3072282781247964E-3</v>
      </c>
      <c r="I934" s="81">
        <v>106.34623799345319</v>
      </c>
      <c r="J934" s="81">
        <v>107.11671974744625</v>
      </c>
      <c r="K934" s="81">
        <v>104.5291851902862</v>
      </c>
      <c r="L934" s="81">
        <v>105.51648841222988</v>
      </c>
      <c r="M934" s="81">
        <v>10901127.140871383</v>
      </c>
      <c r="N934" s="81" t="s">
        <v>898</v>
      </c>
      <c r="O934" s="25">
        <f t="shared" si="28"/>
        <v>7.8636959370905757E-3</v>
      </c>
    </row>
    <row r="935" spans="1:15">
      <c r="A935" s="81">
        <v>367.22633236225738</v>
      </c>
      <c r="B935" s="81">
        <v>367.31345604727807</v>
      </c>
      <c r="C935" s="81">
        <v>363.20896244185832</v>
      </c>
      <c r="D935" s="81">
        <v>363.6436128260172</v>
      </c>
      <c r="E935" s="81">
        <v>3079001.995109133</v>
      </c>
      <c r="F935" s="81" t="s">
        <v>899</v>
      </c>
      <c r="G935" s="25">
        <f t="shared" si="27"/>
        <v>9.852282316737071E-3</v>
      </c>
      <c r="I935" s="81">
        <v>106.34623799345319</v>
      </c>
      <c r="J935" s="81">
        <v>106.96598190685735</v>
      </c>
      <c r="K935" s="81">
        <v>105.24978318969382</v>
      </c>
      <c r="L935" s="81">
        <v>106.78086872647491</v>
      </c>
      <c r="M935" s="81">
        <v>12493946.118919557</v>
      </c>
      <c r="N935" s="81" t="s">
        <v>899</v>
      </c>
      <c r="O935" s="25">
        <f t="shared" si="28"/>
        <v>-4.0703052728954248E-3</v>
      </c>
    </row>
    <row r="936" spans="1:15">
      <c r="A936" s="81">
        <v>363.03471507181695</v>
      </c>
      <c r="B936" s="81">
        <v>363.39289022134648</v>
      </c>
      <c r="C936" s="81">
        <v>360.30483960783494</v>
      </c>
      <c r="D936" s="81">
        <v>361.07927236357455</v>
      </c>
      <c r="E936" s="81">
        <v>3364222.3688122826</v>
      </c>
      <c r="F936" s="81" t="s">
        <v>900</v>
      </c>
      <c r="G936" s="25">
        <f t="shared" si="27"/>
        <v>5.4155495978551738E-3</v>
      </c>
      <c r="I936" s="81">
        <v>106.74135684165476</v>
      </c>
      <c r="J936" s="81">
        <v>108.40085600410136</v>
      </c>
      <c r="K936" s="81">
        <v>105.90172928922641</v>
      </c>
      <c r="L936" s="81">
        <v>107.63037425010829</v>
      </c>
      <c r="M936" s="81">
        <v>15758283.43380766</v>
      </c>
      <c r="N936" s="81" t="s">
        <v>900</v>
      </c>
      <c r="O936" s="25">
        <f t="shared" si="28"/>
        <v>-8.2599118942729977E-3</v>
      </c>
    </row>
    <row r="937" spans="1:15">
      <c r="A937" s="81">
        <v>362.15379781216319</v>
      </c>
      <c r="B937" s="81">
        <v>368.82359992097025</v>
      </c>
      <c r="C937" s="81">
        <v>361.02951505901825</v>
      </c>
      <c r="D937" s="81">
        <v>368.79455869263001</v>
      </c>
      <c r="E937" s="81">
        <v>3437576.7040711897</v>
      </c>
      <c r="F937" s="81" t="s">
        <v>901</v>
      </c>
      <c r="G937" s="25">
        <f t="shared" si="27"/>
        <v>-1.8006667191642345E-2</v>
      </c>
      <c r="I937" s="81">
        <v>109.01329021881379</v>
      </c>
      <c r="J937" s="81">
        <v>116.73786370115454</v>
      </c>
      <c r="K937" s="81">
        <v>108.46891522570408</v>
      </c>
      <c r="L937" s="81">
        <v>116.59957210428399</v>
      </c>
      <c r="M937" s="81">
        <v>46707113.274902895</v>
      </c>
      <c r="N937" s="81" t="s">
        <v>901</v>
      </c>
      <c r="O937" s="25">
        <f t="shared" si="28"/>
        <v>-6.5062690613351459E-2</v>
      </c>
    </row>
    <row r="938" spans="1:15">
      <c r="A938" s="81">
        <v>365.28057006346165</v>
      </c>
      <c r="B938" s="81">
        <v>368.75583705484303</v>
      </c>
      <c r="C938" s="81">
        <v>364.69006508721031</v>
      </c>
      <c r="D938" s="81">
        <v>367.55546628344666</v>
      </c>
      <c r="E938" s="81">
        <v>3017953.9574975902</v>
      </c>
      <c r="F938" s="81" t="s">
        <v>902</v>
      </c>
      <c r="G938" s="25">
        <f t="shared" si="27"/>
        <v>-6.1892596591957005E-3</v>
      </c>
      <c r="I938" s="81">
        <v>110.41596212992938</v>
      </c>
      <c r="J938" s="81">
        <v>111.94704766671047</v>
      </c>
      <c r="K938" s="81">
        <v>108.94414442037854</v>
      </c>
      <c r="L938" s="81">
        <v>110.83083692054103</v>
      </c>
      <c r="M938" s="81">
        <v>28062361.617189683</v>
      </c>
      <c r="N938" s="81" t="s">
        <v>902</v>
      </c>
      <c r="O938" s="25">
        <f t="shared" si="28"/>
        <v>-3.7433155080213165E-3</v>
      </c>
    </row>
    <row r="939" spans="1:15">
      <c r="A939" s="81">
        <v>369.32698121220096</v>
      </c>
      <c r="B939" s="81">
        <v>370.51457384312761</v>
      </c>
      <c r="C939" s="81">
        <v>362.64749869394717</v>
      </c>
      <c r="D939" s="81">
        <v>363.78010659921631</v>
      </c>
      <c r="E939" s="81">
        <v>4653349.6592076896</v>
      </c>
      <c r="F939" s="81" t="s">
        <v>903</v>
      </c>
      <c r="G939" s="25">
        <f t="shared" si="27"/>
        <v>1.5247877804092758E-2</v>
      </c>
      <c r="I939" s="81">
        <v>110.26779256185378</v>
      </c>
      <c r="J939" s="81">
        <v>110.75181315090072</v>
      </c>
      <c r="K939" s="81">
        <v>107.5315945380579</v>
      </c>
      <c r="L939" s="81">
        <v>107.96128628547712</v>
      </c>
      <c r="M939" s="81">
        <v>10977946.558973441</v>
      </c>
      <c r="N939" s="81" t="s">
        <v>903</v>
      </c>
      <c r="O939" s="25">
        <f t="shared" si="28"/>
        <v>2.1364197813257491E-2</v>
      </c>
    </row>
    <row r="940" spans="1:15">
      <c r="A940" s="81">
        <v>364.62230222108309</v>
      </c>
      <c r="B940" s="81">
        <v>365.85171422081964</v>
      </c>
      <c r="C940" s="81">
        <v>363.03471507181695</v>
      </c>
      <c r="D940" s="81">
        <v>364.54001874078574</v>
      </c>
      <c r="E940" s="81">
        <v>2975182.0063443012</v>
      </c>
      <c r="F940" s="81" t="s">
        <v>904</v>
      </c>
      <c r="G940" s="25">
        <f>A940/D940-1</f>
        <v>2.2571864834364241E-4</v>
      </c>
      <c r="I940" s="81">
        <v>108.52926962976687</v>
      </c>
      <c r="J940" s="81">
        <v>109.08243601724908</v>
      </c>
      <c r="K940" s="81">
        <v>107.20562148829161</v>
      </c>
      <c r="L940" s="81">
        <v>108.82560876591805</v>
      </c>
      <c r="M940" s="81">
        <v>12104246.663424468</v>
      </c>
      <c r="N940" s="81" t="s">
        <v>904</v>
      </c>
      <c r="O940" s="25">
        <f>I940/L940-1</f>
        <v>-2.7230643550875122E-3</v>
      </c>
    </row>
    <row r="941" spans="1:15">
      <c r="G941" s="25"/>
      <c r="O941" s="25"/>
    </row>
    <row r="942" spans="1:15">
      <c r="G942" s="25"/>
      <c r="O942" s="25"/>
    </row>
    <row r="943" spans="1:15">
      <c r="G943" s="25"/>
      <c r="O943" s="25"/>
    </row>
    <row r="944" spans="1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sortState xmlns:xlrd2="http://schemas.microsoft.com/office/spreadsheetml/2017/richdata2" ref="Q214:Q298">
    <sortCondition ref="Q21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2026-05-03T03:02:28Z</dcterms:modified>
</cp:coreProperties>
</file>