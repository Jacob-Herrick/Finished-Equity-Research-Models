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ser\OneDrive\Desktop\Equity Research\Models\Communication Services\"/>
    </mc:Choice>
  </mc:AlternateContent>
  <xr:revisionPtr revIDLastSave="0" documentId="13_ncr:1_{634BA06E-435D-49CF-8AA1-33E4C1B334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in" sheetId="1" r:id="rId1"/>
    <sheet name="Model" sheetId="2" r:id="rId2"/>
    <sheet name="Notes | Quant Analysis" sheetId="3" r:id="rId3"/>
    <sheet name="Product Lines" sheetId="5" r:id="rId4"/>
    <sheet name="Management" sheetId="6" r:id="rId5"/>
    <sheet name="Table Formatting" sheetId="4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69" i="2" l="1"/>
  <c r="CP69" i="2"/>
  <c r="CO69" i="2"/>
  <c r="CN69" i="2"/>
  <c r="CQ68" i="2"/>
  <c r="CP68" i="2"/>
  <c r="CO68" i="2"/>
  <c r="CN68" i="2"/>
  <c r="CQ67" i="2"/>
  <c r="CP67" i="2"/>
  <c r="CO67" i="2"/>
  <c r="CN67" i="2"/>
  <c r="CQ66" i="2"/>
  <c r="CP66" i="2"/>
  <c r="CO66" i="2"/>
  <c r="CN66" i="2"/>
  <c r="CQ65" i="2"/>
  <c r="CP65" i="2"/>
  <c r="CO65" i="2"/>
  <c r="CN65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R69" i="2"/>
  <c r="BR68" i="2"/>
  <c r="BR67" i="2"/>
  <c r="BR66" i="2"/>
  <c r="BR65" i="2"/>
  <c r="BH51" i="2"/>
  <c r="BF61" i="2"/>
  <c r="BF63" i="2" s="1"/>
  <c r="BF51" i="2"/>
  <c r="DK48" i="2"/>
  <c r="DK46" i="2"/>
  <c r="CR30" i="2"/>
  <c r="CS30" i="2" s="1"/>
  <c r="CT30" i="2" s="1"/>
  <c r="CU30" i="2" s="1"/>
  <c r="CV30" i="2" s="1"/>
  <c r="CW30" i="2" s="1"/>
  <c r="CX30" i="2" s="1"/>
  <c r="CY30" i="2" s="1"/>
  <c r="CZ30" i="2" s="1"/>
  <c r="DA30" i="2" s="1"/>
  <c r="CO21" i="2"/>
  <c r="CQ34" i="2"/>
  <c r="CQ32" i="2"/>
  <c r="CQ30" i="2"/>
  <c r="CQ29" i="2"/>
  <c r="CQ26" i="2"/>
  <c r="CQ25" i="2"/>
  <c r="CQ24" i="2"/>
  <c r="CQ22" i="2"/>
  <c r="CQ21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CQ62" i="2"/>
  <c r="CQ60" i="2"/>
  <c r="CQ59" i="2"/>
  <c r="CQ58" i="2"/>
  <c r="CQ57" i="2"/>
  <c r="CQ56" i="2"/>
  <c r="CQ55" i="2"/>
  <c r="CQ54" i="2"/>
  <c r="CQ53" i="2"/>
  <c r="CQ50" i="2"/>
  <c r="CQ49" i="2"/>
  <c r="CQ48" i="2"/>
  <c r="CQ47" i="2"/>
  <c r="CQ46" i="2"/>
  <c r="CQ45" i="2"/>
  <c r="BJ7" i="2"/>
  <c r="CO7" i="2" s="1"/>
  <c r="BJ6" i="2"/>
  <c r="BJ5" i="2"/>
  <c r="BJ4" i="2"/>
  <c r="BN7" i="2"/>
  <c r="CQ7" i="2" s="1"/>
  <c r="CR7" i="2" s="1"/>
  <c r="CS7" i="2" s="1"/>
  <c r="CT7" i="2" s="1"/>
  <c r="BN6" i="2"/>
  <c r="BN5" i="2"/>
  <c r="BN4" i="2"/>
  <c r="BQ8" i="2"/>
  <c r="BQ17" i="2" s="1"/>
  <c r="BP8" i="2"/>
  <c r="BP16" i="2" s="1"/>
  <c r="BO8" i="2"/>
  <c r="BO19" i="2" s="1"/>
  <c r="BM8" i="2"/>
  <c r="BM16" i="2" s="1"/>
  <c r="BL8" i="2"/>
  <c r="BL17" i="2" s="1"/>
  <c r="BK8" i="2"/>
  <c r="BK17" i="2" s="1"/>
  <c r="BR7" i="2"/>
  <c r="BR6" i="2"/>
  <c r="BR5" i="2"/>
  <c r="BR4" i="2"/>
  <c r="BQ13" i="2"/>
  <c r="BP13" i="2"/>
  <c r="BO13" i="2"/>
  <c r="DF43" i="2" l="1"/>
  <c r="CR29" i="2"/>
  <c r="CP7" i="2"/>
  <c r="CQ13" i="2" s="1"/>
  <c r="DD37" i="2"/>
  <c r="CU7" i="2"/>
  <c r="CV7" i="2" s="1"/>
  <c r="CW7" i="2" s="1"/>
  <c r="CX7" i="2" s="1"/>
  <c r="CY7" i="2" s="1"/>
  <c r="CZ7" i="2" s="1"/>
  <c r="DA7" i="2" s="1"/>
  <c r="BO17" i="2"/>
  <c r="BO18" i="2"/>
  <c r="BO16" i="2"/>
  <c r="BL18" i="2"/>
  <c r="BL19" i="2"/>
  <c r="BL16" i="2"/>
  <c r="BP19" i="2"/>
  <c r="BP17" i="2"/>
  <c r="BM18" i="2"/>
  <c r="BM17" i="2"/>
  <c r="BM19" i="2"/>
  <c r="BR8" i="2"/>
  <c r="BQ18" i="2"/>
  <c r="BQ16" i="2"/>
  <c r="BN13" i="2"/>
  <c r="BJ8" i="2"/>
  <c r="BJ19" i="2" s="1"/>
  <c r="BR13" i="2"/>
  <c r="BN8" i="2"/>
  <c r="BN19" i="2" s="1"/>
  <c r="BK16" i="2"/>
  <c r="BP18" i="2"/>
  <c r="BQ19" i="2"/>
  <c r="BK19" i="2"/>
  <c r="BK18" i="2"/>
  <c r="CP13" i="2" l="1"/>
  <c r="BJ16" i="2"/>
  <c r="BJ18" i="2"/>
  <c r="BJ17" i="2"/>
  <c r="BN16" i="2"/>
  <c r="BN18" i="2"/>
  <c r="BN17" i="2"/>
  <c r="BQ75" i="2" l="1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R75" i="2"/>
  <c r="CQ73" i="2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CQ72" i="2"/>
  <c r="CQ74" i="2" s="1"/>
  <c r="CP72" i="2"/>
  <c r="CO72" i="2"/>
  <c r="CO74" i="2" s="1"/>
  <c r="CN72" i="2"/>
  <c r="CM72" i="2"/>
  <c r="CL72" i="2"/>
  <c r="CK72" i="2"/>
  <c r="CJ72" i="2"/>
  <c r="CI72" i="2"/>
  <c r="CH72" i="2"/>
  <c r="CG72" i="2"/>
  <c r="CG74" i="2" s="1"/>
  <c r="CF72" i="2"/>
  <c r="CE72" i="2"/>
  <c r="CD72" i="2"/>
  <c r="CC72" i="2"/>
  <c r="CB72" i="2"/>
  <c r="CA72" i="2"/>
  <c r="U239" i="3"/>
  <c r="CH74" i="2" l="1"/>
  <c r="CP74" i="2"/>
  <c r="CF74" i="2"/>
  <c r="CJ74" i="2"/>
  <c r="CK74" i="2"/>
  <c r="CC74" i="2"/>
  <c r="CN74" i="2"/>
  <c r="CB74" i="2"/>
  <c r="CE74" i="2"/>
  <c r="CD74" i="2"/>
  <c r="CL74" i="2"/>
  <c r="CM74" i="2"/>
  <c r="CA74" i="2"/>
  <c r="CI74" i="2"/>
  <c r="T240" i="3" l="1"/>
  <c r="T238" i="3"/>
  <c r="S209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O938" i="3"/>
  <c r="O937" i="3"/>
  <c r="O936" i="3"/>
  <c r="O935" i="3"/>
  <c r="O934" i="3"/>
  <c r="O933" i="3"/>
  <c r="O932" i="3"/>
  <c r="O931" i="3"/>
  <c r="O930" i="3"/>
  <c r="O929" i="3"/>
  <c r="O928" i="3"/>
  <c r="O927" i="3"/>
  <c r="O926" i="3"/>
  <c r="O925" i="3"/>
  <c r="O924" i="3"/>
  <c r="O923" i="3"/>
  <c r="O922" i="3"/>
  <c r="O921" i="3"/>
  <c r="O920" i="3"/>
  <c r="O919" i="3"/>
  <c r="O918" i="3"/>
  <c r="O917" i="3"/>
  <c r="O916" i="3"/>
  <c r="O915" i="3"/>
  <c r="O914" i="3"/>
  <c r="O913" i="3"/>
  <c r="O912" i="3"/>
  <c r="O911" i="3"/>
  <c r="O910" i="3"/>
  <c r="O909" i="3"/>
  <c r="O908" i="3"/>
  <c r="O907" i="3"/>
  <c r="O906" i="3"/>
  <c r="O905" i="3"/>
  <c r="O904" i="3"/>
  <c r="O903" i="3"/>
  <c r="O902" i="3"/>
  <c r="O901" i="3"/>
  <c r="O900" i="3"/>
  <c r="O899" i="3"/>
  <c r="O898" i="3"/>
  <c r="O897" i="3"/>
  <c r="O896" i="3"/>
  <c r="O895" i="3"/>
  <c r="O894" i="3"/>
  <c r="O893" i="3"/>
  <c r="O892" i="3"/>
  <c r="O891" i="3"/>
  <c r="O890" i="3"/>
  <c r="O889" i="3"/>
  <c r="O888" i="3"/>
  <c r="O887" i="3"/>
  <c r="O886" i="3"/>
  <c r="O885" i="3"/>
  <c r="O884" i="3"/>
  <c r="O883" i="3"/>
  <c r="O882" i="3"/>
  <c r="O881" i="3"/>
  <c r="O880" i="3"/>
  <c r="O879" i="3"/>
  <c r="O878" i="3"/>
  <c r="O877" i="3"/>
  <c r="O876" i="3"/>
  <c r="O875" i="3"/>
  <c r="O874" i="3"/>
  <c r="O873" i="3"/>
  <c r="O872" i="3"/>
  <c r="O871" i="3"/>
  <c r="O870" i="3"/>
  <c r="O869" i="3"/>
  <c r="O868" i="3"/>
  <c r="O867" i="3"/>
  <c r="O866" i="3"/>
  <c r="O865" i="3"/>
  <c r="O864" i="3"/>
  <c r="O863" i="3"/>
  <c r="O862" i="3"/>
  <c r="O861" i="3"/>
  <c r="O860" i="3"/>
  <c r="O859" i="3"/>
  <c r="O858" i="3"/>
  <c r="O857" i="3"/>
  <c r="O856" i="3"/>
  <c r="O855" i="3"/>
  <c r="O854" i="3"/>
  <c r="O853" i="3"/>
  <c r="O852" i="3"/>
  <c r="O851" i="3"/>
  <c r="O850" i="3"/>
  <c r="O849" i="3"/>
  <c r="O848" i="3"/>
  <c r="O847" i="3"/>
  <c r="O846" i="3"/>
  <c r="O845" i="3"/>
  <c r="O844" i="3"/>
  <c r="O843" i="3"/>
  <c r="O842" i="3"/>
  <c r="O841" i="3"/>
  <c r="O840" i="3"/>
  <c r="O839" i="3"/>
  <c r="O838" i="3"/>
  <c r="O837" i="3"/>
  <c r="O836" i="3"/>
  <c r="O835" i="3"/>
  <c r="O834" i="3"/>
  <c r="O833" i="3"/>
  <c r="O832" i="3"/>
  <c r="O831" i="3"/>
  <c r="O830" i="3"/>
  <c r="O829" i="3"/>
  <c r="O828" i="3"/>
  <c r="O827" i="3"/>
  <c r="O826" i="3"/>
  <c r="O825" i="3"/>
  <c r="O824" i="3"/>
  <c r="O823" i="3"/>
  <c r="O822" i="3"/>
  <c r="O821" i="3"/>
  <c r="O820" i="3"/>
  <c r="O819" i="3"/>
  <c r="O818" i="3"/>
  <c r="O817" i="3"/>
  <c r="O816" i="3"/>
  <c r="O815" i="3"/>
  <c r="O814" i="3"/>
  <c r="O813" i="3"/>
  <c r="O812" i="3"/>
  <c r="O811" i="3"/>
  <c r="O810" i="3"/>
  <c r="O809" i="3"/>
  <c r="O808" i="3"/>
  <c r="O807" i="3"/>
  <c r="O806" i="3"/>
  <c r="O805" i="3"/>
  <c r="O804" i="3"/>
  <c r="O803" i="3"/>
  <c r="O802" i="3"/>
  <c r="O801" i="3"/>
  <c r="O800" i="3"/>
  <c r="O799" i="3"/>
  <c r="O798" i="3"/>
  <c r="O797" i="3"/>
  <c r="O796" i="3"/>
  <c r="O795" i="3"/>
  <c r="O794" i="3"/>
  <c r="O793" i="3"/>
  <c r="O792" i="3"/>
  <c r="O791" i="3"/>
  <c r="O790" i="3"/>
  <c r="O789" i="3"/>
  <c r="O788" i="3"/>
  <c r="O787" i="3"/>
  <c r="O786" i="3"/>
  <c r="O785" i="3"/>
  <c r="O784" i="3"/>
  <c r="O783" i="3"/>
  <c r="O782" i="3"/>
  <c r="O781" i="3"/>
  <c r="O780" i="3"/>
  <c r="O779" i="3"/>
  <c r="O778" i="3"/>
  <c r="O777" i="3"/>
  <c r="O776" i="3"/>
  <c r="O775" i="3"/>
  <c r="O774" i="3"/>
  <c r="O773" i="3"/>
  <c r="O772" i="3"/>
  <c r="O771" i="3"/>
  <c r="O770" i="3"/>
  <c r="O769" i="3"/>
  <c r="O768" i="3"/>
  <c r="O767" i="3"/>
  <c r="O766" i="3"/>
  <c r="O765" i="3"/>
  <c r="O764" i="3"/>
  <c r="O763" i="3"/>
  <c r="O762" i="3"/>
  <c r="O761" i="3"/>
  <c r="O760" i="3"/>
  <c r="O759" i="3"/>
  <c r="O758" i="3"/>
  <c r="O757" i="3"/>
  <c r="O756" i="3"/>
  <c r="O755" i="3"/>
  <c r="O754" i="3"/>
  <c r="O753" i="3"/>
  <c r="O752" i="3"/>
  <c r="O751" i="3"/>
  <c r="O750" i="3"/>
  <c r="O749" i="3"/>
  <c r="O748" i="3"/>
  <c r="O747" i="3"/>
  <c r="O746" i="3"/>
  <c r="O745" i="3"/>
  <c r="O744" i="3"/>
  <c r="O743" i="3"/>
  <c r="O742" i="3"/>
  <c r="O741" i="3"/>
  <c r="O740" i="3"/>
  <c r="O739" i="3"/>
  <c r="O738" i="3"/>
  <c r="O737" i="3"/>
  <c r="O736" i="3"/>
  <c r="O735" i="3"/>
  <c r="O734" i="3"/>
  <c r="O733" i="3"/>
  <c r="O732" i="3"/>
  <c r="O731" i="3"/>
  <c r="O730" i="3"/>
  <c r="O729" i="3"/>
  <c r="O728" i="3"/>
  <c r="O727" i="3"/>
  <c r="O726" i="3"/>
  <c r="O725" i="3"/>
  <c r="O724" i="3"/>
  <c r="O723" i="3"/>
  <c r="O722" i="3"/>
  <c r="O721" i="3"/>
  <c r="O720" i="3"/>
  <c r="O719" i="3"/>
  <c r="O718" i="3"/>
  <c r="O717" i="3"/>
  <c r="O716" i="3"/>
  <c r="O715" i="3"/>
  <c r="O714" i="3"/>
  <c r="O713" i="3"/>
  <c r="O712" i="3"/>
  <c r="O711" i="3"/>
  <c r="O710" i="3"/>
  <c r="O709" i="3"/>
  <c r="O708" i="3"/>
  <c r="O707" i="3"/>
  <c r="O706" i="3"/>
  <c r="O705" i="3"/>
  <c r="O704" i="3"/>
  <c r="O703" i="3"/>
  <c r="O702" i="3"/>
  <c r="O701" i="3"/>
  <c r="O700" i="3"/>
  <c r="O699" i="3"/>
  <c r="O698" i="3"/>
  <c r="O697" i="3"/>
  <c r="O696" i="3"/>
  <c r="O695" i="3"/>
  <c r="O694" i="3"/>
  <c r="O693" i="3"/>
  <c r="O692" i="3"/>
  <c r="O691" i="3"/>
  <c r="O690" i="3"/>
  <c r="O689" i="3"/>
  <c r="O688" i="3"/>
  <c r="O687" i="3"/>
  <c r="O686" i="3"/>
  <c r="O685" i="3"/>
  <c r="O684" i="3"/>
  <c r="O683" i="3"/>
  <c r="O682" i="3"/>
  <c r="O681" i="3"/>
  <c r="O680" i="3"/>
  <c r="O679" i="3"/>
  <c r="O678" i="3"/>
  <c r="O677" i="3"/>
  <c r="O676" i="3"/>
  <c r="O675" i="3"/>
  <c r="O674" i="3"/>
  <c r="O673" i="3"/>
  <c r="O672" i="3"/>
  <c r="O671" i="3"/>
  <c r="O670" i="3"/>
  <c r="O669" i="3"/>
  <c r="O668" i="3"/>
  <c r="O667" i="3"/>
  <c r="O666" i="3"/>
  <c r="O665" i="3"/>
  <c r="O664" i="3"/>
  <c r="O663" i="3"/>
  <c r="O662" i="3"/>
  <c r="O661" i="3"/>
  <c r="O660" i="3"/>
  <c r="O659" i="3"/>
  <c r="O658" i="3"/>
  <c r="O657" i="3"/>
  <c r="O656" i="3"/>
  <c r="O655" i="3"/>
  <c r="O654" i="3"/>
  <c r="O653" i="3"/>
  <c r="O652" i="3"/>
  <c r="O651" i="3"/>
  <c r="O650" i="3"/>
  <c r="O649" i="3"/>
  <c r="O648" i="3"/>
  <c r="O647" i="3"/>
  <c r="O646" i="3"/>
  <c r="O645" i="3"/>
  <c r="O644" i="3"/>
  <c r="O643" i="3"/>
  <c r="O642" i="3"/>
  <c r="O641" i="3"/>
  <c r="O640" i="3"/>
  <c r="O639" i="3"/>
  <c r="O638" i="3"/>
  <c r="O637" i="3"/>
  <c r="O636" i="3"/>
  <c r="O635" i="3"/>
  <c r="O634" i="3"/>
  <c r="O633" i="3"/>
  <c r="O632" i="3"/>
  <c r="O631" i="3"/>
  <c r="O630" i="3"/>
  <c r="O629" i="3"/>
  <c r="O628" i="3"/>
  <c r="O627" i="3"/>
  <c r="O626" i="3"/>
  <c r="O625" i="3"/>
  <c r="O624" i="3"/>
  <c r="O623" i="3"/>
  <c r="O622" i="3"/>
  <c r="O621" i="3"/>
  <c r="O620" i="3"/>
  <c r="O619" i="3"/>
  <c r="O618" i="3"/>
  <c r="O617" i="3"/>
  <c r="O616" i="3"/>
  <c r="O615" i="3"/>
  <c r="O614" i="3"/>
  <c r="O613" i="3"/>
  <c r="O612" i="3"/>
  <c r="O611" i="3"/>
  <c r="O610" i="3"/>
  <c r="O609" i="3"/>
  <c r="O608" i="3"/>
  <c r="O607" i="3"/>
  <c r="O606" i="3"/>
  <c r="O605" i="3"/>
  <c r="O604" i="3"/>
  <c r="O603" i="3"/>
  <c r="O602" i="3"/>
  <c r="O601" i="3"/>
  <c r="O600" i="3"/>
  <c r="O599" i="3"/>
  <c r="O598" i="3"/>
  <c r="O597" i="3"/>
  <c r="O596" i="3"/>
  <c r="O595" i="3"/>
  <c r="O594" i="3"/>
  <c r="O593" i="3"/>
  <c r="O592" i="3"/>
  <c r="O591" i="3"/>
  <c r="O590" i="3"/>
  <c r="O589" i="3"/>
  <c r="O588" i="3"/>
  <c r="O587" i="3"/>
  <c r="O586" i="3"/>
  <c r="O585" i="3"/>
  <c r="O584" i="3"/>
  <c r="O583" i="3"/>
  <c r="O582" i="3"/>
  <c r="O581" i="3"/>
  <c r="O580" i="3"/>
  <c r="O579" i="3"/>
  <c r="O578" i="3"/>
  <c r="O577" i="3"/>
  <c r="O576" i="3"/>
  <c r="O575" i="3"/>
  <c r="O574" i="3"/>
  <c r="O573" i="3"/>
  <c r="O572" i="3"/>
  <c r="O571" i="3"/>
  <c r="O570" i="3"/>
  <c r="O569" i="3"/>
  <c r="O568" i="3"/>
  <c r="O567" i="3"/>
  <c r="O566" i="3"/>
  <c r="O565" i="3"/>
  <c r="O564" i="3"/>
  <c r="O563" i="3"/>
  <c r="O562" i="3"/>
  <c r="O561" i="3"/>
  <c r="O560" i="3"/>
  <c r="O559" i="3"/>
  <c r="O558" i="3"/>
  <c r="O557" i="3"/>
  <c r="O556" i="3"/>
  <c r="O555" i="3"/>
  <c r="O554" i="3"/>
  <c r="O553" i="3"/>
  <c r="O552" i="3"/>
  <c r="O551" i="3"/>
  <c r="O550" i="3"/>
  <c r="O549" i="3"/>
  <c r="O548" i="3"/>
  <c r="O547" i="3"/>
  <c r="O546" i="3"/>
  <c r="O545" i="3"/>
  <c r="O544" i="3"/>
  <c r="O543" i="3"/>
  <c r="O542" i="3"/>
  <c r="O541" i="3"/>
  <c r="O540" i="3"/>
  <c r="O539" i="3"/>
  <c r="O538" i="3"/>
  <c r="O537" i="3"/>
  <c r="O536" i="3"/>
  <c r="O535" i="3"/>
  <c r="O534" i="3"/>
  <c r="O533" i="3"/>
  <c r="O532" i="3"/>
  <c r="O531" i="3"/>
  <c r="O530" i="3"/>
  <c r="O529" i="3"/>
  <c r="O528" i="3"/>
  <c r="O527" i="3"/>
  <c r="O526" i="3"/>
  <c r="O525" i="3"/>
  <c r="O524" i="3"/>
  <c r="O523" i="3"/>
  <c r="O522" i="3"/>
  <c r="O521" i="3"/>
  <c r="O520" i="3"/>
  <c r="O519" i="3"/>
  <c r="O518" i="3"/>
  <c r="O517" i="3"/>
  <c r="O516" i="3"/>
  <c r="O515" i="3"/>
  <c r="O514" i="3"/>
  <c r="O513" i="3"/>
  <c r="O512" i="3"/>
  <c r="O511" i="3"/>
  <c r="O510" i="3"/>
  <c r="O509" i="3"/>
  <c r="O508" i="3"/>
  <c r="O507" i="3"/>
  <c r="O506" i="3"/>
  <c r="O505" i="3"/>
  <c r="O504" i="3"/>
  <c r="O503" i="3"/>
  <c r="O502" i="3"/>
  <c r="O501" i="3"/>
  <c r="O500" i="3"/>
  <c r="O499" i="3"/>
  <c r="O498" i="3"/>
  <c r="O497" i="3"/>
  <c r="O496" i="3"/>
  <c r="O495" i="3"/>
  <c r="O494" i="3"/>
  <c r="O493" i="3"/>
  <c r="O492" i="3"/>
  <c r="O491" i="3"/>
  <c r="O490" i="3"/>
  <c r="O489" i="3"/>
  <c r="O488" i="3"/>
  <c r="O487" i="3"/>
  <c r="O486" i="3"/>
  <c r="O485" i="3"/>
  <c r="O484" i="3"/>
  <c r="O483" i="3"/>
  <c r="O482" i="3"/>
  <c r="O481" i="3"/>
  <c r="O480" i="3"/>
  <c r="O479" i="3"/>
  <c r="O478" i="3"/>
  <c r="O477" i="3"/>
  <c r="O476" i="3"/>
  <c r="O475" i="3"/>
  <c r="O474" i="3"/>
  <c r="O473" i="3"/>
  <c r="O472" i="3"/>
  <c r="O471" i="3"/>
  <c r="O470" i="3"/>
  <c r="O469" i="3"/>
  <c r="O468" i="3"/>
  <c r="O467" i="3"/>
  <c r="O466" i="3"/>
  <c r="O465" i="3"/>
  <c r="O464" i="3"/>
  <c r="O463" i="3"/>
  <c r="O462" i="3"/>
  <c r="O461" i="3"/>
  <c r="O460" i="3"/>
  <c r="O459" i="3"/>
  <c r="O458" i="3"/>
  <c r="O457" i="3"/>
  <c r="O456" i="3"/>
  <c r="O455" i="3"/>
  <c r="O454" i="3"/>
  <c r="O453" i="3"/>
  <c r="O452" i="3"/>
  <c r="O451" i="3"/>
  <c r="O450" i="3"/>
  <c r="O449" i="3"/>
  <c r="O448" i="3"/>
  <c r="O447" i="3"/>
  <c r="O446" i="3"/>
  <c r="O445" i="3"/>
  <c r="O444" i="3"/>
  <c r="O443" i="3"/>
  <c r="O442" i="3"/>
  <c r="O441" i="3"/>
  <c r="O440" i="3"/>
  <c r="O439" i="3"/>
  <c r="O438" i="3"/>
  <c r="O437" i="3"/>
  <c r="O436" i="3"/>
  <c r="O435" i="3"/>
  <c r="O434" i="3"/>
  <c r="O433" i="3"/>
  <c r="O432" i="3"/>
  <c r="O431" i="3"/>
  <c r="O430" i="3"/>
  <c r="O429" i="3"/>
  <c r="O428" i="3"/>
  <c r="O427" i="3"/>
  <c r="O426" i="3"/>
  <c r="O425" i="3"/>
  <c r="O424" i="3"/>
  <c r="O423" i="3"/>
  <c r="O422" i="3"/>
  <c r="O421" i="3"/>
  <c r="O420" i="3"/>
  <c r="O419" i="3"/>
  <c r="O418" i="3"/>
  <c r="O417" i="3"/>
  <c r="O416" i="3"/>
  <c r="O415" i="3"/>
  <c r="O414" i="3"/>
  <c r="O413" i="3"/>
  <c r="O412" i="3"/>
  <c r="O411" i="3"/>
  <c r="O410" i="3"/>
  <c r="O409" i="3"/>
  <c r="O408" i="3"/>
  <c r="O407" i="3"/>
  <c r="O406" i="3"/>
  <c r="O405" i="3"/>
  <c r="O404" i="3"/>
  <c r="O403" i="3"/>
  <c r="O402" i="3"/>
  <c r="O401" i="3"/>
  <c r="O400" i="3"/>
  <c r="O399" i="3"/>
  <c r="O398" i="3"/>
  <c r="O397" i="3"/>
  <c r="O396" i="3"/>
  <c r="O395" i="3"/>
  <c r="O394" i="3"/>
  <c r="O393" i="3"/>
  <c r="O392" i="3"/>
  <c r="O391" i="3"/>
  <c r="O390" i="3"/>
  <c r="O389" i="3"/>
  <c r="O388" i="3"/>
  <c r="O387" i="3"/>
  <c r="O386" i="3"/>
  <c r="O385" i="3"/>
  <c r="O384" i="3"/>
  <c r="O383" i="3"/>
  <c r="O382" i="3"/>
  <c r="O381" i="3"/>
  <c r="O380" i="3"/>
  <c r="O379" i="3"/>
  <c r="O378" i="3"/>
  <c r="O377" i="3"/>
  <c r="O376" i="3"/>
  <c r="O375" i="3"/>
  <c r="O374" i="3"/>
  <c r="O373" i="3"/>
  <c r="O372" i="3"/>
  <c r="O371" i="3"/>
  <c r="O370" i="3"/>
  <c r="O369" i="3"/>
  <c r="O368" i="3"/>
  <c r="O367" i="3"/>
  <c r="O366" i="3"/>
  <c r="O365" i="3"/>
  <c r="O364" i="3"/>
  <c r="O363" i="3"/>
  <c r="O362" i="3"/>
  <c r="O361" i="3"/>
  <c r="O360" i="3"/>
  <c r="O359" i="3"/>
  <c r="O358" i="3"/>
  <c r="O357" i="3"/>
  <c r="O356" i="3"/>
  <c r="O355" i="3"/>
  <c r="O354" i="3"/>
  <c r="O353" i="3"/>
  <c r="O352" i="3"/>
  <c r="O351" i="3"/>
  <c r="O350" i="3"/>
  <c r="O349" i="3"/>
  <c r="O348" i="3"/>
  <c r="O347" i="3"/>
  <c r="O346" i="3"/>
  <c r="O345" i="3"/>
  <c r="O344" i="3"/>
  <c r="O343" i="3"/>
  <c r="O342" i="3"/>
  <c r="O341" i="3"/>
  <c r="O340" i="3"/>
  <c r="O339" i="3"/>
  <c r="O338" i="3"/>
  <c r="O337" i="3"/>
  <c r="O336" i="3"/>
  <c r="O335" i="3"/>
  <c r="O334" i="3"/>
  <c r="O333" i="3"/>
  <c r="O332" i="3"/>
  <c r="O331" i="3"/>
  <c r="O330" i="3"/>
  <c r="O329" i="3"/>
  <c r="O328" i="3"/>
  <c r="O327" i="3"/>
  <c r="O326" i="3"/>
  <c r="O325" i="3"/>
  <c r="O324" i="3"/>
  <c r="O323" i="3"/>
  <c r="O322" i="3"/>
  <c r="O321" i="3"/>
  <c r="O320" i="3"/>
  <c r="O319" i="3"/>
  <c r="O318" i="3"/>
  <c r="O317" i="3"/>
  <c r="O316" i="3"/>
  <c r="O315" i="3"/>
  <c r="O314" i="3"/>
  <c r="O313" i="3"/>
  <c r="O312" i="3"/>
  <c r="O311" i="3"/>
  <c r="O310" i="3"/>
  <c r="O309" i="3"/>
  <c r="O308" i="3"/>
  <c r="O307" i="3"/>
  <c r="O306" i="3"/>
  <c r="O305" i="3"/>
  <c r="O304" i="3"/>
  <c r="O303" i="3"/>
  <c r="O302" i="3"/>
  <c r="O301" i="3"/>
  <c r="O300" i="3"/>
  <c r="O299" i="3"/>
  <c r="O298" i="3"/>
  <c r="O297" i="3"/>
  <c r="O296" i="3"/>
  <c r="O295" i="3"/>
  <c r="O294" i="3"/>
  <c r="O293" i="3"/>
  <c r="O292" i="3"/>
  <c r="O291" i="3"/>
  <c r="O290" i="3"/>
  <c r="O289" i="3"/>
  <c r="O288" i="3"/>
  <c r="O287" i="3"/>
  <c r="O286" i="3"/>
  <c r="O285" i="3"/>
  <c r="O284" i="3"/>
  <c r="O283" i="3"/>
  <c r="O282" i="3"/>
  <c r="O281" i="3"/>
  <c r="O280" i="3"/>
  <c r="O279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939" i="3"/>
  <c r="DF54" i="2"/>
  <c r="T241" i="3" l="1"/>
  <c r="U240" i="3"/>
  <c r="T237" i="3"/>
  <c r="U238" i="3"/>
  <c r="CP62" i="2"/>
  <c r="CO62" i="2"/>
  <c r="CN62" i="2"/>
  <c r="CP60" i="2"/>
  <c r="CO60" i="2"/>
  <c r="CN60" i="2"/>
  <c r="CP59" i="2"/>
  <c r="CO59" i="2"/>
  <c r="CN59" i="2"/>
  <c r="CP58" i="2"/>
  <c r="CO58" i="2"/>
  <c r="CN58" i="2"/>
  <c r="CP57" i="2"/>
  <c r="CO57" i="2"/>
  <c r="CN57" i="2"/>
  <c r="CP56" i="2"/>
  <c r="CO56" i="2"/>
  <c r="CN56" i="2"/>
  <c r="CP55" i="2"/>
  <c r="CO55" i="2"/>
  <c r="CN55" i="2"/>
  <c r="CP54" i="2"/>
  <c r="CO54" i="2"/>
  <c r="CN54" i="2"/>
  <c r="CP53" i="2"/>
  <c r="CO53" i="2"/>
  <c r="CN53" i="2"/>
  <c r="CP50" i="2"/>
  <c r="CO50" i="2"/>
  <c r="CN50" i="2"/>
  <c r="CP49" i="2"/>
  <c r="CO49" i="2"/>
  <c r="CN49" i="2"/>
  <c r="CP48" i="2"/>
  <c r="CO48" i="2"/>
  <c r="CN48" i="2"/>
  <c r="CP47" i="2"/>
  <c r="CO47" i="2"/>
  <c r="CN47" i="2"/>
  <c r="CP46" i="2"/>
  <c r="CO46" i="2"/>
  <c r="CN46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CQ75" i="2"/>
  <c r="CQ76" i="2" s="1"/>
  <c r="CP34" i="2"/>
  <c r="CP75" i="2" s="1"/>
  <c r="CP76" i="2" s="1"/>
  <c r="CO34" i="2"/>
  <c r="CO75" i="2" s="1"/>
  <c r="CO76" i="2" s="1"/>
  <c r="CN34" i="2"/>
  <c r="CN75" i="2" s="1"/>
  <c r="CN76" i="2" s="1"/>
  <c r="CM34" i="2"/>
  <c r="CM75" i="2" s="1"/>
  <c r="CM76" i="2" s="1"/>
  <c r="CL34" i="2"/>
  <c r="CL75" i="2" s="1"/>
  <c r="CL76" i="2" s="1"/>
  <c r="CK34" i="2"/>
  <c r="CK75" i="2" s="1"/>
  <c r="CK76" i="2" s="1"/>
  <c r="CJ34" i="2"/>
  <c r="CJ75" i="2" s="1"/>
  <c r="CJ76" i="2" s="1"/>
  <c r="CI34" i="2"/>
  <c r="CI75" i="2" s="1"/>
  <c r="CI76" i="2" s="1"/>
  <c r="CH34" i="2"/>
  <c r="CH75" i="2" s="1"/>
  <c r="CH76" i="2" s="1"/>
  <c r="CG34" i="2"/>
  <c r="CG75" i="2" s="1"/>
  <c r="CG76" i="2" s="1"/>
  <c r="CF34" i="2"/>
  <c r="CF75" i="2" s="1"/>
  <c r="CF76" i="2" s="1"/>
  <c r="CE34" i="2"/>
  <c r="CE75" i="2" s="1"/>
  <c r="CE76" i="2" s="1"/>
  <c r="CD34" i="2"/>
  <c r="CD75" i="2" s="1"/>
  <c r="CD76" i="2" s="1"/>
  <c r="CC34" i="2"/>
  <c r="CC75" i="2" s="1"/>
  <c r="CC76" i="2" s="1"/>
  <c r="CB34" i="2"/>
  <c r="CB75" i="2" s="1"/>
  <c r="CB76" i="2" s="1"/>
  <c r="CA34" i="2"/>
  <c r="CA75" i="2" s="1"/>
  <c r="CA76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CP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R38" i="2"/>
  <c r="BR40" i="2"/>
  <c r="BR23" i="2"/>
  <c r="BQ23" i="2"/>
  <c r="BQ37" i="2" s="1"/>
  <c r="BP23" i="2"/>
  <c r="BP37" i="2" s="1"/>
  <c r="BO23" i="2"/>
  <c r="BN23" i="2"/>
  <c r="BN37" i="2" s="1"/>
  <c r="BM23" i="2"/>
  <c r="BM37" i="2" s="1"/>
  <c r="BL23" i="2"/>
  <c r="BL37" i="2" s="1"/>
  <c r="BK23" i="2"/>
  <c r="BJ23" i="2"/>
  <c r="BJ37" i="2" s="1"/>
  <c r="BI23" i="2"/>
  <c r="BI37" i="2" s="1"/>
  <c r="BH23" i="2"/>
  <c r="BH37" i="2" s="1"/>
  <c r="BG23" i="2"/>
  <c r="BG37" i="2" s="1"/>
  <c r="BF23" i="2"/>
  <c r="BF37" i="2" s="1"/>
  <c r="BE23" i="2"/>
  <c r="BE37" i="2" s="1"/>
  <c r="BD23" i="2"/>
  <c r="BD37" i="2" s="1"/>
  <c r="BC23" i="2"/>
  <c r="BB23" i="2"/>
  <c r="BB37" i="2" s="1"/>
  <c r="BA23" i="2"/>
  <c r="BA37" i="2" s="1"/>
  <c r="AZ23" i="2"/>
  <c r="AZ37" i="2" s="1"/>
  <c r="AY23" i="2"/>
  <c r="AX23" i="2"/>
  <c r="AX37" i="2" s="1"/>
  <c r="AW23" i="2"/>
  <c r="AW37" i="2" s="1"/>
  <c r="AV23" i="2"/>
  <c r="AV37" i="2" s="1"/>
  <c r="AU23" i="2"/>
  <c r="AT23" i="2"/>
  <c r="AT37" i="2" s="1"/>
  <c r="AS23" i="2"/>
  <c r="AS37" i="2" s="1"/>
  <c r="AR23" i="2"/>
  <c r="AR37" i="2" s="1"/>
  <c r="AQ23" i="2"/>
  <c r="AQ37" i="2" s="1"/>
  <c r="AP23" i="2"/>
  <c r="AP37" i="2" s="1"/>
  <c r="AO23" i="2"/>
  <c r="AO37" i="2" s="1"/>
  <c r="AN23" i="2"/>
  <c r="AN37" i="2" s="1"/>
  <c r="AM23" i="2"/>
  <c r="AL23" i="2"/>
  <c r="AL37" i="2" s="1"/>
  <c r="AK23" i="2"/>
  <c r="AK37" i="2" s="1"/>
  <c r="AJ23" i="2"/>
  <c r="AJ37" i="2" s="1"/>
  <c r="AI23" i="2"/>
  <c r="AI37" i="2" s="1"/>
  <c r="AH23" i="2"/>
  <c r="AH37" i="2" s="1"/>
  <c r="AG23" i="2"/>
  <c r="AG37" i="2" s="1"/>
  <c r="AF23" i="2"/>
  <c r="AF37" i="2" s="1"/>
  <c r="AE23" i="2"/>
  <c r="AD23" i="2"/>
  <c r="AD37" i="2" s="1"/>
  <c r="AC23" i="2"/>
  <c r="AC37" i="2" s="1"/>
  <c r="AB23" i="2"/>
  <c r="AB37" i="2" s="1"/>
  <c r="AA23" i="2"/>
  <c r="AA37" i="2" s="1"/>
  <c r="Z23" i="2"/>
  <c r="Z37" i="2" s="1"/>
  <c r="Y23" i="2"/>
  <c r="Y37" i="2" s="1"/>
  <c r="X23" i="2"/>
  <c r="X37" i="2" s="1"/>
  <c r="W23" i="2"/>
  <c r="V23" i="2"/>
  <c r="V37" i="2" s="1"/>
  <c r="U23" i="2"/>
  <c r="U37" i="2" s="1"/>
  <c r="T23" i="2"/>
  <c r="T37" i="2" s="1"/>
  <c r="S23" i="2"/>
  <c r="S37" i="2" s="1"/>
  <c r="R23" i="2"/>
  <c r="R37" i="2" s="1"/>
  <c r="Q23" i="2"/>
  <c r="Q37" i="2" s="1"/>
  <c r="P23" i="2"/>
  <c r="P37" i="2" s="1"/>
  <c r="O23" i="2"/>
  <c r="N23" i="2"/>
  <c r="N37" i="2" s="1"/>
  <c r="M23" i="2"/>
  <c r="M37" i="2" s="1"/>
  <c r="L23" i="2"/>
  <c r="L37" i="2" s="1"/>
  <c r="K23" i="2"/>
  <c r="K37" i="2" s="1"/>
  <c r="J23" i="2"/>
  <c r="J37" i="2" s="1"/>
  <c r="I23" i="2"/>
  <c r="I37" i="2" s="1"/>
  <c r="H23" i="2"/>
  <c r="H37" i="2" s="1"/>
  <c r="G23" i="2"/>
  <c r="F23" i="2"/>
  <c r="F37" i="2" s="1"/>
  <c r="E23" i="2"/>
  <c r="E37" i="2" s="1"/>
  <c r="D23" i="2"/>
  <c r="D37" i="2" s="1"/>
  <c r="C23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C3" i="2" a="1"/>
  <c r="C3" i="2" s="1"/>
  <c r="BQ61" i="2"/>
  <c r="BQ63" i="2" s="1"/>
  <c r="BP61" i="2"/>
  <c r="BP63" i="2" s="1"/>
  <c r="BO61" i="2"/>
  <c r="BN61" i="2"/>
  <c r="BM61" i="2"/>
  <c r="BM63" i="2" s="1"/>
  <c r="BL61" i="2"/>
  <c r="BL63" i="2" s="1"/>
  <c r="BK61" i="2"/>
  <c r="BK63" i="2" s="1"/>
  <c r="BJ61" i="2"/>
  <c r="BI61" i="2"/>
  <c r="BI63" i="2" s="1"/>
  <c r="BH61" i="2"/>
  <c r="BH63" i="2" s="1"/>
  <c r="BG61" i="2"/>
  <c r="BG63" i="2" s="1"/>
  <c r="BR61" i="2"/>
  <c r="CQ61" i="2" s="1"/>
  <c r="C7" i="1"/>
  <c r="C6" i="1"/>
  <c r="S28" i="2" l="1"/>
  <c r="J28" i="2"/>
  <c r="J41" i="2" s="1"/>
  <c r="R28" i="2"/>
  <c r="Z28" i="2"/>
  <c r="Z41" i="2" s="1"/>
  <c r="AH28" i="2"/>
  <c r="AH31" i="2" s="1"/>
  <c r="AP28" i="2"/>
  <c r="AP41" i="2" s="1"/>
  <c r="AX28" i="2"/>
  <c r="AX31" i="2" s="1"/>
  <c r="CA27" i="2"/>
  <c r="CI27" i="2"/>
  <c r="CM27" i="2"/>
  <c r="CO27" i="2"/>
  <c r="CQ27" i="2"/>
  <c r="BO37" i="2"/>
  <c r="CQ23" i="2"/>
  <c r="CQ37" i="2" s="1"/>
  <c r="CB38" i="2"/>
  <c r="CC38" i="2"/>
  <c r="CK38" i="2"/>
  <c r="CB39" i="2"/>
  <c r="CJ39" i="2"/>
  <c r="CA40" i="2"/>
  <c r="CI40" i="2"/>
  <c r="CQ40" i="2"/>
  <c r="BR19" i="2"/>
  <c r="BR18" i="2"/>
  <c r="BR17" i="2"/>
  <c r="BR16" i="2"/>
  <c r="CD38" i="2"/>
  <c r="CL38" i="2"/>
  <c r="CC39" i="2"/>
  <c r="CK39" i="2"/>
  <c r="CB40" i="2"/>
  <c r="CJ40" i="2"/>
  <c r="CM23" i="2"/>
  <c r="CM37" i="2" s="1"/>
  <c r="CJ38" i="2"/>
  <c r="CA39" i="2"/>
  <c r="CI39" i="2"/>
  <c r="CQ39" i="2"/>
  <c r="CH40" i="2"/>
  <c r="CP40" i="2"/>
  <c r="CE38" i="2"/>
  <c r="CM38" i="2"/>
  <c r="CD39" i="2"/>
  <c r="CL39" i="2"/>
  <c r="CC40" i="2"/>
  <c r="CK40" i="2"/>
  <c r="AY37" i="2"/>
  <c r="CF38" i="2"/>
  <c r="CN38" i="2"/>
  <c r="CE39" i="2"/>
  <c r="CM39" i="2"/>
  <c r="CD40" i="2"/>
  <c r="CL40" i="2"/>
  <c r="CN27" i="2"/>
  <c r="CP27" i="2"/>
  <c r="CA23" i="2"/>
  <c r="CA37" i="2" s="1"/>
  <c r="CG23" i="2"/>
  <c r="CG37" i="2" s="1"/>
  <c r="CO23" i="2"/>
  <c r="CO37" i="2" s="1"/>
  <c r="CE23" i="2"/>
  <c r="CE37" i="2" s="1"/>
  <c r="CG38" i="2"/>
  <c r="CO38" i="2"/>
  <c r="CF39" i="2"/>
  <c r="CN39" i="2"/>
  <c r="CE40" i="2"/>
  <c r="CM40" i="2"/>
  <c r="CH38" i="2"/>
  <c r="CP38" i="2"/>
  <c r="CF40" i="2"/>
  <c r="CN40" i="2"/>
  <c r="CA38" i="2"/>
  <c r="CI38" i="2"/>
  <c r="CQ38" i="2"/>
  <c r="CH39" i="2"/>
  <c r="CP39" i="2"/>
  <c r="J31" i="2"/>
  <c r="R31" i="2"/>
  <c r="R41" i="2"/>
  <c r="Z31" i="2"/>
  <c r="AX41" i="2"/>
  <c r="CC27" i="2"/>
  <c r="CE27" i="2"/>
  <c r="CG27" i="2"/>
  <c r="CK27" i="2"/>
  <c r="CB23" i="2"/>
  <c r="CB37" i="2" s="1"/>
  <c r="G37" i="2"/>
  <c r="CD23" i="2"/>
  <c r="CD37" i="2" s="1"/>
  <c r="O37" i="2"/>
  <c r="W37" i="2"/>
  <c r="CF23" i="2"/>
  <c r="CF37" i="2" s="1"/>
  <c r="AE37" i="2"/>
  <c r="CH23" i="2"/>
  <c r="CH37" i="2" s="1"/>
  <c r="CJ23" i="2"/>
  <c r="CJ37" i="2" s="1"/>
  <c r="AM37" i="2"/>
  <c r="CL23" i="2"/>
  <c r="CL37" i="2" s="1"/>
  <c r="AU37" i="2"/>
  <c r="BC37" i="2"/>
  <c r="CN23" i="2"/>
  <c r="CN37" i="2" s="1"/>
  <c r="BK37" i="2"/>
  <c r="CP23" i="2"/>
  <c r="CP37" i="2" s="1"/>
  <c r="S31" i="2"/>
  <c r="S41" i="2"/>
  <c r="CN63" i="2"/>
  <c r="CN61" i="2"/>
  <c r="BN63" i="2"/>
  <c r="CP63" i="2" s="1"/>
  <c r="CP61" i="2"/>
  <c r="BJ63" i="2"/>
  <c r="CO63" i="2" s="1"/>
  <c r="CO61" i="2"/>
  <c r="CB27" i="2"/>
  <c r="CH27" i="2"/>
  <c r="CL27" i="2"/>
  <c r="BO63" i="2"/>
  <c r="CF27" i="2"/>
  <c r="CG39" i="2"/>
  <c r="CO39" i="2"/>
  <c r="CD27" i="2"/>
  <c r="CJ27" i="2"/>
  <c r="CG40" i="2"/>
  <c r="CO40" i="2"/>
  <c r="C37" i="2"/>
  <c r="K28" i="2"/>
  <c r="AA28" i="2"/>
  <c r="AI28" i="2"/>
  <c r="AQ28" i="2"/>
  <c r="CI23" i="2"/>
  <c r="CI37" i="2" s="1"/>
  <c r="CC23" i="2"/>
  <c r="CC37" i="2" s="1"/>
  <c r="CK23" i="2"/>
  <c r="CK37" i="2" s="1"/>
  <c r="T236" i="3"/>
  <c r="U237" i="3"/>
  <c r="T242" i="3"/>
  <c r="U241" i="3"/>
  <c r="E28" i="2"/>
  <c r="U28" i="2"/>
  <c r="M28" i="2"/>
  <c r="AC28" i="2"/>
  <c r="AK28" i="2"/>
  <c r="AT28" i="2"/>
  <c r="AD28" i="2"/>
  <c r="C28" i="2"/>
  <c r="G28" i="2"/>
  <c r="O28" i="2"/>
  <c r="W28" i="2"/>
  <c r="AE28" i="2"/>
  <c r="AM28" i="2"/>
  <c r="AU28" i="2"/>
  <c r="D28" i="2"/>
  <c r="L28" i="2"/>
  <c r="T28" i="2"/>
  <c r="AB28" i="2"/>
  <c r="AJ28" i="2"/>
  <c r="AR28" i="2"/>
  <c r="I28" i="2"/>
  <c r="Q28" i="2"/>
  <c r="Y28" i="2"/>
  <c r="AG28" i="2"/>
  <c r="AO28" i="2"/>
  <c r="AW28" i="2"/>
  <c r="F28" i="2"/>
  <c r="F41" i="2" s="1"/>
  <c r="N28" i="2"/>
  <c r="N41" i="2" s="1"/>
  <c r="V28" i="2"/>
  <c r="V41" i="2" s="1"/>
  <c r="AL28" i="2"/>
  <c r="AL41" i="2" s="1"/>
  <c r="AS28" i="2"/>
  <c r="H28" i="2"/>
  <c r="P28" i="2"/>
  <c r="X28" i="2"/>
  <c r="AF28" i="2"/>
  <c r="AN28" i="2"/>
  <c r="AV28" i="2"/>
  <c r="BR74" i="2"/>
  <c r="BR76" i="2" s="1"/>
  <c r="BQ74" i="2"/>
  <c r="BQ76" i="2" s="1"/>
  <c r="BP74" i="2"/>
  <c r="BP76" i="2" s="1"/>
  <c r="BO74" i="2"/>
  <c r="BO76" i="2" s="1"/>
  <c r="BN74" i="2"/>
  <c r="BN76" i="2" s="1"/>
  <c r="BM74" i="2"/>
  <c r="BM76" i="2" s="1"/>
  <c r="BL74" i="2"/>
  <c r="BL76" i="2" s="1"/>
  <c r="BK74" i="2"/>
  <c r="BK76" i="2" s="1"/>
  <c r="BJ74" i="2"/>
  <c r="BJ76" i="2" s="1"/>
  <c r="BI74" i="2"/>
  <c r="BI76" i="2" s="1"/>
  <c r="BH74" i="2"/>
  <c r="BH76" i="2" s="1"/>
  <c r="BG74" i="2"/>
  <c r="BG76" i="2" s="1"/>
  <c r="BF74" i="2"/>
  <c r="BF76" i="2" s="1"/>
  <c r="BE74" i="2"/>
  <c r="BE76" i="2" s="1"/>
  <c r="BD74" i="2"/>
  <c r="BD76" i="2" s="1"/>
  <c r="BC74" i="2"/>
  <c r="BC76" i="2" s="1"/>
  <c r="BB74" i="2"/>
  <c r="BB76" i="2" s="1"/>
  <c r="BA74" i="2"/>
  <c r="BA76" i="2" s="1"/>
  <c r="AZ74" i="2"/>
  <c r="AZ76" i="2" s="1"/>
  <c r="AY74" i="2"/>
  <c r="AY76" i="2" s="1"/>
  <c r="AX74" i="2"/>
  <c r="AX76" i="2" s="1"/>
  <c r="AW74" i="2"/>
  <c r="AW76" i="2" s="1"/>
  <c r="AV74" i="2"/>
  <c r="AV76" i="2" s="1"/>
  <c r="AU74" i="2"/>
  <c r="AU76" i="2" s="1"/>
  <c r="AT74" i="2"/>
  <c r="AT76" i="2" s="1"/>
  <c r="AS74" i="2"/>
  <c r="AS76" i="2" s="1"/>
  <c r="AR74" i="2"/>
  <c r="AR76" i="2" s="1"/>
  <c r="AQ74" i="2"/>
  <c r="AQ76" i="2" s="1"/>
  <c r="AP74" i="2"/>
  <c r="AP76" i="2" s="1"/>
  <c r="AO74" i="2"/>
  <c r="AO76" i="2" s="1"/>
  <c r="AN74" i="2"/>
  <c r="AN76" i="2" s="1"/>
  <c r="AM74" i="2"/>
  <c r="AM76" i="2" s="1"/>
  <c r="AL74" i="2"/>
  <c r="AL76" i="2" s="1"/>
  <c r="AK74" i="2"/>
  <c r="AK76" i="2" s="1"/>
  <c r="AJ74" i="2"/>
  <c r="AJ76" i="2" s="1"/>
  <c r="AI74" i="2"/>
  <c r="AI76" i="2" s="1"/>
  <c r="AH74" i="2"/>
  <c r="AH76" i="2" s="1"/>
  <c r="AG74" i="2"/>
  <c r="AG76" i="2" s="1"/>
  <c r="AF74" i="2"/>
  <c r="AF76" i="2" s="1"/>
  <c r="AE74" i="2"/>
  <c r="AE76" i="2" s="1"/>
  <c r="AD74" i="2"/>
  <c r="AD76" i="2" s="1"/>
  <c r="AC74" i="2"/>
  <c r="AC76" i="2" s="1"/>
  <c r="AB74" i="2"/>
  <c r="AB76" i="2" s="1"/>
  <c r="AA74" i="2"/>
  <c r="AA76" i="2" s="1"/>
  <c r="Z74" i="2"/>
  <c r="Z76" i="2" s="1"/>
  <c r="Y74" i="2"/>
  <c r="Y76" i="2" s="1"/>
  <c r="X74" i="2"/>
  <c r="X76" i="2" s="1"/>
  <c r="W74" i="2"/>
  <c r="W76" i="2" s="1"/>
  <c r="V74" i="2"/>
  <c r="V76" i="2" s="1"/>
  <c r="U74" i="2"/>
  <c r="U76" i="2" s="1"/>
  <c r="T74" i="2"/>
  <c r="T76" i="2" s="1"/>
  <c r="S74" i="2"/>
  <c r="S76" i="2" s="1"/>
  <c r="R74" i="2"/>
  <c r="R76" i="2" s="1"/>
  <c r="Q74" i="2"/>
  <c r="Q76" i="2" s="1"/>
  <c r="P74" i="2"/>
  <c r="P76" i="2" s="1"/>
  <c r="O74" i="2"/>
  <c r="O76" i="2" s="1"/>
  <c r="N74" i="2"/>
  <c r="N76" i="2" s="1"/>
  <c r="M74" i="2"/>
  <c r="M76" i="2" s="1"/>
  <c r="L74" i="2"/>
  <c r="L76" i="2" s="1"/>
  <c r="K74" i="2"/>
  <c r="K76" i="2" s="1"/>
  <c r="J74" i="2"/>
  <c r="J76" i="2" s="1"/>
  <c r="I74" i="2"/>
  <c r="I76" i="2" s="1"/>
  <c r="H74" i="2"/>
  <c r="H76" i="2" s="1"/>
  <c r="G74" i="2"/>
  <c r="G76" i="2" s="1"/>
  <c r="F74" i="2"/>
  <c r="F76" i="2" s="1"/>
  <c r="E74" i="2"/>
  <c r="E76" i="2" s="1"/>
  <c r="D74" i="2"/>
  <c r="D76" i="2" s="1"/>
  <c r="C74" i="2"/>
  <c r="C76" i="2" s="1"/>
  <c r="BR63" i="2"/>
  <c r="CQ63" i="2" s="1"/>
  <c r="DK40" i="2"/>
  <c r="CP45" i="2"/>
  <c r="DC37" i="2" s="1"/>
  <c r="CO45" i="2"/>
  <c r="CN45" i="2"/>
  <c r="BR14" i="2"/>
  <c r="BQ14" i="2"/>
  <c r="BP14" i="2"/>
  <c r="BO14" i="2"/>
  <c r="BN14" i="2"/>
  <c r="BR12" i="2"/>
  <c r="BQ12" i="2"/>
  <c r="BP12" i="2"/>
  <c r="BO12" i="2"/>
  <c r="BN12" i="2"/>
  <c r="BR11" i="2"/>
  <c r="BQ11" i="2"/>
  <c r="BP11" i="2"/>
  <c r="BO11" i="2"/>
  <c r="BN11" i="2"/>
  <c r="BR10" i="2"/>
  <c r="BQ10" i="2"/>
  <c r="BP10" i="2"/>
  <c r="BO10" i="2"/>
  <c r="BN10" i="2"/>
  <c r="CQ8" i="2"/>
  <c r="CP8" i="2"/>
  <c r="CO8" i="2"/>
  <c r="CO19" i="2" s="1"/>
  <c r="CQ6" i="2"/>
  <c r="CP6" i="2"/>
  <c r="CO6" i="2"/>
  <c r="CQ5" i="2"/>
  <c r="CP5" i="2"/>
  <c r="CO5" i="2"/>
  <c r="CQ4" i="2"/>
  <c r="CP4" i="2"/>
  <c r="CO4" i="2"/>
  <c r="BQ28" i="2"/>
  <c r="BP28" i="2"/>
  <c r="BO28" i="2"/>
  <c r="BN28" i="2"/>
  <c r="BM28" i="2"/>
  <c r="BL28" i="2"/>
  <c r="BK28" i="2"/>
  <c r="BJ28" i="2"/>
  <c r="BJ41" i="2" s="1"/>
  <c r="BI28" i="2"/>
  <c r="BH28" i="2"/>
  <c r="BG28" i="2"/>
  <c r="BF28" i="2"/>
  <c r="BE28" i="2"/>
  <c r="BD28" i="2"/>
  <c r="BC28" i="2"/>
  <c r="AY28" i="2"/>
  <c r="CB3" i="2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AH41" i="2" l="1"/>
  <c r="AP31" i="2"/>
  <c r="CO17" i="2"/>
  <c r="CO18" i="2"/>
  <c r="CO16" i="2"/>
  <c r="CQ14" i="2"/>
  <c r="CQ19" i="2"/>
  <c r="CP17" i="2"/>
  <c r="CP11" i="2"/>
  <c r="CP12" i="2"/>
  <c r="CP18" i="2"/>
  <c r="CR6" i="2"/>
  <c r="CS6" i="2" s="1"/>
  <c r="CT6" i="2" s="1"/>
  <c r="CU6" i="2" s="1"/>
  <c r="CV6" i="2" s="1"/>
  <c r="CW6" i="2" s="1"/>
  <c r="CX6" i="2" s="1"/>
  <c r="CY6" i="2" s="1"/>
  <c r="CZ6" i="2" s="1"/>
  <c r="DA6" i="2" s="1"/>
  <c r="CQ12" i="2"/>
  <c r="CQ18" i="2"/>
  <c r="CP10" i="2"/>
  <c r="CP16" i="2"/>
  <c r="CQ11" i="2"/>
  <c r="CQ17" i="2"/>
  <c r="CR5" i="2"/>
  <c r="CS5" i="2" s="1"/>
  <c r="CT5" i="2" s="1"/>
  <c r="CU5" i="2" s="1"/>
  <c r="CV5" i="2" s="1"/>
  <c r="CW5" i="2" s="1"/>
  <c r="CX5" i="2" s="1"/>
  <c r="CY5" i="2" s="1"/>
  <c r="CZ5" i="2" s="1"/>
  <c r="DA5" i="2" s="1"/>
  <c r="CQ10" i="2"/>
  <c r="CR4" i="2"/>
  <c r="CS4" i="2" s="1"/>
  <c r="CQ16" i="2"/>
  <c r="CP14" i="2"/>
  <c r="CP19" i="2"/>
  <c r="BI31" i="2"/>
  <c r="BI41" i="2"/>
  <c r="BQ31" i="2"/>
  <c r="BQ41" i="2"/>
  <c r="AF31" i="2"/>
  <c r="AF41" i="2"/>
  <c r="AR31" i="2"/>
  <c r="AR41" i="2"/>
  <c r="AE31" i="2"/>
  <c r="CH28" i="2"/>
  <c r="CH41" i="2" s="1"/>
  <c r="AE41" i="2"/>
  <c r="AC31" i="2"/>
  <c r="AC41" i="2"/>
  <c r="AA31" i="2"/>
  <c r="CG28" i="2"/>
  <c r="CG41" i="2" s="1"/>
  <c r="AA41" i="2"/>
  <c r="AH33" i="2"/>
  <c r="AH42" i="2"/>
  <c r="I31" i="2"/>
  <c r="I41" i="2"/>
  <c r="AY31" i="2"/>
  <c r="AY41" i="2"/>
  <c r="M31" i="2"/>
  <c r="M41" i="2"/>
  <c r="K31" i="2"/>
  <c r="K41" i="2"/>
  <c r="CC28" i="2"/>
  <c r="CC41" i="2" s="1"/>
  <c r="BH31" i="2"/>
  <c r="BH41" i="2"/>
  <c r="AM31" i="2"/>
  <c r="CJ28" i="2"/>
  <c r="CJ41" i="2" s="1"/>
  <c r="AM41" i="2"/>
  <c r="AJ31" i="2"/>
  <c r="AJ41" i="2"/>
  <c r="BC31" i="2"/>
  <c r="CN28" i="2"/>
  <c r="CN41" i="2" s="1"/>
  <c r="BC41" i="2"/>
  <c r="P31" i="2"/>
  <c r="P41" i="2"/>
  <c r="AW31" i="2"/>
  <c r="AW41" i="2"/>
  <c r="AB31" i="2"/>
  <c r="AB41" i="2"/>
  <c r="O31" i="2"/>
  <c r="CD28" i="2"/>
  <c r="CD41" i="2" s="1"/>
  <c r="O41" i="2"/>
  <c r="U31" i="2"/>
  <c r="U41" i="2"/>
  <c r="Z33" i="2"/>
  <c r="Z42" i="2"/>
  <c r="AK31" i="2"/>
  <c r="AK41" i="2"/>
  <c r="CP28" i="2"/>
  <c r="CP41" i="2" s="1"/>
  <c r="BK41" i="2"/>
  <c r="BD31" i="2"/>
  <c r="BD41" i="2"/>
  <c r="BL41" i="2"/>
  <c r="H31" i="2"/>
  <c r="H41" i="2"/>
  <c r="AO31" i="2"/>
  <c r="AO41" i="2"/>
  <c r="T31" i="2"/>
  <c r="T41" i="2"/>
  <c r="G31" i="2"/>
  <c r="CB28" i="2"/>
  <c r="CB41" i="2" s="1"/>
  <c r="G41" i="2"/>
  <c r="E31" i="2"/>
  <c r="E41" i="2"/>
  <c r="AI31" i="2"/>
  <c r="AI41" i="2"/>
  <c r="CI28" i="2"/>
  <c r="CI41" i="2" s="1"/>
  <c r="BM31" i="2"/>
  <c r="BM41" i="2"/>
  <c r="AG31" i="2"/>
  <c r="AG41" i="2"/>
  <c r="L31" i="2"/>
  <c r="L41" i="2"/>
  <c r="C31" i="2"/>
  <c r="C41" i="2"/>
  <c r="CA28" i="2"/>
  <c r="CA41" i="2" s="1"/>
  <c r="AX33" i="2"/>
  <c r="AX42" i="2"/>
  <c r="R33" i="2"/>
  <c r="R42" i="2"/>
  <c r="BP31" i="2"/>
  <c r="BP41" i="2"/>
  <c r="X31" i="2"/>
  <c r="X41" i="2"/>
  <c r="BE31" i="2"/>
  <c r="BE41" i="2"/>
  <c r="BN31" i="2"/>
  <c r="BN41" i="2"/>
  <c r="AS31" i="2"/>
  <c r="AS41" i="2"/>
  <c r="Y31" i="2"/>
  <c r="Y41" i="2"/>
  <c r="D31" i="2"/>
  <c r="D41" i="2"/>
  <c r="AD31" i="2"/>
  <c r="AD41" i="2"/>
  <c r="CE28" i="2"/>
  <c r="CE41" i="2" s="1"/>
  <c r="AN31" i="2"/>
  <c r="AN41" i="2"/>
  <c r="W31" i="2"/>
  <c r="CF28" i="2"/>
  <c r="CF41" i="2" s="1"/>
  <c r="W41" i="2"/>
  <c r="BF31" i="2"/>
  <c r="BF41" i="2"/>
  <c r="BG31" i="2"/>
  <c r="CO28" i="2"/>
  <c r="CO41" i="2" s="1"/>
  <c r="BG41" i="2"/>
  <c r="BO31" i="2"/>
  <c r="BO41" i="2"/>
  <c r="AV31" i="2"/>
  <c r="AV41" i="2"/>
  <c r="Q31" i="2"/>
  <c r="Q41" i="2"/>
  <c r="AU31" i="2"/>
  <c r="CL28" i="2"/>
  <c r="CL41" i="2" s="1"/>
  <c r="AU41" i="2"/>
  <c r="AT31" i="2"/>
  <c r="AT41" i="2"/>
  <c r="AQ31" i="2"/>
  <c r="AQ41" i="2"/>
  <c r="CK28" i="2"/>
  <c r="CK41" i="2" s="1"/>
  <c r="S33" i="2"/>
  <c r="S42" i="2"/>
  <c r="AP33" i="2"/>
  <c r="AP42" i="2"/>
  <c r="J33" i="2"/>
  <c r="J42" i="2"/>
  <c r="T243" i="3"/>
  <c r="U242" i="3"/>
  <c r="T235" i="3"/>
  <c r="U236" i="3"/>
  <c r="BJ31" i="2"/>
  <c r="AL31" i="2"/>
  <c r="BP51" i="2"/>
  <c r="BK31" i="2"/>
  <c r="V31" i="2"/>
  <c r="BL31" i="2"/>
  <c r="N31" i="2"/>
  <c r="BQ51" i="2"/>
  <c r="F31" i="2"/>
  <c r="BI51" i="2"/>
  <c r="BM51" i="2"/>
  <c r="BO51" i="2"/>
  <c r="BB28" i="2"/>
  <c r="BB41" i="2" s="1"/>
  <c r="AZ28" i="2"/>
  <c r="AZ41" i="2" s="1"/>
  <c r="BA28" i="2"/>
  <c r="BA41" i="2" s="1"/>
  <c r="DK41" i="2"/>
  <c r="CT4" i="2" l="1"/>
  <c r="CS8" i="2"/>
  <c r="CS21" i="2" s="1"/>
  <c r="CE31" i="2"/>
  <c r="CE42" i="2" s="1"/>
  <c r="BJ33" i="2"/>
  <c r="BJ35" i="2" s="1"/>
  <c r="BJ42" i="2"/>
  <c r="Y33" i="2"/>
  <c r="Y42" i="2"/>
  <c r="H33" i="2"/>
  <c r="H42" i="2"/>
  <c r="AK33" i="2"/>
  <c r="AK42" i="2"/>
  <c r="BC33" i="2"/>
  <c r="BC42" i="2"/>
  <c r="CN31" i="2"/>
  <c r="CN42" i="2" s="1"/>
  <c r="AM33" i="2"/>
  <c r="CJ31" i="2"/>
  <c r="CJ42" i="2" s="1"/>
  <c r="AM42" i="2"/>
  <c r="AR33" i="2"/>
  <c r="AR42" i="2"/>
  <c r="BO33" i="2"/>
  <c r="BO42" i="2"/>
  <c r="AN33" i="2"/>
  <c r="AN42" i="2"/>
  <c r="AB33" i="2"/>
  <c r="AB42" i="2"/>
  <c r="CM28" i="2"/>
  <c r="CM41" i="2" s="1"/>
  <c r="AA33" i="2"/>
  <c r="AA42" i="2"/>
  <c r="CG31" i="2"/>
  <c r="CG42" i="2" s="1"/>
  <c r="AG33" i="2"/>
  <c r="AG42" i="2"/>
  <c r="N33" i="2"/>
  <c r="N43" i="2" s="1"/>
  <c r="N42" i="2"/>
  <c r="AU33" i="2"/>
  <c r="CL31" i="2"/>
  <c r="CL42" i="2" s="1"/>
  <c r="AU42" i="2"/>
  <c r="BG33" i="2"/>
  <c r="BG42" i="2"/>
  <c r="CO31" i="2"/>
  <c r="CO42" i="2" s="1"/>
  <c r="AS33" i="2"/>
  <c r="AS42" i="2"/>
  <c r="BM33" i="2"/>
  <c r="BM42" i="2"/>
  <c r="G33" i="2"/>
  <c r="CB31" i="2"/>
  <c r="CB42" i="2" s="1"/>
  <c r="G42" i="2"/>
  <c r="Z35" i="2"/>
  <c r="Z43" i="2"/>
  <c r="Z71" i="2"/>
  <c r="AJ33" i="2"/>
  <c r="AJ42" i="2"/>
  <c r="BH33" i="2"/>
  <c r="BH42" i="2"/>
  <c r="AY33" i="2"/>
  <c r="AY42" i="2"/>
  <c r="AF33" i="2"/>
  <c r="AF42" i="2"/>
  <c r="F33" i="2"/>
  <c r="F43" i="2" s="1"/>
  <c r="F42" i="2"/>
  <c r="BE33" i="2"/>
  <c r="BE42" i="2"/>
  <c r="Q33" i="2"/>
  <c r="Q42" i="2"/>
  <c r="BP33" i="2"/>
  <c r="BP42" i="2"/>
  <c r="C33" i="2"/>
  <c r="C42" i="2"/>
  <c r="CA31" i="2"/>
  <c r="CA42" i="2" s="1"/>
  <c r="AW33" i="2"/>
  <c r="AW42" i="2"/>
  <c r="AC33" i="2"/>
  <c r="AC42" i="2"/>
  <c r="W33" i="2"/>
  <c r="W42" i="2"/>
  <c r="CF31" i="2"/>
  <c r="CF42" i="2" s="1"/>
  <c r="O33" i="2"/>
  <c r="CD31" i="2"/>
  <c r="CD42" i="2" s="1"/>
  <c r="O42" i="2"/>
  <c r="S43" i="2"/>
  <c r="S35" i="2"/>
  <c r="S71" i="2"/>
  <c r="BL33" i="2"/>
  <c r="BL71" i="2" s="1"/>
  <c r="BL42" i="2"/>
  <c r="V33" i="2"/>
  <c r="V43" i="2" s="1"/>
  <c r="V42" i="2"/>
  <c r="BK33" i="2"/>
  <c r="BK42" i="2"/>
  <c r="CP31" i="2"/>
  <c r="CP42" i="2" s="1"/>
  <c r="J35" i="2"/>
  <c r="J43" i="2"/>
  <c r="J71" i="2"/>
  <c r="AQ33" i="2"/>
  <c r="AQ42" i="2"/>
  <c r="CK31" i="2"/>
  <c r="CK42" i="2" s="1"/>
  <c r="BF33" i="2"/>
  <c r="BF42" i="2"/>
  <c r="AD33" i="2"/>
  <c r="AD42" i="2"/>
  <c r="T33" i="2"/>
  <c r="T42" i="2"/>
  <c r="BD33" i="2"/>
  <c r="BD42" i="2"/>
  <c r="U33" i="2"/>
  <c r="U42" i="2"/>
  <c r="I33" i="2"/>
  <c r="I42" i="2"/>
  <c r="BQ33" i="2"/>
  <c r="BQ42" i="2"/>
  <c r="AL33" i="2"/>
  <c r="AL71" i="2" s="1"/>
  <c r="AL42" i="2"/>
  <c r="AX35" i="2"/>
  <c r="AX43" i="2"/>
  <c r="AX71" i="2"/>
  <c r="M33" i="2"/>
  <c r="M42" i="2"/>
  <c r="X33" i="2"/>
  <c r="X42" i="2"/>
  <c r="CN51" i="2"/>
  <c r="AV33" i="2"/>
  <c r="AV42" i="2"/>
  <c r="BN33" i="2"/>
  <c r="BN42" i="2"/>
  <c r="R35" i="2"/>
  <c r="R43" i="2"/>
  <c r="R71" i="2"/>
  <c r="L33" i="2"/>
  <c r="L42" i="2"/>
  <c r="AI33" i="2"/>
  <c r="AI42" i="2"/>
  <c r="CI31" i="2"/>
  <c r="CI42" i="2" s="1"/>
  <c r="P33" i="2"/>
  <c r="P42" i="2"/>
  <c r="K33" i="2"/>
  <c r="K42" i="2"/>
  <c r="CC31" i="2"/>
  <c r="CC42" i="2" s="1"/>
  <c r="E33" i="2"/>
  <c r="E42" i="2"/>
  <c r="AP35" i="2"/>
  <c r="AP43" i="2"/>
  <c r="AP71" i="2"/>
  <c r="AT33" i="2"/>
  <c r="AT42" i="2"/>
  <c r="D33" i="2"/>
  <c r="D42" i="2"/>
  <c r="AO33" i="2"/>
  <c r="AO42" i="2"/>
  <c r="AH35" i="2"/>
  <c r="AH43" i="2"/>
  <c r="AH71" i="2"/>
  <c r="AE33" i="2"/>
  <c r="AE42" i="2"/>
  <c r="CH31" i="2"/>
  <c r="CH42" i="2" s="1"/>
  <c r="BI33" i="2"/>
  <c r="BI42" i="2"/>
  <c r="T234" i="3"/>
  <c r="U235" i="3"/>
  <c r="T244" i="3"/>
  <c r="U243" i="3"/>
  <c r="BR39" i="2"/>
  <c r="F71" i="2"/>
  <c r="F35" i="2"/>
  <c r="N35" i="2"/>
  <c r="N71" i="2"/>
  <c r="V35" i="2"/>
  <c r="BN51" i="2"/>
  <c r="BK51" i="2"/>
  <c r="AZ31" i="2"/>
  <c r="BL51" i="2"/>
  <c r="BG51" i="2"/>
  <c r="BA31" i="2"/>
  <c r="BB31" i="2"/>
  <c r="BJ51" i="2"/>
  <c r="BR37" i="2"/>
  <c r="CS22" i="2" l="1"/>
  <c r="CS25" i="2" s="1"/>
  <c r="CS24" i="2"/>
  <c r="CU4" i="2"/>
  <c r="CT8" i="2"/>
  <c r="CM31" i="2"/>
  <c r="CM42" i="2" s="1"/>
  <c r="P71" i="2"/>
  <c r="P43" i="2"/>
  <c r="P35" i="2"/>
  <c r="Y71" i="2"/>
  <c r="Y43" i="2"/>
  <c r="Y35" i="2"/>
  <c r="AE35" i="2"/>
  <c r="AE43" i="2"/>
  <c r="CH33" i="2"/>
  <c r="AE71" i="2"/>
  <c r="D35" i="2"/>
  <c r="D43" i="2"/>
  <c r="D71" i="2"/>
  <c r="M43" i="2"/>
  <c r="M35" i="2"/>
  <c r="M71" i="2"/>
  <c r="AW71" i="2"/>
  <c r="AW43" i="2"/>
  <c r="AW35" i="2"/>
  <c r="BP35" i="2"/>
  <c r="BP43" i="2"/>
  <c r="BP71" i="2"/>
  <c r="AG35" i="2"/>
  <c r="AG43" i="2"/>
  <c r="AG71" i="2"/>
  <c r="AR35" i="2"/>
  <c r="AR43" i="2"/>
  <c r="AR71" i="2"/>
  <c r="L35" i="2"/>
  <c r="L43" i="2"/>
  <c r="L71" i="2"/>
  <c r="BQ35" i="2"/>
  <c r="BQ43" i="2"/>
  <c r="BQ71" i="2"/>
  <c r="W35" i="2"/>
  <c r="W43" i="2"/>
  <c r="CF33" i="2"/>
  <c r="W71" i="2"/>
  <c r="AN71" i="2"/>
  <c r="AN43" i="2"/>
  <c r="AN35" i="2"/>
  <c r="BC43" i="2"/>
  <c r="CN33" i="2"/>
  <c r="BC71" i="2"/>
  <c r="BC35" i="2"/>
  <c r="T35" i="2"/>
  <c r="T43" i="2"/>
  <c r="T71" i="2"/>
  <c r="G35" i="2"/>
  <c r="CB33" i="2"/>
  <c r="G43" i="2"/>
  <c r="G71" i="2"/>
  <c r="CO51" i="2"/>
  <c r="CE33" i="2"/>
  <c r="AY35" i="2"/>
  <c r="AY43" i="2"/>
  <c r="AY71" i="2"/>
  <c r="BG71" i="2"/>
  <c r="CO33" i="2"/>
  <c r="BG43" i="2"/>
  <c r="BG35" i="2"/>
  <c r="AZ33" i="2"/>
  <c r="AZ42" i="2"/>
  <c r="U43" i="2"/>
  <c r="U35" i="2"/>
  <c r="U71" i="2"/>
  <c r="BE71" i="2"/>
  <c r="BE43" i="2"/>
  <c r="BE35" i="2"/>
  <c r="CG33" i="2"/>
  <c r="AA43" i="2"/>
  <c r="AA35" i="2"/>
  <c r="AA71" i="2"/>
  <c r="AK43" i="2"/>
  <c r="AK35" i="2"/>
  <c r="AK71" i="2"/>
  <c r="AO35" i="2"/>
  <c r="AO43" i="2"/>
  <c r="AO71" i="2"/>
  <c r="BB33" i="2"/>
  <c r="BB71" i="2" s="1"/>
  <c r="BB42" i="2"/>
  <c r="BN43" i="2"/>
  <c r="BN71" i="2"/>
  <c r="BN35" i="2"/>
  <c r="AD71" i="2"/>
  <c r="AD43" i="2"/>
  <c r="AD35" i="2"/>
  <c r="BL35" i="2"/>
  <c r="BL43" i="2"/>
  <c r="BH43" i="2"/>
  <c r="BH35" i="2"/>
  <c r="BH71" i="2"/>
  <c r="AU35" i="2"/>
  <c r="AU43" i="2"/>
  <c r="CL33" i="2"/>
  <c r="AU71" i="2"/>
  <c r="BJ71" i="2"/>
  <c r="BJ43" i="2"/>
  <c r="E35" i="2"/>
  <c r="E43" i="2"/>
  <c r="E71" i="2"/>
  <c r="BK71" i="2"/>
  <c r="BK43" i="2"/>
  <c r="CP33" i="2"/>
  <c r="I71" i="2"/>
  <c r="I43" i="2"/>
  <c r="I35" i="2"/>
  <c r="AB35" i="2"/>
  <c r="AB43" i="2"/>
  <c r="AB71" i="2"/>
  <c r="AT71" i="2"/>
  <c r="AT43" i="2"/>
  <c r="AT35" i="2"/>
  <c r="K43" i="2"/>
  <c r="CC33" i="2"/>
  <c r="K35" i="2"/>
  <c r="K71" i="2"/>
  <c r="CI33" i="2"/>
  <c r="AI43" i="2"/>
  <c r="AI71" i="2"/>
  <c r="AI35" i="2"/>
  <c r="AL35" i="2"/>
  <c r="AL43" i="2"/>
  <c r="BD71" i="2"/>
  <c r="BD43" i="2"/>
  <c r="BD35" i="2"/>
  <c r="Q71" i="2"/>
  <c r="Q43" i="2"/>
  <c r="Q35" i="2"/>
  <c r="H35" i="2"/>
  <c r="H43" i="2"/>
  <c r="H71" i="2"/>
  <c r="AF71" i="2"/>
  <c r="AF43" i="2"/>
  <c r="AF35" i="2"/>
  <c r="AQ43" i="2"/>
  <c r="CK33" i="2"/>
  <c r="AQ35" i="2"/>
  <c r="AQ71" i="2"/>
  <c r="BM35" i="2"/>
  <c r="BM43" i="2"/>
  <c r="BM71" i="2"/>
  <c r="BA33" i="2"/>
  <c r="BA71" i="2" s="1"/>
  <c r="BA42" i="2"/>
  <c r="CP51" i="2"/>
  <c r="BI35" i="2"/>
  <c r="BI43" i="2"/>
  <c r="BI71" i="2"/>
  <c r="V71" i="2"/>
  <c r="BK35" i="2"/>
  <c r="AV71" i="2"/>
  <c r="AV43" i="2"/>
  <c r="AV35" i="2"/>
  <c r="X71" i="2"/>
  <c r="X43" i="2"/>
  <c r="X35" i="2"/>
  <c r="BF35" i="2"/>
  <c r="BF43" i="2"/>
  <c r="BF71" i="2"/>
  <c r="O35" i="2"/>
  <c r="O43" i="2"/>
  <c r="CD33" i="2"/>
  <c r="O71" i="2"/>
  <c r="AC35" i="2"/>
  <c r="AC43" i="2"/>
  <c r="AC71" i="2"/>
  <c r="C35" i="2"/>
  <c r="CA33" i="2"/>
  <c r="C43" i="2"/>
  <c r="C71" i="2"/>
  <c r="AJ35" i="2"/>
  <c r="AJ43" i="2"/>
  <c r="AJ71" i="2"/>
  <c r="AS35" i="2"/>
  <c r="AS43" i="2"/>
  <c r="AS71" i="2"/>
  <c r="BO35" i="2"/>
  <c r="BO43" i="2"/>
  <c r="BO71" i="2"/>
  <c r="AM35" i="2"/>
  <c r="CJ33" i="2"/>
  <c r="AM43" i="2"/>
  <c r="AM71" i="2"/>
  <c r="T233" i="3"/>
  <c r="U234" i="3"/>
  <c r="T245" i="3"/>
  <c r="U244" i="3"/>
  <c r="BR28" i="2"/>
  <c r="CQ28" i="2" s="1"/>
  <c r="CQ41" i="2" s="1"/>
  <c r="CE35" i="2" l="1"/>
  <c r="CT21" i="2"/>
  <c r="CT14" i="2"/>
  <c r="CV4" i="2"/>
  <c r="CU8" i="2"/>
  <c r="CJ35" i="2"/>
  <c r="CB35" i="2"/>
  <c r="CC35" i="2"/>
  <c r="CD35" i="2"/>
  <c r="CL35" i="2"/>
  <c r="CA35" i="2"/>
  <c r="CF35" i="2"/>
  <c r="CB71" i="2"/>
  <c r="CB43" i="2"/>
  <c r="CK35" i="2"/>
  <c r="CP71" i="2"/>
  <c r="CP43" i="2"/>
  <c r="AZ35" i="2"/>
  <c r="AZ43" i="2"/>
  <c r="BB35" i="2"/>
  <c r="BB43" i="2"/>
  <c r="CO71" i="2"/>
  <c r="CO43" i="2"/>
  <c r="CM33" i="2"/>
  <c r="CA71" i="2"/>
  <c r="CA43" i="2"/>
  <c r="CI71" i="2"/>
  <c r="CI43" i="2"/>
  <c r="CG35" i="2"/>
  <c r="CH71" i="2"/>
  <c r="CH43" i="2"/>
  <c r="CI35" i="2"/>
  <c r="CP35" i="2"/>
  <c r="CK71" i="2"/>
  <c r="CK43" i="2"/>
  <c r="AZ71" i="2"/>
  <c r="BA35" i="2"/>
  <c r="BA43" i="2"/>
  <c r="CN35" i="2"/>
  <c r="DF37" i="2"/>
  <c r="CO35" i="2"/>
  <c r="CL71" i="2"/>
  <c r="CL43" i="2"/>
  <c r="CG71" i="2"/>
  <c r="CG43" i="2"/>
  <c r="CF71" i="2"/>
  <c r="CF43" i="2"/>
  <c r="CH35" i="2"/>
  <c r="CJ71" i="2"/>
  <c r="CJ43" i="2"/>
  <c r="CD71" i="2"/>
  <c r="CD43" i="2"/>
  <c r="CC71" i="2"/>
  <c r="CC43" i="2"/>
  <c r="CE71" i="2"/>
  <c r="CE43" i="2"/>
  <c r="CN71" i="2"/>
  <c r="CN43" i="2"/>
  <c r="T246" i="3"/>
  <c r="U245" i="3"/>
  <c r="T232" i="3"/>
  <c r="U233" i="3"/>
  <c r="CS23" i="2"/>
  <c r="BR31" i="2"/>
  <c r="CQ31" i="2" s="1"/>
  <c r="CQ42" i="2" s="1"/>
  <c r="BR41" i="2"/>
  <c r="CU14" i="2" l="1"/>
  <c r="CU21" i="2"/>
  <c r="CW4" i="2"/>
  <c r="CV8" i="2"/>
  <c r="CT22" i="2"/>
  <c r="CT25" i="2" s="1"/>
  <c r="CT24" i="2"/>
  <c r="CS26" i="2"/>
  <c r="CS27" i="2" s="1"/>
  <c r="CS28" i="2" s="1"/>
  <c r="CS41" i="2" s="1"/>
  <c r="CM71" i="2"/>
  <c r="CM43" i="2"/>
  <c r="CM35" i="2"/>
  <c r="T247" i="3"/>
  <c r="U246" i="3"/>
  <c r="T231" i="3"/>
  <c r="U232" i="3"/>
  <c r="CT23" i="2"/>
  <c r="BR33" i="2"/>
  <c r="CQ33" i="2" s="1"/>
  <c r="BR42" i="2"/>
  <c r="CV21" i="2" l="1"/>
  <c r="CV14" i="2"/>
  <c r="CX4" i="2"/>
  <c r="CW8" i="2"/>
  <c r="CQ43" i="2"/>
  <c r="CQ71" i="2"/>
  <c r="CU22" i="2"/>
  <c r="CU25" i="2" s="1"/>
  <c r="CU24" i="2"/>
  <c r="CT26" i="2"/>
  <c r="CT27" i="2" s="1"/>
  <c r="CT28" i="2" s="1"/>
  <c r="CT41" i="2" s="1"/>
  <c r="T248" i="3"/>
  <c r="U247" i="3"/>
  <c r="T230" i="3"/>
  <c r="U231" i="3"/>
  <c r="CU23" i="2"/>
  <c r="BR43" i="2"/>
  <c r="BR71" i="2"/>
  <c r="BR35" i="2"/>
  <c r="CQ35" i="2" s="1"/>
  <c r="S207" i="3"/>
  <c r="S208" i="3" s="1"/>
  <c r="C5" i="1"/>
  <c r="C8" i="1" l="1"/>
  <c r="DF40" i="2"/>
  <c r="CW14" i="2"/>
  <c r="CW21" i="2"/>
  <c r="CY4" i="2"/>
  <c r="CX8" i="2"/>
  <c r="CV22" i="2"/>
  <c r="CV25" i="2" s="1"/>
  <c r="CV24" i="2"/>
  <c r="CU26" i="2"/>
  <c r="CU27" i="2" s="1"/>
  <c r="CU28" i="2" s="1"/>
  <c r="CU41" i="2" s="1"/>
  <c r="T229" i="3"/>
  <c r="U230" i="3"/>
  <c r="T249" i="3"/>
  <c r="U248" i="3"/>
  <c r="DF47" i="2"/>
  <c r="DF49" i="2" s="1"/>
  <c r="DK42" i="2"/>
  <c r="DK43" i="2" s="1"/>
  <c r="CV23" i="2"/>
  <c r="BR51" i="2"/>
  <c r="CQ51" i="2" s="1"/>
  <c r="S203" i="3"/>
  <c r="S204" i="3"/>
  <c r="S205" i="3"/>
  <c r="X226" i="3" s="1"/>
  <c r="S206" i="3"/>
  <c r="DF41" i="2" l="1"/>
  <c r="DF42" i="2"/>
  <c r="DF56" i="2" s="1"/>
  <c r="CX14" i="2"/>
  <c r="CX21" i="2"/>
  <c r="CW22" i="2"/>
  <c r="CW25" i="2" s="1"/>
  <c r="CW24" i="2"/>
  <c r="CZ4" i="2"/>
  <c r="CY8" i="2"/>
  <c r="CV26" i="2"/>
  <c r="CV27" i="2" s="1"/>
  <c r="CV28" i="2" s="1"/>
  <c r="CV41" i="2" s="1"/>
  <c r="T228" i="3"/>
  <c r="U229" i="3"/>
  <c r="T250" i="3"/>
  <c r="U249" i="3"/>
  <c r="CW23" i="2"/>
  <c r="X216" i="3"/>
  <c r="X215" i="3"/>
  <c r="X218" i="3"/>
  <c r="X225" i="3"/>
  <c r="X217" i="3"/>
  <c r="X228" i="3"/>
  <c r="X224" i="3"/>
  <c r="X220" i="3"/>
  <c r="X223" i="3"/>
  <c r="X227" i="3"/>
  <c r="X222" i="3"/>
  <c r="X219" i="3"/>
  <c r="X221" i="3"/>
  <c r="CY14" i="2" l="1"/>
  <c r="CY21" i="2"/>
  <c r="CX22" i="2"/>
  <c r="CX25" i="2" s="1"/>
  <c r="CX24" i="2"/>
  <c r="DA4" i="2"/>
  <c r="DA8" i="2" s="1"/>
  <c r="CZ8" i="2"/>
  <c r="CW26" i="2"/>
  <c r="CW27" i="2" s="1"/>
  <c r="CW28" i="2" s="1"/>
  <c r="CW41" i="2" s="1"/>
  <c r="T251" i="3"/>
  <c r="U250" i="3"/>
  <c r="T227" i="3"/>
  <c r="U228" i="3"/>
  <c r="CX23" i="2"/>
  <c r="DA21" i="2" l="1"/>
  <c r="DA23" i="2" s="1"/>
  <c r="DA14" i="2"/>
  <c r="CZ21" i="2"/>
  <c r="CZ14" i="2"/>
  <c r="CY22" i="2"/>
  <c r="CY25" i="2" s="1"/>
  <c r="CY24" i="2"/>
  <c r="CX26" i="2"/>
  <c r="CX27" i="2" s="1"/>
  <c r="CX28" i="2" s="1"/>
  <c r="CX41" i="2" s="1"/>
  <c r="T226" i="3"/>
  <c r="U227" i="3"/>
  <c r="T252" i="3"/>
  <c r="U251" i="3"/>
  <c r="CY23" i="2"/>
  <c r="CZ22" i="2" l="1"/>
  <c r="CZ25" i="2" s="1"/>
  <c r="CZ24" i="2"/>
  <c r="DA22" i="2"/>
  <c r="DA25" i="2" s="1"/>
  <c r="DA24" i="2"/>
  <c r="DA26" i="2"/>
  <c r="CY26" i="2"/>
  <c r="CY27" i="2" s="1"/>
  <c r="CY28" i="2" s="1"/>
  <c r="CY41" i="2" s="1"/>
  <c r="T253" i="3"/>
  <c r="U252" i="3"/>
  <c r="T225" i="3"/>
  <c r="U226" i="3"/>
  <c r="CZ23" i="2"/>
  <c r="DA27" i="2" l="1"/>
  <c r="DA28" i="2" s="1"/>
  <c r="DA41" i="2" s="1"/>
  <c r="CZ26" i="2"/>
  <c r="CZ27" i="2" s="1"/>
  <c r="CZ28" i="2" s="1"/>
  <c r="CZ41" i="2" s="1"/>
  <c r="T224" i="3"/>
  <c r="U225" i="3"/>
  <c r="T254" i="3"/>
  <c r="U253" i="3"/>
  <c r="T255" i="3" l="1"/>
  <c r="U254" i="3"/>
  <c r="T223" i="3"/>
  <c r="U224" i="3"/>
  <c r="T222" i="3" l="1"/>
  <c r="U223" i="3"/>
  <c r="T256" i="3"/>
  <c r="U255" i="3"/>
  <c r="T257" i="3" l="1"/>
  <c r="U256" i="3"/>
  <c r="T221" i="3"/>
  <c r="U222" i="3"/>
  <c r="T258" i="3" l="1"/>
  <c r="U257" i="3"/>
  <c r="T220" i="3"/>
  <c r="U221" i="3"/>
  <c r="T219" i="3" l="1"/>
  <c r="U220" i="3"/>
  <c r="T259" i="3"/>
  <c r="U258" i="3"/>
  <c r="T218" i="3" l="1"/>
  <c r="U219" i="3"/>
  <c r="T260" i="3"/>
  <c r="U259" i="3"/>
  <c r="T217" i="3" l="1"/>
  <c r="U218" i="3"/>
  <c r="T261" i="3"/>
  <c r="U260" i="3"/>
  <c r="T262" i="3" l="1"/>
  <c r="U261" i="3"/>
  <c r="T216" i="3"/>
  <c r="U217" i="3"/>
  <c r="U216" i="3" l="1"/>
  <c r="T215" i="3"/>
  <c r="U215" i="3" s="1"/>
  <c r="T263" i="3"/>
  <c r="U263" i="3" s="1"/>
  <c r="U262" i="3"/>
  <c r="CR8" i="2" l="1"/>
  <c r="CR14" i="2" l="1"/>
  <c r="CS14" i="2"/>
  <c r="CR21" i="2"/>
  <c r="CR24" i="2" s="1"/>
  <c r="CR23" i="2" l="1"/>
  <c r="CR22" i="2"/>
  <c r="CR25" i="2" s="1"/>
  <c r="CR57" i="2"/>
  <c r="CR26" i="2" l="1"/>
  <c r="CR27" i="2" s="1"/>
  <c r="CR28" i="2" s="1"/>
  <c r="CS29" i="2"/>
  <c r="CS57" i="2" s="1"/>
  <c r="CR31" i="2" l="1"/>
  <c r="CR32" i="2" s="1"/>
  <c r="CR33" i="2" s="1"/>
  <c r="CR43" i="2" s="1"/>
  <c r="CR41" i="2"/>
  <c r="DH37" i="2"/>
  <c r="DH38" i="2" s="1"/>
  <c r="CT29" i="2"/>
  <c r="CT57" i="2" s="1"/>
  <c r="CR45" i="2" l="1"/>
  <c r="CS31" i="2" s="1"/>
  <c r="CS32" i="2" s="1"/>
  <c r="CS33" i="2" s="1"/>
  <c r="CU29" i="2"/>
  <c r="CU57" i="2" s="1"/>
  <c r="CS45" i="2" l="1"/>
  <c r="CT31" i="2" s="1"/>
  <c r="CT32" i="2" s="1"/>
  <c r="CT33" i="2" s="1"/>
  <c r="CS43" i="2"/>
  <c r="CV29" i="2"/>
  <c r="CV57" i="2" s="1"/>
  <c r="CW29" i="2" s="1"/>
  <c r="CW57" i="2" s="1"/>
  <c r="CX29" i="2" s="1"/>
  <c r="CX57" i="2" s="1"/>
  <c r="CY29" i="2" s="1"/>
  <c r="CY57" i="2" s="1"/>
  <c r="CZ29" i="2" s="1"/>
  <c r="CZ57" i="2" s="1"/>
  <c r="DA29" i="2" s="1"/>
  <c r="DA57" i="2" s="1"/>
  <c r="CT45" i="2" l="1"/>
  <c r="CU31" i="2" s="1"/>
  <c r="CU32" i="2" s="1"/>
  <c r="CU33" i="2" s="1"/>
  <c r="CT43" i="2"/>
  <c r="CU45" i="2" l="1"/>
  <c r="CV31" i="2" s="1"/>
  <c r="CV32" i="2" s="1"/>
  <c r="CV33" i="2" s="1"/>
  <c r="CU43" i="2"/>
  <c r="CV45" i="2" l="1"/>
  <c r="CW31" i="2" s="1"/>
  <c r="CW32" i="2" s="1"/>
  <c r="CW33" i="2" s="1"/>
  <c r="CV43" i="2"/>
  <c r="CW45" i="2" l="1"/>
  <c r="CX31" i="2" s="1"/>
  <c r="CX32" i="2" s="1"/>
  <c r="CX33" i="2" s="1"/>
  <c r="CW43" i="2"/>
  <c r="CX45" i="2" l="1"/>
  <c r="CY31" i="2" s="1"/>
  <c r="CY32" i="2" s="1"/>
  <c r="CY33" i="2" s="1"/>
  <c r="CX43" i="2"/>
  <c r="CY45" i="2" l="1"/>
  <c r="CZ31" i="2" s="1"/>
  <c r="CZ32" i="2" s="1"/>
  <c r="CZ33" i="2" s="1"/>
  <c r="CZ43" i="2" s="1"/>
  <c r="CY43" i="2"/>
  <c r="CZ45" i="2" l="1"/>
  <c r="DA31" i="2" s="1"/>
  <c r="DA32" i="2" l="1"/>
  <c r="DA33" i="2" s="1"/>
  <c r="DA43" i="2" l="1"/>
  <c r="DB33" i="2"/>
  <c r="DC33" i="2" s="1"/>
  <c r="DD33" i="2" s="1"/>
  <c r="DE33" i="2" s="1"/>
  <c r="DF33" i="2" s="1"/>
  <c r="DG33" i="2" s="1"/>
  <c r="DH33" i="2" s="1"/>
  <c r="DI33" i="2" s="1"/>
  <c r="DJ33" i="2" s="1"/>
  <c r="DK33" i="2" s="1"/>
  <c r="DL33" i="2" s="1"/>
  <c r="DM33" i="2" s="1"/>
  <c r="DN33" i="2" s="1"/>
  <c r="DO33" i="2" s="1"/>
  <c r="DP33" i="2" s="1"/>
  <c r="DQ33" i="2" s="1"/>
  <c r="DR33" i="2" s="1"/>
  <c r="DS33" i="2" s="1"/>
  <c r="DT33" i="2" s="1"/>
  <c r="DU33" i="2" s="1"/>
  <c r="DV33" i="2" s="1"/>
  <c r="DW33" i="2" s="1"/>
  <c r="DX33" i="2" s="1"/>
  <c r="DY33" i="2" s="1"/>
  <c r="DZ33" i="2" s="1"/>
  <c r="EA33" i="2" s="1"/>
  <c r="EB33" i="2" s="1"/>
  <c r="EC33" i="2" s="1"/>
  <c r="ED33" i="2" s="1"/>
  <c r="EE33" i="2" s="1"/>
  <c r="EF33" i="2" s="1"/>
  <c r="EG33" i="2" s="1"/>
  <c r="EH33" i="2" s="1"/>
  <c r="EI33" i="2" s="1"/>
  <c r="EJ33" i="2" s="1"/>
  <c r="EK33" i="2" s="1"/>
  <c r="EL33" i="2" s="1"/>
  <c r="EM33" i="2" s="1"/>
  <c r="EN33" i="2" s="1"/>
  <c r="EO33" i="2" s="1"/>
  <c r="EP33" i="2" s="1"/>
  <c r="EQ33" i="2" s="1"/>
  <c r="ER33" i="2" s="1"/>
  <c r="ES33" i="2" s="1"/>
  <c r="ET33" i="2" s="1"/>
  <c r="EU33" i="2" s="1"/>
  <c r="EV33" i="2" s="1"/>
  <c r="EW33" i="2" s="1"/>
  <c r="EX33" i="2" s="1"/>
  <c r="EY33" i="2" s="1"/>
  <c r="DK45" i="2" s="1"/>
  <c r="DK47" i="2" s="1"/>
  <c r="DK49" i="2" s="1"/>
  <c r="DA45" i="2"/>
  <c r="DJ50" i="2" l="1" a="1"/>
  <c r="DJ50" i="2" s="1"/>
  <c r="DL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<sst xmlns="http://schemas.openxmlformats.org/spreadsheetml/2006/main" count="1753" uniqueCount="958">
  <si>
    <t xml:space="preserve">Price </t>
  </si>
  <si>
    <t>SO</t>
  </si>
  <si>
    <t>MC</t>
  </si>
  <si>
    <t>Cash</t>
  </si>
  <si>
    <t>Debt</t>
  </si>
  <si>
    <t>EV</t>
  </si>
  <si>
    <t>Investor Relations Contact:</t>
  </si>
  <si>
    <t>SEC filings</t>
  </si>
  <si>
    <t>Godel Terminal</t>
  </si>
  <si>
    <t>Company Overview:</t>
  </si>
  <si>
    <t>[Bold Title]</t>
  </si>
  <si>
    <t>Line Titles</t>
  </si>
  <si>
    <t>&lt;-- General</t>
  </si>
  <si>
    <t>&lt;-- Info</t>
  </si>
  <si>
    <t>Revenue Breakdown by Segment (Build graph for this section if applicable…. See example below)</t>
  </si>
  <si>
    <t>Notes:</t>
  </si>
  <si>
    <t>[X]</t>
  </si>
  <si>
    <t>[Y]</t>
  </si>
  <si>
    <t>[Z]</t>
  </si>
  <si>
    <t>Close</t>
  </si>
  <si>
    <t>High</t>
  </si>
  <si>
    <t>Low</t>
  </si>
  <si>
    <t>Open</t>
  </si>
  <si>
    <t>Volume</t>
  </si>
  <si>
    <t>UTC Date</t>
  </si>
  <si>
    <t>Change</t>
  </si>
  <si>
    <t>Min</t>
  </si>
  <si>
    <t>Max</t>
  </si>
  <si>
    <t>Mean μ</t>
  </si>
  <si>
    <t>Median</t>
  </si>
  <si>
    <t>SD σ</t>
  </si>
  <si>
    <t xml:space="preserve">  3σ 1-Day Δ: ±</t>
  </si>
  <si>
    <t>β (1-year avg.)</t>
  </si>
  <si>
    <t>&lt;- Sortino Ratio (Downside Risk Adjusted Return)</t>
  </si>
  <si>
    <r>
      <rPr>
        <i/>
        <sz val="11"/>
        <color theme="1"/>
        <rFont val="Calibre"/>
      </rPr>
      <t>n</t>
    </r>
    <r>
      <rPr>
        <sz val="11"/>
        <color theme="1"/>
        <rFont val="Calibre"/>
      </rPr>
      <t xml:space="preserve"> =</t>
    </r>
  </si>
  <si>
    <t>Histogram Data</t>
  </si>
  <si>
    <t>Distribution Overlay</t>
  </si>
  <si>
    <t>SD Lines</t>
  </si>
  <si>
    <t>Bin</t>
  </si>
  <si>
    <t>Frequency</t>
  </si>
  <si>
    <r>
      <t xml:space="preserve"> (X) 1-Day</t>
    </r>
    <r>
      <rPr>
        <b/>
        <i/>
        <sz val="11"/>
        <color theme="1"/>
        <rFont val="Calibri"/>
        <family val="2"/>
        <scheme val="minor"/>
      </rPr>
      <t xml:space="preserve"> Δ </t>
    </r>
    <r>
      <rPr>
        <i/>
        <sz val="11"/>
        <color theme="1"/>
        <rFont val="Calibri"/>
        <family val="2"/>
        <scheme val="minor"/>
      </rPr>
      <t xml:space="preserve"> </t>
    </r>
  </si>
  <si>
    <t xml:space="preserve">(Y) Pop. Density </t>
  </si>
  <si>
    <t>X</t>
  </si>
  <si>
    <t>Y</t>
  </si>
  <si>
    <t>Q1 2020</t>
  </si>
  <si>
    <t>Q1 2021</t>
  </si>
  <si>
    <t>Q1 2022</t>
  </si>
  <si>
    <t>Q1 2023</t>
  </si>
  <si>
    <t>Q1 2024</t>
  </si>
  <si>
    <t>Q1 2025</t>
  </si>
  <si>
    <t>[Use for Graphing]</t>
  </si>
  <si>
    <t>Quarterly</t>
  </si>
  <si>
    <t>Revenues</t>
  </si>
  <si>
    <t>Ttl Revenues</t>
  </si>
  <si>
    <t>COGS</t>
  </si>
  <si>
    <t>GP</t>
  </si>
  <si>
    <t>Gross Profit Margin</t>
  </si>
  <si>
    <t>R&amp;D as % of Revenue</t>
  </si>
  <si>
    <t>Operating Profit Margin</t>
  </si>
  <si>
    <t>Effective Tax Rate</t>
  </si>
  <si>
    <t>Net Profit Margin</t>
  </si>
  <si>
    <t xml:space="preserve">Cash &amp; CEs </t>
  </si>
  <si>
    <t>ST Investments</t>
  </si>
  <si>
    <t>Current Ratio</t>
  </si>
  <si>
    <t>Cash Ratio</t>
  </si>
  <si>
    <t>Return on Assets</t>
  </si>
  <si>
    <t>Return on Equity</t>
  </si>
  <si>
    <t>Net Income</t>
  </si>
  <si>
    <t>CFFO</t>
  </si>
  <si>
    <t>CapEx, net</t>
  </si>
  <si>
    <t>FCF</t>
  </si>
  <si>
    <t>SC</t>
  </si>
  <si>
    <t>FCF per Share</t>
  </si>
  <si>
    <t>Revenues:</t>
  </si>
  <si>
    <t>Earnings Scope:</t>
  </si>
  <si>
    <t>Balance Sheet Scope:</t>
  </si>
  <si>
    <t>[Equity Preformance Compared to Peers]</t>
  </si>
  <si>
    <t>Mean</t>
  </si>
  <si>
    <t>-3σ</t>
  </si>
  <si>
    <t>-2σ</t>
  </si>
  <si>
    <t>-1σ</t>
  </si>
  <si>
    <t>1σ</t>
  </si>
  <si>
    <t>2σ</t>
  </si>
  <si>
    <t>3σ</t>
  </si>
  <si>
    <t>Phone:</t>
  </si>
  <si>
    <t xml:space="preserve">Email: </t>
  </si>
  <si>
    <t>&lt;- Sharpe Ratio (Risk Adjusted Return)</t>
  </si>
  <si>
    <t>Earnings Calls</t>
  </si>
  <si>
    <t>Equity Analysis</t>
  </si>
  <si>
    <t>https://app.godelterminal.com/</t>
  </si>
  <si>
    <t>Investors Relation Department</t>
  </si>
  <si>
    <t>Business Segments and Geographical Info:</t>
  </si>
  <si>
    <t xml:space="preserve">[Begin researching fundamentals / core business … begin with SEC filings, but expand and use all public resources available] </t>
  </si>
  <si>
    <t>Employee Scope:</t>
  </si>
  <si>
    <t>Resources:</t>
  </si>
  <si>
    <t>Y/y Total Revenues, Net Income, FCF</t>
  </si>
  <si>
    <t>Q/q Total Revenues, Net Income, FCF</t>
  </si>
  <si>
    <t>Company IR Page</t>
  </si>
  <si>
    <t>Company Homepage</t>
  </si>
  <si>
    <t>MacroTrends</t>
  </si>
  <si>
    <t>ROIC, WACC</t>
  </si>
  <si>
    <t>Ttl Revenue Growth Y/y</t>
  </si>
  <si>
    <t>Projected ROIC:</t>
  </si>
  <si>
    <t>Invested Capital</t>
  </si>
  <si>
    <t>ROIC</t>
  </si>
  <si>
    <t>Terminal</t>
  </si>
  <si>
    <t>RFR (10-year yield)</t>
  </si>
  <si>
    <t>ERP 
(Avg. market return - (less) RFR)</t>
  </si>
  <si>
    <t>Equity β (1-year avg.)</t>
  </si>
  <si>
    <t>Discount (Cost of Equity)</t>
  </si>
  <si>
    <t>NPV</t>
  </si>
  <si>
    <t>FV</t>
  </si>
  <si>
    <t>CP</t>
  </si>
  <si>
    <t>Change Δ</t>
  </si>
  <si>
    <t>VOO Historical Returns</t>
  </si>
  <si>
    <t>NFLX</t>
  </si>
  <si>
    <t xml:space="preserve">Headquarters: Los Gatos, CA </t>
  </si>
  <si>
    <t>Netflix, Inc. (NFLX)</t>
  </si>
  <si>
    <t>Q4'25</t>
  </si>
  <si>
    <t>2/18/2026</t>
  </si>
  <si>
    <t>Netflix, Inc. provides entertainment services worldwide</t>
  </si>
  <si>
    <t>The Company offers television (TV) series, documentaries, feature films, games, and live programming across various genres and languages</t>
  </si>
  <si>
    <t>The Company also provides members the ability to receive streaming content through a host of internet-connected devices, including TVs, digital video players, TV set-top boxes, and mobile devices</t>
  </si>
  <si>
    <t>Netflix, Inc. was incorporated in 1997 and is headquartered in Los Gatos, California</t>
  </si>
  <si>
    <t>Founder(s): Reed Hastings &amp; Marc Randolph</t>
  </si>
  <si>
    <t>Founded: 1997</t>
  </si>
  <si>
    <t>Current CEOs: Gregory Peters &amp; Theodore Sarandos</t>
  </si>
  <si>
    <t>Employees: 16,000</t>
  </si>
  <si>
    <t>Industry: Entertainment - Digital Media</t>
  </si>
  <si>
    <t>Sector: Communication Services</t>
  </si>
  <si>
    <t>IPO: May 23, 2002 -- $82.5M valuation</t>
  </si>
  <si>
    <t>EPS</t>
  </si>
  <si>
    <r>
      <rPr>
        <b/>
        <sz val="11"/>
        <color rgb="FF0070C0"/>
        <rFont val="Calibre"/>
      </rPr>
      <t>Avg.</t>
    </r>
    <r>
      <rPr>
        <sz val="11"/>
        <color rgb="FF0070C0"/>
        <rFont val="Calibre"/>
      </rPr>
      <t xml:space="preserve"> (2024-2025)</t>
    </r>
  </si>
  <si>
    <t>2024-2025</t>
  </si>
  <si>
    <t>Capital Structure</t>
  </si>
  <si>
    <t>Mkt Cap</t>
  </si>
  <si>
    <t>Ttl Assets</t>
  </si>
  <si>
    <t>Debt to Ttl Mkt Cap</t>
  </si>
  <si>
    <t>Mkt Equity to Ttl Mkt Cap</t>
  </si>
  <si>
    <t>LT Debt / Equity</t>
  </si>
  <si>
    <t>Cost of Equity</t>
  </si>
  <si>
    <t>Market Return(1-year avg.)</t>
  </si>
  <si>
    <t xml:space="preserve">Cost of Equity </t>
  </si>
  <si>
    <t>Cost of Debt</t>
  </si>
  <si>
    <t>Ttl Liabilities</t>
  </si>
  <si>
    <t>Tax Rate</t>
  </si>
  <si>
    <t>Ttl SE</t>
  </si>
  <si>
    <t>After Tax Cost of Debt</t>
  </si>
  <si>
    <t>Ttl L + SE</t>
  </si>
  <si>
    <t>WACC</t>
  </si>
  <si>
    <t>Ttl Asset Turnover Ratio</t>
  </si>
  <si>
    <t>Fiscal Year: [January - December]</t>
  </si>
  <si>
    <t>Registered Exchange: NASDAQ</t>
  </si>
  <si>
    <t>Address: 121 Albright Way Los Gatos, CA 95032 U.S.</t>
  </si>
  <si>
    <t>(408) 540-3700</t>
  </si>
  <si>
    <t>ir@netflix.com</t>
  </si>
  <si>
    <t>https://www.sec.gov/edgar/browse/?CIK=1065280&amp;owner=exclude</t>
  </si>
  <si>
    <t>https://www.netflix.com/</t>
  </si>
  <si>
    <t>https://ir.netflix.net/ir-overview/profile/default.aspx</t>
  </si>
  <si>
    <t>https://seekingalpha.com/symbol/NFLX/earnings/transcripts</t>
  </si>
  <si>
    <t>https://stockanalysis.com/stocks/nflx/company/</t>
  </si>
  <si>
    <t>https://www.macrotrends.net/stocks/charts/NFLX/netflix/income-statement</t>
  </si>
  <si>
    <t>https://www.gurufocus.com/term/wacc/NFLX</t>
  </si>
  <si>
    <t>Other ST Assets</t>
  </si>
  <si>
    <t>LT Content Assets</t>
  </si>
  <si>
    <t>PP&amp;E</t>
  </si>
  <si>
    <t>Other LT Assets</t>
  </si>
  <si>
    <t>A/P</t>
  </si>
  <si>
    <t>Accrued ST Expenses</t>
  </si>
  <si>
    <t>Deferred ST Revenues</t>
  </si>
  <si>
    <t>ST Debt</t>
  </si>
  <si>
    <t>ST Content Liabilities</t>
  </si>
  <si>
    <t>LT Content Liabilities</t>
  </si>
  <si>
    <t>LT Debt</t>
  </si>
  <si>
    <t>Other LT Liabilities</t>
  </si>
  <si>
    <t>General &amp; Admin</t>
  </si>
  <si>
    <t>Sales &amp; Marketing</t>
  </si>
  <si>
    <t>R&amp;D</t>
  </si>
  <si>
    <t>Ttl Operating Expenses</t>
  </si>
  <si>
    <t>Operating Income</t>
  </si>
  <si>
    <t>Other Income</t>
  </si>
  <si>
    <t>Interest Expenses</t>
  </si>
  <si>
    <t>Pretax Income</t>
  </si>
  <si>
    <t>Taxes</t>
  </si>
  <si>
    <t>NI</t>
  </si>
  <si>
    <t>G&amp;A as % of Revenue</t>
  </si>
  <si>
    <t>S&amp;M as % of Revenue</t>
  </si>
  <si>
    <t>Fri, 05 Dec 2025 00:00:00 GMT</t>
  </si>
  <si>
    <t>Thu, 04 Dec 2025 00:00:00 GMT</t>
  </si>
  <si>
    <t>Wed, 03 Dec 2025 00:00:00 GMT</t>
  </si>
  <si>
    <t>Tue, 02 Dec 2025 00:00:00 GMT</t>
  </si>
  <si>
    <t>Mon, 01 Dec 2025 00:00:00 GMT</t>
  </si>
  <si>
    <t>Fri, 28 Nov 2025 00:00:00 GMT</t>
  </si>
  <si>
    <t>Wed, 26 Nov 2025 00:00:00 GMT</t>
  </si>
  <si>
    <t>Tue, 25 Nov 2025 00:00:00 GMT</t>
  </si>
  <si>
    <t>Mon, 24 Nov 2025 00:00:00 GMT</t>
  </si>
  <si>
    <t>Fri, 21 Nov 2025 00:00:00 GMT</t>
  </si>
  <si>
    <t>Thu, 20 Nov 2025 00:00:00 GMT</t>
  </si>
  <si>
    <t>Wed, 19 Nov 2025 00:00:00 GMT</t>
  </si>
  <si>
    <t>Tue, 18 Nov 2025 00:00:00 GMT</t>
  </si>
  <si>
    <t>Mon, 17 Nov 2025 00:00:00 GMT</t>
  </si>
  <si>
    <t>Fri, 14 Nov 2025 00:00:00 GMT</t>
  </si>
  <si>
    <t>Thu, 13 Nov 2025 00:00:00 GMT</t>
  </si>
  <si>
    <t>Wed, 12 Nov 2025 00:00:00 GMT</t>
  </si>
  <si>
    <t>Tue, 11 Nov 2025 00:00:00 GMT</t>
  </si>
  <si>
    <t>Mon, 10 Nov 2025 00:00:00 GMT</t>
  </si>
  <si>
    <t>Fri, 07 Nov 2025 00:00:00 GMT</t>
  </si>
  <si>
    <t>Thu, 06 Nov 2025 00:00:00 GMT</t>
  </si>
  <si>
    <t>Wed, 05 Nov 2025 00:00:00 GMT</t>
  </si>
  <si>
    <t>Tue, 04 Nov 2025 00:00:00 GMT</t>
  </si>
  <si>
    <t>Mon, 03 Nov 2025 00:00:00 GMT</t>
  </si>
  <si>
    <t>Fri, 31 Oct 2025 00:00:00 GMT</t>
  </si>
  <si>
    <t>Thu, 30 Oct 2025 00:00:00 GMT</t>
  </si>
  <si>
    <t>Wed, 29 Oct 2025 00:00:00 GMT</t>
  </si>
  <si>
    <t>Tue, 28 Oct 2025 00:00:00 GMT</t>
  </si>
  <si>
    <t>Mon, 27 Oct 2025 00:00:00 GMT</t>
  </si>
  <si>
    <t>Fri, 24 Oct 2025 00:00:00 GMT</t>
  </si>
  <si>
    <t>Thu, 23 Oct 2025 00:00:00 GMT</t>
  </si>
  <si>
    <t>Wed, 22 Oct 2025 00:00:00 GMT</t>
  </si>
  <si>
    <t>Tue, 21 Oct 2025 00:00:00 GMT</t>
  </si>
  <si>
    <t>Mon, 20 Oct 2025 00:00:00 GMT</t>
  </si>
  <si>
    <t>Fri, 17 Oct 2025 00:00:00 GMT</t>
  </si>
  <si>
    <t>Thu, 16 Oct 2025 00:00:00 GMT</t>
  </si>
  <si>
    <t>Wed, 15 Oct 2025 00:00:00 GMT</t>
  </si>
  <si>
    <t>Tue, 14 Oct 2025 00:00:00 GMT</t>
  </si>
  <si>
    <t>Mon, 13 Oct 2025 00:00:00 GMT</t>
  </si>
  <si>
    <t>Fri, 10 Oct 2025 00:00:00 GMT</t>
  </si>
  <si>
    <t>Thu, 09 Oct 2025 00:00:00 GMT</t>
  </si>
  <si>
    <t>Wed, 08 Oct 2025 00:00:00 GMT</t>
  </si>
  <si>
    <t>Tue, 07 Oct 2025 00:00:00 GMT</t>
  </si>
  <si>
    <t>Mon, 06 Oct 2025 00:00:00 GMT</t>
  </si>
  <si>
    <t>Fri, 03 Oct 2025 00:00:00 GMT</t>
  </si>
  <si>
    <t>Thu, 02 Oct 2025 00:00:00 GMT</t>
  </si>
  <si>
    <t>Wed, 01 Oct 2025 00:00:00 GMT</t>
  </si>
  <si>
    <t>Tue, 30 Sep 2025 00:00:00 GMT</t>
  </si>
  <si>
    <t>Mon, 29 Sep 2025 00:00:00 GMT</t>
  </si>
  <si>
    <t>Fri, 26 Sep 2025 00:00:00 GMT</t>
  </si>
  <si>
    <t>Thu, 25 Sep 2025 00:00:00 GMT</t>
  </si>
  <si>
    <t>Wed, 24 Sep 2025 00:00:00 GMT</t>
  </si>
  <si>
    <t>Tue, 23 Sep 2025 00:00:00 GMT</t>
  </si>
  <si>
    <t>Mon, 22 Sep 2025 00:00:00 GMT</t>
  </si>
  <si>
    <t>Fri, 19 Sep 2025 00:00:00 GMT</t>
  </si>
  <si>
    <t>Thu, 18 Sep 2025 00:00:00 GMT</t>
  </si>
  <si>
    <t>Wed, 17 Sep 2025 00:00:00 GMT</t>
  </si>
  <si>
    <t>Tue, 16 Sep 2025 00:00:00 GMT</t>
  </si>
  <si>
    <t>Mon, 15 Sep 2025 00:00:00 GMT</t>
  </si>
  <si>
    <t>Fri, 12 Sep 2025 00:00:00 GMT</t>
  </si>
  <si>
    <t>Thu, 11 Sep 2025 00:00:00 GMT</t>
  </si>
  <si>
    <t>Wed, 10 Sep 2025 00:00:00 GMT</t>
  </si>
  <si>
    <t>Tue, 09 Sep 2025 00:00:00 GMT</t>
  </si>
  <si>
    <t>Mon, 08 Sep 2025 00:00:00 GMT</t>
  </si>
  <si>
    <t>Fri, 05 Sep 2025 00:00:00 GMT</t>
  </si>
  <si>
    <t>Thu, 04 Sep 2025 00:00:00 GMT</t>
  </si>
  <si>
    <t>Wed, 03 Sep 2025 00:00:00 GMT</t>
  </si>
  <si>
    <t>Tue, 02 Sep 2025 00:00:00 GMT</t>
  </si>
  <si>
    <t>Fri, 29 Aug 2025 00:00:00 GMT</t>
  </si>
  <si>
    <t>Thu, 28 Aug 2025 00:00:00 GMT</t>
  </si>
  <si>
    <t>Wed, 27 Aug 2025 00:00:00 GMT</t>
  </si>
  <si>
    <t>Tue, 26 Aug 2025 00:00:00 GMT</t>
  </si>
  <si>
    <t>Mon, 25 Aug 2025 00:00:00 GMT</t>
  </si>
  <si>
    <t>Fri, 22 Aug 2025 00:00:00 GMT</t>
  </si>
  <si>
    <t>Thu, 21 Aug 2025 00:00:00 GMT</t>
  </si>
  <si>
    <t>Wed, 20 Aug 2025 00:00:00 GMT</t>
  </si>
  <si>
    <t>Tue, 19 Aug 2025 00:00:00 GMT</t>
  </si>
  <si>
    <t>Mon, 18 Aug 2025 00:00:00 GMT</t>
  </si>
  <si>
    <t>Fri, 15 Aug 2025 00:00:00 GMT</t>
  </si>
  <si>
    <t>Thu, 14 Aug 2025 00:00:00 GMT</t>
  </si>
  <si>
    <t>Wed, 13 Aug 2025 00:00:00 GMT</t>
  </si>
  <si>
    <t>Tue, 12 Aug 2025 00:00:00 GMT</t>
  </si>
  <si>
    <t>Mon, 11 Aug 2025 00:00:00 GMT</t>
  </si>
  <si>
    <t>Fri, 08 Aug 2025 00:00:00 GMT</t>
  </si>
  <si>
    <t>Thu, 07 Aug 2025 00:00:00 GMT</t>
  </si>
  <si>
    <t>Wed, 06 Aug 2025 00:00:00 GMT</t>
  </si>
  <si>
    <t>Tue, 05 Aug 2025 00:00:00 GMT</t>
  </si>
  <si>
    <t>Mon, 04 Aug 2025 00:00:00 GMT</t>
  </si>
  <si>
    <t>Fri, 01 Aug 2025 00:00:00 GMT</t>
  </si>
  <si>
    <t>Thu, 31 Jul 2025 00:00:00 GMT</t>
  </si>
  <si>
    <t>Wed, 30 Jul 2025 00:00:00 GMT</t>
  </si>
  <si>
    <t>Tue, 29 Jul 2025 00:00:00 GMT</t>
  </si>
  <si>
    <t>Mon, 28 Jul 2025 00:00:00 GMT</t>
  </si>
  <si>
    <t>Fri, 25 Jul 2025 00:00:00 GMT</t>
  </si>
  <si>
    <t>Thu, 24 Jul 2025 00:00:00 GMT</t>
  </si>
  <si>
    <t>Wed, 23 Jul 2025 00:00:00 GMT</t>
  </si>
  <si>
    <t>Tue, 22 Jul 2025 00:00:00 GMT</t>
  </si>
  <si>
    <t>Mon, 21 Jul 2025 00:00:00 GMT</t>
  </si>
  <si>
    <t>Fri, 18 Jul 2025 00:00:00 GMT</t>
  </si>
  <si>
    <t>Thu, 17 Jul 2025 00:00:00 GMT</t>
  </si>
  <si>
    <t>Wed, 16 Jul 2025 00:00:00 GMT</t>
  </si>
  <si>
    <t>Tue, 15 Jul 2025 00:00:00 GMT</t>
  </si>
  <si>
    <t>Mon, 14 Jul 2025 00:00:00 GMT</t>
  </si>
  <si>
    <t>Fri, 11 Jul 2025 00:00:00 GMT</t>
  </si>
  <si>
    <t>Thu, 10 Jul 2025 00:00:00 GMT</t>
  </si>
  <si>
    <t>Wed, 09 Jul 2025 00:00:00 GMT</t>
  </si>
  <si>
    <t>Tue, 08 Jul 2025 00:00:00 GMT</t>
  </si>
  <si>
    <t>Mon, 07 Jul 2025 00:00:00 GMT</t>
  </si>
  <si>
    <t>Thu, 03 Jul 2025 00:00:00 GMT</t>
  </si>
  <si>
    <t>Wed, 02 Jul 2025 00:00:00 GMT</t>
  </si>
  <si>
    <t>Tue, 01 Jul 2025 00:00:00 GMT</t>
  </si>
  <si>
    <t>Mon, 30 Jun 2025 00:00:00 GMT</t>
  </si>
  <si>
    <t>Fri, 27 Jun 2025 00:00:00 GMT</t>
  </si>
  <si>
    <t>Thu, 26 Jun 2025 00:00:00 GMT</t>
  </si>
  <si>
    <t>Wed, 25 Jun 2025 00:00:00 GMT</t>
  </si>
  <si>
    <t>Tue, 24 Jun 2025 00:00:00 GMT</t>
  </si>
  <si>
    <t>Mon, 23 Jun 2025 00:00:00 GMT</t>
  </si>
  <si>
    <t>Fri, 20 Jun 2025 00:00:00 GMT</t>
  </si>
  <si>
    <t>Wed, 18 Jun 2025 00:00:00 GMT</t>
  </si>
  <si>
    <t>Tue, 17 Jun 2025 00:00:00 GMT</t>
  </si>
  <si>
    <t>Mon, 16 Jun 2025 00:00:00 GMT</t>
  </si>
  <si>
    <t>Fri, 13 Jun 2025 00:00:00 GMT</t>
  </si>
  <si>
    <t>Thu, 12 Jun 2025 00:00:00 GMT</t>
  </si>
  <si>
    <t>Wed, 11 Jun 2025 00:00:00 GMT</t>
  </si>
  <si>
    <t>Tue, 10 Jun 2025 00:00:00 GMT</t>
  </si>
  <si>
    <t>Mon, 09 Jun 2025 00:00:00 GMT</t>
  </si>
  <si>
    <t>Fri, 06 Jun 2025 00:00:00 GMT</t>
  </si>
  <si>
    <t>Thu, 05 Jun 2025 00:00:00 GMT</t>
  </si>
  <si>
    <t>Wed, 04 Jun 2025 00:00:00 GMT</t>
  </si>
  <si>
    <t>Tue, 03 Jun 2025 00:00:00 GMT</t>
  </si>
  <si>
    <t>Mon, 02 Jun 2025 00:00:00 GMT</t>
  </si>
  <si>
    <t>Fri, 30 May 2025 00:00:00 GMT</t>
  </si>
  <si>
    <t>Thu, 29 May 2025 00:00:00 GMT</t>
  </si>
  <si>
    <t>Wed, 28 May 2025 00:00:00 GMT</t>
  </si>
  <si>
    <t>Tue, 27 May 2025 00:00:00 GMT</t>
  </si>
  <si>
    <t>Fri, 23 May 2025 00:00:00 GMT</t>
  </si>
  <si>
    <t>Thu, 22 May 2025 00:00:00 GMT</t>
  </si>
  <si>
    <t>Wed, 21 May 2025 00:00:00 GMT</t>
  </si>
  <si>
    <t>Tue, 20 May 2025 00:00:00 GMT</t>
  </si>
  <si>
    <t>Mon, 19 May 2025 00:00:00 GMT</t>
  </si>
  <si>
    <t>Fri, 16 May 2025 00:00:00 GMT</t>
  </si>
  <si>
    <t>Thu, 15 May 2025 00:00:00 GMT</t>
  </si>
  <si>
    <t>Wed, 14 May 2025 00:00:00 GMT</t>
  </si>
  <si>
    <t>Tue, 13 May 2025 00:00:00 GMT</t>
  </si>
  <si>
    <t>Mon, 12 May 2025 00:00:00 GMT</t>
  </si>
  <si>
    <t>Fri, 09 May 2025 00:00:00 GMT</t>
  </si>
  <si>
    <t>Thu, 08 May 2025 00:00:00 GMT</t>
  </si>
  <si>
    <t>Wed, 07 May 2025 00:00:00 GMT</t>
  </si>
  <si>
    <t>Tue, 06 May 2025 00:00:00 GMT</t>
  </si>
  <si>
    <t>Mon, 05 May 2025 00:00:00 GMT</t>
  </si>
  <si>
    <t>Fri, 02 May 2025 00:00:00 GMT</t>
  </si>
  <si>
    <t>Thu, 01 May 2025 00:00:00 GMT</t>
  </si>
  <si>
    <t>Wed, 30 Apr 2025 00:00:00 GMT</t>
  </si>
  <si>
    <t>Tue, 29 Apr 2025 00:00:00 GMT</t>
  </si>
  <si>
    <t>Mon, 28 Apr 2025 00:00:00 GMT</t>
  </si>
  <si>
    <t>Fri, 25 Apr 2025 00:00:00 GMT</t>
  </si>
  <si>
    <t>Thu, 24 Apr 2025 00:00:00 GMT</t>
  </si>
  <si>
    <t>Wed, 23 Apr 2025 00:00:00 GMT</t>
  </si>
  <si>
    <t>Tue, 22 Apr 2025 00:00:00 GMT</t>
  </si>
  <si>
    <t>Mon, 21 Apr 2025 00:00:00 GMT</t>
  </si>
  <si>
    <t>Thu, 17 Apr 2025 00:00:00 GMT</t>
  </si>
  <si>
    <t>Wed, 16 Apr 2025 00:00:00 GMT</t>
  </si>
  <si>
    <t>Tue, 15 Apr 2025 00:00:00 GMT</t>
  </si>
  <si>
    <t>Mon, 14 Apr 2025 00:00:00 GMT</t>
  </si>
  <si>
    <t>Fri, 11 Apr 2025 00:00:00 GMT</t>
  </si>
  <si>
    <t>Thu, 10 Apr 2025 00:00:00 GMT</t>
  </si>
  <si>
    <t>Wed, 09 Apr 2025 00:00:00 GMT</t>
  </si>
  <si>
    <t>Tue, 08 Apr 2025 00:00:00 GMT</t>
  </si>
  <si>
    <t>Mon, 07 Apr 2025 00:00:00 GMT</t>
  </si>
  <si>
    <t>Fri, 04 Apr 2025 00:00:00 GMT</t>
  </si>
  <si>
    <t>Thu, 03 Apr 2025 00:00:00 GMT</t>
  </si>
  <si>
    <t>Wed, 02 Apr 2025 00:00:00 GMT</t>
  </si>
  <si>
    <t>Tue, 01 Apr 2025 00:00:00 GMT</t>
  </si>
  <si>
    <t>Mon, 31 Mar 2025 00:00:00 GMT</t>
  </si>
  <si>
    <t>Fri, 28 Mar 2025 00:00:00 GMT</t>
  </si>
  <si>
    <t>Thu, 27 Mar 2025 00:00:00 GMT</t>
  </si>
  <si>
    <t>Wed, 26 Mar 2025 00:00:00 GMT</t>
  </si>
  <si>
    <t>Tue, 25 Mar 2025 00:00:00 GMT</t>
  </si>
  <si>
    <t>Mon, 24 Mar 2025 00:00:00 GMT</t>
  </si>
  <si>
    <t>Fri, 21 Mar 2025 00:00:00 GMT</t>
  </si>
  <si>
    <t>Thu, 20 Mar 2025 00:00:00 GMT</t>
  </si>
  <si>
    <t>Wed, 19 Mar 2025 00:00:00 GMT</t>
  </si>
  <si>
    <t>Tue, 18 Mar 2025 00:00:00 GMT</t>
  </si>
  <si>
    <t>Mon, 17 Mar 2025 00:00:00 GMT</t>
  </si>
  <si>
    <t>Fri, 14 Mar 2025 00:00:00 GMT</t>
  </si>
  <si>
    <t>Thu, 13 Mar 2025 00:00:00 GMT</t>
  </si>
  <si>
    <t>Wed, 12 Mar 2025 00:00:00 GMT</t>
  </si>
  <si>
    <t>Tue, 11 Mar 2025 00:00:00 GMT</t>
  </si>
  <si>
    <t>Mon, 10 Mar 2025 00:00:00 GMT</t>
  </si>
  <si>
    <t>Fri, 07 Mar 2025 00:00:00 GMT</t>
  </si>
  <si>
    <t>Thu, 06 Mar 2025 00:00:00 GMT</t>
  </si>
  <si>
    <t>Wed, 05 Mar 2025 00:00:00 GMT</t>
  </si>
  <si>
    <t>Tue, 04 Mar 2025 00:00:00 GMT</t>
  </si>
  <si>
    <t>Mon, 03 Mar 2025 00:00:00 GMT</t>
  </si>
  <si>
    <t>Fri, 28 Feb 2025 00:00:00 GMT</t>
  </si>
  <si>
    <t>Thu, 27 Feb 2025 00:00:00 GMT</t>
  </si>
  <si>
    <t>Wed, 26 Feb 2025 00:00:00 GMT</t>
  </si>
  <si>
    <t>Tue, 25 Feb 2025 00:00:00 GMT</t>
  </si>
  <si>
    <t>Mon, 24 Feb 2025 00:00:00 GMT</t>
  </si>
  <si>
    <t>Fri, 21 Feb 2025 00:00:00 GMT</t>
  </si>
  <si>
    <t>Thu, 20 Feb 2025 00:00:00 GMT</t>
  </si>
  <si>
    <t>Wed, 19 Feb 2025 00:00:00 GMT</t>
  </si>
  <si>
    <t>Tue, 18 Feb 2025 00:00:00 GMT</t>
  </si>
  <si>
    <t>Fri, 14 Feb 2025 00:00:00 GMT</t>
  </si>
  <si>
    <t>Thu, 13 Feb 2025 00:00:00 GMT</t>
  </si>
  <si>
    <t>Wed, 12 Feb 2025 00:00:00 GMT</t>
  </si>
  <si>
    <t>Tue, 11 Feb 2025 00:00:00 GMT</t>
  </si>
  <si>
    <t>Mon, 10 Feb 2025 00:00:00 GMT</t>
  </si>
  <si>
    <t>Fri, 07 Feb 2025 00:00:00 GMT</t>
  </si>
  <si>
    <t>Thu, 06 Feb 2025 00:00:00 GMT</t>
  </si>
  <si>
    <t>Wed, 05 Feb 2025 00:00:00 GMT</t>
  </si>
  <si>
    <t>Tue, 04 Feb 2025 00:00:00 GMT</t>
  </si>
  <si>
    <t>Mon, 03 Feb 2025 00:00:00 GMT</t>
  </si>
  <si>
    <t>Fri, 31 Jan 2025 00:00:00 GMT</t>
  </si>
  <si>
    <t>Thu, 30 Jan 2025 00:00:00 GMT</t>
  </si>
  <si>
    <t>Wed, 29 Jan 2025 00:00:00 GMT</t>
  </si>
  <si>
    <t>Tue, 28 Jan 2025 00:00:00 GMT</t>
  </si>
  <si>
    <t>Mon, 27 Jan 2025 00:00:00 GMT</t>
  </si>
  <si>
    <t>Fri, 24 Jan 2025 00:00:00 GMT</t>
  </si>
  <si>
    <t>Thu, 23 Jan 2025 00:00:00 GMT</t>
  </si>
  <si>
    <t>Wed, 22 Jan 2025 00:00:00 GMT</t>
  </si>
  <si>
    <t>Tue, 21 Jan 2025 00:00:00 GMT</t>
  </si>
  <si>
    <t>Fri, 17 Jan 2025 00:00:00 GMT</t>
  </si>
  <si>
    <t>Thu, 16 Jan 2025 00:00:00 GMT</t>
  </si>
  <si>
    <t>Wed, 15 Jan 2025 00:00:00 GMT</t>
  </si>
  <si>
    <t>Tue, 14 Jan 2025 00:00:00 GMT</t>
  </si>
  <si>
    <t>Mon, 13 Jan 2025 00:00:00 GMT</t>
  </si>
  <si>
    <t>Fri, 10 Jan 2025 00:00:00 GMT</t>
  </si>
  <si>
    <t>Wed, 08 Jan 2025 00:00:00 GMT</t>
  </si>
  <si>
    <t>Tue, 07 Jan 2025 00:00:00 GMT</t>
  </si>
  <si>
    <t>Mon, 06 Jan 2025 00:00:00 GMT</t>
  </si>
  <si>
    <t>Fri, 03 Jan 2025 00:00:00 GMT</t>
  </si>
  <si>
    <t>Thu, 02 Jan 2025 00:00:00 GMT</t>
  </si>
  <si>
    <t>Tue, 31 Dec 2024 00:00:00 GMT</t>
  </si>
  <si>
    <t>Mon, 30 Dec 2024 00:00:00 GMT</t>
  </si>
  <si>
    <t>Fri, 27 Dec 2024 00:00:00 GMT</t>
  </si>
  <si>
    <t>Thu, 26 Dec 2024 00:00:00 GMT</t>
  </si>
  <si>
    <t>Tue, 24 Dec 2024 00:00:00 GMT</t>
  </si>
  <si>
    <t>Mon, 23 Dec 2024 00:00:00 GMT</t>
  </si>
  <si>
    <t>Fri, 20 Dec 2024 00:00:00 GMT</t>
  </si>
  <si>
    <t>Thu, 19 Dec 2024 00:00:00 GMT</t>
  </si>
  <si>
    <t>Wed, 18 Dec 2024 00:00:00 GMT</t>
  </si>
  <si>
    <t>Tue, 17 Dec 2024 00:00:00 GMT</t>
  </si>
  <si>
    <t>Mon, 16 Dec 2024 00:00:00 GMT</t>
  </si>
  <si>
    <t>Fri, 13 Dec 2024 00:00:00 GMT</t>
  </si>
  <si>
    <t>Thu, 12 Dec 2024 00:00:00 GMT</t>
  </si>
  <si>
    <t>Wed, 11 Dec 2024 00:00:00 GMT</t>
  </si>
  <si>
    <t>Tue, 10 Dec 2024 00:00:00 GMT</t>
  </si>
  <si>
    <t>Mon, 09 Dec 2024 00:00:00 GMT</t>
  </si>
  <si>
    <t>Fri, 06 Dec 2024 00:00:00 GMT</t>
  </si>
  <si>
    <t>Thu, 05 Dec 2024 00:00:00 GMT</t>
  </si>
  <si>
    <t>Wed, 04 Dec 2024 00:00:00 GMT</t>
  </si>
  <si>
    <t>Tue, 03 Dec 2024 00:00:00 GMT</t>
  </si>
  <si>
    <t>Mon, 02 Dec 2024 00:00:00 GMT</t>
  </si>
  <si>
    <t>Fri, 29 Nov 2024 00:00:00 GMT</t>
  </si>
  <si>
    <t>Wed, 27 Nov 2024 00:00:00 GMT</t>
  </si>
  <si>
    <t>Tue, 26 Nov 2024 00:00:00 GMT</t>
  </si>
  <si>
    <t>Mon, 25 Nov 2024 00:00:00 GMT</t>
  </si>
  <si>
    <t>Fri, 22 Nov 2024 00:00:00 GMT</t>
  </si>
  <si>
    <t>Thu, 21 Nov 2024 00:00:00 GMT</t>
  </si>
  <si>
    <t>Wed, 20 Nov 2024 00:00:00 GMT</t>
  </si>
  <si>
    <t>Tue, 19 Nov 2024 00:00:00 GMT</t>
  </si>
  <si>
    <t>Mon, 18 Nov 2024 00:00:00 GMT</t>
  </si>
  <si>
    <t>Fri, 15 Nov 2024 00:00:00 GMT</t>
  </si>
  <si>
    <t>Thu, 14 Nov 2024 00:00:00 GMT</t>
  </si>
  <si>
    <t>Wed, 13 Nov 2024 00:00:00 GMT</t>
  </si>
  <si>
    <t>Tue, 12 Nov 2024 00:00:00 GMT</t>
  </si>
  <si>
    <t>Mon, 11 Nov 2024 00:00:00 GMT</t>
  </si>
  <si>
    <t>Fri, 08 Nov 2024 00:00:00 GMT</t>
  </si>
  <si>
    <t>Thu, 07 Nov 2024 00:00:00 GMT</t>
  </si>
  <si>
    <t>Wed, 06 Nov 2024 00:00:00 GMT</t>
  </si>
  <si>
    <t>Tue, 05 Nov 2024 00:00:00 GMT</t>
  </si>
  <si>
    <t>Mon, 04 Nov 2024 00:00:00 GMT</t>
  </si>
  <si>
    <t>Fri, 01 Nov 2024 00:00:00 GMT</t>
  </si>
  <si>
    <t>Thu, 31 Oct 2024 00:00:00 GMT</t>
  </si>
  <si>
    <t>Wed, 30 Oct 2024 00:00:00 GMT</t>
  </si>
  <si>
    <t>Tue, 29 Oct 2024 00:00:00 GMT</t>
  </si>
  <si>
    <t>Mon, 28 Oct 2024 00:00:00 GMT</t>
  </si>
  <si>
    <t>Fri, 25 Oct 2024 00:00:00 GMT</t>
  </si>
  <si>
    <t>Thu, 24 Oct 2024 00:00:00 GMT</t>
  </si>
  <si>
    <t>Wed, 23 Oct 2024 00:00:00 GMT</t>
  </si>
  <si>
    <t>Tue, 22 Oct 2024 00:00:00 GMT</t>
  </si>
  <si>
    <t>Mon, 21 Oct 2024 00:00:00 GMT</t>
  </si>
  <si>
    <t>Fri, 18 Oct 2024 00:00:00 GMT</t>
  </si>
  <si>
    <t>Thu, 17 Oct 2024 00:00:00 GMT</t>
  </si>
  <si>
    <t>Wed, 16 Oct 2024 00:00:00 GMT</t>
  </si>
  <si>
    <t>Tue, 15 Oct 2024 00:00:00 GMT</t>
  </si>
  <si>
    <t>Mon, 14 Oct 2024 00:00:00 GMT</t>
  </si>
  <si>
    <t>Fri, 11 Oct 2024 00:00:00 GMT</t>
  </si>
  <si>
    <t>Thu, 10 Oct 2024 00:00:00 GMT</t>
  </si>
  <si>
    <t>Wed, 09 Oct 2024 00:00:00 GMT</t>
  </si>
  <si>
    <t>Tue, 08 Oct 2024 00:00:00 GMT</t>
  </si>
  <si>
    <t>Mon, 07 Oct 2024 00:00:00 GMT</t>
  </si>
  <si>
    <t>Fri, 04 Oct 2024 00:00:00 GMT</t>
  </si>
  <si>
    <t>Thu, 03 Oct 2024 00:00:00 GMT</t>
  </si>
  <si>
    <t>Wed, 02 Oct 2024 00:00:00 GMT</t>
  </si>
  <si>
    <t>Tue, 01 Oct 2024 00:00:00 GMT</t>
  </si>
  <si>
    <t>Mon, 30 Sep 2024 00:00:00 GMT</t>
  </si>
  <si>
    <t>Fri, 27 Sep 2024 00:00:00 GMT</t>
  </si>
  <si>
    <t>Thu, 26 Sep 2024 00:00:00 GMT</t>
  </si>
  <si>
    <t>Wed, 25 Sep 2024 00:00:00 GMT</t>
  </si>
  <si>
    <t>Tue, 24 Sep 2024 00:00:00 GMT</t>
  </si>
  <si>
    <t>Mon, 23 Sep 2024 00:00:00 GMT</t>
  </si>
  <si>
    <t>Fri, 20 Sep 2024 00:00:00 GMT</t>
  </si>
  <si>
    <t>Thu, 19 Sep 2024 00:00:00 GMT</t>
  </si>
  <si>
    <t>Wed, 18 Sep 2024 00:00:00 GMT</t>
  </si>
  <si>
    <t>Tue, 17 Sep 2024 00:00:00 GMT</t>
  </si>
  <si>
    <t>Mon, 16 Sep 2024 00:00:00 GMT</t>
  </si>
  <si>
    <t>Fri, 13 Sep 2024 00:00:00 GMT</t>
  </si>
  <si>
    <t>Thu, 12 Sep 2024 00:00:00 GMT</t>
  </si>
  <si>
    <t>Wed, 11 Sep 2024 00:00:00 GMT</t>
  </si>
  <si>
    <t>Tue, 10 Sep 2024 00:00:00 GMT</t>
  </si>
  <si>
    <t>Mon, 09 Sep 2024 00:00:00 GMT</t>
  </si>
  <si>
    <t>Fri, 06 Sep 2024 00:00:00 GMT</t>
  </si>
  <si>
    <t>Thu, 05 Sep 2024 00:00:00 GMT</t>
  </si>
  <si>
    <t>Wed, 04 Sep 2024 00:00:00 GMT</t>
  </si>
  <si>
    <t>Tue, 03 Sep 2024 00:00:00 GMT</t>
  </si>
  <si>
    <t>Fri, 30 Aug 2024 00:00:00 GMT</t>
  </si>
  <si>
    <t>Thu, 29 Aug 2024 00:00:00 GMT</t>
  </si>
  <si>
    <t>Wed, 28 Aug 2024 00:00:00 GMT</t>
  </si>
  <si>
    <t>Tue, 27 Aug 2024 00:00:00 GMT</t>
  </si>
  <si>
    <t>Mon, 26 Aug 2024 00:00:00 GMT</t>
  </si>
  <si>
    <t>Fri, 23 Aug 2024 00:00:00 GMT</t>
  </si>
  <si>
    <t>Thu, 22 Aug 2024 00:00:00 GMT</t>
  </si>
  <si>
    <t>Wed, 21 Aug 2024 00:00:00 GMT</t>
  </si>
  <si>
    <t>Tue, 20 Aug 2024 00:00:00 GMT</t>
  </si>
  <si>
    <t>Mon, 19 Aug 2024 00:00:00 GMT</t>
  </si>
  <si>
    <t>Fri, 16 Aug 2024 00:00:00 GMT</t>
  </si>
  <si>
    <t>Thu, 15 Aug 2024 00:00:00 GMT</t>
  </si>
  <si>
    <t>Wed, 14 Aug 2024 00:00:00 GMT</t>
  </si>
  <si>
    <t>Tue, 13 Aug 2024 00:00:00 GMT</t>
  </si>
  <si>
    <t>Mon, 12 Aug 2024 00:00:00 GMT</t>
  </si>
  <si>
    <t>Fri, 09 Aug 2024 00:00:00 GMT</t>
  </si>
  <si>
    <t>Thu, 08 Aug 2024 00:00:00 GMT</t>
  </si>
  <si>
    <t>Wed, 07 Aug 2024 00:00:00 GMT</t>
  </si>
  <si>
    <t>Tue, 06 Aug 2024 00:00:00 GMT</t>
  </si>
  <si>
    <t>Mon, 05 Aug 2024 00:00:00 GMT</t>
  </si>
  <si>
    <t>Fri, 02 Aug 2024 00:00:00 GMT</t>
  </si>
  <si>
    <t>Thu, 01 Aug 2024 00:00:00 GMT</t>
  </si>
  <si>
    <t>Wed, 31 Jul 2024 00:00:00 GMT</t>
  </si>
  <si>
    <t>Tue, 30 Jul 2024 00:00:00 GMT</t>
  </si>
  <si>
    <t>Mon, 29 Jul 2024 00:00:00 GMT</t>
  </si>
  <si>
    <t>Fri, 26 Jul 2024 00:00:00 GMT</t>
  </si>
  <si>
    <t>Thu, 25 Jul 2024 00:00:00 GMT</t>
  </si>
  <si>
    <t>Wed, 24 Jul 2024 00:00:00 GMT</t>
  </si>
  <si>
    <t>Tue, 23 Jul 2024 00:00:00 GMT</t>
  </si>
  <si>
    <t>Mon, 22 Jul 2024 00:00:00 GMT</t>
  </si>
  <si>
    <t>Fri, 19 Jul 2024 00:00:00 GMT</t>
  </si>
  <si>
    <t>Thu, 18 Jul 2024 00:00:00 GMT</t>
  </si>
  <si>
    <t>Wed, 17 Jul 2024 00:00:00 GMT</t>
  </si>
  <si>
    <t>Tue, 16 Jul 2024 00:00:00 GMT</t>
  </si>
  <si>
    <t>Mon, 15 Jul 2024 00:00:00 GMT</t>
  </si>
  <si>
    <t>Fri, 12 Jul 2024 00:00:00 GMT</t>
  </si>
  <si>
    <t>Thu, 11 Jul 2024 00:00:00 GMT</t>
  </si>
  <si>
    <t>Wed, 10 Jul 2024 00:00:00 GMT</t>
  </si>
  <si>
    <t>Tue, 09 Jul 2024 00:00:00 GMT</t>
  </si>
  <si>
    <t>Mon, 08 Jul 2024 00:00:00 GMT</t>
  </si>
  <si>
    <t>Fri, 05 Jul 2024 00:00:00 GMT</t>
  </si>
  <si>
    <t>Wed, 03 Jul 2024 00:00:00 GMT</t>
  </si>
  <si>
    <t>Tue, 02 Jul 2024 00:00:00 GMT</t>
  </si>
  <si>
    <t>Mon, 01 Jul 2024 00:00:00 GMT</t>
  </si>
  <si>
    <t>Fri, 28 Jun 2024 00:00:00 GMT</t>
  </si>
  <si>
    <t>Thu, 27 Jun 2024 00:00:00 GMT</t>
  </si>
  <si>
    <t>Wed, 26 Jun 2024 00:00:00 GMT</t>
  </si>
  <si>
    <t>Tue, 25 Jun 2024 00:00:00 GMT</t>
  </si>
  <si>
    <t>Mon, 24 Jun 2024 00:00:00 GMT</t>
  </si>
  <si>
    <t>Fri, 21 Jun 2024 00:00:00 GMT</t>
  </si>
  <si>
    <t>Thu, 20 Jun 2024 00:00:00 GMT</t>
  </si>
  <si>
    <t>Tue, 18 Jun 2024 00:00:00 GMT</t>
  </si>
  <si>
    <t>Mon, 17 Jun 2024 00:00:00 GMT</t>
  </si>
  <si>
    <t>Fri, 14 Jun 2024 00:00:00 GMT</t>
  </si>
  <si>
    <t>Thu, 13 Jun 2024 00:00:00 GMT</t>
  </si>
  <si>
    <t>Wed, 12 Jun 2024 00:00:00 GMT</t>
  </si>
  <si>
    <t>Tue, 11 Jun 2024 00:00:00 GMT</t>
  </si>
  <si>
    <t>Mon, 10 Jun 2024 00:00:00 GMT</t>
  </si>
  <si>
    <t>Fri, 07 Jun 2024 00:00:00 GMT</t>
  </si>
  <si>
    <t>Thu, 06 Jun 2024 00:00:00 GMT</t>
  </si>
  <si>
    <t>Wed, 05 Jun 2024 00:00:00 GMT</t>
  </si>
  <si>
    <t>Tue, 04 Jun 2024 00:00:00 GMT</t>
  </si>
  <si>
    <t>Mon, 03 Jun 2024 00:00:00 GMT</t>
  </si>
  <si>
    <t>Fri, 31 May 2024 00:00:00 GMT</t>
  </si>
  <si>
    <t>Thu, 30 May 2024 00:00:00 GMT</t>
  </si>
  <si>
    <t>Wed, 29 May 2024 00:00:00 GMT</t>
  </si>
  <si>
    <t>Tue, 28 May 2024 00:00:00 GMT</t>
  </si>
  <si>
    <t>Fri, 24 May 2024 00:00:00 GMT</t>
  </si>
  <si>
    <t>Thu, 23 May 2024 00:00:00 GMT</t>
  </si>
  <si>
    <t>Wed, 22 May 2024 00:00:00 GMT</t>
  </si>
  <si>
    <t>Tue, 21 May 2024 00:00:00 GMT</t>
  </si>
  <si>
    <t>Mon, 20 May 2024 00:00:00 GMT</t>
  </si>
  <si>
    <t>Fri, 17 May 2024 00:00:00 GMT</t>
  </si>
  <si>
    <t>Thu, 16 May 2024 00:00:00 GMT</t>
  </si>
  <si>
    <t>Wed, 15 May 2024 00:00:00 GMT</t>
  </si>
  <si>
    <t>Tue, 14 May 2024 00:00:00 GMT</t>
  </si>
  <si>
    <t>Mon, 13 May 2024 00:00:00 GMT</t>
  </si>
  <si>
    <t>Fri, 10 May 2024 00:00:00 GMT</t>
  </si>
  <si>
    <t>Thu, 09 May 2024 00:00:00 GMT</t>
  </si>
  <si>
    <t>Wed, 08 May 2024 00:00:00 GMT</t>
  </si>
  <si>
    <t>Tue, 07 May 2024 00:00:00 GMT</t>
  </si>
  <si>
    <t>Mon, 06 May 2024 00:00:00 GMT</t>
  </si>
  <si>
    <t>Fri, 03 May 2024 00:00:00 GMT</t>
  </si>
  <si>
    <t>Thu, 02 May 2024 00:00:00 GMT</t>
  </si>
  <si>
    <t>Wed, 01 May 2024 00:00:00 GMT</t>
  </si>
  <si>
    <t>Tue, 30 Apr 2024 00:00:00 GMT</t>
  </si>
  <si>
    <t>Mon, 29 Apr 2024 00:00:00 GMT</t>
  </si>
  <si>
    <t>Fri, 26 Apr 2024 00:00:00 GMT</t>
  </si>
  <si>
    <t>Thu, 25 Apr 2024 00:00:00 GMT</t>
  </si>
  <si>
    <t>Wed, 24 Apr 2024 00:00:00 GMT</t>
  </si>
  <si>
    <t>Tue, 23 Apr 2024 00:00:00 GMT</t>
  </si>
  <si>
    <t>Mon, 22 Apr 2024 00:00:00 GMT</t>
  </si>
  <si>
    <t>Fri, 19 Apr 2024 00:00:00 GMT</t>
  </si>
  <si>
    <t>Thu, 18 Apr 2024 00:00:00 GMT</t>
  </si>
  <si>
    <t>Wed, 17 Apr 2024 00:00:00 GMT</t>
  </si>
  <si>
    <t>Tue, 16 Apr 2024 00:00:00 GMT</t>
  </si>
  <si>
    <t>Mon, 15 Apr 2024 00:00:00 GMT</t>
  </si>
  <si>
    <t>Fri, 12 Apr 2024 00:00:00 GMT</t>
  </si>
  <si>
    <t>Thu, 11 Apr 2024 00:00:00 GMT</t>
  </si>
  <si>
    <t>Wed, 10 Apr 2024 00:00:00 GMT</t>
  </si>
  <si>
    <t>Tue, 09 Apr 2024 00:00:00 GMT</t>
  </si>
  <si>
    <t>Mon, 08 Apr 2024 00:00:00 GMT</t>
  </si>
  <si>
    <t>Fri, 05 Apr 2024 00:00:00 GMT</t>
  </si>
  <si>
    <t>Thu, 04 Apr 2024 00:00:00 GMT</t>
  </si>
  <si>
    <t>Wed, 03 Apr 2024 00:00:00 GMT</t>
  </si>
  <si>
    <t>Tue, 02 Apr 2024 00:00:00 GMT</t>
  </si>
  <si>
    <t>Mon, 01 Apr 2024 00:00:00 GMT</t>
  </si>
  <si>
    <t>Thu, 28 Mar 2024 00:00:00 GMT</t>
  </si>
  <si>
    <t>Wed, 27 Mar 2024 00:00:00 GMT</t>
  </si>
  <si>
    <t>Tue, 26 Mar 2024 00:00:00 GMT</t>
  </si>
  <si>
    <t>Mon, 25 Mar 2024 00:00:00 GMT</t>
  </si>
  <si>
    <t>Fri, 22 Mar 2024 00:00:00 GMT</t>
  </si>
  <si>
    <t>Thu, 21 Mar 2024 00:00:00 GMT</t>
  </si>
  <si>
    <t>Wed, 20 Mar 2024 00:00:00 GMT</t>
  </si>
  <si>
    <t>Tue, 19 Mar 2024 00:00:00 GMT</t>
  </si>
  <si>
    <t>Mon, 18 Mar 2024 00:00:00 GMT</t>
  </si>
  <si>
    <t>Fri, 15 Mar 2024 00:00:00 GMT</t>
  </si>
  <si>
    <t>Thu, 14 Mar 2024 00:00:00 GMT</t>
  </si>
  <si>
    <t>Wed, 13 Mar 2024 00:00:00 GMT</t>
  </si>
  <si>
    <t>Tue, 12 Mar 2024 00:00:00 GMT</t>
  </si>
  <si>
    <t>Mon, 11 Mar 2024 00:00:00 GMT</t>
  </si>
  <si>
    <t>Fri, 08 Mar 2024 00:00:00 GMT</t>
  </si>
  <si>
    <t>Thu, 07 Mar 2024 00:00:00 GMT</t>
  </si>
  <si>
    <t>Wed, 06 Mar 2024 00:00:00 GMT</t>
  </si>
  <si>
    <t>Tue, 05 Mar 2024 00:00:00 GMT</t>
  </si>
  <si>
    <t>Mon, 04 Mar 2024 00:00:00 GMT</t>
  </si>
  <si>
    <t>Fri, 01 Mar 2024 00:00:00 GMT</t>
  </si>
  <si>
    <t>Thu, 29 Feb 2024 00:00:00 GMT</t>
  </si>
  <si>
    <t>Wed, 28 Feb 2024 00:00:00 GMT</t>
  </si>
  <si>
    <t>Tue, 27 Feb 2024 00:00:00 GMT</t>
  </si>
  <si>
    <t>Mon, 26 Feb 2024 00:00:00 GMT</t>
  </si>
  <si>
    <t>Fri, 23 Feb 2024 00:00:00 GMT</t>
  </si>
  <si>
    <t>Thu, 22 Feb 2024 00:00:00 GMT</t>
  </si>
  <si>
    <t>Wed, 21 Feb 2024 00:00:00 GMT</t>
  </si>
  <si>
    <t>Tue, 20 Feb 2024 00:00:00 GMT</t>
  </si>
  <si>
    <t>Fri, 16 Feb 2024 00:00:00 GMT</t>
  </si>
  <si>
    <t>Thu, 15 Feb 2024 00:00:00 GMT</t>
  </si>
  <si>
    <t>Wed, 14 Feb 2024 00:00:00 GMT</t>
  </si>
  <si>
    <t>Tue, 13 Feb 2024 00:00:00 GMT</t>
  </si>
  <si>
    <t>Mon, 12 Feb 2024 00:00:00 GMT</t>
  </si>
  <si>
    <t>Fri, 09 Feb 2024 00:00:00 GMT</t>
  </si>
  <si>
    <t>Thu, 08 Feb 2024 00:00:00 GMT</t>
  </si>
  <si>
    <t>Wed, 07 Feb 2024 00:00:00 GMT</t>
  </si>
  <si>
    <t>Tue, 06 Feb 2024 00:00:00 GMT</t>
  </si>
  <si>
    <t>Mon, 05 Feb 2024 00:00:00 GMT</t>
  </si>
  <si>
    <t>Fri, 02 Feb 2024 00:00:00 GMT</t>
  </si>
  <si>
    <t>Thu, 01 Feb 2024 00:00:00 GMT</t>
  </si>
  <si>
    <t>Wed, 31 Jan 2024 00:00:00 GMT</t>
  </si>
  <si>
    <t>Tue, 30 Jan 2024 00:00:00 GMT</t>
  </si>
  <si>
    <t>Mon, 29 Jan 2024 00:00:00 GMT</t>
  </si>
  <si>
    <t>Fri, 26 Jan 2024 00:00:00 GMT</t>
  </si>
  <si>
    <t>Thu, 25 Jan 2024 00:00:00 GMT</t>
  </si>
  <si>
    <t>Wed, 24 Jan 2024 00:00:00 GMT</t>
  </si>
  <si>
    <t>Tue, 23 Jan 2024 00:00:00 GMT</t>
  </si>
  <si>
    <t>Mon, 22 Jan 2024 00:00:00 GMT</t>
  </si>
  <si>
    <t>Fri, 19 Jan 2024 00:00:00 GMT</t>
  </si>
  <si>
    <t>Thu, 18 Jan 2024 00:00:00 GMT</t>
  </si>
  <si>
    <t>Wed, 17 Jan 2024 00:00:00 GMT</t>
  </si>
  <si>
    <t>Tue, 16 Jan 2024 00:00:00 GMT</t>
  </si>
  <si>
    <t>Fri, 12 Jan 2024 00:00:00 GMT</t>
  </si>
  <si>
    <t>Thu, 11 Jan 2024 00:00:00 GMT</t>
  </si>
  <si>
    <t>Wed, 10 Jan 2024 00:00:00 GMT</t>
  </si>
  <si>
    <t>Tue, 09 Jan 2024 00:00:00 GMT</t>
  </si>
  <si>
    <t>Mon, 08 Jan 2024 00:00:00 GMT</t>
  </si>
  <si>
    <t>Fri, 05 Jan 2024 00:00:00 GMT</t>
  </si>
  <si>
    <t>Thu, 04 Jan 2024 00:00:00 GMT</t>
  </si>
  <si>
    <t>Wed, 03 Jan 2024 00:00:00 GMT</t>
  </si>
  <si>
    <t>Tue, 02 Jan 2024 00:00:00 GMT</t>
  </si>
  <si>
    <t>Fri, 29 Dec 2023 00:00:00 GMT</t>
  </si>
  <si>
    <t>Thu, 28 Dec 2023 00:00:00 GMT</t>
  </si>
  <si>
    <t>Wed, 27 Dec 2023 00:00:00 GMT</t>
  </si>
  <si>
    <t>Tue, 26 Dec 2023 00:00:00 GMT</t>
  </si>
  <si>
    <t>Fri, 22 Dec 2023 00:00:00 GMT</t>
  </si>
  <si>
    <t>Thu, 21 Dec 2023 00:00:00 GMT</t>
  </si>
  <si>
    <t>Wed, 20 Dec 2023 00:00:00 GMT</t>
  </si>
  <si>
    <t>Tue, 19 Dec 2023 00:00:00 GMT</t>
  </si>
  <si>
    <t>Mon, 18 Dec 2023 00:00:00 GMT</t>
  </si>
  <si>
    <t>Fri, 15 Dec 2023 00:00:00 GMT</t>
  </si>
  <si>
    <t>Thu, 14 Dec 2023 00:00:00 GMT</t>
  </si>
  <si>
    <t>Wed, 13 Dec 2023 00:00:00 GMT</t>
  </si>
  <si>
    <t>Tue, 12 Dec 2023 00:00:00 GMT</t>
  </si>
  <si>
    <t>Mon, 11 Dec 2023 00:00:00 GMT</t>
  </si>
  <si>
    <t>Fri, 08 Dec 2023 00:00:00 GMT</t>
  </si>
  <si>
    <t>Thu, 07 Dec 2023 00:00:00 GMT</t>
  </si>
  <si>
    <t>Wed, 06 Dec 2023 00:00:00 GMT</t>
  </si>
  <si>
    <t>Tue, 05 Dec 2023 00:00:00 GMT</t>
  </si>
  <si>
    <t>Mon, 04 Dec 2023 00:00:00 GMT</t>
  </si>
  <si>
    <t>Fri, 01 Dec 2023 00:00:00 GMT</t>
  </si>
  <si>
    <t>Thu, 30 Nov 2023 00:00:00 GMT</t>
  </si>
  <si>
    <t>Wed, 29 Nov 2023 00:00:00 GMT</t>
  </si>
  <si>
    <t>Tue, 28 Nov 2023 00:00:00 GMT</t>
  </si>
  <si>
    <t>Mon, 27 Nov 2023 00:00:00 GMT</t>
  </si>
  <si>
    <t>Fri, 24 Nov 2023 00:00:00 GMT</t>
  </si>
  <si>
    <t>Wed, 22 Nov 2023 00:00:00 GMT</t>
  </si>
  <si>
    <t>Tue, 21 Nov 2023 00:00:00 GMT</t>
  </si>
  <si>
    <t>Mon, 20 Nov 2023 00:00:00 GMT</t>
  </si>
  <si>
    <t>Fri, 17 Nov 2023 00:00:00 GMT</t>
  </si>
  <si>
    <t>Thu, 16 Nov 2023 00:00:00 GMT</t>
  </si>
  <si>
    <t>Wed, 15 Nov 2023 00:00:00 GMT</t>
  </si>
  <si>
    <t>Tue, 14 Nov 2023 00:00:00 GMT</t>
  </si>
  <si>
    <t>Mon, 13 Nov 2023 00:00:00 GMT</t>
  </si>
  <si>
    <t>Fri, 10 Nov 2023 00:00:00 GMT</t>
  </si>
  <si>
    <t>Thu, 09 Nov 2023 00:00:00 GMT</t>
  </si>
  <si>
    <t>Wed, 08 Nov 2023 00:00:00 GMT</t>
  </si>
  <si>
    <t>Tue, 07 Nov 2023 00:00:00 GMT</t>
  </si>
  <si>
    <t>Mon, 06 Nov 2023 00:00:00 GMT</t>
  </si>
  <si>
    <t>Fri, 03 Nov 2023 00:00:00 GMT</t>
  </si>
  <si>
    <t>Thu, 02 Nov 2023 00:00:00 GMT</t>
  </si>
  <si>
    <t>Wed, 01 Nov 2023 00:00:00 GMT</t>
  </si>
  <si>
    <t>Tue, 31 Oct 2023 00:00:00 GMT</t>
  </si>
  <si>
    <t>Mon, 30 Oct 2023 00:00:00 GMT</t>
  </si>
  <si>
    <t>Fri, 27 Oct 2023 00:00:00 GMT</t>
  </si>
  <si>
    <t>Thu, 26 Oct 2023 00:00:00 GMT</t>
  </si>
  <si>
    <t>Wed, 25 Oct 2023 00:00:00 GMT</t>
  </si>
  <si>
    <t>Tue, 24 Oct 2023 00:00:00 GMT</t>
  </si>
  <si>
    <t>Mon, 23 Oct 2023 00:00:00 GMT</t>
  </si>
  <si>
    <t>Fri, 20 Oct 2023 00:00:00 GMT</t>
  </si>
  <si>
    <t>Thu, 19 Oct 2023 00:00:00 GMT</t>
  </si>
  <si>
    <t>Wed, 18 Oct 2023 00:00:00 GMT</t>
  </si>
  <si>
    <t>Tue, 17 Oct 2023 00:00:00 GMT</t>
  </si>
  <si>
    <t>Mon, 16 Oct 2023 00:00:00 GMT</t>
  </si>
  <si>
    <t>Fri, 13 Oct 2023 00:00:00 GMT</t>
  </si>
  <si>
    <t>Thu, 12 Oct 2023 00:00:00 GMT</t>
  </si>
  <si>
    <t>Wed, 11 Oct 2023 00:00:00 GMT</t>
  </si>
  <si>
    <t>Tue, 10 Oct 2023 00:00:00 GMT</t>
  </si>
  <si>
    <t>Mon, 09 Oct 2023 00:00:00 GMT</t>
  </si>
  <si>
    <t>Fri, 06 Oct 2023 00:00:00 GMT</t>
  </si>
  <si>
    <t>Thu, 05 Oct 2023 00:00:00 GMT</t>
  </si>
  <si>
    <t>Wed, 04 Oct 2023 00:00:00 GMT</t>
  </si>
  <si>
    <t>Tue, 03 Oct 2023 00:00:00 GMT</t>
  </si>
  <si>
    <t>Mon, 02 Oct 2023 00:00:00 GMT</t>
  </si>
  <si>
    <t>Fri, 29 Sep 2023 00:00:00 GMT</t>
  </si>
  <si>
    <t>Thu, 28 Sep 2023 00:00:00 GMT</t>
  </si>
  <si>
    <t>Wed, 27 Sep 2023 00:00:00 GMT</t>
  </si>
  <si>
    <t>Tue, 26 Sep 2023 00:00:00 GMT</t>
  </si>
  <si>
    <t>Mon, 25 Sep 2023 00:00:00 GMT</t>
  </si>
  <si>
    <t>Fri, 22 Sep 2023 00:00:00 GMT</t>
  </si>
  <si>
    <t>Thu, 21 Sep 2023 00:00:00 GMT</t>
  </si>
  <si>
    <t>Wed, 20 Sep 2023 00:00:00 GMT</t>
  </si>
  <si>
    <t>Tue, 19 Sep 2023 00:00:00 GMT</t>
  </si>
  <si>
    <t>Mon, 18 Sep 2023 00:00:00 GMT</t>
  </si>
  <si>
    <t>Fri, 15 Sep 2023 00:00:00 GMT</t>
  </si>
  <si>
    <t>Thu, 14 Sep 2023 00:00:00 GMT</t>
  </si>
  <si>
    <t>Wed, 13 Sep 2023 00:00:00 GMT</t>
  </si>
  <si>
    <t>Tue, 12 Sep 2023 00:00:00 GMT</t>
  </si>
  <si>
    <t>Mon, 11 Sep 2023 00:00:00 GMT</t>
  </si>
  <si>
    <t>Fri, 08 Sep 2023 00:00:00 GMT</t>
  </si>
  <si>
    <t>Thu, 07 Sep 2023 00:00:00 GMT</t>
  </si>
  <si>
    <t>Wed, 06 Sep 2023 00:00:00 GMT</t>
  </si>
  <si>
    <t>Tue, 05 Sep 2023 00:00:00 GMT</t>
  </si>
  <si>
    <t>Fri, 01 Sep 2023 00:00:00 GMT</t>
  </si>
  <si>
    <t>Thu, 31 Aug 2023 00:00:00 GMT</t>
  </si>
  <si>
    <t>Wed, 30 Aug 2023 00:00:00 GMT</t>
  </si>
  <si>
    <t>Tue, 29 Aug 2023 00:00:00 GMT</t>
  </si>
  <si>
    <t>Mon, 28 Aug 2023 00:00:00 GMT</t>
  </si>
  <si>
    <t>Fri, 25 Aug 2023 00:00:00 GMT</t>
  </si>
  <si>
    <t>Thu, 24 Aug 2023 00:00:00 GMT</t>
  </si>
  <si>
    <t>Wed, 23 Aug 2023 00:00:00 GMT</t>
  </si>
  <si>
    <t>Tue, 22 Aug 2023 00:00:00 GMT</t>
  </si>
  <si>
    <t>Mon, 21 Aug 2023 00:00:00 GMT</t>
  </si>
  <si>
    <t>Fri, 18 Aug 2023 00:00:00 GMT</t>
  </si>
  <si>
    <t>Thu, 17 Aug 2023 00:00:00 GMT</t>
  </si>
  <si>
    <t>Wed, 16 Aug 2023 00:00:00 GMT</t>
  </si>
  <si>
    <t>Tue, 15 Aug 2023 00:00:00 GMT</t>
  </si>
  <si>
    <t>Mon, 14 Aug 2023 00:00:00 GMT</t>
  </si>
  <si>
    <t>Fri, 11 Aug 2023 00:00:00 GMT</t>
  </si>
  <si>
    <t>Thu, 10 Aug 2023 00:00:00 GMT</t>
  </si>
  <si>
    <t>Wed, 09 Aug 2023 00:00:00 GMT</t>
  </si>
  <si>
    <t>Tue, 08 Aug 2023 00:00:00 GMT</t>
  </si>
  <si>
    <t>Mon, 07 Aug 2023 00:00:00 GMT</t>
  </si>
  <si>
    <t>Fri, 04 Aug 2023 00:00:00 GMT</t>
  </si>
  <si>
    <t>Thu, 03 Aug 2023 00:00:00 GMT</t>
  </si>
  <si>
    <t>Wed, 02 Aug 2023 00:00:00 GMT</t>
  </si>
  <si>
    <t>Tue, 01 Aug 2023 00:00:00 GMT</t>
  </si>
  <si>
    <t>Mon, 31 Jul 2023 00:00:00 GMT</t>
  </si>
  <si>
    <t>Fri, 28 Jul 2023 00:00:00 GMT</t>
  </si>
  <si>
    <t>Thu, 27 Jul 2023 00:00:00 GMT</t>
  </si>
  <si>
    <t>Wed, 26 Jul 2023 00:00:00 GMT</t>
  </si>
  <si>
    <t>Tue, 25 Jul 2023 00:00:00 GMT</t>
  </si>
  <si>
    <t>Mon, 24 Jul 2023 00:00:00 GMT</t>
  </si>
  <si>
    <t>Fri, 21 Jul 2023 00:00:00 GMT</t>
  </si>
  <si>
    <t>Thu, 20 Jul 2023 00:00:00 GMT</t>
  </si>
  <si>
    <t>Wed, 19 Jul 2023 00:00:00 GMT</t>
  </si>
  <si>
    <t>Tue, 18 Jul 2023 00:00:00 GMT</t>
  </si>
  <si>
    <t>Mon, 17 Jul 2023 00:00:00 GMT</t>
  </si>
  <si>
    <t>Fri, 14 Jul 2023 00:00:00 GMT</t>
  </si>
  <si>
    <t>Thu, 13 Jul 2023 00:00:00 GMT</t>
  </si>
  <si>
    <t>Wed, 12 Jul 2023 00:00:00 GMT</t>
  </si>
  <si>
    <t>Tue, 11 Jul 2023 00:00:00 GMT</t>
  </si>
  <si>
    <t>Mon, 10 Jul 2023 00:00:00 GMT</t>
  </si>
  <si>
    <t>Fri, 07 Jul 2023 00:00:00 GMT</t>
  </si>
  <si>
    <t>Thu, 06 Jul 2023 00:00:00 GMT</t>
  </si>
  <si>
    <t>Wed, 05 Jul 2023 00:00:00 GMT</t>
  </si>
  <si>
    <t>Mon, 03 Jul 2023 00:00:00 GMT</t>
  </si>
  <si>
    <t>Fri, 30 Jun 2023 00:00:00 GMT</t>
  </si>
  <si>
    <t>Thu, 29 Jun 2023 00:00:00 GMT</t>
  </si>
  <si>
    <t>Wed, 28 Jun 2023 00:00:00 GMT</t>
  </si>
  <si>
    <t>Tue, 27 Jun 2023 00:00:00 GMT</t>
  </si>
  <si>
    <t>Mon, 26 Jun 2023 00:00:00 GMT</t>
  </si>
  <si>
    <t>Fri, 23 Jun 2023 00:00:00 GMT</t>
  </si>
  <si>
    <t>Thu, 22 Jun 2023 00:00:00 GMT</t>
  </si>
  <si>
    <t>Wed, 21 Jun 2023 00:00:00 GMT</t>
  </si>
  <si>
    <t>Tue, 20 Jun 2023 00:00:00 GMT</t>
  </si>
  <si>
    <t>Fri, 16 Jun 2023 00:00:00 GMT</t>
  </si>
  <si>
    <t>Thu, 15 Jun 2023 00:00:00 GMT</t>
  </si>
  <si>
    <t>Wed, 14 Jun 2023 00:00:00 GMT</t>
  </si>
  <si>
    <t>Tue, 13 Jun 2023 00:00:00 GMT</t>
  </si>
  <si>
    <t>Mon, 12 Jun 2023 00:00:00 GMT</t>
  </si>
  <si>
    <t>Fri, 09 Jun 2023 00:00:00 GMT</t>
  </si>
  <si>
    <t>Thu, 08 Jun 2023 00:00:00 GMT</t>
  </si>
  <si>
    <t>Wed, 07 Jun 2023 00:00:00 GMT</t>
  </si>
  <si>
    <t>Tue, 06 Jun 2023 00:00:00 GMT</t>
  </si>
  <si>
    <t>Mon, 05 Jun 2023 00:00:00 GMT</t>
  </si>
  <si>
    <t>Fri, 02 Jun 2023 00:00:00 GMT</t>
  </si>
  <si>
    <t>Thu, 01 Jun 2023 00:00:00 GMT</t>
  </si>
  <si>
    <t>Wed, 31 May 2023 00:00:00 GMT</t>
  </si>
  <si>
    <t>Tue, 30 May 2023 00:00:00 GMT</t>
  </si>
  <si>
    <t>Fri, 26 May 2023 00:00:00 GMT</t>
  </si>
  <si>
    <t>Thu, 25 May 2023 00:00:00 GMT</t>
  </si>
  <si>
    <t>Wed, 24 May 2023 00:00:00 GMT</t>
  </si>
  <si>
    <t>Tue, 23 May 2023 00:00:00 GMT</t>
  </si>
  <si>
    <t>Mon, 22 May 2023 00:00:00 GMT</t>
  </si>
  <si>
    <t>Fri, 19 May 2023 00:00:00 GMT</t>
  </si>
  <si>
    <t>Thu, 18 May 2023 00:00:00 GMT</t>
  </si>
  <si>
    <t>Wed, 17 May 2023 00:00:00 GMT</t>
  </si>
  <si>
    <t>Tue, 16 May 2023 00:00:00 GMT</t>
  </si>
  <si>
    <t>Mon, 15 May 2023 00:00:00 GMT</t>
  </si>
  <si>
    <t>Fri, 12 May 2023 00:00:00 GMT</t>
  </si>
  <si>
    <t>Thu, 11 May 2023 00:00:00 GMT</t>
  </si>
  <si>
    <t>Wed, 10 May 2023 00:00:00 GMT</t>
  </si>
  <si>
    <t>Tue, 09 May 2023 00:00:00 GMT</t>
  </si>
  <si>
    <t>Mon, 08 May 2023 00:00:00 GMT</t>
  </si>
  <si>
    <t>Fri, 05 May 2023 00:00:00 GMT</t>
  </si>
  <si>
    <t>Thu, 04 May 2023 00:00:00 GMT</t>
  </si>
  <si>
    <t>Wed, 03 May 2023 00:00:00 GMT</t>
  </si>
  <si>
    <t>Tue, 02 May 2023 00:00:00 GMT</t>
  </si>
  <si>
    <t>Mon, 01 May 2023 00:00:00 GMT</t>
  </si>
  <si>
    <t>Fri, 28 Apr 2023 00:00:00 GMT</t>
  </si>
  <si>
    <t>Thu, 27 Apr 2023 00:00:00 GMT</t>
  </si>
  <si>
    <t>Wed, 26 Apr 2023 00:00:00 GMT</t>
  </si>
  <si>
    <t>Tue, 25 Apr 2023 00:00:00 GMT</t>
  </si>
  <si>
    <t>Mon, 24 Apr 2023 00:00:00 GMT</t>
  </si>
  <si>
    <t>Fri, 21 Apr 2023 00:00:00 GMT</t>
  </si>
  <si>
    <t>Thu, 20 Apr 2023 00:00:00 GMT</t>
  </si>
  <si>
    <t>Wed, 19 Apr 2023 00:00:00 GMT</t>
  </si>
  <si>
    <t>Tue, 18 Apr 2023 00:00:00 GMT</t>
  </si>
  <si>
    <t>Mon, 17 Apr 2023 00:00:00 GMT</t>
  </si>
  <si>
    <t>Fri, 14 Apr 2023 00:00:00 GMT</t>
  </si>
  <si>
    <t>Thu, 13 Apr 2023 00:00:00 GMT</t>
  </si>
  <si>
    <t>Wed, 12 Apr 2023 00:00:00 GMT</t>
  </si>
  <si>
    <t>Tue, 11 Apr 2023 00:00:00 GMT</t>
  </si>
  <si>
    <t>Mon, 10 Apr 2023 00:00:00 GMT</t>
  </si>
  <si>
    <t>Thu, 06 Apr 2023 00:00:00 GMT</t>
  </si>
  <si>
    <t>Wed, 05 Apr 2023 00:00:00 GMT</t>
  </si>
  <si>
    <t>Tue, 04 Apr 2023 00:00:00 GMT</t>
  </si>
  <si>
    <t>Mon, 03 Apr 2023 00:00:00 GMT</t>
  </si>
  <si>
    <t>Fri, 31 Mar 2023 00:00:00 GMT</t>
  </si>
  <si>
    <t>Thu, 30 Mar 2023 00:00:00 GMT</t>
  </si>
  <si>
    <t>Wed, 29 Mar 2023 00:00:00 GMT</t>
  </si>
  <si>
    <t>Tue, 28 Mar 2023 00:00:00 GMT</t>
  </si>
  <si>
    <t>Mon, 27 Mar 2023 00:00:00 GMT</t>
  </si>
  <si>
    <t>Fri, 24 Mar 2023 00:00:00 GMT</t>
  </si>
  <si>
    <t>Thu, 23 Mar 2023 00:00:00 GMT</t>
  </si>
  <si>
    <t>Wed, 22 Mar 2023 00:00:00 GMT</t>
  </si>
  <si>
    <t>Tue, 21 Mar 2023 00:00:00 GMT</t>
  </si>
  <si>
    <t>Mon, 20 Mar 2023 00:00:00 GMT</t>
  </si>
  <si>
    <t>Fri, 17 Mar 2023 00:00:00 GMT</t>
  </si>
  <si>
    <t>Thu, 16 Mar 2023 00:00:00 GMT</t>
  </si>
  <si>
    <t>Wed, 15 Mar 2023 00:00:00 GMT</t>
  </si>
  <si>
    <t>Tue, 14 Mar 2023 00:00:00 GMT</t>
  </si>
  <si>
    <t>Mon, 13 Mar 2023 00:00:00 GMT</t>
  </si>
  <si>
    <t>Fri, 10 Mar 2023 00:00:00 GMT</t>
  </si>
  <si>
    <t>Thu, 09 Mar 2023 00:00:00 GMT</t>
  </si>
  <si>
    <t>Wed, 08 Mar 2023 00:00:00 GMT</t>
  </si>
  <si>
    <t>Tue, 07 Mar 2023 00:00:00 GMT</t>
  </si>
  <si>
    <t>Mon, 06 Mar 2023 00:00:00 GMT</t>
  </si>
  <si>
    <t>Fri, 03 Mar 2023 00:00:00 GMT</t>
  </si>
  <si>
    <t>Thu, 02 Mar 2023 00:00:00 GMT</t>
  </si>
  <si>
    <t>Wed, 01 Mar 2023 00:00:00 GMT</t>
  </si>
  <si>
    <t>Tue, 28 Feb 2023 00:00:00 GMT</t>
  </si>
  <si>
    <t>Mon, 27 Feb 2023 00:00:00 GMT</t>
  </si>
  <si>
    <t>Fri, 24 Feb 2023 00:00:00 GMT</t>
  </si>
  <si>
    <t>Thu, 23 Feb 2023 00:00:00 GMT</t>
  </si>
  <si>
    <t>Wed, 22 Feb 2023 00:00:00 GMT</t>
  </si>
  <si>
    <t>Tue, 21 Feb 2023 00:00:00 GMT</t>
  </si>
  <si>
    <t>Fri, 17 Feb 2023 00:00:00 GMT</t>
  </si>
  <si>
    <t>Thu, 16 Feb 2023 00:00:00 GMT</t>
  </si>
  <si>
    <t>Wed, 15 Feb 2023 00:00:00 GMT</t>
  </si>
  <si>
    <t>Tue, 14 Feb 2023 00:00:00 GMT</t>
  </si>
  <si>
    <t>Mon, 13 Feb 2023 00:00:00 GMT</t>
  </si>
  <si>
    <t>Fri, 10 Feb 2023 00:00:00 GMT</t>
  </si>
  <si>
    <t>Thu, 09 Feb 2023 00:00:00 GMT</t>
  </si>
  <si>
    <t>Wed, 08 Feb 2023 00:00:00 GMT</t>
  </si>
  <si>
    <t>Tue, 07 Feb 2023 00:00:00 GMT</t>
  </si>
  <si>
    <t>Mon, 06 Feb 2023 00:00:00 GMT</t>
  </si>
  <si>
    <t>Fri, 03 Feb 2023 00:00:00 GMT</t>
  </si>
  <si>
    <t>Thu, 02 Feb 2023 00:00:00 GMT</t>
  </si>
  <si>
    <t>Wed, 01 Feb 2023 00:00:00 GMT</t>
  </si>
  <si>
    <t>Tue, 31 Jan 2023 00:00:00 GMT</t>
  </si>
  <si>
    <t>Mon, 30 Jan 2023 00:00:00 GMT</t>
  </si>
  <si>
    <t>Fri, 27 Jan 2023 00:00:00 GMT</t>
  </si>
  <si>
    <t>Thu, 26 Jan 2023 00:00:00 GMT</t>
  </si>
  <si>
    <t>Wed, 25 Jan 2023 00:00:00 GMT</t>
  </si>
  <si>
    <t>Tue, 24 Jan 2023 00:00:00 GMT</t>
  </si>
  <si>
    <t>Mon, 23 Jan 2023 00:00:00 GMT</t>
  </si>
  <si>
    <t>Fri, 20 Jan 2023 00:00:00 GMT</t>
  </si>
  <si>
    <t>Thu, 19 Jan 2023 00:00:00 GMT</t>
  </si>
  <si>
    <t>Wed, 18 Jan 2023 00:00:00 GMT</t>
  </si>
  <si>
    <t>Tue, 17 Jan 2023 00:00:00 GMT</t>
  </si>
  <si>
    <t>Fri, 13 Jan 2023 00:00:00 GMT</t>
  </si>
  <si>
    <t>Thu, 12 Jan 2023 00:00:00 GMT</t>
  </si>
  <si>
    <t>Wed, 11 Jan 2023 00:00:00 GMT</t>
  </si>
  <si>
    <t>Tue, 10 Jan 2023 00:00:00 GMT</t>
  </si>
  <si>
    <t>Mon, 09 Jan 2023 00:00:00 GMT</t>
  </si>
  <si>
    <t>Fri, 06 Jan 2023 00:00:00 GMT</t>
  </si>
  <si>
    <t>Thu, 05 Jan 2023 00:00:00 GMT</t>
  </si>
  <si>
    <t>Wed, 04 Jan 2023 00:00:00 GMT</t>
  </si>
  <si>
    <t>Tue, 03 Jan 2023 00:00:00 GMT</t>
  </si>
  <si>
    <t>Fri, 30 Dec 2022 00:00:00 GMT</t>
  </si>
  <si>
    <t>Thu, 29 Dec 2022 00:00:00 GMT</t>
  </si>
  <si>
    <t>Wed, 28 Dec 2022 00:00:00 GMT</t>
  </si>
  <si>
    <t>Tue, 27 Dec 2022 00:00:00 GMT</t>
  </si>
  <si>
    <t>Fri, 23 Dec 2022 00:00:00 GMT</t>
  </si>
  <si>
    <t>Thu, 22 Dec 2022 00:00:00 GMT</t>
  </si>
  <si>
    <t>Wed, 21 Dec 2022 00:00:00 GMT</t>
  </si>
  <si>
    <t>Tue, 20 Dec 2022 00:00:00 GMT</t>
  </si>
  <si>
    <t>Mon, 19 Dec 2022 00:00:00 GMT</t>
  </si>
  <si>
    <t>Fri, 16 Dec 2022 00:00:00 GMT</t>
  </si>
  <si>
    <t>Thu, 15 Dec 2022 00:00:00 GMT</t>
  </si>
  <si>
    <t>Wed, 14 Dec 2022 00:00:00 GMT</t>
  </si>
  <si>
    <t>Tue, 13 Dec 2022 00:00:00 GMT</t>
  </si>
  <si>
    <t>Mon, 12 Dec 2022 00:00:00 GMT</t>
  </si>
  <si>
    <t>Fri, 09 Dec 2022 00:00:00 GMT</t>
  </si>
  <si>
    <t>Thu, 08 Dec 2022 00:00:00 GMT</t>
  </si>
  <si>
    <t>Wed, 07 Dec 2022 00:00:00 GMT</t>
  </si>
  <si>
    <t>Tue, 06 Dec 2022 00:00:00 GMT</t>
  </si>
  <si>
    <t>753 Trading Days (From: 2/19/2022 - 2/19/2026)</t>
  </si>
  <si>
    <t>NFLX Historical Returns</t>
  </si>
  <si>
    <t>More</t>
  </si>
  <si>
    <t>U.S. / Canada Revenues</t>
  </si>
  <si>
    <t>Euro, Mid-East, Africa Revenues</t>
  </si>
  <si>
    <t>LatAm Revenues</t>
  </si>
  <si>
    <t>APac Revenue Growth Y/y</t>
  </si>
  <si>
    <t>U.S. / Canada Revenues Revenue Growth Y/y</t>
  </si>
  <si>
    <t>Euro, Mid-East, Africa Revenue Growth Y/y</t>
  </si>
  <si>
    <t>LatAm Revenue Growth Y/y</t>
  </si>
  <si>
    <t>APac Revenues</t>
  </si>
  <si>
    <t>U.S. / Canada % of Ttl Revenues</t>
  </si>
  <si>
    <t>Euro, Mid-East, Africa % of Ttl Revenues</t>
  </si>
  <si>
    <t>APac % of Ttl Revenues</t>
  </si>
  <si>
    <t>LatAm % of Ttl Revenues</t>
  </si>
  <si>
    <t>General Notes/Observations (Updated Q1'26)</t>
  </si>
  <si>
    <t>Financial Stmts. Notes/Observations (Updated Q1'26)</t>
  </si>
  <si>
    <t>Institutional Ownership Snapshot Q4'25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</si>
</sst>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0.0%"/>
    <numFmt numFmtId="166" formatCode="_(* #,##0.0_);_(* \(#,##0.0\);_(* &quot;-&quot;??_);_(@_)"/>
    <numFmt numFmtId="167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e"/>
    </font>
    <font>
      <b/>
      <sz val="11"/>
      <color theme="1"/>
      <name val="Calibre"/>
    </font>
    <font>
      <b/>
      <sz val="11"/>
      <color theme="0"/>
      <name val="Calibre"/>
    </font>
    <font>
      <sz val="11"/>
      <color theme="0"/>
      <name val="Calibre"/>
    </font>
    <font>
      <b/>
      <sz val="10"/>
      <name val="Arial"/>
      <family val="2"/>
    </font>
    <font>
      <i/>
      <sz val="11"/>
      <color theme="1"/>
      <name val="Calibre"/>
    </font>
    <font>
      <b/>
      <sz val="10"/>
      <name val="Calibre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e"/>
    </font>
    <font>
      <b/>
      <sz val="11"/>
      <color rgb="FF0070C0"/>
      <name val="Calibre"/>
    </font>
    <font>
      <sz val="11"/>
      <color rgb="FF0070C0"/>
      <name val="Calibre"/>
    </font>
    <font>
      <sz val="11"/>
      <name val="Calibre"/>
    </font>
    <font>
      <u/>
      <sz val="11"/>
      <color theme="10"/>
      <name val="Calibri"/>
      <family val="2"/>
      <scheme val="minor"/>
    </font>
    <font>
      <u/>
      <sz val="11"/>
      <color rgb="FF00B0F0"/>
      <name val="Calibre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5F5F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0" fontId="2" fillId="4" borderId="6" xfId="0" applyNumberFormat="1" applyFont="1" applyFill="1" applyBorder="1"/>
    <xf numFmtId="10" fontId="2" fillId="4" borderId="7" xfId="0" applyNumberFormat="1" applyFont="1" applyFill="1" applyBorder="1"/>
    <xf numFmtId="0" fontId="4" fillId="3" borderId="8" xfId="0" applyFont="1" applyFill="1" applyBorder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9" xfId="0" applyFont="1" applyFill="1" applyBorder="1" applyAlignment="1">
      <alignment horizontal="center"/>
    </xf>
    <xf numFmtId="10" fontId="2" fillId="0" borderId="10" xfId="0" applyNumberFormat="1" applyFont="1" applyBorder="1"/>
    <xf numFmtId="10" fontId="2" fillId="0" borderId="11" xfId="0" applyNumberFormat="1" applyFont="1" applyBorder="1"/>
    <xf numFmtId="10" fontId="2" fillId="4" borderId="10" xfId="0" applyNumberFormat="1" applyFont="1" applyFill="1" applyBorder="1"/>
    <xf numFmtId="10" fontId="2" fillId="4" borderId="11" xfId="0" applyNumberFormat="1" applyFont="1" applyFill="1" applyBorder="1"/>
    <xf numFmtId="0" fontId="4" fillId="3" borderId="12" xfId="0" applyFont="1" applyFill="1" applyBorder="1" applyAlignment="1">
      <alignment horizontal="left"/>
    </xf>
    <xf numFmtId="0" fontId="5" fillId="3" borderId="13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10" fontId="2" fillId="0" borderId="15" xfId="0" applyNumberFormat="1" applyFont="1" applyBorder="1"/>
    <xf numFmtId="10" fontId="2" fillId="0" borderId="16" xfId="0" applyNumberFormat="1" applyFont="1" applyBorder="1"/>
    <xf numFmtId="0" fontId="6" fillId="5" borderId="0" xfId="0" applyFont="1" applyFill="1" applyAlignment="1">
      <alignment horizontal="center" vertical="center"/>
    </xf>
    <xf numFmtId="10" fontId="2" fillId="0" borderId="0" xfId="0" applyNumberFormat="1" applyFont="1"/>
    <xf numFmtId="0" fontId="8" fillId="5" borderId="0" xfId="0" applyFont="1" applyFill="1" applyAlignment="1">
      <alignment horizontal="center" vertical="center"/>
    </xf>
    <xf numFmtId="10" fontId="8" fillId="5" borderId="0" xfId="0" applyNumberFormat="1" applyFont="1" applyFill="1" applyAlignment="1">
      <alignment horizontal="center" vertical="center"/>
    </xf>
    <xf numFmtId="0" fontId="8" fillId="5" borderId="0" xfId="0" applyFont="1" applyFill="1" applyAlignment="1">
      <alignment horizontal="right" vertical="center"/>
    </xf>
    <xf numFmtId="0" fontId="2" fillId="0" borderId="0" xfId="0" applyFont="1" applyAlignment="1">
      <alignment horizontal="right"/>
    </xf>
    <xf numFmtId="3" fontId="2" fillId="0" borderId="0" xfId="0" applyNumberFormat="1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7" xfId="0" applyFont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2" fontId="2" fillId="0" borderId="0" xfId="1" quotePrefix="1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1" applyNumberFormat="1" applyFont="1"/>
    <xf numFmtId="49" fontId="2" fillId="0" borderId="0" xfId="0" applyNumberFormat="1" applyFont="1"/>
    <xf numFmtId="0" fontId="16" fillId="0" borderId="0" xfId="2" applyFont="1"/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10" fontId="13" fillId="0" borderId="0" xfId="0" applyNumberFormat="1" applyFont="1" applyAlignment="1">
      <alignment vertical="top"/>
    </xf>
    <xf numFmtId="1" fontId="13" fillId="0" borderId="0" xfId="0" applyNumberFormat="1" applyFont="1" applyAlignment="1">
      <alignment vertical="top"/>
    </xf>
    <xf numFmtId="164" fontId="13" fillId="0" borderId="0" xfId="0" applyNumberFormat="1" applyFont="1" applyAlignment="1">
      <alignment vertical="top"/>
    </xf>
    <xf numFmtId="165" fontId="13" fillId="0" borderId="0" xfId="1" applyNumberFormat="1" applyFont="1" applyAlignment="1">
      <alignment vertical="top"/>
    </xf>
    <xf numFmtId="0" fontId="12" fillId="0" borderId="0" xfId="0" applyFont="1" applyAlignment="1">
      <alignment vertical="top"/>
    </xf>
    <xf numFmtId="2" fontId="13" fillId="0" borderId="0" xfId="0" applyNumberFormat="1" applyFont="1" applyAlignment="1">
      <alignment vertical="top"/>
    </xf>
    <xf numFmtId="49" fontId="13" fillId="0" borderId="0" xfId="0" applyNumberFormat="1" applyFont="1" applyAlignment="1">
      <alignment horizontal="right" vertical="top"/>
    </xf>
    <xf numFmtId="10" fontId="2" fillId="0" borderId="0" xfId="1" applyNumberFormat="1" applyFont="1"/>
    <xf numFmtId="2" fontId="8" fillId="5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top" inden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indent="1"/>
    </xf>
    <xf numFmtId="10" fontId="13" fillId="0" borderId="0" xfId="1" applyNumberFormat="1" applyFont="1"/>
    <xf numFmtId="0" fontId="12" fillId="0" borderId="0" xfId="0" applyFont="1" applyAlignment="1">
      <alignment horizontal="left" indent="1"/>
    </xf>
    <xf numFmtId="10" fontId="12" fillId="0" borderId="0" xfId="1" applyNumberFormat="1" applyFont="1"/>
    <xf numFmtId="14" fontId="13" fillId="0" borderId="0" xfId="0" applyNumberFormat="1" applyFont="1" applyAlignment="1">
      <alignment horizontal="right" vertical="top"/>
    </xf>
    <xf numFmtId="0" fontId="13" fillId="0" borderId="0" xfId="0" applyFont="1" applyAlignment="1">
      <alignment horizontal="left" vertical="top" indent="1"/>
    </xf>
    <xf numFmtId="1" fontId="13" fillId="0" borderId="0" xfId="0" applyNumberFormat="1" applyFont="1"/>
    <xf numFmtId="2" fontId="13" fillId="0" borderId="0" xfId="0" applyNumberFormat="1" applyFont="1"/>
    <xf numFmtId="9" fontId="13" fillId="0" borderId="0" xfId="1" applyFont="1"/>
    <xf numFmtId="10" fontId="13" fillId="0" borderId="0" xfId="1" applyNumberFormat="1" applyFont="1" applyAlignment="1">
      <alignment horizontal="left" indent="1"/>
    </xf>
    <xf numFmtId="10" fontId="13" fillId="0" borderId="0" xfId="1" applyNumberFormat="1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left" indent="1"/>
    </xf>
    <xf numFmtId="10" fontId="13" fillId="0" borderId="0" xfId="0" applyNumberFormat="1" applyFont="1"/>
    <xf numFmtId="2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67" fontId="2" fillId="0" borderId="0" xfId="3" applyNumberFormat="1" applyFont="1" applyAlignment="1">
      <alignment horizontal="left"/>
    </xf>
    <xf numFmtId="166" fontId="2" fillId="0" borderId="0" xfId="3" applyNumberFormat="1" applyFont="1" applyAlignment="1">
      <alignment horizontal="left"/>
    </xf>
    <xf numFmtId="43" fontId="2" fillId="0" borderId="0" xfId="3" applyFont="1" applyAlignment="1">
      <alignment horizontal="left"/>
    </xf>
    <xf numFmtId="1" fontId="3" fillId="0" borderId="0" xfId="0" applyNumberFormat="1" applyFont="1"/>
    <xf numFmtId="0" fontId="6" fillId="0" borderId="0" xfId="0" applyFont="1"/>
    <xf numFmtId="0" fontId="17" fillId="0" borderId="0" xfId="0" applyFont="1"/>
    <xf numFmtId="1" fontId="2" fillId="0" borderId="0" xfId="0" applyNumberFormat="1" applyFont="1"/>
    <xf numFmtId="165" fontId="2" fillId="0" borderId="0" xfId="1" applyNumberFormat="1" applyFont="1"/>
    <xf numFmtId="165" fontId="13" fillId="0" borderId="0" xfId="1" applyNumberFormat="1" applyFont="1"/>
    <xf numFmtId="0" fontId="13" fillId="0" borderId="0" xfId="0" applyFont="1" applyAlignment="1">
      <alignment horizontal="right" vertical="center"/>
    </xf>
    <xf numFmtId="10" fontId="0" fillId="0" borderId="0" xfId="0" applyNumberFormat="1"/>
    <xf numFmtId="0" fontId="0" fillId="0" borderId="18" xfId="0" applyBorder="1"/>
    <xf numFmtId="0" fontId="9" fillId="0" borderId="17" xfId="0" applyFont="1" applyBorder="1" applyAlignment="1">
      <alignment horizontal="center"/>
    </xf>
    <xf numFmtId="165" fontId="3" fillId="0" borderId="0" xfId="1" applyNumberFormat="1" applyFont="1"/>
    <xf numFmtId="165" fontId="12" fillId="0" borderId="0" xfId="1" applyNumberFormat="1" applyFont="1"/>
    <xf numFmtId="1" fontId="12" fillId="0" borderId="0" xfId="0" applyNumberFormat="1" applyFont="1"/>
    <xf numFmtId="0" fontId="13" fillId="0" borderId="0" xfId="0" applyFont="1" applyAlignment="1">
      <alignment horizontal="center"/>
    </xf>
  </cellXfs>
  <cellStyles count="4">
    <cellStyle name="Comma" xfId="3" builtinId="3"/>
    <cellStyle name="Hyperlink" xfId="2" builtinId="8"/>
    <cellStyle name="Normal" xfId="0" builtinId="0"/>
    <cellStyle name="Percent" xfId="1" builtinId="5"/>
  </cellStyles>
  <dxfs count="5">
    <dxf>
      <font>
        <b/>
        <i val="0"/>
        <color theme="0"/>
      </font>
      <fill>
        <patternFill>
          <bgColor rgb="FF5A8C38"/>
        </patternFill>
      </fill>
    </dxf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39994506668294322"/>
        </patternFill>
      </fill>
    </dxf>
    <dxf>
      <font>
        <b/>
        <i val="0"/>
        <color theme="0"/>
      </font>
      <fill>
        <patternFill>
          <bgColor rgb="FFFF6D6D"/>
        </patternFill>
      </fill>
    </dxf>
    <dxf>
      <font>
        <b/>
        <i val="0"/>
        <color theme="0"/>
      </font>
      <fill>
        <patternFill>
          <bgColor rgb="FFF2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(NFLX) Revenue by Segment (in $ millions)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109587501048507E-2"/>
          <c:y val="0.16630261573867286"/>
          <c:w val="0.91646860416323306"/>
          <c:h val="0.749179034954504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Model!$B$4</c:f>
              <c:strCache>
                <c:ptCount val="1"/>
                <c:pt idx="0">
                  <c:v>U.S. / Canada Revenues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Model!$BK$1:$BR$1</c:f>
              <c:strCache>
                <c:ptCount val="5"/>
                <c:pt idx="0">
                  <c:v>Q1 2024</c:v>
                </c:pt>
                <c:pt idx="4">
                  <c:v>Q1 2025</c:v>
                </c:pt>
              </c:strCache>
            </c:strRef>
          </c:cat>
          <c:val>
            <c:numRef>
              <c:f>Model!$BK$4:$BR$4</c:f>
              <c:numCache>
                <c:formatCode>0</c:formatCode>
                <c:ptCount val="8"/>
                <c:pt idx="0">
                  <c:v>4224.3100000000004</c:v>
                </c:pt>
                <c:pt idx="1">
                  <c:v>4295.5600000000004</c:v>
                </c:pt>
                <c:pt idx="2">
                  <c:v>4322.47</c:v>
                </c:pt>
                <c:pt idx="3">
                  <c:v>4517.0200000000004</c:v>
                </c:pt>
                <c:pt idx="4">
                  <c:v>4617.09</c:v>
                </c:pt>
                <c:pt idx="5">
                  <c:v>4929.0029999999997</c:v>
                </c:pt>
                <c:pt idx="6">
                  <c:v>5071.78</c:v>
                </c:pt>
                <c:pt idx="7">
                  <c:v>5339.2770000000019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3E-43B3-B662-D76C6E829219}"/>
            </c:ext>
          </c:extLst>
        </c:ser>
        <c:ser>
          <c:idx val="1"/>
          <c:order val="1"/>
          <c:tx>
            <c:strRef>
              <c:f>Model!$B$5</c:f>
              <c:strCache>
                <c:ptCount val="1"/>
                <c:pt idx="0">
                  <c:v>Euro, Mid-East, Africa Revenues</c:v>
                </c:pt>
              </c:strCache>
            </c:strRef>
          </c:tx>
          <c:spPr>
            <a:solidFill>
              <a:srgbClr val="5881CC"/>
            </a:solidFill>
            <a:ln>
              <a:noFill/>
            </a:ln>
            <a:effectLst/>
          </c:spPr>
          <c:invertIfNegative val="0"/>
          <c:cat>
            <c:strRef>
              <c:f>Model!$BK$1:$BR$1</c:f>
              <c:strCache>
                <c:ptCount val="5"/>
                <c:pt idx="0">
                  <c:v>Q1 2024</c:v>
                </c:pt>
                <c:pt idx="4">
                  <c:v>Q1 2025</c:v>
                </c:pt>
              </c:strCache>
            </c:strRef>
          </c:cat>
          <c:val>
            <c:numRef>
              <c:f>Model!$BK$5:$BR$5</c:f>
              <c:numCache>
                <c:formatCode>0</c:formatCode>
                <c:ptCount val="8"/>
                <c:pt idx="0">
                  <c:v>2958.19</c:v>
                </c:pt>
                <c:pt idx="1">
                  <c:v>3007</c:v>
                </c:pt>
                <c:pt idx="2">
                  <c:v>3133.46</c:v>
                </c:pt>
                <c:pt idx="3">
                  <c:v>3288.3799999999992</c:v>
                </c:pt>
                <c:pt idx="4">
                  <c:v>3404.67</c:v>
                </c:pt>
                <c:pt idx="5">
                  <c:v>3538.17</c:v>
                </c:pt>
                <c:pt idx="6">
                  <c:v>3699.05</c:v>
                </c:pt>
                <c:pt idx="7">
                  <c:v>3872.7560000000012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3E-43B3-B662-D76C6E829219}"/>
            </c:ext>
          </c:extLst>
        </c:ser>
        <c:ser>
          <c:idx val="2"/>
          <c:order val="2"/>
          <c:tx>
            <c:strRef>
              <c:f>Model!$B$6</c:f>
              <c:strCache>
                <c:ptCount val="1"/>
                <c:pt idx="0">
                  <c:v>LatAm Revenues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Model!$BK$1:$BR$1</c:f>
              <c:strCache>
                <c:ptCount val="5"/>
                <c:pt idx="0">
                  <c:v>Q1 2024</c:v>
                </c:pt>
                <c:pt idx="4">
                  <c:v>Q1 2025</c:v>
                </c:pt>
              </c:strCache>
            </c:strRef>
          </c:cat>
          <c:val>
            <c:numRef>
              <c:f>Model!$BK$6:$BR$6</c:f>
              <c:numCache>
                <c:formatCode>0</c:formatCode>
                <c:ptCount val="8"/>
                <c:pt idx="0">
                  <c:v>1165</c:v>
                </c:pt>
                <c:pt idx="1">
                  <c:v>1204.1400000000001</c:v>
                </c:pt>
                <c:pt idx="2">
                  <c:v>1240.8900000000001</c:v>
                </c:pt>
                <c:pt idx="3">
                  <c:v>1229.7799999999997</c:v>
                </c:pt>
                <c:pt idx="4">
                  <c:v>1261.93</c:v>
                </c:pt>
                <c:pt idx="5">
                  <c:v>1306.73</c:v>
                </c:pt>
                <c:pt idx="6">
                  <c:v>1370.91</c:v>
                </c:pt>
                <c:pt idx="7">
                  <c:v>1417.9500000000007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3E-43B3-B662-D76C6E829219}"/>
            </c:ext>
          </c:extLst>
        </c:ser>
        <c:ser>
          <c:idx val="3"/>
          <c:order val="3"/>
          <c:tx>
            <c:strRef>
              <c:f>Model!$B$7</c:f>
              <c:strCache>
                <c:ptCount val="1"/>
                <c:pt idx="0">
                  <c:v>APac Revenues</c:v>
                </c:pt>
              </c:strCache>
            </c:strRef>
          </c:tx>
          <c:spPr>
            <a:solidFill>
              <a:srgbClr val="CF73AA"/>
            </a:solidFill>
            <a:ln>
              <a:noFill/>
            </a:ln>
            <a:effectLst/>
          </c:spPr>
          <c:invertIfNegative val="0"/>
          <c:cat>
            <c:strRef>
              <c:f>Model!$BK$1:$BR$1</c:f>
              <c:strCache>
                <c:ptCount val="5"/>
                <c:pt idx="0">
                  <c:v>Q1 2024</c:v>
                </c:pt>
                <c:pt idx="4">
                  <c:v>Q1 2025</c:v>
                </c:pt>
              </c:strCache>
            </c:strRef>
          </c:cat>
          <c:val>
            <c:numRef>
              <c:f>Model!$BK$7:$BR$7</c:f>
              <c:numCache>
                <c:formatCode>0</c:formatCode>
                <c:ptCount val="8"/>
                <c:pt idx="0">
                  <c:v>1022.92</c:v>
                </c:pt>
                <c:pt idx="1">
                  <c:v>1051.8330000000001</c:v>
                </c:pt>
                <c:pt idx="2">
                  <c:v>1127.8599999999999</c:v>
                </c:pt>
                <c:pt idx="3">
                  <c:v>1212.1269999999995</c:v>
                </c:pt>
                <c:pt idx="4">
                  <c:v>1259.0899999999999</c:v>
                </c:pt>
                <c:pt idx="5">
                  <c:v>1305.25</c:v>
                </c:pt>
                <c:pt idx="6">
                  <c:v>1368.56</c:v>
                </c:pt>
                <c:pt idx="7">
                  <c:v>1420.8169999999996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3E-43B3-B662-D76C6E829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overlap val="100"/>
        <c:axId val="826587039"/>
        <c:axId val="826586079"/>
      </c:barChart>
      <c:catAx>
        <c:axId val="826587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6079"/>
        <c:crossesAt val="-10000"/>
        <c:auto val="1"/>
        <c:lblAlgn val="ctr"/>
        <c:lblOffset val="100"/>
        <c:noMultiLvlLbl val="0"/>
      </c:catAx>
      <c:valAx>
        <c:axId val="826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6587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500001367016772"/>
          <c:y val="5.2058346839546202E-2"/>
          <c:w val="0.79166664388305374"/>
          <c:h val="0.107383538159836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(NFLX) Quarterly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Model!$AU$33:$BR$33</c:f>
              <c:numCache>
                <c:formatCode>0</c:formatCode>
                <c:ptCount val="24"/>
                <c:pt idx="0">
                  <c:v>709.1</c:v>
                </c:pt>
                <c:pt idx="1">
                  <c:v>720.20000000000039</c:v>
                </c:pt>
                <c:pt idx="2">
                  <c:v>789.9000000000002</c:v>
                </c:pt>
                <c:pt idx="3">
                  <c:v>542.0999999999998</c:v>
                </c:pt>
                <c:pt idx="4">
                  <c:v>1706.7</c:v>
                </c:pt>
                <c:pt idx="5">
                  <c:v>1353.1000000000004</c:v>
                </c:pt>
                <c:pt idx="6">
                  <c:v>1449.0999999999997</c:v>
                </c:pt>
                <c:pt idx="7">
                  <c:v>607.39999999999986</c:v>
                </c:pt>
                <c:pt idx="8">
                  <c:v>1597.6000000000001</c:v>
                </c:pt>
                <c:pt idx="9">
                  <c:v>1440.9000000000003</c:v>
                </c:pt>
                <c:pt idx="10">
                  <c:v>1398.2000000000005</c:v>
                </c:pt>
                <c:pt idx="11">
                  <c:v>55.200000000000522</c:v>
                </c:pt>
                <c:pt idx="12">
                  <c:v>1305.0999999999997</c:v>
                </c:pt>
                <c:pt idx="13">
                  <c:v>1487.6000000000001</c:v>
                </c:pt>
                <c:pt idx="14">
                  <c:v>1677.5000000000009</c:v>
                </c:pt>
                <c:pt idx="15">
                  <c:v>937.79999999999927</c:v>
                </c:pt>
                <c:pt idx="16">
                  <c:v>2332.099999999999</c:v>
                </c:pt>
                <c:pt idx="17">
                  <c:v>2147.2999999999988</c:v>
                </c:pt>
                <c:pt idx="18">
                  <c:v>2363.6000000000013</c:v>
                </c:pt>
                <c:pt idx="19">
                  <c:v>1868.5000000000002</c:v>
                </c:pt>
                <c:pt idx="20">
                  <c:v>2890.2999999999988</c:v>
                </c:pt>
                <c:pt idx="21">
                  <c:v>3125.4000000000005</c:v>
                </c:pt>
                <c:pt idx="22">
                  <c:v>2546.9999999999991</c:v>
                </c:pt>
                <c:pt idx="23">
                  <c:v>2418.599999999999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46-4EF6-8D0F-B65629DF816B}"/>
            </c:ext>
          </c:extLst>
        </c:ser>
        <c:ser>
          <c:idx val="2"/>
          <c:order val="2"/>
          <c:tx>
            <c:v>FCF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Model!$AU$74:$BR$74</c:f>
              <c:numCache>
                <c:formatCode>0</c:formatCode>
                <c:ptCount val="24"/>
                <c:pt idx="0">
                  <c:v>161.89999999999998</c:v>
                </c:pt>
                <c:pt idx="1">
                  <c:v>899.39999999999986</c:v>
                </c:pt>
                <c:pt idx="2">
                  <c:v>1154</c:v>
                </c:pt>
                <c:pt idx="3">
                  <c:v>-286.10000000000002</c:v>
                </c:pt>
                <c:pt idx="4">
                  <c:v>696.3</c:v>
                </c:pt>
                <c:pt idx="5">
                  <c:v>-174.1</c:v>
                </c:pt>
                <c:pt idx="6">
                  <c:v>-84.9</c:v>
                </c:pt>
                <c:pt idx="7">
                  <c:v>-569.29999999999995</c:v>
                </c:pt>
                <c:pt idx="8">
                  <c:v>801.59999999999991</c:v>
                </c:pt>
                <c:pt idx="9">
                  <c:v>12.799999999999997</c:v>
                </c:pt>
                <c:pt idx="10">
                  <c:v>471.79999999999995</c:v>
                </c:pt>
                <c:pt idx="11">
                  <c:v>332.29999999999995</c:v>
                </c:pt>
                <c:pt idx="12">
                  <c:v>2116.6999999999998</c:v>
                </c:pt>
                <c:pt idx="13">
                  <c:v>1339.2</c:v>
                </c:pt>
                <c:pt idx="14">
                  <c:v>1888.3999999999999</c:v>
                </c:pt>
                <c:pt idx="15">
                  <c:v>1581.4</c:v>
                </c:pt>
                <c:pt idx="16">
                  <c:v>2136.8000000000002</c:v>
                </c:pt>
                <c:pt idx="17">
                  <c:v>1212.5</c:v>
                </c:pt>
                <c:pt idx="18">
                  <c:v>2194.1999999999998</c:v>
                </c:pt>
                <c:pt idx="19">
                  <c:v>1378.2</c:v>
                </c:pt>
                <c:pt idx="20">
                  <c:v>2660.8999999999996</c:v>
                </c:pt>
                <c:pt idx="21">
                  <c:v>2267.4</c:v>
                </c:pt>
                <c:pt idx="22">
                  <c:v>2660.5</c:v>
                </c:pt>
                <c:pt idx="23">
                  <c:v>1872.3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strRef>
              <c:f>Model!$B$21</c:f>
              <c:strCache>
                <c:ptCount val="1"/>
                <c:pt idx="0">
                  <c:v>Revenues</c:v>
                </c:pt>
              </c:strCache>
            </c:strRef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strRef>
              <c:f>Model!$AU$1:$BR$1</c:f>
              <c:strCache>
                <c:ptCount val="21"/>
                <c:pt idx="0">
                  <c:v>Q1 2020</c:v>
                </c:pt>
                <c:pt idx="4">
                  <c:v>Q1 2021</c:v>
                </c:pt>
                <c:pt idx="8">
                  <c:v>Q1 2022</c:v>
                </c:pt>
                <c:pt idx="12">
                  <c:v>Q1 2023</c:v>
                </c:pt>
                <c:pt idx="16">
                  <c:v>Q1 2024</c:v>
                </c:pt>
                <c:pt idx="20">
                  <c:v>Q1 2025</c:v>
                </c:pt>
              </c:strCache>
            </c:strRef>
          </c:cat>
          <c:val>
            <c:numRef>
              <c:f>Model!$AU$21:$BR$21</c:f>
              <c:numCache>
                <c:formatCode>0</c:formatCode>
                <c:ptCount val="24"/>
                <c:pt idx="0">
                  <c:v>5767.7</c:v>
                </c:pt>
                <c:pt idx="1">
                  <c:v>6148.3</c:v>
                </c:pt>
                <c:pt idx="2">
                  <c:v>6435.6</c:v>
                </c:pt>
                <c:pt idx="3">
                  <c:v>6644.4</c:v>
                </c:pt>
                <c:pt idx="4">
                  <c:v>7163.3</c:v>
                </c:pt>
                <c:pt idx="5">
                  <c:v>7341.8</c:v>
                </c:pt>
                <c:pt idx="6">
                  <c:v>7483.5</c:v>
                </c:pt>
                <c:pt idx="7">
                  <c:v>7709.3</c:v>
                </c:pt>
                <c:pt idx="8">
                  <c:v>7867.8</c:v>
                </c:pt>
                <c:pt idx="9">
                  <c:v>7970.1</c:v>
                </c:pt>
                <c:pt idx="10">
                  <c:v>7925.6</c:v>
                </c:pt>
                <c:pt idx="11">
                  <c:v>7852.1</c:v>
                </c:pt>
                <c:pt idx="12">
                  <c:v>8161.5</c:v>
                </c:pt>
                <c:pt idx="13">
                  <c:v>8187.3</c:v>
                </c:pt>
                <c:pt idx="14">
                  <c:v>8541.7000000000007</c:v>
                </c:pt>
                <c:pt idx="15">
                  <c:v>8832.7999999999993</c:v>
                </c:pt>
                <c:pt idx="16">
                  <c:v>9370.4</c:v>
                </c:pt>
                <c:pt idx="17">
                  <c:v>9559.2999999999993</c:v>
                </c:pt>
                <c:pt idx="18">
                  <c:v>9824.7000000000007</c:v>
                </c:pt>
                <c:pt idx="19">
                  <c:v>10246.5</c:v>
                </c:pt>
                <c:pt idx="20">
                  <c:v>10542.8</c:v>
                </c:pt>
                <c:pt idx="21">
                  <c:v>11079.2</c:v>
                </c:pt>
                <c:pt idx="22">
                  <c:v>11510.3</c:v>
                </c:pt>
                <c:pt idx="23">
                  <c:v>12050.8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46-4EF6-8D0F-B65629DF8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e"/>
              </a:rPr>
              <a:t>(NFLX) Annual Ttl Revenues, Net Income, Free Cash Flows (in $ millions)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98377690229573E-2"/>
          <c:y val="0.11478174751218337"/>
          <c:w val="0.88242614721237911"/>
          <c:h val="0.75563693032380408"/>
        </c:manualLayout>
      </c:layout>
      <c:barChart>
        <c:barDir val="col"/>
        <c:grouping val="clustered"/>
        <c:varyColors val="0"/>
        <c:ser>
          <c:idx val="1"/>
          <c:order val="1"/>
          <c:tx>
            <c:v>Income</c:v>
          </c:tx>
          <c:spPr>
            <a:solidFill>
              <a:srgbClr val="FFC00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Model!$CA$33:$CQ$33</c:f>
              <c:numCache>
                <c:formatCode>0</c:formatCode>
                <c:ptCount val="17"/>
                <c:pt idx="0">
                  <c:v>160.79999999999998</c:v>
                </c:pt>
                <c:pt idx="1">
                  <c:v>226.10000000000019</c:v>
                </c:pt>
                <c:pt idx="2">
                  <c:v>226.09999999999997</c:v>
                </c:pt>
                <c:pt idx="3">
                  <c:v>17.200000000000053</c:v>
                </c:pt>
                <c:pt idx="4">
                  <c:v>112.20000000000007</c:v>
                </c:pt>
                <c:pt idx="5">
                  <c:v>266.80000000000018</c:v>
                </c:pt>
                <c:pt idx="6">
                  <c:v>122.39999999999975</c:v>
                </c:pt>
                <c:pt idx="7">
                  <c:v>186.79999999999978</c:v>
                </c:pt>
                <c:pt idx="8">
                  <c:v>558.90000000000055</c:v>
                </c:pt>
                <c:pt idx="9">
                  <c:v>1211.1000000000004</c:v>
                </c:pt>
                <c:pt idx="10">
                  <c:v>1866.8999999999999</c:v>
                </c:pt>
                <c:pt idx="11">
                  <c:v>2761.3000000000006</c:v>
                </c:pt>
                <c:pt idx="12">
                  <c:v>5116.2999999999993</c:v>
                </c:pt>
                <c:pt idx="13">
                  <c:v>4491.9000000000015</c:v>
                </c:pt>
                <c:pt idx="14">
                  <c:v>5408</c:v>
                </c:pt>
                <c:pt idx="15">
                  <c:v>8711.5</c:v>
                </c:pt>
                <c:pt idx="16">
                  <c:v>10981.299999999996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85C-48BA-84D0-EF540439F646}"/>
            </c:ext>
          </c:extLst>
        </c:ser>
        <c:ser>
          <c:idx val="2"/>
          <c:order val="2"/>
          <c:tx>
            <c:v>FCF</c:v>
          </c:tx>
          <c:spPr>
            <a:solidFill>
              <a:srgbClr val="00B050"/>
            </a:solidFill>
          </c:spPr>
          <c:invertIfNegative val="0"/>
          <c:cat>
            <c:strRef>
              <c:f>[1]Model!$AW$3:$BQ$3</c:f>
              <c:strCache>
                <c:ptCount val="21"/>
                <c:pt idx="0">
                  <c:v>Q1 2020</c:v>
                </c:pt>
                <c:pt idx="1">
                  <c:v>Q2 2020</c:v>
                </c:pt>
                <c:pt idx="2">
                  <c:v>Q3 2020</c:v>
                </c:pt>
                <c:pt idx="3">
                  <c:v>Q4 2020</c:v>
                </c:pt>
                <c:pt idx="4">
                  <c:v>Q1 2021</c:v>
                </c:pt>
                <c:pt idx="5">
                  <c:v>Q2 2021</c:v>
                </c:pt>
                <c:pt idx="6">
                  <c:v>Q3 2021</c:v>
                </c:pt>
                <c:pt idx="7">
                  <c:v>Q4 2021</c:v>
                </c:pt>
                <c:pt idx="8">
                  <c:v>Q1 2022</c:v>
                </c:pt>
                <c:pt idx="9">
                  <c:v>Q2 2022</c:v>
                </c:pt>
                <c:pt idx="10">
                  <c:v>Q3 2022</c:v>
                </c:pt>
                <c:pt idx="11">
                  <c:v>Q4 2022</c:v>
                </c:pt>
                <c:pt idx="12">
                  <c:v>Q1 2023</c:v>
                </c:pt>
                <c:pt idx="13">
                  <c:v>Q2 2023</c:v>
                </c:pt>
                <c:pt idx="14">
                  <c:v>Q3 2023</c:v>
                </c:pt>
                <c:pt idx="15">
                  <c:v>Q4 2023</c:v>
                </c:pt>
                <c:pt idx="16">
                  <c:v>Q1 2024</c:v>
                </c:pt>
                <c:pt idx="17">
                  <c:v>Q2 2024</c:v>
                </c:pt>
                <c:pt idx="18">
                  <c:v>Q3 2024</c:v>
                </c:pt>
                <c:pt idx="19">
                  <c:v>Q4 2024</c:v>
                </c:pt>
                <c:pt idx="20">
                  <c:v>Q1 2025</c:v>
                </c:pt>
              </c:strCache>
            </c:strRef>
          </c:cat>
          <c:val>
            <c:numRef>
              <c:f>Model!$CA$74:$CQ$74</c:f>
              <c:numCache>
                <c:formatCode>0</c:formatCode>
                <c:ptCount val="17"/>
                <c:pt idx="0">
                  <c:v>230.59999999999997</c:v>
                </c:pt>
                <c:pt idx="1">
                  <c:v>275.89999999999998</c:v>
                </c:pt>
                <c:pt idx="2">
                  <c:v>268.12</c:v>
                </c:pt>
                <c:pt idx="3">
                  <c:v>-21.9</c:v>
                </c:pt>
                <c:pt idx="4">
                  <c:v>43.900000000000006</c:v>
                </c:pt>
                <c:pt idx="5">
                  <c:v>-53.199999999999996</c:v>
                </c:pt>
                <c:pt idx="6">
                  <c:v>-840.60000000000014</c:v>
                </c:pt>
                <c:pt idx="7">
                  <c:v>-1581.6</c:v>
                </c:pt>
                <c:pt idx="8">
                  <c:v>-1959.3</c:v>
                </c:pt>
                <c:pt idx="9">
                  <c:v>-2854.4</c:v>
                </c:pt>
                <c:pt idx="10">
                  <c:v>-3140.3999999999996</c:v>
                </c:pt>
                <c:pt idx="11">
                  <c:v>1929.2000000000003</c:v>
                </c:pt>
                <c:pt idx="12">
                  <c:v>-132.00000000000006</c:v>
                </c:pt>
                <c:pt idx="13">
                  <c:v>1618.4999999999998</c:v>
                </c:pt>
                <c:pt idx="14">
                  <c:v>6925.7</c:v>
                </c:pt>
                <c:pt idx="15">
                  <c:v>6921.6999999999989</c:v>
                </c:pt>
                <c:pt idx="16">
                  <c:v>7445.7999999999993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7"/>
        <c:axId val="1243124976"/>
        <c:axId val="1243123056"/>
      </c:barChart>
      <c:lineChart>
        <c:grouping val="standard"/>
        <c:varyColors val="0"/>
        <c:ser>
          <c:idx val="0"/>
          <c:order val="0"/>
          <c:tx>
            <c:v>Revenues</c:v>
          </c:tx>
          <c:spPr>
            <a:ln w="28575">
              <a:solidFill>
                <a:srgbClr val="00B0F0"/>
              </a:solidFill>
            </a:ln>
          </c:spPr>
          <c:marker>
            <c:symbol val="none"/>
          </c:marker>
          <c:cat>
            <c:numRef>
              <c:f>Model!$CA$3:$CQ$3</c:f>
              <c:numCache>
                <c:formatCode>General</c:formatCode>
                <c:ptCount val="1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</c:numCache>
            </c:numRef>
          </c:cat>
          <c:val>
            <c:numRef>
              <c:f>Model!$CA$21:$CQ$21</c:f>
              <c:numCache>
                <c:formatCode>0</c:formatCode>
                <c:ptCount val="17"/>
                <c:pt idx="0">
                  <c:v>2162.6</c:v>
                </c:pt>
                <c:pt idx="1">
                  <c:v>3204.6000000000004</c:v>
                </c:pt>
                <c:pt idx="2">
                  <c:v>3204.6</c:v>
                </c:pt>
                <c:pt idx="3">
                  <c:v>3609.3</c:v>
                </c:pt>
                <c:pt idx="4">
                  <c:v>4374.6000000000004</c:v>
                </c:pt>
                <c:pt idx="5">
                  <c:v>5504.6</c:v>
                </c:pt>
                <c:pt idx="6">
                  <c:v>6779.5000000000009</c:v>
                </c:pt>
                <c:pt idx="7">
                  <c:v>8830.5999999999985</c:v>
                </c:pt>
                <c:pt idx="8">
                  <c:v>11692.8</c:v>
                </c:pt>
                <c:pt idx="9">
                  <c:v>15794.400000000001</c:v>
                </c:pt>
                <c:pt idx="10">
                  <c:v>20156.400000000001</c:v>
                </c:pt>
                <c:pt idx="11">
                  <c:v>24996</c:v>
                </c:pt>
                <c:pt idx="12">
                  <c:v>29697.899999999998</c:v>
                </c:pt>
                <c:pt idx="13">
                  <c:v>31615.599999999999</c:v>
                </c:pt>
                <c:pt idx="14">
                  <c:v>33723.300000000003</c:v>
                </c:pt>
                <c:pt idx="15">
                  <c:v>39000.899999999994</c:v>
                </c:pt>
                <c:pt idx="16">
                  <c:v>45183.100000000006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5C-48BA-84D0-EF540439F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3124976"/>
        <c:axId val="1243123056"/>
      </c:lineChart>
      <c:dateAx>
        <c:axId val="124312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3056"/>
        <c:crosses val="autoZero"/>
        <c:auto val="0"/>
        <c:lblOffset val="100"/>
        <c:baseTimeUnit val="days"/>
        <c:majorUnit val="1"/>
      </c:dateAx>
      <c:valAx>
        <c:axId val="124312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e"/>
                <a:ea typeface="+mn-ea"/>
                <a:cs typeface="+mn-cs"/>
              </a:defRPr>
            </a:pPr>
            <a:endParaRPr lang="en-US"/>
          </a:p>
        </c:txPr>
        <c:crossAx val="124312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601803088279277"/>
          <c:y val="6.8226667462544965E-2"/>
          <c:w val="0.53831279215259631"/>
          <c:h val="3.41842042395739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e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Calibre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(NFLX) Historical Return Histogram + Normal Distribution Overlay</a:t>
            </a:r>
          </a:p>
        </c:rich>
      </c:tx>
      <c:layout>
        <c:manualLayout>
          <c:xMode val="edge"/>
          <c:yMode val="edge"/>
          <c:x val="0.26993827160493827"/>
          <c:y val="9.0848368171953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764362787984838E-2"/>
          <c:y val="6.1527057344455703E-2"/>
          <c:w val="0.93313376105764534"/>
          <c:h val="0.8721575682681670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'Notes | Quant Analysis'!$Q$213</c:f>
              <c:strCache>
                <c:ptCount val="1"/>
                <c:pt idx="0">
                  <c:v>Histogram Data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263525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Analysis'!$Q$215:$Q$261</c:f>
              <c:numCache>
                <c:formatCode>0.00%</c:formatCode>
                <c:ptCount val="47"/>
                <c:pt idx="0">
                  <c:v>-5.7500000000000016E-2</c:v>
                </c:pt>
                <c:pt idx="1">
                  <c:v>-5.5000000000000014E-2</c:v>
                </c:pt>
                <c:pt idx="2">
                  <c:v>-5.2500000000000012E-2</c:v>
                </c:pt>
                <c:pt idx="3">
                  <c:v>-5.000000000000001E-2</c:v>
                </c:pt>
                <c:pt idx="4">
                  <c:v>-4.7500000000000007E-2</c:v>
                </c:pt>
                <c:pt idx="5">
                  <c:v>-4.5000000000000005E-2</c:v>
                </c:pt>
                <c:pt idx="6">
                  <c:v>-4.2500000000000003E-2</c:v>
                </c:pt>
                <c:pt idx="7">
                  <c:v>-0.04</c:v>
                </c:pt>
                <c:pt idx="8">
                  <c:v>-3.7499999999999999E-2</c:v>
                </c:pt>
                <c:pt idx="9">
                  <c:v>-3.4999999999999996E-2</c:v>
                </c:pt>
                <c:pt idx="10">
                  <c:v>-3.2499999999999994E-2</c:v>
                </c:pt>
                <c:pt idx="11">
                  <c:v>-2.9999999999999995E-2</c:v>
                </c:pt>
                <c:pt idx="12">
                  <c:v>-2.7499999999999997E-2</c:v>
                </c:pt>
                <c:pt idx="13">
                  <c:v>-2.4999999999999998E-2</c:v>
                </c:pt>
                <c:pt idx="14">
                  <c:v>-2.2499999999999999E-2</c:v>
                </c:pt>
                <c:pt idx="15">
                  <c:v>-0.02</c:v>
                </c:pt>
                <c:pt idx="16">
                  <c:v>-1.7500000000000002E-2</c:v>
                </c:pt>
                <c:pt idx="17">
                  <c:v>-1.5000000000000001E-2</c:v>
                </c:pt>
                <c:pt idx="18">
                  <c:v>-1.2500000000000001E-2</c:v>
                </c:pt>
                <c:pt idx="19">
                  <c:v>-0.01</c:v>
                </c:pt>
                <c:pt idx="20">
                  <c:v>-7.4999999999999997E-3</c:v>
                </c:pt>
                <c:pt idx="21">
                  <c:v>-5.0000000000000001E-3</c:v>
                </c:pt>
                <c:pt idx="22">
                  <c:v>-2.5000000000000001E-3</c:v>
                </c:pt>
                <c:pt idx="23">
                  <c:v>0</c:v>
                </c:pt>
                <c:pt idx="24">
                  <c:v>2.5000000000000001E-3</c:v>
                </c:pt>
                <c:pt idx="25">
                  <c:v>5.0000000000000001E-3</c:v>
                </c:pt>
                <c:pt idx="26">
                  <c:v>7.4999999999999997E-3</c:v>
                </c:pt>
                <c:pt idx="27">
                  <c:v>0.01</c:v>
                </c:pt>
                <c:pt idx="28">
                  <c:v>1.2500000000000001E-2</c:v>
                </c:pt>
                <c:pt idx="29">
                  <c:v>1.5000000000000001E-2</c:v>
                </c:pt>
                <c:pt idx="30">
                  <c:v>1.7500000000000002E-2</c:v>
                </c:pt>
                <c:pt idx="31">
                  <c:v>0.02</c:v>
                </c:pt>
                <c:pt idx="32">
                  <c:v>2.2499999999999999E-2</c:v>
                </c:pt>
                <c:pt idx="33">
                  <c:v>2.4999999999999998E-2</c:v>
                </c:pt>
                <c:pt idx="34">
                  <c:v>2.7499999999999997E-2</c:v>
                </c:pt>
                <c:pt idx="35">
                  <c:v>2.9999999999999995E-2</c:v>
                </c:pt>
                <c:pt idx="36">
                  <c:v>3.2499999999999994E-2</c:v>
                </c:pt>
                <c:pt idx="37">
                  <c:v>3.4999999999999996E-2</c:v>
                </c:pt>
                <c:pt idx="38">
                  <c:v>3.7499999999999999E-2</c:v>
                </c:pt>
                <c:pt idx="39">
                  <c:v>0.04</c:v>
                </c:pt>
                <c:pt idx="40">
                  <c:v>4.2500000000000003E-2</c:v>
                </c:pt>
                <c:pt idx="41">
                  <c:v>4.5000000000000005E-2</c:v>
                </c:pt>
                <c:pt idx="42">
                  <c:v>4.7500000000000007E-2</c:v>
                </c:pt>
                <c:pt idx="43">
                  <c:v>5.000000000000001E-2</c:v>
                </c:pt>
                <c:pt idx="44">
                  <c:v>5.2500000000000012E-2</c:v>
                </c:pt>
                <c:pt idx="45">
                  <c:v>5.5000000000000014E-2</c:v>
                </c:pt>
                <c:pt idx="46">
                  <c:v>5.7500000000000016E-2</c:v>
                </c:pt>
              </c:numCache>
            </c:numRef>
          </c:xVal>
          <c:yVal>
            <c:numRef>
              <c:f>'Notes | Quant Analysis'!$R$215:$R$261</c:f>
              <c:numCache>
                <c:formatCode>General</c:formatCode>
                <c:ptCount val="47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  <c:pt idx="12">
                  <c:v>5</c:v>
                </c:pt>
                <c:pt idx="13">
                  <c:v>12</c:v>
                </c:pt>
                <c:pt idx="14">
                  <c:v>19</c:v>
                </c:pt>
                <c:pt idx="15">
                  <c:v>12</c:v>
                </c:pt>
                <c:pt idx="16">
                  <c:v>18</c:v>
                </c:pt>
                <c:pt idx="17">
                  <c:v>22</c:v>
                </c:pt>
                <c:pt idx="18">
                  <c:v>29</c:v>
                </c:pt>
                <c:pt idx="19">
                  <c:v>37</c:v>
                </c:pt>
                <c:pt idx="20">
                  <c:v>30</c:v>
                </c:pt>
                <c:pt idx="21">
                  <c:v>41</c:v>
                </c:pt>
                <c:pt idx="22">
                  <c:v>57</c:v>
                </c:pt>
                <c:pt idx="23">
                  <c:v>48</c:v>
                </c:pt>
                <c:pt idx="24">
                  <c:v>48</c:v>
                </c:pt>
                <c:pt idx="25">
                  <c:v>53</c:v>
                </c:pt>
                <c:pt idx="26">
                  <c:v>45</c:v>
                </c:pt>
                <c:pt idx="27">
                  <c:v>40</c:v>
                </c:pt>
                <c:pt idx="28">
                  <c:v>35</c:v>
                </c:pt>
                <c:pt idx="29">
                  <c:v>48</c:v>
                </c:pt>
                <c:pt idx="30">
                  <c:v>26</c:v>
                </c:pt>
                <c:pt idx="31">
                  <c:v>24</c:v>
                </c:pt>
                <c:pt idx="32">
                  <c:v>20</c:v>
                </c:pt>
                <c:pt idx="33">
                  <c:v>13</c:v>
                </c:pt>
                <c:pt idx="34">
                  <c:v>11</c:v>
                </c:pt>
                <c:pt idx="35">
                  <c:v>8</c:v>
                </c:pt>
                <c:pt idx="36">
                  <c:v>1</c:v>
                </c:pt>
                <c:pt idx="37">
                  <c:v>6</c:v>
                </c:pt>
                <c:pt idx="38">
                  <c:v>3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2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C7-4862-86E9-AF862A5BA0AD}"/>
            </c:ext>
          </c:extLst>
        </c:ser>
        <c:ser>
          <c:idx val="1"/>
          <c:order val="1"/>
          <c:tx>
            <c:strRef>
              <c:f>'Notes | Quant Analysis'!$T$213</c:f>
              <c:strCache>
                <c:ptCount val="1"/>
                <c:pt idx="0">
                  <c:v>Distribution Overlay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14300" cap="flat" cmpd="sng" algn="ctr">
                <a:solidFill>
                  <a:srgbClr val="00B0F0"/>
                </a:solidFill>
                <a:round/>
              </a:ln>
              <a:effectLst/>
            </c:spPr>
          </c:errBars>
          <c:xVal>
            <c:numRef>
              <c:f>'Notes | Quant Analysis'!$T$215:$T$263</c:f>
              <c:numCache>
                <c:formatCode>0.00%</c:formatCode>
                <c:ptCount val="49"/>
                <c:pt idx="0">
                  <c:v>-6.0000000000000019E-2</c:v>
                </c:pt>
                <c:pt idx="1">
                  <c:v>-5.7500000000000016E-2</c:v>
                </c:pt>
                <c:pt idx="2">
                  <c:v>-5.5000000000000014E-2</c:v>
                </c:pt>
                <c:pt idx="3">
                  <c:v>-5.2500000000000012E-2</c:v>
                </c:pt>
                <c:pt idx="4">
                  <c:v>-5.000000000000001E-2</c:v>
                </c:pt>
                <c:pt idx="5">
                  <c:v>-4.7500000000000007E-2</c:v>
                </c:pt>
                <c:pt idx="6">
                  <c:v>-4.5000000000000005E-2</c:v>
                </c:pt>
                <c:pt idx="7">
                  <c:v>-4.2500000000000003E-2</c:v>
                </c:pt>
                <c:pt idx="8">
                  <c:v>-0.04</c:v>
                </c:pt>
                <c:pt idx="9">
                  <c:v>-3.7499999999999999E-2</c:v>
                </c:pt>
                <c:pt idx="10">
                  <c:v>-3.4999999999999996E-2</c:v>
                </c:pt>
                <c:pt idx="11">
                  <c:v>-3.2499999999999994E-2</c:v>
                </c:pt>
                <c:pt idx="12">
                  <c:v>-2.9999999999999995E-2</c:v>
                </c:pt>
                <c:pt idx="13">
                  <c:v>-2.7499999999999997E-2</c:v>
                </c:pt>
                <c:pt idx="14">
                  <c:v>-2.4999999999999998E-2</c:v>
                </c:pt>
                <c:pt idx="15">
                  <c:v>-2.2499999999999999E-2</c:v>
                </c:pt>
                <c:pt idx="16">
                  <c:v>-0.02</c:v>
                </c:pt>
                <c:pt idx="17">
                  <c:v>-1.7500000000000002E-2</c:v>
                </c:pt>
                <c:pt idx="18">
                  <c:v>-1.5000000000000001E-2</c:v>
                </c:pt>
                <c:pt idx="19">
                  <c:v>-1.2500000000000001E-2</c:v>
                </c:pt>
                <c:pt idx="20">
                  <c:v>-0.01</c:v>
                </c:pt>
                <c:pt idx="21">
                  <c:v>-7.4999999999999997E-3</c:v>
                </c:pt>
                <c:pt idx="22">
                  <c:v>-5.0000000000000001E-3</c:v>
                </c:pt>
                <c:pt idx="23">
                  <c:v>-2.5000000000000001E-3</c:v>
                </c:pt>
                <c:pt idx="24">
                  <c:v>0</c:v>
                </c:pt>
                <c:pt idx="25">
                  <c:v>2.5000000000000001E-3</c:v>
                </c:pt>
                <c:pt idx="26">
                  <c:v>5.0000000000000001E-3</c:v>
                </c:pt>
                <c:pt idx="27">
                  <c:v>7.4999999999999997E-3</c:v>
                </c:pt>
                <c:pt idx="28">
                  <c:v>0.01</c:v>
                </c:pt>
                <c:pt idx="29">
                  <c:v>1.2500000000000001E-2</c:v>
                </c:pt>
                <c:pt idx="30">
                  <c:v>1.5000000000000001E-2</c:v>
                </c:pt>
                <c:pt idx="31">
                  <c:v>1.7500000000000002E-2</c:v>
                </c:pt>
                <c:pt idx="32">
                  <c:v>0.02</c:v>
                </c:pt>
                <c:pt idx="33">
                  <c:v>2.2499999999999999E-2</c:v>
                </c:pt>
                <c:pt idx="34">
                  <c:v>2.4999999999999998E-2</c:v>
                </c:pt>
                <c:pt idx="35">
                  <c:v>2.7499999999999997E-2</c:v>
                </c:pt>
                <c:pt idx="36">
                  <c:v>2.9999999999999995E-2</c:v>
                </c:pt>
                <c:pt idx="37">
                  <c:v>3.2499999999999994E-2</c:v>
                </c:pt>
                <c:pt idx="38">
                  <c:v>3.4999999999999996E-2</c:v>
                </c:pt>
                <c:pt idx="39">
                  <c:v>3.7499999999999999E-2</c:v>
                </c:pt>
                <c:pt idx="40">
                  <c:v>0.04</c:v>
                </c:pt>
                <c:pt idx="41">
                  <c:v>4.2500000000000003E-2</c:v>
                </c:pt>
                <c:pt idx="42">
                  <c:v>4.5000000000000005E-2</c:v>
                </c:pt>
                <c:pt idx="43">
                  <c:v>4.7500000000000007E-2</c:v>
                </c:pt>
                <c:pt idx="44">
                  <c:v>5.000000000000001E-2</c:v>
                </c:pt>
                <c:pt idx="45">
                  <c:v>5.2500000000000012E-2</c:v>
                </c:pt>
                <c:pt idx="46">
                  <c:v>5.5000000000000014E-2</c:v>
                </c:pt>
                <c:pt idx="47">
                  <c:v>5.7500000000000016E-2</c:v>
                </c:pt>
                <c:pt idx="48">
                  <c:v>6.0000000000000019E-2</c:v>
                </c:pt>
              </c:numCache>
            </c:numRef>
          </c:xVal>
          <c:yVal>
            <c:numRef>
              <c:f>'Notes | Quant Analysis'!$U$215:$U$263</c:f>
              <c:numCache>
                <c:formatCode>General</c:formatCode>
                <c:ptCount val="49"/>
                <c:pt idx="0">
                  <c:v>3.8744740210539821E-2</c:v>
                </c:pt>
                <c:pt idx="1">
                  <c:v>6.495430196887482E-2</c:v>
                </c:pt>
                <c:pt idx="2">
                  <c:v>0.10655474000523581</c:v>
                </c:pt>
                <c:pt idx="3">
                  <c:v>0.17104379132511788</c:v>
                </c:pt>
                <c:pt idx="4">
                  <c:v>0.26866527790588496</c:v>
                </c:pt>
                <c:pt idx="5">
                  <c:v>0.41293857701605335</c:v>
                </c:pt>
                <c:pt idx="6">
                  <c:v>0.62105356423602764</c:v>
                </c:pt>
                <c:pt idx="7">
                  <c:v>0.91399190057675239</c:v>
                </c:pt>
                <c:pt idx="8">
                  <c:v>1.3162104145847948</c:v>
                </c:pt>
                <c:pt idx="9">
                  <c:v>1.8547184214202177</c:v>
                </c:pt>
                <c:pt idx="10">
                  <c:v>2.5574098590928287</c:v>
                </c:pt>
                <c:pt idx="11">
                  <c:v>3.4505821526014442</c:v>
                </c:pt>
                <c:pt idx="12">
                  <c:v>4.5556892782531531</c:v>
                </c:pt>
                <c:pt idx="13">
                  <c:v>5.8855290253727901</c:v>
                </c:pt>
                <c:pt idx="14">
                  <c:v>7.4402341505045566</c:v>
                </c:pt>
                <c:pt idx="15">
                  <c:v>9.2035926353997866</c:v>
                </c:pt>
                <c:pt idx="16">
                  <c:v>11.140324963961723</c:v>
                </c:pt>
                <c:pt idx="17">
                  <c:v>13.194958174107056</c:v>
                </c:pt>
                <c:pt idx="18">
                  <c:v>15.292830091376825</c:v>
                </c:pt>
                <c:pt idx="19">
                  <c:v>17.343526005568776</c:v>
                </c:pt>
                <c:pt idx="20">
                  <c:v>19.246714993465535</c:v>
                </c:pt>
                <c:pt idx="21">
                  <c:v>20.899963214956536</c:v>
                </c:pt>
                <c:pt idx="22">
                  <c:v>22.207727262082638</c:v>
                </c:pt>
                <c:pt idx="23">
                  <c:v>23.090449933942931</c:v>
                </c:pt>
                <c:pt idx="24">
                  <c:v>23.492560984533142</c:v>
                </c:pt>
                <c:pt idx="25">
                  <c:v>23.388265609988458</c:v>
                </c:pt>
                <c:pt idx="26">
                  <c:v>22.784282597708149</c:v>
                </c:pt>
                <c:pt idx="27">
                  <c:v>21.719128107607478</c:v>
                </c:pt>
                <c:pt idx="28">
                  <c:v>20.259051211596706</c:v>
                </c:pt>
                <c:pt idx="29">
                  <c:v>18.491217398482853</c:v>
                </c:pt>
                <c:pt idx="30">
                  <c:v>16.515114683372026</c:v>
                </c:pt>
                <c:pt idx="31">
                  <c:v>14.433357543348514</c:v>
                </c:pt>
                <c:pt idx="32">
                  <c:v>12.343059807720115</c:v>
                </c:pt>
                <c:pt idx="33">
                  <c:v>10.328755180270928</c:v>
                </c:pt>
                <c:pt idx="34">
                  <c:v>8.4575158584218961</c:v>
                </c:pt>
                <c:pt idx="35">
                  <c:v>6.7765296829348172</c:v>
                </c:pt>
                <c:pt idx="36">
                  <c:v>5.3130212897269322</c:v>
                </c:pt>
                <c:pt idx="37">
                  <c:v>4.0761058585547527</c:v>
                </c:pt>
                <c:pt idx="38">
                  <c:v>3.0599831814246525</c:v>
                </c:pt>
                <c:pt idx="39">
                  <c:v>2.2478240400790614</c:v>
                </c:pt>
                <c:pt idx="40">
                  <c:v>1.6157541152322721</c:v>
                </c:pt>
                <c:pt idx="41">
                  <c:v>1.1364698453568769</c:v>
                </c:pt>
                <c:pt idx="42">
                  <c:v>0.78218638083777725</c:v>
                </c:pt>
                <c:pt idx="43">
                  <c:v>0.52678362917876986</c:v>
                </c:pt>
                <c:pt idx="44">
                  <c:v>0.34715544149515887</c:v>
                </c:pt>
                <c:pt idx="45">
                  <c:v>0.2238645729769366</c:v>
                </c:pt>
                <c:pt idx="46">
                  <c:v>0.14125910557177046</c:v>
                </c:pt>
                <c:pt idx="47">
                  <c:v>8.7220228487305776E-2</c:v>
                </c:pt>
                <c:pt idx="48">
                  <c:v>5.2697216367809489E-2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C7-4862-86E9-AF862A5BA0AD}"/>
            </c:ext>
          </c:extLst>
        </c:ser>
        <c:ser>
          <c:idx val="2"/>
          <c:order val="2"/>
          <c:tx>
            <c:strRef>
              <c:f>'Notes | Quant Analysis'!$W$215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C7-4862-86E9-AF862A5BA0AD}"/>
                </c:ext>
              </c:extLst>
            </c:dLbl>
            <c:dLbl>
              <c:idx val="1"/>
              <c:layout>
                <c:manualLayout>
                  <c:x val="-5.3073368695663162E-2"/>
                  <c:y val="-2.710318866499815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926326628355251E-2"/>
                      <c:h val="7.74483629961243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Analysis'!$X$215:$X$216</c:f>
              <c:numCache>
                <c:formatCode>0.00%</c:formatCode>
                <c:ptCount val="2"/>
                <c:pt idx="0">
                  <c:v>7.3773024973245273E-4</c:v>
                </c:pt>
                <c:pt idx="1">
                  <c:v>7.3773024973245273E-4</c:v>
                </c:pt>
              </c:numCache>
            </c:numRef>
          </c:xVal>
          <c:yVal>
            <c:numRef>
              <c:f>'Notes | Quant Analysis'!$Y$215:$Y$216</c:f>
              <c:numCache>
                <c:formatCode>General</c:formatCode>
                <c:ptCount val="2"/>
                <c:pt idx="0">
                  <c:v>0</c:v>
                </c:pt>
                <c:pt idx="1">
                  <c:v>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8C7-4862-86E9-AF862A5BA0AD}"/>
            </c:ext>
          </c:extLst>
        </c:ser>
        <c:ser>
          <c:idx val="3"/>
          <c:order val="3"/>
          <c:tx>
            <c:strRef>
              <c:f>'Notes | Quant Analysis'!$W$217</c:f>
              <c:strCache>
                <c:ptCount val="1"/>
                <c:pt idx="0">
                  <c:v>-3σ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7-4862-86E9-AF862A5BA0AD}"/>
                </c:ext>
              </c:extLst>
            </c:dLbl>
            <c:dLbl>
              <c:idx val="1"/>
              <c:layout>
                <c:manualLayout>
                  <c:x val="-3.948002333041703E-2"/>
                  <c:y val="-2.937692862769784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Analysis'!$X$217:$X$218</c:f>
              <c:numCache>
                <c:formatCode>0.00%</c:formatCode>
                <c:ptCount val="2"/>
                <c:pt idx="0">
                  <c:v>-5.0159056481403383E-2</c:v>
                </c:pt>
                <c:pt idx="1">
                  <c:v>-5.0159056481403383E-2</c:v>
                </c:pt>
              </c:numCache>
            </c:numRef>
          </c:xVal>
          <c:yVal>
            <c:numRef>
              <c:f>'Notes | Quant Analysis'!$Y$217:$Y$218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8C7-4862-86E9-AF862A5BA0AD}"/>
            </c:ext>
          </c:extLst>
        </c:ser>
        <c:ser>
          <c:idx val="4"/>
          <c:order val="4"/>
          <c:tx>
            <c:strRef>
              <c:f>'Notes | Quant Analysis'!$W$219</c:f>
              <c:strCache>
                <c:ptCount val="1"/>
                <c:pt idx="0">
                  <c:v>-2σ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8C7-4862-86E9-AF862A5BA0AD}"/>
                </c:ext>
              </c:extLst>
            </c:dLbl>
            <c:dLbl>
              <c:idx val="1"/>
              <c:layout>
                <c:manualLayout>
                  <c:x val="-3.739825861686296E-2"/>
                  <c:y val="-6.877531293888902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Analysis'!$X$219:$X$220</c:f>
              <c:numCache>
                <c:formatCode>0.00%</c:formatCode>
                <c:ptCount val="2"/>
                <c:pt idx="0">
                  <c:v>-3.3193460904358103E-2</c:v>
                </c:pt>
                <c:pt idx="1">
                  <c:v>-3.3193460904358103E-2</c:v>
                </c:pt>
              </c:numCache>
            </c:numRef>
          </c:xVal>
          <c:yVal>
            <c:numRef>
              <c:f>'Notes | Quant Analysis'!$Y$219:$Y$220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8C7-4862-86E9-AF862A5BA0AD}"/>
            </c:ext>
          </c:extLst>
        </c:ser>
        <c:ser>
          <c:idx val="5"/>
          <c:order val="5"/>
          <c:tx>
            <c:strRef>
              <c:f>'Notes | Quant Analysis'!$W$221</c:f>
              <c:strCache>
                <c:ptCount val="1"/>
                <c:pt idx="0">
                  <c:v>-1σ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8C7-4862-86E9-AF862A5BA0AD}"/>
                </c:ext>
              </c:extLst>
            </c:dLbl>
            <c:dLbl>
              <c:idx val="1"/>
              <c:layout>
                <c:manualLayout>
                  <c:x val="-4.8110558889884046E-2"/>
                  <c:y val="-4.00554356840314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Analysis'!$X$221:$X$222</c:f>
              <c:numCache>
                <c:formatCode>0.00%</c:formatCode>
                <c:ptCount val="2"/>
                <c:pt idx="0">
                  <c:v>-1.6227865327312827E-2</c:v>
                </c:pt>
                <c:pt idx="1">
                  <c:v>-1.6227865327312827E-2</c:v>
                </c:pt>
              </c:numCache>
            </c:numRef>
          </c:xVal>
          <c:yVal>
            <c:numRef>
              <c:f>'Notes | Quant Analysis'!$Y$221:$Y$222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8C7-4862-86E9-AF862A5BA0AD}"/>
            </c:ext>
          </c:extLst>
        </c:ser>
        <c:ser>
          <c:idx val="6"/>
          <c:order val="6"/>
          <c:tx>
            <c:strRef>
              <c:f>'Notes | Quant Analysis'!$W$223</c:f>
              <c:strCache>
                <c:ptCount val="1"/>
                <c:pt idx="0">
                  <c:v>1σ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8C7-4862-86E9-AF862A5BA0AD}"/>
                </c:ext>
              </c:extLst>
            </c:dLbl>
            <c:dLbl>
              <c:idx val="1"/>
              <c:layout>
                <c:manualLayout>
                  <c:x val="-4.2560802582794495E-2"/>
                  <c:y val="-4.0055435684031443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2D-40A7-A22D-BAD8FA8D64D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Analysis'!$X$223:$X$224</c:f>
              <c:numCache>
                <c:formatCode>0.00%</c:formatCode>
                <c:ptCount val="2"/>
                <c:pt idx="0">
                  <c:v>1.7703325826777732E-2</c:v>
                </c:pt>
                <c:pt idx="1">
                  <c:v>1.7703325826777732E-2</c:v>
                </c:pt>
              </c:numCache>
            </c:numRef>
          </c:xVal>
          <c:yVal>
            <c:numRef>
              <c:f>'Notes | Quant Analysis'!$Y$223:$Y$224</c:f>
              <c:numCache>
                <c:formatCode>General</c:formatCode>
                <c:ptCount val="2"/>
                <c:pt idx="0">
                  <c:v>0</c:v>
                </c:pt>
                <c:pt idx="1">
                  <c:v>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8C7-4862-86E9-AF862A5BA0AD}"/>
            </c:ext>
          </c:extLst>
        </c:ser>
        <c:ser>
          <c:idx val="7"/>
          <c:order val="7"/>
          <c:tx>
            <c:strRef>
              <c:f>'Notes | Quant Analysis'!$W$225</c:f>
              <c:strCache>
                <c:ptCount val="1"/>
                <c:pt idx="0">
                  <c:v>2σ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8C7-4862-86E9-AF862A5BA0AD}"/>
                </c:ext>
              </c:extLst>
            </c:dLbl>
            <c:dLbl>
              <c:idx val="1"/>
              <c:layout>
                <c:manualLayout>
                  <c:x val="-3.1034437194905201E-2"/>
                  <c:y val="-6.8922436424287067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Analysis'!$X$225:$X$226</c:f>
              <c:numCache>
                <c:formatCode>0.00%</c:formatCode>
                <c:ptCount val="2"/>
                <c:pt idx="0">
                  <c:v>3.4668921403823015E-2</c:v>
                </c:pt>
                <c:pt idx="1">
                  <c:v>3.4668921403823015E-2</c:v>
                </c:pt>
              </c:numCache>
            </c:numRef>
          </c:xVal>
          <c:yVal>
            <c:numRef>
              <c:f>'Notes | Quant Analysis'!$Y$225:$Y$226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8C7-4862-86E9-AF862A5BA0AD}"/>
            </c:ext>
          </c:extLst>
        </c:ser>
        <c:ser>
          <c:idx val="8"/>
          <c:order val="8"/>
          <c:tx>
            <c:strRef>
              <c:f>'Notes | Quant Analysis'!$W$227</c:f>
              <c:strCache>
                <c:ptCount val="1"/>
                <c:pt idx="0">
                  <c:v>3σ</c:v>
                </c:pt>
              </c:strCache>
            </c:strRef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8C7-4862-86E9-AF862A5BA0AD}"/>
                </c:ext>
              </c:extLst>
            </c:dLbl>
            <c:dLbl>
              <c:idx val="1"/>
              <c:layout>
                <c:manualLayout>
                  <c:x val="-2.8868863129629385E-2"/>
                  <c:y val="-2.665773659886865E-2"/>
                </c:manualLayout>
              </c:layout>
              <c:showLegendKey val="0"/>
              <c:showVal val="0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8C7-4862-86E9-AF862A5BA0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'Notes | Quant Analysis'!$X$227:$X$228</c:f>
              <c:numCache>
                <c:formatCode>0.00%</c:formatCode>
                <c:ptCount val="2"/>
                <c:pt idx="0">
                  <c:v>5.1634516980868295E-2</c:v>
                </c:pt>
                <c:pt idx="1">
                  <c:v>5.1634516980868295E-2</c:v>
                </c:pt>
              </c:numCache>
            </c:numRef>
          </c:xVal>
          <c:yVal>
            <c:numRef>
              <c:f>'Notes | Quant Analysis'!$Y$227:$Y$228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28C7-4862-86E9-AF862A5BA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4098191"/>
        <c:axId val="1274092911"/>
      </c:scatterChart>
      <c:valAx>
        <c:axId val="1274098191"/>
        <c:scaling>
          <c:orientation val="minMax"/>
          <c:max val="6.0000000000000012E-2"/>
          <c:min val="-6.000000000000001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2911"/>
        <c:crossesAt val="0"/>
        <c:crossBetween val="midCat"/>
        <c:majorUnit val="1.0000000000000002E-2"/>
      </c:valAx>
      <c:valAx>
        <c:axId val="12740929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098191"/>
        <c:crossesAt val="-100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4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2</xdr:row>
      <xdr:rowOff>9526</xdr:rowOff>
    </xdr:from>
    <xdr:to>
      <xdr:col>9</xdr:col>
      <xdr:colOff>0</xdr:colOff>
      <xdr:row>7</xdr:row>
      <xdr:rowOff>171451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5BCD5-4B27-4374-6E24-A21797176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50" y="381001"/>
          <a:ext cx="1819275" cy="106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70</xdr:col>
      <xdr:colOff>0</xdr:colOff>
      <xdr:row>0</xdr:row>
      <xdr:rowOff>0</xdr:rowOff>
    </xdr:from>
    <xdr:to>
      <xdr:col>70</xdr:col>
      <xdr:colOff>0</xdr:colOff>
      <xdr:row>84</xdr:row>
      <xdr:rowOff>152400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CCD73D9-E85D-473B-AEF0-27E636A06C71}"/>
            </a:ext>
          </a:extLst>
        </xdr:cNvPr>
        <xdr:cNvCxnSpPr/>
      </xdr:nvCxnSpPr>
      <xdr:spPr>
        <a:xfrm>
          <a:off x="46529625" y="0"/>
          <a:ext cx="0" cy="236505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95</xdr:col>
      <xdr:colOff>4</xdr:colOff>
      <xdr:row>0</xdr:row>
      <xdr:rowOff>0</xdr:rowOff>
    </xdr:from>
    <xdr:to>
      <xdr:col>95</xdr:col>
      <xdr:colOff>4</xdr:colOff>
      <xdr:row>83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58D5738-A792-4E0A-801A-74E743FE6652}"/>
            </a:ext>
          </a:extLst>
        </xdr:cNvPr>
        <xdr:cNvCxnSpPr/>
      </xdr:nvCxnSpPr>
      <xdr:spPr>
        <a:xfrm>
          <a:off x="58920533" y="0"/>
          <a:ext cx="0" cy="1571961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68</xdr:row>
      <xdr:rowOff>190499</xdr:rowOff>
    </xdr:from>
    <xdr:to>
      <xdr:col>31</xdr:col>
      <xdr:colOff>0</xdr:colOff>
      <xdr:row>99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2CD92D-8EF4-4572-94B5-6164D39572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31</xdr:col>
      <xdr:colOff>0</xdr:colOff>
      <xdr:row>133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1860B7-2944-492B-8E4C-F0D96D28C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138</xdr:row>
      <xdr:rowOff>0</xdr:rowOff>
    </xdr:from>
    <xdr:to>
      <xdr:col>31</xdr:col>
      <xdr:colOff>0</xdr:colOff>
      <xdr:row>166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7CCC47-4E69-431D-A35B-BB93EEC5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169</xdr:row>
      <xdr:rowOff>176892</xdr:rowOff>
    </xdr:from>
    <xdr:to>
      <xdr:col>34</xdr:col>
      <xdr:colOff>0</xdr:colOff>
      <xdr:row>197</xdr:row>
      <xdr:rowOff>176892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636DA5-82BB-443E-A0B3-7D11C6318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16</xdr:col>
      <xdr:colOff>13608</xdr:colOff>
      <xdr:row>2</xdr:row>
      <xdr:rowOff>13607</xdr:rowOff>
    </xdr:from>
    <xdr:to>
      <xdr:col>25</xdr:col>
      <xdr:colOff>1</xdr:colOff>
      <xdr:row>27</xdr:row>
      <xdr:rowOff>169762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4677EF-8E4E-5B27-9DB2-2BA61C2A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715" y="381000"/>
          <a:ext cx="5497286" cy="4578476"/>
        </a:xfrm>
        <a:prstGeom prst="rect">
          <a:avLst/>
        </a:prstGeom>
      </xdr:spPr>
    </xdr:pic>
    <xdr:clientData/>
  </xdr:twoCellAnchor>
  <xdr:twoCellAnchor editAs="oneCell">
    <xdr:from>
      <xdr:col>25</xdr:col>
      <xdr:colOff>9524</xdr:colOff>
      <xdr:row>2</xdr:row>
      <xdr:rowOff>1</xdr:rowOff>
    </xdr:from>
    <xdr:to>
      <xdr:col>35</xdr:col>
      <xdr:colOff>4481</xdr:colOff>
      <xdr:row>27</xdr:row>
      <xdr:rowOff>161926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E768166-7B6A-D5DB-6359-AECEC0FA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05474" y="371476"/>
          <a:ext cx="6086475" cy="4686300"/>
        </a:xfrm>
        <a:prstGeom prst="rect">
          <a:avLst/>
        </a:prstGeom>
      </xdr:spPr>
    </xdr:pic>
    <xdr:clientData/>
  </xdr:twoCellAnchor>
  <xdr:twoCellAnchor editAs="oneCell">
    <xdr:from>
      <xdr:col>16</xdr:col>
      <xdr:colOff>6569</xdr:colOff>
      <xdr:row>36</xdr:row>
      <xdr:rowOff>0</xdr:rowOff>
    </xdr:from>
    <xdr:to>
      <xdr:col>25</xdr:col>
      <xdr:colOff>6568</xdr:colOff>
      <xdr:row>64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549821-112B-FF3C-CF77-DAA14C4F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776" y="6634655"/>
          <a:ext cx="5498223" cy="51632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Equity%20Research\Models\Health%20Care\MedTech\BSX_Model.xlsx" TargetMode="External"/><Relationship Id="rId1" Type="http://schemas.openxmlformats.org/officeDocument/2006/relationships/externalLinkPath" Target="https://d.docs.live.net/Users/User/Desktop/Equity%20Research/Models/Health%20Care/MedTech/BSX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 | Overview"/>
      <sheetName val="Model"/>
      <sheetName val="Notes | Quant Analysis"/>
      <sheetName val="M&amp;A Scope"/>
      <sheetName val="Markets | Product Lines"/>
      <sheetName val="Management"/>
      <sheetName val="Debt Schedule"/>
      <sheetName val="Clinical Trial Channel"/>
    </sheetNames>
    <sheetDataSet>
      <sheetData sheetId="0"/>
      <sheetData sheetId="1">
        <row r="3">
          <cell r="AW3" t="str">
            <v>Q1 2020</v>
          </cell>
          <cell r="AX3" t="str">
            <v>Q2 2020</v>
          </cell>
          <cell r="AY3" t="str">
            <v>Q3 2020</v>
          </cell>
          <cell r="AZ3" t="str">
            <v>Q4 2020</v>
          </cell>
          <cell r="BA3" t="str">
            <v>Q1 2021</v>
          </cell>
          <cell r="BB3" t="str">
            <v>Q2 2021</v>
          </cell>
          <cell r="BC3" t="str">
            <v>Q3 2021</v>
          </cell>
          <cell r="BD3" t="str">
            <v>Q4 2021</v>
          </cell>
          <cell r="BE3" t="str">
            <v>Q1 2022</v>
          </cell>
          <cell r="BF3" t="str">
            <v>Q2 2022</v>
          </cell>
          <cell r="BG3" t="str">
            <v>Q3 2022</v>
          </cell>
          <cell r="BH3" t="str">
            <v>Q4 2022</v>
          </cell>
          <cell r="BI3" t="str">
            <v>Q1 2023</v>
          </cell>
          <cell r="BJ3" t="str">
            <v>Q2 2023</v>
          </cell>
          <cell r="BK3" t="str">
            <v>Q3 2023</v>
          </cell>
          <cell r="BL3" t="str">
            <v>Q4 2023</v>
          </cell>
          <cell r="BM3" t="str">
            <v>Q1 2024</v>
          </cell>
          <cell r="BN3" t="str">
            <v>Q2 2024</v>
          </cell>
          <cell r="BO3" t="str">
            <v>Q3 2024</v>
          </cell>
          <cell r="BP3" t="str">
            <v>Q4 2024</v>
          </cell>
          <cell r="BQ3" t="str">
            <v>Q1 2025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flix.com/" TargetMode="External"/><Relationship Id="rId2" Type="http://schemas.openxmlformats.org/officeDocument/2006/relationships/hyperlink" Target="mailto:ir@netflix.com" TargetMode="External"/><Relationship Id="rId1" Type="http://schemas.openxmlformats.org/officeDocument/2006/relationships/hyperlink" Target="https://app.godelterminal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34"/>
  <sheetViews>
    <sheetView tabSelected="1" workbookViewId="0">
      <selection activeCell="C4" sqref="C4"/>
    </sheetView>
  </sheetViews>
  <sheetFormatPr defaultColWidth="9.140625" defaultRowHeight="14.25"/>
  <cols>
    <col min="1" max="1" width="3.42578125" style="1" customWidth="1"/>
    <col min="2" max="2" width="9.140625" style="1" customWidth="1"/>
    <col min="3" max="3" width="11" style="1" customWidth="1"/>
    <col min="4" max="4" width="9.140625" style="1" customWidth="1"/>
    <col min="5" max="16384" width="9.140625" style="1"/>
  </cols>
  <sheetData>
    <row r="2" spans="2:18" ht="15">
      <c r="B2" s="2" t="s">
        <v>115</v>
      </c>
    </row>
    <row r="3" spans="2:18">
      <c r="B3" s="1" t="s">
        <v>0</v>
      </c>
      <c r="C3" s="75">
        <v>91.29</v>
      </c>
      <c r="D3" s="41" t="s">
        <v>119</v>
      </c>
    </row>
    <row r="4" spans="2:18">
      <c r="B4" s="1" t="s">
        <v>1</v>
      </c>
      <c r="C4" s="74">
        <v>4222</v>
      </c>
      <c r="D4" s="1" t="s">
        <v>118</v>
      </c>
    </row>
    <row r="5" spans="2:18">
      <c r="B5" s="1" t="s">
        <v>2</v>
      </c>
      <c r="C5" s="73">
        <f>C3*C4</f>
        <v>385426.38</v>
      </c>
    </row>
    <row r="6" spans="2:18">
      <c r="B6" s="1" t="s">
        <v>3</v>
      </c>
      <c r="C6" s="73">
        <f>9033.68+28.67</f>
        <v>9062.35</v>
      </c>
      <c r="D6" s="1" t="s">
        <v>118</v>
      </c>
    </row>
    <row r="7" spans="2:18">
      <c r="B7" s="1" t="s">
        <v>4</v>
      </c>
      <c r="C7" s="73">
        <f>998.86+13463.97</f>
        <v>14462.83</v>
      </c>
      <c r="D7" s="1" t="s">
        <v>118</v>
      </c>
    </row>
    <row r="8" spans="2:18">
      <c r="B8" s="1" t="s">
        <v>5</v>
      </c>
      <c r="C8" s="73">
        <f>C5-C6+C7</f>
        <v>390826.86000000004</v>
      </c>
    </row>
    <row r="10" spans="2:18" ht="15">
      <c r="B10" s="2" t="s">
        <v>117</v>
      </c>
    </row>
    <row r="12" spans="2:18" ht="15">
      <c r="B12" s="1" t="s">
        <v>124</v>
      </c>
      <c r="G12" s="1" t="s">
        <v>152</v>
      </c>
      <c r="N12" s="1" t="s">
        <v>94</v>
      </c>
      <c r="Q12" s="2"/>
    </row>
    <row r="13" spans="2:18">
      <c r="B13" s="1" t="s">
        <v>125</v>
      </c>
      <c r="G13" s="1" t="s">
        <v>153</v>
      </c>
      <c r="N13" s="1" t="s">
        <v>7</v>
      </c>
      <c r="Q13" s="42" t="s">
        <v>156</v>
      </c>
    </row>
    <row r="14" spans="2:18">
      <c r="B14" s="1" t="s">
        <v>116</v>
      </c>
      <c r="G14" s="1" t="s">
        <v>6</v>
      </c>
      <c r="N14" s="1" t="s">
        <v>98</v>
      </c>
      <c r="Q14" s="42" t="s">
        <v>157</v>
      </c>
    </row>
    <row r="15" spans="2:18">
      <c r="B15" s="1" t="s">
        <v>126</v>
      </c>
      <c r="G15" s="1" t="s">
        <v>90</v>
      </c>
      <c r="O15" s="1" t="s">
        <v>97</v>
      </c>
      <c r="R15" s="42" t="s">
        <v>158</v>
      </c>
    </row>
    <row r="16" spans="2:18">
      <c r="B16" s="1" t="s">
        <v>127</v>
      </c>
      <c r="G16" s="1" t="s">
        <v>84</v>
      </c>
      <c r="H16" s="1" t="s">
        <v>154</v>
      </c>
      <c r="J16" s="1" t="s">
        <v>85</v>
      </c>
      <c r="K16" s="42" t="s">
        <v>155</v>
      </c>
      <c r="N16" s="1" t="s">
        <v>87</v>
      </c>
      <c r="Q16" s="42" t="s">
        <v>159</v>
      </c>
    </row>
    <row r="17" spans="1:17">
      <c r="B17" s="1" t="s">
        <v>128</v>
      </c>
      <c r="N17" s="1" t="s">
        <v>88</v>
      </c>
      <c r="Q17" s="42" t="s">
        <v>160</v>
      </c>
    </row>
    <row r="18" spans="1:17">
      <c r="B18" s="1" t="s">
        <v>129</v>
      </c>
      <c r="N18" s="1" t="s">
        <v>99</v>
      </c>
      <c r="Q18" s="42" t="s">
        <v>161</v>
      </c>
    </row>
    <row r="19" spans="1:17">
      <c r="B19" s="1" t="s">
        <v>130</v>
      </c>
      <c r="N19" s="1" t="s">
        <v>100</v>
      </c>
      <c r="Q19" s="42" t="s">
        <v>162</v>
      </c>
    </row>
    <row r="20" spans="1:17">
      <c r="B20" s="1" t="s">
        <v>151</v>
      </c>
      <c r="N20" s="1" t="s">
        <v>8</v>
      </c>
      <c r="Q20" s="42" t="s">
        <v>89</v>
      </c>
    </row>
    <row r="21" spans="1:17">
      <c r="Q21" s="42"/>
    </row>
    <row r="22" spans="1:17" ht="15">
      <c r="A22" s="2" t="s">
        <v>9</v>
      </c>
      <c r="N22" s="2"/>
    </row>
    <row r="23" spans="1:17">
      <c r="B23" s="1" t="s">
        <v>120</v>
      </c>
    </row>
    <row r="24" spans="1:17">
      <c r="C24" s="1" t="s">
        <v>121</v>
      </c>
    </row>
    <row r="25" spans="1:17">
      <c r="C25" s="1" t="s">
        <v>122</v>
      </c>
    </row>
    <row r="26" spans="1:17">
      <c r="B26" s="1" t="s">
        <v>123</v>
      </c>
    </row>
    <row r="33" spans="1:2" ht="15">
      <c r="A33" s="2" t="s">
        <v>91</v>
      </c>
    </row>
    <row r="34" spans="1:2">
      <c r="B34" s="1" t="s">
        <v>92</v>
      </c>
    </row>
  </sheetData>
  <hyperlinks>
    <hyperlink ref="Q20" r:id="rId1" xr:uid="{14375537-5C3D-4253-9650-337AB6789785}"/>
    <hyperlink ref="K16" r:id="rId2" xr:uid="{6CED331F-4D74-4492-A219-C983CE4E25BB}"/>
    <hyperlink ref="Q14" r:id="rId3" xr:uid="{2C2ACAF8-2D98-4073-8720-AADF32D22BE9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27957-A42B-4AB7-A411-12A70E029F5D}">
  <dimension ref="B1:FB76"/>
  <sheetViews>
    <sheetView zoomScale="85" zoomScaleNormal="85" workbookViewId="0">
      <pane xSplit="2" ySplit="3" topLeftCell="CK12" activePane="bottomRight" state="frozen"/>
      <selection pane="topRight" activeCell="C1" sqref="C1"/>
      <selection pane="bottomLeft" activeCell="A4" sqref="A4"/>
      <selection pane="bottomRight" activeCell="CM65" sqref="CM65:CM69"/>
    </sheetView>
  </sheetViews>
  <sheetFormatPr defaultColWidth="9.140625" defaultRowHeight="14.25"/>
  <cols>
    <col min="1" max="1" width="3.140625" style="1" customWidth="1"/>
    <col min="2" max="2" width="36.42578125" style="1" customWidth="1"/>
    <col min="3" max="70" width="9.140625" style="1"/>
    <col min="71" max="74" width="9.140625" style="35"/>
    <col min="75" max="95" width="9.140625" style="1"/>
    <col min="96" max="99" width="9.140625" style="35"/>
    <col min="100" max="100" width="9" style="35" customWidth="1"/>
    <col min="101" max="107" width="9.140625" style="35"/>
    <col min="108" max="108" width="9" style="35" customWidth="1"/>
    <col min="109" max="157" width="9.140625" style="35"/>
    <col min="158" max="16384" width="9.140625" style="1"/>
  </cols>
  <sheetData>
    <row r="1" spans="2:158" ht="15">
      <c r="B1" s="1" t="s">
        <v>50</v>
      </c>
      <c r="AU1" s="33" t="s">
        <v>44</v>
      </c>
      <c r="AY1" s="33" t="s">
        <v>45</v>
      </c>
      <c r="BC1" s="33" t="s">
        <v>46</v>
      </c>
      <c r="BG1" s="33" t="s">
        <v>47</v>
      </c>
      <c r="BK1" s="33" t="s">
        <v>48</v>
      </c>
      <c r="BO1" s="33" t="s">
        <v>49</v>
      </c>
    </row>
    <row r="2" spans="2:158">
      <c r="B2" s="1" t="s">
        <v>51</v>
      </c>
    </row>
    <row r="3" spans="2:158" ht="15">
      <c r="B3" s="2" t="s">
        <v>52</v>
      </c>
      <c r="C3" s="2" t="str" cm="1">
        <f t="array" ref="C3:BV3">"Q"&amp;MOD(_xlfn.SEQUENCE(1,72)-1,4)+1&amp;" "&amp;(2009+INT((_xlfn.SEQUENCE(1,72)-1)/4))</f>
        <v>Q1 2009</v>
      </c>
      <c r="D3" s="33" t="str">
        <v>Q2 2009</v>
      </c>
      <c r="E3" s="33" t="str">
        <v>Q3 2009</v>
      </c>
      <c r="F3" s="33" t="str">
        <v>Q4 2009</v>
      </c>
      <c r="G3" s="33" t="str">
        <v>Q1 2010</v>
      </c>
      <c r="H3" s="33" t="str">
        <v>Q2 2010</v>
      </c>
      <c r="I3" s="33" t="str">
        <v>Q3 2010</v>
      </c>
      <c r="J3" s="33" t="str">
        <v>Q4 2010</v>
      </c>
      <c r="K3" s="33" t="str">
        <v>Q1 2011</v>
      </c>
      <c r="L3" s="33" t="str">
        <v>Q2 2011</v>
      </c>
      <c r="M3" s="33" t="str">
        <v>Q3 2011</v>
      </c>
      <c r="N3" s="33" t="str">
        <v>Q4 2011</v>
      </c>
      <c r="O3" s="33" t="str">
        <v>Q1 2012</v>
      </c>
      <c r="P3" s="33" t="str">
        <v>Q2 2012</v>
      </c>
      <c r="Q3" s="33" t="str">
        <v>Q3 2012</v>
      </c>
      <c r="R3" s="33" t="str">
        <v>Q4 2012</v>
      </c>
      <c r="S3" s="33" t="str">
        <v>Q1 2013</v>
      </c>
      <c r="T3" s="33" t="str">
        <v>Q2 2013</v>
      </c>
      <c r="U3" s="33" t="str">
        <v>Q3 2013</v>
      </c>
      <c r="V3" s="33" t="str">
        <v>Q4 2013</v>
      </c>
      <c r="W3" s="33" t="str">
        <v>Q1 2014</v>
      </c>
      <c r="X3" s="33" t="str">
        <v>Q2 2014</v>
      </c>
      <c r="Y3" s="33" t="str">
        <v>Q3 2014</v>
      </c>
      <c r="Z3" s="33" t="str">
        <v>Q4 2014</v>
      </c>
      <c r="AA3" s="33" t="str">
        <v>Q1 2015</v>
      </c>
      <c r="AB3" s="33" t="str">
        <v>Q2 2015</v>
      </c>
      <c r="AC3" s="33" t="str">
        <v>Q3 2015</v>
      </c>
      <c r="AD3" s="33" t="str">
        <v>Q4 2015</v>
      </c>
      <c r="AE3" s="33" t="str">
        <v>Q1 2016</v>
      </c>
      <c r="AF3" s="33" t="str">
        <v>Q2 2016</v>
      </c>
      <c r="AG3" s="33" t="str">
        <v>Q3 2016</v>
      </c>
      <c r="AH3" s="33" t="str">
        <v>Q4 2016</v>
      </c>
      <c r="AI3" s="33" t="str">
        <v>Q1 2017</v>
      </c>
      <c r="AJ3" s="33" t="str">
        <v>Q2 2017</v>
      </c>
      <c r="AK3" s="33" t="str">
        <v>Q3 2017</v>
      </c>
      <c r="AL3" s="33" t="str">
        <v>Q4 2017</v>
      </c>
      <c r="AM3" s="33" t="str">
        <v>Q1 2018</v>
      </c>
      <c r="AN3" s="33" t="str">
        <v>Q2 2018</v>
      </c>
      <c r="AO3" s="33" t="str">
        <v>Q3 2018</v>
      </c>
      <c r="AP3" s="33" t="str">
        <v>Q4 2018</v>
      </c>
      <c r="AQ3" s="33" t="str">
        <v>Q1 2019</v>
      </c>
      <c r="AR3" s="33" t="str">
        <v>Q2 2019</v>
      </c>
      <c r="AS3" s="33" t="str">
        <v>Q3 2019</v>
      </c>
      <c r="AT3" s="33" t="str">
        <v>Q4 2019</v>
      </c>
      <c r="AU3" s="33" t="str">
        <v>Q1 2020</v>
      </c>
      <c r="AV3" s="33" t="str">
        <v>Q2 2020</v>
      </c>
      <c r="AW3" s="33" t="str">
        <v>Q3 2020</v>
      </c>
      <c r="AX3" s="33" t="str">
        <v>Q4 2020</v>
      </c>
      <c r="AY3" s="33" t="str">
        <v>Q1 2021</v>
      </c>
      <c r="AZ3" s="33" t="str">
        <v>Q2 2021</v>
      </c>
      <c r="BA3" s="33" t="str">
        <v>Q3 2021</v>
      </c>
      <c r="BB3" s="33" t="str">
        <v>Q4 2021</v>
      </c>
      <c r="BC3" s="33" t="str">
        <v>Q1 2022</v>
      </c>
      <c r="BD3" s="33" t="str">
        <v>Q2 2022</v>
      </c>
      <c r="BE3" s="33" t="str">
        <v>Q3 2022</v>
      </c>
      <c r="BF3" s="33" t="str">
        <v>Q4 2022</v>
      </c>
      <c r="BG3" s="33" t="str">
        <v>Q1 2023</v>
      </c>
      <c r="BH3" s="33" t="str">
        <v>Q2 2023</v>
      </c>
      <c r="BI3" s="33" t="str">
        <v>Q3 2023</v>
      </c>
      <c r="BJ3" s="33" t="str">
        <v>Q4 2023</v>
      </c>
      <c r="BK3" s="33" t="str">
        <v>Q1 2024</v>
      </c>
      <c r="BL3" s="33" t="str">
        <v>Q2 2024</v>
      </c>
      <c r="BM3" s="33" t="str">
        <v>Q3 2024</v>
      </c>
      <c r="BN3" s="33" t="str">
        <v>Q4 2024</v>
      </c>
      <c r="BO3" s="33" t="str">
        <v>Q1 2025</v>
      </c>
      <c r="BP3" s="2" t="str">
        <v>Q2 2025</v>
      </c>
      <c r="BQ3" s="2" t="str">
        <v>Q3 2025</v>
      </c>
      <c r="BR3" s="2" t="str">
        <v>Q4 2025</v>
      </c>
      <c r="BS3" s="34" t="str">
        <v>Q1 2026</v>
      </c>
      <c r="BT3" s="34" t="str">
        <v>Q2 2026</v>
      </c>
      <c r="BU3" s="34" t="str">
        <v>Q3 2026</v>
      </c>
      <c r="BV3" s="34" t="str">
        <v>Q4 2026</v>
      </c>
      <c r="CA3" s="2">
        <v>2009</v>
      </c>
      <c r="CB3" s="2">
        <f t="shared" ref="CB3:EM3" si="0">CA3+1</f>
        <v>2010</v>
      </c>
      <c r="CC3" s="2">
        <f t="shared" si="0"/>
        <v>2011</v>
      </c>
      <c r="CD3" s="2">
        <f t="shared" si="0"/>
        <v>2012</v>
      </c>
      <c r="CE3" s="2">
        <f t="shared" si="0"/>
        <v>2013</v>
      </c>
      <c r="CF3" s="2">
        <f t="shared" si="0"/>
        <v>2014</v>
      </c>
      <c r="CG3" s="2">
        <f t="shared" si="0"/>
        <v>2015</v>
      </c>
      <c r="CH3" s="2">
        <f t="shared" si="0"/>
        <v>2016</v>
      </c>
      <c r="CI3" s="2">
        <f t="shared" si="0"/>
        <v>2017</v>
      </c>
      <c r="CJ3" s="2">
        <f t="shared" si="0"/>
        <v>2018</v>
      </c>
      <c r="CK3" s="2">
        <f t="shared" si="0"/>
        <v>2019</v>
      </c>
      <c r="CL3" s="2">
        <f t="shared" si="0"/>
        <v>2020</v>
      </c>
      <c r="CM3" s="2">
        <f t="shared" si="0"/>
        <v>2021</v>
      </c>
      <c r="CN3" s="2">
        <f t="shared" si="0"/>
        <v>2022</v>
      </c>
      <c r="CO3" s="2">
        <f t="shared" si="0"/>
        <v>2023</v>
      </c>
      <c r="CP3" s="2">
        <f t="shared" si="0"/>
        <v>2024</v>
      </c>
      <c r="CQ3" s="2">
        <f t="shared" si="0"/>
        <v>2025</v>
      </c>
      <c r="CR3" s="34">
        <f>CQ3+1</f>
        <v>2026</v>
      </c>
      <c r="CS3" s="34">
        <f t="shared" si="0"/>
        <v>2027</v>
      </c>
      <c r="CT3" s="34">
        <f t="shared" si="0"/>
        <v>2028</v>
      </c>
      <c r="CU3" s="34">
        <f t="shared" si="0"/>
        <v>2029</v>
      </c>
      <c r="CV3" s="34">
        <f t="shared" si="0"/>
        <v>2030</v>
      </c>
      <c r="CW3" s="34">
        <f t="shared" si="0"/>
        <v>2031</v>
      </c>
      <c r="CX3" s="34">
        <f t="shared" si="0"/>
        <v>2032</v>
      </c>
      <c r="CY3" s="34">
        <f t="shared" si="0"/>
        <v>2033</v>
      </c>
      <c r="CZ3" s="34">
        <f t="shared" si="0"/>
        <v>2034</v>
      </c>
      <c r="DA3" s="34">
        <f t="shared" si="0"/>
        <v>2035</v>
      </c>
      <c r="DB3" s="34">
        <f t="shared" si="0"/>
        <v>2036</v>
      </c>
      <c r="DC3" s="34">
        <f t="shared" si="0"/>
        <v>2037</v>
      </c>
      <c r="DD3" s="34">
        <f t="shared" si="0"/>
        <v>2038</v>
      </c>
      <c r="DE3" s="34">
        <f t="shared" si="0"/>
        <v>2039</v>
      </c>
      <c r="DF3" s="34">
        <f t="shared" si="0"/>
        <v>2040</v>
      </c>
      <c r="DG3" s="34">
        <f t="shared" si="0"/>
        <v>2041</v>
      </c>
      <c r="DH3" s="34">
        <f t="shared" si="0"/>
        <v>2042</v>
      </c>
      <c r="DI3" s="34">
        <f t="shared" si="0"/>
        <v>2043</v>
      </c>
      <c r="DJ3" s="34">
        <f t="shared" si="0"/>
        <v>2044</v>
      </c>
      <c r="DK3" s="34">
        <f t="shared" si="0"/>
        <v>2045</v>
      </c>
      <c r="DL3" s="34">
        <f t="shared" si="0"/>
        <v>2046</v>
      </c>
      <c r="DM3" s="34">
        <f t="shared" si="0"/>
        <v>2047</v>
      </c>
      <c r="DN3" s="34">
        <f t="shared" si="0"/>
        <v>2048</v>
      </c>
      <c r="DO3" s="34">
        <f t="shared" si="0"/>
        <v>2049</v>
      </c>
      <c r="DP3" s="34">
        <f t="shared" si="0"/>
        <v>2050</v>
      </c>
      <c r="DQ3" s="34">
        <f t="shared" si="0"/>
        <v>2051</v>
      </c>
      <c r="DR3" s="34">
        <f t="shared" si="0"/>
        <v>2052</v>
      </c>
      <c r="DS3" s="34">
        <f t="shared" si="0"/>
        <v>2053</v>
      </c>
      <c r="DT3" s="34">
        <f t="shared" si="0"/>
        <v>2054</v>
      </c>
      <c r="DU3" s="34">
        <f t="shared" si="0"/>
        <v>2055</v>
      </c>
      <c r="DV3" s="34">
        <f t="shared" si="0"/>
        <v>2056</v>
      </c>
      <c r="DW3" s="34">
        <f t="shared" si="0"/>
        <v>2057</v>
      </c>
      <c r="DX3" s="34">
        <f t="shared" si="0"/>
        <v>2058</v>
      </c>
      <c r="DY3" s="34">
        <f t="shared" si="0"/>
        <v>2059</v>
      </c>
      <c r="DZ3" s="34">
        <f t="shared" si="0"/>
        <v>2060</v>
      </c>
      <c r="EA3" s="34">
        <f t="shared" si="0"/>
        <v>2061</v>
      </c>
      <c r="EB3" s="34">
        <f t="shared" si="0"/>
        <v>2062</v>
      </c>
      <c r="EC3" s="34">
        <f t="shared" si="0"/>
        <v>2063</v>
      </c>
      <c r="ED3" s="34">
        <f t="shared" si="0"/>
        <v>2064</v>
      </c>
      <c r="EE3" s="34">
        <f t="shared" si="0"/>
        <v>2065</v>
      </c>
      <c r="EF3" s="34">
        <f t="shared" si="0"/>
        <v>2066</v>
      </c>
      <c r="EG3" s="34">
        <f t="shared" si="0"/>
        <v>2067</v>
      </c>
      <c r="EH3" s="34">
        <f t="shared" si="0"/>
        <v>2068</v>
      </c>
      <c r="EI3" s="34">
        <f t="shared" si="0"/>
        <v>2069</v>
      </c>
      <c r="EJ3" s="34">
        <f t="shared" si="0"/>
        <v>2070</v>
      </c>
      <c r="EK3" s="34">
        <f t="shared" si="0"/>
        <v>2071</v>
      </c>
      <c r="EL3" s="34">
        <f t="shared" si="0"/>
        <v>2072</v>
      </c>
      <c r="EM3" s="34">
        <f t="shared" si="0"/>
        <v>2073</v>
      </c>
      <c r="EN3" s="34">
        <f t="shared" ref="EN3:EY3" si="1">EM3+1</f>
        <v>2074</v>
      </c>
      <c r="EO3" s="34">
        <f t="shared" si="1"/>
        <v>2075</v>
      </c>
      <c r="EP3" s="34">
        <f t="shared" si="1"/>
        <v>2076</v>
      </c>
      <c r="EQ3" s="34">
        <f t="shared" si="1"/>
        <v>2077</v>
      </c>
      <c r="ER3" s="34">
        <f t="shared" si="1"/>
        <v>2078</v>
      </c>
      <c r="ES3" s="34">
        <f t="shared" si="1"/>
        <v>2079</v>
      </c>
      <c r="ET3" s="34">
        <f t="shared" si="1"/>
        <v>2080</v>
      </c>
      <c r="EU3" s="34">
        <f t="shared" si="1"/>
        <v>2081</v>
      </c>
      <c r="EV3" s="34">
        <f t="shared" si="1"/>
        <v>2082</v>
      </c>
      <c r="EW3" s="34">
        <f t="shared" si="1"/>
        <v>2083</v>
      </c>
      <c r="EX3" s="34">
        <f t="shared" si="1"/>
        <v>2084</v>
      </c>
      <c r="EY3" s="34">
        <f t="shared" si="1"/>
        <v>2085</v>
      </c>
      <c r="EZ3" s="34"/>
      <c r="FA3" s="34"/>
      <c r="FB3" s="2"/>
    </row>
    <row r="4" spans="2:158">
      <c r="B4" s="1" t="s">
        <v>943</v>
      </c>
      <c r="BG4" s="79"/>
      <c r="BH4" s="79"/>
      <c r="BI4" s="79"/>
      <c r="BJ4" s="79">
        <f>14873.78-SUM(BG4:BI4)</f>
        <v>14873.78</v>
      </c>
      <c r="BK4" s="79">
        <v>4224.3100000000004</v>
      </c>
      <c r="BL4" s="79">
        <v>4295.5600000000004</v>
      </c>
      <c r="BM4" s="79">
        <v>4322.47</v>
      </c>
      <c r="BN4" s="79">
        <f>17359.36-SUM(BK4:BM4)</f>
        <v>4517.0200000000004</v>
      </c>
      <c r="BO4" s="79">
        <v>4617.09</v>
      </c>
      <c r="BP4" s="79">
        <v>4929.0029999999997</v>
      </c>
      <c r="BQ4" s="79">
        <v>5071.78</v>
      </c>
      <c r="BR4" s="79">
        <f>19957.15-SUM(BO4:BQ4)</f>
        <v>5339.2770000000019</v>
      </c>
      <c r="CO4" s="79">
        <f>SUM(BG4:BJ4)</f>
        <v>14873.78</v>
      </c>
      <c r="CP4" s="79">
        <f t="shared" ref="CP4:CQ8" si="2">SUM(BK4:BN4)</f>
        <v>17359.36</v>
      </c>
      <c r="CQ4" s="79">
        <f t="shared" si="2"/>
        <v>17752.14</v>
      </c>
      <c r="CR4" s="63">
        <f>CQ4*(1+CR10)</f>
        <v>20237.439600000002</v>
      </c>
      <c r="CS4" s="63">
        <f t="shared" ref="CS4:DA4" si="3">CR4*(1+CS10)</f>
        <v>22463.557956000004</v>
      </c>
      <c r="CT4" s="63">
        <f t="shared" si="3"/>
        <v>24485.278172040005</v>
      </c>
      <c r="CU4" s="63">
        <f t="shared" si="3"/>
        <v>26444.100425803208</v>
      </c>
      <c r="CV4" s="63">
        <f t="shared" si="3"/>
        <v>28295.187455609434</v>
      </c>
      <c r="CW4" s="63">
        <f t="shared" si="3"/>
        <v>29992.898702946</v>
      </c>
      <c r="CX4" s="63">
        <f t="shared" si="3"/>
        <v>31492.543638093302</v>
      </c>
      <c r="CY4" s="63">
        <f t="shared" si="3"/>
        <v>32909.708101807497</v>
      </c>
      <c r="CZ4" s="63">
        <f t="shared" si="3"/>
        <v>34226.096425879798</v>
      </c>
      <c r="DA4" s="63">
        <f t="shared" si="3"/>
        <v>35424.009800785585</v>
      </c>
    </row>
    <row r="5" spans="2:158">
      <c r="B5" s="1" t="s">
        <v>944</v>
      </c>
      <c r="BG5" s="79"/>
      <c r="BH5" s="79"/>
      <c r="BI5" s="79"/>
      <c r="BJ5" s="79">
        <f>10556.48-SUM(BG5:BI5)</f>
        <v>10556.48</v>
      </c>
      <c r="BK5" s="79">
        <v>2958.19</v>
      </c>
      <c r="BL5" s="79">
        <v>3007</v>
      </c>
      <c r="BM5" s="79">
        <v>3133.46</v>
      </c>
      <c r="BN5" s="79">
        <f>12387.03-SUM(BK5:BM5)</f>
        <v>3288.3799999999992</v>
      </c>
      <c r="BO5" s="79">
        <v>3404.67</v>
      </c>
      <c r="BP5" s="79">
        <v>3538.17</v>
      </c>
      <c r="BQ5" s="79">
        <v>3699.05</v>
      </c>
      <c r="BR5" s="79">
        <f>14514.646-SUM(BO5:BQ5)</f>
        <v>3872.7560000000012</v>
      </c>
      <c r="CO5" s="79">
        <f>SUM(BG5:BJ5)</f>
        <v>10556.48</v>
      </c>
      <c r="CP5" s="79">
        <f t="shared" si="2"/>
        <v>12387.03</v>
      </c>
      <c r="CQ5" s="79">
        <f t="shared" si="2"/>
        <v>12833.51</v>
      </c>
      <c r="CR5" s="63">
        <f t="shared" ref="CR5:DA7" si="4">CQ5*(1+CR11)</f>
        <v>14245.196100000001</v>
      </c>
      <c r="CS5" s="63">
        <f t="shared" si="4"/>
        <v>15527.263749000002</v>
      </c>
      <c r="CT5" s="63">
        <f t="shared" si="4"/>
        <v>16614.172211430003</v>
      </c>
      <c r="CU5" s="63">
        <f t="shared" si="4"/>
        <v>17611.022544115804</v>
      </c>
      <c r="CV5" s="63">
        <f t="shared" si="4"/>
        <v>18491.573671321596</v>
      </c>
      <c r="CW5" s="63">
        <f t="shared" si="4"/>
        <v>19231.236618174462</v>
      </c>
      <c r="CX5" s="63">
        <f t="shared" si="4"/>
        <v>19904.329899810567</v>
      </c>
      <c r="CY5" s="63">
        <f t="shared" si="4"/>
        <v>20551.22062155441</v>
      </c>
      <c r="CZ5" s="63">
        <f t="shared" si="4"/>
        <v>21167.757240201045</v>
      </c>
      <c r="DA5" s="63">
        <f t="shared" si="4"/>
        <v>21591.112385005064</v>
      </c>
    </row>
    <row r="6" spans="2:158">
      <c r="B6" s="1" t="s">
        <v>945</v>
      </c>
      <c r="BG6" s="79"/>
      <c r="BH6" s="79"/>
      <c r="BI6" s="79"/>
      <c r="BJ6" s="79">
        <f>4446.46-SUM(BG6:BI6)</f>
        <v>4446.46</v>
      </c>
      <c r="BK6" s="79">
        <v>1165</v>
      </c>
      <c r="BL6" s="79">
        <v>1204.1400000000001</v>
      </c>
      <c r="BM6" s="79">
        <v>1240.8900000000001</v>
      </c>
      <c r="BN6" s="79">
        <f>4839.81-SUM(BK6:BM6)</f>
        <v>1229.7799999999997</v>
      </c>
      <c r="BO6" s="79">
        <v>1261.93</v>
      </c>
      <c r="BP6" s="79">
        <v>1306.73</v>
      </c>
      <c r="BQ6" s="79">
        <v>1370.91</v>
      </c>
      <c r="BR6" s="79">
        <f>5357.52-SUM(BO6:BQ6)</f>
        <v>1417.9500000000007</v>
      </c>
      <c r="CO6" s="79">
        <f>SUM(BG6:BJ6)</f>
        <v>4446.46</v>
      </c>
      <c r="CP6" s="79">
        <f t="shared" si="2"/>
        <v>4839.8100000000004</v>
      </c>
      <c r="CQ6" s="79">
        <f t="shared" si="2"/>
        <v>4936.74</v>
      </c>
      <c r="CR6" s="63">
        <f t="shared" si="4"/>
        <v>5726.6183999999994</v>
      </c>
      <c r="CS6" s="63">
        <f t="shared" si="4"/>
        <v>6356.5464240000001</v>
      </c>
      <c r="CT6" s="63">
        <f t="shared" si="4"/>
        <v>6928.6356021600004</v>
      </c>
      <c r="CU6" s="63">
        <f t="shared" si="4"/>
        <v>7482.9264503328013</v>
      </c>
      <c r="CV6" s="63">
        <f t="shared" si="4"/>
        <v>8006.7313018560981</v>
      </c>
      <c r="CW6" s="63">
        <f t="shared" si="4"/>
        <v>8487.1351799674649</v>
      </c>
      <c r="CX6" s="63">
        <f t="shared" si="4"/>
        <v>8911.4919389658389</v>
      </c>
      <c r="CY6" s="63">
        <f t="shared" si="4"/>
        <v>9312.5090762193013</v>
      </c>
      <c r="CZ6" s="63">
        <f t="shared" si="4"/>
        <v>9685.009439268073</v>
      </c>
      <c r="DA6" s="63">
        <f t="shared" si="4"/>
        <v>10023.984769642455</v>
      </c>
    </row>
    <row r="7" spans="2:158">
      <c r="B7" s="1" t="s">
        <v>950</v>
      </c>
      <c r="BG7" s="79"/>
      <c r="BH7" s="79"/>
      <c r="BI7" s="79"/>
      <c r="BJ7" s="79">
        <f>3763.72-SUM(BG7:BI7)</f>
        <v>3763.72</v>
      </c>
      <c r="BK7" s="79">
        <v>1022.92</v>
      </c>
      <c r="BL7" s="79">
        <v>1051.8330000000001</v>
      </c>
      <c r="BM7" s="79">
        <v>1127.8599999999999</v>
      </c>
      <c r="BN7" s="79">
        <f>4414.74-SUM(BK7:BM7)</f>
        <v>1212.1269999999995</v>
      </c>
      <c r="BO7" s="79">
        <v>1259.0899999999999</v>
      </c>
      <c r="BP7" s="79">
        <v>1305.25</v>
      </c>
      <c r="BQ7" s="79">
        <v>1368.56</v>
      </c>
      <c r="BR7" s="79">
        <f>5353.717-SUM(BO7:BQ7)</f>
        <v>1420.8169999999996</v>
      </c>
      <c r="CO7" s="79">
        <f>SUM(BG7:BJ7)</f>
        <v>3763.72</v>
      </c>
      <c r="CP7" s="79">
        <f t="shared" si="2"/>
        <v>4414.74</v>
      </c>
      <c r="CQ7" s="79">
        <f t="shared" si="2"/>
        <v>4650.91</v>
      </c>
      <c r="CR7" s="63">
        <f t="shared" si="4"/>
        <v>5627.6010999999999</v>
      </c>
      <c r="CS7" s="63">
        <f t="shared" si="4"/>
        <v>6640.5692979999994</v>
      </c>
      <c r="CT7" s="63">
        <f t="shared" si="4"/>
        <v>7636.654692699999</v>
      </c>
      <c r="CU7" s="63">
        <f t="shared" si="4"/>
        <v>8629.4198027509974</v>
      </c>
      <c r="CV7" s="63">
        <f t="shared" si="4"/>
        <v>9578.6559810536073</v>
      </c>
      <c r="CW7" s="63">
        <f t="shared" si="4"/>
        <v>10440.735019348433</v>
      </c>
      <c r="CX7" s="63">
        <f t="shared" si="4"/>
        <v>11171.586470702823</v>
      </c>
      <c r="CY7" s="63">
        <f t="shared" si="4"/>
        <v>11841.881658944993</v>
      </c>
      <c r="CZ7" s="63">
        <f t="shared" si="4"/>
        <v>12433.975741892242</v>
      </c>
      <c r="DA7" s="63">
        <f t="shared" si="4"/>
        <v>12931.334771567932</v>
      </c>
    </row>
    <row r="8" spans="2:158" s="2" customFormat="1" ht="15">
      <c r="B8" s="2" t="s">
        <v>53</v>
      </c>
      <c r="BG8" s="76"/>
      <c r="BH8" s="76"/>
      <c r="BI8" s="76"/>
      <c r="BJ8" s="76">
        <f t="shared" ref="BJ8:BQ8" si="5">SUM(BJ4:BJ7)</f>
        <v>33640.44</v>
      </c>
      <c r="BK8" s="76">
        <f t="shared" si="5"/>
        <v>9370.42</v>
      </c>
      <c r="BL8" s="76">
        <f t="shared" si="5"/>
        <v>9558.5330000000013</v>
      </c>
      <c r="BM8" s="76">
        <f t="shared" si="5"/>
        <v>9824.68</v>
      </c>
      <c r="BN8" s="76">
        <f t="shared" si="5"/>
        <v>10247.307000000001</v>
      </c>
      <c r="BO8" s="76">
        <f t="shared" si="5"/>
        <v>10542.78</v>
      </c>
      <c r="BP8" s="76">
        <f t="shared" si="5"/>
        <v>11079.152999999998</v>
      </c>
      <c r="BQ8" s="76">
        <f t="shared" si="5"/>
        <v>11510.3</v>
      </c>
      <c r="BR8" s="76">
        <f>SUM(BR4:BR7)</f>
        <v>12050.800000000003</v>
      </c>
      <c r="BS8" s="34"/>
      <c r="BT8" s="34"/>
      <c r="BU8" s="34"/>
      <c r="BV8" s="34"/>
      <c r="CO8" s="76">
        <f>SUM(BG8:BJ8)</f>
        <v>33640.44</v>
      </c>
      <c r="CP8" s="76">
        <f t="shared" si="2"/>
        <v>39000.94</v>
      </c>
      <c r="CQ8" s="76">
        <f t="shared" si="2"/>
        <v>40173.300000000003</v>
      </c>
      <c r="CR8" s="88">
        <f>SUM(CR4:CR7)</f>
        <v>45836.855199999998</v>
      </c>
      <c r="CS8" s="88">
        <f t="shared" ref="CS8:DA8" si="6">SUM(CS4:CS7)</f>
        <v>50987.937427000012</v>
      </c>
      <c r="CT8" s="88">
        <f t="shared" si="6"/>
        <v>55664.74067833001</v>
      </c>
      <c r="CU8" s="88">
        <f t="shared" si="6"/>
        <v>60167.469223002816</v>
      </c>
      <c r="CV8" s="88">
        <f t="shared" si="6"/>
        <v>64372.148409840731</v>
      </c>
      <c r="CW8" s="88">
        <f t="shared" si="6"/>
        <v>68152.00552043636</v>
      </c>
      <c r="CX8" s="88">
        <f t="shared" si="6"/>
        <v>71479.951947572525</v>
      </c>
      <c r="CY8" s="88">
        <f t="shared" si="6"/>
        <v>74615.31945852621</v>
      </c>
      <c r="CZ8" s="88">
        <f t="shared" si="6"/>
        <v>77512.838847241161</v>
      </c>
      <c r="DA8" s="88">
        <f t="shared" si="6"/>
        <v>79970.441727001031</v>
      </c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</row>
    <row r="10" spans="2:158" ht="15">
      <c r="B10" s="1" t="s">
        <v>947</v>
      </c>
      <c r="BJ10" s="80"/>
      <c r="BK10" s="80"/>
      <c r="BL10" s="80"/>
      <c r="BM10" s="80"/>
      <c r="BN10" s="80">
        <f t="shared" ref="BN10:BR12" si="7">BN4/BJ4-1</f>
        <v>-0.69630988222227308</v>
      </c>
      <c r="BO10" s="80">
        <f t="shared" si="7"/>
        <v>9.2980865514131317E-2</v>
      </c>
      <c r="BP10" s="80">
        <f t="shared" si="7"/>
        <v>0.14746459134548218</v>
      </c>
      <c r="BQ10" s="80">
        <f t="shared" si="7"/>
        <v>0.17335227312161794</v>
      </c>
      <c r="BR10" s="80">
        <f t="shared" si="7"/>
        <v>0.18203527989692359</v>
      </c>
      <c r="CO10" s="80"/>
      <c r="CP10" s="80">
        <f>CP4/CO4-1</f>
        <v>0.16711152107937588</v>
      </c>
      <c r="CQ10" s="80">
        <f>CQ4/CP4-1</f>
        <v>2.2626410190237367E-2</v>
      </c>
      <c r="CR10" s="87">
        <v>0.14000000000000001</v>
      </c>
      <c r="CS10" s="87">
        <v>0.11</v>
      </c>
      <c r="CT10" s="87">
        <v>0.09</v>
      </c>
      <c r="CU10" s="87">
        <v>0.08</v>
      </c>
      <c r="CV10" s="87">
        <v>7.0000000000000007E-2</v>
      </c>
      <c r="CW10" s="87">
        <v>0.06</v>
      </c>
      <c r="CX10" s="87">
        <v>0.05</v>
      </c>
      <c r="CY10" s="87">
        <v>4.4999999999999998E-2</v>
      </c>
      <c r="CZ10" s="87">
        <v>0.04</v>
      </c>
      <c r="DA10" s="87">
        <v>3.5000000000000003E-2</v>
      </c>
    </row>
    <row r="11" spans="2:158" ht="15">
      <c r="B11" s="1" t="s">
        <v>948</v>
      </c>
      <c r="BJ11" s="80"/>
      <c r="BK11" s="80"/>
      <c r="BL11" s="80"/>
      <c r="BM11" s="80"/>
      <c r="BN11" s="80">
        <f t="shared" si="7"/>
        <v>-0.6884965443026464</v>
      </c>
      <c r="BO11" s="80">
        <f t="shared" si="7"/>
        <v>0.15093012957247498</v>
      </c>
      <c r="BP11" s="80">
        <f t="shared" si="7"/>
        <v>0.17664449617559042</v>
      </c>
      <c r="BQ11" s="80">
        <f t="shared" si="7"/>
        <v>0.18050014999393649</v>
      </c>
      <c r="BR11" s="80">
        <f t="shared" si="7"/>
        <v>0.17770938881759468</v>
      </c>
      <c r="CO11" s="80"/>
      <c r="CP11" s="80">
        <f t="shared" ref="CP11:CQ14" si="8">CP5/CO5-1</f>
        <v>0.17340533965867411</v>
      </c>
      <c r="CQ11" s="80">
        <f t="shared" si="8"/>
        <v>3.6044152633843529E-2</v>
      </c>
      <c r="CR11" s="87">
        <v>0.11</v>
      </c>
      <c r="CS11" s="87">
        <v>0.09</v>
      </c>
      <c r="CT11" s="87">
        <v>7.0000000000000007E-2</v>
      </c>
      <c r="CU11" s="87">
        <v>0.06</v>
      </c>
      <c r="CV11" s="87">
        <v>0.05</v>
      </c>
      <c r="CW11" s="87">
        <v>0.04</v>
      </c>
      <c r="CX11" s="87">
        <v>3.5000000000000003E-2</v>
      </c>
      <c r="CY11" s="87">
        <v>3.2500000000000001E-2</v>
      </c>
      <c r="CZ11" s="87">
        <v>0.03</v>
      </c>
      <c r="DA11" s="87">
        <v>0.02</v>
      </c>
    </row>
    <row r="12" spans="2:158" ht="15">
      <c r="B12" s="1" t="s">
        <v>949</v>
      </c>
      <c r="BJ12" s="80"/>
      <c r="BK12" s="80"/>
      <c r="BL12" s="80"/>
      <c r="BM12" s="80"/>
      <c r="BN12" s="80">
        <f t="shared" si="7"/>
        <v>-0.72342492679569825</v>
      </c>
      <c r="BO12" s="80">
        <f t="shared" si="7"/>
        <v>8.320171673819754E-2</v>
      </c>
      <c r="BP12" s="80">
        <f t="shared" si="7"/>
        <v>8.5197734482701293E-2</v>
      </c>
      <c r="BQ12" s="80">
        <f t="shared" si="7"/>
        <v>0.10477963397239076</v>
      </c>
      <c r="BR12" s="80">
        <f t="shared" si="7"/>
        <v>0.15301110767779691</v>
      </c>
      <c r="CO12" s="80"/>
      <c r="CP12" s="80">
        <f t="shared" si="8"/>
        <v>8.8463631743004534E-2</v>
      </c>
      <c r="CQ12" s="80">
        <f t="shared" si="8"/>
        <v>2.0027645713364572E-2</v>
      </c>
      <c r="CR12" s="87">
        <v>0.16</v>
      </c>
      <c r="CS12" s="87">
        <v>0.11</v>
      </c>
      <c r="CT12" s="87">
        <v>0.09</v>
      </c>
      <c r="CU12" s="87">
        <v>0.08</v>
      </c>
      <c r="CV12" s="87">
        <v>7.0000000000000007E-2</v>
      </c>
      <c r="CW12" s="87">
        <v>0.06</v>
      </c>
      <c r="CX12" s="87">
        <v>0.05</v>
      </c>
      <c r="CY12" s="87">
        <v>4.4999999999999998E-2</v>
      </c>
      <c r="CZ12" s="87">
        <v>0.04</v>
      </c>
      <c r="DA12" s="87">
        <v>3.5000000000000003E-2</v>
      </c>
    </row>
    <row r="13" spans="2:158" ht="15">
      <c r="B13" s="1" t="s">
        <v>946</v>
      </c>
      <c r="BJ13" s="80"/>
      <c r="BK13" s="80"/>
      <c r="BL13" s="80"/>
      <c r="BM13" s="80"/>
      <c r="BN13" s="80">
        <f t="shared" ref="BN13" si="9">BN7/BJ7-1</f>
        <v>-0.67794442732190507</v>
      </c>
      <c r="BO13" s="80">
        <f t="shared" ref="BO13" si="10">BO7/BK7-1</f>
        <v>0.2308782700504437</v>
      </c>
      <c r="BP13" s="80">
        <f t="shared" ref="BP13" si="11">BP7/BL7-1</f>
        <v>0.24092893073330068</v>
      </c>
      <c r="BQ13" s="80">
        <f t="shared" ref="BQ13" si="12">BQ7/BM7-1</f>
        <v>0.21341301225329401</v>
      </c>
      <c r="BR13" s="80">
        <f t="shared" ref="BR13" si="13">BR7/BN7-1</f>
        <v>0.17216842789575693</v>
      </c>
      <c r="CO13" s="80"/>
      <c r="CP13" s="80">
        <f t="shared" si="8"/>
        <v>0.17297248466942272</v>
      </c>
      <c r="CQ13" s="80">
        <f t="shared" si="8"/>
        <v>5.349578910649333E-2</v>
      </c>
      <c r="CR13" s="87">
        <v>0.21</v>
      </c>
      <c r="CS13" s="87">
        <v>0.18</v>
      </c>
      <c r="CT13" s="87">
        <v>0.15</v>
      </c>
      <c r="CU13" s="87">
        <v>0.13</v>
      </c>
      <c r="CV13" s="87">
        <v>0.11</v>
      </c>
      <c r="CW13" s="87">
        <v>0.09</v>
      </c>
      <c r="CX13" s="87">
        <v>7.0000000000000007E-2</v>
      </c>
      <c r="CY13" s="87">
        <v>0.06</v>
      </c>
      <c r="CZ13" s="87">
        <v>0.05</v>
      </c>
      <c r="DA13" s="87">
        <v>0.04</v>
      </c>
    </row>
    <row r="14" spans="2:158" s="2" customFormat="1" ht="15">
      <c r="B14" s="2" t="s">
        <v>101</v>
      </c>
      <c r="BJ14" s="86"/>
      <c r="BK14" s="86"/>
      <c r="BL14" s="86"/>
      <c r="BM14" s="86"/>
      <c r="BN14" s="86">
        <f t="shared" ref="BN14:BO14" si="14">BN8/BJ8-1</f>
        <v>-0.6953872482048391</v>
      </c>
      <c r="BO14" s="86">
        <f t="shared" si="14"/>
        <v>0.12511285513349457</v>
      </c>
      <c r="BP14" s="86">
        <f t="shared" ref="BP14:BR14" si="15">BP8/BL8-1</f>
        <v>0.15908508136133404</v>
      </c>
      <c r="BQ14" s="86">
        <f t="shared" si="15"/>
        <v>0.17156996461971263</v>
      </c>
      <c r="BR14" s="86">
        <f t="shared" si="15"/>
        <v>0.17599677651894319</v>
      </c>
      <c r="BS14" s="34"/>
      <c r="BT14" s="34"/>
      <c r="BU14" s="34"/>
      <c r="BV14" s="34"/>
      <c r="CO14" s="86"/>
      <c r="CP14" s="86">
        <f t="shared" si="8"/>
        <v>0.15934690509398797</v>
      </c>
      <c r="CQ14" s="86">
        <f t="shared" si="8"/>
        <v>3.0059788302538415E-2</v>
      </c>
      <c r="CR14" s="87">
        <f t="shared" ref="CR14:DA14" si="16">CR8/CQ8-1</f>
        <v>0.14097809241461356</v>
      </c>
      <c r="CS14" s="87">
        <f t="shared" si="16"/>
        <v>0.11237861333471266</v>
      </c>
      <c r="CT14" s="87">
        <f t="shared" si="16"/>
        <v>9.1723719125250458E-2</v>
      </c>
      <c r="CU14" s="87">
        <f t="shared" si="16"/>
        <v>8.0890137810804452E-2</v>
      </c>
      <c r="CV14" s="87">
        <f t="shared" si="16"/>
        <v>6.9882932440682E-2</v>
      </c>
      <c r="CW14" s="87">
        <f t="shared" si="16"/>
        <v>5.8718828001984136E-2</v>
      </c>
      <c r="CX14" s="87">
        <f t="shared" si="16"/>
        <v>4.8831232503322664E-2</v>
      </c>
      <c r="CY14" s="87">
        <f t="shared" si="16"/>
        <v>4.3863592875011292E-2</v>
      </c>
      <c r="CZ14" s="87">
        <f t="shared" si="16"/>
        <v>3.8832767985741867E-2</v>
      </c>
      <c r="DA14" s="87">
        <f t="shared" si="16"/>
        <v>3.1705752444484814E-2</v>
      </c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  <c r="EY14" s="34"/>
      <c r="EZ14" s="34"/>
      <c r="FA14" s="34"/>
    </row>
    <row r="15" spans="2:158">
      <c r="BJ15" s="80"/>
      <c r="BK15" s="80"/>
      <c r="BL15" s="80"/>
      <c r="BM15" s="80"/>
      <c r="BN15" s="80"/>
      <c r="BO15" s="80"/>
      <c r="BP15" s="80"/>
      <c r="BQ15" s="80"/>
      <c r="BR15" s="80"/>
      <c r="CO15" s="80"/>
      <c r="CP15" s="80"/>
      <c r="CQ15" s="80"/>
    </row>
    <row r="16" spans="2:158">
      <c r="B16" s="1" t="s">
        <v>951</v>
      </c>
      <c r="BJ16" s="80">
        <f t="shared" ref="BJ16:BQ16" si="17">BJ4/BJ8</f>
        <v>0.44213987688627138</v>
      </c>
      <c r="BK16" s="80">
        <f t="shared" si="17"/>
        <v>0.4508133039927773</v>
      </c>
      <c r="BL16" s="80">
        <f t="shared" si="17"/>
        <v>0.44939532039069174</v>
      </c>
      <c r="BM16" s="80">
        <f t="shared" si="17"/>
        <v>0.43996038547820387</v>
      </c>
      <c r="BN16" s="80">
        <f t="shared" si="17"/>
        <v>0.44080069036674713</v>
      </c>
      <c r="BO16" s="80">
        <f t="shared" si="17"/>
        <v>0.43793857028222155</v>
      </c>
      <c r="BP16" s="80">
        <f t="shared" si="17"/>
        <v>0.4448898756069169</v>
      </c>
      <c r="BQ16" s="80">
        <f t="shared" si="17"/>
        <v>0.44062969688018561</v>
      </c>
      <c r="BR16" s="80">
        <f>BR4/BR8</f>
        <v>0.44306411192617923</v>
      </c>
      <c r="CO16" s="80">
        <f t="shared" ref="CO16:CQ16" si="18">CO4/CO8</f>
        <v>0.44213987688627138</v>
      </c>
      <c r="CP16" s="80">
        <f t="shared" si="18"/>
        <v>0.44510106679480033</v>
      </c>
      <c r="CQ16" s="80">
        <f t="shared" si="18"/>
        <v>0.44188901583887802</v>
      </c>
    </row>
    <row r="17" spans="2:157">
      <c r="B17" s="1" t="s">
        <v>952</v>
      </c>
      <c r="BJ17" s="80">
        <f t="shared" ref="BJ17:BQ17" si="19">BJ5/BJ8</f>
        <v>0.3138032677337157</v>
      </c>
      <c r="BK17" s="80">
        <f t="shared" si="19"/>
        <v>0.31569449395011112</v>
      </c>
      <c r="BL17" s="80">
        <f t="shared" si="19"/>
        <v>0.31458802307843681</v>
      </c>
      <c r="BM17" s="80">
        <f t="shared" si="19"/>
        <v>0.31893761425308509</v>
      </c>
      <c r="BN17" s="80">
        <f t="shared" si="19"/>
        <v>0.32090187207234044</v>
      </c>
      <c r="BO17" s="80">
        <f t="shared" si="19"/>
        <v>0.32293854182672882</v>
      </c>
      <c r="BP17" s="80">
        <f t="shared" si="19"/>
        <v>0.31935383508107529</v>
      </c>
      <c r="BQ17" s="80">
        <f t="shared" si="19"/>
        <v>0.32136868717583383</v>
      </c>
      <c r="BR17" s="80">
        <f>BR5/BR8</f>
        <v>0.32136920370431843</v>
      </c>
      <c r="CO17" s="80">
        <f t="shared" ref="CO17:CQ17" si="20">CO5/CO8</f>
        <v>0.3138032677337157</v>
      </c>
      <c r="CP17" s="80">
        <f t="shared" si="20"/>
        <v>0.31760849866695523</v>
      </c>
      <c r="CQ17" s="80">
        <f t="shared" si="20"/>
        <v>0.31945371677208495</v>
      </c>
    </row>
    <row r="18" spans="2:157">
      <c r="B18" s="1" t="s">
        <v>954</v>
      </c>
      <c r="BJ18" s="80">
        <f t="shared" ref="BJ18:BQ18" si="21">BJ6/BJ8</f>
        <v>0.13217603574745157</v>
      </c>
      <c r="BK18" s="80">
        <f t="shared" si="21"/>
        <v>0.12432740474813295</v>
      </c>
      <c r="BL18" s="80">
        <f t="shared" si="21"/>
        <v>0.12597539810763847</v>
      </c>
      <c r="BM18" s="80">
        <f t="shared" si="21"/>
        <v>0.12630335033812806</v>
      </c>
      <c r="BN18" s="80">
        <f t="shared" si="21"/>
        <v>0.12001006703517321</v>
      </c>
      <c r="BO18" s="80">
        <f t="shared" si="21"/>
        <v>0.11969613327793997</v>
      </c>
      <c r="BP18" s="80">
        <f t="shared" si="21"/>
        <v>0.11794493676547298</v>
      </c>
      <c r="BQ18" s="80">
        <f t="shared" si="21"/>
        <v>0.1191028904546363</v>
      </c>
      <c r="BR18" s="80">
        <f>BR6/BR8</f>
        <v>0.11766438742656092</v>
      </c>
      <c r="CO18" s="80">
        <f t="shared" ref="CO18:CQ18" si="22">CO6/CO8</f>
        <v>0.13217603574745157</v>
      </c>
      <c r="CP18" s="80">
        <f t="shared" si="22"/>
        <v>0.12409470130719927</v>
      </c>
      <c r="CQ18" s="80">
        <f t="shared" si="22"/>
        <v>0.12288609598912709</v>
      </c>
    </row>
    <row r="19" spans="2:157">
      <c r="B19" s="1" t="s">
        <v>953</v>
      </c>
      <c r="BJ19" s="80">
        <f t="shared" ref="BJ19:BQ19" si="23">BJ7/BJ8</f>
        <v>0.11188081963256127</v>
      </c>
      <c r="BK19" s="80">
        <f t="shared" si="23"/>
        <v>0.10916479730897867</v>
      </c>
      <c r="BL19" s="80">
        <f t="shared" si="23"/>
        <v>0.11004125842323294</v>
      </c>
      <c r="BM19" s="80">
        <f t="shared" si="23"/>
        <v>0.11479864993058296</v>
      </c>
      <c r="BN19" s="80">
        <f t="shared" si="23"/>
        <v>0.11828737052573905</v>
      </c>
      <c r="BO19" s="80">
        <f t="shared" si="23"/>
        <v>0.11942675461310961</v>
      </c>
      <c r="BP19" s="80">
        <f t="shared" si="23"/>
        <v>0.11781135254653494</v>
      </c>
      <c r="BQ19" s="80">
        <f t="shared" si="23"/>
        <v>0.11889872548934433</v>
      </c>
      <c r="BR19" s="80">
        <f>BR7/BR8</f>
        <v>0.11790229694294148</v>
      </c>
      <c r="CO19" s="80">
        <f t="shared" ref="CO19:CQ19" si="24">CO7/CO8</f>
        <v>0.11188081963256127</v>
      </c>
      <c r="CP19" s="80">
        <f t="shared" si="24"/>
        <v>0.11319573323104519</v>
      </c>
      <c r="CQ19" s="80">
        <f t="shared" si="24"/>
        <v>0.11577117139990988</v>
      </c>
    </row>
    <row r="20" spans="2:157"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</row>
    <row r="21" spans="2:157" s="2" customFormat="1" ht="15">
      <c r="B21" s="2" t="s">
        <v>52</v>
      </c>
      <c r="C21" s="76">
        <v>394.1</v>
      </c>
      <c r="D21" s="76">
        <v>408.5</v>
      </c>
      <c r="E21" s="76">
        <v>423.1</v>
      </c>
      <c r="F21" s="76">
        <v>936.9</v>
      </c>
      <c r="G21" s="76">
        <v>493.7</v>
      </c>
      <c r="H21" s="76">
        <v>519.79999999999995</v>
      </c>
      <c r="I21" s="76">
        <v>553.20000000000005</v>
      </c>
      <c r="J21" s="76">
        <v>1637.9</v>
      </c>
      <c r="K21" s="76">
        <v>718.6</v>
      </c>
      <c r="L21" s="76">
        <v>788.6</v>
      </c>
      <c r="M21" s="76">
        <v>821.8</v>
      </c>
      <c r="N21" s="76">
        <v>875.6</v>
      </c>
      <c r="O21" s="76">
        <v>869.8</v>
      </c>
      <c r="P21" s="76">
        <v>889.2</v>
      </c>
      <c r="Q21" s="76">
        <v>905.1</v>
      </c>
      <c r="R21" s="76">
        <v>945.2</v>
      </c>
      <c r="S21" s="76">
        <v>1024</v>
      </c>
      <c r="T21" s="76">
        <v>1069.4000000000001</v>
      </c>
      <c r="U21" s="76">
        <v>1106</v>
      </c>
      <c r="V21" s="76">
        <v>1175.2</v>
      </c>
      <c r="W21" s="76">
        <v>1270.0999999999999</v>
      </c>
      <c r="X21" s="76">
        <v>1340.4</v>
      </c>
      <c r="Y21" s="76">
        <v>1409.4</v>
      </c>
      <c r="Z21" s="76">
        <v>1484.7</v>
      </c>
      <c r="AA21" s="76">
        <v>1573.1</v>
      </c>
      <c r="AB21" s="76">
        <v>1644.7</v>
      </c>
      <c r="AC21" s="76">
        <v>1738.4</v>
      </c>
      <c r="AD21" s="76">
        <v>1823.3</v>
      </c>
      <c r="AE21" s="76">
        <v>1957.7</v>
      </c>
      <c r="AF21" s="76">
        <v>2105.1999999999998</v>
      </c>
      <c r="AG21" s="76">
        <v>2290.1999999999998</v>
      </c>
      <c r="AH21" s="76">
        <v>2477.5</v>
      </c>
      <c r="AI21" s="76">
        <v>2636.6</v>
      </c>
      <c r="AJ21" s="76">
        <v>2785.5</v>
      </c>
      <c r="AK21" s="76">
        <v>2984.9</v>
      </c>
      <c r="AL21" s="76">
        <v>3285.8</v>
      </c>
      <c r="AM21" s="76">
        <v>3700.9</v>
      </c>
      <c r="AN21" s="76">
        <v>3907.3</v>
      </c>
      <c r="AO21" s="76">
        <v>3999.4</v>
      </c>
      <c r="AP21" s="76">
        <v>4186.8</v>
      </c>
      <c r="AQ21" s="76">
        <v>4521</v>
      </c>
      <c r="AR21" s="76">
        <v>4923.1000000000004</v>
      </c>
      <c r="AS21" s="76">
        <v>5244.9</v>
      </c>
      <c r="AT21" s="76">
        <v>5467.4</v>
      </c>
      <c r="AU21" s="76">
        <v>5767.7</v>
      </c>
      <c r="AV21" s="76">
        <v>6148.3</v>
      </c>
      <c r="AW21" s="76">
        <v>6435.6</v>
      </c>
      <c r="AX21" s="76">
        <v>6644.4</v>
      </c>
      <c r="AY21" s="76">
        <v>7163.3</v>
      </c>
      <c r="AZ21" s="76">
        <v>7341.8</v>
      </c>
      <c r="BA21" s="76">
        <v>7483.5</v>
      </c>
      <c r="BB21" s="76">
        <v>7709.3</v>
      </c>
      <c r="BC21" s="76">
        <v>7867.8</v>
      </c>
      <c r="BD21" s="76">
        <v>7970.1</v>
      </c>
      <c r="BE21" s="76">
        <v>7925.6</v>
      </c>
      <c r="BF21" s="76">
        <v>7852.1</v>
      </c>
      <c r="BG21" s="76">
        <v>8161.5</v>
      </c>
      <c r="BH21" s="76">
        <v>8187.3</v>
      </c>
      <c r="BI21" s="76">
        <v>8541.7000000000007</v>
      </c>
      <c r="BJ21" s="76">
        <v>8832.7999999999993</v>
      </c>
      <c r="BK21" s="76">
        <v>9370.4</v>
      </c>
      <c r="BL21" s="76">
        <v>9559.2999999999993</v>
      </c>
      <c r="BM21" s="76">
        <v>9824.7000000000007</v>
      </c>
      <c r="BN21" s="76">
        <v>10246.5</v>
      </c>
      <c r="BO21" s="76">
        <v>10542.8</v>
      </c>
      <c r="BP21" s="76">
        <v>11079.2</v>
      </c>
      <c r="BQ21" s="76">
        <v>11510.3</v>
      </c>
      <c r="BR21" s="76">
        <v>12050.8</v>
      </c>
      <c r="BS21" s="34"/>
      <c r="BT21" s="34"/>
      <c r="BU21" s="34"/>
      <c r="BV21" s="34"/>
      <c r="CA21" s="76">
        <f t="shared" ref="CA21:CA33" si="25">SUM(C21:F21)</f>
        <v>2162.6</v>
      </c>
      <c r="CB21" s="76">
        <f t="shared" ref="CB21:CB33" si="26">SUM(G21:J21)</f>
        <v>3204.6000000000004</v>
      </c>
      <c r="CC21" s="76">
        <f t="shared" ref="CC21:CC33" si="27">SUM(K21:N21)</f>
        <v>3204.6</v>
      </c>
      <c r="CD21" s="76">
        <f t="shared" ref="CD21:CD33" si="28">SUM(O21:R21)</f>
        <v>3609.3</v>
      </c>
      <c r="CE21" s="76">
        <f t="shared" ref="CE21:CE33" si="29">SUM(S21:V21)</f>
        <v>4374.6000000000004</v>
      </c>
      <c r="CF21" s="76">
        <f t="shared" ref="CF21:CF33" si="30">SUM(W21:Z21)</f>
        <v>5504.6</v>
      </c>
      <c r="CG21" s="76">
        <f t="shared" ref="CG21:CG33" si="31">SUM(AA21:AD21)</f>
        <v>6779.5000000000009</v>
      </c>
      <c r="CH21" s="76">
        <f t="shared" ref="CH21:CH33" si="32">SUM(AE21:AH21)</f>
        <v>8830.5999999999985</v>
      </c>
      <c r="CI21" s="76">
        <f t="shared" ref="CI21:CI33" si="33">SUM(AI21:AL21)</f>
        <v>11692.8</v>
      </c>
      <c r="CJ21" s="76">
        <f t="shared" ref="CJ21:CJ33" si="34">SUM(AM21:AP21)</f>
        <v>15794.400000000001</v>
      </c>
      <c r="CK21" s="76">
        <f t="shared" ref="CK21:CK33" si="35">SUM(AQ21:AT21)</f>
        <v>20156.400000000001</v>
      </c>
      <c r="CL21" s="76">
        <f t="shared" ref="CL21:CL33" si="36">SUM(AU21:AX21)</f>
        <v>24996</v>
      </c>
      <c r="CM21" s="76">
        <f t="shared" ref="CM21:CM33" si="37">SUM(AY21:BB21)</f>
        <v>29697.899999999998</v>
      </c>
      <c r="CN21" s="76">
        <f t="shared" ref="CN21:CN33" si="38">SUM(BC21:BF21)</f>
        <v>31615.599999999999</v>
      </c>
      <c r="CO21" s="76">
        <f t="shared" ref="CO21:CO33" si="39">SUM(BG21:BJ21)</f>
        <v>33723.300000000003</v>
      </c>
      <c r="CP21" s="76">
        <f t="shared" ref="CP21:CP33" si="40">SUM(BK21:BN21)</f>
        <v>39000.899999999994</v>
      </c>
      <c r="CQ21" s="76">
        <f>SUM(BO21:BR21)</f>
        <v>45183.100000000006</v>
      </c>
      <c r="CR21" s="88">
        <f>CR8</f>
        <v>45836.855199999998</v>
      </c>
      <c r="CS21" s="88">
        <f t="shared" ref="CS21:DA21" si="41">CS8</f>
        <v>50987.937427000012</v>
      </c>
      <c r="CT21" s="88">
        <f t="shared" si="41"/>
        <v>55664.74067833001</v>
      </c>
      <c r="CU21" s="88">
        <f t="shared" si="41"/>
        <v>60167.469223002816</v>
      </c>
      <c r="CV21" s="88">
        <f t="shared" si="41"/>
        <v>64372.148409840731</v>
      </c>
      <c r="CW21" s="88">
        <f t="shared" si="41"/>
        <v>68152.00552043636</v>
      </c>
      <c r="CX21" s="88">
        <f t="shared" si="41"/>
        <v>71479.951947572525</v>
      </c>
      <c r="CY21" s="88">
        <f t="shared" si="41"/>
        <v>74615.31945852621</v>
      </c>
      <c r="CZ21" s="88">
        <f t="shared" si="41"/>
        <v>77512.838847241161</v>
      </c>
      <c r="DA21" s="88">
        <f t="shared" si="41"/>
        <v>79970.441727001031</v>
      </c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</row>
    <row r="22" spans="2:157">
      <c r="B22" s="1" t="s">
        <v>54</v>
      </c>
      <c r="C22" s="79">
        <v>259.3</v>
      </c>
      <c r="D22" s="79">
        <v>269.2</v>
      </c>
      <c r="E22" s="79">
        <v>275.3</v>
      </c>
      <c r="F22" s="79">
        <v>553.6</v>
      </c>
      <c r="G22" s="79">
        <v>307.2</v>
      </c>
      <c r="H22" s="79">
        <v>314.89999999999998</v>
      </c>
      <c r="I22" s="79">
        <v>344.5</v>
      </c>
      <c r="J22" s="79">
        <v>1073.3</v>
      </c>
      <c r="K22" s="79">
        <v>438.2</v>
      </c>
      <c r="L22" s="79">
        <v>490</v>
      </c>
      <c r="M22" s="79">
        <v>536.6</v>
      </c>
      <c r="N22" s="79">
        <v>575.20000000000005</v>
      </c>
      <c r="O22" s="79">
        <v>623.9</v>
      </c>
      <c r="P22" s="79">
        <v>643.4</v>
      </c>
      <c r="Q22" s="79">
        <v>662.6</v>
      </c>
      <c r="R22" s="79">
        <v>722.1</v>
      </c>
      <c r="S22" s="79">
        <v>737</v>
      </c>
      <c r="T22" s="79">
        <v>760.7</v>
      </c>
      <c r="U22" s="79">
        <v>798.9</v>
      </c>
      <c r="V22" s="79">
        <v>820.7</v>
      </c>
      <c r="W22" s="79">
        <v>869.2</v>
      </c>
      <c r="X22" s="79">
        <v>914.8</v>
      </c>
      <c r="Y22" s="79">
        <v>954.4</v>
      </c>
      <c r="Z22" s="79">
        <v>1014.3</v>
      </c>
      <c r="AA22" s="79">
        <v>1046.4000000000001</v>
      </c>
      <c r="AB22" s="79">
        <v>1121.8</v>
      </c>
      <c r="AC22" s="79">
        <v>1174</v>
      </c>
      <c r="AD22" s="79">
        <v>1249.4000000000001</v>
      </c>
      <c r="AE22" s="79">
        <v>1369.5</v>
      </c>
      <c r="AF22" s="79">
        <v>1473.1</v>
      </c>
      <c r="AG22" s="79">
        <v>1532.8</v>
      </c>
      <c r="AH22" s="79">
        <v>1882</v>
      </c>
      <c r="AI22" s="79">
        <v>1657</v>
      </c>
      <c r="AJ22" s="79">
        <v>1902.3</v>
      </c>
      <c r="AK22" s="79">
        <v>1993</v>
      </c>
      <c r="AL22" s="79">
        <v>2480.6999999999998</v>
      </c>
      <c r="AM22" s="79">
        <v>2300.6</v>
      </c>
      <c r="AN22" s="79">
        <v>2402.4</v>
      </c>
      <c r="AO22" s="79">
        <v>2531.1</v>
      </c>
      <c r="AP22" s="79">
        <v>2733.4</v>
      </c>
      <c r="AQ22" s="79">
        <v>2870.6</v>
      </c>
      <c r="AR22" s="79">
        <v>3005.7</v>
      </c>
      <c r="AS22" s="79">
        <v>3097.9</v>
      </c>
      <c r="AT22" s="79">
        <v>3466</v>
      </c>
      <c r="AU22" s="79">
        <v>3599.7</v>
      </c>
      <c r="AV22" s="79">
        <v>3643.7</v>
      </c>
      <c r="AW22" s="79">
        <v>3867.8</v>
      </c>
      <c r="AX22" s="79">
        <v>4165.2</v>
      </c>
      <c r="AY22" s="79">
        <v>3868.5</v>
      </c>
      <c r="AZ22" s="79">
        <v>4018</v>
      </c>
      <c r="BA22" s="79">
        <v>4206.6000000000004</v>
      </c>
      <c r="BB22" s="79">
        <v>5239.6000000000004</v>
      </c>
      <c r="BC22" s="79">
        <v>4284.7</v>
      </c>
      <c r="BD22" s="79">
        <v>4690.8</v>
      </c>
      <c r="BE22" s="79">
        <v>4788.7</v>
      </c>
      <c r="BF22" s="79">
        <v>5404.2</v>
      </c>
      <c r="BG22" s="79">
        <v>4803.6000000000004</v>
      </c>
      <c r="BH22" s="79">
        <v>4673.5</v>
      </c>
      <c r="BI22" s="79">
        <v>4930.8</v>
      </c>
      <c r="BJ22" s="79">
        <v>5307.5</v>
      </c>
      <c r="BK22" s="79">
        <v>4977.1000000000004</v>
      </c>
      <c r="BL22" s="79">
        <v>5174.1000000000004</v>
      </c>
      <c r="BM22" s="79">
        <v>5119.8999999999996</v>
      </c>
      <c r="BN22" s="79">
        <v>5767.4</v>
      </c>
      <c r="BO22" s="79">
        <v>5263.1</v>
      </c>
      <c r="BP22" s="79">
        <v>5325.3</v>
      </c>
      <c r="BQ22" s="79">
        <v>6164.2</v>
      </c>
      <c r="BR22" s="79">
        <v>6522.6</v>
      </c>
      <c r="CA22" s="79">
        <f t="shared" si="25"/>
        <v>1357.4</v>
      </c>
      <c r="CB22" s="79">
        <f t="shared" si="26"/>
        <v>2039.8999999999999</v>
      </c>
      <c r="CC22" s="79">
        <f t="shared" si="27"/>
        <v>2040.0000000000002</v>
      </c>
      <c r="CD22" s="79">
        <f t="shared" si="28"/>
        <v>2652</v>
      </c>
      <c r="CE22" s="79">
        <f t="shared" si="29"/>
        <v>3117.3</v>
      </c>
      <c r="CF22" s="79">
        <f t="shared" si="30"/>
        <v>3752.7</v>
      </c>
      <c r="CG22" s="79">
        <f t="shared" si="31"/>
        <v>4591.6000000000004</v>
      </c>
      <c r="CH22" s="79">
        <f t="shared" si="32"/>
        <v>6257.4</v>
      </c>
      <c r="CI22" s="79">
        <f t="shared" si="33"/>
        <v>8033</v>
      </c>
      <c r="CJ22" s="79">
        <f t="shared" si="34"/>
        <v>9967.5</v>
      </c>
      <c r="CK22" s="79">
        <f t="shared" si="35"/>
        <v>12440.199999999999</v>
      </c>
      <c r="CL22" s="79">
        <f t="shared" si="36"/>
        <v>15276.400000000001</v>
      </c>
      <c r="CM22" s="79">
        <f t="shared" si="37"/>
        <v>17332.7</v>
      </c>
      <c r="CN22" s="79">
        <f t="shared" si="38"/>
        <v>19168.400000000001</v>
      </c>
      <c r="CO22" s="79">
        <f t="shared" si="39"/>
        <v>19715.400000000001</v>
      </c>
      <c r="CP22" s="79">
        <f t="shared" si="40"/>
        <v>21038.5</v>
      </c>
      <c r="CQ22" s="79">
        <f t="shared" ref="CQ22:CQ35" si="42">SUM(BO22:BR22)</f>
        <v>23275.200000000004</v>
      </c>
      <c r="CR22" s="63">
        <f>CR21*(1-CR37)</f>
        <v>24330.787331695436</v>
      </c>
      <c r="CS22" s="63">
        <f t="shared" ref="CS22:DA22" si="43">CS21*(1-CS37)</f>
        <v>27065.047473373161</v>
      </c>
      <c r="CT22" s="63">
        <f t="shared" si="43"/>
        <v>29547.554285932412</v>
      </c>
      <c r="CU22" s="63">
        <f t="shared" si="43"/>
        <v>31937.660024093711</v>
      </c>
      <c r="CV22" s="63">
        <f t="shared" si="43"/>
        <v>34169.557361870917</v>
      </c>
      <c r="CW22" s="63">
        <f t="shared" si="43"/>
        <v>36175.953723506544</v>
      </c>
      <c r="CX22" s="63">
        <f t="shared" si="43"/>
        <v>37942.470130808542</v>
      </c>
      <c r="CY22" s="63">
        <f t="shared" si="43"/>
        <v>39606.763193298597</v>
      </c>
      <c r="CZ22" s="63">
        <f t="shared" si="43"/>
        <v>41144.803439050178</v>
      </c>
      <c r="DA22" s="63">
        <f t="shared" si="43"/>
        <v>42449.330391265692</v>
      </c>
    </row>
    <row r="23" spans="2:157">
      <c r="B23" s="1" t="s">
        <v>55</v>
      </c>
      <c r="C23" s="79">
        <f>C21-C22</f>
        <v>134.80000000000001</v>
      </c>
      <c r="D23" s="79">
        <f t="shared" ref="D23:BO23" si="44">D21-D22</f>
        <v>139.30000000000001</v>
      </c>
      <c r="E23" s="79">
        <f t="shared" si="44"/>
        <v>147.80000000000001</v>
      </c>
      <c r="F23" s="79">
        <f t="shared" si="44"/>
        <v>383.29999999999995</v>
      </c>
      <c r="G23" s="79">
        <f t="shared" si="44"/>
        <v>186.5</v>
      </c>
      <c r="H23" s="79">
        <f t="shared" si="44"/>
        <v>204.89999999999998</v>
      </c>
      <c r="I23" s="79">
        <f t="shared" si="44"/>
        <v>208.70000000000005</v>
      </c>
      <c r="J23" s="79">
        <f t="shared" si="44"/>
        <v>564.60000000000014</v>
      </c>
      <c r="K23" s="79">
        <f t="shared" si="44"/>
        <v>280.40000000000003</v>
      </c>
      <c r="L23" s="79">
        <f t="shared" si="44"/>
        <v>298.60000000000002</v>
      </c>
      <c r="M23" s="79">
        <f t="shared" si="44"/>
        <v>285.19999999999993</v>
      </c>
      <c r="N23" s="79">
        <f t="shared" si="44"/>
        <v>300.39999999999998</v>
      </c>
      <c r="O23" s="79">
        <f t="shared" si="44"/>
        <v>245.89999999999998</v>
      </c>
      <c r="P23" s="79">
        <f t="shared" si="44"/>
        <v>245.80000000000007</v>
      </c>
      <c r="Q23" s="79">
        <f t="shared" si="44"/>
        <v>242.5</v>
      </c>
      <c r="R23" s="79">
        <f t="shared" si="44"/>
        <v>223.10000000000002</v>
      </c>
      <c r="S23" s="79">
        <f t="shared" si="44"/>
        <v>287</v>
      </c>
      <c r="T23" s="79">
        <f t="shared" si="44"/>
        <v>308.70000000000005</v>
      </c>
      <c r="U23" s="79">
        <f t="shared" si="44"/>
        <v>307.10000000000002</v>
      </c>
      <c r="V23" s="79">
        <f t="shared" si="44"/>
        <v>354.5</v>
      </c>
      <c r="W23" s="79">
        <f t="shared" si="44"/>
        <v>400.89999999999986</v>
      </c>
      <c r="X23" s="79">
        <f t="shared" si="44"/>
        <v>425.60000000000014</v>
      </c>
      <c r="Y23" s="79">
        <f t="shared" si="44"/>
        <v>455.00000000000011</v>
      </c>
      <c r="Z23" s="79">
        <f t="shared" si="44"/>
        <v>470.40000000000009</v>
      </c>
      <c r="AA23" s="79">
        <f t="shared" si="44"/>
        <v>526.69999999999982</v>
      </c>
      <c r="AB23" s="79">
        <f t="shared" si="44"/>
        <v>522.90000000000009</v>
      </c>
      <c r="AC23" s="79">
        <f t="shared" si="44"/>
        <v>564.40000000000009</v>
      </c>
      <c r="AD23" s="79">
        <f t="shared" si="44"/>
        <v>573.89999999999986</v>
      </c>
      <c r="AE23" s="79">
        <f t="shared" si="44"/>
        <v>588.20000000000005</v>
      </c>
      <c r="AF23" s="79">
        <f t="shared" si="44"/>
        <v>632.09999999999991</v>
      </c>
      <c r="AG23" s="79">
        <f t="shared" si="44"/>
        <v>757.39999999999986</v>
      </c>
      <c r="AH23" s="79">
        <f t="shared" si="44"/>
        <v>595.5</v>
      </c>
      <c r="AI23" s="79">
        <f t="shared" si="44"/>
        <v>979.59999999999991</v>
      </c>
      <c r="AJ23" s="79">
        <f t="shared" si="44"/>
        <v>883.2</v>
      </c>
      <c r="AK23" s="79">
        <f t="shared" si="44"/>
        <v>991.90000000000009</v>
      </c>
      <c r="AL23" s="79">
        <f t="shared" si="44"/>
        <v>805.10000000000036</v>
      </c>
      <c r="AM23" s="79">
        <f t="shared" si="44"/>
        <v>1400.3000000000002</v>
      </c>
      <c r="AN23" s="79">
        <f t="shared" si="44"/>
        <v>1504.9</v>
      </c>
      <c r="AO23" s="79">
        <f t="shared" si="44"/>
        <v>1468.3000000000002</v>
      </c>
      <c r="AP23" s="79">
        <f t="shared" si="44"/>
        <v>1453.4</v>
      </c>
      <c r="AQ23" s="79">
        <f t="shared" si="44"/>
        <v>1650.4</v>
      </c>
      <c r="AR23" s="79">
        <f t="shared" si="44"/>
        <v>1917.4000000000005</v>
      </c>
      <c r="AS23" s="79">
        <f t="shared" si="44"/>
        <v>2146.9999999999995</v>
      </c>
      <c r="AT23" s="79">
        <f t="shared" si="44"/>
        <v>2001.3999999999996</v>
      </c>
      <c r="AU23" s="79">
        <f t="shared" si="44"/>
        <v>2168</v>
      </c>
      <c r="AV23" s="79">
        <f t="shared" si="44"/>
        <v>2504.6000000000004</v>
      </c>
      <c r="AW23" s="79">
        <f t="shared" si="44"/>
        <v>2567.8000000000002</v>
      </c>
      <c r="AX23" s="79">
        <f t="shared" si="44"/>
        <v>2479.1999999999998</v>
      </c>
      <c r="AY23" s="79">
        <f t="shared" si="44"/>
        <v>3294.8</v>
      </c>
      <c r="AZ23" s="79">
        <f t="shared" si="44"/>
        <v>3323.8</v>
      </c>
      <c r="BA23" s="79">
        <f t="shared" si="44"/>
        <v>3276.8999999999996</v>
      </c>
      <c r="BB23" s="79">
        <f t="shared" si="44"/>
        <v>2469.6999999999998</v>
      </c>
      <c r="BC23" s="79">
        <f t="shared" si="44"/>
        <v>3583.1000000000004</v>
      </c>
      <c r="BD23" s="79">
        <f t="shared" si="44"/>
        <v>3279.3</v>
      </c>
      <c r="BE23" s="79">
        <f t="shared" si="44"/>
        <v>3136.9000000000005</v>
      </c>
      <c r="BF23" s="79">
        <f t="shared" si="44"/>
        <v>2447.9000000000005</v>
      </c>
      <c r="BG23" s="79">
        <f t="shared" si="44"/>
        <v>3357.8999999999996</v>
      </c>
      <c r="BH23" s="79">
        <f t="shared" si="44"/>
        <v>3513.8</v>
      </c>
      <c r="BI23" s="79">
        <f t="shared" si="44"/>
        <v>3610.9000000000005</v>
      </c>
      <c r="BJ23" s="79">
        <f t="shared" si="44"/>
        <v>3525.2999999999993</v>
      </c>
      <c r="BK23" s="79">
        <f t="shared" si="44"/>
        <v>4393.2999999999993</v>
      </c>
      <c r="BL23" s="79">
        <f t="shared" si="44"/>
        <v>4385.1999999999989</v>
      </c>
      <c r="BM23" s="79">
        <f t="shared" si="44"/>
        <v>4704.8000000000011</v>
      </c>
      <c r="BN23" s="79">
        <f t="shared" si="44"/>
        <v>4479.1000000000004</v>
      </c>
      <c r="BO23" s="79">
        <f t="shared" si="44"/>
        <v>5279.6999999999989</v>
      </c>
      <c r="BP23" s="79">
        <f t="shared" ref="BP23:BR23" si="45">BP21-BP22</f>
        <v>5753.9000000000005</v>
      </c>
      <c r="BQ23" s="79">
        <f t="shared" si="45"/>
        <v>5346.0999999999995</v>
      </c>
      <c r="BR23" s="79">
        <f t="shared" si="45"/>
        <v>5528.1999999999989</v>
      </c>
      <c r="CA23" s="79">
        <f t="shared" si="25"/>
        <v>805.2</v>
      </c>
      <c r="CB23" s="79">
        <f t="shared" si="26"/>
        <v>1164.7000000000003</v>
      </c>
      <c r="CC23" s="79">
        <f t="shared" si="27"/>
        <v>1164.5999999999999</v>
      </c>
      <c r="CD23" s="79">
        <f t="shared" si="28"/>
        <v>957.30000000000007</v>
      </c>
      <c r="CE23" s="79">
        <f t="shared" si="29"/>
        <v>1257.3000000000002</v>
      </c>
      <c r="CF23" s="79">
        <f t="shared" si="30"/>
        <v>1751.9</v>
      </c>
      <c r="CG23" s="79">
        <f t="shared" si="31"/>
        <v>2187.8999999999996</v>
      </c>
      <c r="CH23" s="79">
        <f t="shared" si="32"/>
        <v>2573.1999999999998</v>
      </c>
      <c r="CI23" s="79">
        <f t="shared" si="33"/>
        <v>3659.8</v>
      </c>
      <c r="CJ23" s="79">
        <f t="shared" si="34"/>
        <v>5826.9</v>
      </c>
      <c r="CK23" s="79">
        <f t="shared" si="35"/>
        <v>7716.2</v>
      </c>
      <c r="CL23" s="79">
        <f t="shared" si="36"/>
        <v>9719.6</v>
      </c>
      <c r="CM23" s="79">
        <f t="shared" si="37"/>
        <v>12365.2</v>
      </c>
      <c r="CN23" s="79">
        <f t="shared" si="38"/>
        <v>12447.2</v>
      </c>
      <c r="CO23" s="79">
        <f t="shared" si="39"/>
        <v>14007.9</v>
      </c>
      <c r="CP23" s="79">
        <f t="shared" si="40"/>
        <v>17962.400000000001</v>
      </c>
      <c r="CQ23" s="79">
        <f t="shared" si="42"/>
        <v>21907.899999999994</v>
      </c>
      <c r="CR23" s="63">
        <f>CR21*CR37</f>
        <v>21506.067868304566</v>
      </c>
      <c r="CS23" s="63">
        <f t="shared" ref="CS23:DA23" si="46">CS21*CS37</f>
        <v>23922.889953626855</v>
      </c>
      <c r="CT23" s="63">
        <f t="shared" si="46"/>
        <v>26117.186392397602</v>
      </c>
      <c r="CU23" s="63">
        <f t="shared" si="46"/>
        <v>28229.809198909108</v>
      </c>
      <c r="CV23" s="63">
        <f t="shared" si="46"/>
        <v>30202.591047969814</v>
      </c>
      <c r="CW23" s="63">
        <f t="shared" si="46"/>
        <v>31976.051796929816</v>
      </c>
      <c r="CX23" s="63">
        <f t="shared" si="46"/>
        <v>33537.48181676399</v>
      </c>
      <c r="CY23" s="63">
        <f t="shared" si="46"/>
        <v>35008.556265227613</v>
      </c>
      <c r="CZ23" s="63">
        <f t="shared" si="46"/>
        <v>36368.035408190983</v>
      </c>
      <c r="DA23" s="63">
        <f t="shared" si="46"/>
        <v>37521.111335735346</v>
      </c>
    </row>
    <row r="24" spans="2:157">
      <c r="B24" s="1" t="s">
        <v>176</v>
      </c>
      <c r="C24" s="79">
        <v>61.2</v>
      </c>
      <c r="D24" s="79">
        <v>46.099999999999994</v>
      </c>
      <c r="E24" s="79">
        <v>57</v>
      </c>
      <c r="F24" s="79">
        <v>129.60000000000002</v>
      </c>
      <c r="G24" s="79">
        <v>75.299999999999983</v>
      </c>
      <c r="H24" s="79">
        <v>74.5</v>
      </c>
      <c r="I24" s="79">
        <v>81.199999999999989</v>
      </c>
      <c r="J24" s="79">
        <v>171.7</v>
      </c>
      <c r="K24" s="79">
        <v>104.29999999999998</v>
      </c>
      <c r="L24" s="79">
        <v>94.9</v>
      </c>
      <c r="M24" s="79">
        <v>89.100000000000009</v>
      </c>
      <c r="N24" s="79">
        <v>92.9</v>
      </c>
      <c r="O24" s="79">
        <v>129.9</v>
      </c>
      <c r="P24" s="79">
        <v>114</v>
      </c>
      <c r="Q24" s="79">
        <v>108.50000000000001</v>
      </c>
      <c r="R24" s="79">
        <v>82.100000000000009</v>
      </c>
      <c r="S24" s="79">
        <v>119.1</v>
      </c>
      <c r="T24" s="79">
        <v>114.70000000000002</v>
      </c>
      <c r="U24" s="79">
        <v>108.30000000000001</v>
      </c>
      <c r="V24" s="79">
        <v>128.10000000000002</v>
      </c>
      <c r="W24" s="79">
        <v>137.10000000000002</v>
      </c>
      <c r="X24" s="79">
        <v>120.80000000000001</v>
      </c>
      <c r="Y24" s="79">
        <v>145.60000000000002</v>
      </c>
      <c r="Z24" s="79">
        <v>203.7</v>
      </c>
      <c r="AA24" s="79">
        <v>194.70000000000002</v>
      </c>
      <c r="AB24" s="79">
        <v>197.10000000000002</v>
      </c>
      <c r="AC24" s="79">
        <v>208.09999999999997</v>
      </c>
      <c r="AD24" s="79">
        <v>224.20000000000005</v>
      </c>
      <c r="AE24" s="79">
        <v>208.00000000000006</v>
      </c>
      <c r="AF24" s="79">
        <v>216</v>
      </c>
      <c r="AG24" s="79">
        <v>282</v>
      </c>
      <c r="AH24" s="79">
        <v>391.4</v>
      </c>
      <c r="AI24" s="79">
        <v>271.3</v>
      </c>
      <c r="AJ24" s="79">
        <v>274.29999999999995</v>
      </c>
      <c r="AK24" s="79">
        <v>312.59999999999997</v>
      </c>
      <c r="AL24" s="79">
        <v>578.19999999999993</v>
      </c>
      <c r="AM24" s="79">
        <v>536.80000000000007</v>
      </c>
      <c r="AN24" s="79">
        <v>591.99999999999989</v>
      </c>
      <c r="AO24" s="79">
        <v>510.4</v>
      </c>
      <c r="AP24" s="79">
        <v>730.40000000000009</v>
      </c>
      <c r="AQ24" s="79">
        <v>616.5</v>
      </c>
      <c r="AR24" s="79">
        <v>603.1</v>
      </c>
      <c r="AS24" s="79">
        <v>553.70000000000005</v>
      </c>
      <c r="AT24" s="79">
        <v>878.90000000000009</v>
      </c>
      <c r="AU24" s="79">
        <v>503.80000000000007</v>
      </c>
      <c r="AV24" s="79">
        <v>434.5</v>
      </c>
      <c r="AW24" s="79">
        <v>527.59999999999991</v>
      </c>
      <c r="AX24" s="79">
        <v>762.6</v>
      </c>
      <c r="AY24" s="79">
        <v>512.5</v>
      </c>
      <c r="AZ24" s="79">
        <v>604</v>
      </c>
      <c r="BA24" s="79">
        <v>635.89999999999986</v>
      </c>
      <c r="BB24" s="79">
        <v>792.7</v>
      </c>
      <c r="BC24" s="79">
        <v>556</v>
      </c>
      <c r="BD24" s="79">
        <v>575</v>
      </c>
      <c r="BE24" s="79">
        <v>568</v>
      </c>
      <c r="BF24" s="79">
        <v>831.59999999999991</v>
      </c>
      <c r="BG24" s="79">
        <v>555.40000000000009</v>
      </c>
      <c r="BH24" s="79">
        <v>627.09999999999991</v>
      </c>
      <c r="BI24" s="79">
        <v>558.69999999999982</v>
      </c>
      <c r="BJ24" s="79">
        <v>916.60000000000014</v>
      </c>
      <c r="BK24" s="79">
        <v>654.29999999999995</v>
      </c>
      <c r="BL24" s="79">
        <v>644</v>
      </c>
      <c r="BM24" s="79">
        <v>642.79999999999995</v>
      </c>
      <c r="BN24" s="79">
        <v>976.2</v>
      </c>
      <c r="BO24" s="79">
        <v>688.40000000000009</v>
      </c>
      <c r="BP24" s="79">
        <v>713.3</v>
      </c>
      <c r="BQ24" s="79">
        <v>786.30000000000018</v>
      </c>
      <c r="BR24" s="79">
        <v>1113.4000000000001</v>
      </c>
      <c r="CA24" s="79">
        <f t="shared" si="25"/>
        <v>293.90000000000003</v>
      </c>
      <c r="CB24" s="79">
        <f t="shared" si="26"/>
        <v>402.69999999999993</v>
      </c>
      <c r="CC24" s="79">
        <f t="shared" si="27"/>
        <v>381.20000000000005</v>
      </c>
      <c r="CD24" s="79">
        <f t="shared" si="28"/>
        <v>434.50000000000006</v>
      </c>
      <c r="CE24" s="79">
        <f t="shared" si="29"/>
        <v>470.20000000000005</v>
      </c>
      <c r="CF24" s="79">
        <f t="shared" si="30"/>
        <v>607.20000000000005</v>
      </c>
      <c r="CG24" s="79">
        <f t="shared" si="31"/>
        <v>824.10000000000014</v>
      </c>
      <c r="CH24" s="79">
        <f t="shared" si="32"/>
        <v>1097.4000000000001</v>
      </c>
      <c r="CI24" s="79">
        <f t="shared" si="33"/>
        <v>1436.3999999999996</v>
      </c>
      <c r="CJ24" s="79">
        <f t="shared" si="34"/>
        <v>2369.6</v>
      </c>
      <c r="CK24" s="79">
        <f t="shared" si="35"/>
        <v>2652.2</v>
      </c>
      <c r="CL24" s="79">
        <f t="shared" si="36"/>
        <v>2228.5</v>
      </c>
      <c r="CM24" s="79">
        <f t="shared" si="37"/>
        <v>2545.1</v>
      </c>
      <c r="CN24" s="79">
        <f t="shared" si="38"/>
        <v>2530.6</v>
      </c>
      <c r="CO24" s="79">
        <f t="shared" si="39"/>
        <v>2657.8</v>
      </c>
      <c r="CP24" s="79">
        <f t="shared" si="40"/>
        <v>2917.3</v>
      </c>
      <c r="CQ24" s="79">
        <f t="shared" si="42"/>
        <v>3301.4</v>
      </c>
      <c r="CR24" s="63">
        <f>CR21*CR38</f>
        <v>3437.7641399999998</v>
      </c>
      <c r="CS24" s="63">
        <f>CS21*CS38</f>
        <v>3798.6013383115005</v>
      </c>
      <c r="CT24" s="63">
        <f t="shared" ref="CT24:DA24" si="47">CT21*CT38</f>
        <v>4119.1908101964209</v>
      </c>
      <c r="CU24" s="63">
        <f t="shared" si="47"/>
        <v>2617.2849112006224</v>
      </c>
      <c r="CV24" s="63">
        <f t="shared" si="47"/>
        <v>4699.1668339183734</v>
      </c>
      <c r="CW24" s="63">
        <f t="shared" si="47"/>
        <v>4941.0204002316359</v>
      </c>
      <c r="CX24" s="63">
        <f t="shared" si="47"/>
        <v>5146.5565402252214</v>
      </c>
      <c r="CY24" s="63">
        <f t="shared" si="47"/>
        <v>5334.9953412846235</v>
      </c>
      <c r="CZ24" s="63">
        <f t="shared" si="47"/>
        <v>5503.4115581541218</v>
      </c>
      <c r="DA24" s="63">
        <f t="shared" si="47"/>
        <v>5597.9309208900731</v>
      </c>
    </row>
    <row r="25" spans="2:157">
      <c r="B25" s="1" t="s">
        <v>175</v>
      </c>
      <c r="C25" s="79">
        <v>13</v>
      </c>
      <c r="D25" s="79">
        <v>13.3</v>
      </c>
      <c r="E25" s="79">
        <v>11.5</v>
      </c>
      <c r="F25" s="79">
        <v>26.7</v>
      </c>
      <c r="G25" s="79">
        <v>15.5</v>
      </c>
      <c r="H25" s="79">
        <v>15.1</v>
      </c>
      <c r="I25" s="79">
        <v>15.9</v>
      </c>
      <c r="J25" s="79">
        <v>80.3</v>
      </c>
      <c r="K25" s="79">
        <v>23</v>
      </c>
      <c r="L25" s="79">
        <v>30.7</v>
      </c>
      <c r="M25" s="79">
        <v>29.8</v>
      </c>
      <c r="N25" s="79">
        <v>64.8</v>
      </c>
      <c r="O25" s="79">
        <v>35.1</v>
      </c>
      <c r="P25" s="79">
        <v>34.1</v>
      </c>
      <c r="Q25" s="79">
        <v>35.299999999999997</v>
      </c>
      <c r="R25" s="79">
        <v>39.299999999999997</v>
      </c>
      <c r="S25" s="79">
        <v>44.1</v>
      </c>
      <c r="T25" s="79">
        <v>43.8</v>
      </c>
      <c r="U25" s="79">
        <v>46.2</v>
      </c>
      <c r="V25" s="79">
        <v>46.1</v>
      </c>
      <c r="W25" s="79">
        <v>55.9</v>
      </c>
      <c r="X25" s="79">
        <v>60</v>
      </c>
      <c r="Y25" s="79">
        <v>78</v>
      </c>
      <c r="Z25" s="79">
        <v>75.8</v>
      </c>
      <c r="AA25" s="79">
        <v>91.5</v>
      </c>
      <c r="AB25" s="79">
        <v>95.9</v>
      </c>
      <c r="AC25" s="79">
        <v>110.9</v>
      </c>
      <c r="AD25" s="79">
        <v>109</v>
      </c>
      <c r="AE25" s="79">
        <v>127.2</v>
      </c>
      <c r="AF25" s="79">
        <v>138.4</v>
      </c>
      <c r="AG25" s="79">
        <v>153.19999999999999</v>
      </c>
      <c r="AH25" s="79">
        <v>-103.1</v>
      </c>
      <c r="AI25" s="79">
        <v>194.3</v>
      </c>
      <c r="AJ25" s="79">
        <v>213.9</v>
      </c>
      <c r="AK25" s="79">
        <v>215.5</v>
      </c>
      <c r="AL25" s="79">
        <v>-192.7</v>
      </c>
      <c r="AM25" s="79">
        <v>134.6</v>
      </c>
      <c r="AN25" s="79">
        <v>151.5</v>
      </c>
      <c r="AO25" s="79">
        <v>168.6</v>
      </c>
      <c r="AP25" s="79">
        <v>175.5</v>
      </c>
      <c r="AQ25" s="79">
        <v>202</v>
      </c>
      <c r="AR25" s="79">
        <v>224.7</v>
      </c>
      <c r="AS25" s="79">
        <v>233.2</v>
      </c>
      <c r="AT25" s="79">
        <v>254.6</v>
      </c>
      <c r="AU25" s="79">
        <v>252.1</v>
      </c>
      <c r="AV25" s="79">
        <v>277.2</v>
      </c>
      <c r="AW25" s="79">
        <v>271.60000000000002</v>
      </c>
      <c r="AX25" s="79">
        <v>275.5</v>
      </c>
      <c r="AY25" s="79">
        <v>297.2</v>
      </c>
      <c r="AZ25" s="79">
        <v>334.8</v>
      </c>
      <c r="BA25" s="79">
        <v>321.8</v>
      </c>
      <c r="BB25" s="79">
        <v>397.8</v>
      </c>
      <c r="BC25" s="79">
        <v>397.9</v>
      </c>
      <c r="BD25" s="79">
        <v>409.3</v>
      </c>
      <c r="BE25" s="79">
        <v>373.2</v>
      </c>
      <c r="BF25" s="79">
        <v>392.5</v>
      </c>
      <c r="BG25" s="79">
        <v>400.9</v>
      </c>
      <c r="BH25" s="79">
        <v>401.5</v>
      </c>
      <c r="BI25" s="79">
        <v>478.6</v>
      </c>
      <c r="BJ25" s="79">
        <v>439.3</v>
      </c>
      <c r="BK25" s="79">
        <v>404</v>
      </c>
      <c r="BL25" s="79">
        <v>427</v>
      </c>
      <c r="BM25" s="79">
        <v>417.4</v>
      </c>
      <c r="BN25" s="79">
        <v>453.7</v>
      </c>
      <c r="BO25" s="79">
        <v>421.5</v>
      </c>
      <c r="BP25" s="79">
        <v>441.2</v>
      </c>
      <c r="BQ25" s="79">
        <v>457.9</v>
      </c>
      <c r="BR25" s="79">
        <v>567.79999999999995</v>
      </c>
      <c r="CA25" s="79">
        <f t="shared" si="25"/>
        <v>64.5</v>
      </c>
      <c r="CB25" s="79">
        <f t="shared" si="26"/>
        <v>126.8</v>
      </c>
      <c r="CC25" s="79">
        <f t="shared" si="27"/>
        <v>148.30000000000001</v>
      </c>
      <c r="CD25" s="79">
        <f t="shared" si="28"/>
        <v>143.80000000000001</v>
      </c>
      <c r="CE25" s="79">
        <f t="shared" si="29"/>
        <v>180.20000000000002</v>
      </c>
      <c r="CF25" s="79">
        <f t="shared" si="30"/>
        <v>269.7</v>
      </c>
      <c r="CG25" s="79">
        <f t="shared" si="31"/>
        <v>407.3</v>
      </c>
      <c r="CH25" s="79">
        <f t="shared" si="32"/>
        <v>315.70000000000005</v>
      </c>
      <c r="CI25" s="79">
        <f t="shared" si="33"/>
        <v>431.00000000000006</v>
      </c>
      <c r="CJ25" s="79">
        <f t="shared" si="34"/>
        <v>630.20000000000005</v>
      </c>
      <c r="CK25" s="79">
        <f t="shared" si="35"/>
        <v>914.5</v>
      </c>
      <c r="CL25" s="79">
        <f t="shared" si="36"/>
        <v>1076.4000000000001</v>
      </c>
      <c r="CM25" s="79">
        <f t="shared" si="37"/>
        <v>1351.6</v>
      </c>
      <c r="CN25" s="79">
        <f t="shared" si="38"/>
        <v>1572.9</v>
      </c>
      <c r="CO25" s="79">
        <f t="shared" si="39"/>
        <v>1720.3</v>
      </c>
      <c r="CP25" s="79">
        <f t="shared" si="40"/>
        <v>1702.1000000000001</v>
      </c>
      <c r="CQ25" s="79">
        <f t="shared" si="42"/>
        <v>1888.3999999999999</v>
      </c>
      <c r="CR25" s="63">
        <f t="shared" ref="CR25:CS26" si="48">CR22*CR39</f>
        <v>1041.4683856089359</v>
      </c>
      <c r="CS25" s="63">
        <f t="shared" si="48"/>
        <v>1150.2645176183594</v>
      </c>
      <c r="CT25" s="63">
        <f t="shared" ref="CT25:DA25" si="49">CT22*CT39</f>
        <v>1248.3841685806444</v>
      </c>
      <c r="CU25" s="63">
        <f t="shared" si="49"/>
        <v>1341.381721011936</v>
      </c>
      <c r="CV25" s="63">
        <f t="shared" si="49"/>
        <v>1418.0366305176431</v>
      </c>
      <c r="CW25" s="63">
        <f t="shared" si="49"/>
        <v>1483.2141026637682</v>
      </c>
      <c r="CX25" s="63">
        <f t="shared" si="49"/>
        <v>1536.670040297746</v>
      </c>
      <c r="CY25" s="63">
        <f t="shared" si="49"/>
        <v>1594.1722185302685</v>
      </c>
      <c r="CZ25" s="63">
        <f t="shared" si="49"/>
        <v>1645.7921375620072</v>
      </c>
      <c r="DA25" s="63">
        <f t="shared" si="49"/>
        <v>1697.9732156506277</v>
      </c>
    </row>
    <row r="26" spans="2:157">
      <c r="B26" s="1" t="s">
        <v>177</v>
      </c>
      <c r="C26" s="79">
        <v>24.2</v>
      </c>
      <c r="D26" s="79">
        <v>27.1</v>
      </c>
      <c r="E26" s="79">
        <v>30</v>
      </c>
      <c r="F26" s="79">
        <v>82</v>
      </c>
      <c r="G26" s="79">
        <v>37.4</v>
      </c>
      <c r="H26" s="79">
        <v>37.9</v>
      </c>
      <c r="I26" s="79">
        <v>42.1</v>
      </c>
      <c r="J26" s="79">
        <v>141.69999999999999</v>
      </c>
      <c r="K26" s="79">
        <v>50.9</v>
      </c>
      <c r="L26" s="79">
        <v>57.9</v>
      </c>
      <c r="M26" s="79">
        <v>69.5</v>
      </c>
      <c r="N26" s="79">
        <v>80.8</v>
      </c>
      <c r="O26" s="79">
        <v>82.8</v>
      </c>
      <c r="P26" s="79">
        <v>81.5</v>
      </c>
      <c r="Q26" s="79">
        <v>82.5</v>
      </c>
      <c r="R26" s="79">
        <v>82.1</v>
      </c>
      <c r="S26" s="79">
        <v>92</v>
      </c>
      <c r="T26" s="79">
        <v>93.1</v>
      </c>
      <c r="U26" s="79">
        <v>95.5</v>
      </c>
      <c r="V26" s="79">
        <v>98.1</v>
      </c>
      <c r="W26" s="79">
        <v>110.3</v>
      </c>
      <c r="X26" s="79">
        <v>115.2</v>
      </c>
      <c r="Y26" s="79">
        <v>121</v>
      </c>
      <c r="Z26" s="79">
        <v>125.9</v>
      </c>
      <c r="AA26" s="79">
        <v>143.1</v>
      </c>
      <c r="AB26" s="79">
        <v>155.1</v>
      </c>
      <c r="AC26" s="79">
        <v>171.8</v>
      </c>
      <c r="AD26" s="79">
        <v>180.9</v>
      </c>
      <c r="AE26" s="79">
        <v>203.5</v>
      </c>
      <c r="AF26" s="79">
        <v>207.3</v>
      </c>
      <c r="AG26" s="79">
        <v>216.1</v>
      </c>
      <c r="AH26" s="79">
        <v>153.30000000000001</v>
      </c>
      <c r="AI26" s="79">
        <v>257.10000000000002</v>
      </c>
      <c r="AJ26" s="79">
        <v>267.10000000000002</v>
      </c>
      <c r="AK26" s="79">
        <v>255.2</v>
      </c>
      <c r="AL26" s="79">
        <v>174.3</v>
      </c>
      <c r="AM26" s="79">
        <v>282.3</v>
      </c>
      <c r="AN26" s="79">
        <v>299.10000000000002</v>
      </c>
      <c r="AO26" s="79">
        <v>308.60000000000002</v>
      </c>
      <c r="AP26" s="79">
        <v>331.8</v>
      </c>
      <c r="AQ26" s="79">
        <v>372.8</v>
      </c>
      <c r="AR26" s="79">
        <v>383.2</v>
      </c>
      <c r="AS26" s="79">
        <v>379.8</v>
      </c>
      <c r="AT26" s="79">
        <v>409.4</v>
      </c>
      <c r="AU26" s="79">
        <v>453.8</v>
      </c>
      <c r="AV26" s="79">
        <v>435</v>
      </c>
      <c r="AW26" s="79">
        <v>453.8</v>
      </c>
      <c r="AX26" s="79">
        <v>486.9</v>
      </c>
      <c r="AY26" s="79">
        <v>525.20000000000005</v>
      </c>
      <c r="AZ26" s="79">
        <v>537.29999999999995</v>
      </c>
      <c r="BA26" s="79">
        <v>563.9</v>
      </c>
      <c r="BB26" s="79">
        <v>647.5</v>
      </c>
      <c r="BC26" s="79">
        <v>657.5</v>
      </c>
      <c r="BD26" s="79">
        <v>716.8</v>
      </c>
      <c r="BE26" s="79">
        <v>662.7</v>
      </c>
      <c r="BF26" s="79">
        <v>673.9</v>
      </c>
      <c r="BG26" s="79">
        <v>687.3</v>
      </c>
      <c r="BH26" s="79">
        <v>658</v>
      </c>
      <c r="BI26" s="79">
        <v>657.2</v>
      </c>
      <c r="BJ26" s="79">
        <v>673.3</v>
      </c>
      <c r="BK26" s="79">
        <v>702.5</v>
      </c>
      <c r="BL26" s="79">
        <v>711.3</v>
      </c>
      <c r="BM26" s="79">
        <v>735.1</v>
      </c>
      <c r="BN26" s="79">
        <v>776.5</v>
      </c>
      <c r="BO26" s="79">
        <v>822.8</v>
      </c>
      <c r="BP26" s="79">
        <v>824.7</v>
      </c>
      <c r="BQ26" s="79">
        <v>853.6</v>
      </c>
      <c r="BR26" s="79">
        <v>890.3</v>
      </c>
      <c r="CA26" s="79">
        <f t="shared" si="25"/>
        <v>163.30000000000001</v>
      </c>
      <c r="CB26" s="79">
        <f t="shared" si="26"/>
        <v>259.10000000000002</v>
      </c>
      <c r="CC26" s="79">
        <f t="shared" si="27"/>
        <v>259.10000000000002</v>
      </c>
      <c r="CD26" s="79">
        <f t="shared" si="28"/>
        <v>328.9</v>
      </c>
      <c r="CE26" s="79">
        <f t="shared" si="29"/>
        <v>378.70000000000005</v>
      </c>
      <c r="CF26" s="79">
        <f t="shared" si="30"/>
        <v>472.4</v>
      </c>
      <c r="CG26" s="79">
        <f t="shared" si="31"/>
        <v>650.9</v>
      </c>
      <c r="CH26" s="79">
        <f t="shared" si="32"/>
        <v>780.2</v>
      </c>
      <c r="CI26" s="79">
        <f t="shared" si="33"/>
        <v>953.7</v>
      </c>
      <c r="CJ26" s="79">
        <f t="shared" si="34"/>
        <v>1221.8000000000002</v>
      </c>
      <c r="CK26" s="79">
        <f t="shared" si="35"/>
        <v>1545.1999999999998</v>
      </c>
      <c r="CL26" s="79">
        <f t="shared" si="36"/>
        <v>1829.5</v>
      </c>
      <c r="CM26" s="79">
        <f t="shared" si="37"/>
        <v>2273.9</v>
      </c>
      <c r="CN26" s="79">
        <f t="shared" si="38"/>
        <v>2710.9</v>
      </c>
      <c r="CO26" s="79">
        <f t="shared" si="39"/>
        <v>2675.8</v>
      </c>
      <c r="CP26" s="79">
        <f t="shared" si="40"/>
        <v>2925.4</v>
      </c>
      <c r="CQ26" s="79">
        <f t="shared" si="42"/>
        <v>3391.3999999999996</v>
      </c>
      <c r="CR26" s="63">
        <f t="shared" si="48"/>
        <v>1591.4490222545378</v>
      </c>
      <c r="CS26" s="63">
        <f t="shared" si="48"/>
        <v>1746.3709666147602</v>
      </c>
      <c r="CT26" s="63">
        <f t="shared" ref="CT26:DA26" si="50">CT23*CT40</f>
        <v>1880.4374202526271</v>
      </c>
      <c r="CU26" s="63">
        <f t="shared" si="50"/>
        <v>2004.3164531225466</v>
      </c>
      <c r="CV26" s="63">
        <f t="shared" si="50"/>
        <v>2114.181373357887</v>
      </c>
      <c r="CW26" s="63">
        <f t="shared" si="50"/>
        <v>2238.3236257850872</v>
      </c>
      <c r="CX26" s="63">
        <f t="shared" si="50"/>
        <v>2347.6237271734794</v>
      </c>
      <c r="CY26" s="63">
        <f t="shared" si="50"/>
        <v>2450.5989385659332</v>
      </c>
      <c r="CZ26" s="63">
        <f t="shared" si="50"/>
        <v>2545.7624785733692</v>
      </c>
      <c r="DA26" s="63">
        <f t="shared" si="50"/>
        <v>2626.4777935014745</v>
      </c>
    </row>
    <row r="27" spans="2:157">
      <c r="B27" s="1" t="s">
        <v>178</v>
      </c>
      <c r="C27" s="79">
        <f>SUM(C24:C26)</f>
        <v>98.4</v>
      </c>
      <c r="D27" s="79">
        <f t="shared" ref="D27:BO27" si="51">SUM(D24:D26)</f>
        <v>86.5</v>
      </c>
      <c r="E27" s="79">
        <f t="shared" si="51"/>
        <v>98.5</v>
      </c>
      <c r="F27" s="79">
        <f t="shared" si="51"/>
        <v>238.3</v>
      </c>
      <c r="G27" s="79">
        <f t="shared" si="51"/>
        <v>128.19999999999999</v>
      </c>
      <c r="H27" s="79">
        <f t="shared" si="51"/>
        <v>127.5</v>
      </c>
      <c r="I27" s="79">
        <f t="shared" si="51"/>
        <v>139.19999999999999</v>
      </c>
      <c r="J27" s="79">
        <f t="shared" si="51"/>
        <v>393.7</v>
      </c>
      <c r="K27" s="79">
        <f t="shared" si="51"/>
        <v>178.2</v>
      </c>
      <c r="L27" s="79">
        <f t="shared" si="51"/>
        <v>183.5</v>
      </c>
      <c r="M27" s="79">
        <f t="shared" si="51"/>
        <v>188.4</v>
      </c>
      <c r="N27" s="79">
        <f t="shared" si="51"/>
        <v>238.5</v>
      </c>
      <c r="O27" s="79">
        <f t="shared" si="51"/>
        <v>247.8</v>
      </c>
      <c r="P27" s="79">
        <f t="shared" si="51"/>
        <v>229.6</v>
      </c>
      <c r="Q27" s="79">
        <f t="shared" si="51"/>
        <v>226.3</v>
      </c>
      <c r="R27" s="79">
        <f t="shared" si="51"/>
        <v>203.5</v>
      </c>
      <c r="S27" s="79">
        <f t="shared" si="51"/>
        <v>255.2</v>
      </c>
      <c r="T27" s="79">
        <f t="shared" si="51"/>
        <v>251.6</v>
      </c>
      <c r="U27" s="79">
        <f t="shared" si="51"/>
        <v>250</v>
      </c>
      <c r="V27" s="79">
        <f t="shared" si="51"/>
        <v>272.3</v>
      </c>
      <c r="W27" s="79">
        <f t="shared" si="51"/>
        <v>303.3</v>
      </c>
      <c r="X27" s="79">
        <f t="shared" si="51"/>
        <v>296</v>
      </c>
      <c r="Y27" s="79">
        <f t="shared" si="51"/>
        <v>344.6</v>
      </c>
      <c r="Z27" s="79">
        <f t="shared" si="51"/>
        <v>405.4</v>
      </c>
      <c r="AA27" s="79">
        <f t="shared" si="51"/>
        <v>429.30000000000007</v>
      </c>
      <c r="AB27" s="79">
        <f t="shared" si="51"/>
        <v>448.1</v>
      </c>
      <c r="AC27" s="79">
        <f t="shared" si="51"/>
        <v>490.8</v>
      </c>
      <c r="AD27" s="79">
        <f t="shared" si="51"/>
        <v>514.1</v>
      </c>
      <c r="AE27" s="79">
        <f t="shared" si="51"/>
        <v>538.70000000000005</v>
      </c>
      <c r="AF27" s="79">
        <f t="shared" si="51"/>
        <v>561.70000000000005</v>
      </c>
      <c r="AG27" s="79">
        <f t="shared" si="51"/>
        <v>651.29999999999995</v>
      </c>
      <c r="AH27" s="79">
        <f t="shared" si="51"/>
        <v>441.59999999999997</v>
      </c>
      <c r="AI27" s="79">
        <f t="shared" si="51"/>
        <v>722.7</v>
      </c>
      <c r="AJ27" s="79">
        <f t="shared" si="51"/>
        <v>755.3</v>
      </c>
      <c r="AK27" s="79">
        <f t="shared" si="51"/>
        <v>783.3</v>
      </c>
      <c r="AL27" s="79">
        <f t="shared" si="51"/>
        <v>559.79999999999995</v>
      </c>
      <c r="AM27" s="79">
        <f t="shared" si="51"/>
        <v>953.7</v>
      </c>
      <c r="AN27" s="79">
        <f t="shared" si="51"/>
        <v>1042.5999999999999</v>
      </c>
      <c r="AO27" s="79">
        <f t="shared" si="51"/>
        <v>987.6</v>
      </c>
      <c r="AP27" s="79">
        <f t="shared" si="51"/>
        <v>1237.7</v>
      </c>
      <c r="AQ27" s="79">
        <f t="shared" si="51"/>
        <v>1191.3</v>
      </c>
      <c r="AR27" s="79">
        <f t="shared" si="51"/>
        <v>1211</v>
      </c>
      <c r="AS27" s="79">
        <f t="shared" si="51"/>
        <v>1166.7</v>
      </c>
      <c r="AT27" s="79">
        <f t="shared" si="51"/>
        <v>1542.9</v>
      </c>
      <c r="AU27" s="79">
        <f t="shared" si="51"/>
        <v>1209.7</v>
      </c>
      <c r="AV27" s="79">
        <f t="shared" si="51"/>
        <v>1146.7</v>
      </c>
      <c r="AW27" s="79">
        <f t="shared" si="51"/>
        <v>1253</v>
      </c>
      <c r="AX27" s="79">
        <f t="shared" si="51"/>
        <v>1525</v>
      </c>
      <c r="AY27" s="79">
        <f t="shared" si="51"/>
        <v>1334.9</v>
      </c>
      <c r="AZ27" s="79">
        <f t="shared" si="51"/>
        <v>1476.1</v>
      </c>
      <c r="BA27" s="79">
        <f t="shared" si="51"/>
        <v>1521.6</v>
      </c>
      <c r="BB27" s="79">
        <f t="shared" si="51"/>
        <v>1838</v>
      </c>
      <c r="BC27" s="79">
        <f t="shared" si="51"/>
        <v>1611.4</v>
      </c>
      <c r="BD27" s="79">
        <f t="shared" si="51"/>
        <v>1701.1</v>
      </c>
      <c r="BE27" s="79">
        <f t="shared" si="51"/>
        <v>1603.9</v>
      </c>
      <c r="BF27" s="79">
        <f t="shared" si="51"/>
        <v>1898</v>
      </c>
      <c r="BG27" s="79">
        <f t="shared" si="51"/>
        <v>1643.6</v>
      </c>
      <c r="BH27" s="79">
        <f t="shared" si="51"/>
        <v>1686.6</v>
      </c>
      <c r="BI27" s="79">
        <f t="shared" si="51"/>
        <v>1694.4999999999998</v>
      </c>
      <c r="BJ27" s="79">
        <f t="shared" si="51"/>
        <v>2029.2</v>
      </c>
      <c r="BK27" s="79">
        <f t="shared" si="51"/>
        <v>1760.8</v>
      </c>
      <c r="BL27" s="79">
        <f t="shared" si="51"/>
        <v>1782.3</v>
      </c>
      <c r="BM27" s="79">
        <f t="shared" si="51"/>
        <v>1795.2999999999997</v>
      </c>
      <c r="BN27" s="79">
        <f t="shared" si="51"/>
        <v>2206.4</v>
      </c>
      <c r="BO27" s="79">
        <f t="shared" si="51"/>
        <v>1932.7</v>
      </c>
      <c r="BP27" s="79">
        <f t="shared" ref="BP27:BR27" si="52">SUM(BP24:BP26)</f>
        <v>1979.2</v>
      </c>
      <c r="BQ27" s="79">
        <f t="shared" si="52"/>
        <v>2097.8000000000002</v>
      </c>
      <c r="BR27" s="79">
        <f t="shared" si="52"/>
        <v>2571.5</v>
      </c>
      <c r="CA27" s="79">
        <f t="shared" si="25"/>
        <v>521.70000000000005</v>
      </c>
      <c r="CB27" s="79">
        <f t="shared" si="26"/>
        <v>788.59999999999991</v>
      </c>
      <c r="CC27" s="79">
        <f t="shared" si="27"/>
        <v>788.6</v>
      </c>
      <c r="CD27" s="79">
        <f t="shared" si="28"/>
        <v>907.2</v>
      </c>
      <c r="CE27" s="79">
        <f t="shared" si="29"/>
        <v>1029.0999999999999</v>
      </c>
      <c r="CF27" s="79">
        <f t="shared" si="30"/>
        <v>1349.3</v>
      </c>
      <c r="CG27" s="79">
        <f t="shared" si="31"/>
        <v>1882.3000000000002</v>
      </c>
      <c r="CH27" s="79">
        <f t="shared" si="32"/>
        <v>2193.3000000000002</v>
      </c>
      <c r="CI27" s="79">
        <f t="shared" si="33"/>
        <v>2821.1000000000004</v>
      </c>
      <c r="CJ27" s="79">
        <f t="shared" si="34"/>
        <v>4221.6000000000004</v>
      </c>
      <c r="CK27" s="79">
        <f t="shared" si="35"/>
        <v>5111.8999999999996</v>
      </c>
      <c r="CL27" s="79">
        <f t="shared" si="36"/>
        <v>5134.3999999999996</v>
      </c>
      <c r="CM27" s="79">
        <f t="shared" si="37"/>
        <v>6170.6</v>
      </c>
      <c r="CN27" s="79">
        <f t="shared" si="38"/>
        <v>6814.4</v>
      </c>
      <c r="CO27" s="79">
        <f t="shared" si="39"/>
        <v>7053.9</v>
      </c>
      <c r="CP27" s="79">
        <f t="shared" si="40"/>
        <v>7544.7999999999993</v>
      </c>
      <c r="CQ27" s="79">
        <f t="shared" si="42"/>
        <v>8581.2000000000007</v>
      </c>
      <c r="CR27" s="63">
        <f>SUM(CR24:CR26)</f>
        <v>6070.6815478634726</v>
      </c>
      <c r="CS27" s="63">
        <f t="shared" ref="CS27:DA27" si="53">SUM(CS24:CS26)</f>
        <v>6695.2368225446207</v>
      </c>
      <c r="CT27" s="63">
        <f t="shared" si="53"/>
        <v>7248.0123990296925</v>
      </c>
      <c r="CU27" s="63">
        <f t="shared" si="53"/>
        <v>5962.983085335105</v>
      </c>
      <c r="CV27" s="63">
        <f t="shared" si="53"/>
        <v>8231.384837793903</v>
      </c>
      <c r="CW27" s="63">
        <f t="shared" si="53"/>
        <v>8662.5581286804918</v>
      </c>
      <c r="CX27" s="63">
        <f t="shared" si="53"/>
        <v>9030.8503076964462</v>
      </c>
      <c r="CY27" s="63">
        <f t="shared" si="53"/>
        <v>9379.7664983808245</v>
      </c>
      <c r="CZ27" s="63">
        <f t="shared" si="53"/>
        <v>9694.9661742894987</v>
      </c>
      <c r="DA27" s="63">
        <f t="shared" si="53"/>
        <v>9922.3819300421746</v>
      </c>
    </row>
    <row r="28" spans="2:157">
      <c r="B28" s="1" t="s">
        <v>179</v>
      </c>
      <c r="C28" s="79">
        <f t="shared" ref="C28:BJ28" si="54">C23-C27</f>
        <v>36.400000000000006</v>
      </c>
      <c r="D28" s="79">
        <f t="shared" si="54"/>
        <v>52.800000000000011</v>
      </c>
      <c r="E28" s="79">
        <f t="shared" si="54"/>
        <v>49.300000000000011</v>
      </c>
      <c r="F28" s="79">
        <f t="shared" si="54"/>
        <v>144.99999999999994</v>
      </c>
      <c r="G28" s="79">
        <f t="shared" si="54"/>
        <v>58.300000000000011</v>
      </c>
      <c r="H28" s="79">
        <f t="shared" si="54"/>
        <v>77.399999999999977</v>
      </c>
      <c r="I28" s="79">
        <f t="shared" si="54"/>
        <v>69.500000000000057</v>
      </c>
      <c r="J28" s="79">
        <f t="shared" si="54"/>
        <v>170.90000000000015</v>
      </c>
      <c r="K28" s="79">
        <f t="shared" si="54"/>
        <v>102.20000000000005</v>
      </c>
      <c r="L28" s="79">
        <f t="shared" si="54"/>
        <v>115.10000000000002</v>
      </c>
      <c r="M28" s="79">
        <f t="shared" si="54"/>
        <v>96.799999999999926</v>
      </c>
      <c r="N28" s="79">
        <f t="shared" si="54"/>
        <v>61.899999999999977</v>
      </c>
      <c r="O28" s="79">
        <f t="shared" si="54"/>
        <v>-1.9000000000000341</v>
      </c>
      <c r="P28" s="79">
        <f t="shared" si="54"/>
        <v>16.200000000000074</v>
      </c>
      <c r="Q28" s="79">
        <f t="shared" si="54"/>
        <v>16.199999999999989</v>
      </c>
      <c r="R28" s="79">
        <f t="shared" si="54"/>
        <v>19.600000000000023</v>
      </c>
      <c r="S28" s="79">
        <f t="shared" si="54"/>
        <v>31.800000000000011</v>
      </c>
      <c r="T28" s="79">
        <f t="shared" si="54"/>
        <v>57.100000000000051</v>
      </c>
      <c r="U28" s="79">
        <f t="shared" si="54"/>
        <v>57.100000000000023</v>
      </c>
      <c r="V28" s="79">
        <f t="shared" si="54"/>
        <v>82.199999999999989</v>
      </c>
      <c r="W28" s="79">
        <f t="shared" si="54"/>
        <v>97.599999999999852</v>
      </c>
      <c r="X28" s="79">
        <f t="shared" si="54"/>
        <v>129.60000000000014</v>
      </c>
      <c r="Y28" s="79">
        <f t="shared" si="54"/>
        <v>110.40000000000009</v>
      </c>
      <c r="Z28" s="79">
        <f t="shared" si="54"/>
        <v>65.000000000000114</v>
      </c>
      <c r="AA28" s="79">
        <f t="shared" si="54"/>
        <v>97.39999999999975</v>
      </c>
      <c r="AB28" s="79">
        <f t="shared" si="54"/>
        <v>74.800000000000068</v>
      </c>
      <c r="AC28" s="79">
        <f t="shared" si="54"/>
        <v>73.60000000000008</v>
      </c>
      <c r="AD28" s="79">
        <f t="shared" si="54"/>
        <v>59.799999999999841</v>
      </c>
      <c r="AE28" s="79">
        <f t="shared" si="54"/>
        <v>49.5</v>
      </c>
      <c r="AF28" s="79">
        <f t="shared" si="54"/>
        <v>70.399999999999864</v>
      </c>
      <c r="AG28" s="79">
        <f t="shared" si="54"/>
        <v>106.09999999999991</v>
      </c>
      <c r="AH28" s="79">
        <f t="shared" si="54"/>
        <v>153.90000000000003</v>
      </c>
      <c r="AI28" s="79">
        <f t="shared" si="54"/>
        <v>256.89999999999986</v>
      </c>
      <c r="AJ28" s="79">
        <f t="shared" si="54"/>
        <v>127.90000000000009</v>
      </c>
      <c r="AK28" s="79">
        <f t="shared" si="54"/>
        <v>208.60000000000014</v>
      </c>
      <c r="AL28" s="79">
        <f t="shared" si="54"/>
        <v>245.30000000000041</v>
      </c>
      <c r="AM28" s="79">
        <f t="shared" si="54"/>
        <v>446.60000000000014</v>
      </c>
      <c r="AN28" s="79">
        <f t="shared" si="54"/>
        <v>462.30000000000018</v>
      </c>
      <c r="AO28" s="79">
        <f t="shared" si="54"/>
        <v>480.70000000000016</v>
      </c>
      <c r="AP28" s="79">
        <f t="shared" si="54"/>
        <v>215.70000000000005</v>
      </c>
      <c r="AQ28" s="79">
        <f t="shared" si="54"/>
        <v>459.10000000000014</v>
      </c>
      <c r="AR28" s="79">
        <f t="shared" si="54"/>
        <v>706.40000000000055</v>
      </c>
      <c r="AS28" s="79">
        <f t="shared" si="54"/>
        <v>980.2999999999995</v>
      </c>
      <c r="AT28" s="79">
        <f t="shared" si="54"/>
        <v>458.49999999999955</v>
      </c>
      <c r="AU28" s="79">
        <f t="shared" si="54"/>
        <v>958.3</v>
      </c>
      <c r="AV28" s="79">
        <f t="shared" si="54"/>
        <v>1357.9000000000003</v>
      </c>
      <c r="AW28" s="79">
        <f t="shared" si="54"/>
        <v>1314.8000000000002</v>
      </c>
      <c r="AX28" s="79">
        <f t="shared" si="54"/>
        <v>954.19999999999982</v>
      </c>
      <c r="AY28" s="79">
        <f t="shared" si="54"/>
        <v>1959.9</v>
      </c>
      <c r="AZ28" s="79">
        <f t="shared" si="54"/>
        <v>1847.7000000000003</v>
      </c>
      <c r="BA28" s="79">
        <f t="shared" si="54"/>
        <v>1755.2999999999997</v>
      </c>
      <c r="BB28" s="79">
        <f t="shared" si="54"/>
        <v>631.69999999999982</v>
      </c>
      <c r="BC28" s="79">
        <f t="shared" si="54"/>
        <v>1971.7000000000003</v>
      </c>
      <c r="BD28" s="79">
        <f t="shared" si="54"/>
        <v>1578.2000000000003</v>
      </c>
      <c r="BE28" s="79">
        <f t="shared" si="54"/>
        <v>1533.0000000000005</v>
      </c>
      <c r="BF28" s="79">
        <f t="shared" si="54"/>
        <v>549.90000000000055</v>
      </c>
      <c r="BG28" s="79">
        <f t="shared" si="54"/>
        <v>1714.2999999999997</v>
      </c>
      <c r="BH28" s="79">
        <f t="shared" si="54"/>
        <v>1827.2000000000003</v>
      </c>
      <c r="BI28" s="79">
        <f t="shared" si="54"/>
        <v>1916.4000000000008</v>
      </c>
      <c r="BJ28" s="79">
        <f t="shared" si="54"/>
        <v>1496.0999999999992</v>
      </c>
      <c r="BK28" s="79">
        <f t="shared" ref="BK28:BQ28" si="55">BK23-BK27</f>
        <v>2632.4999999999991</v>
      </c>
      <c r="BL28" s="79">
        <f t="shared" si="55"/>
        <v>2602.8999999999987</v>
      </c>
      <c r="BM28" s="79">
        <f t="shared" si="55"/>
        <v>2909.5000000000014</v>
      </c>
      <c r="BN28" s="79">
        <f t="shared" si="55"/>
        <v>2272.7000000000003</v>
      </c>
      <c r="BO28" s="79">
        <f t="shared" si="55"/>
        <v>3346.9999999999991</v>
      </c>
      <c r="BP28" s="79">
        <f t="shared" si="55"/>
        <v>3774.7000000000007</v>
      </c>
      <c r="BQ28" s="79">
        <f t="shared" si="55"/>
        <v>3248.2999999999993</v>
      </c>
      <c r="BR28" s="79">
        <f>BR23-BR27</f>
        <v>2956.6999999999989</v>
      </c>
      <c r="CA28" s="79">
        <f t="shared" si="25"/>
        <v>283.5</v>
      </c>
      <c r="CB28" s="79">
        <f t="shared" si="26"/>
        <v>376.10000000000019</v>
      </c>
      <c r="CC28" s="79">
        <f t="shared" si="27"/>
        <v>376</v>
      </c>
      <c r="CD28" s="79">
        <f t="shared" si="28"/>
        <v>50.100000000000051</v>
      </c>
      <c r="CE28" s="79">
        <f t="shared" si="29"/>
        <v>228.20000000000007</v>
      </c>
      <c r="CF28" s="79">
        <f t="shared" si="30"/>
        <v>402.60000000000019</v>
      </c>
      <c r="CG28" s="79">
        <f t="shared" si="31"/>
        <v>305.59999999999974</v>
      </c>
      <c r="CH28" s="79">
        <f t="shared" si="32"/>
        <v>379.89999999999981</v>
      </c>
      <c r="CI28" s="79">
        <f t="shared" si="33"/>
        <v>838.7000000000005</v>
      </c>
      <c r="CJ28" s="79">
        <f t="shared" si="34"/>
        <v>1605.3000000000004</v>
      </c>
      <c r="CK28" s="79">
        <f t="shared" si="35"/>
        <v>2604.2999999999997</v>
      </c>
      <c r="CL28" s="79">
        <f t="shared" si="36"/>
        <v>4585.2000000000007</v>
      </c>
      <c r="CM28" s="79">
        <f t="shared" si="37"/>
        <v>6194.5999999999995</v>
      </c>
      <c r="CN28" s="79">
        <f t="shared" si="38"/>
        <v>5632.800000000002</v>
      </c>
      <c r="CO28" s="79">
        <f t="shared" si="39"/>
        <v>6954</v>
      </c>
      <c r="CP28" s="79">
        <f t="shared" si="40"/>
        <v>10417.6</v>
      </c>
      <c r="CQ28" s="79">
        <f t="shared" si="42"/>
        <v>13326.699999999999</v>
      </c>
      <c r="CR28" s="63">
        <f>CR23-CR27</f>
        <v>15435.386320441094</v>
      </c>
      <c r="CS28" s="63">
        <f t="shared" ref="CS28:DA28" si="56">CS23-CS27</f>
        <v>17227.653131082232</v>
      </c>
      <c r="CT28" s="63">
        <f t="shared" si="56"/>
        <v>18869.173993367909</v>
      </c>
      <c r="CU28" s="63">
        <f t="shared" si="56"/>
        <v>22266.826113574003</v>
      </c>
      <c r="CV28" s="63">
        <f t="shared" si="56"/>
        <v>21971.206210175911</v>
      </c>
      <c r="CW28" s="63">
        <f t="shared" si="56"/>
        <v>23313.493668249324</v>
      </c>
      <c r="CX28" s="63">
        <f t="shared" si="56"/>
        <v>24506.631509067542</v>
      </c>
      <c r="CY28" s="63">
        <f t="shared" si="56"/>
        <v>25628.789766846789</v>
      </c>
      <c r="CZ28" s="63">
        <f t="shared" si="56"/>
        <v>26673.069233901486</v>
      </c>
      <c r="DA28" s="63">
        <f t="shared" si="56"/>
        <v>27598.729405693171</v>
      </c>
    </row>
    <row r="29" spans="2:157">
      <c r="B29" s="1" t="s">
        <v>181</v>
      </c>
      <c r="C29" s="79">
        <v>0.9</v>
      </c>
      <c r="D29" s="79">
        <v>0.2</v>
      </c>
      <c r="E29" s="79">
        <v>1.1000000000000001</v>
      </c>
      <c r="F29" s="79">
        <v>-18.2</v>
      </c>
      <c r="G29" s="79">
        <v>-4</v>
      </c>
      <c r="H29" s="79">
        <v>-4</v>
      </c>
      <c r="I29" s="79">
        <v>-4.0999999999999996</v>
      </c>
      <c r="J29" s="79">
        <v>-4.5</v>
      </c>
      <c r="K29" s="79">
        <v>-4</v>
      </c>
      <c r="L29" s="79">
        <v>-4.3</v>
      </c>
      <c r="M29" s="79">
        <v>-3.2</v>
      </c>
      <c r="N29" s="79">
        <v>-5</v>
      </c>
      <c r="O29" s="79">
        <v>-5.0999999999999996</v>
      </c>
      <c r="P29" s="79">
        <v>-5.5</v>
      </c>
      <c r="Q29" s="79">
        <v>-4.2</v>
      </c>
      <c r="R29" s="79">
        <v>-4.7</v>
      </c>
      <c r="S29" s="79">
        <v>-30.9</v>
      </c>
      <c r="T29" s="79">
        <v>-10.5</v>
      </c>
      <c r="U29" s="79">
        <v>-7.6</v>
      </c>
      <c r="V29" s="79">
        <v>-8.3000000000000007</v>
      </c>
      <c r="W29" s="79">
        <v>-8.6999999999999993</v>
      </c>
      <c r="X29" s="79">
        <v>-12.2</v>
      </c>
      <c r="Y29" s="79">
        <v>-12.9</v>
      </c>
      <c r="Z29" s="79">
        <v>-19.5</v>
      </c>
      <c r="AA29" s="79">
        <v>-59</v>
      </c>
      <c r="AB29" s="79">
        <v>-34.299999999999997</v>
      </c>
      <c r="AC29" s="79">
        <v>-31.4</v>
      </c>
      <c r="AD29" s="79">
        <v>-39.200000000000003</v>
      </c>
      <c r="AE29" s="79">
        <v>-9.6</v>
      </c>
      <c r="AF29" s="79">
        <v>-19.100000000000001</v>
      </c>
      <c r="AG29" s="79">
        <v>-26.9</v>
      </c>
      <c r="AH29" s="79">
        <v>-63.7</v>
      </c>
      <c r="AI29" s="79">
        <v>-33.200000000000003</v>
      </c>
      <c r="AJ29" s="79">
        <v>-113.8</v>
      </c>
      <c r="AK29" s="79">
        <v>-92.4</v>
      </c>
      <c r="AL29" s="79">
        <v>-114</v>
      </c>
      <c r="AM29" s="79">
        <v>-147</v>
      </c>
      <c r="AN29" s="79">
        <v>-33.6</v>
      </c>
      <c r="AO29" s="79">
        <v>-101.9</v>
      </c>
      <c r="AP29" s="79">
        <v>-96.4</v>
      </c>
      <c r="AQ29" s="79">
        <v>-59.4</v>
      </c>
      <c r="AR29" s="79">
        <v>-205.5</v>
      </c>
      <c r="AS29" s="79">
        <v>32.1</v>
      </c>
      <c r="AT29" s="79">
        <v>-309.2</v>
      </c>
      <c r="AU29" s="79">
        <v>-162.4</v>
      </c>
      <c r="AV29" s="79">
        <v>-322.3</v>
      </c>
      <c r="AW29" s="79">
        <v>-453.4</v>
      </c>
      <c r="AX29" s="79">
        <v>-447.8</v>
      </c>
      <c r="AY29" s="79">
        <v>74.599999999999994</v>
      </c>
      <c r="AZ29" s="79">
        <v>-253.8</v>
      </c>
      <c r="BA29" s="79">
        <v>-94.3</v>
      </c>
      <c r="BB29" s="79">
        <v>-80.900000000000006</v>
      </c>
      <c r="BC29" s="79">
        <v>8.1</v>
      </c>
      <c r="BD29" s="79">
        <v>44.8</v>
      </c>
      <c r="BE29" s="79">
        <v>88.8</v>
      </c>
      <c r="BF29" s="79">
        <v>-510.6</v>
      </c>
      <c r="BG29" s="79">
        <v>-245.4</v>
      </c>
      <c r="BH29" s="79">
        <v>-147.9</v>
      </c>
      <c r="BI29" s="79">
        <v>-7.3</v>
      </c>
      <c r="BJ29" s="79">
        <v>-348</v>
      </c>
      <c r="BK29" s="79">
        <v>-18</v>
      </c>
      <c r="BL29" s="79">
        <v>-89</v>
      </c>
      <c r="BM29" s="79">
        <v>-206.5</v>
      </c>
      <c r="BN29" s="79">
        <v>-138.5</v>
      </c>
      <c r="BO29" s="79">
        <v>-133.30000000000001</v>
      </c>
      <c r="BP29" s="79">
        <v>-143</v>
      </c>
      <c r="BQ29" s="79">
        <v>-138.80000000000001</v>
      </c>
      <c r="BR29" s="79">
        <v>-188.9</v>
      </c>
      <c r="CA29" s="79">
        <f t="shared" si="25"/>
        <v>-16</v>
      </c>
      <c r="CB29" s="79">
        <f t="shared" si="26"/>
        <v>-16.600000000000001</v>
      </c>
      <c r="CC29" s="79">
        <f t="shared" si="27"/>
        <v>-16.5</v>
      </c>
      <c r="CD29" s="79">
        <f t="shared" si="28"/>
        <v>-19.5</v>
      </c>
      <c r="CE29" s="79">
        <f t="shared" si="29"/>
        <v>-57.3</v>
      </c>
      <c r="CF29" s="79">
        <f t="shared" si="30"/>
        <v>-53.3</v>
      </c>
      <c r="CG29" s="79">
        <f t="shared" si="31"/>
        <v>-163.89999999999998</v>
      </c>
      <c r="CH29" s="79">
        <f t="shared" si="32"/>
        <v>-119.30000000000001</v>
      </c>
      <c r="CI29" s="79">
        <f t="shared" si="33"/>
        <v>-353.4</v>
      </c>
      <c r="CJ29" s="79">
        <f t="shared" si="34"/>
        <v>-378.9</v>
      </c>
      <c r="CK29" s="79">
        <f t="shared" si="35"/>
        <v>-542</v>
      </c>
      <c r="CL29" s="79">
        <f t="shared" si="36"/>
        <v>-1385.9</v>
      </c>
      <c r="CM29" s="79">
        <f t="shared" si="37"/>
        <v>-354.4</v>
      </c>
      <c r="CN29" s="79">
        <f t="shared" si="38"/>
        <v>-368.90000000000003</v>
      </c>
      <c r="CO29" s="79">
        <f t="shared" si="39"/>
        <v>-748.6</v>
      </c>
      <c r="CP29" s="79">
        <f t="shared" si="40"/>
        <v>-452</v>
      </c>
      <c r="CQ29" s="79">
        <f t="shared" si="42"/>
        <v>-604</v>
      </c>
      <c r="CR29" s="63">
        <f t="shared" ref="CR29:DA29" si="57">-(CQ57+CQ59)*($DF$52)</f>
        <v>-802.68706499999996</v>
      </c>
      <c r="CS29" s="63">
        <f t="shared" si="57"/>
        <v>-758.13793289249998</v>
      </c>
      <c r="CT29" s="63">
        <f t="shared" si="57"/>
        <v>-716.06127761696632</v>
      </c>
      <c r="CU29" s="63">
        <f t="shared" si="57"/>
        <v>-676.31987670922467</v>
      </c>
      <c r="CV29" s="63">
        <f t="shared" si="57"/>
        <v>-638.78412355186265</v>
      </c>
      <c r="CW29" s="63">
        <f t="shared" si="57"/>
        <v>-603.33160469473432</v>
      </c>
      <c r="CX29" s="63">
        <f t="shared" si="57"/>
        <v>-569.8467006341765</v>
      </c>
      <c r="CY29" s="63">
        <f t="shared" si="57"/>
        <v>-538.22020874897976</v>
      </c>
      <c r="CZ29" s="63">
        <f t="shared" si="57"/>
        <v>-508.34898716341132</v>
      </c>
      <c r="DA29" s="63">
        <f t="shared" si="57"/>
        <v>-480.13561837584194</v>
      </c>
    </row>
    <row r="30" spans="2:157">
      <c r="B30" s="1" t="s">
        <v>180</v>
      </c>
      <c r="C30" s="79">
        <v>0</v>
      </c>
      <c r="D30" s="79">
        <v>0</v>
      </c>
      <c r="E30" s="79">
        <v>0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9">
        <v>0</v>
      </c>
      <c r="Q30" s="79">
        <v>0</v>
      </c>
      <c r="R30" s="79">
        <v>0</v>
      </c>
      <c r="S30" s="79">
        <v>0</v>
      </c>
      <c r="T30" s="79">
        <v>0</v>
      </c>
      <c r="U30" s="79">
        <v>0</v>
      </c>
      <c r="V30" s="79">
        <v>0</v>
      </c>
      <c r="W30" s="79">
        <v>0</v>
      </c>
      <c r="X30" s="79">
        <v>0</v>
      </c>
      <c r="Y30" s="79">
        <v>0</v>
      </c>
      <c r="Z30" s="79">
        <v>0</v>
      </c>
      <c r="AA30" s="79">
        <v>0</v>
      </c>
      <c r="AB30" s="79">
        <v>0</v>
      </c>
      <c r="AC30" s="79">
        <v>0</v>
      </c>
      <c r="AD30" s="79">
        <v>0</v>
      </c>
      <c r="AE30" s="79">
        <v>0</v>
      </c>
      <c r="AF30" s="79">
        <v>0</v>
      </c>
      <c r="AG30" s="79">
        <v>0</v>
      </c>
      <c r="AH30" s="79">
        <v>0</v>
      </c>
      <c r="AI30" s="79">
        <v>0</v>
      </c>
      <c r="AJ30" s="79">
        <v>0</v>
      </c>
      <c r="AK30" s="79">
        <v>0</v>
      </c>
      <c r="AL30" s="79">
        <v>0</v>
      </c>
      <c r="AM30" s="79">
        <v>0</v>
      </c>
      <c r="AN30" s="79">
        <v>0</v>
      </c>
      <c r="AO30" s="79">
        <v>0</v>
      </c>
      <c r="AP30" s="79">
        <v>0</v>
      </c>
      <c r="AQ30" s="79">
        <v>0</v>
      </c>
      <c r="AR30" s="79">
        <v>0</v>
      </c>
      <c r="AS30" s="79">
        <v>0</v>
      </c>
      <c r="AT30" s="79">
        <v>0</v>
      </c>
      <c r="AU30" s="79">
        <v>0</v>
      </c>
      <c r="AV30" s="79">
        <v>0</v>
      </c>
      <c r="AW30" s="79">
        <v>0</v>
      </c>
      <c r="AX30" s="79">
        <v>0</v>
      </c>
      <c r="AY30" s="79">
        <v>0</v>
      </c>
      <c r="AZ30" s="79">
        <v>0</v>
      </c>
      <c r="BA30" s="79">
        <v>0</v>
      </c>
      <c r="BB30" s="79">
        <v>0</v>
      </c>
      <c r="BC30" s="79">
        <v>0</v>
      </c>
      <c r="BD30" s="79">
        <v>0</v>
      </c>
      <c r="BE30" s="79">
        <v>0</v>
      </c>
      <c r="BF30" s="79">
        <v>0</v>
      </c>
      <c r="BG30" s="79">
        <v>0</v>
      </c>
      <c r="BH30" s="79">
        <v>0</v>
      </c>
      <c r="BI30" s="79">
        <v>0</v>
      </c>
      <c r="BJ30" s="79">
        <v>0</v>
      </c>
      <c r="BK30" s="79">
        <v>0</v>
      </c>
      <c r="BL30" s="79">
        <v>0</v>
      </c>
      <c r="BM30" s="79">
        <v>0</v>
      </c>
      <c r="BN30" s="79">
        <v>0</v>
      </c>
      <c r="BO30" s="79">
        <v>0</v>
      </c>
      <c r="BP30" s="79">
        <v>0</v>
      </c>
      <c r="BQ30" s="79">
        <v>0</v>
      </c>
      <c r="BR30" s="79">
        <v>0</v>
      </c>
      <c r="CA30" s="79">
        <f t="shared" si="25"/>
        <v>0</v>
      </c>
      <c r="CB30" s="79">
        <f t="shared" si="26"/>
        <v>0</v>
      </c>
      <c r="CC30" s="79">
        <f t="shared" si="27"/>
        <v>0</v>
      </c>
      <c r="CD30" s="79">
        <f t="shared" si="28"/>
        <v>0</v>
      </c>
      <c r="CE30" s="79">
        <f t="shared" si="29"/>
        <v>0</v>
      </c>
      <c r="CF30" s="79">
        <f t="shared" si="30"/>
        <v>0</v>
      </c>
      <c r="CG30" s="79">
        <f t="shared" si="31"/>
        <v>0</v>
      </c>
      <c r="CH30" s="79">
        <f t="shared" si="32"/>
        <v>0</v>
      </c>
      <c r="CI30" s="79">
        <f t="shared" si="33"/>
        <v>0</v>
      </c>
      <c r="CJ30" s="79">
        <f t="shared" si="34"/>
        <v>0</v>
      </c>
      <c r="CK30" s="79">
        <f t="shared" si="35"/>
        <v>0</v>
      </c>
      <c r="CL30" s="79">
        <f t="shared" si="36"/>
        <v>0</v>
      </c>
      <c r="CM30" s="79">
        <f t="shared" si="37"/>
        <v>0</v>
      </c>
      <c r="CN30" s="79">
        <f t="shared" si="38"/>
        <v>0</v>
      </c>
      <c r="CO30" s="79">
        <f t="shared" si="39"/>
        <v>0</v>
      </c>
      <c r="CP30" s="79">
        <f t="shared" si="40"/>
        <v>0</v>
      </c>
      <c r="CQ30" s="79">
        <f t="shared" si="42"/>
        <v>0</v>
      </c>
      <c r="CR30" s="63">
        <f>6000*$DK$38</f>
        <v>1845</v>
      </c>
      <c r="CS30" s="63">
        <f t="shared" ref="CS30:DA30" si="58">CR30*(1+$DK$38)</f>
        <v>2412.3375000000001</v>
      </c>
      <c r="CT30" s="63">
        <f t="shared" si="58"/>
        <v>3154.1312812500005</v>
      </c>
      <c r="CU30" s="63">
        <f t="shared" si="58"/>
        <v>4124.0266502343757</v>
      </c>
      <c r="CV30" s="63">
        <f t="shared" si="58"/>
        <v>5392.1648451814463</v>
      </c>
      <c r="CW30" s="63">
        <f t="shared" si="58"/>
        <v>7050.2555350747416</v>
      </c>
      <c r="CX30" s="63">
        <f t="shared" si="58"/>
        <v>9218.2091121102258</v>
      </c>
      <c r="CY30" s="63">
        <f t="shared" si="58"/>
        <v>12052.808414084122</v>
      </c>
      <c r="CZ30" s="63">
        <f t="shared" si="58"/>
        <v>15759.047001414991</v>
      </c>
      <c r="DA30" s="63">
        <f t="shared" si="58"/>
        <v>20604.953954350101</v>
      </c>
    </row>
    <row r="31" spans="2:157">
      <c r="B31" s="1" t="s">
        <v>182</v>
      </c>
      <c r="C31" s="79">
        <f t="shared" ref="C31:AH31" si="59">C28+SUM(C29:C29)</f>
        <v>37.300000000000004</v>
      </c>
      <c r="D31" s="79">
        <f t="shared" si="59"/>
        <v>53.000000000000014</v>
      </c>
      <c r="E31" s="79">
        <f t="shared" si="59"/>
        <v>50.400000000000013</v>
      </c>
      <c r="F31" s="79">
        <f t="shared" si="59"/>
        <v>126.79999999999994</v>
      </c>
      <c r="G31" s="79">
        <f t="shared" si="59"/>
        <v>54.300000000000011</v>
      </c>
      <c r="H31" s="79">
        <f t="shared" si="59"/>
        <v>73.399999999999977</v>
      </c>
      <c r="I31" s="79">
        <f t="shared" si="59"/>
        <v>65.400000000000063</v>
      </c>
      <c r="J31" s="79">
        <f t="shared" si="59"/>
        <v>166.40000000000015</v>
      </c>
      <c r="K31" s="79">
        <f t="shared" si="59"/>
        <v>98.200000000000045</v>
      </c>
      <c r="L31" s="79">
        <f t="shared" si="59"/>
        <v>110.80000000000003</v>
      </c>
      <c r="M31" s="79">
        <f t="shared" si="59"/>
        <v>93.599999999999923</v>
      </c>
      <c r="N31" s="79">
        <f t="shared" si="59"/>
        <v>56.899999999999977</v>
      </c>
      <c r="O31" s="79">
        <f t="shared" si="59"/>
        <v>-7.0000000000000338</v>
      </c>
      <c r="P31" s="79">
        <f t="shared" si="59"/>
        <v>10.700000000000074</v>
      </c>
      <c r="Q31" s="79">
        <f t="shared" si="59"/>
        <v>11.999999999999989</v>
      </c>
      <c r="R31" s="79">
        <f t="shared" si="59"/>
        <v>14.900000000000023</v>
      </c>
      <c r="S31" s="79">
        <f t="shared" si="59"/>
        <v>0.90000000000001279</v>
      </c>
      <c r="T31" s="79">
        <f t="shared" si="59"/>
        <v>46.600000000000051</v>
      </c>
      <c r="U31" s="79">
        <f t="shared" si="59"/>
        <v>49.500000000000021</v>
      </c>
      <c r="V31" s="79">
        <f t="shared" si="59"/>
        <v>73.899999999999991</v>
      </c>
      <c r="W31" s="79">
        <f t="shared" si="59"/>
        <v>88.899999999999849</v>
      </c>
      <c r="X31" s="79">
        <f t="shared" si="59"/>
        <v>117.40000000000013</v>
      </c>
      <c r="Y31" s="79">
        <f t="shared" si="59"/>
        <v>97.500000000000085</v>
      </c>
      <c r="Z31" s="79">
        <f t="shared" si="59"/>
        <v>45.500000000000114</v>
      </c>
      <c r="AA31" s="79">
        <f t="shared" si="59"/>
        <v>38.39999999999975</v>
      </c>
      <c r="AB31" s="79">
        <f t="shared" si="59"/>
        <v>40.500000000000071</v>
      </c>
      <c r="AC31" s="79">
        <f t="shared" si="59"/>
        <v>42.200000000000081</v>
      </c>
      <c r="AD31" s="79">
        <f t="shared" si="59"/>
        <v>20.599999999999838</v>
      </c>
      <c r="AE31" s="79">
        <f t="shared" si="59"/>
        <v>39.9</v>
      </c>
      <c r="AF31" s="79">
        <f t="shared" si="59"/>
        <v>51.299999999999862</v>
      </c>
      <c r="AG31" s="79">
        <f t="shared" si="59"/>
        <v>79.199999999999903</v>
      </c>
      <c r="AH31" s="79">
        <f t="shared" si="59"/>
        <v>90.200000000000031</v>
      </c>
      <c r="AI31" s="79">
        <f t="shared" ref="AI31:BR31" si="60">AI28+SUM(AI29:AI29)</f>
        <v>223.69999999999987</v>
      </c>
      <c r="AJ31" s="79">
        <f t="shared" si="60"/>
        <v>14.100000000000094</v>
      </c>
      <c r="AK31" s="79">
        <f t="shared" si="60"/>
        <v>116.20000000000013</v>
      </c>
      <c r="AL31" s="79">
        <f t="shared" si="60"/>
        <v>131.30000000000041</v>
      </c>
      <c r="AM31" s="79">
        <f t="shared" si="60"/>
        <v>299.60000000000014</v>
      </c>
      <c r="AN31" s="79">
        <f t="shared" si="60"/>
        <v>428.70000000000016</v>
      </c>
      <c r="AO31" s="79">
        <f t="shared" si="60"/>
        <v>378.80000000000018</v>
      </c>
      <c r="AP31" s="79">
        <f t="shared" si="60"/>
        <v>119.30000000000004</v>
      </c>
      <c r="AQ31" s="79">
        <f t="shared" si="60"/>
        <v>399.70000000000016</v>
      </c>
      <c r="AR31" s="79">
        <f t="shared" si="60"/>
        <v>500.90000000000055</v>
      </c>
      <c r="AS31" s="79">
        <f t="shared" si="60"/>
        <v>1012.3999999999995</v>
      </c>
      <c r="AT31" s="79">
        <f t="shared" si="60"/>
        <v>149.29999999999956</v>
      </c>
      <c r="AU31" s="79">
        <f t="shared" si="60"/>
        <v>795.9</v>
      </c>
      <c r="AV31" s="79">
        <f t="shared" si="60"/>
        <v>1035.6000000000004</v>
      </c>
      <c r="AW31" s="79">
        <f t="shared" si="60"/>
        <v>861.4000000000002</v>
      </c>
      <c r="AX31" s="79">
        <f t="shared" si="60"/>
        <v>506.39999999999981</v>
      </c>
      <c r="AY31" s="79">
        <f t="shared" si="60"/>
        <v>2034.5</v>
      </c>
      <c r="AZ31" s="79">
        <f t="shared" si="60"/>
        <v>1593.9000000000003</v>
      </c>
      <c r="BA31" s="79">
        <f t="shared" si="60"/>
        <v>1660.9999999999998</v>
      </c>
      <c r="BB31" s="79">
        <f t="shared" si="60"/>
        <v>550.79999999999984</v>
      </c>
      <c r="BC31" s="79">
        <f t="shared" si="60"/>
        <v>1979.8000000000002</v>
      </c>
      <c r="BD31" s="79">
        <f t="shared" si="60"/>
        <v>1623.0000000000002</v>
      </c>
      <c r="BE31" s="79">
        <f t="shared" si="60"/>
        <v>1621.8000000000004</v>
      </c>
      <c r="BF31" s="79">
        <f t="shared" si="60"/>
        <v>39.300000000000523</v>
      </c>
      <c r="BG31" s="79">
        <f t="shared" si="60"/>
        <v>1468.8999999999996</v>
      </c>
      <c r="BH31" s="79">
        <f t="shared" si="60"/>
        <v>1679.3000000000002</v>
      </c>
      <c r="BI31" s="79">
        <f t="shared" si="60"/>
        <v>1909.1000000000008</v>
      </c>
      <c r="BJ31" s="79">
        <f t="shared" si="60"/>
        <v>1148.0999999999992</v>
      </c>
      <c r="BK31" s="79">
        <f t="shared" si="60"/>
        <v>2614.4999999999991</v>
      </c>
      <c r="BL31" s="79">
        <f t="shared" si="60"/>
        <v>2513.8999999999987</v>
      </c>
      <c r="BM31" s="79">
        <f t="shared" si="60"/>
        <v>2703.0000000000014</v>
      </c>
      <c r="BN31" s="79">
        <f t="shared" si="60"/>
        <v>2134.2000000000003</v>
      </c>
      <c r="BO31" s="79">
        <f t="shared" si="60"/>
        <v>3213.6999999999989</v>
      </c>
      <c r="BP31" s="79">
        <f t="shared" si="60"/>
        <v>3631.7000000000007</v>
      </c>
      <c r="BQ31" s="79">
        <f t="shared" si="60"/>
        <v>3109.4999999999991</v>
      </c>
      <c r="BR31" s="79">
        <f t="shared" si="60"/>
        <v>2767.7999999999988</v>
      </c>
      <c r="CA31" s="79">
        <f t="shared" si="25"/>
        <v>267.49999999999994</v>
      </c>
      <c r="CB31" s="79">
        <f t="shared" si="26"/>
        <v>359.50000000000023</v>
      </c>
      <c r="CC31" s="79">
        <f t="shared" si="27"/>
        <v>359.49999999999994</v>
      </c>
      <c r="CD31" s="79">
        <f t="shared" si="28"/>
        <v>30.600000000000051</v>
      </c>
      <c r="CE31" s="79">
        <f t="shared" si="29"/>
        <v>170.90000000000009</v>
      </c>
      <c r="CF31" s="79">
        <f t="shared" si="30"/>
        <v>349.30000000000018</v>
      </c>
      <c r="CG31" s="79">
        <f t="shared" si="31"/>
        <v>141.69999999999976</v>
      </c>
      <c r="CH31" s="79">
        <f t="shared" si="32"/>
        <v>260.5999999999998</v>
      </c>
      <c r="CI31" s="79">
        <f t="shared" si="33"/>
        <v>485.30000000000052</v>
      </c>
      <c r="CJ31" s="79">
        <f t="shared" si="34"/>
        <v>1226.4000000000003</v>
      </c>
      <c r="CK31" s="79">
        <f t="shared" si="35"/>
        <v>2062.2999999999997</v>
      </c>
      <c r="CL31" s="79">
        <f t="shared" si="36"/>
        <v>3199.3</v>
      </c>
      <c r="CM31" s="79">
        <f t="shared" si="37"/>
        <v>5840.2000000000007</v>
      </c>
      <c r="CN31" s="79">
        <f t="shared" si="38"/>
        <v>5263.9000000000005</v>
      </c>
      <c r="CO31" s="79">
        <f t="shared" si="39"/>
        <v>6205.4000000000005</v>
      </c>
      <c r="CP31" s="79">
        <f t="shared" si="40"/>
        <v>9965.6</v>
      </c>
      <c r="CQ31" s="79">
        <f t="shared" si="42"/>
        <v>12722.699999999997</v>
      </c>
      <c r="CR31" s="63">
        <f>CR28+SUM(CR29:CR30)</f>
        <v>16477.699255441094</v>
      </c>
      <c r="CS31" s="63">
        <f t="shared" ref="CS31:DA31" si="61">CS28+SUM(CS29:CS30)</f>
        <v>18881.85269818973</v>
      </c>
      <c r="CT31" s="63">
        <f t="shared" si="61"/>
        <v>21307.243997000944</v>
      </c>
      <c r="CU31" s="63">
        <f t="shared" si="61"/>
        <v>25714.532887099154</v>
      </c>
      <c r="CV31" s="63">
        <f t="shared" si="61"/>
        <v>26724.586931805494</v>
      </c>
      <c r="CW31" s="63">
        <f t="shared" si="61"/>
        <v>29760.417598629334</v>
      </c>
      <c r="CX31" s="63">
        <f t="shared" si="61"/>
        <v>33154.993920543595</v>
      </c>
      <c r="CY31" s="63">
        <f t="shared" si="61"/>
        <v>37143.37797218193</v>
      </c>
      <c r="CZ31" s="63">
        <f t="shared" si="61"/>
        <v>41923.767248153061</v>
      </c>
      <c r="DA31" s="63">
        <f t="shared" si="61"/>
        <v>47723.547741667426</v>
      </c>
    </row>
    <row r="32" spans="2:157">
      <c r="B32" s="1" t="s">
        <v>183</v>
      </c>
      <c r="C32" s="79">
        <v>15</v>
      </c>
      <c r="D32" s="79">
        <v>20.5</v>
      </c>
      <c r="E32" s="79">
        <v>20.3</v>
      </c>
      <c r="F32" s="79">
        <v>50.9</v>
      </c>
      <c r="G32" s="79">
        <v>22.1</v>
      </c>
      <c r="H32" s="79">
        <v>29.9</v>
      </c>
      <c r="I32" s="79">
        <v>27.4</v>
      </c>
      <c r="J32" s="79">
        <v>54</v>
      </c>
      <c r="K32" s="79">
        <v>38</v>
      </c>
      <c r="L32" s="79">
        <v>42.6</v>
      </c>
      <c r="M32" s="79">
        <v>31.2</v>
      </c>
      <c r="N32" s="79">
        <v>21.6</v>
      </c>
      <c r="O32" s="79">
        <v>-2.4</v>
      </c>
      <c r="P32" s="79">
        <v>4.5</v>
      </c>
      <c r="Q32" s="79">
        <v>4.3</v>
      </c>
      <c r="R32" s="79">
        <v>7</v>
      </c>
      <c r="S32" s="79">
        <v>-1.8</v>
      </c>
      <c r="T32" s="79">
        <v>17.2</v>
      </c>
      <c r="U32" s="79">
        <v>17.7</v>
      </c>
      <c r="V32" s="79">
        <v>25.6</v>
      </c>
      <c r="W32" s="79">
        <v>35.799999999999997</v>
      </c>
      <c r="X32" s="79">
        <v>46.4</v>
      </c>
      <c r="Y32" s="79">
        <v>38.200000000000003</v>
      </c>
      <c r="Z32" s="79">
        <v>-37.9</v>
      </c>
      <c r="AA32" s="79">
        <v>14.7</v>
      </c>
      <c r="AB32" s="79">
        <v>14.2</v>
      </c>
      <c r="AC32" s="79">
        <v>12.8</v>
      </c>
      <c r="AD32" s="79">
        <v>-22.4</v>
      </c>
      <c r="AE32" s="79">
        <v>12.2</v>
      </c>
      <c r="AF32" s="79">
        <v>10.5</v>
      </c>
      <c r="AG32" s="79">
        <v>27.6</v>
      </c>
      <c r="AH32" s="79">
        <v>23.5</v>
      </c>
      <c r="AI32" s="79">
        <v>45.6</v>
      </c>
      <c r="AJ32" s="79">
        <v>-51.6</v>
      </c>
      <c r="AK32" s="79">
        <v>-13.4</v>
      </c>
      <c r="AL32" s="79">
        <v>-54.2</v>
      </c>
      <c r="AM32" s="79">
        <v>9.5</v>
      </c>
      <c r="AN32" s="79">
        <v>44.3</v>
      </c>
      <c r="AO32" s="79">
        <v>-24</v>
      </c>
      <c r="AP32" s="79">
        <v>-14.5</v>
      </c>
      <c r="AQ32" s="79">
        <v>55.6</v>
      </c>
      <c r="AR32" s="79">
        <v>230.3</v>
      </c>
      <c r="AS32" s="79">
        <v>347.1</v>
      </c>
      <c r="AT32" s="79">
        <v>-437.6</v>
      </c>
      <c r="AU32" s="79">
        <v>86.8</v>
      </c>
      <c r="AV32" s="79">
        <v>315.39999999999998</v>
      </c>
      <c r="AW32" s="79">
        <v>71.5</v>
      </c>
      <c r="AX32" s="79">
        <v>-35.700000000000003</v>
      </c>
      <c r="AY32" s="79">
        <v>327.8</v>
      </c>
      <c r="AZ32" s="79">
        <v>240.8</v>
      </c>
      <c r="BA32" s="79">
        <v>211.9</v>
      </c>
      <c r="BB32" s="79">
        <v>-56.6</v>
      </c>
      <c r="BC32" s="79">
        <v>382.2</v>
      </c>
      <c r="BD32" s="79">
        <v>182.1</v>
      </c>
      <c r="BE32" s="79">
        <v>223.6</v>
      </c>
      <c r="BF32" s="79">
        <v>-15.9</v>
      </c>
      <c r="BG32" s="79">
        <v>163.80000000000001</v>
      </c>
      <c r="BH32" s="79">
        <v>191.7</v>
      </c>
      <c r="BI32" s="79">
        <v>231.6</v>
      </c>
      <c r="BJ32" s="79">
        <v>210.3</v>
      </c>
      <c r="BK32" s="79">
        <v>282.39999999999998</v>
      </c>
      <c r="BL32" s="79">
        <v>366.6</v>
      </c>
      <c r="BM32" s="79">
        <v>339.4</v>
      </c>
      <c r="BN32" s="79">
        <v>265.7</v>
      </c>
      <c r="BO32" s="79">
        <v>323.39999999999998</v>
      </c>
      <c r="BP32" s="79">
        <v>506.3</v>
      </c>
      <c r="BQ32" s="79">
        <v>562.5</v>
      </c>
      <c r="BR32" s="79">
        <v>349.2</v>
      </c>
      <c r="CA32" s="79">
        <f t="shared" si="25"/>
        <v>106.69999999999999</v>
      </c>
      <c r="CB32" s="79">
        <f t="shared" si="26"/>
        <v>133.4</v>
      </c>
      <c r="CC32" s="79">
        <f t="shared" si="27"/>
        <v>133.4</v>
      </c>
      <c r="CD32" s="79">
        <f t="shared" si="28"/>
        <v>13.4</v>
      </c>
      <c r="CE32" s="79">
        <f t="shared" si="29"/>
        <v>58.699999999999996</v>
      </c>
      <c r="CF32" s="79">
        <f t="shared" si="30"/>
        <v>82.5</v>
      </c>
      <c r="CG32" s="79">
        <f t="shared" si="31"/>
        <v>19.300000000000004</v>
      </c>
      <c r="CH32" s="79">
        <f t="shared" si="32"/>
        <v>73.8</v>
      </c>
      <c r="CI32" s="79">
        <f t="shared" si="33"/>
        <v>-73.599999999999994</v>
      </c>
      <c r="CJ32" s="79">
        <f t="shared" si="34"/>
        <v>15.299999999999997</v>
      </c>
      <c r="CK32" s="79">
        <f t="shared" si="35"/>
        <v>195.39999999999998</v>
      </c>
      <c r="CL32" s="79">
        <f t="shared" si="36"/>
        <v>438</v>
      </c>
      <c r="CM32" s="79">
        <f t="shared" si="37"/>
        <v>723.9</v>
      </c>
      <c r="CN32" s="79">
        <f t="shared" si="38"/>
        <v>772</v>
      </c>
      <c r="CO32" s="79">
        <f t="shared" si="39"/>
        <v>797.40000000000009</v>
      </c>
      <c r="CP32" s="79">
        <f t="shared" si="40"/>
        <v>1254.0999999999999</v>
      </c>
      <c r="CQ32" s="79">
        <f t="shared" si="42"/>
        <v>1741.4</v>
      </c>
      <c r="CR32" s="63">
        <f>CR31*CR42</f>
        <v>2471.654888316164</v>
      </c>
      <c r="CS32" s="63">
        <f t="shared" ref="CS32:DA32" si="62">CS31*CS42</f>
        <v>3021.0964317103567</v>
      </c>
      <c r="CT32" s="63">
        <f t="shared" si="62"/>
        <v>3409.1590395201511</v>
      </c>
      <c r="CU32" s="63">
        <f t="shared" si="62"/>
        <v>4114.3252619358645</v>
      </c>
      <c r="CV32" s="63">
        <f t="shared" si="62"/>
        <v>4275.9339090888789</v>
      </c>
      <c r="CW32" s="63">
        <f t="shared" si="62"/>
        <v>4761.6668157806935</v>
      </c>
      <c r="CX32" s="63">
        <f t="shared" si="62"/>
        <v>5304.7990272869756</v>
      </c>
      <c r="CY32" s="63">
        <f t="shared" si="62"/>
        <v>5942.9404755491087</v>
      </c>
      <c r="CZ32" s="63">
        <f t="shared" si="62"/>
        <v>6707.8027597044902</v>
      </c>
      <c r="DA32" s="63">
        <f t="shared" si="62"/>
        <v>7635.7676386667881</v>
      </c>
    </row>
    <row r="33" spans="2:157" s="2" customFormat="1" ht="15">
      <c r="B33" s="2" t="s">
        <v>184</v>
      </c>
      <c r="C33" s="76">
        <f t="shared" ref="C33:BJ33" si="63">C31-C32</f>
        <v>22.300000000000004</v>
      </c>
      <c r="D33" s="76">
        <f t="shared" si="63"/>
        <v>32.500000000000014</v>
      </c>
      <c r="E33" s="76">
        <f t="shared" si="63"/>
        <v>30.100000000000012</v>
      </c>
      <c r="F33" s="76">
        <f t="shared" si="63"/>
        <v>75.899999999999949</v>
      </c>
      <c r="G33" s="76">
        <f t="shared" si="63"/>
        <v>32.20000000000001</v>
      </c>
      <c r="H33" s="76">
        <f t="shared" si="63"/>
        <v>43.499999999999979</v>
      </c>
      <c r="I33" s="76">
        <f t="shared" si="63"/>
        <v>38.000000000000064</v>
      </c>
      <c r="J33" s="76">
        <f t="shared" si="63"/>
        <v>112.40000000000015</v>
      </c>
      <c r="K33" s="76">
        <f t="shared" si="63"/>
        <v>60.200000000000045</v>
      </c>
      <c r="L33" s="76">
        <f t="shared" si="63"/>
        <v>68.200000000000017</v>
      </c>
      <c r="M33" s="76">
        <f t="shared" si="63"/>
        <v>62.39999999999992</v>
      </c>
      <c r="N33" s="76">
        <f t="shared" si="63"/>
        <v>35.299999999999976</v>
      </c>
      <c r="O33" s="76">
        <f t="shared" si="63"/>
        <v>-4.6000000000000334</v>
      </c>
      <c r="P33" s="76">
        <f t="shared" si="63"/>
        <v>6.2000000000000739</v>
      </c>
      <c r="Q33" s="76">
        <f t="shared" si="63"/>
        <v>7.6999999999999895</v>
      </c>
      <c r="R33" s="76">
        <f t="shared" si="63"/>
        <v>7.9000000000000234</v>
      </c>
      <c r="S33" s="76">
        <f t="shared" si="63"/>
        <v>2.7000000000000126</v>
      </c>
      <c r="T33" s="76">
        <f t="shared" si="63"/>
        <v>29.400000000000052</v>
      </c>
      <c r="U33" s="76">
        <f t="shared" si="63"/>
        <v>31.800000000000022</v>
      </c>
      <c r="V33" s="76">
        <f t="shared" si="63"/>
        <v>48.29999999999999</v>
      </c>
      <c r="W33" s="76">
        <f t="shared" si="63"/>
        <v>53.099999999999852</v>
      </c>
      <c r="X33" s="76">
        <f t="shared" si="63"/>
        <v>71.000000000000142</v>
      </c>
      <c r="Y33" s="76">
        <f t="shared" si="63"/>
        <v>59.300000000000082</v>
      </c>
      <c r="Z33" s="76">
        <f t="shared" si="63"/>
        <v>83.400000000000119</v>
      </c>
      <c r="AA33" s="76">
        <f t="shared" si="63"/>
        <v>23.699999999999751</v>
      </c>
      <c r="AB33" s="76">
        <f t="shared" si="63"/>
        <v>26.300000000000072</v>
      </c>
      <c r="AC33" s="76">
        <f t="shared" si="63"/>
        <v>29.40000000000008</v>
      </c>
      <c r="AD33" s="76">
        <f t="shared" si="63"/>
        <v>42.999999999999837</v>
      </c>
      <c r="AE33" s="76">
        <f t="shared" si="63"/>
        <v>27.7</v>
      </c>
      <c r="AF33" s="76">
        <f t="shared" si="63"/>
        <v>40.799999999999862</v>
      </c>
      <c r="AG33" s="76">
        <f t="shared" si="63"/>
        <v>51.599999999999902</v>
      </c>
      <c r="AH33" s="76">
        <f t="shared" si="63"/>
        <v>66.700000000000031</v>
      </c>
      <c r="AI33" s="76">
        <f t="shared" si="63"/>
        <v>178.09999999999988</v>
      </c>
      <c r="AJ33" s="76">
        <f t="shared" si="63"/>
        <v>65.700000000000102</v>
      </c>
      <c r="AK33" s="76">
        <f t="shared" si="63"/>
        <v>129.60000000000014</v>
      </c>
      <c r="AL33" s="76">
        <f t="shared" si="63"/>
        <v>185.5000000000004</v>
      </c>
      <c r="AM33" s="76">
        <f t="shared" si="63"/>
        <v>290.10000000000014</v>
      </c>
      <c r="AN33" s="76">
        <f t="shared" si="63"/>
        <v>384.40000000000015</v>
      </c>
      <c r="AO33" s="76">
        <f t="shared" si="63"/>
        <v>402.80000000000018</v>
      </c>
      <c r="AP33" s="76">
        <f t="shared" si="63"/>
        <v>133.80000000000004</v>
      </c>
      <c r="AQ33" s="76">
        <f t="shared" si="63"/>
        <v>344.10000000000014</v>
      </c>
      <c r="AR33" s="76">
        <f t="shared" si="63"/>
        <v>270.60000000000053</v>
      </c>
      <c r="AS33" s="76">
        <f t="shared" si="63"/>
        <v>665.2999999999995</v>
      </c>
      <c r="AT33" s="76">
        <f t="shared" si="63"/>
        <v>586.89999999999964</v>
      </c>
      <c r="AU33" s="76">
        <f t="shared" si="63"/>
        <v>709.1</v>
      </c>
      <c r="AV33" s="76">
        <f t="shared" si="63"/>
        <v>720.20000000000039</v>
      </c>
      <c r="AW33" s="76">
        <f t="shared" si="63"/>
        <v>789.9000000000002</v>
      </c>
      <c r="AX33" s="76">
        <f t="shared" si="63"/>
        <v>542.0999999999998</v>
      </c>
      <c r="AY33" s="76">
        <f t="shared" si="63"/>
        <v>1706.7</v>
      </c>
      <c r="AZ33" s="76">
        <f t="shared" si="63"/>
        <v>1353.1000000000004</v>
      </c>
      <c r="BA33" s="76">
        <f t="shared" si="63"/>
        <v>1449.0999999999997</v>
      </c>
      <c r="BB33" s="76">
        <f t="shared" si="63"/>
        <v>607.39999999999986</v>
      </c>
      <c r="BC33" s="76">
        <f t="shared" si="63"/>
        <v>1597.6000000000001</v>
      </c>
      <c r="BD33" s="76">
        <f t="shared" si="63"/>
        <v>1440.9000000000003</v>
      </c>
      <c r="BE33" s="76">
        <f t="shared" si="63"/>
        <v>1398.2000000000005</v>
      </c>
      <c r="BF33" s="76">
        <f t="shared" si="63"/>
        <v>55.200000000000522</v>
      </c>
      <c r="BG33" s="76">
        <f t="shared" si="63"/>
        <v>1305.0999999999997</v>
      </c>
      <c r="BH33" s="76">
        <f t="shared" si="63"/>
        <v>1487.6000000000001</v>
      </c>
      <c r="BI33" s="76">
        <f t="shared" si="63"/>
        <v>1677.5000000000009</v>
      </c>
      <c r="BJ33" s="76">
        <f t="shared" si="63"/>
        <v>937.79999999999927</v>
      </c>
      <c r="BK33" s="76">
        <f t="shared" ref="BK33:BQ33" si="64">BK31-BK32</f>
        <v>2332.099999999999</v>
      </c>
      <c r="BL33" s="76">
        <f t="shared" si="64"/>
        <v>2147.2999999999988</v>
      </c>
      <c r="BM33" s="76">
        <f t="shared" si="64"/>
        <v>2363.6000000000013</v>
      </c>
      <c r="BN33" s="76">
        <f t="shared" si="64"/>
        <v>1868.5000000000002</v>
      </c>
      <c r="BO33" s="76">
        <f t="shared" si="64"/>
        <v>2890.2999999999988</v>
      </c>
      <c r="BP33" s="76">
        <f t="shared" si="64"/>
        <v>3125.4000000000005</v>
      </c>
      <c r="BQ33" s="76">
        <f t="shared" si="64"/>
        <v>2546.9999999999991</v>
      </c>
      <c r="BR33" s="76">
        <f>BR31-BR32</f>
        <v>2418.599999999999</v>
      </c>
      <c r="BS33" s="34"/>
      <c r="BT33" s="34"/>
      <c r="BU33" s="34"/>
      <c r="BV33" s="34"/>
      <c r="CA33" s="76">
        <f t="shared" si="25"/>
        <v>160.79999999999998</v>
      </c>
      <c r="CB33" s="76">
        <f t="shared" si="26"/>
        <v>226.10000000000019</v>
      </c>
      <c r="CC33" s="76">
        <f t="shared" si="27"/>
        <v>226.09999999999997</v>
      </c>
      <c r="CD33" s="76">
        <f t="shared" si="28"/>
        <v>17.200000000000053</v>
      </c>
      <c r="CE33" s="76">
        <f t="shared" si="29"/>
        <v>112.20000000000007</v>
      </c>
      <c r="CF33" s="76">
        <f t="shared" si="30"/>
        <v>266.80000000000018</v>
      </c>
      <c r="CG33" s="76">
        <f t="shared" si="31"/>
        <v>122.39999999999975</v>
      </c>
      <c r="CH33" s="76">
        <f t="shared" si="32"/>
        <v>186.79999999999978</v>
      </c>
      <c r="CI33" s="76">
        <f t="shared" si="33"/>
        <v>558.90000000000055</v>
      </c>
      <c r="CJ33" s="76">
        <f t="shared" si="34"/>
        <v>1211.1000000000004</v>
      </c>
      <c r="CK33" s="76">
        <f t="shared" si="35"/>
        <v>1866.8999999999999</v>
      </c>
      <c r="CL33" s="76">
        <f t="shared" si="36"/>
        <v>2761.3000000000006</v>
      </c>
      <c r="CM33" s="76">
        <f t="shared" si="37"/>
        <v>5116.2999999999993</v>
      </c>
      <c r="CN33" s="76">
        <f t="shared" si="38"/>
        <v>4491.9000000000015</v>
      </c>
      <c r="CO33" s="76">
        <f t="shared" si="39"/>
        <v>5408</v>
      </c>
      <c r="CP33" s="76">
        <f t="shared" si="40"/>
        <v>8711.5</v>
      </c>
      <c r="CQ33" s="76">
        <f t="shared" si="42"/>
        <v>10981.299999999996</v>
      </c>
      <c r="CR33" s="88">
        <f>CR31-CR32</f>
        <v>14006.04436712493</v>
      </c>
      <c r="CS33" s="88">
        <f t="shared" ref="CS33:DA33" si="65">CS31-CS32</f>
        <v>15860.756266479373</v>
      </c>
      <c r="CT33" s="88">
        <f t="shared" si="65"/>
        <v>17898.084957480794</v>
      </c>
      <c r="CU33" s="88">
        <f t="shared" si="65"/>
        <v>21600.20762516329</v>
      </c>
      <c r="CV33" s="88">
        <f t="shared" si="65"/>
        <v>22448.653022716615</v>
      </c>
      <c r="CW33" s="88">
        <f t="shared" si="65"/>
        <v>24998.750782848641</v>
      </c>
      <c r="CX33" s="88">
        <f t="shared" si="65"/>
        <v>27850.194893256619</v>
      </c>
      <c r="CY33" s="88">
        <f t="shared" si="65"/>
        <v>31200.437496632821</v>
      </c>
      <c r="CZ33" s="88">
        <f t="shared" si="65"/>
        <v>35215.964488448568</v>
      </c>
      <c r="DA33" s="88">
        <f t="shared" si="65"/>
        <v>40087.780103000638</v>
      </c>
      <c r="DB33" s="88">
        <f t="shared" ref="DB33:EG33" si="66">DA33*(1+$DK$39)</f>
        <v>41069.930715524155</v>
      </c>
      <c r="DC33" s="88">
        <f t="shared" si="66"/>
        <v>42076.144018054496</v>
      </c>
      <c r="DD33" s="88">
        <f t="shared" si="66"/>
        <v>43107.009546496833</v>
      </c>
      <c r="DE33" s="88">
        <f t="shared" si="66"/>
        <v>44163.131280386006</v>
      </c>
      <c r="DF33" s="88">
        <f t="shared" si="66"/>
        <v>45245.127996755458</v>
      </c>
      <c r="DG33" s="88">
        <f t="shared" si="66"/>
        <v>46353.633632675963</v>
      </c>
      <c r="DH33" s="88">
        <f t="shared" si="66"/>
        <v>47489.297656676521</v>
      </c>
      <c r="DI33" s="88">
        <f t="shared" si="66"/>
        <v>48652.785449265095</v>
      </c>
      <c r="DJ33" s="88">
        <f t="shared" si="66"/>
        <v>49844.778692772088</v>
      </c>
      <c r="DK33" s="88">
        <f t="shared" si="66"/>
        <v>51065.975770745004</v>
      </c>
      <c r="DL33" s="88">
        <f t="shared" si="66"/>
        <v>52317.092177128252</v>
      </c>
      <c r="DM33" s="88">
        <f t="shared" si="66"/>
        <v>53598.860935467892</v>
      </c>
      <c r="DN33" s="88">
        <f t="shared" si="66"/>
        <v>54912.033028386853</v>
      </c>
      <c r="DO33" s="88">
        <f t="shared" si="66"/>
        <v>56257.377837582331</v>
      </c>
      <c r="DP33" s="88">
        <f t="shared" si="66"/>
        <v>57635.683594603099</v>
      </c>
      <c r="DQ33" s="88">
        <f t="shared" si="66"/>
        <v>59047.757842670871</v>
      </c>
      <c r="DR33" s="88">
        <f t="shared" si="66"/>
        <v>60494.427909816302</v>
      </c>
      <c r="DS33" s="88">
        <f t="shared" si="66"/>
        <v>61976.5413936068</v>
      </c>
      <c r="DT33" s="88">
        <f t="shared" si="66"/>
        <v>63494.966657750163</v>
      </c>
      <c r="DU33" s="88">
        <f t="shared" si="66"/>
        <v>65050.593340865038</v>
      </c>
      <c r="DV33" s="88">
        <f t="shared" si="66"/>
        <v>66644.332877716224</v>
      </c>
      <c r="DW33" s="88">
        <f t="shared" si="66"/>
        <v>68277.119033220268</v>
      </c>
      <c r="DX33" s="88">
        <f t="shared" si="66"/>
        <v>69949.908449534167</v>
      </c>
      <c r="DY33" s="88">
        <f t="shared" si="66"/>
        <v>71663.681206547757</v>
      </c>
      <c r="DZ33" s="88">
        <f t="shared" si="66"/>
        <v>73419.441396108174</v>
      </c>
      <c r="EA33" s="88">
        <f t="shared" si="66"/>
        <v>75218.21771031282</v>
      </c>
      <c r="EB33" s="88">
        <f t="shared" si="66"/>
        <v>77061.064044215484</v>
      </c>
      <c r="EC33" s="88">
        <f t="shared" si="66"/>
        <v>78949.060113298765</v>
      </c>
      <c r="ED33" s="88">
        <f t="shared" si="66"/>
        <v>80883.312086074584</v>
      </c>
      <c r="EE33" s="88">
        <f t="shared" si="66"/>
        <v>82864.953232183412</v>
      </c>
      <c r="EF33" s="88">
        <f t="shared" si="66"/>
        <v>84895.144586371898</v>
      </c>
      <c r="EG33" s="88">
        <f t="shared" si="66"/>
        <v>86975.075628738006</v>
      </c>
      <c r="EH33" s="88">
        <f t="shared" ref="EH33:EY33" si="67">EG33*(1+$DK$39)</f>
        <v>89105.964981642086</v>
      </c>
      <c r="EI33" s="88">
        <f t="shared" si="67"/>
        <v>91289.061123692314</v>
      </c>
      <c r="EJ33" s="88">
        <f t="shared" si="67"/>
        <v>93525.643121222776</v>
      </c>
      <c r="EK33" s="88">
        <f t="shared" si="67"/>
        <v>95817.021377692727</v>
      </c>
      <c r="EL33" s="88">
        <f t="shared" si="67"/>
        <v>98164.538401446189</v>
      </c>
      <c r="EM33" s="88">
        <f t="shared" si="67"/>
        <v>100569.56959228162</v>
      </c>
      <c r="EN33" s="88">
        <f t="shared" si="67"/>
        <v>103033.52404729252</v>
      </c>
      <c r="EO33" s="88">
        <f t="shared" si="67"/>
        <v>105557.84538645118</v>
      </c>
      <c r="EP33" s="88">
        <f t="shared" si="67"/>
        <v>108144.01259841923</v>
      </c>
      <c r="EQ33" s="88">
        <f t="shared" si="67"/>
        <v>110793.54090708049</v>
      </c>
      <c r="ER33" s="88">
        <f t="shared" si="67"/>
        <v>113507.98265930396</v>
      </c>
      <c r="ES33" s="88">
        <f t="shared" si="67"/>
        <v>116288.92823445691</v>
      </c>
      <c r="ET33" s="88">
        <f t="shared" si="67"/>
        <v>119138.0069762011</v>
      </c>
      <c r="EU33" s="88">
        <f t="shared" si="67"/>
        <v>122056.88814711802</v>
      </c>
      <c r="EV33" s="88">
        <f t="shared" si="67"/>
        <v>125047.2819067224</v>
      </c>
      <c r="EW33" s="88">
        <f t="shared" si="67"/>
        <v>128110.9403134371</v>
      </c>
      <c r="EX33" s="88">
        <f t="shared" si="67"/>
        <v>131249.65835111629</v>
      </c>
      <c r="EY33" s="88">
        <f t="shared" si="67"/>
        <v>134465.27498071865</v>
      </c>
      <c r="EZ33" s="34"/>
      <c r="FA33" s="34"/>
    </row>
    <row r="34" spans="2:157">
      <c r="B34" s="1" t="s">
        <v>71</v>
      </c>
      <c r="C34" s="1">
        <v>3735</v>
      </c>
      <c r="D34" s="1">
        <v>3730</v>
      </c>
      <c r="E34" s="1">
        <v>3725</v>
      </c>
      <c r="F34" s="1">
        <v>3720</v>
      </c>
      <c r="G34" s="1">
        <v>3710</v>
      </c>
      <c r="H34" s="1">
        <v>3710</v>
      </c>
      <c r="I34" s="1">
        <v>3700</v>
      </c>
      <c r="J34" s="1">
        <v>3699</v>
      </c>
      <c r="K34" s="1">
        <v>3693</v>
      </c>
      <c r="L34" s="1">
        <v>3673</v>
      </c>
      <c r="M34" s="1">
        <v>3680</v>
      </c>
      <c r="N34" s="1">
        <v>3699</v>
      </c>
      <c r="O34" s="1">
        <v>3882</v>
      </c>
      <c r="P34" s="1">
        <v>3887</v>
      </c>
      <c r="Q34" s="1">
        <v>3888</v>
      </c>
      <c r="R34" s="1">
        <v>3886</v>
      </c>
      <c r="S34" s="1">
        <v>3918</v>
      </c>
      <c r="T34" s="1">
        <v>4073</v>
      </c>
      <c r="U34" s="1">
        <v>4138</v>
      </c>
      <c r="V34" s="1">
        <v>4074</v>
      </c>
      <c r="W34" s="1">
        <v>4187</v>
      </c>
      <c r="X34" s="1">
        <v>4200</v>
      </c>
      <c r="Y34" s="1">
        <v>4212</v>
      </c>
      <c r="Z34" s="1">
        <v>4205</v>
      </c>
      <c r="AA34" s="1">
        <v>4236</v>
      </c>
      <c r="AB34" s="1">
        <v>4253</v>
      </c>
      <c r="AC34" s="1">
        <v>4269</v>
      </c>
      <c r="AD34" s="1">
        <v>4259</v>
      </c>
      <c r="AE34" s="1">
        <v>4281</v>
      </c>
      <c r="AF34" s="1">
        <v>4285</v>
      </c>
      <c r="AG34" s="1">
        <v>4289</v>
      </c>
      <c r="AH34" s="1">
        <v>4288</v>
      </c>
      <c r="AI34" s="1">
        <v>4306</v>
      </c>
      <c r="AJ34" s="1">
        <v>4314</v>
      </c>
      <c r="AK34" s="1">
        <v>4324</v>
      </c>
      <c r="AL34" s="1">
        <v>4319</v>
      </c>
      <c r="AM34" s="1">
        <v>4342</v>
      </c>
      <c r="AN34" s="1">
        <v>4351</v>
      </c>
      <c r="AO34" s="1">
        <v>4358</v>
      </c>
      <c r="AP34" s="1">
        <v>4354</v>
      </c>
      <c r="AQ34" s="1">
        <v>4369</v>
      </c>
      <c r="AR34" s="1">
        <v>4376</v>
      </c>
      <c r="AS34" s="1">
        <v>4381</v>
      </c>
      <c r="AT34" s="1">
        <v>4378</v>
      </c>
      <c r="AU34" s="1">
        <v>4394</v>
      </c>
      <c r="AV34" s="1">
        <v>4406</v>
      </c>
      <c r="AW34" s="1">
        <v>4415</v>
      </c>
      <c r="AX34" s="1">
        <v>4409</v>
      </c>
      <c r="AY34" s="1">
        <v>4432</v>
      </c>
      <c r="AZ34" s="1">
        <v>4432</v>
      </c>
      <c r="BA34" s="1">
        <v>4428</v>
      </c>
      <c r="BB34" s="1">
        <v>4432</v>
      </c>
      <c r="BC34" s="1">
        <v>4441</v>
      </c>
      <c r="BD34" s="1">
        <v>4446</v>
      </c>
      <c r="BE34" s="1">
        <v>4449</v>
      </c>
      <c r="BF34" s="1">
        <v>4447</v>
      </c>
      <c r="BG34" s="1">
        <v>4452</v>
      </c>
      <c r="BH34" s="1">
        <v>4439</v>
      </c>
      <c r="BI34" s="1">
        <v>4415</v>
      </c>
      <c r="BJ34" s="1">
        <v>4416</v>
      </c>
      <c r="BK34" s="1">
        <v>4321</v>
      </c>
      <c r="BL34" s="1">
        <v>4301</v>
      </c>
      <c r="BM34" s="1">
        <v>4282</v>
      </c>
      <c r="BN34" s="1">
        <v>4295</v>
      </c>
      <c r="BO34" s="1">
        <v>4273</v>
      </c>
      <c r="BP34" s="1">
        <v>4252</v>
      </c>
      <c r="BQ34" s="1">
        <v>4245</v>
      </c>
      <c r="BR34" s="1">
        <v>4250</v>
      </c>
      <c r="CA34" s="79">
        <f>AVERAGE(C34:F34)</f>
        <v>3727.5</v>
      </c>
      <c r="CB34" s="79">
        <f>AVERAGE(G34:J34)</f>
        <v>3704.75</v>
      </c>
      <c r="CC34" s="79">
        <f>AVERAGE(K34:N34)</f>
        <v>3686.25</v>
      </c>
      <c r="CD34" s="79">
        <f>AVERAGE(O34:R34)</f>
        <v>3885.75</v>
      </c>
      <c r="CE34" s="79">
        <f>AVERAGE(S34:V34)</f>
        <v>4050.75</v>
      </c>
      <c r="CF34" s="79">
        <f>AVERAGE(W34:Z34)</f>
        <v>4201</v>
      </c>
      <c r="CG34" s="79">
        <f>AVERAGE(AA34:AD34)</f>
        <v>4254.25</v>
      </c>
      <c r="CH34" s="79">
        <f>AVERAGE(AE34:AH34)</f>
        <v>4285.75</v>
      </c>
      <c r="CI34" s="79">
        <f>AVERAGE(AI34:AL34)</f>
        <v>4315.75</v>
      </c>
      <c r="CJ34" s="79">
        <f>AVERAGE(AM34:AP34)</f>
        <v>4351.25</v>
      </c>
      <c r="CK34" s="79">
        <f>AVERAGE(AQ34:AT34)</f>
        <v>4376</v>
      </c>
      <c r="CL34" s="79">
        <f>AVERAGE(AU34:AX34)</f>
        <v>4406</v>
      </c>
      <c r="CM34" s="79">
        <f>AVERAGE(AY34:BB34)</f>
        <v>4431</v>
      </c>
      <c r="CN34" s="79">
        <f>AVERAGE(BC34:BF34)</f>
        <v>4445.75</v>
      </c>
      <c r="CO34" s="79">
        <f>AVERAGE(BG34:BJ34)</f>
        <v>4430.5</v>
      </c>
      <c r="CP34" s="79">
        <f>AVERAGE(BK34:BN34)</f>
        <v>4299.75</v>
      </c>
      <c r="CQ34" s="79">
        <f>AVERAGE(BO34:BR34)</f>
        <v>4255</v>
      </c>
    </row>
    <row r="35" spans="2:157" ht="15">
      <c r="B35" s="1" t="s">
        <v>131</v>
      </c>
      <c r="C35" s="38">
        <f t="shared" ref="C35:BJ35" si="68">C33/C34</f>
        <v>5.9705488621151284E-3</v>
      </c>
      <c r="D35" s="38">
        <f t="shared" si="68"/>
        <v>8.7131367292225242E-3</v>
      </c>
      <c r="E35" s="38">
        <f t="shared" si="68"/>
        <v>8.0805369127516808E-3</v>
      </c>
      <c r="F35" s="38">
        <f t="shared" si="68"/>
        <v>2.04032258064516E-2</v>
      </c>
      <c r="G35" s="38">
        <f t="shared" si="68"/>
        <v>8.6792452830188709E-3</v>
      </c>
      <c r="H35" s="38">
        <f t="shared" si="68"/>
        <v>1.1725067385444737E-2</v>
      </c>
      <c r="I35" s="38">
        <f t="shared" si="68"/>
        <v>1.0270270270270287E-2</v>
      </c>
      <c r="J35" s="38">
        <f t="shared" si="68"/>
        <v>3.0386590970532618E-2</v>
      </c>
      <c r="K35" s="38">
        <f t="shared" si="68"/>
        <v>1.6301110208502584E-2</v>
      </c>
      <c r="L35" s="38">
        <f t="shared" si="68"/>
        <v>1.8567928124149202E-2</v>
      </c>
      <c r="M35" s="38">
        <f t="shared" si="68"/>
        <v>1.6956521739130412E-2</v>
      </c>
      <c r="N35" s="38">
        <f t="shared" si="68"/>
        <v>9.543119762097858E-3</v>
      </c>
      <c r="O35" s="38">
        <f t="shared" si="68"/>
        <v>-1.1849562081401425E-3</v>
      </c>
      <c r="P35" s="38">
        <f t="shared" si="68"/>
        <v>1.5950604579367312E-3</v>
      </c>
      <c r="Q35" s="38">
        <f t="shared" si="68"/>
        <v>1.9804526748971167E-3</v>
      </c>
      <c r="R35" s="38">
        <f t="shared" si="68"/>
        <v>2.0329387545033515E-3</v>
      </c>
      <c r="S35" s="38">
        <f t="shared" si="68"/>
        <v>6.8912710566615941E-4</v>
      </c>
      <c r="T35" s="38">
        <f t="shared" si="68"/>
        <v>7.218266633930776E-3</v>
      </c>
      <c r="U35" s="38">
        <f t="shared" si="68"/>
        <v>7.684871918801359E-3</v>
      </c>
      <c r="V35" s="38">
        <f t="shared" si="68"/>
        <v>1.1855670103092781E-2</v>
      </c>
      <c r="W35" s="38">
        <f t="shared" si="68"/>
        <v>1.2682111296871234E-2</v>
      </c>
      <c r="X35" s="38">
        <f t="shared" si="68"/>
        <v>1.690476190476194E-2</v>
      </c>
      <c r="Y35" s="38">
        <f t="shared" si="68"/>
        <v>1.4078822412155766E-2</v>
      </c>
      <c r="Z35" s="38">
        <f t="shared" si="68"/>
        <v>1.9833531510107045E-2</v>
      </c>
      <c r="AA35" s="38">
        <f t="shared" si="68"/>
        <v>5.5949008498582982E-3</v>
      </c>
      <c r="AB35" s="38">
        <f t="shared" si="68"/>
        <v>6.1838702092640654E-3</v>
      </c>
      <c r="AC35" s="38">
        <f t="shared" si="68"/>
        <v>6.8868587491215929E-3</v>
      </c>
      <c r="AD35" s="38">
        <f t="shared" si="68"/>
        <v>1.0096266729279135E-2</v>
      </c>
      <c r="AE35" s="38">
        <f t="shared" si="68"/>
        <v>6.470450829245503E-3</v>
      </c>
      <c r="AF35" s="38">
        <f t="shared" si="68"/>
        <v>9.5215869311551602E-3</v>
      </c>
      <c r="AG35" s="38">
        <f t="shared" si="68"/>
        <v>1.2030776404756331E-2</v>
      </c>
      <c r="AH35" s="38">
        <f t="shared" si="68"/>
        <v>1.5555037313432843E-2</v>
      </c>
      <c r="AI35" s="38">
        <f t="shared" si="68"/>
        <v>4.1360891778913118E-2</v>
      </c>
      <c r="AJ35" s="38">
        <f t="shared" si="68"/>
        <v>1.522948539638389E-2</v>
      </c>
      <c r="AK35" s="38">
        <f t="shared" si="68"/>
        <v>2.9972247918593927E-2</v>
      </c>
      <c r="AL35" s="38">
        <f t="shared" si="68"/>
        <v>4.2949756888168648E-2</v>
      </c>
      <c r="AM35" s="38">
        <f t="shared" si="68"/>
        <v>6.6812528788576728E-2</v>
      </c>
      <c r="AN35" s="38">
        <f t="shared" si="68"/>
        <v>8.8347506320386154E-2</v>
      </c>
      <c r="AO35" s="38">
        <f t="shared" si="68"/>
        <v>9.242771913721895E-2</v>
      </c>
      <c r="AP35" s="38">
        <f t="shared" si="68"/>
        <v>3.0730362884703731E-2</v>
      </c>
      <c r="AQ35" s="38">
        <f t="shared" si="68"/>
        <v>7.8759441519798606E-2</v>
      </c>
      <c r="AR35" s="38">
        <f t="shared" si="68"/>
        <v>6.1837294332724071E-2</v>
      </c>
      <c r="AS35" s="38">
        <f t="shared" si="68"/>
        <v>0.15186030586624047</v>
      </c>
      <c r="AT35" s="38">
        <f t="shared" si="68"/>
        <v>0.13405664687071714</v>
      </c>
      <c r="AU35" s="38">
        <f t="shared" si="68"/>
        <v>0.16137915339098771</v>
      </c>
      <c r="AV35" s="38">
        <f t="shared" si="68"/>
        <v>0.16345891965501597</v>
      </c>
      <c r="AW35" s="38">
        <f t="shared" si="68"/>
        <v>0.17891279728199325</v>
      </c>
      <c r="AX35" s="38">
        <f t="shared" si="68"/>
        <v>0.12295305057836239</v>
      </c>
      <c r="AY35" s="38">
        <f t="shared" si="68"/>
        <v>0.3850857400722022</v>
      </c>
      <c r="AZ35" s="38">
        <f t="shared" si="68"/>
        <v>0.30530234657039718</v>
      </c>
      <c r="BA35" s="38">
        <f t="shared" si="68"/>
        <v>0.32725835591689245</v>
      </c>
      <c r="BB35" s="38">
        <f t="shared" si="68"/>
        <v>0.13704873646209384</v>
      </c>
      <c r="BC35" s="38">
        <f t="shared" si="68"/>
        <v>0.35973879756811533</v>
      </c>
      <c r="BD35" s="38">
        <f t="shared" si="68"/>
        <v>0.32408906882591099</v>
      </c>
      <c r="BE35" s="38">
        <f t="shared" si="68"/>
        <v>0.31427287030793449</v>
      </c>
      <c r="BF35" s="38">
        <f t="shared" si="68"/>
        <v>1.2412862604002815E-2</v>
      </c>
      <c r="BG35" s="38">
        <f t="shared" si="68"/>
        <v>0.29314914645103318</v>
      </c>
      <c r="BH35" s="38">
        <f t="shared" si="68"/>
        <v>0.33512052264023434</v>
      </c>
      <c r="BI35" s="38">
        <f t="shared" si="68"/>
        <v>0.3799546998867499</v>
      </c>
      <c r="BJ35" s="38">
        <f t="shared" si="68"/>
        <v>0.21236413043478244</v>
      </c>
      <c r="BK35" s="38">
        <f t="shared" ref="BK35:BQ35" si="69">BK33/BK34</f>
        <v>0.53971302939134436</v>
      </c>
      <c r="BL35" s="38">
        <f t="shared" si="69"/>
        <v>0.49925598697977186</v>
      </c>
      <c r="BM35" s="38">
        <f t="shared" si="69"/>
        <v>0.55198505371321838</v>
      </c>
      <c r="BN35" s="38">
        <f t="shared" si="69"/>
        <v>0.43504074505238655</v>
      </c>
      <c r="BO35" s="38">
        <f t="shared" si="69"/>
        <v>0.67641001638193277</v>
      </c>
      <c r="BP35" s="38">
        <f t="shared" si="69"/>
        <v>0.73504233301975552</v>
      </c>
      <c r="BQ35" s="38">
        <f t="shared" si="69"/>
        <v>0.59999999999999976</v>
      </c>
      <c r="BR35" s="38">
        <f>BR33/BR34</f>
        <v>0.56908235294117626</v>
      </c>
      <c r="CA35" s="38">
        <f>SUM(C35:F35)</f>
        <v>4.3167448310540937E-2</v>
      </c>
      <c r="CB35" s="38">
        <f>SUM(G35:J35)</f>
        <v>6.1061173909266513E-2</v>
      </c>
      <c r="CC35" s="38">
        <f>SUM(K35:N35)</f>
        <v>6.1368679833880058E-2</v>
      </c>
      <c r="CD35" s="38">
        <f>SUM(O35:R35)</f>
        <v>4.4234956791970575E-3</v>
      </c>
      <c r="CE35" s="38">
        <f>SUM(S35:V35)</f>
        <v>2.7447935761491078E-2</v>
      </c>
      <c r="CF35" s="38">
        <f>SUM(W35:Z35)</f>
        <v>6.3499227123895982E-2</v>
      </c>
      <c r="CG35" s="38">
        <f>SUM(AA35:AD35)</f>
        <v>2.8761896537523091E-2</v>
      </c>
      <c r="CH35" s="38">
        <f>SUM(AE35:AH35)</f>
        <v>4.3577851478589835E-2</v>
      </c>
      <c r="CI35" s="38">
        <f>SUM(AI35:AL35)</f>
        <v>0.12951238198205958</v>
      </c>
      <c r="CJ35" s="38">
        <f>SUM(AM35:AP35)</f>
        <v>0.27831811713088556</v>
      </c>
      <c r="CK35" s="38">
        <f>SUM(AQ35:AT35)</f>
        <v>0.42651368858948036</v>
      </c>
      <c r="CL35" s="38">
        <f>SUM(AU35:AX35)</f>
        <v>0.62670392090635929</v>
      </c>
      <c r="CM35" s="38">
        <f>SUM(AY35:BB35)</f>
        <v>1.1546951790215856</v>
      </c>
      <c r="CN35" s="38">
        <f>SUM(BC35:BF35)</f>
        <v>1.0105135993059635</v>
      </c>
      <c r="CO35" s="38">
        <f>SUM(BG35:BJ35)</f>
        <v>1.2205884994127998</v>
      </c>
      <c r="CP35" s="38">
        <f>SUM(BK35:BN35)</f>
        <v>2.0259948151367215</v>
      </c>
      <c r="CQ35" s="38">
        <f t="shared" si="42"/>
        <v>2.580534702342864</v>
      </c>
      <c r="DC35" s="55" t="s">
        <v>103</v>
      </c>
      <c r="DF35" s="82" t="s">
        <v>132</v>
      </c>
      <c r="DG35" s="44"/>
      <c r="DH35" s="56" t="s">
        <v>102</v>
      </c>
      <c r="DI35" s="44"/>
      <c r="DM35" s="1"/>
      <c r="DN35" s="1"/>
      <c r="DO35" s="1"/>
      <c r="DP35" s="1"/>
      <c r="DQ35" s="1"/>
    </row>
    <row r="36" spans="2:157">
      <c r="DC36" s="44">
        <v>2024</v>
      </c>
      <c r="DD36" s="44">
        <v>2025</v>
      </c>
      <c r="DF36" s="43" t="s">
        <v>133</v>
      </c>
      <c r="DG36" s="44"/>
      <c r="DH36" s="44">
        <v>2025</v>
      </c>
      <c r="DI36" s="44"/>
      <c r="DM36" s="1"/>
      <c r="DN36" s="1"/>
      <c r="DO36" s="1"/>
      <c r="DP36" s="1"/>
      <c r="DQ36" s="1"/>
    </row>
    <row r="37" spans="2:157">
      <c r="B37" s="36" t="s">
        <v>56</v>
      </c>
      <c r="C37" s="80">
        <f t="shared" ref="C37:BN37" si="70">C23/C21</f>
        <v>0.34204516620147174</v>
      </c>
      <c r="D37" s="80">
        <f t="shared" si="70"/>
        <v>0.34100367197062426</v>
      </c>
      <c r="E37" s="80">
        <f t="shared" si="70"/>
        <v>0.34932640037816121</v>
      </c>
      <c r="F37" s="80">
        <f t="shared" si="70"/>
        <v>0.40911516704023904</v>
      </c>
      <c r="G37" s="80">
        <f t="shared" si="70"/>
        <v>0.37775977314158399</v>
      </c>
      <c r="H37" s="80">
        <f t="shared" si="70"/>
        <v>0.39419007310504039</v>
      </c>
      <c r="I37" s="80">
        <f t="shared" si="70"/>
        <v>0.37725958062183662</v>
      </c>
      <c r="J37" s="80">
        <f t="shared" si="70"/>
        <v>0.3447096892362172</v>
      </c>
      <c r="K37" s="80">
        <f t="shared" si="70"/>
        <v>0.39020317283607014</v>
      </c>
      <c r="L37" s="80">
        <f t="shared" si="70"/>
        <v>0.37864570124270863</v>
      </c>
      <c r="M37" s="80">
        <f t="shared" si="70"/>
        <v>0.34704307617425156</v>
      </c>
      <c r="N37" s="80">
        <f t="shared" si="70"/>
        <v>0.34307903152124253</v>
      </c>
      <c r="O37" s="80">
        <f t="shared" si="70"/>
        <v>0.28270866865946193</v>
      </c>
      <c r="P37" s="80">
        <f t="shared" si="70"/>
        <v>0.27642825011246069</v>
      </c>
      <c r="Q37" s="80">
        <f t="shared" si="70"/>
        <v>0.26792619600044193</v>
      </c>
      <c r="R37" s="80">
        <f t="shared" si="70"/>
        <v>0.23603470165044435</v>
      </c>
      <c r="S37" s="80">
        <f t="shared" si="70"/>
        <v>0.2802734375</v>
      </c>
      <c r="T37" s="80">
        <f t="shared" si="70"/>
        <v>0.28866654198616049</v>
      </c>
      <c r="U37" s="80">
        <f t="shared" si="70"/>
        <v>0.27766726943942138</v>
      </c>
      <c r="V37" s="80">
        <f t="shared" si="70"/>
        <v>0.30165078284547309</v>
      </c>
      <c r="W37" s="80">
        <f t="shared" si="70"/>
        <v>0.31564443744587034</v>
      </c>
      <c r="X37" s="80">
        <f t="shared" si="70"/>
        <v>0.31751715905699801</v>
      </c>
      <c r="Y37" s="80">
        <f t="shared" si="70"/>
        <v>0.32283241095501636</v>
      </c>
      <c r="Z37" s="80">
        <f t="shared" si="70"/>
        <v>0.31683168316831689</v>
      </c>
      <c r="AA37" s="80">
        <f t="shared" si="70"/>
        <v>0.33481660415739611</v>
      </c>
      <c r="AB37" s="80">
        <f t="shared" si="70"/>
        <v>0.31793032163920476</v>
      </c>
      <c r="AC37" s="80">
        <f t="shared" si="70"/>
        <v>0.32466635987114589</v>
      </c>
      <c r="AD37" s="80">
        <f t="shared" si="70"/>
        <v>0.3147589535457686</v>
      </c>
      <c r="AE37" s="80">
        <f t="shared" si="70"/>
        <v>0.30045461510956739</v>
      </c>
      <c r="AF37" s="80">
        <f t="shared" si="70"/>
        <v>0.30025650769523082</v>
      </c>
      <c r="AG37" s="80">
        <f t="shared" si="70"/>
        <v>0.3307134748056938</v>
      </c>
      <c r="AH37" s="80">
        <f t="shared" si="70"/>
        <v>0.24036326942482342</v>
      </c>
      <c r="AI37" s="80">
        <f t="shared" si="70"/>
        <v>0.37153910339073049</v>
      </c>
      <c r="AJ37" s="80">
        <f t="shared" si="70"/>
        <v>0.31707054388799139</v>
      </c>
      <c r="AK37" s="80">
        <f t="shared" si="70"/>
        <v>0.33230593989748403</v>
      </c>
      <c r="AL37" s="80">
        <f t="shared" si="70"/>
        <v>0.24502404285105617</v>
      </c>
      <c r="AM37" s="80">
        <f t="shared" si="70"/>
        <v>0.37836742414007407</v>
      </c>
      <c r="AN37" s="80">
        <f t="shared" si="70"/>
        <v>0.38515087144575538</v>
      </c>
      <c r="AO37" s="80">
        <f t="shared" si="70"/>
        <v>0.36713006951042659</v>
      </c>
      <c r="AP37" s="80">
        <f t="shared" si="70"/>
        <v>0.34713862615840263</v>
      </c>
      <c r="AQ37" s="80">
        <f t="shared" si="70"/>
        <v>0.36505197965051983</v>
      </c>
      <c r="AR37" s="80">
        <f t="shared" si="70"/>
        <v>0.3894700493591437</v>
      </c>
      <c r="AS37" s="80">
        <f t="shared" si="70"/>
        <v>0.40935003527235975</v>
      </c>
      <c r="AT37" s="80">
        <f t="shared" si="70"/>
        <v>0.36606065040055596</v>
      </c>
      <c r="AU37" s="80">
        <f t="shared" si="70"/>
        <v>0.37588640185862648</v>
      </c>
      <c r="AV37" s="80">
        <f t="shared" si="70"/>
        <v>0.40736463737943829</v>
      </c>
      <c r="AW37" s="80">
        <f t="shared" si="70"/>
        <v>0.39899931630306423</v>
      </c>
      <c r="AX37" s="80">
        <f t="shared" si="70"/>
        <v>0.37312624164710129</v>
      </c>
      <c r="AY37" s="80">
        <f t="shared" si="70"/>
        <v>0.45995560705261546</v>
      </c>
      <c r="AZ37" s="80">
        <f t="shared" si="70"/>
        <v>0.45272276553433766</v>
      </c>
      <c r="BA37" s="80">
        <f t="shared" si="70"/>
        <v>0.43788334335538182</v>
      </c>
      <c r="BB37" s="80">
        <f t="shared" si="70"/>
        <v>0.3203533394731039</v>
      </c>
      <c r="BC37" s="80">
        <f t="shared" si="70"/>
        <v>0.45541320318259237</v>
      </c>
      <c r="BD37" s="80">
        <f t="shared" si="70"/>
        <v>0.41145029547935408</v>
      </c>
      <c r="BE37" s="80">
        <f t="shared" si="70"/>
        <v>0.39579337841929951</v>
      </c>
      <c r="BF37" s="80">
        <f t="shared" si="70"/>
        <v>0.31175099654869404</v>
      </c>
      <c r="BG37" s="80">
        <f t="shared" si="70"/>
        <v>0.41143172210990619</v>
      </c>
      <c r="BH37" s="80">
        <f t="shared" si="70"/>
        <v>0.42917689592417524</v>
      </c>
      <c r="BI37" s="80">
        <f t="shared" si="70"/>
        <v>0.42273786248639034</v>
      </c>
      <c r="BJ37" s="80">
        <f t="shared" si="70"/>
        <v>0.39911466352685443</v>
      </c>
      <c r="BK37" s="80">
        <f t="shared" si="70"/>
        <v>0.46884871510287707</v>
      </c>
      <c r="BL37" s="80">
        <f t="shared" si="70"/>
        <v>0.45873651836431528</v>
      </c>
      <c r="BM37" s="80">
        <f t="shared" si="70"/>
        <v>0.47887467301800574</v>
      </c>
      <c r="BN37" s="80">
        <f t="shared" si="70"/>
        <v>0.43713463133752994</v>
      </c>
      <c r="BO37" s="80">
        <f t="shared" ref="BO37:BQ37" si="71">BO23/BO21</f>
        <v>0.50078726713965926</v>
      </c>
      <c r="BP37" s="80">
        <f t="shared" si="71"/>
        <v>0.51934255180879485</v>
      </c>
      <c r="BQ37" s="80">
        <f t="shared" si="71"/>
        <v>0.46446226423290443</v>
      </c>
      <c r="BR37" s="80">
        <f>BR23/BR21</f>
        <v>0.45874132837653925</v>
      </c>
      <c r="CA37" s="80">
        <f t="shared" ref="CA37:CQ37" si="72">CA23/CA21</f>
        <v>0.37232960325534081</v>
      </c>
      <c r="CB37" s="80">
        <f t="shared" si="72"/>
        <v>0.36344629594957251</v>
      </c>
      <c r="CC37" s="80">
        <f t="shared" si="72"/>
        <v>0.36341509080696499</v>
      </c>
      <c r="CD37" s="80">
        <f t="shared" si="72"/>
        <v>0.26523148532956531</v>
      </c>
      <c r="CE37" s="80">
        <f t="shared" si="72"/>
        <v>0.28740913454944456</v>
      </c>
      <c r="CF37" s="80">
        <f t="shared" si="72"/>
        <v>0.31826109072412162</v>
      </c>
      <c r="CG37" s="80">
        <f t="shared" si="72"/>
        <v>0.32272291466922332</v>
      </c>
      <c r="CH37" s="80">
        <f t="shared" si="72"/>
        <v>0.29139582814304804</v>
      </c>
      <c r="CI37" s="80">
        <f t="shared" si="72"/>
        <v>0.3129960317460318</v>
      </c>
      <c r="CJ37" s="80">
        <f t="shared" si="72"/>
        <v>0.368921896368333</v>
      </c>
      <c r="CK37" s="80">
        <f t="shared" si="72"/>
        <v>0.382816375940148</v>
      </c>
      <c r="CL37" s="80">
        <f t="shared" si="72"/>
        <v>0.38884621539446312</v>
      </c>
      <c r="CM37" s="80">
        <f t="shared" si="72"/>
        <v>0.41636614036682734</v>
      </c>
      <c r="CN37" s="80">
        <f t="shared" si="72"/>
        <v>0.39370437379015427</v>
      </c>
      <c r="CO37" s="80">
        <f t="shared" si="72"/>
        <v>0.41537749864337115</v>
      </c>
      <c r="CP37" s="80">
        <f t="shared" si="72"/>
        <v>0.46056373058057642</v>
      </c>
      <c r="CQ37" s="80">
        <f t="shared" si="72"/>
        <v>0.48486934274098037</v>
      </c>
      <c r="CR37" s="81">
        <v>0.46918724625559755</v>
      </c>
      <c r="CS37" s="81">
        <v>0.46918724625559755</v>
      </c>
      <c r="CT37" s="81">
        <v>0.46918724625559755</v>
      </c>
      <c r="CU37" s="81">
        <v>0.46918724625559755</v>
      </c>
      <c r="CV37" s="81">
        <v>0.46918724625559755</v>
      </c>
      <c r="CW37" s="81">
        <v>0.46918724625559755</v>
      </c>
      <c r="CX37" s="81">
        <v>0.46918724625559755</v>
      </c>
      <c r="CY37" s="81">
        <v>0.46918724625559755</v>
      </c>
      <c r="CZ37" s="81">
        <v>0.46918724625559755</v>
      </c>
      <c r="DA37" s="81">
        <v>0.46918724625559755</v>
      </c>
      <c r="DC37" s="48">
        <f>SUM(CP45:CP47)-CP54-CP53+CP48+CP49</f>
        <v>41853.002999999997</v>
      </c>
      <c r="DD37" s="48">
        <f>SUM(CQ45:CQ47)-CQ54-CQ53+CQ48+CQ49</f>
        <v>42817.46</v>
      </c>
      <c r="DF37" s="48">
        <f>AVERAGE(DC37:DD37)</f>
        <v>42335.231499999994</v>
      </c>
      <c r="DG37" s="44"/>
      <c r="DH37" s="47">
        <f>AVERAGE(CR28)*(1-CR42)</f>
        <v>13120.07837237493</v>
      </c>
      <c r="DI37" s="44"/>
      <c r="DM37" s="1"/>
      <c r="DN37" s="1"/>
      <c r="DO37" s="1"/>
      <c r="DP37" s="1"/>
      <c r="DQ37" s="1"/>
    </row>
    <row r="38" spans="2:157" ht="14.25" customHeight="1">
      <c r="B38" s="36" t="s">
        <v>186</v>
      </c>
      <c r="C38" s="80">
        <f t="shared" ref="C38:BN38" si="73">C24/C21</f>
        <v>0.15529053539710733</v>
      </c>
      <c r="D38" s="80">
        <f t="shared" si="73"/>
        <v>0.11285189718482251</v>
      </c>
      <c r="E38" s="80">
        <f t="shared" si="73"/>
        <v>0.13471992436776176</v>
      </c>
      <c r="F38" s="80">
        <f t="shared" si="73"/>
        <v>0.13832853025936603</v>
      </c>
      <c r="G38" s="80">
        <f t="shared" si="73"/>
        <v>0.15252177435689687</v>
      </c>
      <c r="H38" s="80">
        <f t="shared" si="73"/>
        <v>0.14332435552135439</v>
      </c>
      <c r="I38" s="80">
        <f t="shared" si="73"/>
        <v>0.14678235719450466</v>
      </c>
      <c r="J38" s="80">
        <f t="shared" si="73"/>
        <v>0.10482935466145674</v>
      </c>
      <c r="K38" s="80">
        <f t="shared" si="73"/>
        <v>0.14514333426106316</v>
      </c>
      <c r="L38" s="80">
        <f t="shared" si="73"/>
        <v>0.12033984275932032</v>
      </c>
      <c r="M38" s="80">
        <f t="shared" si="73"/>
        <v>0.10842054027743979</v>
      </c>
      <c r="N38" s="80">
        <f t="shared" si="73"/>
        <v>0.10609867519415259</v>
      </c>
      <c r="O38" s="80">
        <f t="shared" si="73"/>
        <v>0.14934467693722697</v>
      </c>
      <c r="P38" s="80">
        <f t="shared" si="73"/>
        <v>0.12820512820512819</v>
      </c>
      <c r="Q38" s="80">
        <f t="shared" si="73"/>
        <v>0.11987625676720806</v>
      </c>
      <c r="R38" s="80">
        <f t="shared" si="73"/>
        <v>8.6859923825645377E-2</v>
      </c>
      <c r="S38" s="80">
        <f t="shared" si="73"/>
        <v>0.11630859374999999</v>
      </c>
      <c r="T38" s="80">
        <f t="shared" si="73"/>
        <v>0.10725640546100618</v>
      </c>
      <c r="U38" s="80">
        <f t="shared" si="73"/>
        <v>9.792043399638338E-2</v>
      </c>
      <c r="V38" s="80">
        <f t="shared" si="73"/>
        <v>0.10900272294077605</v>
      </c>
      <c r="W38" s="80">
        <f t="shared" si="73"/>
        <v>0.10794425635776712</v>
      </c>
      <c r="X38" s="80">
        <f t="shared" si="73"/>
        <v>9.0122351536854675E-2</v>
      </c>
      <c r="Y38" s="80">
        <f t="shared" si="73"/>
        <v>0.10330637150560523</v>
      </c>
      <c r="Z38" s="80">
        <f t="shared" si="73"/>
        <v>0.13719943422913719</v>
      </c>
      <c r="AA38" s="80">
        <f t="shared" si="73"/>
        <v>0.12376835547644779</v>
      </c>
      <c r="AB38" s="80">
        <f t="shared" si="73"/>
        <v>0.11983948440445066</v>
      </c>
      <c r="AC38" s="80">
        <f t="shared" si="73"/>
        <v>0.11970777726645189</v>
      </c>
      <c r="AD38" s="80">
        <f t="shared" si="73"/>
        <v>0.12296385674326774</v>
      </c>
      <c r="AE38" s="80">
        <f t="shared" si="73"/>
        <v>0.10624712673034686</v>
      </c>
      <c r="AF38" s="80">
        <f t="shared" si="73"/>
        <v>0.10260307809234277</v>
      </c>
      <c r="AG38" s="80">
        <f t="shared" si="73"/>
        <v>0.12313335079905686</v>
      </c>
      <c r="AH38" s="80">
        <f t="shared" si="73"/>
        <v>0.15798183652875883</v>
      </c>
      <c r="AI38" s="80">
        <f t="shared" si="73"/>
        <v>0.10289767124326785</v>
      </c>
      <c r="AJ38" s="80">
        <f t="shared" si="73"/>
        <v>9.8474241608328836E-2</v>
      </c>
      <c r="AK38" s="80">
        <f t="shared" si="73"/>
        <v>0.10472712653690239</v>
      </c>
      <c r="AL38" s="80">
        <f t="shared" si="73"/>
        <v>0.175969322539412</v>
      </c>
      <c r="AM38" s="80">
        <f t="shared" si="73"/>
        <v>0.14504579967035047</v>
      </c>
      <c r="AN38" s="80">
        <f t="shared" si="73"/>
        <v>0.15151127376961068</v>
      </c>
      <c r="AO38" s="80">
        <f t="shared" si="73"/>
        <v>0.1276191428714307</v>
      </c>
      <c r="AP38" s="80">
        <f t="shared" si="73"/>
        <v>0.17445304289672306</v>
      </c>
      <c r="AQ38" s="80">
        <f t="shared" si="73"/>
        <v>0.13636363636363635</v>
      </c>
      <c r="AR38" s="80">
        <f t="shared" si="73"/>
        <v>0.12250411326196908</v>
      </c>
      <c r="AS38" s="80">
        <f t="shared" si="73"/>
        <v>0.10556921962287176</v>
      </c>
      <c r="AT38" s="80">
        <f t="shared" si="73"/>
        <v>0.16075282584043607</v>
      </c>
      <c r="AU38" s="80">
        <f t="shared" si="73"/>
        <v>8.7348509804601501E-2</v>
      </c>
      <c r="AV38" s="80">
        <f t="shared" si="73"/>
        <v>7.0669941284582732E-2</v>
      </c>
      <c r="AW38" s="80">
        <f t="shared" si="73"/>
        <v>8.1981478028466642E-2</v>
      </c>
      <c r="AX38" s="80">
        <f t="shared" si="73"/>
        <v>0.1147733429655048</v>
      </c>
      <c r="AY38" s="80">
        <f t="shared" si="73"/>
        <v>7.1545237530188599E-2</v>
      </c>
      <c r="AZ38" s="80">
        <f t="shared" si="73"/>
        <v>8.2268653463728234E-2</v>
      </c>
      <c r="BA38" s="80">
        <f t="shared" si="73"/>
        <v>8.4973608605598966E-2</v>
      </c>
      <c r="BB38" s="80">
        <f t="shared" si="73"/>
        <v>0.10282386208864619</v>
      </c>
      <c r="BC38" s="80">
        <f t="shared" si="73"/>
        <v>7.0667785149597095E-2</v>
      </c>
      <c r="BD38" s="80">
        <f t="shared" si="73"/>
        <v>7.2144640594220891E-2</v>
      </c>
      <c r="BE38" s="80">
        <f t="shared" si="73"/>
        <v>7.1666498435449685E-2</v>
      </c>
      <c r="BF38" s="80">
        <f t="shared" si="73"/>
        <v>0.10590797366309648</v>
      </c>
      <c r="BG38" s="80">
        <f t="shared" si="73"/>
        <v>6.8051216075476331E-2</v>
      </c>
      <c r="BH38" s="80">
        <f t="shared" si="73"/>
        <v>7.6594237416486494E-2</v>
      </c>
      <c r="BI38" s="80">
        <f t="shared" si="73"/>
        <v>6.540852523502344E-2</v>
      </c>
      <c r="BJ38" s="80">
        <f t="shared" si="73"/>
        <v>0.10377230323340279</v>
      </c>
      <c r="BK38" s="80">
        <f t="shared" si="73"/>
        <v>6.982626141893622E-2</v>
      </c>
      <c r="BL38" s="80">
        <f t="shared" si="73"/>
        <v>6.7368949609281026E-2</v>
      </c>
      <c r="BM38" s="80">
        <f t="shared" si="73"/>
        <v>6.5426934155750294E-2</v>
      </c>
      <c r="BN38" s="80">
        <f t="shared" si="73"/>
        <v>9.5271556141121358E-2</v>
      </c>
      <c r="BO38" s="80">
        <f t="shared" ref="BO38:BQ38" si="74">BO24/BO21</f>
        <v>6.5295746860416601E-2</v>
      </c>
      <c r="BP38" s="80">
        <f t="shared" si="74"/>
        <v>6.4381904830673686E-2</v>
      </c>
      <c r="BQ38" s="80">
        <f t="shared" si="74"/>
        <v>6.8312728599602121E-2</v>
      </c>
      <c r="BR38" s="80">
        <f>BR24/BR21</f>
        <v>9.2392206326550944E-2</v>
      </c>
      <c r="CA38" s="80">
        <f t="shared" ref="CA38:CQ38" si="75">CA24/CA21</f>
        <v>0.13590123000092483</v>
      </c>
      <c r="CB38" s="80">
        <f t="shared" si="75"/>
        <v>0.12566310928040939</v>
      </c>
      <c r="CC38" s="80">
        <f t="shared" si="75"/>
        <v>0.11895400361979656</v>
      </c>
      <c r="CD38" s="80">
        <f t="shared" si="75"/>
        <v>0.12038345385531822</v>
      </c>
      <c r="CE38" s="80">
        <f t="shared" si="75"/>
        <v>0.10748411283317331</v>
      </c>
      <c r="CF38" s="80">
        <f t="shared" si="75"/>
        <v>0.11030774261526723</v>
      </c>
      <c r="CG38" s="80">
        <f t="shared" si="75"/>
        <v>0.12155763699387861</v>
      </c>
      <c r="CH38" s="80">
        <f t="shared" si="75"/>
        <v>0.1242724163703486</v>
      </c>
      <c r="CI38" s="80">
        <f t="shared" si="75"/>
        <v>0.12284482758620688</v>
      </c>
      <c r="CJ38" s="80">
        <f t="shared" si="75"/>
        <v>0.15002785797497845</v>
      </c>
      <c r="CK38" s="80">
        <f t="shared" si="75"/>
        <v>0.13158103629616397</v>
      </c>
      <c r="CL38" s="80">
        <f t="shared" si="75"/>
        <v>8.9154264682349174E-2</v>
      </c>
      <c r="CM38" s="80">
        <f t="shared" si="75"/>
        <v>8.5699662265682083E-2</v>
      </c>
      <c r="CN38" s="80">
        <f t="shared" si="75"/>
        <v>8.0042763698933442E-2</v>
      </c>
      <c r="CO38" s="80">
        <f t="shared" si="75"/>
        <v>7.88119786616375E-2</v>
      </c>
      <c r="CP38" s="80">
        <f t="shared" si="75"/>
        <v>7.4800837929381137E-2</v>
      </c>
      <c r="CQ38" s="80">
        <f t="shared" si="75"/>
        <v>7.3067142360749918E-2</v>
      </c>
      <c r="CR38" s="81">
        <v>7.4999999999999997E-2</v>
      </c>
      <c r="CS38" s="81">
        <v>7.4499999999999997E-2</v>
      </c>
      <c r="CT38" s="81">
        <v>7.3999999999999996E-2</v>
      </c>
      <c r="CU38" s="81">
        <v>4.3499999999999997E-2</v>
      </c>
      <c r="CV38" s="81">
        <v>7.2999999999999995E-2</v>
      </c>
      <c r="CW38" s="81">
        <v>7.2499999999999995E-2</v>
      </c>
      <c r="CX38" s="81">
        <v>7.1999999999999995E-2</v>
      </c>
      <c r="CY38" s="81">
        <v>7.1499999999999994E-2</v>
      </c>
      <c r="CZ38" s="81">
        <v>7.0999999999999994E-2</v>
      </c>
      <c r="DA38" s="81">
        <v>7.0000000000000007E-2</v>
      </c>
      <c r="DD38" s="44"/>
      <c r="DE38" s="44"/>
      <c r="DF38" s="44"/>
      <c r="DG38" s="44"/>
      <c r="DH38" s="49">
        <f>DH37/DF37</f>
        <v>0.30990921526849174</v>
      </c>
      <c r="DI38" s="44"/>
      <c r="DJ38" s="45" t="s">
        <v>104</v>
      </c>
      <c r="DK38" s="46">
        <v>0.3075</v>
      </c>
      <c r="DL38" s="44"/>
      <c r="DM38" s="1"/>
      <c r="DN38" s="1"/>
      <c r="DO38" s="1"/>
      <c r="DP38" s="1"/>
      <c r="DQ38" s="1"/>
    </row>
    <row r="39" spans="2:157" ht="14.25" customHeight="1">
      <c r="B39" s="36" t="s">
        <v>185</v>
      </c>
      <c r="C39" s="80">
        <f t="shared" ref="C39:BN39" si="76">C25/C21</f>
        <v>3.2986551636640445E-2</v>
      </c>
      <c r="D39" s="80">
        <f t="shared" si="76"/>
        <v>3.255813953488372E-2</v>
      </c>
      <c r="E39" s="80">
        <f t="shared" si="76"/>
        <v>2.7180335618057196E-2</v>
      </c>
      <c r="F39" s="80">
        <f t="shared" si="76"/>
        <v>2.8498238872878643E-2</v>
      </c>
      <c r="G39" s="80">
        <f t="shared" si="76"/>
        <v>3.1395584362973468E-2</v>
      </c>
      <c r="H39" s="80">
        <f t="shared" si="76"/>
        <v>2.9049634474798001E-2</v>
      </c>
      <c r="I39" s="80">
        <f t="shared" si="76"/>
        <v>2.8741865509761388E-2</v>
      </c>
      <c r="J39" s="80">
        <f t="shared" si="76"/>
        <v>4.9026192075218265E-2</v>
      </c>
      <c r="K39" s="80">
        <f t="shared" si="76"/>
        <v>3.2006679654884497E-2</v>
      </c>
      <c r="L39" s="80">
        <f t="shared" si="76"/>
        <v>3.8929748922140503E-2</v>
      </c>
      <c r="M39" s="80">
        <f t="shared" si="76"/>
        <v>3.6261864200535412E-2</v>
      </c>
      <c r="N39" s="80">
        <f t="shared" si="76"/>
        <v>7.400639561443581E-2</v>
      </c>
      <c r="O39" s="80">
        <f t="shared" si="76"/>
        <v>4.0354104391814215E-2</v>
      </c>
      <c r="P39" s="80">
        <f t="shared" si="76"/>
        <v>3.8349077822762034E-2</v>
      </c>
      <c r="Q39" s="80">
        <f t="shared" si="76"/>
        <v>3.9001215335322061E-2</v>
      </c>
      <c r="R39" s="80">
        <f t="shared" si="76"/>
        <v>4.1578501904358862E-2</v>
      </c>
      <c r="S39" s="80">
        <f t="shared" si="76"/>
        <v>4.3066406250000001E-2</v>
      </c>
      <c r="T39" s="80">
        <f t="shared" si="76"/>
        <v>4.0957546287637925E-2</v>
      </c>
      <c r="U39" s="80">
        <f t="shared" si="76"/>
        <v>4.1772151898734178E-2</v>
      </c>
      <c r="V39" s="80">
        <f t="shared" si="76"/>
        <v>3.9227365554799186E-2</v>
      </c>
      <c r="W39" s="80">
        <f t="shared" si="76"/>
        <v>4.4012282497441151E-2</v>
      </c>
      <c r="X39" s="80">
        <f t="shared" si="76"/>
        <v>4.4762757385854966E-2</v>
      </c>
      <c r="Y39" s="80">
        <f t="shared" si="76"/>
        <v>5.5342699020859934E-2</v>
      </c>
      <c r="Z39" s="80">
        <f t="shared" si="76"/>
        <v>5.1054085000336764E-2</v>
      </c>
      <c r="AA39" s="80">
        <f t="shared" si="76"/>
        <v>5.8165405886466216E-2</v>
      </c>
      <c r="AB39" s="80">
        <f t="shared" si="76"/>
        <v>5.8308506110536881E-2</v>
      </c>
      <c r="AC39" s="80">
        <f t="shared" si="76"/>
        <v>6.3794293603313387E-2</v>
      </c>
      <c r="AD39" s="80">
        <f t="shared" si="76"/>
        <v>5.9781714473756374E-2</v>
      </c>
      <c r="AE39" s="80">
        <f t="shared" si="76"/>
        <v>6.4974204423558252E-2</v>
      </c>
      <c r="AF39" s="80">
        <f t="shared" si="76"/>
        <v>6.574197225916778E-2</v>
      </c>
      <c r="AG39" s="80">
        <f t="shared" si="76"/>
        <v>6.6893721072395426E-2</v>
      </c>
      <c r="AH39" s="80">
        <f t="shared" si="76"/>
        <v>-4.1614530776992932E-2</v>
      </c>
      <c r="AI39" s="80">
        <f t="shared" si="76"/>
        <v>7.3693393006144289E-2</v>
      </c>
      <c r="AJ39" s="80">
        <f t="shared" si="76"/>
        <v>7.6790522347872911E-2</v>
      </c>
      <c r="AK39" s="80">
        <f t="shared" si="76"/>
        <v>7.2196723508325233E-2</v>
      </c>
      <c r="AL39" s="80">
        <f t="shared" si="76"/>
        <v>-5.8646296183577813E-2</v>
      </c>
      <c r="AM39" s="80">
        <f t="shared" si="76"/>
        <v>3.6369531735523791E-2</v>
      </c>
      <c r="AN39" s="80">
        <f t="shared" si="76"/>
        <v>3.8773577662324366E-2</v>
      </c>
      <c r="AO39" s="80">
        <f t="shared" si="76"/>
        <v>4.2156323448517274E-2</v>
      </c>
      <c r="AP39" s="80">
        <f t="shared" si="76"/>
        <v>4.1917454858125536E-2</v>
      </c>
      <c r="AQ39" s="80">
        <f t="shared" si="76"/>
        <v>4.4680380446803808E-2</v>
      </c>
      <c r="AR39" s="80">
        <f t="shared" si="76"/>
        <v>4.5641973553248963E-2</v>
      </c>
      <c r="AS39" s="80">
        <f t="shared" si="76"/>
        <v>4.4462239508856222E-2</v>
      </c>
      <c r="AT39" s="80">
        <f t="shared" si="76"/>
        <v>4.6566923949226326E-2</v>
      </c>
      <c r="AU39" s="80">
        <f t="shared" si="76"/>
        <v>4.3708930769630873E-2</v>
      </c>
      <c r="AV39" s="80">
        <f t="shared" si="76"/>
        <v>4.5085633427126195E-2</v>
      </c>
      <c r="AW39" s="80">
        <f t="shared" si="76"/>
        <v>4.2202747218596556E-2</v>
      </c>
      <c r="AX39" s="80">
        <f t="shared" si="76"/>
        <v>4.1463488050087295E-2</v>
      </c>
      <c r="AY39" s="80">
        <f t="shared" si="76"/>
        <v>4.1489257744335706E-2</v>
      </c>
      <c r="AZ39" s="80">
        <f t="shared" si="76"/>
        <v>4.5601895992808304E-2</v>
      </c>
      <c r="BA39" s="80">
        <f t="shared" si="76"/>
        <v>4.300126945947752E-2</v>
      </c>
      <c r="BB39" s="80">
        <f t="shared" si="76"/>
        <v>5.1600015565615553E-2</v>
      </c>
      <c r="BC39" s="80">
        <f t="shared" si="76"/>
        <v>5.057322250184295E-2</v>
      </c>
      <c r="BD39" s="80">
        <f t="shared" si="76"/>
        <v>5.1354437209068897E-2</v>
      </c>
      <c r="BE39" s="80">
        <f t="shared" si="76"/>
        <v>4.7087917633996161E-2</v>
      </c>
      <c r="BF39" s="80">
        <f t="shared" si="76"/>
        <v>4.9986627781103139E-2</v>
      </c>
      <c r="BG39" s="80">
        <f t="shared" si="76"/>
        <v>4.9120872388654042E-2</v>
      </c>
      <c r="BH39" s="80">
        <f t="shared" si="76"/>
        <v>4.9039365847104659E-2</v>
      </c>
      <c r="BI39" s="80">
        <f t="shared" si="76"/>
        <v>5.6031000854630808E-2</v>
      </c>
      <c r="BJ39" s="80">
        <f t="shared" si="76"/>
        <v>4.9735078344352875E-2</v>
      </c>
      <c r="BK39" s="80">
        <f t="shared" si="76"/>
        <v>4.3114488175531464E-2</v>
      </c>
      <c r="BL39" s="80">
        <f t="shared" si="76"/>
        <v>4.4668542675718938E-2</v>
      </c>
      <c r="BM39" s="80">
        <f t="shared" si="76"/>
        <v>4.2484757804309541E-2</v>
      </c>
      <c r="BN39" s="80">
        <f t="shared" si="76"/>
        <v>4.4278534133606599E-2</v>
      </c>
      <c r="BO39" s="80">
        <f t="shared" ref="BO39:BQ39" si="77">BO25/BO21</f>
        <v>3.9979891489926776E-2</v>
      </c>
      <c r="BP39" s="80">
        <f t="shared" si="77"/>
        <v>3.9822369846198274E-2</v>
      </c>
      <c r="BQ39" s="80">
        <f t="shared" si="77"/>
        <v>3.9781760683909193E-2</v>
      </c>
      <c r="BR39" s="80">
        <f>BR25/BR21</f>
        <v>4.7117203837089651E-2</v>
      </c>
      <c r="CA39" s="80">
        <f t="shared" ref="CA39:CQ39" si="78">CA25/CA21</f>
        <v>2.9825210394895035E-2</v>
      </c>
      <c r="CB39" s="80">
        <f t="shared" si="78"/>
        <v>3.956812082631217E-2</v>
      </c>
      <c r="CC39" s="80">
        <f t="shared" si="78"/>
        <v>4.6277226486925054E-2</v>
      </c>
      <c r="CD39" s="80">
        <f t="shared" si="78"/>
        <v>3.9841520516443636E-2</v>
      </c>
      <c r="CE39" s="80">
        <f t="shared" si="78"/>
        <v>4.1192337585150646E-2</v>
      </c>
      <c r="CF39" s="80">
        <f t="shared" si="78"/>
        <v>4.8995385677433417E-2</v>
      </c>
      <c r="CG39" s="80">
        <f t="shared" si="78"/>
        <v>6.007817685670034E-2</v>
      </c>
      <c r="CH39" s="80">
        <f t="shared" si="78"/>
        <v>3.575068511765906E-2</v>
      </c>
      <c r="CI39" s="80">
        <f t="shared" si="78"/>
        <v>3.6860290093048718E-2</v>
      </c>
      <c r="CJ39" s="80">
        <f t="shared" si="78"/>
        <v>3.9900217798713465E-2</v>
      </c>
      <c r="CK39" s="80">
        <f t="shared" si="78"/>
        <v>4.5370204996924048E-2</v>
      </c>
      <c r="CL39" s="80">
        <f t="shared" si="78"/>
        <v>4.3062890062409986E-2</v>
      </c>
      <c r="CM39" s="80">
        <f t="shared" si="78"/>
        <v>4.5511635502847002E-2</v>
      </c>
      <c r="CN39" s="80">
        <f t="shared" si="78"/>
        <v>4.9750755955920503E-2</v>
      </c>
      <c r="CO39" s="80">
        <f t="shared" si="78"/>
        <v>5.1012208176542624E-2</v>
      </c>
      <c r="CP39" s="80">
        <f t="shared" si="78"/>
        <v>4.3642582607068055E-2</v>
      </c>
      <c r="CQ39" s="80">
        <f t="shared" si="78"/>
        <v>4.1794387724613843E-2</v>
      </c>
      <c r="CR39" s="81">
        <v>4.2804549290200201E-2</v>
      </c>
      <c r="CS39" s="81">
        <v>4.2500000000000003E-2</v>
      </c>
      <c r="CT39" s="81">
        <v>4.2250000000000003E-2</v>
      </c>
      <c r="CU39" s="81">
        <v>4.2000000000000003E-2</v>
      </c>
      <c r="CV39" s="81">
        <v>4.1500000000000002E-2</v>
      </c>
      <c r="CW39" s="81">
        <v>4.1000000000000002E-2</v>
      </c>
      <c r="CX39" s="81">
        <v>4.0500000000000001E-2</v>
      </c>
      <c r="CY39" s="81">
        <v>4.0250000000000001E-2</v>
      </c>
      <c r="CZ39" s="81">
        <v>0.04</v>
      </c>
      <c r="DA39" s="81">
        <v>0.04</v>
      </c>
      <c r="DC39" s="50" t="s">
        <v>134</v>
      </c>
      <c r="DD39" s="44"/>
      <c r="DE39" s="44"/>
      <c r="DG39" s="44"/>
      <c r="DH39" s="44"/>
      <c r="DI39" s="44"/>
      <c r="DJ39" s="45" t="s">
        <v>105</v>
      </c>
      <c r="DK39" s="46">
        <v>2.4500000000000001E-2</v>
      </c>
      <c r="DL39" s="44"/>
      <c r="DM39" s="1"/>
      <c r="DN39" s="1"/>
      <c r="DO39" s="1"/>
      <c r="DP39" s="1"/>
      <c r="DQ39" s="1"/>
    </row>
    <row r="40" spans="2:157" ht="14.25" customHeight="1">
      <c r="B40" s="36" t="s">
        <v>57</v>
      </c>
      <c r="C40" s="80">
        <f t="shared" ref="C40:BN40" si="79">C26/C21</f>
        <v>6.140573458513067E-2</v>
      </c>
      <c r="D40" s="80">
        <f t="shared" si="79"/>
        <v>6.6340269277845781E-2</v>
      </c>
      <c r="E40" s="80">
        <f t="shared" si="79"/>
        <v>7.090522335145355E-2</v>
      </c>
      <c r="F40" s="80">
        <f t="shared" si="79"/>
        <v>8.7522681182623546E-2</v>
      </c>
      <c r="G40" s="80">
        <f t="shared" si="79"/>
        <v>7.5754506785497264E-2</v>
      </c>
      <c r="H40" s="80">
        <f t="shared" si="79"/>
        <v>7.2912658714890347E-2</v>
      </c>
      <c r="I40" s="80">
        <f t="shared" si="79"/>
        <v>7.6102675343456244E-2</v>
      </c>
      <c r="J40" s="80">
        <f t="shared" si="79"/>
        <v>8.6513218145185894E-2</v>
      </c>
      <c r="K40" s="80">
        <f t="shared" si="79"/>
        <v>7.0832173671026996E-2</v>
      </c>
      <c r="L40" s="80">
        <f t="shared" si="79"/>
        <v>7.3421252853157495E-2</v>
      </c>
      <c r="M40" s="80">
        <f t="shared" si="79"/>
        <v>8.4570455098564132E-2</v>
      </c>
      <c r="N40" s="80">
        <f t="shared" si="79"/>
        <v>9.2279579716765647E-2</v>
      </c>
      <c r="O40" s="80">
        <f t="shared" si="79"/>
        <v>9.5194297539664297E-2</v>
      </c>
      <c r="P40" s="80">
        <f t="shared" si="79"/>
        <v>9.1655420602789014E-2</v>
      </c>
      <c r="Q40" s="80">
        <f t="shared" si="79"/>
        <v>9.1150149154789528E-2</v>
      </c>
      <c r="R40" s="80">
        <f t="shared" si="79"/>
        <v>8.6859923825645349E-2</v>
      </c>
      <c r="S40" s="80">
        <f t="shared" si="79"/>
        <v>8.984375E-2</v>
      </c>
      <c r="T40" s="80">
        <f t="shared" si="79"/>
        <v>8.7058163456143617E-2</v>
      </c>
      <c r="U40" s="80">
        <f t="shared" si="79"/>
        <v>8.6347197106690782E-2</v>
      </c>
      <c r="V40" s="80">
        <f t="shared" si="79"/>
        <v>8.3475153165418647E-2</v>
      </c>
      <c r="W40" s="80">
        <f t="shared" si="79"/>
        <v>8.6843555625541302E-2</v>
      </c>
      <c r="X40" s="80">
        <f t="shared" si="79"/>
        <v>8.5944494180841532E-2</v>
      </c>
      <c r="Y40" s="80">
        <f t="shared" si="79"/>
        <v>8.585213566056478E-2</v>
      </c>
      <c r="Z40" s="80">
        <f t="shared" si="79"/>
        <v>8.479827574594194E-2</v>
      </c>
      <c r="AA40" s="80">
        <f t="shared" si="79"/>
        <v>9.0966880681457002E-2</v>
      </c>
      <c r="AB40" s="80">
        <f t="shared" si="79"/>
        <v>9.4302912385237428E-2</v>
      </c>
      <c r="AC40" s="80">
        <f t="shared" si="79"/>
        <v>9.8826507132995858E-2</v>
      </c>
      <c r="AD40" s="80">
        <f t="shared" si="79"/>
        <v>9.9215707782592005E-2</v>
      </c>
      <c r="AE40" s="80">
        <f t="shared" si="79"/>
        <v>0.1039485110078153</v>
      </c>
      <c r="AF40" s="80">
        <f t="shared" si="79"/>
        <v>9.8470454113623429E-2</v>
      </c>
      <c r="AG40" s="80">
        <f t="shared" si="79"/>
        <v>9.4358571303816266E-2</v>
      </c>
      <c r="AH40" s="80">
        <f t="shared" si="79"/>
        <v>6.1876892028254291E-2</v>
      </c>
      <c r="AI40" s="80">
        <f t="shared" si="79"/>
        <v>9.7511947204733385E-2</v>
      </c>
      <c r="AJ40" s="80">
        <f t="shared" si="79"/>
        <v>9.5889427391850662E-2</v>
      </c>
      <c r="AK40" s="80">
        <f t="shared" si="79"/>
        <v>8.5497001574592113E-2</v>
      </c>
      <c r="AL40" s="80">
        <f t="shared" si="79"/>
        <v>5.3046442266723476E-2</v>
      </c>
      <c r="AM40" s="80">
        <f t="shared" si="79"/>
        <v>7.6278743008457398E-2</v>
      </c>
      <c r="AN40" s="80">
        <f t="shared" si="79"/>
        <v>7.6549023622450293E-2</v>
      </c>
      <c r="AO40" s="80">
        <f t="shared" si="79"/>
        <v>7.7161574236135427E-2</v>
      </c>
      <c r="AP40" s="80">
        <f t="shared" si="79"/>
        <v>7.9249068501003148E-2</v>
      </c>
      <c r="AQ40" s="80">
        <f t="shared" si="79"/>
        <v>8.2459632824596327E-2</v>
      </c>
      <c r="AR40" s="80">
        <f t="shared" si="79"/>
        <v>7.7837135138429034E-2</v>
      </c>
      <c r="AS40" s="80">
        <f t="shared" si="79"/>
        <v>7.2413201395641488E-2</v>
      </c>
      <c r="AT40" s="80">
        <f t="shared" si="79"/>
        <v>7.4880198997695435E-2</v>
      </c>
      <c r="AU40" s="80">
        <f t="shared" si="79"/>
        <v>7.8679542972068597E-2</v>
      </c>
      <c r="AV40" s="80">
        <f t="shared" si="79"/>
        <v>7.0751264577200199E-2</v>
      </c>
      <c r="AW40" s="80">
        <f t="shared" si="79"/>
        <v>7.051401578718379E-2</v>
      </c>
      <c r="AX40" s="80">
        <f t="shared" si="79"/>
        <v>7.3279754379627957E-2</v>
      </c>
      <c r="AY40" s="80">
        <f t="shared" si="79"/>
        <v>7.331816341630254E-2</v>
      </c>
      <c r="AZ40" s="80">
        <f t="shared" si="79"/>
        <v>7.318368792394235E-2</v>
      </c>
      <c r="BA40" s="80">
        <f t="shared" si="79"/>
        <v>7.5352442039152798E-2</v>
      </c>
      <c r="BB40" s="80">
        <f t="shared" si="79"/>
        <v>8.3989467266807616E-2</v>
      </c>
      <c r="BC40" s="80">
        <f t="shared" si="79"/>
        <v>8.3568468949388644E-2</v>
      </c>
      <c r="BD40" s="80">
        <f t="shared" si="79"/>
        <v>8.9936136309456585E-2</v>
      </c>
      <c r="BE40" s="80">
        <f t="shared" si="79"/>
        <v>8.3615120621782585E-2</v>
      </c>
      <c r="BF40" s="80">
        <f t="shared" si="79"/>
        <v>8.58241744246762E-2</v>
      </c>
      <c r="BG40" s="80">
        <f t="shared" si="79"/>
        <v>8.4212460944679282E-2</v>
      </c>
      <c r="BH40" s="80">
        <f t="shared" si="79"/>
        <v>8.0368375410697052E-2</v>
      </c>
      <c r="BI40" s="80">
        <f t="shared" si="79"/>
        <v>7.6940187550487607E-2</v>
      </c>
      <c r="BJ40" s="80">
        <f t="shared" si="79"/>
        <v>7.6227243909066211E-2</v>
      </c>
      <c r="BK40" s="80">
        <f t="shared" si="79"/>
        <v>7.4970118671561517E-2</v>
      </c>
      <c r="BL40" s="80">
        <f t="shared" si="79"/>
        <v>7.4409214063791279E-2</v>
      </c>
      <c r="BM40" s="80">
        <f t="shared" si="79"/>
        <v>7.4821623052103367E-2</v>
      </c>
      <c r="BN40" s="80">
        <f t="shared" si="79"/>
        <v>7.5781974332698968E-2</v>
      </c>
      <c r="BO40" s="80">
        <f t="shared" ref="BO40:BQ40" si="80">BO26/BO21</f>
        <v>7.8043783435140568E-2</v>
      </c>
      <c r="BP40" s="80">
        <f t="shared" si="80"/>
        <v>7.443678243916528E-2</v>
      </c>
      <c r="BQ40" s="80">
        <f t="shared" si="80"/>
        <v>7.4159665690729182E-2</v>
      </c>
      <c r="BR40" s="80">
        <f>BR26/BR21</f>
        <v>7.3878912603312641E-2</v>
      </c>
      <c r="CA40" s="80">
        <f t="shared" ref="CA40:CQ40" si="81">CA26/CA21</f>
        <v>7.5510959030796271E-2</v>
      </c>
      <c r="CB40" s="80">
        <f t="shared" si="81"/>
        <v>8.0852524496036943E-2</v>
      </c>
      <c r="CC40" s="80">
        <f t="shared" si="81"/>
        <v>8.0852524496036957E-2</v>
      </c>
      <c r="CD40" s="80">
        <f t="shared" si="81"/>
        <v>9.1125703044911743E-2</v>
      </c>
      <c r="CE40" s="80">
        <f t="shared" si="81"/>
        <v>8.6567914780779964E-2</v>
      </c>
      <c r="CF40" s="80">
        <f t="shared" si="81"/>
        <v>8.581913308868945E-2</v>
      </c>
      <c r="CG40" s="80">
        <f t="shared" si="81"/>
        <v>9.6010030238218136E-2</v>
      </c>
      <c r="CH40" s="80">
        <f t="shared" si="81"/>
        <v>8.835186737028064E-2</v>
      </c>
      <c r="CI40" s="80">
        <f t="shared" si="81"/>
        <v>8.1563013136289012E-2</v>
      </c>
      <c r="CJ40" s="80">
        <f t="shared" si="81"/>
        <v>7.735653142886087E-2</v>
      </c>
      <c r="CK40" s="80">
        <f t="shared" si="81"/>
        <v>7.6660514774463673E-2</v>
      </c>
      <c r="CL40" s="80">
        <f t="shared" si="81"/>
        <v>7.3191710673707791E-2</v>
      </c>
      <c r="CM40" s="80">
        <f t="shared" si="81"/>
        <v>7.6567703440310608E-2</v>
      </c>
      <c r="CN40" s="80">
        <f t="shared" si="81"/>
        <v>8.5745644555219588E-2</v>
      </c>
      <c r="CO40" s="80">
        <f t="shared" si="81"/>
        <v>7.9345734254951325E-2</v>
      </c>
      <c r="CP40" s="80">
        <f t="shared" si="81"/>
        <v>7.5008525444284629E-2</v>
      </c>
      <c r="CQ40" s="80">
        <f t="shared" si="81"/>
        <v>7.5059037560503805E-2</v>
      </c>
      <c r="CR40" s="81">
        <v>7.3999999999999996E-2</v>
      </c>
      <c r="CS40" s="81">
        <v>7.2999999999999995E-2</v>
      </c>
      <c r="CT40" s="81">
        <v>7.1999999999999995E-2</v>
      </c>
      <c r="CU40" s="81">
        <v>7.0999999999999994E-2</v>
      </c>
      <c r="CV40" s="81">
        <v>7.0000000000000007E-2</v>
      </c>
      <c r="CW40" s="81">
        <v>7.0000000000000007E-2</v>
      </c>
      <c r="CX40" s="81">
        <v>7.0000000000000007E-2</v>
      </c>
      <c r="CY40" s="81">
        <v>7.0000000000000007E-2</v>
      </c>
      <c r="CZ40" s="81">
        <v>7.0000000000000007E-2</v>
      </c>
      <c r="DA40" s="81">
        <v>7.0000000000000007E-2</v>
      </c>
      <c r="DC40" s="57" t="s">
        <v>135</v>
      </c>
      <c r="DF40" s="47">
        <f>Main!C5</f>
        <v>385426.38</v>
      </c>
      <c r="DG40" s="44"/>
      <c r="DI40" s="44"/>
      <c r="DJ40" s="45" t="s">
        <v>106</v>
      </c>
      <c r="DK40" s="46">
        <f>DF46</f>
        <v>4.0899999999999999E-2</v>
      </c>
      <c r="DL40" s="44"/>
      <c r="DM40" s="1"/>
      <c r="DN40" s="1"/>
      <c r="DO40" s="1"/>
      <c r="DP40" s="1"/>
      <c r="DQ40" s="1"/>
    </row>
    <row r="41" spans="2:157" ht="14.25" customHeight="1">
      <c r="B41" s="36" t="s">
        <v>58</v>
      </c>
      <c r="C41" s="80">
        <f t="shared" ref="C41:BN41" si="82">C28/C21</f>
        <v>9.2362344582593264E-2</v>
      </c>
      <c r="D41" s="80">
        <f t="shared" si="82"/>
        <v>0.12925336597307224</v>
      </c>
      <c r="E41" s="80">
        <f t="shared" si="82"/>
        <v>0.1165209170408887</v>
      </c>
      <c r="F41" s="80">
        <f t="shared" si="82"/>
        <v>0.15476571672537084</v>
      </c>
      <c r="G41" s="80">
        <f t="shared" si="82"/>
        <v>0.11808790763621635</v>
      </c>
      <c r="H41" s="80">
        <f t="shared" si="82"/>
        <v>0.14890342439399767</v>
      </c>
      <c r="I41" s="80">
        <f t="shared" si="82"/>
        <v>0.12563268257411433</v>
      </c>
      <c r="J41" s="80">
        <f t="shared" si="82"/>
        <v>0.10434092435435627</v>
      </c>
      <c r="K41" s="80">
        <f t="shared" si="82"/>
        <v>0.14222098524909552</v>
      </c>
      <c r="L41" s="80">
        <f t="shared" si="82"/>
        <v>0.1459548567080903</v>
      </c>
      <c r="M41" s="80">
        <f t="shared" si="82"/>
        <v>0.11779021659771226</v>
      </c>
      <c r="N41" s="80">
        <f t="shared" si="82"/>
        <v>7.0694380995888512E-2</v>
      </c>
      <c r="O41" s="80">
        <f t="shared" si="82"/>
        <v>-2.1844102092435434E-3</v>
      </c>
      <c r="P41" s="80">
        <f t="shared" si="82"/>
        <v>1.8218623481781458E-2</v>
      </c>
      <c r="Q41" s="80">
        <f t="shared" si="82"/>
        <v>1.7898574743122293E-2</v>
      </c>
      <c r="R41" s="80">
        <f t="shared" si="82"/>
        <v>2.0736352094794776E-2</v>
      </c>
      <c r="S41" s="80">
        <f t="shared" si="82"/>
        <v>3.1054687500000011E-2</v>
      </c>
      <c r="T41" s="80">
        <f t="shared" si="82"/>
        <v>5.3394426781372774E-2</v>
      </c>
      <c r="U41" s="80">
        <f t="shared" si="82"/>
        <v>5.1627486437613043E-2</v>
      </c>
      <c r="V41" s="80">
        <f t="shared" si="82"/>
        <v>6.9945541184479224E-2</v>
      </c>
      <c r="W41" s="80">
        <f t="shared" si="82"/>
        <v>7.6844342965120743E-2</v>
      </c>
      <c r="X41" s="80">
        <f t="shared" si="82"/>
        <v>9.668755595344683E-2</v>
      </c>
      <c r="Y41" s="80">
        <f t="shared" si="82"/>
        <v>7.833120476798644E-2</v>
      </c>
      <c r="Z41" s="80">
        <f t="shared" si="82"/>
        <v>4.3779888192900997E-2</v>
      </c>
      <c r="AA41" s="80">
        <f t="shared" si="82"/>
        <v>6.191596211302508E-2</v>
      </c>
      <c r="AB41" s="80">
        <f t="shared" si="82"/>
        <v>4.5479418738979795E-2</v>
      </c>
      <c r="AC41" s="80">
        <f t="shared" si="82"/>
        <v>4.2337781868384765E-2</v>
      </c>
      <c r="AD41" s="80">
        <f t="shared" si="82"/>
        <v>3.2797674546152497E-2</v>
      </c>
      <c r="AE41" s="80">
        <f t="shared" si="82"/>
        <v>2.5284772947846961E-2</v>
      </c>
      <c r="AF41" s="80">
        <f t="shared" si="82"/>
        <v>3.3441003230096841E-2</v>
      </c>
      <c r="AG41" s="80">
        <f t="shared" si="82"/>
        <v>4.6327831630425254E-2</v>
      </c>
      <c r="AH41" s="80">
        <f t="shared" si="82"/>
        <v>6.2119071644803243E-2</v>
      </c>
      <c r="AI41" s="80">
        <f t="shared" si="82"/>
        <v>9.7436091936584951E-2</v>
      </c>
      <c r="AJ41" s="80">
        <f t="shared" si="82"/>
        <v>4.5916352539939004E-2</v>
      </c>
      <c r="AK41" s="80">
        <f t="shared" si="82"/>
        <v>6.9885088277664292E-2</v>
      </c>
      <c r="AL41" s="80">
        <f t="shared" si="82"/>
        <v>7.4654574228498513E-2</v>
      </c>
      <c r="AM41" s="80">
        <f t="shared" si="82"/>
        <v>0.12067334972574242</v>
      </c>
      <c r="AN41" s="80">
        <f t="shared" si="82"/>
        <v>0.11831699639137004</v>
      </c>
      <c r="AO41" s="80">
        <f t="shared" si="82"/>
        <v>0.1201930289543432</v>
      </c>
      <c r="AP41" s="80">
        <f t="shared" si="82"/>
        <v>5.151905990255088E-2</v>
      </c>
      <c r="AQ41" s="80">
        <f t="shared" si="82"/>
        <v>0.10154833001548333</v>
      </c>
      <c r="AR41" s="80">
        <f t="shared" si="82"/>
        <v>0.14348682740549665</v>
      </c>
      <c r="AS41" s="80">
        <f t="shared" si="82"/>
        <v>0.18690537474499028</v>
      </c>
      <c r="AT41" s="80">
        <f t="shared" si="82"/>
        <v>8.3860701613198155E-2</v>
      </c>
      <c r="AU41" s="80">
        <f t="shared" si="82"/>
        <v>0.16614941831232555</v>
      </c>
      <c r="AV41" s="80">
        <f t="shared" si="82"/>
        <v>0.22085779809052913</v>
      </c>
      <c r="AW41" s="80">
        <f t="shared" si="82"/>
        <v>0.20430107526881722</v>
      </c>
      <c r="AX41" s="80">
        <f t="shared" si="82"/>
        <v>0.14360965625188127</v>
      </c>
      <c r="AY41" s="80">
        <f t="shared" si="82"/>
        <v>0.27360294836178856</v>
      </c>
      <c r="AZ41" s="80">
        <f t="shared" si="82"/>
        <v>0.25166852815385876</v>
      </c>
      <c r="BA41" s="80">
        <f t="shared" si="82"/>
        <v>0.23455602325115249</v>
      </c>
      <c r="BB41" s="80">
        <f t="shared" si="82"/>
        <v>8.1939994552034531E-2</v>
      </c>
      <c r="BC41" s="80">
        <f t="shared" si="82"/>
        <v>0.25060372658176366</v>
      </c>
      <c r="BD41" s="80">
        <f t="shared" si="82"/>
        <v>0.19801508136660773</v>
      </c>
      <c r="BE41" s="80">
        <f t="shared" si="82"/>
        <v>0.19342384172807112</v>
      </c>
      <c r="BF41" s="80">
        <f t="shared" si="82"/>
        <v>7.0032220679818208E-2</v>
      </c>
      <c r="BG41" s="80">
        <f t="shared" si="82"/>
        <v>0.21004717270109657</v>
      </c>
      <c r="BH41" s="80">
        <f t="shared" si="82"/>
        <v>0.22317491724988706</v>
      </c>
      <c r="BI41" s="80">
        <f t="shared" si="82"/>
        <v>0.22435814884624847</v>
      </c>
      <c r="BJ41" s="80">
        <f t="shared" si="82"/>
        <v>0.16938003804003254</v>
      </c>
      <c r="BK41" s="80">
        <f t="shared" si="82"/>
        <v>0.28093784683684786</v>
      </c>
      <c r="BL41" s="80">
        <f t="shared" si="82"/>
        <v>0.27228981201552405</v>
      </c>
      <c r="BM41" s="80">
        <f t="shared" si="82"/>
        <v>0.29614135800584251</v>
      </c>
      <c r="BN41" s="80">
        <f t="shared" si="82"/>
        <v>0.22180256673010298</v>
      </c>
      <c r="BO41" s="80">
        <f t="shared" ref="BO41:BQ41" si="83">BO28/BO21</f>
        <v>0.31746784535417527</v>
      </c>
      <c r="BP41" s="80">
        <f t="shared" si="83"/>
        <v>0.34070149469275762</v>
      </c>
      <c r="BQ41" s="80">
        <f t="shared" si="83"/>
        <v>0.28220810925866391</v>
      </c>
      <c r="BR41" s="80">
        <f>BR28/BR21</f>
        <v>0.24535300560958601</v>
      </c>
      <c r="CA41" s="80">
        <f t="shared" ref="CA41:CQ41" si="84">CA28/CA21</f>
        <v>0.13109220382872469</v>
      </c>
      <c r="CB41" s="80">
        <f t="shared" si="84"/>
        <v>0.11736254134681401</v>
      </c>
      <c r="CC41" s="80">
        <f t="shared" si="84"/>
        <v>0.11733133620420645</v>
      </c>
      <c r="CD41" s="80">
        <f t="shared" si="84"/>
        <v>1.388080791289171E-2</v>
      </c>
      <c r="CE41" s="80">
        <f t="shared" si="84"/>
        <v>5.2164769350340617E-2</v>
      </c>
      <c r="CF41" s="80">
        <f t="shared" si="84"/>
        <v>7.3138829342731568E-2</v>
      </c>
      <c r="CG41" s="80">
        <f t="shared" si="84"/>
        <v>4.5077070580426239E-2</v>
      </c>
      <c r="CH41" s="80">
        <f t="shared" si="84"/>
        <v>4.3020859284759801E-2</v>
      </c>
      <c r="CI41" s="80">
        <f t="shared" si="84"/>
        <v>7.1727900930487185E-2</v>
      </c>
      <c r="CJ41" s="80">
        <f t="shared" si="84"/>
        <v>0.1016372891657803</v>
      </c>
      <c r="CK41" s="80">
        <f t="shared" si="84"/>
        <v>0.12920461987259627</v>
      </c>
      <c r="CL41" s="80">
        <f t="shared" si="84"/>
        <v>0.1834373499759962</v>
      </c>
      <c r="CM41" s="80">
        <f t="shared" si="84"/>
        <v>0.2085871391579876</v>
      </c>
      <c r="CN41" s="80">
        <f t="shared" si="84"/>
        <v>0.17816520958008078</v>
      </c>
      <c r="CO41" s="80">
        <f t="shared" si="84"/>
        <v>0.20620757755023972</v>
      </c>
      <c r="CP41" s="80">
        <f t="shared" si="84"/>
        <v>0.26711178459984264</v>
      </c>
      <c r="CQ41" s="80">
        <f t="shared" si="84"/>
        <v>0.29494877509511291</v>
      </c>
      <c r="CR41" s="81">
        <f>CR28/CR21</f>
        <v>0.33674618935116418</v>
      </c>
      <c r="CS41" s="81">
        <f t="shared" ref="CS41:DA41" si="85">CS28/CS21</f>
        <v>0.33787703524480178</v>
      </c>
      <c r="CT41" s="81">
        <f t="shared" si="85"/>
        <v>0.33897892567949356</v>
      </c>
      <c r="CU41" s="81">
        <f t="shared" si="85"/>
        <v>0.3700808161141852</v>
      </c>
      <c r="CV41" s="81">
        <f t="shared" si="85"/>
        <v>0.341315409737313</v>
      </c>
      <c r="CW41" s="81">
        <f t="shared" si="85"/>
        <v>0.34208081611418517</v>
      </c>
      <c r="CX41" s="81">
        <f t="shared" si="85"/>
        <v>0.3428462224910574</v>
      </c>
      <c r="CY41" s="81">
        <f t="shared" si="85"/>
        <v>0.34347892567949351</v>
      </c>
      <c r="CZ41" s="81">
        <f t="shared" si="85"/>
        <v>0.34411162886792962</v>
      </c>
      <c r="DA41" s="81">
        <f t="shared" si="85"/>
        <v>0.34511162886792962</v>
      </c>
      <c r="DC41" s="57" t="s">
        <v>137</v>
      </c>
      <c r="DF41" s="58">
        <f>Main!C7/(Main!C7+DF40)</f>
        <v>3.6167092380412061E-2</v>
      </c>
      <c r="DG41" s="50"/>
      <c r="DI41" s="44"/>
      <c r="DJ41" s="45" t="s">
        <v>107</v>
      </c>
      <c r="DK41" s="46">
        <f>8.69%-DK40</f>
        <v>4.5999999999999992E-2</v>
      </c>
      <c r="DL41" s="44"/>
      <c r="DM41" s="1"/>
      <c r="DN41" s="1"/>
      <c r="DO41" s="1"/>
      <c r="DP41" s="1"/>
      <c r="DQ41" s="1"/>
    </row>
    <row r="42" spans="2:157" ht="14.25" customHeight="1">
      <c r="B42" s="36" t="s">
        <v>59</v>
      </c>
      <c r="C42" s="80">
        <f t="shared" ref="C42:BN42" si="86">C32/C31</f>
        <v>0.4021447721179624</v>
      </c>
      <c r="D42" s="80">
        <f t="shared" si="86"/>
        <v>0.38679245283018859</v>
      </c>
      <c r="E42" s="80">
        <f t="shared" si="86"/>
        <v>0.40277777777777768</v>
      </c>
      <c r="F42" s="80">
        <f t="shared" si="86"/>
        <v>0.40141955835962162</v>
      </c>
      <c r="G42" s="80">
        <f t="shared" si="86"/>
        <v>0.40699815837937381</v>
      </c>
      <c r="H42" s="80">
        <f t="shared" si="86"/>
        <v>0.40735694822888296</v>
      </c>
      <c r="I42" s="80">
        <f t="shared" si="86"/>
        <v>0.4189602446483176</v>
      </c>
      <c r="J42" s="80">
        <f t="shared" si="86"/>
        <v>0.3245192307692305</v>
      </c>
      <c r="K42" s="80">
        <f t="shared" si="86"/>
        <v>0.38696537678207721</v>
      </c>
      <c r="L42" s="80">
        <f t="shared" si="86"/>
        <v>0.38447653429602879</v>
      </c>
      <c r="M42" s="80">
        <f t="shared" si="86"/>
        <v>0.33333333333333359</v>
      </c>
      <c r="N42" s="80">
        <f t="shared" si="86"/>
        <v>0.37961335676625679</v>
      </c>
      <c r="O42" s="80">
        <f t="shared" si="86"/>
        <v>0.34285714285714119</v>
      </c>
      <c r="P42" s="80">
        <f t="shared" si="86"/>
        <v>0.42056074766354851</v>
      </c>
      <c r="Q42" s="80">
        <f t="shared" si="86"/>
        <v>0.35833333333333361</v>
      </c>
      <c r="R42" s="80">
        <f t="shared" si="86"/>
        <v>0.46979865771812007</v>
      </c>
      <c r="S42" s="80">
        <f t="shared" si="86"/>
        <v>-1.9999999999999716</v>
      </c>
      <c r="T42" s="80">
        <f t="shared" si="86"/>
        <v>0.36909871244635151</v>
      </c>
      <c r="U42" s="80">
        <f t="shared" si="86"/>
        <v>0.35757575757575738</v>
      </c>
      <c r="V42" s="80">
        <f t="shared" si="86"/>
        <v>0.34641407307171862</v>
      </c>
      <c r="W42" s="80">
        <f t="shared" si="86"/>
        <v>0.40269966254218287</v>
      </c>
      <c r="X42" s="80">
        <f t="shared" si="86"/>
        <v>0.3952299829642244</v>
      </c>
      <c r="Y42" s="80">
        <f t="shared" si="86"/>
        <v>0.39179487179487149</v>
      </c>
      <c r="Z42" s="80">
        <f t="shared" si="86"/>
        <v>-0.8329670329670309</v>
      </c>
      <c r="AA42" s="80">
        <f t="shared" si="86"/>
        <v>0.3828125000000025</v>
      </c>
      <c r="AB42" s="80">
        <f t="shared" si="86"/>
        <v>0.35061728395061664</v>
      </c>
      <c r="AC42" s="80">
        <f t="shared" si="86"/>
        <v>0.30331753554502311</v>
      </c>
      <c r="AD42" s="80">
        <f t="shared" si="86"/>
        <v>-1.0873786407767074</v>
      </c>
      <c r="AE42" s="80">
        <f t="shared" si="86"/>
        <v>0.30576441102756891</v>
      </c>
      <c r="AF42" s="80">
        <f t="shared" si="86"/>
        <v>0.20467836257309996</v>
      </c>
      <c r="AG42" s="80">
        <f t="shared" si="86"/>
        <v>0.34848484848484895</v>
      </c>
      <c r="AH42" s="80">
        <f t="shared" si="86"/>
        <v>0.26053215077605313</v>
      </c>
      <c r="AI42" s="80">
        <f t="shared" si="86"/>
        <v>0.20384443451050527</v>
      </c>
      <c r="AJ42" s="80">
        <f t="shared" si="86"/>
        <v>-3.6595744680850824</v>
      </c>
      <c r="AK42" s="80">
        <f t="shared" si="86"/>
        <v>-0.11531841652323567</v>
      </c>
      <c r="AL42" s="80">
        <f t="shared" si="86"/>
        <v>-0.41279512566641152</v>
      </c>
      <c r="AM42" s="80">
        <f t="shared" si="86"/>
        <v>3.1708945260347114E-2</v>
      </c>
      <c r="AN42" s="80">
        <f t="shared" si="86"/>
        <v>0.10333566596687656</v>
      </c>
      <c r="AO42" s="80">
        <f t="shared" si="86"/>
        <v>-6.335797254487853E-2</v>
      </c>
      <c r="AP42" s="80">
        <f t="shared" si="86"/>
        <v>-0.12154233025984908</v>
      </c>
      <c r="AQ42" s="80">
        <f t="shared" si="86"/>
        <v>0.1391043282461846</v>
      </c>
      <c r="AR42" s="80">
        <f t="shared" si="86"/>
        <v>0.45977240966260685</v>
      </c>
      <c r="AS42" s="80">
        <f t="shared" si="86"/>
        <v>0.34284867641248534</v>
      </c>
      <c r="AT42" s="80">
        <f t="shared" si="86"/>
        <v>-2.9310113864702032</v>
      </c>
      <c r="AU42" s="80">
        <f t="shared" si="86"/>
        <v>0.1090589270008795</v>
      </c>
      <c r="AV42" s="80">
        <f t="shared" si="86"/>
        <v>0.30455774430281951</v>
      </c>
      <c r="AW42" s="80">
        <f t="shared" si="86"/>
        <v>8.3004411423264438E-2</v>
      </c>
      <c r="AX42" s="80">
        <f t="shared" si="86"/>
        <v>-7.0497630331753589E-2</v>
      </c>
      <c r="AY42" s="80">
        <f t="shared" si="86"/>
        <v>0.16112066846891129</v>
      </c>
      <c r="AZ42" s="80">
        <f t="shared" si="86"/>
        <v>0.15107597716293367</v>
      </c>
      <c r="BA42" s="80">
        <f t="shared" si="86"/>
        <v>0.12757375075255872</v>
      </c>
      <c r="BB42" s="80">
        <f t="shared" si="86"/>
        <v>-0.10275962236746554</v>
      </c>
      <c r="BC42" s="80">
        <f t="shared" si="86"/>
        <v>0.19304980301040506</v>
      </c>
      <c r="BD42" s="80">
        <f t="shared" si="86"/>
        <v>0.11219963031423288</v>
      </c>
      <c r="BE42" s="80">
        <f t="shared" si="86"/>
        <v>0.13787150080157845</v>
      </c>
      <c r="BF42" s="80">
        <f t="shared" si="86"/>
        <v>-0.40458015267175035</v>
      </c>
      <c r="BG42" s="80">
        <f t="shared" si="86"/>
        <v>0.1115120157941317</v>
      </c>
      <c r="BH42" s="80">
        <f t="shared" si="86"/>
        <v>0.11415470731852556</v>
      </c>
      <c r="BI42" s="80">
        <f t="shared" si="86"/>
        <v>0.12131370802996171</v>
      </c>
      <c r="BJ42" s="80">
        <f t="shared" si="86"/>
        <v>0.18317219754376809</v>
      </c>
      <c r="BK42" s="80">
        <f t="shared" si="86"/>
        <v>0.10801300439854659</v>
      </c>
      <c r="BL42" s="80">
        <f t="shared" si="86"/>
        <v>0.14582918970523895</v>
      </c>
      <c r="BM42" s="80">
        <f t="shared" si="86"/>
        <v>0.12556418793932661</v>
      </c>
      <c r="BN42" s="80">
        <f t="shared" si="86"/>
        <v>0.12449629837878359</v>
      </c>
      <c r="BO42" s="80">
        <f t="shared" ref="BO42:BQ42" si="87">BO32/BO31</f>
        <v>0.10063167065998696</v>
      </c>
      <c r="BP42" s="80">
        <f t="shared" si="87"/>
        <v>0.13941129498581928</v>
      </c>
      <c r="BQ42" s="80">
        <f t="shared" si="87"/>
        <v>0.18089725036179455</v>
      </c>
      <c r="BR42" s="80">
        <f>BR32/BR31</f>
        <v>0.12616518534576202</v>
      </c>
      <c r="CA42" s="80">
        <f t="shared" ref="CA42:CQ42" si="88">CA32/CA31</f>
        <v>0.39887850467289726</v>
      </c>
      <c r="CB42" s="80">
        <f t="shared" si="88"/>
        <v>0.37107093184979117</v>
      </c>
      <c r="CC42" s="80">
        <f t="shared" si="88"/>
        <v>0.37107093184979145</v>
      </c>
      <c r="CD42" s="80">
        <f t="shared" si="88"/>
        <v>0.43790849673202542</v>
      </c>
      <c r="CE42" s="80">
        <f t="shared" si="88"/>
        <v>0.34347571679344624</v>
      </c>
      <c r="CF42" s="80">
        <f t="shared" si="88"/>
        <v>0.23618665903235028</v>
      </c>
      <c r="CG42" s="80">
        <f t="shared" si="88"/>
        <v>0.13620324629498967</v>
      </c>
      <c r="CH42" s="80">
        <f t="shared" si="88"/>
        <v>0.28319263238679993</v>
      </c>
      <c r="CI42" s="80">
        <f t="shared" si="88"/>
        <v>-0.15165876777251167</v>
      </c>
      <c r="CJ42" s="80">
        <f t="shared" si="88"/>
        <v>1.2475538160469661E-2</v>
      </c>
      <c r="CK42" s="80">
        <f t="shared" si="88"/>
        <v>9.4748581680647828E-2</v>
      </c>
      <c r="CL42" s="80">
        <f t="shared" si="88"/>
        <v>0.13690494795736566</v>
      </c>
      <c r="CM42" s="80">
        <f t="shared" si="88"/>
        <v>0.12395123454676207</v>
      </c>
      <c r="CN42" s="80">
        <f t="shared" si="88"/>
        <v>0.14665932103573395</v>
      </c>
      <c r="CO42" s="80">
        <f t="shared" si="88"/>
        <v>0.12850098301479357</v>
      </c>
      <c r="CP42" s="80">
        <f t="shared" si="88"/>
        <v>0.1258428995745364</v>
      </c>
      <c r="CQ42" s="80">
        <f t="shared" si="88"/>
        <v>0.13687346239398873</v>
      </c>
      <c r="CR42" s="81">
        <v>0.15</v>
      </c>
      <c r="CS42" s="81">
        <v>0.16</v>
      </c>
      <c r="CT42" s="81">
        <v>0.16</v>
      </c>
      <c r="CU42" s="81">
        <v>0.16</v>
      </c>
      <c r="CV42" s="81">
        <v>0.16</v>
      </c>
      <c r="CW42" s="81">
        <v>0.16</v>
      </c>
      <c r="CX42" s="81">
        <v>0.16</v>
      </c>
      <c r="CY42" s="81">
        <v>0.16</v>
      </c>
      <c r="CZ42" s="81">
        <v>0.16</v>
      </c>
      <c r="DA42" s="81">
        <v>0.16</v>
      </c>
      <c r="DC42" s="57" t="s">
        <v>138</v>
      </c>
      <c r="DF42" s="58">
        <f>DF40/(DF40+Main!C7)</f>
        <v>0.96383290761958784</v>
      </c>
      <c r="DG42" s="44"/>
      <c r="DI42" s="44"/>
      <c r="DJ42" s="45" t="s">
        <v>108</v>
      </c>
      <c r="DK42" s="51">
        <f>'Notes | Quant Analysis'!S209</f>
        <v>1.0345818830813753</v>
      </c>
      <c r="DL42" s="44"/>
      <c r="DM42" s="1"/>
      <c r="DN42" s="1"/>
      <c r="DO42" s="1"/>
      <c r="DP42" s="1"/>
      <c r="DQ42" s="1"/>
    </row>
    <row r="43" spans="2:157" ht="14.25" customHeight="1">
      <c r="B43" s="36" t="s">
        <v>60</v>
      </c>
      <c r="C43" s="80">
        <f t="shared" ref="C43:BN43" si="89">C33/C21</f>
        <v>5.6584623192083232E-2</v>
      </c>
      <c r="D43" s="80">
        <f t="shared" si="89"/>
        <v>7.9559363525091839E-2</v>
      </c>
      <c r="E43" s="80">
        <f t="shared" si="89"/>
        <v>7.1141574095958421E-2</v>
      </c>
      <c r="F43" s="80">
        <f t="shared" si="89"/>
        <v>8.1011847582452723E-2</v>
      </c>
      <c r="G43" s="80">
        <f t="shared" si="89"/>
        <v>6.5221794612112638E-2</v>
      </c>
      <c r="H43" s="80">
        <f t="shared" si="89"/>
        <v>8.3686033089649836E-2</v>
      </c>
      <c r="I43" s="80">
        <f t="shared" si="89"/>
        <v>6.8691250903832365E-2</v>
      </c>
      <c r="J43" s="80">
        <f t="shared" si="89"/>
        <v>6.8624458147628145E-2</v>
      </c>
      <c r="K43" s="80">
        <f t="shared" si="89"/>
        <v>8.377400500974122E-2</v>
      </c>
      <c r="L43" s="80">
        <f t="shared" si="89"/>
        <v>8.6482373827035275E-2</v>
      </c>
      <c r="M43" s="80">
        <f t="shared" si="89"/>
        <v>7.5930883426624393E-2</v>
      </c>
      <c r="N43" s="80">
        <f t="shared" si="89"/>
        <v>4.0315212425765162E-2</v>
      </c>
      <c r="O43" s="80">
        <f t="shared" si="89"/>
        <v>-5.2885720855369439E-3</v>
      </c>
      <c r="P43" s="80">
        <f t="shared" si="89"/>
        <v>6.9725596041386347E-3</v>
      </c>
      <c r="Q43" s="80">
        <f t="shared" si="89"/>
        <v>8.5073472544470105E-3</v>
      </c>
      <c r="R43" s="80">
        <f t="shared" si="89"/>
        <v>8.3580194667795416E-3</v>
      </c>
      <c r="S43" s="80">
        <f t="shared" si="89"/>
        <v>2.6367187500000123E-3</v>
      </c>
      <c r="T43" s="80">
        <f t="shared" si="89"/>
        <v>2.7492051617729614E-2</v>
      </c>
      <c r="U43" s="80">
        <f t="shared" si="89"/>
        <v>2.8752260397830038E-2</v>
      </c>
      <c r="V43" s="80">
        <f t="shared" si="89"/>
        <v>4.1099387338325383E-2</v>
      </c>
      <c r="W43" s="80">
        <f t="shared" si="89"/>
        <v>4.1807731674671174E-2</v>
      </c>
      <c r="X43" s="80">
        <f t="shared" si="89"/>
        <v>5.2969262906595149E-2</v>
      </c>
      <c r="Y43" s="80">
        <f t="shared" si="89"/>
        <v>4.2074641691499985E-2</v>
      </c>
      <c r="Z43" s="80">
        <f t="shared" si="89"/>
        <v>5.6172964235199109E-2</v>
      </c>
      <c r="AA43" s="80">
        <f t="shared" si="89"/>
        <v>1.5065793655838633E-2</v>
      </c>
      <c r="AB43" s="80">
        <f t="shared" si="89"/>
        <v>1.5990758192983567E-2</v>
      </c>
      <c r="AC43" s="80">
        <f t="shared" si="89"/>
        <v>1.6912103083295028E-2</v>
      </c>
      <c r="AD43" s="80">
        <f t="shared" si="89"/>
        <v>2.3583612131848758E-2</v>
      </c>
      <c r="AE43" s="80">
        <f t="shared" si="89"/>
        <v>1.4149256780916381E-2</v>
      </c>
      <c r="AF43" s="80">
        <f t="shared" si="89"/>
        <v>1.938058141744246E-2</v>
      </c>
      <c r="AG43" s="80">
        <f t="shared" si="89"/>
        <v>2.2530783337699724E-2</v>
      </c>
      <c r="AH43" s="80">
        <f t="shared" si="89"/>
        <v>2.6922300706357226E-2</v>
      </c>
      <c r="AI43" s="80">
        <f t="shared" si="89"/>
        <v>6.7549116286126032E-2</v>
      </c>
      <c r="AJ43" s="80">
        <f t="shared" si="89"/>
        <v>2.3586429725363525E-2</v>
      </c>
      <c r="AK43" s="80">
        <f t="shared" si="89"/>
        <v>4.3418539984589145E-2</v>
      </c>
      <c r="AL43" s="80">
        <f t="shared" si="89"/>
        <v>5.6455048998721891E-2</v>
      </c>
      <c r="AM43" s="80">
        <f t="shared" si="89"/>
        <v>7.8386338458212898E-2</v>
      </c>
      <c r="AN43" s="80">
        <f t="shared" si="89"/>
        <v>9.8379955467970237E-2</v>
      </c>
      <c r="AO43" s="80">
        <f t="shared" si="89"/>
        <v>0.10071510726608995</v>
      </c>
      <c r="AP43" s="80">
        <f t="shared" si="89"/>
        <v>3.1957580968758968E-2</v>
      </c>
      <c r="AQ43" s="80">
        <f t="shared" si="89"/>
        <v>7.6111479761114834E-2</v>
      </c>
      <c r="AR43" s="80">
        <f t="shared" si="89"/>
        <v>5.4965367349840651E-2</v>
      </c>
      <c r="AS43" s="80">
        <f t="shared" si="89"/>
        <v>0.12684703235524025</v>
      </c>
      <c r="AT43" s="80">
        <f t="shared" si="89"/>
        <v>0.10734535611076557</v>
      </c>
      <c r="AU43" s="80">
        <f t="shared" si="89"/>
        <v>0.12294328761898157</v>
      </c>
      <c r="AV43" s="80">
        <f t="shared" si="89"/>
        <v>0.11713807068620601</v>
      </c>
      <c r="AW43" s="80">
        <f t="shared" si="89"/>
        <v>0.12273913854186093</v>
      </c>
      <c r="AX43" s="80">
        <f t="shared" si="89"/>
        <v>8.1587502257540162E-2</v>
      </c>
      <c r="AY43" s="80">
        <f t="shared" si="89"/>
        <v>0.23825611101028857</v>
      </c>
      <c r="AZ43" s="80">
        <f t="shared" si="89"/>
        <v>0.18430085265193827</v>
      </c>
      <c r="BA43" s="80">
        <f t="shared" si="89"/>
        <v>0.19363933988107165</v>
      </c>
      <c r="BB43" s="80">
        <f t="shared" si="89"/>
        <v>7.8787957402098749E-2</v>
      </c>
      <c r="BC43" s="80">
        <f t="shared" si="89"/>
        <v>0.20305549200538905</v>
      </c>
      <c r="BD43" s="80">
        <f t="shared" si="89"/>
        <v>0.18078819588210943</v>
      </c>
      <c r="BE43" s="80">
        <f t="shared" si="89"/>
        <v>0.17641566569092565</v>
      </c>
      <c r="BF43" s="80">
        <f t="shared" si="89"/>
        <v>7.029966505775591E-3</v>
      </c>
      <c r="BG43" s="80">
        <f t="shared" si="89"/>
        <v>0.15990933039269739</v>
      </c>
      <c r="BH43" s="80">
        <f t="shared" si="89"/>
        <v>0.18169604143001969</v>
      </c>
      <c r="BI43" s="80">
        <f t="shared" si="89"/>
        <v>0.19638947750447813</v>
      </c>
      <c r="BJ43" s="80">
        <f t="shared" si="89"/>
        <v>0.10617244814781263</v>
      </c>
      <c r="BK43" s="80">
        <f t="shared" si="89"/>
        <v>0.24887945018355664</v>
      </c>
      <c r="BL43" s="80">
        <f t="shared" si="89"/>
        <v>0.22462941847206375</v>
      </c>
      <c r="BM43" s="80">
        <f t="shared" si="89"/>
        <v>0.24057732042708693</v>
      </c>
      <c r="BN43" s="80">
        <f t="shared" si="89"/>
        <v>0.18235495047089254</v>
      </c>
      <c r="BO43" s="80">
        <f t="shared" ref="BO43:BQ43" si="90">BO33/BO21</f>
        <v>0.27414918238039221</v>
      </c>
      <c r="BP43" s="80">
        <f t="shared" si="90"/>
        <v>0.28209618022961952</v>
      </c>
      <c r="BQ43" s="80">
        <f t="shared" si="90"/>
        <v>0.22128007089302618</v>
      </c>
      <c r="BR43" s="80">
        <f>BR33/BR21</f>
        <v>0.20070036844026945</v>
      </c>
      <c r="CA43" s="80">
        <f t="shared" ref="CA43:CQ43" si="91">CA33/CA21</f>
        <v>7.4354943124017386E-2</v>
      </c>
      <c r="CB43" s="80">
        <f t="shared" si="91"/>
        <v>7.0554827435561435E-2</v>
      </c>
      <c r="CC43" s="80">
        <f t="shared" si="91"/>
        <v>7.0554827435561365E-2</v>
      </c>
      <c r="CD43" s="80">
        <f t="shared" si="91"/>
        <v>4.7654669880586404E-3</v>
      </c>
      <c r="CE43" s="80">
        <f t="shared" si="91"/>
        <v>2.5648059251131547E-2</v>
      </c>
      <c r="CF43" s="80">
        <f t="shared" si="91"/>
        <v>4.8468553573375026E-2</v>
      </c>
      <c r="CG43" s="80">
        <f t="shared" si="91"/>
        <v>1.8054428792683788E-2</v>
      </c>
      <c r="CH43" s="80">
        <f t="shared" si="91"/>
        <v>2.1153715489321202E-2</v>
      </c>
      <c r="CI43" s="80">
        <f t="shared" si="91"/>
        <v>4.7798645320197092E-2</v>
      </c>
      <c r="CJ43" s="80">
        <f t="shared" si="91"/>
        <v>7.6679076128248008E-2</v>
      </c>
      <c r="CK43" s="80">
        <f t="shared" si="91"/>
        <v>9.2620706078466383E-2</v>
      </c>
      <c r="CL43" s="80">
        <f t="shared" si="91"/>
        <v>0.11046967514802371</v>
      </c>
      <c r="CM43" s="80">
        <f t="shared" si="91"/>
        <v>0.17227817455106254</v>
      </c>
      <c r="CN43" s="80">
        <f t="shared" si="91"/>
        <v>0.14207859411176765</v>
      </c>
      <c r="CO43" s="80">
        <f t="shared" si="91"/>
        <v>0.16036390270228595</v>
      </c>
      <c r="CP43" s="80">
        <f t="shared" si="91"/>
        <v>0.22336664025701974</v>
      </c>
      <c r="CQ43" s="80">
        <f t="shared" si="91"/>
        <v>0.24303998618952649</v>
      </c>
      <c r="CR43" s="81">
        <f>CR33/CR21</f>
        <v>0.30556294287669478</v>
      </c>
      <c r="CS43" s="81">
        <f t="shared" ref="CS43:DA43" si="92">CS33/CS21</f>
        <v>0.31106879522607461</v>
      </c>
      <c r="CT43" s="81">
        <f t="shared" si="92"/>
        <v>0.32153360887655091</v>
      </c>
      <c r="CU43" s="81">
        <f t="shared" si="92"/>
        <v>0.35900143223749298</v>
      </c>
      <c r="CV43" s="81">
        <f t="shared" si="92"/>
        <v>0.34873238779901949</v>
      </c>
      <c r="CW43" s="81">
        <f t="shared" si="92"/>
        <v>0.36680873280174281</v>
      </c>
      <c r="CX43" s="81">
        <f t="shared" si="92"/>
        <v>0.38962246244490401</v>
      </c>
      <c r="CY43" s="81">
        <f t="shared" si="92"/>
        <v>0.41815055839806609</v>
      </c>
      <c r="CZ43" s="81">
        <f t="shared" si="92"/>
        <v>0.45432427727038377</v>
      </c>
      <c r="DA43" s="81">
        <f t="shared" si="92"/>
        <v>0.5012824643366387</v>
      </c>
      <c r="DC43" s="59" t="s">
        <v>139</v>
      </c>
      <c r="DD43" s="34"/>
      <c r="DE43" s="34"/>
      <c r="DF43" s="60">
        <f>(CQ59+CQ57)/CQ62</f>
        <v>0.54339901639225996</v>
      </c>
      <c r="DG43" s="44"/>
      <c r="DH43" s="44"/>
      <c r="DI43" s="44"/>
      <c r="DJ43" s="45" t="s">
        <v>109</v>
      </c>
      <c r="DK43" s="46">
        <f>+DK40+(DK41*DK42)</f>
        <v>8.8490766621743266E-2</v>
      </c>
      <c r="DL43" s="44"/>
    </row>
    <row r="44" spans="2:157" ht="14.25" customHeight="1">
      <c r="DC44" s="63"/>
      <c r="DD44" s="63"/>
      <c r="DE44" s="63"/>
      <c r="DF44" s="63"/>
      <c r="DG44" s="63"/>
      <c r="DH44" s="63"/>
      <c r="DI44" s="63"/>
      <c r="DJ44" s="45"/>
      <c r="DK44" s="44"/>
      <c r="DL44" s="44"/>
    </row>
    <row r="45" spans="2:157" ht="14.25" customHeight="1">
      <c r="B45" s="1" t="s">
        <v>61</v>
      </c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9"/>
      <c r="AZ45" s="79"/>
      <c r="BA45" s="79"/>
      <c r="BB45" s="79"/>
      <c r="BC45" s="79"/>
      <c r="BD45" s="79"/>
      <c r="BE45" s="79"/>
      <c r="BF45" s="79">
        <v>5147.17</v>
      </c>
      <c r="BG45" s="79">
        <v>6714.59</v>
      </c>
      <c r="BH45" s="79">
        <v>7662.78</v>
      </c>
      <c r="BI45" s="79">
        <v>7353.24</v>
      </c>
      <c r="BJ45" s="79">
        <v>7116.91</v>
      </c>
      <c r="BK45" s="79">
        <v>7024.76</v>
      </c>
      <c r="BL45" s="79">
        <v>6624.9390000000003</v>
      </c>
      <c r="BM45" s="79">
        <v>7457.02</v>
      </c>
      <c r="BN45" s="79">
        <v>7804.7330000000002</v>
      </c>
      <c r="BO45" s="79">
        <v>7199.84</v>
      </c>
      <c r="BP45" s="79">
        <v>8177.4</v>
      </c>
      <c r="BQ45" s="79">
        <v>9287.2800000000007</v>
      </c>
      <c r="BR45" s="79">
        <v>9033.68</v>
      </c>
      <c r="CM45" s="79"/>
      <c r="CN45" s="79">
        <f t="shared" ref="CN45:CN51" si="93">BF45</f>
        <v>5147.17</v>
      </c>
      <c r="CO45" s="79">
        <f t="shared" ref="CO45:CO51" si="94">BJ45</f>
        <v>7116.91</v>
      </c>
      <c r="CP45" s="79">
        <f t="shared" ref="CP45:CP51" si="95">BN45</f>
        <v>7804.7330000000002</v>
      </c>
      <c r="CQ45" s="79">
        <f>BR45</f>
        <v>9033.68</v>
      </c>
      <c r="CR45" s="63">
        <f>CQ45+CR33</f>
        <v>23039.724367124931</v>
      </c>
      <c r="CS45" s="63">
        <f t="shared" ref="CS45:DA45" si="96">CR45+CS33</f>
        <v>38900.480633604304</v>
      </c>
      <c r="CT45" s="63">
        <f t="shared" si="96"/>
        <v>56798.565591085098</v>
      </c>
      <c r="CU45" s="63">
        <f t="shared" si="96"/>
        <v>78398.773216248388</v>
      </c>
      <c r="CV45" s="63">
        <f t="shared" si="96"/>
        <v>100847.42623896501</v>
      </c>
      <c r="CW45" s="63">
        <f t="shared" si="96"/>
        <v>125846.17702181365</v>
      </c>
      <c r="CX45" s="63">
        <f t="shared" si="96"/>
        <v>153696.37191507028</v>
      </c>
      <c r="CY45" s="63">
        <f t="shared" si="96"/>
        <v>184896.80941170311</v>
      </c>
      <c r="CZ45" s="63">
        <f t="shared" si="96"/>
        <v>220112.77390015169</v>
      </c>
      <c r="DA45" s="63">
        <f t="shared" si="96"/>
        <v>260200.55400315233</v>
      </c>
      <c r="DC45" s="34" t="s">
        <v>140</v>
      </c>
      <c r="DF45" s="44"/>
      <c r="DG45" s="50"/>
      <c r="DH45" s="50"/>
      <c r="DI45" s="50"/>
      <c r="DJ45" s="45" t="s">
        <v>110</v>
      </c>
      <c r="DK45" s="47">
        <f>NPV(DK43,CR33:EY33)</f>
        <v>411645.77903030399</v>
      </c>
      <c r="DL45" s="44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</row>
    <row r="46" spans="2:157" ht="14.25" customHeight="1">
      <c r="B46" s="1" t="s">
        <v>62</v>
      </c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9"/>
      <c r="AZ46" s="79"/>
      <c r="BA46" s="79"/>
      <c r="BB46" s="79"/>
      <c r="BC46" s="79"/>
      <c r="BD46" s="79"/>
      <c r="BE46" s="79"/>
      <c r="BF46" s="79">
        <v>911.27</v>
      </c>
      <c r="BG46" s="79">
        <v>1112.9100000000001</v>
      </c>
      <c r="BH46" s="79">
        <v>914.2</v>
      </c>
      <c r="BI46" s="79">
        <v>514.20000000000005</v>
      </c>
      <c r="BJ46" s="79">
        <v>20.97</v>
      </c>
      <c r="BK46" s="79">
        <v>20.97</v>
      </c>
      <c r="BL46" s="79">
        <v>30.972999999999999</v>
      </c>
      <c r="BM46" s="79">
        <v>1766.9</v>
      </c>
      <c r="BN46" s="79">
        <v>1779</v>
      </c>
      <c r="BO46" s="79">
        <v>1171.1400000000001</v>
      </c>
      <c r="BP46" s="79">
        <v>213.11</v>
      </c>
      <c r="BQ46" s="79">
        <v>38</v>
      </c>
      <c r="BR46" s="79">
        <v>28.67</v>
      </c>
      <c r="CM46" s="79"/>
      <c r="CN46" s="79">
        <f t="shared" si="93"/>
        <v>911.27</v>
      </c>
      <c r="CO46" s="79">
        <f t="shared" si="94"/>
        <v>20.97</v>
      </c>
      <c r="CP46" s="79">
        <f t="shared" si="95"/>
        <v>1779</v>
      </c>
      <c r="CQ46" s="79">
        <f t="shared" ref="CQ46:CQ63" si="97">BR46</f>
        <v>28.67</v>
      </c>
      <c r="DC46" s="62" t="s">
        <v>106</v>
      </c>
      <c r="DF46" s="58">
        <v>4.0899999999999999E-2</v>
      </c>
      <c r="DG46" s="44"/>
      <c r="DH46" s="44"/>
      <c r="DI46" s="44"/>
      <c r="DJ46" s="45" t="s">
        <v>71</v>
      </c>
      <c r="DK46" s="48">
        <f>Main!C4</f>
        <v>4222</v>
      </c>
      <c r="DL46" s="6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</row>
    <row r="47" spans="2:157" ht="14.25" customHeight="1">
      <c r="B47" s="1" t="s">
        <v>163</v>
      </c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9"/>
      <c r="AZ47" s="79"/>
      <c r="BA47" s="79"/>
      <c r="BB47" s="79"/>
      <c r="BC47" s="79"/>
      <c r="BD47" s="79"/>
      <c r="BE47" s="79"/>
      <c r="BF47" s="79">
        <v>3208.02</v>
      </c>
      <c r="BG47" s="79">
        <v>2655.11</v>
      </c>
      <c r="BH47" s="79">
        <v>2929.34</v>
      </c>
      <c r="BI47" s="79">
        <v>2912.02</v>
      </c>
      <c r="BJ47" s="79">
        <v>2780.24</v>
      </c>
      <c r="BK47" s="79">
        <v>2875.57</v>
      </c>
      <c r="BL47" s="79">
        <v>2959.64</v>
      </c>
      <c r="BM47" s="79">
        <v>2905.17</v>
      </c>
      <c r="BN47" s="79">
        <v>3516.64</v>
      </c>
      <c r="BO47" s="79">
        <v>3326.64</v>
      </c>
      <c r="BP47" s="79">
        <v>3602.58</v>
      </c>
      <c r="BQ47" s="79">
        <v>3638.54</v>
      </c>
      <c r="BR47" s="79">
        <v>3957.83</v>
      </c>
      <c r="CM47" s="79"/>
      <c r="CN47" s="79">
        <f t="shared" si="93"/>
        <v>3208.02</v>
      </c>
      <c r="CO47" s="79">
        <f t="shared" si="94"/>
        <v>2780.24</v>
      </c>
      <c r="CP47" s="79">
        <f t="shared" si="95"/>
        <v>3516.64</v>
      </c>
      <c r="CQ47" s="79">
        <f t="shared" si="97"/>
        <v>3957.83</v>
      </c>
      <c r="CV47" s="43"/>
      <c r="CW47" s="44"/>
      <c r="CX47" s="43"/>
      <c r="CY47" s="44"/>
      <c r="CZ47" s="45"/>
      <c r="DA47" s="46"/>
      <c r="DB47" s="44"/>
      <c r="DC47" s="62" t="s">
        <v>108</v>
      </c>
      <c r="DF47" s="51">
        <f>'Notes | Quant Analysis'!S209</f>
        <v>1.0345818830813753</v>
      </c>
      <c r="DJ47" s="45" t="s">
        <v>111</v>
      </c>
      <c r="DK47" s="51">
        <f>DK45/DK46</f>
        <v>97.50018451688868</v>
      </c>
      <c r="DL47" s="43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</row>
    <row r="48" spans="2:157" ht="14.25" customHeight="1">
      <c r="B48" s="1" t="s">
        <v>164</v>
      </c>
      <c r="AY48" s="79"/>
      <c r="AZ48" s="79"/>
      <c r="BA48" s="79"/>
      <c r="BB48" s="79"/>
      <c r="BC48" s="79"/>
      <c r="BD48" s="79"/>
      <c r="BE48" s="79"/>
      <c r="BF48" s="79">
        <v>32736.7</v>
      </c>
      <c r="BG48" s="79">
        <v>32349.18</v>
      </c>
      <c r="BH48" s="79">
        <v>32520.77</v>
      </c>
      <c r="BI48" s="79">
        <v>31749.86</v>
      </c>
      <c r="BJ48" s="79">
        <v>31658.05</v>
      </c>
      <c r="BK48" s="79">
        <v>31662.1</v>
      </c>
      <c r="BL48" s="79">
        <v>31927.355</v>
      </c>
      <c r="BM48" s="79">
        <v>32175.38</v>
      </c>
      <c r="BN48" s="79">
        <v>32452.46</v>
      </c>
      <c r="BO48" s="79">
        <v>32040.83</v>
      </c>
      <c r="BP48" s="79">
        <v>32089.39</v>
      </c>
      <c r="BQ48" s="79">
        <v>32639</v>
      </c>
      <c r="BR48" s="79">
        <v>32778.39</v>
      </c>
      <c r="CM48" s="79"/>
      <c r="CN48" s="79">
        <f t="shared" si="93"/>
        <v>32736.7</v>
      </c>
      <c r="CO48" s="79">
        <f t="shared" si="94"/>
        <v>31658.05</v>
      </c>
      <c r="CP48" s="79">
        <f t="shared" si="95"/>
        <v>32452.46</v>
      </c>
      <c r="CQ48" s="79">
        <f t="shared" si="97"/>
        <v>32778.39</v>
      </c>
      <c r="DC48" s="57" t="s">
        <v>141</v>
      </c>
      <c r="DF48" s="58">
        <v>0.1197</v>
      </c>
      <c r="DH48" s="68"/>
      <c r="DI48" s="60"/>
      <c r="DJ48" s="45" t="s">
        <v>112</v>
      </c>
      <c r="DK48" s="51">
        <f>Main!C3</f>
        <v>91.29</v>
      </c>
      <c r="DL48" s="52"/>
      <c r="DM48" s="34"/>
      <c r="DN48" s="34"/>
      <c r="DO48" s="34"/>
      <c r="DP48" s="34"/>
      <c r="DQ48" s="34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</row>
    <row r="49" spans="2:157" ht="14.25" customHeight="1">
      <c r="B49" s="1" t="s">
        <v>165</v>
      </c>
      <c r="AY49" s="79"/>
      <c r="AZ49" s="79"/>
      <c r="BA49" s="79"/>
      <c r="BB49" s="79"/>
      <c r="BC49" s="79"/>
      <c r="BD49" s="79"/>
      <c r="BE49" s="79"/>
      <c r="BF49" s="79">
        <v>1398.25</v>
      </c>
      <c r="BG49" s="79">
        <v>1413.09</v>
      </c>
      <c r="BH49" s="79">
        <v>1471.96</v>
      </c>
      <c r="BI49" s="79">
        <v>1498.39</v>
      </c>
      <c r="BJ49" s="79">
        <v>1491.44</v>
      </c>
      <c r="BK49" s="79">
        <v>1501.16</v>
      </c>
      <c r="BL49" s="79">
        <v>1510.9580000000001</v>
      </c>
      <c r="BM49" s="79">
        <v>1568.21</v>
      </c>
      <c r="BN49" s="79">
        <v>1593.75</v>
      </c>
      <c r="BO49" s="79">
        <v>1644.34</v>
      </c>
      <c r="BP49" s="79">
        <v>1743.56</v>
      </c>
      <c r="BQ49" s="79">
        <v>1837.88</v>
      </c>
      <c r="BR49" s="79">
        <v>2004.35</v>
      </c>
      <c r="CM49" s="79"/>
      <c r="CN49" s="79">
        <f t="shared" si="93"/>
        <v>1398.25</v>
      </c>
      <c r="CO49" s="79">
        <f t="shared" si="94"/>
        <v>1491.44</v>
      </c>
      <c r="CP49" s="79">
        <f t="shared" si="95"/>
        <v>1593.75</v>
      </c>
      <c r="CQ49" s="79">
        <f t="shared" si="97"/>
        <v>2004.35</v>
      </c>
      <c r="DC49" s="59" t="s">
        <v>142</v>
      </c>
      <c r="DD49" s="44"/>
      <c r="DE49" s="2"/>
      <c r="DF49" s="60">
        <f>(DF46+DF47)*(DF48-DF46)</f>
        <v>8.4747972386812379E-2</v>
      </c>
      <c r="DJ49" s="45" t="s">
        <v>113</v>
      </c>
      <c r="DK49" s="46">
        <f>DK47/DK48-1</f>
        <v>6.8026996570146547E-2</v>
      </c>
      <c r="DL49" s="43" t="str">
        <f>IF(DK49&gt;0,"Upside","Downside")</f>
        <v>Upside</v>
      </c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</row>
    <row r="50" spans="2:157" ht="14.25" customHeight="1">
      <c r="B50" s="1" t="s">
        <v>166</v>
      </c>
      <c r="AY50" s="79"/>
      <c r="AZ50" s="79"/>
      <c r="BA50" s="79"/>
      <c r="BB50" s="79"/>
      <c r="BC50" s="79"/>
      <c r="BD50" s="79"/>
      <c r="BE50" s="79"/>
      <c r="BF50" s="79">
        <v>5193.32</v>
      </c>
      <c r="BG50" s="79">
        <v>5245.4440000000004</v>
      </c>
      <c r="BH50" s="79">
        <v>5318.39</v>
      </c>
      <c r="BI50" s="79">
        <v>5474.06</v>
      </c>
      <c r="BJ50" s="79">
        <v>5664.35</v>
      </c>
      <c r="BK50" s="79">
        <v>5743.14</v>
      </c>
      <c r="BL50" s="79">
        <v>6045.02</v>
      </c>
      <c r="BM50" s="79">
        <v>6409.15</v>
      </c>
      <c r="BN50" s="79">
        <v>6483.77</v>
      </c>
      <c r="BO50" s="79">
        <v>6704.82</v>
      </c>
      <c r="BP50" s="79">
        <v>7273.59</v>
      </c>
      <c r="BQ50" s="79">
        <v>7494.13</v>
      </c>
      <c r="BR50" s="79">
        <v>7794.06</v>
      </c>
      <c r="CM50" s="79"/>
      <c r="CN50" s="79">
        <f t="shared" si="93"/>
        <v>5193.32</v>
      </c>
      <c r="CO50" s="79">
        <f t="shared" si="94"/>
        <v>5664.35</v>
      </c>
      <c r="CP50" s="79">
        <f t="shared" si="95"/>
        <v>6483.77</v>
      </c>
      <c r="CQ50" s="79">
        <f t="shared" si="97"/>
        <v>7794.06</v>
      </c>
      <c r="DC50" s="63"/>
      <c r="DH50" s="34"/>
      <c r="DI50" s="34"/>
      <c r="DJ50" s="89" t="str" cm="1">
        <f t="array" ref="DJ50">_xlfn.IFS(DK49&gt;=25%,"Strong Buy",DK49&gt;=10.00001%,"Buy",AND(DK49&lt;=10%,DK49&gt;=-4.9999%),"Hold",AND(DK49&lt;=-5%,DK49&gt;=-14.999999%),"Sell",DK49&lt;=-15%,"Strong Sell")</f>
        <v>Hold</v>
      </c>
      <c r="DK50" s="89"/>
      <c r="DM50" s="34"/>
      <c r="DN50" s="34"/>
      <c r="DO50" s="34"/>
      <c r="DP50" s="34"/>
      <c r="DQ50" s="34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</row>
    <row r="51" spans="2:157" ht="14.25" customHeight="1">
      <c r="B51" s="2" t="s">
        <v>136</v>
      </c>
      <c r="AY51" s="76"/>
      <c r="AZ51" s="76"/>
      <c r="BA51" s="76"/>
      <c r="BB51" s="76"/>
      <c r="BC51" s="76"/>
      <c r="BD51" s="76"/>
      <c r="BE51" s="76"/>
      <c r="BF51" s="76">
        <f t="shared" ref="BF51" si="98">SUM(BF45:BF50)</f>
        <v>48594.73</v>
      </c>
      <c r="BG51" s="76">
        <f t="shared" ref="BG51:BR51" si="99">SUM(BG45:BG50)</f>
        <v>49490.324000000001</v>
      </c>
      <c r="BH51" s="76">
        <f t="shared" si="99"/>
        <v>50817.439999999995</v>
      </c>
      <c r="BI51" s="76">
        <f t="shared" si="99"/>
        <v>49501.77</v>
      </c>
      <c r="BJ51" s="76">
        <f t="shared" si="99"/>
        <v>48731.96</v>
      </c>
      <c r="BK51" s="76">
        <f t="shared" si="99"/>
        <v>48827.700000000004</v>
      </c>
      <c r="BL51" s="76">
        <f t="shared" si="99"/>
        <v>49098.884999999995</v>
      </c>
      <c r="BM51" s="76">
        <f t="shared" si="99"/>
        <v>52281.83</v>
      </c>
      <c r="BN51" s="76">
        <f t="shared" si="99"/>
        <v>53630.353000000003</v>
      </c>
      <c r="BO51" s="76">
        <f t="shared" si="99"/>
        <v>52087.609999999993</v>
      </c>
      <c r="BP51" s="76">
        <f t="shared" si="99"/>
        <v>53099.62999999999</v>
      </c>
      <c r="BQ51" s="76">
        <f t="shared" si="99"/>
        <v>54934.829999999994</v>
      </c>
      <c r="BR51" s="76">
        <f t="shared" si="99"/>
        <v>55596.979999999996</v>
      </c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76"/>
      <c r="CN51" s="76">
        <f t="shared" si="93"/>
        <v>48594.73</v>
      </c>
      <c r="CO51" s="76">
        <f t="shared" si="94"/>
        <v>48731.96</v>
      </c>
      <c r="CP51" s="76">
        <f t="shared" si="95"/>
        <v>53630.353000000003</v>
      </c>
      <c r="CQ51" s="76">
        <f>BR51</f>
        <v>55596.979999999996</v>
      </c>
      <c r="DC51" s="34" t="s">
        <v>143</v>
      </c>
      <c r="DD51" s="64"/>
      <c r="DF51" s="65"/>
      <c r="DJ51" s="45"/>
      <c r="DK51" s="70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</row>
    <row r="52" spans="2:157" ht="14.25" customHeight="1"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CM52" s="79"/>
      <c r="CN52" s="79"/>
      <c r="CO52" s="79"/>
      <c r="CP52" s="79"/>
      <c r="DC52" s="66" t="s">
        <v>143</v>
      </c>
      <c r="DF52" s="67">
        <v>5.5500000000000001E-2</v>
      </c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</row>
    <row r="53" spans="2:157" ht="14.25" customHeight="1">
      <c r="B53" s="1" t="s">
        <v>171</v>
      </c>
      <c r="AY53" s="79"/>
      <c r="AZ53" s="79"/>
      <c r="BA53" s="79"/>
      <c r="BB53" s="79"/>
      <c r="BC53" s="79"/>
      <c r="BD53" s="79"/>
      <c r="BE53" s="79"/>
      <c r="BF53" s="79">
        <v>4480.1499999999996</v>
      </c>
      <c r="BG53" s="79">
        <v>4344.58</v>
      </c>
      <c r="BH53" s="79">
        <v>4440.3999999999996</v>
      </c>
      <c r="BI53" s="79">
        <v>4259.58</v>
      </c>
      <c r="BJ53" s="79">
        <v>4466.47</v>
      </c>
      <c r="BK53" s="79">
        <v>4436.0200000000004</v>
      </c>
      <c r="BL53" s="79">
        <v>4391.43</v>
      </c>
      <c r="BM53" s="79">
        <v>4489.97</v>
      </c>
      <c r="BN53" s="79">
        <v>4393.68</v>
      </c>
      <c r="BO53" s="79">
        <v>4128.9049999999997</v>
      </c>
      <c r="BP53" s="79">
        <v>4091.77</v>
      </c>
      <c r="BQ53" s="79">
        <v>4102.6400000000003</v>
      </c>
      <c r="BR53" s="79">
        <v>4084.85</v>
      </c>
      <c r="CM53" s="79"/>
      <c r="CN53" s="79">
        <f t="shared" ref="CN53:CN63" si="100">BF53</f>
        <v>4480.1499999999996</v>
      </c>
      <c r="CO53" s="79">
        <f t="shared" ref="CO53:CO63" si="101">BJ53</f>
        <v>4466.47</v>
      </c>
      <c r="CP53" s="79">
        <f t="shared" ref="CP53:CP63" si="102">BN53</f>
        <v>4393.68</v>
      </c>
      <c r="CQ53" s="79">
        <f t="shared" si="97"/>
        <v>4084.85</v>
      </c>
      <c r="DC53" s="57" t="s">
        <v>145</v>
      </c>
      <c r="DF53" s="58">
        <v>0.14000000000000001</v>
      </c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</row>
    <row r="54" spans="2:157" ht="14.25" customHeight="1">
      <c r="B54" s="1" t="s">
        <v>167</v>
      </c>
      <c r="AY54" s="79"/>
      <c r="AZ54" s="79"/>
      <c r="BA54" s="79"/>
      <c r="BB54" s="79"/>
      <c r="BC54" s="79"/>
      <c r="BD54" s="79"/>
      <c r="BE54" s="79"/>
      <c r="BF54" s="79">
        <v>671.51300000000003</v>
      </c>
      <c r="BG54" s="79">
        <v>591.98</v>
      </c>
      <c r="BH54" s="79">
        <v>615.37</v>
      </c>
      <c r="BI54" s="79">
        <v>534.41999999999996</v>
      </c>
      <c r="BJ54" s="79">
        <v>747.41</v>
      </c>
      <c r="BK54" s="79">
        <v>607.34799999999996</v>
      </c>
      <c r="BL54" s="79">
        <v>598.54999999999995</v>
      </c>
      <c r="BM54" s="79">
        <v>641.95000000000005</v>
      </c>
      <c r="BN54" s="79">
        <v>899.9</v>
      </c>
      <c r="BO54" s="79">
        <v>614.48900000000003</v>
      </c>
      <c r="BP54" s="79">
        <v>632.71</v>
      </c>
      <c r="BQ54" s="79">
        <v>793.23</v>
      </c>
      <c r="BR54" s="79">
        <v>900.61</v>
      </c>
      <c r="CM54" s="79"/>
      <c r="CN54" s="79">
        <f t="shared" si="100"/>
        <v>671.51300000000003</v>
      </c>
      <c r="CO54" s="79">
        <f t="shared" si="101"/>
        <v>747.41</v>
      </c>
      <c r="CP54" s="79">
        <f t="shared" si="102"/>
        <v>899.9</v>
      </c>
      <c r="CQ54" s="79">
        <f t="shared" si="97"/>
        <v>900.61</v>
      </c>
      <c r="DC54" s="69" t="s">
        <v>147</v>
      </c>
      <c r="DF54" s="60">
        <f>DF52*(1-DF53)</f>
        <v>4.7730000000000002E-2</v>
      </c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</row>
    <row r="55" spans="2:157" ht="14.25" customHeight="1">
      <c r="B55" s="1" t="s">
        <v>168</v>
      </c>
      <c r="AY55" s="79"/>
      <c r="AZ55" s="79"/>
      <c r="BA55" s="79"/>
      <c r="BB55" s="79"/>
      <c r="BC55" s="79"/>
      <c r="BD55" s="79"/>
      <c r="BE55" s="79"/>
      <c r="BF55" s="79">
        <v>1514.65</v>
      </c>
      <c r="BG55" s="79">
        <v>1718.06</v>
      </c>
      <c r="BH55" s="79">
        <v>1908.71</v>
      </c>
      <c r="BI55" s="79">
        <v>1838.9</v>
      </c>
      <c r="BJ55" s="79">
        <v>1803.96</v>
      </c>
      <c r="BK55" s="79">
        <v>1977.42</v>
      </c>
      <c r="BL55" s="79">
        <v>1876.24</v>
      </c>
      <c r="BM55" s="79">
        <v>2241.75</v>
      </c>
      <c r="BN55" s="79">
        <v>2156.54</v>
      </c>
      <c r="BO55" s="79">
        <v>2359.518</v>
      </c>
      <c r="BP55" s="79">
        <v>2489.4859999999999</v>
      </c>
      <c r="BQ55" s="79">
        <v>3111.31</v>
      </c>
      <c r="BR55" s="79">
        <v>3220.86</v>
      </c>
      <c r="CM55" s="79"/>
      <c r="CN55" s="79">
        <f t="shared" si="100"/>
        <v>1514.65</v>
      </c>
      <c r="CO55" s="79">
        <f t="shared" si="101"/>
        <v>1803.96</v>
      </c>
      <c r="CP55" s="79">
        <f t="shared" si="102"/>
        <v>2156.54</v>
      </c>
      <c r="CQ55" s="79">
        <f t="shared" si="97"/>
        <v>3220.86</v>
      </c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</row>
    <row r="56" spans="2:157" ht="14.25" customHeight="1">
      <c r="B56" s="1" t="s">
        <v>169</v>
      </c>
      <c r="AY56" s="79"/>
      <c r="AZ56" s="79"/>
      <c r="BA56" s="79"/>
      <c r="BB56" s="79"/>
      <c r="BC56" s="79"/>
      <c r="BD56" s="79"/>
      <c r="BE56" s="79"/>
      <c r="BF56" s="79">
        <v>1264.6600000000001</v>
      </c>
      <c r="BG56" s="79">
        <v>1262.27</v>
      </c>
      <c r="BH56" s="79">
        <v>1311.91</v>
      </c>
      <c r="BI56" s="79">
        <v>1306.18</v>
      </c>
      <c r="BJ56" s="79">
        <v>1442.9690000000001</v>
      </c>
      <c r="BK56" s="79">
        <v>1469.4839999999999</v>
      </c>
      <c r="BL56" s="79">
        <v>1473.72</v>
      </c>
      <c r="BM56" s="79">
        <v>1513.04</v>
      </c>
      <c r="BN56" s="79">
        <v>1520.81</v>
      </c>
      <c r="BO56" s="79">
        <v>1609.7260000000001</v>
      </c>
      <c r="BP56" s="79">
        <v>1728.36</v>
      </c>
      <c r="BQ56" s="79">
        <v>1724.67</v>
      </c>
      <c r="BR56" s="79">
        <v>1775.83</v>
      </c>
      <c r="CM56" s="79"/>
      <c r="CN56" s="79">
        <f t="shared" si="100"/>
        <v>1264.6600000000001</v>
      </c>
      <c r="CO56" s="79">
        <f t="shared" si="101"/>
        <v>1442.9690000000001</v>
      </c>
      <c r="CP56" s="79">
        <f t="shared" si="102"/>
        <v>1520.81</v>
      </c>
      <c r="CQ56" s="79">
        <f t="shared" si="97"/>
        <v>1775.83</v>
      </c>
      <c r="DC56" s="34" t="s">
        <v>149</v>
      </c>
      <c r="DF56" s="60">
        <f>(DF42*DF49)+(DF41*DF54*(1-DF53))</f>
        <v>8.3167464215058592E-2</v>
      </c>
    </row>
    <row r="57" spans="2:157" ht="14.25" customHeight="1">
      <c r="B57" s="1" t="s">
        <v>170</v>
      </c>
      <c r="AY57" s="79"/>
      <c r="AZ57" s="79"/>
      <c r="BA57" s="79"/>
      <c r="BB57" s="79"/>
      <c r="BC57" s="79"/>
      <c r="BD57" s="79"/>
      <c r="BE57" s="79"/>
      <c r="BF57" s="79">
        <v>0</v>
      </c>
      <c r="BG57" s="79">
        <v>399.16</v>
      </c>
      <c r="BH57" s="79">
        <v>399.38</v>
      </c>
      <c r="BI57" s="79">
        <v>399.61</v>
      </c>
      <c r="BJ57" s="79">
        <v>399.8</v>
      </c>
      <c r="BK57" s="79">
        <v>798.93</v>
      </c>
      <c r="BL57" s="79">
        <v>1800.04</v>
      </c>
      <c r="BM57" s="79">
        <v>1820.39</v>
      </c>
      <c r="BN57" s="79">
        <v>1784.45</v>
      </c>
      <c r="BO57" s="79">
        <v>1005.88</v>
      </c>
      <c r="BP57" s="79">
        <v>0</v>
      </c>
      <c r="BQ57" s="79">
        <v>0</v>
      </c>
      <c r="BR57" s="79">
        <v>998.86</v>
      </c>
      <c r="CM57" s="79"/>
      <c r="CN57" s="79">
        <f t="shared" si="100"/>
        <v>0</v>
      </c>
      <c r="CO57" s="79">
        <f t="shared" si="101"/>
        <v>399.8</v>
      </c>
      <c r="CP57" s="79">
        <f t="shared" si="102"/>
        <v>1784.45</v>
      </c>
      <c r="CQ57" s="79">
        <f t="shared" si="97"/>
        <v>998.86</v>
      </c>
      <c r="CR57" s="63">
        <f>(CQ57+CQ59)+CR29</f>
        <v>13660.142935</v>
      </c>
      <c r="CS57" s="63">
        <f>CR57+CS29</f>
        <v>12902.0050021075</v>
      </c>
      <c r="CT57" s="63">
        <f t="shared" ref="CT57:DA57" si="103">CS57+CT29</f>
        <v>12185.943724490535</v>
      </c>
      <c r="CU57" s="63">
        <f t="shared" si="103"/>
        <v>11509.623847781309</v>
      </c>
      <c r="CV57" s="63">
        <f t="shared" si="103"/>
        <v>10870.839724229447</v>
      </c>
      <c r="CW57" s="63">
        <f t="shared" si="103"/>
        <v>10267.508119534712</v>
      </c>
      <c r="CX57" s="63">
        <f t="shared" si="103"/>
        <v>9697.6614189005359</v>
      </c>
      <c r="CY57" s="63">
        <f t="shared" si="103"/>
        <v>9159.4412101515554</v>
      </c>
      <c r="CZ57" s="63">
        <f t="shared" si="103"/>
        <v>8651.0922229881435</v>
      </c>
      <c r="DA57" s="63">
        <f t="shared" si="103"/>
        <v>8170.9566046123018</v>
      </c>
    </row>
    <row r="58" spans="2:157" ht="13.5" customHeight="1">
      <c r="B58" s="1" t="s">
        <v>172</v>
      </c>
      <c r="AY58" s="79"/>
      <c r="AZ58" s="79"/>
      <c r="BA58" s="79"/>
      <c r="BB58" s="79"/>
      <c r="BC58" s="79"/>
      <c r="BD58" s="79"/>
      <c r="BE58" s="79"/>
      <c r="BF58" s="79">
        <v>3081.27</v>
      </c>
      <c r="BG58" s="79">
        <v>2908.02</v>
      </c>
      <c r="BH58" s="79">
        <v>2849.38</v>
      </c>
      <c r="BI58" s="79">
        <v>2668.4720000000002</v>
      </c>
      <c r="BJ58" s="79">
        <v>2578.17</v>
      </c>
      <c r="BK58" s="79">
        <v>2370.69</v>
      </c>
      <c r="BL58" s="79">
        <v>2028.78</v>
      </c>
      <c r="BM58" s="79">
        <v>1918.08</v>
      </c>
      <c r="BN58" s="79">
        <v>1780.8</v>
      </c>
      <c r="BO58" s="79">
        <v>1696.66</v>
      </c>
      <c r="BP58" s="79">
        <v>1606.404</v>
      </c>
      <c r="BQ58" s="79">
        <v>1591.97</v>
      </c>
      <c r="BR58" s="79">
        <v>1579.47</v>
      </c>
      <c r="CM58" s="79"/>
      <c r="CN58" s="79">
        <f t="shared" si="100"/>
        <v>3081.27</v>
      </c>
      <c r="CO58" s="79">
        <f t="shared" si="101"/>
        <v>2578.17</v>
      </c>
      <c r="CP58" s="79">
        <f t="shared" si="102"/>
        <v>1780.8</v>
      </c>
      <c r="CQ58" s="79">
        <f t="shared" si="97"/>
        <v>1579.47</v>
      </c>
    </row>
    <row r="59" spans="2:157" ht="13.5" customHeight="1">
      <c r="B59" s="1" t="s">
        <v>173</v>
      </c>
      <c r="AY59" s="79"/>
      <c r="AZ59" s="79"/>
      <c r="BA59" s="79"/>
      <c r="BB59" s="79"/>
      <c r="BC59" s="79"/>
      <c r="BD59" s="79"/>
      <c r="BE59" s="79"/>
      <c r="BF59" s="79">
        <v>14353.07</v>
      </c>
      <c r="BG59" s="79">
        <v>14037.96</v>
      </c>
      <c r="BH59" s="79">
        <v>14070.15</v>
      </c>
      <c r="BI59" s="79">
        <v>13900.75</v>
      </c>
      <c r="BJ59" s="79">
        <v>14143.41</v>
      </c>
      <c r="BK59" s="79">
        <v>13217.03</v>
      </c>
      <c r="BL59" s="79">
        <v>12180.02</v>
      </c>
      <c r="BM59" s="79">
        <v>14160.93</v>
      </c>
      <c r="BN59" s="79">
        <v>13798.35</v>
      </c>
      <c r="BO59" s="79">
        <v>14011.03</v>
      </c>
      <c r="BP59" s="79">
        <v>14453.206</v>
      </c>
      <c r="BQ59" s="79">
        <v>14463.02</v>
      </c>
      <c r="BR59" s="79">
        <v>13463.97</v>
      </c>
      <c r="CM59" s="79"/>
      <c r="CN59" s="79">
        <f t="shared" si="100"/>
        <v>14353.07</v>
      </c>
      <c r="CO59" s="79">
        <f t="shared" si="101"/>
        <v>14143.41</v>
      </c>
      <c r="CP59" s="79">
        <f t="shared" si="102"/>
        <v>13798.35</v>
      </c>
      <c r="CQ59" s="79">
        <f t="shared" si="97"/>
        <v>13463.97</v>
      </c>
    </row>
    <row r="60" spans="2:157" ht="13.5" customHeight="1">
      <c r="B60" s="1" t="s">
        <v>174</v>
      </c>
      <c r="AY60" s="79"/>
      <c r="AZ60" s="79"/>
      <c r="BA60" s="79"/>
      <c r="BB60" s="79"/>
      <c r="BC60" s="79"/>
      <c r="BD60" s="79"/>
      <c r="BE60" s="79"/>
      <c r="BF60" s="79">
        <v>2452.04</v>
      </c>
      <c r="BG60" s="79">
        <v>2400.08</v>
      </c>
      <c r="BH60" s="79">
        <v>2389.9</v>
      </c>
      <c r="BI60" s="79">
        <v>2486.1999999999998</v>
      </c>
      <c r="BJ60" s="79">
        <v>2561.4340000000002</v>
      </c>
      <c r="BK60" s="79">
        <v>2585.36</v>
      </c>
      <c r="BL60" s="79">
        <v>2637.39</v>
      </c>
      <c r="BM60" s="79">
        <v>2774.96</v>
      </c>
      <c r="BN60" s="79">
        <v>2552.25</v>
      </c>
      <c r="BO60" s="79">
        <v>2633.35</v>
      </c>
      <c r="BP60" s="79">
        <v>3145.82</v>
      </c>
      <c r="BQ60" s="79">
        <v>3193.94</v>
      </c>
      <c r="BR60" s="79">
        <v>2957.1280000000002</v>
      </c>
      <c r="CM60" s="79"/>
      <c r="CN60" s="79">
        <f t="shared" si="100"/>
        <v>2452.04</v>
      </c>
      <c r="CO60" s="79">
        <f t="shared" si="101"/>
        <v>2561.4340000000002</v>
      </c>
      <c r="CP60" s="79">
        <f t="shared" si="102"/>
        <v>2552.25</v>
      </c>
      <c r="CQ60" s="79">
        <f t="shared" si="97"/>
        <v>2957.1280000000002</v>
      </c>
    </row>
    <row r="61" spans="2:157" s="2" customFormat="1" ht="15">
      <c r="B61" s="2" t="s">
        <v>144</v>
      </c>
      <c r="AY61" s="76"/>
      <c r="AZ61" s="76"/>
      <c r="BA61" s="76"/>
      <c r="BB61" s="76"/>
      <c r="BC61" s="76"/>
      <c r="BD61" s="76"/>
      <c r="BE61" s="76"/>
      <c r="BF61" s="76">
        <f t="shared" ref="BF61" si="104">SUM(BF53:BF60)</f>
        <v>27817.353000000003</v>
      </c>
      <c r="BG61" s="76">
        <f t="shared" ref="BG61:BQ61" si="105">SUM(BG53:BG60)</f>
        <v>27662.11</v>
      </c>
      <c r="BH61" s="76">
        <f t="shared" si="105"/>
        <v>27985.199999999997</v>
      </c>
      <c r="BI61" s="76">
        <f t="shared" si="105"/>
        <v>27394.112000000001</v>
      </c>
      <c r="BJ61" s="76">
        <f t="shared" si="105"/>
        <v>28143.623</v>
      </c>
      <c r="BK61" s="76">
        <f t="shared" si="105"/>
        <v>27462.282000000003</v>
      </c>
      <c r="BL61" s="76">
        <f t="shared" si="105"/>
        <v>26986.17</v>
      </c>
      <c r="BM61" s="76">
        <f t="shared" si="105"/>
        <v>29561.07</v>
      </c>
      <c r="BN61" s="76">
        <f t="shared" si="105"/>
        <v>28886.78</v>
      </c>
      <c r="BO61" s="76">
        <f t="shared" si="105"/>
        <v>28059.557999999997</v>
      </c>
      <c r="BP61" s="76">
        <f t="shared" si="105"/>
        <v>28147.756000000001</v>
      </c>
      <c r="BQ61" s="76">
        <f t="shared" si="105"/>
        <v>28980.78</v>
      </c>
      <c r="BR61" s="76">
        <f>SUM(BR53:BR60)</f>
        <v>28981.577999999998</v>
      </c>
      <c r="BS61" s="34"/>
      <c r="BT61" s="34"/>
      <c r="BU61" s="34"/>
      <c r="BV61" s="34"/>
      <c r="CM61" s="76"/>
      <c r="CN61" s="76">
        <f t="shared" si="100"/>
        <v>27817.353000000003</v>
      </c>
      <c r="CO61" s="76">
        <f t="shared" si="101"/>
        <v>28143.623</v>
      </c>
      <c r="CP61" s="76">
        <f t="shared" si="102"/>
        <v>28886.78</v>
      </c>
      <c r="CQ61" s="76">
        <f t="shared" si="97"/>
        <v>28981.577999999998</v>
      </c>
      <c r="CR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</row>
    <row r="62" spans="2:157" ht="15" customHeight="1">
      <c r="B62" s="1" t="s">
        <v>146</v>
      </c>
      <c r="AY62" s="79"/>
      <c r="AZ62" s="79"/>
      <c r="BA62" s="79"/>
      <c r="BB62" s="79"/>
      <c r="BC62" s="79"/>
      <c r="BD62" s="79"/>
      <c r="BE62" s="79"/>
      <c r="BF62" s="79">
        <v>20777.400000000001</v>
      </c>
      <c r="BG62" s="79">
        <v>21828.19</v>
      </c>
      <c r="BH62" s="79">
        <v>22832.215</v>
      </c>
      <c r="BI62" s="79">
        <v>22107.62</v>
      </c>
      <c r="BJ62" s="79">
        <v>20588.3</v>
      </c>
      <c r="BK62" s="79">
        <v>21365</v>
      </c>
      <c r="BL62" s="79">
        <v>22112.69</v>
      </c>
      <c r="BM62" s="79">
        <v>22720.73</v>
      </c>
      <c r="BN62" s="79">
        <v>24743.566999999999</v>
      </c>
      <c r="BO62" s="79">
        <v>24028.07</v>
      </c>
      <c r="BP62" s="79">
        <v>24951.899000000001</v>
      </c>
      <c r="BQ62" s="79">
        <v>25954.03</v>
      </c>
      <c r="BR62" s="79">
        <v>26615.488000000001</v>
      </c>
      <c r="CM62" s="79"/>
      <c r="CN62" s="79">
        <f t="shared" si="100"/>
        <v>20777.400000000001</v>
      </c>
      <c r="CO62" s="79">
        <f t="shared" si="101"/>
        <v>20588.3</v>
      </c>
      <c r="CP62" s="79">
        <f t="shared" si="102"/>
        <v>24743.566999999999</v>
      </c>
      <c r="CQ62" s="79">
        <f t="shared" si="97"/>
        <v>26615.488000000001</v>
      </c>
    </row>
    <row r="63" spans="2:157" s="2" customFormat="1" ht="15">
      <c r="B63" s="2" t="s">
        <v>148</v>
      </c>
      <c r="AY63" s="76"/>
      <c r="AZ63" s="76"/>
      <c r="BA63" s="76"/>
      <c r="BB63" s="76"/>
      <c r="BC63" s="76"/>
      <c r="BD63" s="76"/>
      <c r="BE63" s="76"/>
      <c r="BF63" s="76">
        <f t="shared" ref="BF63" si="106">BF61+BF62</f>
        <v>48594.753000000004</v>
      </c>
      <c r="BG63" s="76">
        <f t="shared" ref="BG63:BQ63" si="107">BG61+BG62</f>
        <v>49490.3</v>
      </c>
      <c r="BH63" s="76">
        <f t="shared" si="107"/>
        <v>50817.414999999994</v>
      </c>
      <c r="BI63" s="76">
        <f t="shared" si="107"/>
        <v>49501.732000000004</v>
      </c>
      <c r="BJ63" s="76">
        <f t="shared" si="107"/>
        <v>48731.922999999995</v>
      </c>
      <c r="BK63" s="76">
        <f t="shared" si="107"/>
        <v>48827.282000000007</v>
      </c>
      <c r="BL63" s="76">
        <f t="shared" si="107"/>
        <v>49098.86</v>
      </c>
      <c r="BM63" s="76">
        <f t="shared" si="107"/>
        <v>52281.8</v>
      </c>
      <c r="BN63" s="76">
        <f t="shared" si="107"/>
        <v>53630.346999999994</v>
      </c>
      <c r="BO63" s="76">
        <f t="shared" si="107"/>
        <v>52087.627999999997</v>
      </c>
      <c r="BP63" s="76">
        <f t="shared" si="107"/>
        <v>53099.654999999999</v>
      </c>
      <c r="BQ63" s="76">
        <f t="shared" si="107"/>
        <v>54934.81</v>
      </c>
      <c r="BR63" s="76">
        <f>BR61+BR62</f>
        <v>55597.065999999999</v>
      </c>
      <c r="BS63" s="34"/>
      <c r="BT63" s="34"/>
      <c r="BU63" s="34"/>
      <c r="BV63" s="34"/>
      <c r="CM63" s="76"/>
      <c r="CN63" s="76">
        <f t="shared" si="100"/>
        <v>48594.753000000004</v>
      </c>
      <c r="CO63" s="76">
        <f t="shared" si="101"/>
        <v>48731.922999999995</v>
      </c>
      <c r="CP63" s="76">
        <f t="shared" si="102"/>
        <v>53630.346999999994</v>
      </c>
      <c r="CQ63" s="76">
        <f t="shared" si="97"/>
        <v>55597.065999999999</v>
      </c>
      <c r="CR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</row>
    <row r="65" spans="2:157">
      <c r="B65" s="1" t="s">
        <v>63</v>
      </c>
      <c r="AY65" s="71"/>
      <c r="AZ65" s="71"/>
      <c r="BA65" s="71"/>
      <c r="BB65" s="71"/>
      <c r="BC65" s="71"/>
      <c r="BD65" s="71"/>
      <c r="BE65" s="71"/>
      <c r="BF65" s="71">
        <f t="shared" ref="BF65:BQ65" si="108">SUM(BF45:BF47)/SUM(BF53:BF57)</f>
        <v>1.1683887966835849</v>
      </c>
      <c r="BG65" s="71">
        <f t="shared" si="108"/>
        <v>1.2605275341057354</v>
      </c>
      <c r="BH65" s="71">
        <f t="shared" si="108"/>
        <v>1.3262592254059296</v>
      </c>
      <c r="BI65" s="71">
        <f t="shared" si="108"/>
        <v>1.2927042497082872</v>
      </c>
      <c r="BJ65" s="71">
        <f t="shared" si="108"/>
        <v>1.1193496970693548</v>
      </c>
      <c r="BK65" s="71">
        <f t="shared" si="108"/>
        <v>1.0680465340295109</v>
      </c>
      <c r="BL65" s="71">
        <f t="shared" si="108"/>
        <v>0.94828116031787046</v>
      </c>
      <c r="BM65" s="71">
        <f t="shared" si="108"/>
        <v>1.1328081366569849</v>
      </c>
      <c r="BN65" s="71">
        <f t="shared" si="108"/>
        <v>1.2180297674280218</v>
      </c>
      <c r="BO65" s="71">
        <f t="shared" si="108"/>
        <v>1.203642366047992</v>
      </c>
      <c r="BP65" s="71">
        <f t="shared" si="108"/>
        <v>1.3411600069154268</v>
      </c>
      <c r="BQ65" s="71">
        <f t="shared" si="108"/>
        <v>1.3321023238130467</v>
      </c>
      <c r="BR65" s="71">
        <f>SUM(BR45:BR47)/SUM(BR53:BR57)</f>
        <v>1.185699676077155</v>
      </c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>
        <f t="shared" ref="CN65:CQ65" si="109">SUM(CN45:CN47)/SUM(CN53:CN57)</f>
        <v>1.1683887966835849</v>
      </c>
      <c r="CO65" s="71">
        <f t="shared" si="109"/>
        <v>1.1193496970693548</v>
      </c>
      <c r="CP65" s="71">
        <f t="shared" si="109"/>
        <v>1.2180297674280218</v>
      </c>
      <c r="CQ65" s="71">
        <f t="shared" si="109"/>
        <v>1.185699676077155</v>
      </c>
    </row>
    <row r="66" spans="2:157">
      <c r="B66" s="1" t="s">
        <v>64</v>
      </c>
      <c r="AY66" s="71"/>
      <c r="AZ66" s="71"/>
      <c r="BA66" s="71"/>
      <c r="BB66" s="71"/>
      <c r="BC66" s="71"/>
      <c r="BD66" s="71"/>
      <c r="BE66" s="71"/>
      <c r="BF66" s="71">
        <f t="shared" ref="BF66:BQ66" si="110">SUM(BF45:BF46)/SUM(BF53:BF57)</f>
        <v>0.76389618272562532</v>
      </c>
      <c r="BG66" s="71">
        <f t="shared" si="110"/>
        <v>0.94125215697356324</v>
      </c>
      <c r="BH66" s="71">
        <f t="shared" si="110"/>
        <v>0.988613114455547</v>
      </c>
      <c r="BI66" s="71">
        <f t="shared" si="110"/>
        <v>0.94348632698901136</v>
      </c>
      <c r="BJ66" s="71">
        <f t="shared" si="110"/>
        <v>0.80557442496334053</v>
      </c>
      <c r="BK66" s="71">
        <f t="shared" si="110"/>
        <v>0.75848603572190587</v>
      </c>
      <c r="BL66" s="71">
        <f t="shared" si="110"/>
        <v>0.65640287258949237</v>
      </c>
      <c r="BM66" s="71">
        <f t="shared" si="110"/>
        <v>0.86147696388377815</v>
      </c>
      <c r="BN66" s="71">
        <f t="shared" si="110"/>
        <v>0.89106410001320258</v>
      </c>
      <c r="BO66" s="71">
        <f t="shared" si="110"/>
        <v>0.86134326241922887</v>
      </c>
      <c r="BP66" s="71">
        <f t="shared" si="110"/>
        <v>0.93829167042221462</v>
      </c>
      <c r="BQ66" s="71">
        <f t="shared" si="110"/>
        <v>0.95822274284950959</v>
      </c>
      <c r="BR66" s="71">
        <f>SUM(BR45:BR46)/SUM(BR53:BR57)</f>
        <v>0.82527472427399662</v>
      </c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>
        <f t="shared" ref="CN66:CQ66" si="111">SUM(CN45:CN46)/SUM(CN53:CN57)</f>
        <v>0.76389618272562532</v>
      </c>
      <c r="CO66" s="71">
        <f t="shared" si="111"/>
        <v>0.80557442496334053</v>
      </c>
      <c r="CP66" s="71">
        <f t="shared" si="111"/>
        <v>0.89106410001320258</v>
      </c>
      <c r="CQ66" s="71">
        <f t="shared" si="111"/>
        <v>0.82527472427399662</v>
      </c>
    </row>
    <row r="67" spans="2:157">
      <c r="B67" s="1" t="s">
        <v>150</v>
      </c>
      <c r="AY67" s="71"/>
      <c r="AZ67" s="71"/>
      <c r="BA67" s="71"/>
      <c r="BB67" s="71"/>
      <c r="BC67" s="71"/>
      <c r="BD67" s="71"/>
      <c r="BE67" s="71"/>
      <c r="BF67" s="71">
        <f t="shared" ref="BF67:BQ67" si="112">BF21/BF51</f>
        <v>0.16158336510975574</v>
      </c>
      <c r="BG67" s="71">
        <f t="shared" si="112"/>
        <v>0.1649110238195248</v>
      </c>
      <c r="BH67" s="71">
        <f t="shared" si="112"/>
        <v>0.16111201193920829</v>
      </c>
      <c r="BI67" s="71">
        <f t="shared" si="112"/>
        <v>0.1725534258673983</v>
      </c>
      <c r="BJ67" s="71">
        <f t="shared" si="112"/>
        <v>0.18125271382476715</v>
      </c>
      <c r="BK67" s="71">
        <f t="shared" si="112"/>
        <v>0.19190746236255238</v>
      </c>
      <c r="BL67" s="71">
        <f t="shared" si="112"/>
        <v>0.19469484897671302</v>
      </c>
      <c r="BM67" s="71">
        <f t="shared" si="112"/>
        <v>0.18791805872135692</v>
      </c>
      <c r="BN67" s="71">
        <f t="shared" si="112"/>
        <v>0.19105785113888771</v>
      </c>
      <c r="BO67" s="71">
        <f t="shared" si="112"/>
        <v>0.20240514010913538</v>
      </c>
      <c r="BP67" s="71">
        <f t="shared" si="112"/>
        <v>0.20864928814004924</v>
      </c>
      <c r="BQ67" s="71">
        <f t="shared" si="112"/>
        <v>0.20952645161548694</v>
      </c>
      <c r="BR67" s="71">
        <f>BR21/BR51</f>
        <v>0.2167527804567802</v>
      </c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>
        <f t="shared" ref="CN67:CQ67" si="113">CN21/CN51</f>
        <v>0.65059729727894355</v>
      </c>
      <c r="CO67" s="71">
        <f t="shared" si="113"/>
        <v>0.69201608143813631</v>
      </c>
      <c r="CP67" s="71">
        <f t="shared" si="113"/>
        <v>0.72721691762871654</v>
      </c>
      <c r="CQ67" s="71">
        <f t="shared" si="113"/>
        <v>0.81268982595817274</v>
      </c>
    </row>
    <row r="68" spans="2:157">
      <c r="B68" s="1" t="s">
        <v>65</v>
      </c>
      <c r="AY68" s="72"/>
      <c r="AZ68" s="72"/>
      <c r="BA68" s="72"/>
      <c r="BB68" s="72"/>
      <c r="BC68" s="72"/>
      <c r="BD68" s="72"/>
      <c r="BE68" s="72"/>
      <c r="BF68" s="72">
        <f t="shared" ref="BF68:BQ68" si="114">BF33/BF51</f>
        <v>1.135925644612091E-3</v>
      </c>
      <c r="BG68" s="72">
        <f t="shared" si="114"/>
        <v>2.6370811393354378E-2</v>
      </c>
      <c r="BH68" s="72">
        <f t="shared" si="114"/>
        <v>2.9273414796180213E-2</v>
      </c>
      <c r="BI68" s="72">
        <f t="shared" si="114"/>
        <v>3.3887677147706054E-2</v>
      </c>
      <c r="BJ68" s="72">
        <f t="shared" si="114"/>
        <v>1.9244044360210408E-2</v>
      </c>
      <c r="BK68" s="72">
        <f t="shared" si="114"/>
        <v>4.7761823718913625E-2</v>
      </c>
      <c r="BL68" s="72">
        <f t="shared" si="114"/>
        <v>4.3734190705145323E-2</v>
      </c>
      <c r="BM68" s="72">
        <f t="shared" si="114"/>
        <v>4.5208823027044029E-2</v>
      </c>
      <c r="BN68" s="72">
        <f t="shared" si="114"/>
        <v>3.4840344981507024E-2</v>
      </c>
      <c r="BO68" s="72">
        <f t="shared" si="114"/>
        <v>5.5489203670508191E-2</v>
      </c>
      <c r="BP68" s="72">
        <f t="shared" si="114"/>
        <v>5.8859167191937137E-2</v>
      </c>
      <c r="BQ68" s="72">
        <f t="shared" si="114"/>
        <v>4.6364028067439167E-2</v>
      </c>
      <c r="BR68" s="72">
        <f>BR33/BR51</f>
        <v>4.3502362898128623E-2</v>
      </c>
      <c r="CA68" s="72"/>
      <c r="CB68" s="72"/>
      <c r="CC68" s="72"/>
      <c r="CD68" s="72"/>
      <c r="CE68" s="72"/>
      <c r="CF68" s="72"/>
      <c r="CG68" s="72"/>
      <c r="CH68" s="72"/>
      <c r="CI68" s="72"/>
      <c r="CJ68" s="72"/>
      <c r="CK68" s="72"/>
      <c r="CL68" s="72"/>
      <c r="CM68" s="72"/>
      <c r="CN68" s="72">
        <f t="shared" ref="CN68:CQ68" si="115">CN33/CN51</f>
        <v>9.2435949330308062E-2</v>
      </c>
      <c r="CO68" s="72">
        <f t="shared" si="115"/>
        <v>0.11097439955216248</v>
      </c>
      <c r="CP68" s="72">
        <f t="shared" si="115"/>
        <v>0.16243599962879229</v>
      </c>
      <c r="CQ68" s="72">
        <f t="shared" si="115"/>
        <v>0.19751612407724298</v>
      </c>
    </row>
    <row r="69" spans="2:157">
      <c r="B69" s="1" t="s">
        <v>66</v>
      </c>
      <c r="AY69" s="72"/>
      <c r="AZ69" s="72"/>
      <c r="BA69" s="72"/>
      <c r="BB69" s="72"/>
      <c r="BC69" s="72"/>
      <c r="BD69" s="72"/>
      <c r="BE69" s="72"/>
      <c r="BF69" s="72">
        <f t="shared" ref="BF69:BQ69" si="116">BF33/BF62</f>
        <v>2.6567327962112928E-3</v>
      </c>
      <c r="BG69" s="72">
        <f t="shared" si="116"/>
        <v>5.9789657319273826E-2</v>
      </c>
      <c r="BH69" s="72">
        <f t="shared" si="116"/>
        <v>6.5153556061030446E-2</v>
      </c>
      <c r="BI69" s="72">
        <f t="shared" si="116"/>
        <v>7.5878814634953967E-2</v>
      </c>
      <c r="BJ69" s="72">
        <f t="shared" si="116"/>
        <v>4.5550142556694789E-2</v>
      </c>
      <c r="BK69" s="72">
        <f t="shared" si="116"/>
        <v>0.10915516030891641</v>
      </c>
      <c r="BL69" s="72">
        <f t="shared" si="116"/>
        <v>9.7107136219066928E-2</v>
      </c>
      <c r="BM69" s="72">
        <f t="shared" si="116"/>
        <v>0.10402834768073038</v>
      </c>
      <c r="BN69" s="72">
        <f t="shared" si="116"/>
        <v>7.5514577182828987E-2</v>
      </c>
      <c r="BO69" s="72">
        <f t="shared" si="116"/>
        <v>0.12028847926612495</v>
      </c>
      <c r="BP69" s="72">
        <f t="shared" si="116"/>
        <v>0.12525699947727428</v>
      </c>
      <c r="BQ69" s="72">
        <f t="shared" si="116"/>
        <v>9.8135048776625405E-2</v>
      </c>
      <c r="BR69" s="72">
        <f>BR33/BR62</f>
        <v>9.0871901353076781E-2</v>
      </c>
      <c r="CA69" s="72"/>
      <c r="CB69" s="72"/>
      <c r="CC69" s="72"/>
      <c r="CD69" s="72"/>
      <c r="CE69" s="72"/>
      <c r="CF69" s="72"/>
      <c r="CG69" s="72"/>
      <c r="CH69" s="72"/>
      <c r="CI69" s="72"/>
      <c r="CJ69" s="72"/>
      <c r="CK69" s="72"/>
      <c r="CL69" s="72"/>
      <c r="CM69" s="72"/>
      <c r="CN69" s="72">
        <f t="shared" ref="CN69:CQ69" si="117">CN33/CN62</f>
        <v>0.216191631291692</v>
      </c>
      <c r="CO69" s="72">
        <f t="shared" si="117"/>
        <v>0.26267346016912518</v>
      </c>
      <c r="CP69" s="72">
        <f t="shared" si="117"/>
        <v>0.35207130806968939</v>
      </c>
      <c r="CQ69" s="72">
        <f t="shared" si="117"/>
        <v>0.41259059386775082</v>
      </c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</row>
    <row r="71" spans="2:157">
      <c r="B71" s="1" t="s">
        <v>67</v>
      </c>
      <c r="C71" s="79">
        <f t="shared" ref="C71:AH71" si="118">C33</f>
        <v>22.300000000000004</v>
      </c>
      <c r="D71" s="79">
        <f t="shared" si="118"/>
        <v>32.500000000000014</v>
      </c>
      <c r="E71" s="79">
        <f t="shared" si="118"/>
        <v>30.100000000000012</v>
      </c>
      <c r="F71" s="79">
        <f t="shared" si="118"/>
        <v>75.899999999999949</v>
      </c>
      <c r="G71" s="79">
        <f t="shared" si="118"/>
        <v>32.20000000000001</v>
      </c>
      <c r="H71" s="79">
        <f t="shared" si="118"/>
        <v>43.499999999999979</v>
      </c>
      <c r="I71" s="79">
        <f t="shared" si="118"/>
        <v>38.000000000000064</v>
      </c>
      <c r="J71" s="79">
        <f t="shared" si="118"/>
        <v>112.40000000000015</v>
      </c>
      <c r="K71" s="79">
        <f t="shared" si="118"/>
        <v>60.200000000000045</v>
      </c>
      <c r="L71" s="79">
        <f t="shared" si="118"/>
        <v>68.200000000000017</v>
      </c>
      <c r="M71" s="79">
        <f t="shared" si="118"/>
        <v>62.39999999999992</v>
      </c>
      <c r="N71" s="79">
        <f t="shared" si="118"/>
        <v>35.299999999999976</v>
      </c>
      <c r="O71" s="79">
        <f t="shared" si="118"/>
        <v>-4.6000000000000334</v>
      </c>
      <c r="P71" s="79">
        <f t="shared" si="118"/>
        <v>6.2000000000000739</v>
      </c>
      <c r="Q71" s="79">
        <f t="shared" si="118"/>
        <v>7.6999999999999895</v>
      </c>
      <c r="R71" s="79">
        <f t="shared" si="118"/>
        <v>7.9000000000000234</v>
      </c>
      <c r="S71" s="79">
        <f t="shared" si="118"/>
        <v>2.7000000000000126</v>
      </c>
      <c r="T71" s="79">
        <f t="shared" si="118"/>
        <v>29.400000000000052</v>
      </c>
      <c r="U71" s="79">
        <f t="shared" si="118"/>
        <v>31.800000000000022</v>
      </c>
      <c r="V71" s="79">
        <f t="shared" si="118"/>
        <v>48.29999999999999</v>
      </c>
      <c r="W71" s="79">
        <f t="shared" si="118"/>
        <v>53.099999999999852</v>
      </c>
      <c r="X71" s="79">
        <f t="shared" si="118"/>
        <v>71.000000000000142</v>
      </c>
      <c r="Y71" s="79">
        <f t="shared" si="118"/>
        <v>59.300000000000082</v>
      </c>
      <c r="Z71" s="79">
        <f t="shared" si="118"/>
        <v>83.400000000000119</v>
      </c>
      <c r="AA71" s="79">
        <f t="shared" si="118"/>
        <v>23.699999999999751</v>
      </c>
      <c r="AB71" s="79">
        <f t="shared" si="118"/>
        <v>26.300000000000072</v>
      </c>
      <c r="AC71" s="79">
        <f t="shared" si="118"/>
        <v>29.40000000000008</v>
      </c>
      <c r="AD71" s="79">
        <f t="shared" si="118"/>
        <v>42.999999999999837</v>
      </c>
      <c r="AE71" s="79">
        <f t="shared" si="118"/>
        <v>27.7</v>
      </c>
      <c r="AF71" s="79">
        <f t="shared" si="118"/>
        <v>40.799999999999862</v>
      </c>
      <c r="AG71" s="79">
        <f t="shared" si="118"/>
        <v>51.599999999999902</v>
      </c>
      <c r="AH71" s="79">
        <f t="shared" si="118"/>
        <v>66.700000000000031</v>
      </c>
      <c r="AI71" s="79">
        <f t="shared" ref="AI71:BR71" si="119">AI33</f>
        <v>178.09999999999988</v>
      </c>
      <c r="AJ71" s="79">
        <f t="shared" si="119"/>
        <v>65.700000000000102</v>
      </c>
      <c r="AK71" s="79">
        <f t="shared" si="119"/>
        <v>129.60000000000014</v>
      </c>
      <c r="AL71" s="79">
        <f t="shared" si="119"/>
        <v>185.5000000000004</v>
      </c>
      <c r="AM71" s="79">
        <f t="shared" si="119"/>
        <v>290.10000000000014</v>
      </c>
      <c r="AN71" s="79">
        <f t="shared" si="119"/>
        <v>384.40000000000015</v>
      </c>
      <c r="AO71" s="79">
        <f t="shared" si="119"/>
        <v>402.80000000000018</v>
      </c>
      <c r="AP71" s="79">
        <f t="shared" si="119"/>
        <v>133.80000000000004</v>
      </c>
      <c r="AQ71" s="79">
        <f t="shared" si="119"/>
        <v>344.10000000000014</v>
      </c>
      <c r="AR71" s="79">
        <f t="shared" si="119"/>
        <v>270.60000000000053</v>
      </c>
      <c r="AS71" s="79">
        <f t="shared" si="119"/>
        <v>665.2999999999995</v>
      </c>
      <c r="AT71" s="79">
        <f t="shared" si="119"/>
        <v>586.89999999999964</v>
      </c>
      <c r="AU71" s="79">
        <f t="shared" si="119"/>
        <v>709.1</v>
      </c>
      <c r="AV71" s="79">
        <f t="shared" si="119"/>
        <v>720.20000000000039</v>
      </c>
      <c r="AW71" s="79">
        <f t="shared" si="119"/>
        <v>789.9000000000002</v>
      </c>
      <c r="AX71" s="79">
        <f t="shared" si="119"/>
        <v>542.0999999999998</v>
      </c>
      <c r="AY71" s="79">
        <f t="shared" si="119"/>
        <v>1706.7</v>
      </c>
      <c r="AZ71" s="79">
        <f t="shared" si="119"/>
        <v>1353.1000000000004</v>
      </c>
      <c r="BA71" s="79">
        <f t="shared" si="119"/>
        <v>1449.0999999999997</v>
      </c>
      <c r="BB71" s="79">
        <f t="shared" si="119"/>
        <v>607.39999999999986</v>
      </c>
      <c r="BC71" s="79">
        <f t="shared" si="119"/>
        <v>1597.6000000000001</v>
      </c>
      <c r="BD71" s="79">
        <f t="shared" si="119"/>
        <v>1440.9000000000003</v>
      </c>
      <c r="BE71" s="79">
        <f t="shared" si="119"/>
        <v>1398.2000000000005</v>
      </c>
      <c r="BF71" s="79">
        <f t="shared" si="119"/>
        <v>55.200000000000522</v>
      </c>
      <c r="BG71" s="79">
        <f t="shared" si="119"/>
        <v>1305.0999999999997</v>
      </c>
      <c r="BH71" s="79">
        <f t="shared" si="119"/>
        <v>1487.6000000000001</v>
      </c>
      <c r="BI71" s="79">
        <f t="shared" si="119"/>
        <v>1677.5000000000009</v>
      </c>
      <c r="BJ71" s="79">
        <f t="shared" si="119"/>
        <v>937.79999999999927</v>
      </c>
      <c r="BK71" s="79">
        <f t="shared" si="119"/>
        <v>2332.099999999999</v>
      </c>
      <c r="BL71" s="79">
        <f t="shared" si="119"/>
        <v>2147.2999999999988</v>
      </c>
      <c r="BM71" s="79">
        <f t="shared" si="119"/>
        <v>2363.6000000000013</v>
      </c>
      <c r="BN71" s="79">
        <f t="shared" si="119"/>
        <v>1868.5000000000002</v>
      </c>
      <c r="BO71" s="79">
        <f t="shared" si="119"/>
        <v>2890.2999999999988</v>
      </c>
      <c r="BP71" s="79">
        <f t="shared" si="119"/>
        <v>3125.4000000000005</v>
      </c>
      <c r="BQ71" s="79">
        <f t="shared" si="119"/>
        <v>2546.9999999999991</v>
      </c>
      <c r="BR71" s="79">
        <f t="shared" si="119"/>
        <v>2418.599999999999</v>
      </c>
      <c r="CA71" s="79">
        <f t="shared" ref="CA71:CQ71" si="120">CA33</f>
        <v>160.79999999999998</v>
      </c>
      <c r="CB71" s="79">
        <f t="shared" si="120"/>
        <v>226.10000000000019</v>
      </c>
      <c r="CC71" s="79">
        <f t="shared" si="120"/>
        <v>226.09999999999997</v>
      </c>
      <c r="CD71" s="79">
        <f t="shared" si="120"/>
        <v>17.200000000000053</v>
      </c>
      <c r="CE71" s="79">
        <f t="shared" si="120"/>
        <v>112.20000000000007</v>
      </c>
      <c r="CF71" s="79">
        <f t="shared" si="120"/>
        <v>266.80000000000018</v>
      </c>
      <c r="CG71" s="79">
        <f t="shared" si="120"/>
        <v>122.39999999999975</v>
      </c>
      <c r="CH71" s="79">
        <f t="shared" si="120"/>
        <v>186.79999999999978</v>
      </c>
      <c r="CI71" s="79">
        <f t="shared" si="120"/>
        <v>558.90000000000055</v>
      </c>
      <c r="CJ71" s="79">
        <f t="shared" si="120"/>
        <v>1211.1000000000004</v>
      </c>
      <c r="CK71" s="79">
        <f t="shared" si="120"/>
        <v>1866.8999999999999</v>
      </c>
      <c r="CL71" s="79">
        <f t="shared" si="120"/>
        <v>2761.3000000000006</v>
      </c>
      <c r="CM71" s="79">
        <f t="shared" si="120"/>
        <v>5116.2999999999993</v>
      </c>
      <c r="CN71" s="79">
        <f t="shared" si="120"/>
        <v>4491.9000000000015</v>
      </c>
      <c r="CO71" s="79">
        <f t="shared" si="120"/>
        <v>5408</v>
      </c>
      <c r="CP71" s="79">
        <f t="shared" si="120"/>
        <v>8711.5</v>
      </c>
      <c r="CQ71" s="79">
        <f t="shared" si="120"/>
        <v>10981.299999999996</v>
      </c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</row>
    <row r="72" spans="2:157" s="2" customFormat="1" ht="15">
      <c r="B72" s="2" t="s">
        <v>68</v>
      </c>
      <c r="C72" s="76">
        <v>65.599999999999994</v>
      </c>
      <c r="D72" s="76">
        <v>75.3</v>
      </c>
      <c r="E72" s="76">
        <v>78.3</v>
      </c>
      <c r="F72" s="76">
        <v>57.2</v>
      </c>
      <c r="G72" s="76">
        <v>76.7</v>
      </c>
      <c r="H72" s="76">
        <v>61.8</v>
      </c>
      <c r="I72" s="76">
        <v>41.2</v>
      </c>
      <c r="J72" s="76">
        <v>138</v>
      </c>
      <c r="K72" s="76">
        <v>116.3</v>
      </c>
      <c r="L72" s="76">
        <v>86.4</v>
      </c>
      <c r="M72" s="76">
        <v>49.5</v>
      </c>
      <c r="N72" s="76">
        <v>65.5</v>
      </c>
      <c r="O72" s="76">
        <v>19.100000000000001</v>
      </c>
      <c r="P72" s="76">
        <v>19.399999999999999</v>
      </c>
      <c r="Q72" s="76">
        <v>-2.9</v>
      </c>
      <c r="R72" s="76">
        <v>-17.399999999999999</v>
      </c>
      <c r="S72" s="76">
        <v>-12.2</v>
      </c>
      <c r="T72" s="76">
        <v>33.9</v>
      </c>
      <c r="U72" s="76">
        <v>34.700000000000003</v>
      </c>
      <c r="V72" s="76">
        <v>41.4</v>
      </c>
      <c r="W72" s="76">
        <v>36.4</v>
      </c>
      <c r="X72" s="76">
        <v>56</v>
      </c>
      <c r="Y72" s="76">
        <v>-37.4</v>
      </c>
      <c r="Z72" s="76">
        <v>-38.5</v>
      </c>
      <c r="AA72" s="76">
        <v>-127.4</v>
      </c>
      <c r="AB72" s="76">
        <v>-181.3</v>
      </c>
      <c r="AC72" s="76">
        <v>-196</v>
      </c>
      <c r="AD72" s="76">
        <v>-244.7</v>
      </c>
      <c r="AE72" s="76">
        <v>-228.6</v>
      </c>
      <c r="AF72" s="76">
        <v>-226.3</v>
      </c>
      <c r="AG72" s="76">
        <v>-461.9</v>
      </c>
      <c r="AH72" s="76">
        <v>-557.20000000000005</v>
      </c>
      <c r="AI72" s="76">
        <v>-343.9</v>
      </c>
      <c r="AJ72" s="76">
        <v>-534.5</v>
      </c>
      <c r="AK72" s="76">
        <v>-419.6</v>
      </c>
      <c r="AL72" s="76">
        <v>-488</v>
      </c>
      <c r="AM72" s="76">
        <v>-236.8</v>
      </c>
      <c r="AN72" s="76">
        <v>-518.20000000000005</v>
      </c>
      <c r="AO72" s="76">
        <v>-690.4</v>
      </c>
      <c r="AP72" s="76">
        <v>-1235.0999999999999</v>
      </c>
      <c r="AQ72" s="76">
        <v>-379.8</v>
      </c>
      <c r="AR72" s="76">
        <v>-543.79999999999995</v>
      </c>
      <c r="AS72" s="76">
        <v>-501.8</v>
      </c>
      <c r="AT72" s="76">
        <v>-1462</v>
      </c>
      <c r="AU72" s="76">
        <v>259.89999999999998</v>
      </c>
      <c r="AV72" s="76">
        <v>1041.0999999999999</v>
      </c>
      <c r="AW72" s="76">
        <v>1263.8</v>
      </c>
      <c r="AX72" s="76">
        <v>-137.69999999999999</v>
      </c>
      <c r="AY72" s="76">
        <v>777.3</v>
      </c>
      <c r="AZ72" s="76">
        <v>-63.8</v>
      </c>
      <c r="BA72" s="76">
        <v>82.4</v>
      </c>
      <c r="BB72" s="76">
        <v>-403.3</v>
      </c>
      <c r="BC72" s="76">
        <v>922.8</v>
      </c>
      <c r="BD72" s="76">
        <v>102.8</v>
      </c>
      <c r="BE72" s="76">
        <v>556.79999999999995</v>
      </c>
      <c r="BF72" s="76">
        <v>443.9</v>
      </c>
      <c r="BG72" s="76">
        <v>2178.6999999999998</v>
      </c>
      <c r="BH72" s="76">
        <v>1440.2</v>
      </c>
      <c r="BI72" s="76">
        <v>1992.3</v>
      </c>
      <c r="BJ72" s="76">
        <v>1663</v>
      </c>
      <c r="BK72" s="76">
        <v>2212.5</v>
      </c>
      <c r="BL72" s="76">
        <v>1290.8</v>
      </c>
      <c r="BM72" s="76">
        <v>2321.1</v>
      </c>
      <c r="BN72" s="76">
        <v>1536.9</v>
      </c>
      <c r="BO72" s="76">
        <v>2789.2</v>
      </c>
      <c r="BP72" s="76">
        <v>2423.3000000000002</v>
      </c>
      <c r="BQ72" s="76">
        <v>2825.2</v>
      </c>
      <c r="BR72" s="76">
        <v>2111.6</v>
      </c>
      <c r="BS72" s="34"/>
      <c r="BT72" s="34"/>
      <c r="BU72" s="34"/>
      <c r="BV72" s="34"/>
      <c r="CA72" s="76">
        <f>SUM(C72:F72)</f>
        <v>276.39999999999998</v>
      </c>
      <c r="CB72" s="76">
        <f>SUM(G72:J72)</f>
        <v>317.7</v>
      </c>
      <c r="CC72" s="76">
        <f>SUM(K72:N72)</f>
        <v>317.7</v>
      </c>
      <c r="CD72" s="76">
        <f>SUM(O72:R72)</f>
        <v>18.200000000000003</v>
      </c>
      <c r="CE72" s="76">
        <f>SUM(S72:V72)</f>
        <v>97.800000000000011</v>
      </c>
      <c r="CF72" s="76">
        <f>SUM(W72:Z72)</f>
        <v>16.500000000000007</v>
      </c>
      <c r="CG72" s="76">
        <f>SUM(AA72:AD72)</f>
        <v>-749.40000000000009</v>
      </c>
      <c r="CH72" s="76">
        <f>SUM(AE72:AH72)</f>
        <v>-1474</v>
      </c>
      <c r="CI72" s="76">
        <f>SUM(AI72:AL72)</f>
        <v>-1786</v>
      </c>
      <c r="CJ72" s="76">
        <f>SUM(AM72:AP72)</f>
        <v>-2680.5</v>
      </c>
      <c r="CK72" s="76">
        <f>SUM(AQ72:AT72)</f>
        <v>-2887.3999999999996</v>
      </c>
      <c r="CL72" s="76">
        <f>SUM(AU72:AX72)</f>
        <v>2427.1000000000004</v>
      </c>
      <c r="CM72" s="76">
        <f>SUM(AY72:BB72)</f>
        <v>392.59999999999997</v>
      </c>
      <c r="CN72" s="76">
        <f>SUM(BC72:BF72)</f>
        <v>2026.2999999999997</v>
      </c>
      <c r="CO72" s="76">
        <f>SUM(BG72:BJ72)</f>
        <v>7274.2</v>
      </c>
      <c r="CP72" s="76">
        <f>SUM(BK72:BN72)</f>
        <v>7361.2999999999993</v>
      </c>
      <c r="CQ72" s="76">
        <f>SUM(BL72:BO72)</f>
        <v>7937.9999999999991</v>
      </c>
    </row>
    <row r="73" spans="2:157">
      <c r="B73" s="1" t="s">
        <v>69</v>
      </c>
      <c r="C73" s="79">
        <v>-11</v>
      </c>
      <c r="D73" s="79">
        <v>-12</v>
      </c>
      <c r="E73" s="79">
        <v>-8.3000000000000007</v>
      </c>
      <c r="F73" s="79">
        <v>-14.5</v>
      </c>
      <c r="G73" s="79">
        <v>-8.1</v>
      </c>
      <c r="H73" s="79">
        <v>-11.5</v>
      </c>
      <c r="I73" s="79">
        <v>-13.6</v>
      </c>
      <c r="J73" s="79">
        <v>-8.6</v>
      </c>
      <c r="K73" s="79">
        <v>-16.3</v>
      </c>
      <c r="L73" s="79">
        <v>-8.6</v>
      </c>
      <c r="M73" s="79">
        <v>-14.08</v>
      </c>
      <c r="N73" s="79">
        <v>-10.6</v>
      </c>
      <c r="O73" s="79">
        <v>-4.7</v>
      </c>
      <c r="P73" s="79">
        <v>-3.3</v>
      </c>
      <c r="Q73" s="79">
        <v>-10.8</v>
      </c>
      <c r="R73" s="79">
        <v>-21.3</v>
      </c>
      <c r="S73" s="79">
        <v>-12.1</v>
      </c>
      <c r="T73" s="79">
        <v>-8</v>
      </c>
      <c r="U73" s="79">
        <v>-10.8</v>
      </c>
      <c r="V73" s="79">
        <v>-23</v>
      </c>
      <c r="W73" s="79">
        <v>-13.3</v>
      </c>
      <c r="X73" s="79">
        <v>-19.899999999999999</v>
      </c>
      <c r="Y73" s="79">
        <v>-21</v>
      </c>
      <c r="Z73" s="79">
        <v>-15.5</v>
      </c>
      <c r="AA73" s="79">
        <v>-13</v>
      </c>
      <c r="AB73" s="79">
        <v>-27.5</v>
      </c>
      <c r="AC73" s="79">
        <v>-37.799999999999997</v>
      </c>
      <c r="AD73" s="79">
        <v>-12.9</v>
      </c>
      <c r="AE73" s="79">
        <v>-8.4</v>
      </c>
      <c r="AF73" s="79">
        <v>-10.8</v>
      </c>
      <c r="AG73" s="79">
        <v>-27.4</v>
      </c>
      <c r="AH73" s="79">
        <v>-61</v>
      </c>
      <c r="AI73" s="79">
        <v>-52.5</v>
      </c>
      <c r="AJ73" s="79">
        <v>-65.2</v>
      </c>
      <c r="AK73" s="79">
        <v>-34</v>
      </c>
      <c r="AL73" s="79">
        <v>-21.6</v>
      </c>
      <c r="AM73" s="79">
        <v>-37.200000000000003</v>
      </c>
      <c r="AN73" s="79">
        <v>-27.3</v>
      </c>
      <c r="AO73" s="79">
        <v>-39.299999999999997</v>
      </c>
      <c r="AP73" s="79">
        <v>-70.099999999999994</v>
      </c>
      <c r="AQ73" s="79">
        <v>-60.4</v>
      </c>
      <c r="AR73" s="79">
        <v>-39.6</v>
      </c>
      <c r="AS73" s="79">
        <v>-45.3</v>
      </c>
      <c r="AT73" s="79">
        <v>-107.7</v>
      </c>
      <c r="AU73" s="79">
        <v>-98</v>
      </c>
      <c r="AV73" s="79">
        <v>-141.69999999999999</v>
      </c>
      <c r="AW73" s="79">
        <v>-109.8</v>
      </c>
      <c r="AX73" s="79">
        <v>-148.4</v>
      </c>
      <c r="AY73" s="79">
        <v>-81</v>
      </c>
      <c r="AZ73" s="79">
        <v>-110.3</v>
      </c>
      <c r="BA73" s="79">
        <v>-167.3</v>
      </c>
      <c r="BB73" s="79">
        <v>-166</v>
      </c>
      <c r="BC73" s="79">
        <v>-121.2</v>
      </c>
      <c r="BD73" s="79">
        <v>-90</v>
      </c>
      <c r="BE73" s="79">
        <v>-85</v>
      </c>
      <c r="BF73" s="79">
        <v>-111.6</v>
      </c>
      <c r="BG73" s="79">
        <v>-62</v>
      </c>
      <c r="BH73" s="79">
        <v>-101</v>
      </c>
      <c r="BI73" s="79">
        <v>-103.9</v>
      </c>
      <c r="BJ73" s="79">
        <v>-81.599999999999994</v>
      </c>
      <c r="BK73" s="79">
        <v>-75.7</v>
      </c>
      <c r="BL73" s="79">
        <v>-78.3</v>
      </c>
      <c r="BM73" s="79">
        <v>-126.9</v>
      </c>
      <c r="BN73" s="79">
        <v>-158.69999999999999</v>
      </c>
      <c r="BO73" s="79">
        <v>-128.30000000000001</v>
      </c>
      <c r="BP73" s="79">
        <v>-155.9</v>
      </c>
      <c r="BQ73" s="79">
        <v>-164.7</v>
      </c>
      <c r="BR73" s="79">
        <v>-239.3</v>
      </c>
      <c r="CA73" s="79">
        <f>SUM(C73:F73)</f>
        <v>-45.8</v>
      </c>
      <c r="CB73" s="79">
        <f>SUM(G73:J73)</f>
        <v>-41.800000000000004</v>
      </c>
      <c r="CC73" s="79">
        <f>SUM(K73:N73)</f>
        <v>-49.58</v>
      </c>
      <c r="CD73" s="79">
        <f>SUM(O73:R73)</f>
        <v>-40.1</v>
      </c>
      <c r="CE73" s="79">
        <f>SUM(S73:V73)</f>
        <v>-53.900000000000006</v>
      </c>
      <c r="CF73" s="79">
        <f>SUM(W73:Z73)</f>
        <v>-69.7</v>
      </c>
      <c r="CG73" s="79">
        <f>SUM(AA73:AD73)</f>
        <v>-91.2</v>
      </c>
      <c r="CH73" s="79">
        <f>SUM(AE73:AH73)</f>
        <v>-107.6</v>
      </c>
      <c r="CI73" s="79">
        <f>SUM(AI73:AL73)</f>
        <v>-173.29999999999998</v>
      </c>
      <c r="CJ73" s="79">
        <f>SUM(AM73:AP73)</f>
        <v>-173.89999999999998</v>
      </c>
      <c r="CK73" s="79">
        <f>SUM(AQ73:AT73)</f>
        <v>-253</v>
      </c>
      <c r="CL73" s="79">
        <f>SUM(AU73:AX73)</f>
        <v>-497.9</v>
      </c>
      <c r="CM73" s="79">
        <f>SUM(AY73:BB73)</f>
        <v>-524.6</v>
      </c>
      <c r="CN73" s="79">
        <f>SUM(BC73:BF73)</f>
        <v>-407.79999999999995</v>
      </c>
      <c r="CO73" s="79">
        <f>SUM(BG73:BJ73)</f>
        <v>-348.5</v>
      </c>
      <c r="CP73" s="79">
        <f>SUM(BK73:BN73)</f>
        <v>-439.59999999999997</v>
      </c>
      <c r="CQ73" s="79">
        <f>SUM(BL73:BO73)</f>
        <v>-492.2</v>
      </c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</row>
    <row r="74" spans="2:157" s="2" customFormat="1" ht="15">
      <c r="B74" s="2" t="s">
        <v>70</v>
      </c>
      <c r="C74" s="76">
        <f t="shared" ref="C74:BJ74" si="121">C72+C73</f>
        <v>54.599999999999994</v>
      </c>
      <c r="D74" s="76">
        <f t="shared" si="121"/>
        <v>63.3</v>
      </c>
      <c r="E74" s="76">
        <f t="shared" si="121"/>
        <v>70</v>
      </c>
      <c r="F74" s="76">
        <f t="shared" si="121"/>
        <v>42.7</v>
      </c>
      <c r="G74" s="76">
        <f t="shared" si="121"/>
        <v>68.600000000000009</v>
      </c>
      <c r="H74" s="76">
        <f t="shared" si="121"/>
        <v>50.3</v>
      </c>
      <c r="I74" s="76">
        <f t="shared" si="121"/>
        <v>27.6</v>
      </c>
      <c r="J74" s="76">
        <f t="shared" si="121"/>
        <v>129.4</v>
      </c>
      <c r="K74" s="76">
        <f t="shared" si="121"/>
        <v>100</v>
      </c>
      <c r="L74" s="76">
        <f t="shared" si="121"/>
        <v>77.800000000000011</v>
      </c>
      <c r="M74" s="76">
        <f t="shared" si="121"/>
        <v>35.42</v>
      </c>
      <c r="N74" s="76">
        <f t="shared" si="121"/>
        <v>54.9</v>
      </c>
      <c r="O74" s="76">
        <f t="shared" si="121"/>
        <v>14.400000000000002</v>
      </c>
      <c r="P74" s="76">
        <f t="shared" si="121"/>
        <v>16.099999999999998</v>
      </c>
      <c r="Q74" s="76">
        <f t="shared" si="121"/>
        <v>-13.700000000000001</v>
      </c>
      <c r="R74" s="76">
        <f t="shared" si="121"/>
        <v>-38.700000000000003</v>
      </c>
      <c r="S74" s="76">
        <f t="shared" si="121"/>
        <v>-24.299999999999997</v>
      </c>
      <c r="T74" s="76">
        <f t="shared" si="121"/>
        <v>25.9</v>
      </c>
      <c r="U74" s="76">
        <f t="shared" si="121"/>
        <v>23.900000000000002</v>
      </c>
      <c r="V74" s="76">
        <f t="shared" si="121"/>
        <v>18.399999999999999</v>
      </c>
      <c r="W74" s="76">
        <f t="shared" si="121"/>
        <v>23.099999999999998</v>
      </c>
      <c r="X74" s="76">
        <f t="shared" si="121"/>
        <v>36.1</v>
      </c>
      <c r="Y74" s="76">
        <f t="shared" si="121"/>
        <v>-58.4</v>
      </c>
      <c r="Z74" s="76">
        <f t="shared" si="121"/>
        <v>-54</v>
      </c>
      <c r="AA74" s="76">
        <f t="shared" si="121"/>
        <v>-140.4</v>
      </c>
      <c r="AB74" s="76">
        <f t="shared" si="121"/>
        <v>-208.8</v>
      </c>
      <c r="AC74" s="76">
        <f t="shared" si="121"/>
        <v>-233.8</v>
      </c>
      <c r="AD74" s="76">
        <f t="shared" si="121"/>
        <v>-257.59999999999997</v>
      </c>
      <c r="AE74" s="76">
        <f t="shared" si="121"/>
        <v>-237</v>
      </c>
      <c r="AF74" s="76">
        <f t="shared" si="121"/>
        <v>-237.10000000000002</v>
      </c>
      <c r="AG74" s="76">
        <f t="shared" si="121"/>
        <v>-489.29999999999995</v>
      </c>
      <c r="AH74" s="76">
        <f t="shared" si="121"/>
        <v>-618.20000000000005</v>
      </c>
      <c r="AI74" s="76">
        <f t="shared" si="121"/>
        <v>-396.4</v>
      </c>
      <c r="AJ74" s="76">
        <f t="shared" si="121"/>
        <v>-599.70000000000005</v>
      </c>
      <c r="AK74" s="76">
        <f t="shared" si="121"/>
        <v>-453.6</v>
      </c>
      <c r="AL74" s="76">
        <f t="shared" si="121"/>
        <v>-509.6</v>
      </c>
      <c r="AM74" s="76">
        <f t="shared" si="121"/>
        <v>-274</v>
      </c>
      <c r="AN74" s="76">
        <f t="shared" si="121"/>
        <v>-545.5</v>
      </c>
      <c r="AO74" s="76">
        <f t="shared" si="121"/>
        <v>-729.69999999999993</v>
      </c>
      <c r="AP74" s="76">
        <f t="shared" si="121"/>
        <v>-1305.1999999999998</v>
      </c>
      <c r="AQ74" s="76">
        <f t="shared" si="121"/>
        <v>-440.2</v>
      </c>
      <c r="AR74" s="76">
        <f t="shared" si="121"/>
        <v>-583.4</v>
      </c>
      <c r="AS74" s="76">
        <f t="shared" si="121"/>
        <v>-547.1</v>
      </c>
      <c r="AT74" s="76">
        <f t="shared" si="121"/>
        <v>-1569.7</v>
      </c>
      <c r="AU74" s="76">
        <f t="shared" si="121"/>
        <v>161.89999999999998</v>
      </c>
      <c r="AV74" s="76">
        <f t="shared" si="121"/>
        <v>899.39999999999986</v>
      </c>
      <c r="AW74" s="76">
        <f t="shared" si="121"/>
        <v>1154</v>
      </c>
      <c r="AX74" s="76">
        <f t="shared" si="121"/>
        <v>-286.10000000000002</v>
      </c>
      <c r="AY74" s="76">
        <f t="shared" si="121"/>
        <v>696.3</v>
      </c>
      <c r="AZ74" s="76">
        <f t="shared" si="121"/>
        <v>-174.1</v>
      </c>
      <c r="BA74" s="76">
        <f t="shared" si="121"/>
        <v>-84.9</v>
      </c>
      <c r="BB74" s="76">
        <f t="shared" si="121"/>
        <v>-569.29999999999995</v>
      </c>
      <c r="BC74" s="76">
        <f t="shared" si="121"/>
        <v>801.59999999999991</v>
      </c>
      <c r="BD74" s="76">
        <f t="shared" si="121"/>
        <v>12.799999999999997</v>
      </c>
      <c r="BE74" s="76">
        <f t="shared" si="121"/>
        <v>471.79999999999995</v>
      </c>
      <c r="BF74" s="76">
        <f t="shared" si="121"/>
        <v>332.29999999999995</v>
      </c>
      <c r="BG74" s="76">
        <f t="shared" si="121"/>
        <v>2116.6999999999998</v>
      </c>
      <c r="BH74" s="76">
        <f t="shared" si="121"/>
        <v>1339.2</v>
      </c>
      <c r="BI74" s="76">
        <f t="shared" si="121"/>
        <v>1888.3999999999999</v>
      </c>
      <c r="BJ74" s="76">
        <f t="shared" si="121"/>
        <v>1581.4</v>
      </c>
      <c r="BK74" s="76">
        <f t="shared" ref="BK74:BQ74" si="122">BK72+BK73</f>
        <v>2136.8000000000002</v>
      </c>
      <c r="BL74" s="76">
        <f t="shared" si="122"/>
        <v>1212.5</v>
      </c>
      <c r="BM74" s="76">
        <f t="shared" si="122"/>
        <v>2194.1999999999998</v>
      </c>
      <c r="BN74" s="76">
        <f t="shared" si="122"/>
        <v>1378.2</v>
      </c>
      <c r="BO74" s="76">
        <f t="shared" si="122"/>
        <v>2660.8999999999996</v>
      </c>
      <c r="BP74" s="76">
        <f t="shared" si="122"/>
        <v>2267.4</v>
      </c>
      <c r="BQ74" s="76">
        <f t="shared" si="122"/>
        <v>2660.5</v>
      </c>
      <c r="BR74" s="76">
        <f>BR72+BR73</f>
        <v>1872.3</v>
      </c>
      <c r="BS74" s="34"/>
      <c r="BT74" s="34"/>
      <c r="BU74" s="34"/>
      <c r="BV74" s="34"/>
      <c r="CA74" s="76">
        <f t="shared" ref="CA74:CP74" si="123">CA72+CA73</f>
        <v>230.59999999999997</v>
      </c>
      <c r="CB74" s="76">
        <f t="shared" si="123"/>
        <v>275.89999999999998</v>
      </c>
      <c r="CC74" s="76">
        <f t="shared" si="123"/>
        <v>268.12</v>
      </c>
      <c r="CD74" s="76">
        <f t="shared" si="123"/>
        <v>-21.9</v>
      </c>
      <c r="CE74" s="76">
        <f t="shared" si="123"/>
        <v>43.900000000000006</v>
      </c>
      <c r="CF74" s="76">
        <f t="shared" si="123"/>
        <v>-53.199999999999996</v>
      </c>
      <c r="CG74" s="76">
        <f t="shared" si="123"/>
        <v>-840.60000000000014</v>
      </c>
      <c r="CH74" s="76">
        <f t="shared" si="123"/>
        <v>-1581.6</v>
      </c>
      <c r="CI74" s="76">
        <f t="shared" si="123"/>
        <v>-1959.3</v>
      </c>
      <c r="CJ74" s="76">
        <f t="shared" si="123"/>
        <v>-2854.4</v>
      </c>
      <c r="CK74" s="76">
        <f t="shared" si="123"/>
        <v>-3140.3999999999996</v>
      </c>
      <c r="CL74" s="76">
        <f t="shared" si="123"/>
        <v>1929.2000000000003</v>
      </c>
      <c r="CM74" s="76">
        <f t="shared" si="123"/>
        <v>-132.00000000000006</v>
      </c>
      <c r="CN74" s="76">
        <f t="shared" si="123"/>
        <v>1618.4999999999998</v>
      </c>
      <c r="CO74" s="76">
        <f t="shared" si="123"/>
        <v>6925.7</v>
      </c>
      <c r="CP74" s="76">
        <f t="shared" si="123"/>
        <v>6921.6999999999989</v>
      </c>
      <c r="CQ74" s="76">
        <f>CQ72+CQ73</f>
        <v>7445.7999999999993</v>
      </c>
    </row>
    <row r="75" spans="2:157">
      <c r="B75" s="1" t="s">
        <v>71</v>
      </c>
      <c r="C75" s="79">
        <f t="shared" ref="C75:AH75" si="124">C34</f>
        <v>3735</v>
      </c>
      <c r="D75" s="79">
        <f t="shared" si="124"/>
        <v>3730</v>
      </c>
      <c r="E75" s="79">
        <f t="shared" si="124"/>
        <v>3725</v>
      </c>
      <c r="F75" s="79">
        <f t="shared" si="124"/>
        <v>3720</v>
      </c>
      <c r="G75" s="79">
        <f t="shared" si="124"/>
        <v>3710</v>
      </c>
      <c r="H75" s="79">
        <f t="shared" si="124"/>
        <v>3710</v>
      </c>
      <c r="I75" s="79">
        <f t="shared" si="124"/>
        <v>3700</v>
      </c>
      <c r="J75" s="79">
        <f t="shared" si="124"/>
        <v>3699</v>
      </c>
      <c r="K75" s="79">
        <f t="shared" si="124"/>
        <v>3693</v>
      </c>
      <c r="L75" s="79">
        <f t="shared" si="124"/>
        <v>3673</v>
      </c>
      <c r="M75" s="79">
        <f t="shared" si="124"/>
        <v>3680</v>
      </c>
      <c r="N75" s="79">
        <f t="shared" si="124"/>
        <v>3699</v>
      </c>
      <c r="O75" s="79">
        <f t="shared" si="124"/>
        <v>3882</v>
      </c>
      <c r="P75" s="79">
        <f t="shared" si="124"/>
        <v>3887</v>
      </c>
      <c r="Q75" s="79">
        <f t="shared" si="124"/>
        <v>3888</v>
      </c>
      <c r="R75" s="79">
        <f t="shared" si="124"/>
        <v>3886</v>
      </c>
      <c r="S75" s="79">
        <f t="shared" si="124"/>
        <v>3918</v>
      </c>
      <c r="T75" s="79">
        <f t="shared" si="124"/>
        <v>4073</v>
      </c>
      <c r="U75" s="79">
        <f t="shared" si="124"/>
        <v>4138</v>
      </c>
      <c r="V75" s="79">
        <f t="shared" si="124"/>
        <v>4074</v>
      </c>
      <c r="W75" s="79">
        <f t="shared" si="124"/>
        <v>4187</v>
      </c>
      <c r="X75" s="79">
        <f t="shared" si="124"/>
        <v>4200</v>
      </c>
      <c r="Y75" s="79">
        <f t="shared" si="124"/>
        <v>4212</v>
      </c>
      <c r="Z75" s="79">
        <f t="shared" si="124"/>
        <v>4205</v>
      </c>
      <c r="AA75" s="79">
        <f t="shared" si="124"/>
        <v>4236</v>
      </c>
      <c r="AB75" s="79">
        <f t="shared" si="124"/>
        <v>4253</v>
      </c>
      <c r="AC75" s="79">
        <f t="shared" si="124"/>
        <v>4269</v>
      </c>
      <c r="AD75" s="79">
        <f t="shared" si="124"/>
        <v>4259</v>
      </c>
      <c r="AE75" s="79">
        <f t="shared" si="124"/>
        <v>4281</v>
      </c>
      <c r="AF75" s="79">
        <f t="shared" si="124"/>
        <v>4285</v>
      </c>
      <c r="AG75" s="79">
        <f t="shared" si="124"/>
        <v>4289</v>
      </c>
      <c r="AH75" s="79">
        <f t="shared" si="124"/>
        <v>4288</v>
      </c>
      <c r="AI75" s="79">
        <f t="shared" ref="AI75:BR75" si="125">AI34</f>
        <v>4306</v>
      </c>
      <c r="AJ75" s="79">
        <f t="shared" si="125"/>
        <v>4314</v>
      </c>
      <c r="AK75" s="79">
        <f t="shared" si="125"/>
        <v>4324</v>
      </c>
      <c r="AL75" s="79">
        <f t="shared" si="125"/>
        <v>4319</v>
      </c>
      <c r="AM75" s="79">
        <f t="shared" si="125"/>
        <v>4342</v>
      </c>
      <c r="AN75" s="79">
        <f t="shared" si="125"/>
        <v>4351</v>
      </c>
      <c r="AO75" s="79">
        <f t="shared" si="125"/>
        <v>4358</v>
      </c>
      <c r="AP75" s="79">
        <f t="shared" si="125"/>
        <v>4354</v>
      </c>
      <c r="AQ75" s="79">
        <f t="shared" si="125"/>
        <v>4369</v>
      </c>
      <c r="AR75" s="79">
        <f t="shared" si="125"/>
        <v>4376</v>
      </c>
      <c r="AS75" s="79">
        <f t="shared" si="125"/>
        <v>4381</v>
      </c>
      <c r="AT75" s="79">
        <f t="shared" si="125"/>
        <v>4378</v>
      </c>
      <c r="AU75" s="79">
        <f t="shared" si="125"/>
        <v>4394</v>
      </c>
      <c r="AV75" s="79">
        <f t="shared" si="125"/>
        <v>4406</v>
      </c>
      <c r="AW75" s="79">
        <f t="shared" si="125"/>
        <v>4415</v>
      </c>
      <c r="AX75" s="79">
        <f t="shared" si="125"/>
        <v>4409</v>
      </c>
      <c r="AY75" s="79">
        <f t="shared" si="125"/>
        <v>4432</v>
      </c>
      <c r="AZ75" s="79">
        <f t="shared" si="125"/>
        <v>4432</v>
      </c>
      <c r="BA75" s="79">
        <f t="shared" si="125"/>
        <v>4428</v>
      </c>
      <c r="BB75" s="79">
        <f t="shared" si="125"/>
        <v>4432</v>
      </c>
      <c r="BC75" s="79">
        <f t="shared" si="125"/>
        <v>4441</v>
      </c>
      <c r="BD75" s="79">
        <f t="shared" si="125"/>
        <v>4446</v>
      </c>
      <c r="BE75" s="79">
        <f t="shared" si="125"/>
        <v>4449</v>
      </c>
      <c r="BF75" s="79">
        <f t="shared" si="125"/>
        <v>4447</v>
      </c>
      <c r="BG75" s="79">
        <f t="shared" si="125"/>
        <v>4452</v>
      </c>
      <c r="BH75" s="79">
        <f t="shared" si="125"/>
        <v>4439</v>
      </c>
      <c r="BI75" s="79">
        <f t="shared" si="125"/>
        <v>4415</v>
      </c>
      <c r="BJ75" s="79">
        <f t="shared" si="125"/>
        <v>4416</v>
      </c>
      <c r="BK75" s="79">
        <f t="shared" si="125"/>
        <v>4321</v>
      </c>
      <c r="BL75" s="79">
        <f t="shared" si="125"/>
        <v>4301</v>
      </c>
      <c r="BM75" s="79">
        <f t="shared" si="125"/>
        <v>4282</v>
      </c>
      <c r="BN75" s="79">
        <f t="shared" si="125"/>
        <v>4295</v>
      </c>
      <c r="BO75" s="79">
        <f t="shared" si="125"/>
        <v>4273</v>
      </c>
      <c r="BP75" s="79">
        <f t="shared" si="125"/>
        <v>4252</v>
      </c>
      <c r="BQ75" s="79">
        <f t="shared" si="125"/>
        <v>4245</v>
      </c>
      <c r="BR75" s="79">
        <f t="shared" si="125"/>
        <v>4250</v>
      </c>
      <c r="CA75" s="79">
        <f t="shared" ref="CA75:CQ75" si="126">CA34</f>
        <v>3727.5</v>
      </c>
      <c r="CB75" s="79">
        <f t="shared" si="126"/>
        <v>3704.75</v>
      </c>
      <c r="CC75" s="79">
        <f t="shared" si="126"/>
        <v>3686.25</v>
      </c>
      <c r="CD75" s="79">
        <f t="shared" si="126"/>
        <v>3885.75</v>
      </c>
      <c r="CE75" s="79">
        <f t="shared" si="126"/>
        <v>4050.75</v>
      </c>
      <c r="CF75" s="79">
        <f t="shared" si="126"/>
        <v>4201</v>
      </c>
      <c r="CG75" s="79">
        <f t="shared" si="126"/>
        <v>4254.25</v>
      </c>
      <c r="CH75" s="79">
        <f t="shared" si="126"/>
        <v>4285.75</v>
      </c>
      <c r="CI75" s="79">
        <f t="shared" si="126"/>
        <v>4315.75</v>
      </c>
      <c r="CJ75" s="79">
        <f t="shared" si="126"/>
        <v>4351.25</v>
      </c>
      <c r="CK75" s="79">
        <f t="shared" si="126"/>
        <v>4376</v>
      </c>
      <c r="CL75" s="79">
        <f t="shared" si="126"/>
        <v>4406</v>
      </c>
      <c r="CM75" s="79">
        <f t="shared" si="126"/>
        <v>4431</v>
      </c>
      <c r="CN75" s="79">
        <f t="shared" si="126"/>
        <v>4445.75</v>
      </c>
      <c r="CO75" s="79">
        <f t="shared" si="126"/>
        <v>4430.5</v>
      </c>
      <c r="CP75" s="79">
        <f t="shared" si="126"/>
        <v>4299.75</v>
      </c>
      <c r="CQ75" s="79">
        <f t="shared" si="126"/>
        <v>4255</v>
      </c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</row>
    <row r="76" spans="2:157">
      <c r="B76" s="1" t="s">
        <v>72</v>
      </c>
      <c r="C76" s="38">
        <f t="shared" ref="C76:BJ76" si="127">C74/C75</f>
        <v>1.4618473895582327E-2</v>
      </c>
      <c r="D76" s="38">
        <f t="shared" si="127"/>
        <v>1.6970509383378015E-2</v>
      </c>
      <c r="E76" s="38">
        <f t="shared" si="127"/>
        <v>1.8791946308724831E-2</v>
      </c>
      <c r="F76" s="38">
        <f t="shared" si="127"/>
        <v>1.1478494623655914E-2</v>
      </c>
      <c r="G76" s="38">
        <f t="shared" si="127"/>
        <v>1.8490566037735853E-2</v>
      </c>
      <c r="H76" s="38">
        <f t="shared" si="127"/>
        <v>1.3557951482479784E-2</v>
      </c>
      <c r="I76" s="38">
        <f t="shared" si="127"/>
        <v>7.4594594594594599E-3</v>
      </c>
      <c r="J76" s="38">
        <f t="shared" si="127"/>
        <v>3.498242768315761E-2</v>
      </c>
      <c r="K76" s="38">
        <f t="shared" si="127"/>
        <v>2.7078256160303276E-2</v>
      </c>
      <c r="L76" s="38">
        <f t="shared" si="127"/>
        <v>2.1181595426082226E-2</v>
      </c>
      <c r="M76" s="38">
        <f t="shared" si="127"/>
        <v>9.6249999999999999E-3</v>
      </c>
      <c r="N76" s="38">
        <f t="shared" si="127"/>
        <v>1.4841849148418492E-2</v>
      </c>
      <c r="O76" s="38">
        <f t="shared" si="127"/>
        <v>3.7094281298299852E-3</v>
      </c>
      <c r="P76" s="38">
        <f t="shared" si="127"/>
        <v>4.1420118343195259E-3</v>
      </c>
      <c r="Q76" s="38">
        <f t="shared" si="127"/>
        <v>-3.5236625514403295E-3</v>
      </c>
      <c r="R76" s="38">
        <f t="shared" si="127"/>
        <v>-9.958826556870819E-3</v>
      </c>
      <c r="S76" s="38">
        <f t="shared" si="127"/>
        <v>-6.2021439509954051E-3</v>
      </c>
      <c r="T76" s="38">
        <f t="shared" si="127"/>
        <v>6.3589491775104343E-3</v>
      </c>
      <c r="U76" s="38">
        <f t="shared" si="127"/>
        <v>5.7757370710488165E-3</v>
      </c>
      <c r="V76" s="38">
        <f t="shared" si="127"/>
        <v>4.5164457535591552E-3</v>
      </c>
      <c r="W76" s="38">
        <f t="shared" si="127"/>
        <v>5.5170766658705515E-3</v>
      </c>
      <c r="X76" s="38">
        <f t="shared" si="127"/>
        <v>8.595238095238095E-3</v>
      </c>
      <c r="Y76" s="38">
        <f t="shared" si="127"/>
        <v>-1.3865147198480532E-2</v>
      </c>
      <c r="Z76" s="38">
        <f t="shared" si="127"/>
        <v>-1.2841854934601665E-2</v>
      </c>
      <c r="AA76" s="38">
        <f t="shared" si="127"/>
        <v>-3.3144475920679886E-2</v>
      </c>
      <c r="AB76" s="38">
        <f t="shared" si="127"/>
        <v>-4.9094756642370091E-2</v>
      </c>
      <c r="AC76" s="38">
        <f t="shared" si="127"/>
        <v>-5.4766924338252518E-2</v>
      </c>
      <c r="AD76" s="38">
        <f t="shared" si="127"/>
        <v>-6.0483681615402671E-2</v>
      </c>
      <c r="AE76" s="38">
        <f t="shared" si="127"/>
        <v>-5.5360896986685351E-2</v>
      </c>
      <c r="AF76" s="38">
        <f t="shared" si="127"/>
        <v>-5.5332555425904324E-2</v>
      </c>
      <c r="AG76" s="38">
        <f t="shared" si="127"/>
        <v>-0.11408253672184657</v>
      </c>
      <c r="AH76" s="38">
        <f t="shared" si="127"/>
        <v>-0.14416977611940299</v>
      </c>
      <c r="AI76" s="38">
        <f t="shared" si="127"/>
        <v>-9.2057594054807235E-2</v>
      </c>
      <c r="AJ76" s="38">
        <f t="shared" si="127"/>
        <v>-0.1390125173852573</v>
      </c>
      <c r="AK76" s="38">
        <f t="shared" si="127"/>
        <v>-0.10490286771507863</v>
      </c>
      <c r="AL76" s="38">
        <f t="shared" si="127"/>
        <v>-0.11799027552674231</v>
      </c>
      <c r="AM76" s="38">
        <f t="shared" si="127"/>
        <v>-6.310456011054813E-2</v>
      </c>
      <c r="AN76" s="38">
        <f t="shared" si="127"/>
        <v>-0.1253734773615261</v>
      </c>
      <c r="AO76" s="38">
        <f t="shared" si="127"/>
        <v>-0.16743919229004128</v>
      </c>
      <c r="AP76" s="38">
        <f t="shared" si="127"/>
        <v>-0.29977032613688559</v>
      </c>
      <c r="AQ76" s="38">
        <f t="shared" si="127"/>
        <v>-0.10075532158388648</v>
      </c>
      <c r="AR76" s="38">
        <f t="shared" si="127"/>
        <v>-0.13331809872029249</v>
      </c>
      <c r="AS76" s="38">
        <f t="shared" si="127"/>
        <v>-0.12488016434603973</v>
      </c>
      <c r="AT76" s="38">
        <f t="shared" si="127"/>
        <v>-0.35854271356783923</v>
      </c>
      <c r="AU76" s="38">
        <f t="shared" si="127"/>
        <v>3.6845698680018205E-2</v>
      </c>
      <c r="AV76" s="38">
        <f t="shared" si="127"/>
        <v>0.20413073082160688</v>
      </c>
      <c r="AW76" s="38">
        <f t="shared" si="127"/>
        <v>0.26138165345413361</v>
      </c>
      <c r="AX76" s="38">
        <f t="shared" si="127"/>
        <v>-6.4889997731912008E-2</v>
      </c>
      <c r="AY76" s="38">
        <f t="shared" si="127"/>
        <v>0.15710740072202165</v>
      </c>
      <c r="AZ76" s="38">
        <f t="shared" si="127"/>
        <v>-3.9282490974729238E-2</v>
      </c>
      <c r="BA76" s="38">
        <f t="shared" si="127"/>
        <v>-1.9173441734417346E-2</v>
      </c>
      <c r="BB76" s="38">
        <f t="shared" si="127"/>
        <v>-0.12845216606498194</v>
      </c>
      <c r="BC76" s="38">
        <f t="shared" si="127"/>
        <v>0.18049988741274486</v>
      </c>
      <c r="BD76" s="38">
        <f t="shared" si="127"/>
        <v>2.8789923526765624E-3</v>
      </c>
      <c r="BE76" s="38">
        <f t="shared" si="127"/>
        <v>0.10604630253989659</v>
      </c>
      <c r="BF76" s="38">
        <f t="shared" si="127"/>
        <v>7.4724533393298848E-2</v>
      </c>
      <c r="BG76" s="38">
        <f t="shared" si="127"/>
        <v>0.47544923629829289</v>
      </c>
      <c r="BH76" s="38">
        <f t="shared" si="127"/>
        <v>0.30168956972291056</v>
      </c>
      <c r="BI76" s="38">
        <f t="shared" si="127"/>
        <v>0.42772366930917322</v>
      </c>
      <c r="BJ76" s="38">
        <f t="shared" si="127"/>
        <v>0.35810688405797103</v>
      </c>
      <c r="BK76" s="38">
        <f t="shared" ref="BK76:BQ76" si="128">BK74/BK75</f>
        <v>0.49451515852811856</v>
      </c>
      <c r="BL76" s="38">
        <f t="shared" si="128"/>
        <v>0.28191118344571031</v>
      </c>
      <c r="BM76" s="38">
        <f t="shared" si="128"/>
        <v>0.51242410088743573</v>
      </c>
      <c r="BN76" s="38">
        <f t="shared" si="128"/>
        <v>0.32088474970896391</v>
      </c>
      <c r="BO76" s="38">
        <f t="shared" si="128"/>
        <v>0.62272408144161007</v>
      </c>
      <c r="BP76" s="38">
        <f t="shared" si="128"/>
        <v>0.53325493885230479</v>
      </c>
      <c r="BQ76" s="38">
        <f t="shared" si="128"/>
        <v>0.62673733804475851</v>
      </c>
      <c r="BR76" s="38">
        <f>BR74/BR75</f>
        <v>0.44054117647058821</v>
      </c>
      <c r="CA76" s="38">
        <f t="shared" ref="CA76:CP76" si="129">CA74/CA75</f>
        <v>6.1864520456069744E-2</v>
      </c>
      <c r="CB76" s="38">
        <f t="shared" si="129"/>
        <v>7.447196167082798E-2</v>
      </c>
      <c r="CC76" s="38">
        <f t="shared" si="129"/>
        <v>7.2735164462529672E-2</v>
      </c>
      <c r="CD76" s="38">
        <f t="shared" si="129"/>
        <v>-5.6359776104999027E-3</v>
      </c>
      <c r="CE76" s="38">
        <f t="shared" si="129"/>
        <v>1.0837499228537927E-2</v>
      </c>
      <c r="CF76" s="38">
        <f t="shared" si="129"/>
        <v>-1.2663651511544869E-2</v>
      </c>
      <c r="CG76" s="38">
        <f t="shared" si="129"/>
        <v>-0.19759064464946821</v>
      </c>
      <c r="CH76" s="38">
        <f t="shared" si="129"/>
        <v>-0.36903692469229421</v>
      </c>
      <c r="CI76" s="38">
        <f t="shared" si="129"/>
        <v>-0.45398829867346346</v>
      </c>
      <c r="CJ76" s="38">
        <f t="shared" si="129"/>
        <v>-0.65599540361964959</v>
      </c>
      <c r="CK76" s="38">
        <f t="shared" si="129"/>
        <v>-0.71764168190127964</v>
      </c>
      <c r="CL76" s="38">
        <f t="shared" si="129"/>
        <v>0.43785746709033141</v>
      </c>
      <c r="CM76" s="38">
        <f t="shared" si="129"/>
        <v>-2.9790115098171983E-2</v>
      </c>
      <c r="CN76" s="38">
        <f t="shared" si="129"/>
        <v>0.36405555867963779</v>
      </c>
      <c r="CO76" s="38">
        <f t="shared" si="129"/>
        <v>1.5631869992100214</v>
      </c>
      <c r="CP76" s="38">
        <f t="shared" si="129"/>
        <v>1.6097912669341239</v>
      </c>
      <c r="CQ76" s="38">
        <f>CQ74/CQ75</f>
        <v>1.7498942420681549</v>
      </c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</row>
  </sheetData>
  <mergeCells count="1">
    <mergeCell ref="DJ50:DK50"/>
  </mergeCells>
  <conditionalFormatting sqref="DJ5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ntainsText" dxfId="4" priority="2" operator="containsText" text="Strong Sell">
      <formula>NOT(ISERROR(SEARCH("Strong Sell",DJ50)))</formula>
    </cfRule>
    <cfRule type="containsText" dxfId="3" priority="3" operator="containsText" text="Sell">
      <formula>NOT(ISERROR(SEARCH("Sell",DJ50)))</formula>
    </cfRule>
    <cfRule type="containsText" dxfId="2" priority="4" operator="containsText" text="Hold">
      <formula>NOT(ISERROR(SEARCH("Hold",DJ50)))</formula>
    </cfRule>
    <cfRule type="beginsWith" dxfId="1" priority="5" operator="beginsWith" text="Buy">
      <formula>LEFT(DJ50,LEN("Buy"))="Buy"</formula>
    </cfRule>
    <cfRule type="beginsWith" dxfId="0" priority="6" operator="beginsWith" text="Strong">
      <formula>LEFT(DJ50,LEN("Strong"))="Strong"</formula>
    </cfRule>
  </conditionalFormatting>
  <pageMargins left="0.7" right="0.7" top="0.75" bottom="0.75" header="0.3" footer="0.3"/>
  <ignoredErrors>
    <ignoredError sqref="C76:BR76 C35:BR35 BR37:BR43 CA75:CQ76 AY9:BR9 BN14:BR14 BN13:BR13 BJ16:BR19 BN10:BR12" evalError="1"/>
    <ignoredError sqref="CA72:CQ73 CP21 CA21:CN21 CA31:CP33 CA22:CP28 CO21 CA29:CQ30 CQ22:CQ28 CQ31:CQ33 CQ21 CQ35" formulaRange="1"/>
    <ignoredError sqref="CA35:CP35" evalError="1" formulaRange="1"/>
    <ignoredError sqref="CA34:CQ34" formula="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FD4A5-C172-4508-BDD9-9132B91E029B}">
  <dimension ref="A1:CI1557"/>
  <sheetViews>
    <sheetView topLeftCell="P58" zoomScale="40" zoomScaleNormal="40" workbookViewId="0">
      <selection activeCell="AI51" sqref="AI51"/>
    </sheetView>
  </sheetViews>
  <sheetFormatPr defaultColWidth="9.140625" defaultRowHeight="14.25"/>
  <cols>
    <col min="1" max="7" width="0" style="1" hidden="1" customWidth="1"/>
    <col min="8" max="8" width="3.140625" style="1" hidden="1" customWidth="1"/>
    <col min="9" max="15" width="0" style="1" hidden="1" customWidth="1"/>
    <col min="16" max="16" width="3.140625" style="1" customWidth="1"/>
    <col min="17" max="36" width="9.140625" style="1"/>
    <col min="37" max="37" width="2.85546875" style="1" customWidth="1"/>
    <col min="38" max="16384" width="9.140625" style="1"/>
  </cols>
  <sheetData>
    <row r="1" spans="16:87">
      <c r="CI1" s="1">
        <v>0</v>
      </c>
    </row>
    <row r="2" spans="16:87" ht="15">
      <c r="P2" s="2" t="s">
        <v>93</v>
      </c>
      <c r="AL2" s="2" t="s">
        <v>955</v>
      </c>
    </row>
    <row r="36" spans="16:38" ht="15">
      <c r="P36" s="2" t="s">
        <v>957</v>
      </c>
    </row>
    <row r="37" spans="16:38" ht="15">
      <c r="AL37" s="2" t="s">
        <v>956</v>
      </c>
    </row>
    <row r="38" spans="16:38" ht="15">
      <c r="AL38" s="2" t="s">
        <v>73</v>
      </c>
    </row>
    <row r="65" spans="16:38">
      <c r="Q65" s="1" t="s">
        <v>15</v>
      </c>
      <c r="R65" s="1" t="s">
        <v>16</v>
      </c>
    </row>
    <row r="66" spans="16:38">
      <c r="R66" s="1" t="s">
        <v>17</v>
      </c>
    </row>
    <row r="67" spans="16:38">
      <c r="R67" s="1" t="s">
        <v>18</v>
      </c>
    </row>
    <row r="69" spans="16:38" ht="15">
      <c r="P69" s="2" t="s">
        <v>14</v>
      </c>
      <c r="AL69" s="2" t="s">
        <v>74</v>
      </c>
    </row>
    <row r="101" spans="16:38">
      <c r="Q101" s="1" t="s">
        <v>15</v>
      </c>
      <c r="R101" s="1" t="s">
        <v>16</v>
      </c>
    </row>
    <row r="102" spans="16:38">
      <c r="R102" s="1" t="s">
        <v>17</v>
      </c>
    </row>
    <row r="103" spans="16:38">
      <c r="R103" s="1" t="s">
        <v>18</v>
      </c>
    </row>
    <row r="105" spans="16:38" ht="15">
      <c r="P105" s="2" t="s">
        <v>96</v>
      </c>
      <c r="AL105" s="2" t="s">
        <v>75</v>
      </c>
    </row>
    <row r="134" spans="16:38">
      <c r="Q134" s="1" t="s">
        <v>15</v>
      </c>
      <c r="R134" s="1" t="s">
        <v>16</v>
      </c>
    </row>
    <row r="135" spans="16:38">
      <c r="R135" s="1" t="s">
        <v>17</v>
      </c>
    </row>
    <row r="136" spans="16:38">
      <c r="R136" s="1" t="s">
        <v>18</v>
      </c>
    </row>
    <row r="138" spans="16:38" ht="15">
      <c r="P138" s="2" t="s">
        <v>95</v>
      </c>
      <c r="AL138" s="2" t="s">
        <v>76</v>
      </c>
    </row>
    <row r="154" ht="15" customHeight="1"/>
    <row r="167" spans="17:18">
      <c r="Q167" s="1" t="s">
        <v>15</v>
      </c>
      <c r="R167" s="1" t="s">
        <v>16</v>
      </c>
    </row>
    <row r="168" spans="17:18">
      <c r="R168" s="1" t="s">
        <v>17</v>
      </c>
    </row>
    <row r="169" spans="17:18">
      <c r="R169" s="1" t="s">
        <v>18</v>
      </c>
    </row>
    <row r="184" spans="1:15">
      <c r="A184" s="1" t="s">
        <v>114</v>
      </c>
      <c r="I184" s="1" t="s">
        <v>941</v>
      </c>
    </row>
    <row r="185" spans="1:15">
      <c r="A185" s="1" t="s">
        <v>940</v>
      </c>
      <c r="I185" s="1" t="s">
        <v>940</v>
      </c>
    </row>
    <row r="186" spans="1:15">
      <c r="A186" s="24" t="s">
        <v>19</v>
      </c>
      <c r="B186" s="24" t="s">
        <v>20</v>
      </c>
      <c r="C186" s="24" t="s">
        <v>21</v>
      </c>
      <c r="D186" s="24" t="s">
        <v>22</v>
      </c>
      <c r="E186" s="24" t="s">
        <v>23</v>
      </c>
      <c r="F186" s="24" t="s">
        <v>24</v>
      </c>
      <c r="G186" s="24" t="s">
        <v>25</v>
      </c>
      <c r="I186" s="24" t="s">
        <v>19</v>
      </c>
      <c r="J186" s="24" t="s">
        <v>20</v>
      </c>
      <c r="K186" s="24" t="s">
        <v>21</v>
      </c>
      <c r="L186" s="24" t="s">
        <v>22</v>
      </c>
      <c r="M186" s="24" t="s">
        <v>23</v>
      </c>
      <c r="N186" s="24" t="s">
        <v>24</v>
      </c>
      <c r="O186" s="24" t="s">
        <v>25</v>
      </c>
    </row>
    <row r="187" spans="1:15">
      <c r="A187" s="78">
        <v>630.48</v>
      </c>
      <c r="B187" s="78">
        <v>632.98</v>
      </c>
      <c r="C187" s="78">
        <v>629.48</v>
      </c>
      <c r="D187" s="78">
        <v>630.29999999999995</v>
      </c>
      <c r="E187" s="78">
        <v>5007553</v>
      </c>
      <c r="F187" s="78" t="s">
        <v>187</v>
      </c>
      <c r="G187" s="25">
        <f t="shared" ref="G187:G250" si="0">A187/D187-1</f>
        <v>2.8557829604958229E-4</v>
      </c>
      <c r="I187" s="78">
        <v>100.24</v>
      </c>
      <c r="J187" s="78">
        <v>104.79</v>
      </c>
      <c r="K187" s="78">
        <v>97.74</v>
      </c>
      <c r="L187" s="78">
        <v>98.775000000000006</v>
      </c>
      <c r="M187" s="78">
        <v>132389043</v>
      </c>
      <c r="N187" s="78" t="s">
        <v>187</v>
      </c>
      <c r="O187" s="25">
        <f t="shared" ref="O187:O250" si="1">I187/L187-1</f>
        <v>1.4831688180207525E-2</v>
      </c>
    </row>
    <row r="188" spans="1:15">
      <c r="A188" s="78">
        <v>629.29999999999995</v>
      </c>
      <c r="B188" s="78">
        <v>630.17999999999995</v>
      </c>
      <c r="C188" s="78">
        <v>626.48</v>
      </c>
      <c r="D188" s="78">
        <v>630.13</v>
      </c>
      <c r="E188" s="78">
        <v>5114434</v>
      </c>
      <c r="F188" s="78" t="s">
        <v>188</v>
      </c>
      <c r="G188" s="25">
        <f t="shared" si="0"/>
        <v>-1.3171885166554098E-3</v>
      </c>
      <c r="I188" s="78">
        <v>103.22</v>
      </c>
      <c r="J188" s="78">
        <v>103.8</v>
      </c>
      <c r="K188" s="78">
        <v>101.77</v>
      </c>
      <c r="L188" s="78">
        <v>103.57</v>
      </c>
      <c r="M188" s="78">
        <v>51328769</v>
      </c>
      <c r="N188" s="78" t="s">
        <v>188</v>
      </c>
      <c r="O188" s="25">
        <f t="shared" si="1"/>
        <v>-3.3793569566475945E-3</v>
      </c>
    </row>
    <row r="189" spans="1:15">
      <c r="A189" s="78">
        <v>628.77</v>
      </c>
      <c r="B189" s="78">
        <v>629.78</v>
      </c>
      <c r="C189" s="78">
        <v>624.95000000000005</v>
      </c>
      <c r="D189" s="78">
        <v>625.77</v>
      </c>
      <c r="E189" s="78">
        <v>5149531</v>
      </c>
      <c r="F189" s="78" t="s">
        <v>189</v>
      </c>
      <c r="G189" s="25">
        <f t="shared" si="0"/>
        <v>4.7940936765904496E-3</v>
      </c>
      <c r="I189" s="78">
        <v>103.96</v>
      </c>
      <c r="J189" s="78">
        <v>106.87</v>
      </c>
      <c r="K189" s="78">
        <v>102.03</v>
      </c>
      <c r="L189" s="78">
        <v>106.59</v>
      </c>
      <c r="M189" s="78">
        <v>52928334</v>
      </c>
      <c r="N189" s="78" t="s">
        <v>189</v>
      </c>
      <c r="O189" s="25">
        <f t="shared" si="1"/>
        <v>-2.4673984426306528E-2</v>
      </c>
    </row>
    <row r="190" spans="1:15">
      <c r="A190" s="78">
        <v>626.58000000000004</v>
      </c>
      <c r="B190" s="78">
        <v>628.77</v>
      </c>
      <c r="C190" s="78">
        <v>624.62</v>
      </c>
      <c r="D190" s="78">
        <v>627.01</v>
      </c>
      <c r="E190" s="78">
        <v>5256797</v>
      </c>
      <c r="F190" s="78" t="s">
        <v>190</v>
      </c>
      <c r="G190" s="25">
        <f t="shared" si="0"/>
        <v>-6.8579448493633066E-4</v>
      </c>
      <c r="I190" s="78">
        <v>109.35</v>
      </c>
      <c r="J190" s="78">
        <v>109.73</v>
      </c>
      <c r="K190" s="78">
        <v>107.52</v>
      </c>
      <c r="L190" s="78">
        <v>109.205</v>
      </c>
      <c r="M190" s="78">
        <v>24894150</v>
      </c>
      <c r="N190" s="78" t="s">
        <v>190</v>
      </c>
      <c r="O190" s="25">
        <f t="shared" si="1"/>
        <v>1.3277780321414578E-3</v>
      </c>
    </row>
    <row r="191" spans="1:15">
      <c r="A191" s="78">
        <v>625.52</v>
      </c>
      <c r="B191" s="78">
        <v>628.01</v>
      </c>
      <c r="C191" s="78">
        <v>624.1</v>
      </c>
      <c r="D191" s="78">
        <v>624.16999999999996</v>
      </c>
      <c r="E191" s="78">
        <v>8381362</v>
      </c>
      <c r="F191" s="78" t="s">
        <v>191</v>
      </c>
      <c r="G191" s="25">
        <f t="shared" si="0"/>
        <v>2.1628722944069256E-3</v>
      </c>
      <c r="I191" s="78">
        <v>109.13</v>
      </c>
      <c r="J191" s="78">
        <v>109.33499999999999</v>
      </c>
      <c r="K191" s="78">
        <v>106.31</v>
      </c>
      <c r="L191" s="78">
        <v>106.51</v>
      </c>
      <c r="M191" s="78">
        <v>24049038</v>
      </c>
      <c r="N191" s="78" t="s">
        <v>191</v>
      </c>
      <c r="O191" s="25">
        <f t="shared" si="1"/>
        <v>2.4598629236691316E-2</v>
      </c>
    </row>
    <row r="192" spans="1:15">
      <c r="A192" s="78">
        <v>628.41</v>
      </c>
      <c r="B192" s="78">
        <v>628.63</v>
      </c>
      <c r="C192" s="78">
        <v>625.70500000000004</v>
      </c>
      <c r="D192" s="78">
        <v>626.02499999999998</v>
      </c>
      <c r="E192" s="78">
        <v>2949167</v>
      </c>
      <c r="F192" s="78" t="s">
        <v>192</v>
      </c>
      <c r="G192" s="25">
        <f t="shared" si="0"/>
        <v>3.8097520067090773E-3</v>
      </c>
      <c r="I192" s="78">
        <v>107.58</v>
      </c>
      <c r="J192" s="78">
        <v>107.94</v>
      </c>
      <c r="K192" s="78">
        <v>106.24</v>
      </c>
      <c r="L192" s="78">
        <v>106.435</v>
      </c>
      <c r="M192" s="78">
        <v>15011024</v>
      </c>
      <c r="N192" s="78" t="s">
        <v>192</v>
      </c>
      <c r="O192" s="25">
        <f t="shared" si="1"/>
        <v>1.0757739465401484E-2</v>
      </c>
    </row>
    <row r="193" spans="1:21">
      <c r="A193" s="78">
        <v>624.95000000000005</v>
      </c>
      <c r="B193" s="78">
        <v>626.80999999999995</v>
      </c>
      <c r="C193" s="78">
        <v>622.26</v>
      </c>
      <c r="D193" s="78">
        <v>623.05999999999995</v>
      </c>
      <c r="E193" s="78">
        <v>5292533</v>
      </c>
      <c r="F193" s="78" t="s">
        <v>193</v>
      </c>
      <c r="G193" s="25">
        <f t="shared" si="0"/>
        <v>3.033415722402566E-3</v>
      </c>
      <c r="I193" s="78">
        <v>106.14</v>
      </c>
      <c r="J193" s="78">
        <v>106.95</v>
      </c>
      <c r="K193" s="78">
        <v>105.22</v>
      </c>
      <c r="L193" s="78">
        <v>105.74</v>
      </c>
      <c r="M193" s="78">
        <v>27859165</v>
      </c>
      <c r="N193" s="78" t="s">
        <v>193</v>
      </c>
      <c r="O193" s="25">
        <f t="shared" si="1"/>
        <v>3.7828636277663641E-3</v>
      </c>
    </row>
    <row r="194" spans="1:21">
      <c r="A194" s="78">
        <v>620.66</v>
      </c>
      <c r="B194" s="78">
        <v>621.75</v>
      </c>
      <c r="C194" s="78">
        <v>610.99</v>
      </c>
      <c r="D194" s="78">
        <v>614.78</v>
      </c>
      <c r="E194" s="78">
        <v>7289905</v>
      </c>
      <c r="F194" s="78" t="s">
        <v>194</v>
      </c>
      <c r="G194" s="25">
        <f t="shared" si="0"/>
        <v>9.5643970200722794E-3</v>
      </c>
      <c r="I194" s="78">
        <v>104.4</v>
      </c>
      <c r="J194" s="78">
        <v>106.3</v>
      </c>
      <c r="K194" s="78">
        <v>103.82</v>
      </c>
      <c r="L194" s="78">
        <v>106.12</v>
      </c>
      <c r="M194" s="78">
        <v>34376260</v>
      </c>
      <c r="N194" s="78" t="s">
        <v>194</v>
      </c>
      <c r="O194" s="25">
        <f t="shared" si="1"/>
        <v>-1.62080663399925E-2</v>
      </c>
    </row>
    <row r="195" spans="1:21">
      <c r="A195" s="78">
        <v>614.94000000000005</v>
      </c>
      <c r="B195" s="78">
        <v>616.09</v>
      </c>
      <c r="C195" s="78">
        <v>608.30499999999995</v>
      </c>
      <c r="D195" s="78">
        <v>609.28</v>
      </c>
      <c r="E195" s="78">
        <v>6218559</v>
      </c>
      <c r="F195" s="78" t="s">
        <v>195</v>
      </c>
      <c r="G195" s="25">
        <f t="shared" si="0"/>
        <v>9.2896533613446852E-3</v>
      </c>
      <c r="I195" s="78">
        <v>106.97</v>
      </c>
      <c r="J195" s="78">
        <v>108.04</v>
      </c>
      <c r="K195" s="78">
        <v>103.32</v>
      </c>
      <c r="L195" s="78">
        <v>104.25</v>
      </c>
      <c r="M195" s="78">
        <v>62152616</v>
      </c>
      <c r="N195" s="78" t="s">
        <v>195</v>
      </c>
      <c r="O195" s="25">
        <f t="shared" si="1"/>
        <v>2.6091127098321287E-2</v>
      </c>
    </row>
    <row r="196" spans="1:21">
      <c r="A196" s="78">
        <v>605.92999999999995</v>
      </c>
      <c r="B196" s="78">
        <v>611.01</v>
      </c>
      <c r="C196" s="78">
        <v>598.38</v>
      </c>
      <c r="D196" s="78">
        <v>602.25</v>
      </c>
      <c r="E196" s="78">
        <v>9789866</v>
      </c>
      <c r="F196" s="78" t="s">
        <v>196</v>
      </c>
      <c r="G196" s="25">
        <f t="shared" si="0"/>
        <v>6.1104192611041164E-3</v>
      </c>
      <c r="I196" s="78">
        <v>104.31</v>
      </c>
      <c r="J196" s="78">
        <v>106.53</v>
      </c>
      <c r="K196" s="78">
        <v>103.81</v>
      </c>
      <c r="L196" s="78">
        <v>105.13</v>
      </c>
      <c r="M196" s="78">
        <v>40853314</v>
      </c>
      <c r="N196" s="78" t="s">
        <v>196</v>
      </c>
      <c r="O196" s="25">
        <f t="shared" si="1"/>
        <v>-7.7998668315418795E-3</v>
      </c>
    </row>
    <row r="197" spans="1:21">
      <c r="A197" s="78">
        <v>599.96</v>
      </c>
      <c r="B197" s="78">
        <v>621.12879999999996</v>
      </c>
      <c r="C197" s="78">
        <v>599.36</v>
      </c>
      <c r="D197" s="78">
        <v>618.72</v>
      </c>
      <c r="E197" s="78">
        <v>13857655</v>
      </c>
      <c r="F197" s="78" t="s">
        <v>197</v>
      </c>
      <c r="G197" s="25">
        <f t="shared" si="0"/>
        <v>-3.0320662011895538E-2</v>
      </c>
      <c r="I197" s="78">
        <v>105.67</v>
      </c>
      <c r="J197" s="78">
        <v>111.1</v>
      </c>
      <c r="K197" s="78">
        <v>105.39</v>
      </c>
      <c r="L197" s="78">
        <v>111</v>
      </c>
      <c r="M197" s="78">
        <v>36618387</v>
      </c>
      <c r="N197" s="78" t="s">
        <v>197</v>
      </c>
      <c r="O197" s="25">
        <f t="shared" si="1"/>
        <v>-4.8018018018017972E-2</v>
      </c>
    </row>
    <row r="198" spans="1:21">
      <c r="A198" s="78">
        <v>609.20000000000005</v>
      </c>
      <c r="B198" s="78">
        <v>613.56989999999996</v>
      </c>
      <c r="C198" s="78">
        <v>605.66999999999996</v>
      </c>
      <c r="D198" s="78">
        <v>607.52</v>
      </c>
      <c r="E198" s="78">
        <v>7297298</v>
      </c>
      <c r="F198" s="78" t="s">
        <v>198</v>
      </c>
      <c r="G198" s="25">
        <f t="shared" si="0"/>
        <v>2.7653410587307192E-3</v>
      </c>
      <c r="I198" s="78">
        <v>110</v>
      </c>
      <c r="J198" s="78">
        <v>113.34</v>
      </c>
      <c r="K198" s="78">
        <v>108.61</v>
      </c>
      <c r="L198" s="78">
        <v>113</v>
      </c>
      <c r="M198" s="78">
        <v>30905213</v>
      </c>
      <c r="N198" s="78" t="s">
        <v>198</v>
      </c>
      <c r="O198" s="25">
        <f t="shared" si="1"/>
        <v>-2.6548672566371723E-2</v>
      </c>
    </row>
    <row r="199" spans="1:21">
      <c r="A199" s="78">
        <v>607</v>
      </c>
      <c r="B199" s="78">
        <v>611.51</v>
      </c>
      <c r="C199" s="78">
        <v>603</v>
      </c>
      <c r="D199" s="78">
        <v>608.72</v>
      </c>
      <c r="E199" s="78">
        <v>8485565</v>
      </c>
      <c r="F199" s="78" t="s">
        <v>199</v>
      </c>
      <c r="G199" s="25">
        <f t="shared" si="0"/>
        <v>-2.8256012616638682E-3</v>
      </c>
      <c r="I199" s="78">
        <v>114.09</v>
      </c>
      <c r="J199" s="78">
        <v>115.25</v>
      </c>
      <c r="K199" s="78">
        <v>109.2</v>
      </c>
      <c r="L199" s="78">
        <v>110.29</v>
      </c>
      <c r="M199" s="78">
        <v>43257053</v>
      </c>
      <c r="N199" s="78" t="s">
        <v>199</v>
      </c>
      <c r="O199" s="25">
        <f t="shared" si="1"/>
        <v>3.4454619639133099E-2</v>
      </c>
      <c r="Q199" s="1" t="s">
        <v>15</v>
      </c>
      <c r="R199" s="1" t="s">
        <v>16</v>
      </c>
    </row>
    <row r="200" spans="1:21">
      <c r="A200" s="78">
        <v>612.04</v>
      </c>
      <c r="B200" s="78">
        <v>619.44849999999997</v>
      </c>
      <c r="C200" s="78">
        <v>608.80999999999995</v>
      </c>
      <c r="D200" s="78">
        <v>615.74</v>
      </c>
      <c r="E200" s="78">
        <v>8858869</v>
      </c>
      <c r="F200" s="78" t="s">
        <v>200</v>
      </c>
      <c r="G200" s="25">
        <f t="shared" si="0"/>
        <v>-6.0090297852990471E-3</v>
      </c>
      <c r="I200" s="78">
        <v>110.29</v>
      </c>
      <c r="J200" s="78">
        <v>111.85</v>
      </c>
      <c r="K200" s="78">
        <v>109.55</v>
      </c>
      <c r="L200" s="78">
        <v>110.75</v>
      </c>
      <c r="M200" s="78">
        <v>25704297</v>
      </c>
      <c r="N200" s="78" t="s">
        <v>200</v>
      </c>
      <c r="O200" s="25">
        <f t="shared" si="1"/>
        <v>-4.1534988713317622E-3</v>
      </c>
      <c r="R200" s="1" t="s">
        <v>17</v>
      </c>
    </row>
    <row r="201" spans="1:21">
      <c r="A201" s="78">
        <v>617.83000000000004</v>
      </c>
      <c r="B201" s="78">
        <v>621.21990000000005</v>
      </c>
      <c r="C201" s="78">
        <v>609.83000000000004</v>
      </c>
      <c r="D201" s="78">
        <v>611.75</v>
      </c>
      <c r="E201" s="78">
        <v>9651895</v>
      </c>
      <c r="F201" s="78" t="s">
        <v>201</v>
      </c>
      <c r="G201" s="25">
        <f t="shared" si="0"/>
        <v>9.9387004495301579E-3</v>
      </c>
      <c r="I201" s="78">
        <v>111.21700000000003</v>
      </c>
      <c r="J201" s="78">
        <v>114.27300000000002</v>
      </c>
      <c r="K201" s="78">
        <v>110.72100000000003</v>
      </c>
      <c r="L201" s="78">
        <v>114.27300000000002</v>
      </c>
      <c r="M201" s="78">
        <v>47202169.999999993</v>
      </c>
      <c r="N201" s="78" t="s">
        <v>201</v>
      </c>
      <c r="O201" s="25">
        <f t="shared" si="1"/>
        <v>-2.6742975155986115E-2</v>
      </c>
      <c r="R201" s="1" t="s">
        <v>18</v>
      </c>
    </row>
    <row r="202" spans="1:21">
      <c r="A202" s="78">
        <v>617.99</v>
      </c>
      <c r="B202" s="78">
        <v>626.02</v>
      </c>
      <c r="C202" s="78">
        <v>616.51</v>
      </c>
      <c r="D202" s="78">
        <v>625.66999999999996</v>
      </c>
      <c r="E202" s="78">
        <v>10526401</v>
      </c>
      <c r="F202" s="78" t="s">
        <v>202</v>
      </c>
      <c r="G202" s="25">
        <f t="shared" si="0"/>
        <v>-1.2274841370051193E-2</v>
      </c>
      <c r="I202" s="78">
        <v>115.42300000000003</v>
      </c>
      <c r="J202" s="78">
        <v>116.73300000000002</v>
      </c>
      <c r="K202" s="78">
        <v>114.56900000000003</v>
      </c>
      <c r="L202" s="78">
        <v>115.85000000000002</v>
      </c>
      <c r="M202" s="78">
        <v>39706349.999999993</v>
      </c>
      <c r="N202" s="78" t="s">
        <v>202</v>
      </c>
      <c r="O202" s="25">
        <f t="shared" si="1"/>
        <v>-3.6858006042295166E-3</v>
      </c>
    </row>
    <row r="203" spans="1:21">
      <c r="A203" s="78">
        <v>628.22</v>
      </c>
      <c r="B203" s="78">
        <v>629.77</v>
      </c>
      <c r="C203" s="78">
        <v>626.1</v>
      </c>
      <c r="D203" s="78">
        <v>629.65</v>
      </c>
      <c r="E203" s="78">
        <v>6065826</v>
      </c>
      <c r="F203" s="78" t="s">
        <v>203</v>
      </c>
      <c r="G203" s="25">
        <f t="shared" si="0"/>
        <v>-2.2711029937265703E-3</v>
      </c>
      <c r="I203" s="78">
        <v>115.75000000000003</v>
      </c>
      <c r="J203" s="78">
        <v>116.43399000000002</v>
      </c>
      <c r="K203" s="78">
        <v>112.82600000000002</v>
      </c>
      <c r="L203" s="78">
        <v>113.81700000000004</v>
      </c>
      <c r="M203" s="78">
        <v>39042489.999999993</v>
      </c>
      <c r="N203" s="78" t="s">
        <v>203</v>
      </c>
      <c r="O203" s="25">
        <f t="shared" si="1"/>
        <v>1.6983403182301293E-2</v>
      </c>
      <c r="Q203" s="26"/>
      <c r="R203" s="26" t="s">
        <v>26</v>
      </c>
      <c r="S203" s="27">
        <f>MIN(O181:O1143)</f>
        <v>-6.8479634939721867E-2</v>
      </c>
    </row>
    <row r="204" spans="1:21">
      <c r="A204" s="78">
        <v>627.91</v>
      </c>
      <c r="B204" s="78">
        <v>628.49</v>
      </c>
      <c r="C204" s="78">
        <v>624.07000000000005</v>
      </c>
      <c r="D204" s="78">
        <v>625.16</v>
      </c>
      <c r="E204" s="78">
        <v>5610874</v>
      </c>
      <c r="F204" s="78" t="s">
        <v>204</v>
      </c>
      <c r="G204" s="25">
        <f t="shared" si="0"/>
        <v>4.3988738882845269E-3</v>
      </c>
      <c r="I204" s="78">
        <v>113.64400000000003</v>
      </c>
      <c r="J204" s="78">
        <v>113.92199000000002</v>
      </c>
      <c r="K204" s="78">
        <v>111.28000000000002</v>
      </c>
      <c r="L204" s="78">
        <v>111.76000000000002</v>
      </c>
      <c r="M204" s="78">
        <v>27841569.999999996</v>
      </c>
      <c r="N204" s="78" t="s">
        <v>204</v>
      </c>
      <c r="O204" s="25">
        <f t="shared" si="1"/>
        <v>1.6857551896922063E-2</v>
      </c>
      <c r="Q204" s="26"/>
      <c r="R204" s="26" t="s">
        <v>27</v>
      </c>
      <c r="S204" s="27">
        <f>MAX(O181:O1143)</f>
        <v>0.10461135840547708</v>
      </c>
    </row>
    <row r="205" spans="1:21">
      <c r="A205" s="78">
        <v>626.47</v>
      </c>
      <c r="B205" s="78">
        <v>627.21</v>
      </c>
      <c r="C205" s="78">
        <v>620.66</v>
      </c>
      <c r="D205" s="78">
        <v>622.69000000000005</v>
      </c>
      <c r="E205" s="78">
        <v>8383792</v>
      </c>
      <c r="F205" s="78" t="s">
        <v>205</v>
      </c>
      <c r="G205" s="25">
        <f t="shared" si="0"/>
        <v>6.0704363326855582E-3</v>
      </c>
      <c r="I205" s="78">
        <v>112.00700000000002</v>
      </c>
      <c r="J205" s="78">
        <v>112.82000000000002</v>
      </c>
      <c r="K205" s="78">
        <v>110.40500000000002</v>
      </c>
      <c r="L205" s="78">
        <v>110.67150000000001</v>
      </c>
      <c r="M205" s="78">
        <v>36807599.999999993</v>
      </c>
      <c r="N205" s="78" t="s">
        <v>205</v>
      </c>
      <c r="O205" s="25">
        <f t="shared" si="1"/>
        <v>1.2067244051088277E-2</v>
      </c>
      <c r="Q205" s="26"/>
      <c r="R205" s="26" t="s">
        <v>28</v>
      </c>
      <c r="S205" s="27">
        <f>AVERAGE(O181:O1143)</f>
        <v>7.3773024973245273E-4</v>
      </c>
    </row>
    <row r="206" spans="1:21">
      <c r="A206" s="78">
        <v>616.89</v>
      </c>
      <c r="B206" s="78">
        <v>617.02</v>
      </c>
      <c r="C206" s="78">
        <v>607.91999999999996</v>
      </c>
      <c r="D206" s="78">
        <v>614.09</v>
      </c>
      <c r="E206" s="78">
        <v>7527198</v>
      </c>
      <c r="F206" s="78" t="s">
        <v>206</v>
      </c>
      <c r="G206" s="25">
        <f t="shared" si="0"/>
        <v>4.5595922421794999E-3</v>
      </c>
      <c r="I206" s="78">
        <v>110.36600000000003</v>
      </c>
      <c r="J206" s="78">
        <v>110.82200000000003</v>
      </c>
      <c r="K206" s="78">
        <v>108.75000000000001</v>
      </c>
      <c r="L206" s="78">
        <v>109.41750000000002</v>
      </c>
      <c r="M206" s="78">
        <v>43369519.999999993</v>
      </c>
      <c r="N206" s="78" t="s">
        <v>206</v>
      </c>
      <c r="O206" s="25">
        <f t="shared" si="1"/>
        <v>8.6686316174287015E-3</v>
      </c>
      <c r="Q206" s="26"/>
      <c r="R206" s="26" t="s">
        <v>29</v>
      </c>
      <c r="S206" s="27">
        <f>MEDIAN(O181:O1143)</f>
        <v>8.2876743864823688E-4</v>
      </c>
    </row>
    <row r="207" spans="1:21" ht="15">
      <c r="A207" s="78">
        <v>616.24</v>
      </c>
      <c r="B207" s="78">
        <v>622.79</v>
      </c>
      <c r="C207" s="78">
        <v>614.82000000000005</v>
      </c>
      <c r="D207" s="78">
        <v>621.96</v>
      </c>
      <c r="E207" s="78">
        <v>7032116</v>
      </c>
      <c r="F207" s="78" t="s">
        <v>207</v>
      </c>
      <c r="G207" s="25">
        <f t="shared" si="0"/>
        <v>-9.1967329088687988E-3</v>
      </c>
      <c r="I207" s="78">
        <v>109.70200000000001</v>
      </c>
      <c r="J207" s="78">
        <v>110.37000000000003</v>
      </c>
      <c r="K207" s="78">
        <v>108.51300000000003</v>
      </c>
      <c r="L207" s="78">
        <v>109.45800000000001</v>
      </c>
      <c r="M207" s="78">
        <v>36049289.999999993</v>
      </c>
      <c r="N207" s="78" t="s">
        <v>207</v>
      </c>
      <c r="O207" s="25">
        <f t="shared" si="1"/>
        <v>2.2291655246762243E-3</v>
      </c>
      <c r="Q207" s="26"/>
      <c r="R207" s="26" t="s">
        <v>30</v>
      </c>
      <c r="S207" s="27">
        <f>_xlfn.STDEV.P(O181:O1143)</f>
        <v>1.696559557704528E-2</v>
      </c>
      <c r="U207" s="2"/>
    </row>
    <row r="208" spans="1:21" ht="15">
      <c r="A208" s="78">
        <v>622.86</v>
      </c>
      <c r="B208" s="78">
        <v>626</v>
      </c>
      <c r="C208" s="78">
        <v>619.83000000000004</v>
      </c>
      <c r="D208" s="78">
        <v>620.59</v>
      </c>
      <c r="E208" s="78">
        <v>10264461</v>
      </c>
      <c r="F208" s="78" t="s">
        <v>208</v>
      </c>
      <c r="G208" s="25">
        <f t="shared" si="0"/>
        <v>3.6578095038592995E-3</v>
      </c>
      <c r="I208" s="78">
        <v>109.84600000000003</v>
      </c>
      <c r="J208" s="78">
        <v>110.08500000000001</v>
      </c>
      <c r="K208" s="78">
        <v>107.33701000000003</v>
      </c>
      <c r="L208" s="78">
        <v>108.50000000000001</v>
      </c>
      <c r="M208" s="78">
        <v>35381669.999999993</v>
      </c>
      <c r="N208" s="78" t="s">
        <v>208</v>
      </c>
      <c r="O208" s="25">
        <f t="shared" si="1"/>
        <v>1.2405529953917194E-2</v>
      </c>
      <c r="Q208" s="26"/>
      <c r="R208" s="28" t="s">
        <v>31</v>
      </c>
      <c r="S208" s="27">
        <f>3*S207</f>
        <v>5.0896786731135839E-2</v>
      </c>
      <c r="T208" s="26"/>
      <c r="U208" s="2" t="s">
        <v>86</v>
      </c>
    </row>
    <row r="209" spans="1:25" ht="15">
      <c r="A209" s="78">
        <v>620.99</v>
      </c>
      <c r="B209" s="78">
        <v>625.16999999999996</v>
      </c>
      <c r="C209" s="78">
        <v>620.20000000000005</v>
      </c>
      <c r="D209" s="78">
        <v>621.65</v>
      </c>
      <c r="E209" s="78">
        <v>8203353</v>
      </c>
      <c r="F209" s="78" t="s">
        <v>209</v>
      </c>
      <c r="G209" s="25">
        <f t="shared" si="0"/>
        <v>-1.0616906619479449E-3</v>
      </c>
      <c r="I209" s="78">
        <v>109.29600000000002</v>
      </c>
      <c r="J209" s="78">
        <v>110.45999000000002</v>
      </c>
      <c r="K209" s="78">
        <v>108.66800000000002</v>
      </c>
      <c r="L209" s="78">
        <v>109.99900000000002</v>
      </c>
      <c r="M209" s="78">
        <v>36968889.999999993</v>
      </c>
      <c r="N209" s="78" t="s">
        <v>209</v>
      </c>
      <c r="O209" s="25">
        <f t="shared" si="1"/>
        <v>-6.3909671906108301E-3</v>
      </c>
      <c r="Q209" s="26"/>
      <c r="R209" s="28" t="s">
        <v>32</v>
      </c>
      <c r="S209" s="54">
        <f>_xlfn.COVARIANCE.P(O187:O435,G187:G435)/_xlfn.VAR.P(G187:G435)</f>
        <v>1.0345818830813753</v>
      </c>
      <c r="T209" s="26"/>
      <c r="U209" s="2" t="s">
        <v>33</v>
      </c>
    </row>
    <row r="210" spans="1:25">
      <c r="A210" s="78">
        <v>628.27</v>
      </c>
      <c r="B210" s="78">
        <v>630.54</v>
      </c>
      <c r="C210" s="78">
        <v>625.16</v>
      </c>
      <c r="D210" s="78">
        <v>630.41999999999996</v>
      </c>
      <c r="E210" s="78">
        <v>5510227</v>
      </c>
      <c r="F210" s="78" t="s">
        <v>210</v>
      </c>
      <c r="G210" s="25">
        <f t="shared" si="0"/>
        <v>-3.4104247961675993E-3</v>
      </c>
      <c r="I210" s="78">
        <v>110.00900000000001</v>
      </c>
      <c r="J210" s="78">
        <v>113.35000000000002</v>
      </c>
      <c r="K210" s="78">
        <v>107.51500000000003</v>
      </c>
      <c r="L210" s="78">
        <v>113.32400000000003</v>
      </c>
      <c r="M210" s="78">
        <v>57309569.999999993</v>
      </c>
      <c r="N210" s="78" t="s">
        <v>210</v>
      </c>
      <c r="O210" s="25">
        <f t="shared" si="1"/>
        <v>-2.9252409021919501E-2</v>
      </c>
    </row>
    <row r="211" spans="1:25">
      <c r="A211" s="78">
        <v>627.04</v>
      </c>
      <c r="B211" s="78">
        <v>629.94000000000005</v>
      </c>
      <c r="C211" s="78">
        <v>624.5</v>
      </c>
      <c r="D211" s="78">
        <v>629.84</v>
      </c>
      <c r="E211" s="78">
        <v>7019277</v>
      </c>
      <c r="F211" s="78" t="s">
        <v>211</v>
      </c>
      <c r="G211" s="25">
        <f t="shared" si="0"/>
        <v>-4.4455734789788925E-3</v>
      </c>
      <c r="I211" s="78">
        <v>111.88600000000001</v>
      </c>
      <c r="J211" s="78">
        <v>113.48800000000003</v>
      </c>
      <c r="K211" s="78">
        <v>110.19800000000002</v>
      </c>
      <c r="L211" s="78">
        <v>110.53900000000003</v>
      </c>
      <c r="M211" s="78">
        <v>66060389.999999985</v>
      </c>
      <c r="N211" s="78" t="s">
        <v>211</v>
      </c>
      <c r="O211" s="25">
        <f t="shared" si="1"/>
        <v>1.2185744397904541E-2</v>
      </c>
    </row>
    <row r="212" spans="1:25">
      <c r="A212" s="78">
        <v>625.24</v>
      </c>
      <c r="B212" s="78">
        <v>630.63</v>
      </c>
      <c r="C212" s="78">
        <v>625.1</v>
      </c>
      <c r="D212" s="78">
        <v>628.80999999999995</v>
      </c>
      <c r="E212" s="78">
        <v>6171678</v>
      </c>
      <c r="F212" s="78" t="s">
        <v>212</v>
      </c>
      <c r="G212" s="25">
        <f t="shared" si="0"/>
        <v>-5.6773906267393315E-3</v>
      </c>
      <c r="I212" s="78">
        <v>108.90000000000002</v>
      </c>
      <c r="J212" s="78">
        <v>110.61600000000003</v>
      </c>
      <c r="K212" s="78">
        <v>108.81100000000001</v>
      </c>
      <c r="L212" s="78">
        <v>109.44000000000003</v>
      </c>
      <c r="M212" s="78">
        <v>37919389.999999993</v>
      </c>
      <c r="N212" s="78" t="s">
        <v>212</v>
      </c>
      <c r="O212" s="25">
        <f t="shared" si="1"/>
        <v>-4.9342105263158187E-3</v>
      </c>
      <c r="Q212" s="29" t="s">
        <v>34</v>
      </c>
      <c r="R212" s="30">
        <v>1014</v>
      </c>
    </row>
    <row r="213" spans="1:25" ht="15" thickBot="1">
      <c r="A213" s="78">
        <v>631.95000000000005</v>
      </c>
      <c r="B213" s="78">
        <v>634.13</v>
      </c>
      <c r="C213" s="78">
        <v>627.87</v>
      </c>
      <c r="D213" s="78">
        <v>633.21</v>
      </c>
      <c r="E213" s="78">
        <v>6037388</v>
      </c>
      <c r="F213" s="78" t="s">
        <v>213</v>
      </c>
      <c r="G213" s="25">
        <f t="shared" si="0"/>
        <v>-1.9898611834936464E-3</v>
      </c>
      <c r="I213" s="78">
        <v>110.04100000000003</v>
      </c>
      <c r="J213" s="78">
        <v>110.85500000000002</v>
      </c>
      <c r="K213" s="78">
        <v>109.60000000000002</v>
      </c>
      <c r="L213" s="78">
        <v>109.98400000000001</v>
      </c>
      <c r="M213" s="78">
        <v>33242869.999999993</v>
      </c>
      <c r="N213" s="78" t="s">
        <v>213</v>
      </c>
      <c r="O213" s="25">
        <f t="shared" si="1"/>
        <v>5.1825720104758943E-4</v>
      </c>
      <c r="Q213" s="1" t="s">
        <v>35</v>
      </c>
      <c r="T213" s="1" t="s">
        <v>36</v>
      </c>
      <c r="X213" s="1" t="s">
        <v>37</v>
      </c>
    </row>
    <row r="214" spans="1:25" ht="15" customHeight="1">
      <c r="A214" s="78">
        <v>631.69000000000005</v>
      </c>
      <c r="B214" s="78">
        <v>633.39</v>
      </c>
      <c r="C214" s="78">
        <v>629.64</v>
      </c>
      <c r="D214" s="78">
        <v>631.71</v>
      </c>
      <c r="E214" s="78">
        <v>5575277</v>
      </c>
      <c r="F214" s="78" t="s">
        <v>214</v>
      </c>
      <c r="G214" s="25">
        <f t="shared" si="0"/>
        <v>-3.1660097196462011E-5</v>
      </c>
      <c r="I214" s="78">
        <v>110.25000000000003</v>
      </c>
      <c r="J214" s="78">
        <v>111.69799000000003</v>
      </c>
      <c r="K214" s="78">
        <v>109.30083000000002</v>
      </c>
      <c r="L214" s="78">
        <v>109.40000000000002</v>
      </c>
      <c r="M214" s="78">
        <v>40045829.999999993</v>
      </c>
      <c r="N214" s="78" t="s">
        <v>214</v>
      </c>
      <c r="O214" s="25">
        <f t="shared" si="1"/>
        <v>7.7696526508228558E-3</v>
      </c>
      <c r="Q214" s="85" t="s">
        <v>38</v>
      </c>
      <c r="R214" s="85" t="s">
        <v>39</v>
      </c>
      <c r="T214" s="31" t="s">
        <v>40</v>
      </c>
      <c r="U214" s="32" t="s">
        <v>41</v>
      </c>
      <c r="X214" s="31" t="s">
        <v>42</v>
      </c>
      <c r="Y214" s="32" t="s">
        <v>43</v>
      </c>
    </row>
    <row r="215" spans="1:25" ht="15">
      <c r="A215" s="78">
        <v>630</v>
      </c>
      <c r="B215" s="78">
        <v>630.29</v>
      </c>
      <c r="C215" s="78">
        <v>627.16</v>
      </c>
      <c r="D215" s="78">
        <v>627.74</v>
      </c>
      <c r="E215" s="78">
        <v>7804316</v>
      </c>
      <c r="F215" s="78" t="s">
        <v>215</v>
      </c>
      <c r="G215" s="25">
        <f t="shared" si="0"/>
        <v>3.600216650205379E-3</v>
      </c>
      <c r="I215" s="78">
        <v>109.45600000000002</v>
      </c>
      <c r="J215" s="78">
        <v>110.22800000000002</v>
      </c>
      <c r="K215" s="78">
        <v>108.73000000000002</v>
      </c>
      <c r="L215" s="78">
        <v>110.06700000000004</v>
      </c>
      <c r="M215" s="78">
        <v>46911139.999999993</v>
      </c>
      <c r="N215" s="78" t="s">
        <v>215</v>
      </c>
      <c r="O215" s="25">
        <f t="shared" si="1"/>
        <v>-5.5511642908412373E-3</v>
      </c>
      <c r="Q215" s="83">
        <v>-5.7500000000000016E-2</v>
      </c>
      <c r="R215">
        <v>1</v>
      </c>
      <c r="T215" s="53">
        <f t="shared" ref="T215:T238" si="2">T216-0.0025</f>
        <v>-6.0000000000000019E-2</v>
      </c>
      <c r="U215" s="1">
        <f t="shared" ref="U215:U246" si="3">_xlfn.NORM.DIST(T215,$S$205,$S$207,FALSE)</f>
        <v>3.8744740210539821E-2</v>
      </c>
      <c r="W215" s="1" t="s">
        <v>77</v>
      </c>
      <c r="X215" s="53">
        <f>S205</f>
        <v>7.3773024973245273E-4</v>
      </c>
      <c r="Y215" s="1">
        <v>0</v>
      </c>
    </row>
    <row r="216" spans="1:25" ht="15">
      <c r="A216" s="78">
        <v>622.54999999999995</v>
      </c>
      <c r="B216" s="78">
        <v>623.78989999999999</v>
      </c>
      <c r="C216" s="78">
        <v>621.20699999999999</v>
      </c>
      <c r="D216" s="78">
        <v>621.91999999999996</v>
      </c>
      <c r="E216" s="78">
        <v>5650844</v>
      </c>
      <c r="F216" s="78" t="s">
        <v>216</v>
      </c>
      <c r="G216" s="25">
        <f t="shared" si="0"/>
        <v>1.0129920246977342E-3</v>
      </c>
      <c r="I216" s="78">
        <v>109.46900000000002</v>
      </c>
      <c r="J216" s="78">
        <v>111.45100000000002</v>
      </c>
      <c r="K216" s="78">
        <v>109.44100000000003</v>
      </c>
      <c r="L216" s="78">
        <v>111.10000000000002</v>
      </c>
      <c r="M216" s="78">
        <v>59818389.999999985</v>
      </c>
      <c r="N216" s="78" t="s">
        <v>216</v>
      </c>
      <c r="O216" s="25">
        <f t="shared" si="1"/>
        <v>-1.4680468046804673E-2</v>
      </c>
      <c r="Q216" s="83">
        <v>-5.5000000000000014E-2</v>
      </c>
      <c r="R216">
        <v>0</v>
      </c>
      <c r="T216" s="53">
        <f t="shared" si="2"/>
        <v>-5.7500000000000016E-2</v>
      </c>
      <c r="U216" s="1">
        <f t="shared" si="3"/>
        <v>6.495430196887482E-2</v>
      </c>
      <c r="X216" s="53">
        <f>S205</f>
        <v>7.3773024973245273E-4</v>
      </c>
      <c r="Y216" s="1">
        <v>24</v>
      </c>
    </row>
    <row r="217" spans="1:25" ht="15">
      <c r="A217" s="78">
        <v>617.44000000000005</v>
      </c>
      <c r="B217" s="78">
        <v>618.47400000000005</v>
      </c>
      <c r="C217" s="78">
        <v>613.99</v>
      </c>
      <c r="D217" s="78">
        <v>614.25</v>
      </c>
      <c r="E217" s="78">
        <v>5825360</v>
      </c>
      <c r="F217" s="78" t="s">
        <v>217</v>
      </c>
      <c r="G217" s="25">
        <f t="shared" si="0"/>
        <v>5.1933251933253821E-3</v>
      </c>
      <c r="I217" s="78">
        <v>111.35900000000001</v>
      </c>
      <c r="J217" s="78">
        <v>112.78285000000002</v>
      </c>
      <c r="K217" s="78">
        <v>109.97300000000003</v>
      </c>
      <c r="L217" s="78">
        <v>112.69000000000003</v>
      </c>
      <c r="M217" s="78">
        <v>68101859.999999985</v>
      </c>
      <c r="N217" s="78" t="s">
        <v>217</v>
      </c>
      <c r="O217" s="25">
        <f t="shared" si="1"/>
        <v>-1.1811163368533273E-2</v>
      </c>
      <c r="Q217" s="83">
        <v>-5.2500000000000012E-2</v>
      </c>
      <c r="R217">
        <v>1</v>
      </c>
      <c r="T217" s="53">
        <f t="shared" si="2"/>
        <v>-5.5000000000000014E-2</v>
      </c>
      <c r="U217" s="1">
        <f t="shared" si="3"/>
        <v>0.10655474000523581</v>
      </c>
      <c r="W217" s="37" t="s">
        <v>78</v>
      </c>
      <c r="X217" s="53">
        <f>($S$207*-3)+$S$205</f>
        <v>-5.0159056481403383E-2</v>
      </c>
      <c r="Y217" s="1">
        <v>0</v>
      </c>
    </row>
    <row r="218" spans="1:25" ht="15">
      <c r="A218" s="78">
        <v>613.97</v>
      </c>
      <c r="B218" s="78">
        <v>617.83000000000004</v>
      </c>
      <c r="C218" s="78">
        <v>609.83000000000004</v>
      </c>
      <c r="D218" s="78">
        <v>617.83000000000004</v>
      </c>
      <c r="E218" s="78">
        <v>6119026</v>
      </c>
      <c r="F218" s="78" t="s">
        <v>218</v>
      </c>
      <c r="G218" s="25">
        <f t="shared" si="0"/>
        <v>-6.247673308191648E-3</v>
      </c>
      <c r="I218" s="78">
        <v>111.63700000000001</v>
      </c>
      <c r="J218" s="78">
        <v>115.76000000000002</v>
      </c>
      <c r="K218" s="78">
        <v>111.25100000000002</v>
      </c>
      <c r="L218" s="78">
        <v>114.29000000000003</v>
      </c>
      <c r="M218" s="78">
        <v>145343279.99999997</v>
      </c>
      <c r="N218" s="78" t="s">
        <v>218</v>
      </c>
      <c r="O218" s="25">
        <f t="shared" si="1"/>
        <v>-2.3212879517018226E-2</v>
      </c>
      <c r="Q218" s="83">
        <v>-5.000000000000001E-2</v>
      </c>
      <c r="R218">
        <v>0</v>
      </c>
      <c r="T218" s="53">
        <f t="shared" si="2"/>
        <v>-5.2500000000000012E-2</v>
      </c>
      <c r="U218" s="1">
        <f t="shared" si="3"/>
        <v>0.17104379132511788</v>
      </c>
      <c r="W218" s="38"/>
      <c r="X218" s="53">
        <f>($S$207*-3)+$S$205</f>
        <v>-5.0159056481403383E-2</v>
      </c>
      <c r="Y218" s="1">
        <v>1</v>
      </c>
    </row>
    <row r="219" spans="1:25" ht="15">
      <c r="A219" s="78">
        <v>617.09</v>
      </c>
      <c r="B219" s="78">
        <v>618.74</v>
      </c>
      <c r="C219" s="78">
        <v>615.98099999999999</v>
      </c>
      <c r="D219" s="78">
        <v>617.33000000000004</v>
      </c>
      <c r="E219" s="78">
        <v>4156131</v>
      </c>
      <c r="F219" s="78" t="s">
        <v>219</v>
      </c>
      <c r="G219" s="25">
        <f t="shared" si="0"/>
        <v>-3.8877099768364065E-4</v>
      </c>
      <c r="I219" s="78">
        <v>124.13500000000002</v>
      </c>
      <c r="J219" s="78">
        <v>124.85999000000002</v>
      </c>
      <c r="K219" s="78">
        <v>123.17600000000002</v>
      </c>
      <c r="L219" s="78">
        <v>124.28300000000002</v>
      </c>
      <c r="M219" s="78">
        <v>55372369.999999993</v>
      </c>
      <c r="N219" s="78" t="s">
        <v>219</v>
      </c>
      <c r="O219" s="25">
        <f t="shared" si="1"/>
        <v>-1.1908306043465489E-3</v>
      </c>
      <c r="Q219" s="83">
        <v>-4.7500000000000007E-2</v>
      </c>
      <c r="R219">
        <v>1</v>
      </c>
      <c r="T219" s="53">
        <f t="shared" si="2"/>
        <v>-5.000000000000001E-2</v>
      </c>
      <c r="U219" s="1">
        <f t="shared" si="3"/>
        <v>0.26866527790588496</v>
      </c>
      <c r="W219" s="37" t="s">
        <v>79</v>
      </c>
      <c r="X219" s="53">
        <f>($S$207*-2)+$S$205</f>
        <v>-3.3193460904358103E-2</v>
      </c>
      <c r="Y219" s="1">
        <v>0</v>
      </c>
    </row>
    <row r="220" spans="1:25" ht="15" customHeight="1">
      <c r="A220" s="78">
        <v>617.16999999999996</v>
      </c>
      <c r="B220" s="78">
        <v>618.01</v>
      </c>
      <c r="C220" s="78">
        <v>613.51</v>
      </c>
      <c r="D220" s="78">
        <v>613.51</v>
      </c>
      <c r="E220" s="78">
        <v>4049225</v>
      </c>
      <c r="F220" s="78" t="s">
        <v>220</v>
      </c>
      <c r="G220" s="25">
        <f t="shared" si="0"/>
        <v>5.9656729311665657E-3</v>
      </c>
      <c r="I220" s="78">
        <v>123.85600000000002</v>
      </c>
      <c r="J220" s="78">
        <v>124.77600000000002</v>
      </c>
      <c r="K220" s="78">
        <v>120.69000000000003</v>
      </c>
      <c r="L220" s="78">
        <v>120.78750000000002</v>
      </c>
      <c r="M220" s="78">
        <v>38736879.999999993</v>
      </c>
      <c r="N220" s="78" t="s">
        <v>220</v>
      </c>
      <c r="O220" s="25">
        <f t="shared" si="1"/>
        <v>2.5404118803684206E-2</v>
      </c>
      <c r="Q220" s="83">
        <v>-4.5000000000000005E-2</v>
      </c>
      <c r="R220">
        <v>3</v>
      </c>
      <c r="T220" s="53">
        <f t="shared" si="2"/>
        <v>-4.7500000000000007E-2</v>
      </c>
      <c r="U220" s="1">
        <f t="shared" si="3"/>
        <v>0.41293857701605335</v>
      </c>
      <c r="W220" s="38"/>
      <c r="X220" s="53">
        <f>($S$207*-2)+$S$205</f>
        <v>-3.3193460904358103E-2</v>
      </c>
      <c r="Y220" s="1">
        <v>4</v>
      </c>
    </row>
    <row r="221" spans="1:25" ht="15">
      <c r="A221" s="78">
        <v>610.76</v>
      </c>
      <c r="B221" s="78">
        <v>612.02</v>
      </c>
      <c r="C221" s="78">
        <v>605.1</v>
      </c>
      <c r="D221" s="78">
        <v>606.34</v>
      </c>
      <c r="E221" s="78">
        <v>6884090</v>
      </c>
      <c r="F221" s="78" t="s">
        <v>221</v>
      </c>
      <c r="G221" s="25">
        <f t="shared" si="0"/>
        <v>7.289639476201426E-3</v>
      </c>
      <c r="I221" s="78">
        <v>119.93600000000001</v>
      </c>
      <c r="J221" s="78">
        <v>120.31200000000001</v>
      </c>
      <c r="K221" s="78">
        <v>117.89500000000002</v>
      </c>
      <c r="L221" s="78">
        <v>118.36000000000001</v>
      </c>
      <c r="M221" s="78">
        <v>29145779.999999993</v>
      </c>
      <c r="N221" s="78" t="s">
        <v>221</v>
      </c>
      <c r="O221" s="25">
        <f t="shared" si="1"/>
        <v>1.3315309226089811E-2</v>
      </c>
      <c r="Q221" s="83">
        <v>-4.2500000000000003E-2</v>
      </c>
      <c r="R221">
        <v>2</v>
      </c>
      <c r="T221" s="53">
        <f t="shared" si="2"/>
        <v>-4.5000000000000005E-2</v>
      </c>
      <c r="U221" s="1">
        <f t="shared" si="3"/>
        <v>0.62105356423602764</v>
      </c>
      <c r="W221" s="39" t="s">
        <v>80</v>
      </c>
      <c r="X221" s="53">
        <f>($S$207*-1)+$S$205</f>
        <v>-1.6227865327312827E-2</v>
      </c>
      <c r="Y221" s="1">
        <v>0</v>
      </c>
    </row>
    <row r="222" spans="1:25" ht="15">
      <c r="A222" s="78">
        <v>607.39</v>
      </c>
      <c r="B222" s="78">
        <v>614.79999999999995</v>
      </c>
      <c r="C222" s="78">
        <v>604.14</v>
      </c>
      <c r="D222" s="78">
        <v>613.11</v>
      </c>
      <c r="E222" s="78">
        <v>7533209</v>
      </c>
      <c r="F222" s="78" t="s">
        <v>222</v>
      </c>
      <c r="G222" s="25">
        <f t="shared" si="0"/>
        <v>-9.3294841056255073E-3</v>
      </c>
      <c r="I222" s="78">
        <v>118.35900000000001</v>
      </c>
      <c r="J222" s="78">
        <v>121.67100000000002</v>
      </c>
      <c r="K222" s="78">
        <v>117.60000000000002</v>
      </c>
      <c r="L222" s="78">
        <v>121.21500000000003</v>
      </c>
      <c r="M222" s="78">
        <v>28207839.999999996</v>
      </c>
      <c r="N222" s="78" t="s">
        <v>222</v>
      </c>
      <c r="O222" s="25">
        <f t="shared" si="1"/>
        <v>-2.3561440415790336E-2</v>
      </c>
      <c r="Q222" s="83">
        <v>-0.04</v>
      </c>
      <c r="R222">
        <v>3</v>
      </c>
      <c r="T222" s="53">
        <f t="shared" si="2"/>
        <v>-4.2500000000000003E-2</v>
      </c>
      <c r="U222" s="1">
        <f t="shared" si="3"/>
        <v>0.91399190057675239</v>
      </c>
      <c r="X222" s="53">
        <f>($S$207*-1)+$S$205</f>
        <v>-1.6227865327312827E-2</v>
      </c>
      <c r="Y222" s="1">
        <v>15</v>
      </c>
    </row>
    <row r="223" spans="1:25" ht="15">
      <c r="A223" s="78">
        <v>611.42999999999995</v>
      </c>
      <c r="B223" s="78">
        <v>616.20500000000004</v>
      </c>
      <c r="C223" s="78">
        <v>605.82000000000005</v>
      </c>
      <c r="D223" s="78">
        <v>613.07000000000005</v>
      </c>
      <c r="E223" s="78">
        <v>6474986</v>
      </c>
      <c r="F223" s="78" t="s">
        <v>223</v>
      </c>
      <c r="G223" s="25">
        <f t="shared" si="0"/>
        <v>-2.6750615753504681E-3</v>
      </c>
      <c r="I223" s="78">
        <v>120.32900000000002</v>
      </c>
      <c r="J223" s="78">
        <v>121.96200000000002</v>
      </c>
      <c r="K223" s="78">
        <v>120.16100000000002</v>
      </c>
      <c r="L223" s="78">
        <v>121.30100000000002</v>
      </c>
      <c r="M223" s="78">
        <v>19650449.999999996</v>
      </c>
      <c r="N223" s="78" t="s">
        <v>223</v>
      </c>
      <c r="O223" s="25">
        <f t="shared" si="1"/>
        <v>-8.0131243765508842E-3</v>
      </c>
      <c r="Q223" s="83">
        <v>-3.7499999999999999E-2</v>
      </c>
      <c r="R223">
        <v>3</v>
      </c>
      <c r="T223" s="53">
        <f t="shared" si="2"/>
        <v>-0.04</v>
      </c>
      <c r="U223" s="1">
        <f t="shared" si="3"/>
        <v>1.3162104145847948</v>
      </c>
      <c r="W223" s="1" t="s">
        <v>81</v>
      </c>
      <c r="X223" s="53">
        <f>($S$207*1)+$S$205</f>
        <v>1.7703325826777732E-2</v>
      </c>
      <c r="Y223" s="1">
        <v>0</v>
      </c>
    </row>
    <row r="224" spans="1:25" ht="15">
      <c r="A224" s="78">
        <v>608.75</v>
      </c>
      <c r="B224" s="78">
        <v>612.14</v>
      </c>
      <c r="C224" s="78">
        <v>600.51</v>
      </c>
      <c r="D224" s="78">
        <v>604.20000000000005</v>
      </c>
      <c r="E224" s="78">
        <v>7469018</v>
      </c>
      <c r="F224" s="78" t="s">
        <v>224</v>
      </c>
      <c r="G224" s="25">
        <f t="shared" si="0"/>
        <v>7.5306190003310292E-3</v>
      </c>
      <c r="I224" s="78">
        <v>121.53500000000001</v>
      </c>
      <c r="J224" s="78">
        <v>122.42899000000003</v>
      </c>
      <c r="K224" s="78">
        <v>120.31000000000002</v>
      </c>
      <c r="L224" s="78">
        <v>121.47500000000002</v>
      </c>
      <c r="M224" s="78">
        <v>23472829.999999996</v>
      </c>
      <c r="N224" s="78" t="s">
        <v>224</v>
      </c>
      <c r="O224" s="25">
        <f t="shared" si="1"/>
        <v>4.9392879193232986E-4</v>
      </c>
      <c r="Q224" s="83">
        <v>-3.4999999999999996E-2</v>
      </c>
      <c r="R224">
        <v>2</v>
      </c>
      <c r="T224" s="53">
        <f t="shared" si="2"/>
        <v>-3.7499999999999999E-2</v>
      </c>
      <c r="U224" s="1">
        <f t="shared" si="3"/>
        <v>1.8547184214202177</v>
      </c>
      <c r="X224" s="53">
        <f>($S$207*1)+$S$205</f>
        <v>1.7703325826777732E-2</v>
      </c>
      <c r="Y224" s="1">
        <v>15</v>
      </c>
    </row>
    <row r="225" spans="1:25" ht="15">
      <c r="A225" s="78">
        <v>609.61</v>
      </c>
      <c r="B225" s="78">
        <v>611.02719999999999</v>
      </c>
      <c r="C225" s="78">
        <v>606.57500000000005</v>
      </c>
      <c r="D225" s="78">
        <v>607.37</v>
      </c>
      <c r="E225" s="78">
        <v>6942460</v>
      </c>
      <c r="F225" s="78" t="s">
        <v>225</v>
      </c>
      <c r="G225" s="25">
        <f t="shared" si="0"/>
        <v>3.6880320068493067E-3</v>
      </c>
      <c r="I225" s="78">
        <v>121.90300000000002</v>
      </c>
      <c r="J225" s="78">
        <v>123.11200000000001</v>
      </c>
      <c r="K225" s="78">
        <v>120.68100000000001</v>
      </c>
      <c r="L225" s="78">
        <v>122.13500000000002</v>
      </c>
      <c r="M225" s="78">
        <v>22905109.999999996</v>
      </c>
      <c r="N225" s="78" t="s">
        <v>225</v>
      </c>
      <c r="O225" s="25">
        <f t="shared" si="1"/>
        <v>-1.8995373971425478E-3</v>
      </c>
      <c r="Q225" s="83">
        <v>-3.2499999999999994E-2</v>
      </c>
      <c r="R225">
        <v>5</v>
      </c>
      <c r="T225" s="53">
        <f t="shared" si="2"/>
        <v>-3.4999999999999996E-2</v>
      </c>
      <c r="U225" s="1">
        <f t="shared" si="3"/>
        <v>2.5574098590928287</v>
      </c>
      <c r="W225" s="40" t="s">
        <v>82</v>
      </c>
      <c r="X225" s="53">
        <f>($S$207*2)+$S$205</f>
        <v>3.4668921403823015E-2</v>
      </c>
      <c r="Y225" s="1">
        <v>0</v>
      </c>
    </row>
    <row r="226" spans="1:25" ht="15">
      <c r="A226" s="78">
        <v>600.51</v>
      </c>
      <c r="B226" s="78">
        <v>619.6</v>
      </c>
      <c r="C226" s="78">
        <v>600.23</v>
      </c>
      <c r="D226" s="78">
        <v>617.99</v>
      </c>
      <c r="E226" s="78">
        <v>13339202</v>
      </c>
      <c r="F226" s="78" t="s">
        <v>226</v>
      </c>
      <c r="G226" s="25">
        <f t="shared" si="0"/>
        <v>-2.8285247334099317E-2</v>
      </c>
      <c r="I226" s="78">
        <v>122.00800000000001</v>
      </c>
      <c r="J226" s="78">
        <v>124.70000000000003</v>
      </c>
      <c r="K226" s="78">
        <v>121.91000000000001</v>
      </c>
      <c r="L226" s="78">
        <v>122.90000000000002</v>
      </c>
      <c r="M226" s="78">
        <v>41158569.999999993</v>
      </c>
      <c r="N226" s="78" t="s">
        <v>226</v>
      </c>
      <c r="O226" s="25">
        <f t="shared" si="1"/>
        <v>-7.2579332790887463E-3</v>
      </c>
      <c r="Q226" s="83">
        <v>-2.9999999999999995E-2</v>
      </c>
      <c r="R226">
        <v>7</v>
      </c>
      <c r="T226" s="53">
        <f t="shared" si="2"/>
        <v>-3.2499999999999994E-2</v>
      </c>
      <c r="U226" s="1">
        <f t="shared" si="3"/>
        <v>3.4505821526014442</v>
      </c>
      <c r="X226" s="53">
        <f>($S$207*2)+$S$205</f>
        <v>3.4668921403823015E-2</v>
      </c>
      <c r="Y226" s="1">
        <v>4</v>
      </c>
    </row>
    <row r="227" spans="1:25" ht="15">
      <c r="A227" s="78">
        <v>617.1</v>
      </c>
      <c r="B227" s="78">
        <v>619.59</v>
      </c>
      <c r="C227" s="78">
        <v>615.28</v>
      </c>
      <c r="D227" s="78">
        <v>619.23</v>
      </c>
      <c r="E227" s="78">
        <v>5879748</v>
      </c>
      <c r="F227" s="78" t="s">
        <v>227</v>
      </c>
      <c r="G227" s="25">
        <f t="shared" si="0"/>
        <v>-3.439755825783597E-3</v>
      </c>
      <c r="I227" s="78">
        <v>123.10700000000001</v>
      </c>
      <c r="J227" s="78">
        <v>123.75000000000003</v>
      </c>
      <c r="K227" s="78">
        <v>121.18200000000002</v>
      </c>
      <c r="L227" s="78">
        <v>121.42500000000003</v>
      </c>
      <c r="M227" s="78">
        <v>28154239.999999996</v>
      </c>
      <c r="N227" s="78" t="s">
        <v>227</v>
      </c>
      <c r="O227" s="25">
        <f t="shared" si="1"/>
        <v>1.3852172122709394E-2</v>
      </c>
      <c r="Q227" s="83">
        <v>-2.7499999999999997E-2</v>
      </c>
      <c r="R227">
        <v>5</v>
      </c>
      <c r="T227" s="53">
        <f t="shared" si="2"/>
        <v>-2.9999999999999995E-2</v>
      </c>
      <c r="U227" s="1">
        <f t="shared" si="3"/>
        <v>4.5556892782531531</v>
      </c>
      <c r="W227" s="40" t="s">
        <v>83</v>
      </c>
      <c r="X227" s="53">
        <f>($S$207*3)+$S$205</f>
        <v>5.1634516980868295E-2</v>
      </c>
      <c r="Y227" s="1">
        <v>0</v>
      </c>
    </row>
    <row r="228" spans="1:25" ht="15">
      <c r="A228" s="78">
        <v>618.77</v>
      </c>
      <c r="B228" s="78">
        <v>618.9</v>
      </c>
      <c r="C228" s="78">
        <v>615.46420000000001</v>
      </c>
      <c r="D228" s="78">
        <v>616.21500000000003</v>
      </c>
      <c r="E228" s="78">
        <v>5000436</v>
      </c>
      <c r="F228" s="78" t="s">
        <v>228</v>
      </c>
      <c r="G228" s="25">
        <f t="shared" si="0"/>
        <v>4.1462801132721161E-3</v>
      </c>
      <c r="I228" s="78">
        <v>121.42500000000003</v>
      </c>
      <c r="J228" s="78">
        <v>121.73900000000003</v>
      </c>
      <c r="K228" s="78">
        <v>119.20000000000002</v>
      </c>
      <c r="L228" s="78">
        <v>119.71100000000001</v>
      </c>
      <c r="M228" s="78">
        <v>28425139.999999996</v>
      </c>
      <c r="N228" s="78" t="s">
        <v>228</v>
      </c>
      <c r="O228" s="25">
        <f t="shared" si="1"/>
        <v>1.4317815405434864E-2</v>
      </c>
      <c r="Q228" s="83">
        <v>-2.4999999999999998E-2</v>
      </c>
      <c r="R228">
        <v>12</v>
      </c>
      <c r="T228" s="53">
        <f t="shared" si="2"/>
        <v>-2.7499999999999997E-2</v>
      </c>
      <c r="U228" s="1">
        <f t="shared" si="3"/>
        <v>5.8855290253727901</v>
      </c>
      <c r="W228" s="40"/>
      <c r="X228" s="53">
        <f>($S$207*3)+$S$205</f>
        <v>5.1634516980868295E-2</v>
      </c>
      <c r="Y228" s="1">
        <v>1</v>
      </c>
    </row>
    <row r="229" spans="1:25" ht="15">
      <c r="A229" s="78">
        <v>615.20000000000005</v>
      </c>
      <c r="B229" s="78">
        <v>618.73929999999996</v>
      </c>
      <c r="C229" s="78">
        <v>613.82000000000005</v>
      </c>
      <c r="D229" s="78">
        <v>618.29999999999995</v>
      </c>
      <c r="E229" s="78">
        <v>7439508</v>
      </c>
      <c r="F229" s="78" t="s">
        <v>229</v>
      </c>
      <c r="G229" s="25">
        <f t="shared" si="0"/>
        <v>-5.0137473718258052E-3</v>
      </c>
      <c r="I229" s="78">
        <v>119.10600000000002</v>
      </c>
      <c r="J229" s="78">
        <v>120.13650000000003</v>
      </c>
      <c r="K229" s="78">
        <v>117.74600000000002</v>
      </c>
      <c r="L229" s="78">
        <v>117.77900000000002</v>
      </c>
      <c r="M229" s="78">
        <v>32840039.999999993</v>
      </c>
      <c r="N229" s="78" t="s">
        <v>229</v>
      </c>
      <c r="O229" s="25">
        <f t="shared" si="1"/>
        <v>1.1266864211786354E-2</v>
      </c>
      <c r="Q229" s="83">
        <v>-2.2499999999999999E-2</v>
      </c>
      <c r="R229">
        <v>19</v>
      </c>
      <c r="T229" s="53">
        <f t="shared" si="2"/>
        <v>-2.4999999999999998E-2</v>
      </c>
      <c r="U229" s="1">
        <f t="shared" si="3"/>
        <v>7.4402341505045566</v>
      </c>
    </row>
    <row r="230" spans="1:25" ht="15">
      <c r="A230" s="78">
        <v>617.4</v>
      </c>
      <c r="B230" s="78">
        <v>618.28</v>
      </c>
      <c r="C230" s="78">
        <v>615.48</v>
      </c>
      <c r="D230" s="78">
        <v>617.46</v>
      </c>
      <c r="E230" s="78">
        <v>5958193</v>
      </c>
      <c r="F230" s="78" t="s">
        <v>230</v>
      </c>
      <c r="G230" s="25">
        <f t="shared" si="0"/>
        <v>-9.7172286463997892E-5</v>
      </c>
      <c r="I230" s="78">
        <v>116.33100000000002</v>
      </c>
      <c r="J230" s="78">
        <v>116.35800000000002</v>
      </c>
      <c r="K230" s="78">
        <v>114.54500000000003</v>
      </c>
      <c r="L230" s="78">
        <v>116.03700000000001</v>
      </c>
      <c r="M230" s="78">
        <v>29190719.999999993</v>
      </c>
      <c r="N230" s="78" t="s">
        <v>230</v>
      </c>
      <c r="O230" s="25">
        <f t="shared" si="1"/>
        <v>2.5336746037902813E-3</v>
      </c>
      <c r="Q230" s="83">
        <v>-0.02</v>
      </c>
      <c r="R230">
        <v>12</v>
      </c>
      <c r="T230" s="53">
        <f t="shared" si="2"/>
        <v>-2.2499999999999999E-2</v>
      </c>
      <c r="U230" s="1">
        <f t="shared" si="3"/>
        <v>9.2035926353997866</v>
      </c>
    </row>
    <row r="231" spans="1:25" ht="15">
      <c r="A231" s="78">
        <v>615.29999999999995</v>
      </c>
      <c r="B231" s="78">
        <v>618.41999999999996</v>
      </c>
      <c r="C231" s="78">
        <v>614.28800000000001</v>
      </c>
      <c r="D231" s="78">
        <v>615.95000000000005</v>
      </c>
      <c r="E231" s="78">
        <v>7187163</v>
      </c>
      <c r="F231" s="78" t="s">
        <v>231</v>
      </c>
      <c r="G231" s="25">
        <f t="shared" si="0"/>
        <v>-1.0552804610765021E-3</v>
      </c>
      <c r="I231" s="78">
        <v>115.33200000000002</v>
      </c>
      <c r="J231" s="78">
        <v>116.80000000000003</v>
      </c>
      <c r="K231" s="78">
        <v>114.32200000000003</v>
      </c>
      <c r="L231" s="78">
        <v>116.50000000000003</v>
      </c>
      <c r="M231" s="78">
        <v>30555429.999999993</v>
      </c>
      <c r="N231" s="78" t="s">
        <v>231</v>
      </c>
      <c r="O231" s="25">
        <f t="shared" si="1"/>
        <v>-1.0025751072961442E-2</v>
      </c>
      <c r="Q231" s="83">
        <v>-1.7500000000000002E-2</v>
      </c>
      <c r="R231">
        <v>18</v>
      </c>
      <c r="T231" s="53">
        <f t="shared" si="2"/>
        <v>-0.02</v>
      </c>
      <c r="U231" s="1">
        <f t="shared" si="3"/>
        <v>11.140324963961723</v>
      </c>
    </row>
    <row r="232" spans="1:25" ht="15">
      <c r="A232" s="78">
        <v>615.25</v>
      </c>
      <c r="B232" s="78">
        <v>616.48</v>
      </c>
      <c r="C232" s="78">
        <v>613.02</v>
      </c>
      <c r="D232" s="78">
        <v>616.41</v>
      </c>
      <c r="E232" s="78">
        <v>7036646</v>
      </c>
      <c r="F232" s="78" t="s">
        <v>232</v>
      </c>
      <c r="G232" s="25">
        <f t="shared" si="0"/>
        <v>-1.8818643435375426E-3</v>
      </c>
      <c r="I232" s="78">
        <v>116.25300000000001</v>
      </c>
      <c r="J232" s="78">
        <v>116.33300000000001</v>
      </c>
      <c r="K232" s="78">
        <v>113.40000000000002</v>
      </c>
      <c r="L232" s="78">
        <v>116.15000000000002</v>
      </c>
      <c r="M232" s="78">
        <v>46725369.999999993</v>
      </c>
      <c r="N232" s="78" t="s">
        <v>232</v>
      </c>
      <c r="O232" s="25">
        <f t="shared" si="1"/>
        <v>8.8678433060684903E-4</v>
      </c>
      <c r="Q232" s="83">
        <v>-1.5000000000000001E-2</v>
      </c>
      <c r="R232">
        <v>22</v>
      </c>
      <c r="T232" s="53">
        <f t="shared" si="2"/>
        <v>-1.7500000000000002E-2</v>
      </c>
      <c r="U232" s="1">
        <f t="shared" si="3"/>
        <v>13.194958174107056</v>
      </c>
    </row>
    <row r="233" spans="1:25" ht="15">
      <c r="A233" s="78">
        <v>614.57000000000005</v>
      </c>
      <c r="B233" s="78">
        <v>615.39</v>
      </c>
      <c r="C233" s="78">
        <v>609.57000000000005</v>
      </c>
      <c r="D233" s="78">
        <v>609.70000000000005</v>
      </c>
      <c r="E233" s="78">
        <v>9753029</v>
      </c>
      <c r="F233" s="78" t="s">
        <v>233</v>
      </c>
      <c r="G233" s="25">
        <f t="shared" si="0"/>
        <v>7.9875348532065793E-3</v>
      </c>
      <c r="I233" s="78">
        <v>117.09000000000003</v>
      </c>
      <c r="J233" s="78">
        <v>117.91400000000003</v>
      </c>
      <c r="K233" s="78">
        <v>116.32100000000003</v>
      </c>
      <c r="L233" s="78">
        <v>117.54900000000002</v>
      </c>
      <c r="M233" s="78">
        <v>40935499.999999993</v>
      </c>
      <c r="N233" s="78" t="s">
        <v>233</v>
      </c>
      <c r="O233" s="25">
        <f t="shared" si="1"/>
        <v>-3.9047546129697963E-3</v>
      </c>
      <c r="Q233" s="83">
        <v>-1.2500000000000001E-2</v>
      </c>
      <c r="R233">
        <v>29</v>
      </c>
      <c r="T233" s="53">
        <f t="shared" si="2"/>
        <v>-1.5000000000000001E-2</v>
      </c>
      <c r="U233" s="1">
        <f t="shared" si="3"/>
        <v>15.292830091376825</v>
      </c>
    </row>
    <row r="234" spans="1:25" ht="15">
      <c r="A234" s="78">
        <v>612.38</v>
      </c>
      <c r="B234" s="78">
        <v>612.86</v>
      </c>
      <c r="C234" s="78">
        <v>608.27</v>
      </c>
      <c r="D234" s="78">
        <v>609.42999999999995</v>
      </c>
      <c r="E234" s="78">
        <v>6481423</v>
      </c>
      <c r="F234" s="78" t="s">
        <v>234</v>
      </c>
      <c r="G234" s="25">
        <f t="shared" si="0"/>
        <v>4.8405887468618847E-3</v>
      </c>
      <c r="I234" s="78">
        <v>119.89200000000002</v>
      </c>
      <c r="J234" s="78">
        <v>120.85000000000002</v>
      </c>
      <c r="K234" s="78">
        <v>117.80000000000003</v>
      </c>
      <c r="L234" s="78">
        <v>120.64100000000003</v>
      </c>
      <c r="M234" s="78">
        <v>37987059.999999993</v>
      </c>
      <c r="N234" s="78" t="s">
        <v>234</v>
      </c>
      <c r="O234" s="25">
        <f t="shared" si="1"/>
        <v>-6.2085029136031977E-3</v>
      </c>
      <c r="Q234" s="83">
        <v>-0.01</v>
      </c>
      <c r="R234">
        <v>37</v>
      </c>
      <c r="T234" s="53">
        <f t="shared" si="2"/>
        <v>-1.2500000000000001E-2</v>
      </c>
      <c r="U234" s="1">
        <f t="shared" si="3"/>
        <v>17.343526005568776</v>
      </c>
    </row>
    <row r="235" spans="1:25" ht="15">
      <c r="A235" s="78">
        <v>610.13</v>
      </c>
      <c r="B235" s="78">
        <v>611.67999999999995</v>
      </c>
      <c r="C235" s="78">
        <v>608.48</v>
      </c>
      <c r="D235" s="78">
        <v>610.79</v>
      </c>
      <c r="E235" s="78">
        <v>5658835</v>
      </c>
      <c r="F235" s="78" t="s">
        <v>235</v>
      </c>
      <c r="G235" s="25">
        <f t="shared" si="0"/>
        <v>-1.0805677892564702E-3</v>
      </c>
      <c r="I235" s="78">
        <v>120.64100000000003</v>
      </c>
      <c r="J235" s="78">
        <v>122.44900000000003</v>
      </c>
      <c r="K235" s="78">
        <v>118.75400000000002</v>
      </c>
      <c r="L235" s="78">
        <v>120.50000000000003</v>
      </c>
      <c r="M235" s="78">
        <v>30331739.999999993</v>
      </c>
      <c r="N235" s="78" t="s">
        <v>235</v>
      </c>
      <c r="O235" s="25">
        <f t="shared" si="1"/>
        <v>1.1701244813278056E-3</v>
      </c>
      <c r="Q235" s="83">
        <v>-7.4999999999999997E-3</v>
      </c>
      <c r="R235">
        <v>30</v>
      </c>
      <c r="T235" s="53">
        <f t="shared" si="2"/>
        <v>-0.01</v>
      </c>
      <c r="U235" s="1">
        <f t="shared" si="3"/>
        <v>19.246714993465535</v>
      </c>
    </row>
    <row r="236" spans="1:25" ht="15">
      <c r="A236" s="78">
        <v>610.16</v>
      </c>
      <c r="B236" s="78">
        <v>610.70000000000005</v>
      </c>
      <c r="C236" s="78">
        <v>606.56500000000005</v>
      </c>
      <c r="D236" s="78">
        <v>608.03</v>
      </c>
      <c r="E236" s="78">
        <v>6438634</v>
      </c>
      <c r="F236" s="78" t="s">
        <v>236</v>
      </c>
      <c r="G236" s="25">
        <f t="shared" si="0"/>
        <v>3.5031166225349963E-3</v>
      </c>
      <c r="I236" s="78">
        <v>121.06100000000001</v>
      </c>
      <c r="J236" s="78">
        <v>121.40000000000002</v>
      </c>
      <c r="K236" s="78">
        <v>120.00000000000003</v>
      </c>
      <c r="L236" s="78">
        <v>120.54200000000003</v>
      </c>
      <c r="M236" s="78">
        <v>19449569.999999996</v>
      </c>
      <c r="N236" s="78" t="s">
        <v>236</v>
      </c>
      <c r="O236" s="25">
        <f t="shared" si="1"/>
        <v>4.3055532511486749E-3</v>
      </c>
      <c r="Q236" s="83">
        <v>-5.0000000000000001E-3</v>
      </c>
      <c r="R236">
        <v>41</v>
      </c>
      <c r="T236" s="53">
        <f t="shared" si="2"/>
        <v>-7.4999999999999997E-3</v>
      </c>
      <c r="U236" s="1">
        <f t="shared" si="3"/>
        <v>20.899963214956536</v>
      </c>
    </row>
    <row r="237" spans="1:25" ht="15">
      <c r="A237" s="78">
        <v>606.59</v>
      </c>
      <c r="B237" s="78">
        <v>607.92999999999995</v>
      </c>
      <c r="C237" s="78">
        <v>603.35</v>
      </c>
      <c r="D237" s="78">
        <v>606.62</v>
      </c>
      <c r="E237" s="78">
        <v>6927746</v>
      </c>
      <c r="F237" s="78" t="s">
        <v>237</v>
      </c>
      <c r="G237" s="25">
        <f t="shared" si="0"/>
        <v>-4.9454353631572801E-5</v>
      </c>
      <c r="I237" s="78">
        <v>120.82400000000003</v>
      </c>
      <c r="J237" s="78">
        <v>121.68400000000001</v>
      </c>
      <c r="K237" s="78">
        <v>119.15100000000002</v>
      </c>
      <c r="L237" s="78">
        <v>120.30900000000001</v>
      </c>
      <c r="M237" s="78">
        <v>19898219.999999996</v>
      </c>
      <c r="N237" s="78" t="s">
        <v>237</v>
      </c>
      <c r="O237" s="25">
        <f t="shared" si="1"/>
        <v>4.2806440083453801E-3</v>
      </c>
      <c r="Q237" s="83">
        <v>-2.5000000000000001E-3</v>
      </c>
      <c r="R237">
        <v>57</v>
      </c>
      <c r="T237" s="53">
        <f t="shared" si="2"/>
        <v>-5.0000000000000001E-3</v>
      </c>
      <c r="U237" s="1">
        <f t="shared" si="3"/>
        <v>22.207727262082638</v>
      </c>
    </row>
    <row r="238" spans="1:25" ht="15">
      <c r="A238" s="78">
        <v>609.5</v>
      </c>
      <c r="B238" s="78">
        <v>612.74</v>
      </c>
      <c r="C238" s="78">
        <v>608.19000000000005</v>
      </c>
      <c r="D238" s="78">
        <v>612.63</v>
      </c>
      <c r="E238" s="78">
        <v>23764079</v>
      </c>
      <c r="F238" s="78" t="s">
        <v>238</v>
      </c>
      <c r="G238" s="25">
        <f t="shared" si="0"/>
        <v>-5.1091196970438624E-3</v>
      </c>
      <c r="I238" s="78">
        <v>120.39500000000002</v>
      </c>
      <c r="J238" s="78">
        <v>122.15000000000002</v>
      </c>
      <c r="K238" s="78">
        <v>119.42000000000003</v>
      </c>
      <c r="L238" s="78">
        <v>121.86100000000002</v>
      </c>
      <c r="M238" s="78">
        <v>27366349.999999996</v>
      </c>
      <c r="N238" s="78" t="s">
        <v>238</v>
      </c>
      <c r="O238" s="25">
        <f t="shared" si="1"/>
        <v>-1.2030099867882171E-2</v>
      </c>
      <c r="Q238" s="83">
        <v>0</v>
      </c>
      <c r="R238">
        <v>48</v>
      </c>
      <c r="T238" s="53">
        <f t="shared" si="2"/>
        <v>-2.5000000000000001E-3</v>
      </c>
      <c r="U238" s="1">
        <f t="shared" si="3"/>
        <v>23.090449933942931</v>
      </c>
    </row>
    <row r="239" spans="1:25" ht="15">
      <c r="A239" s="78">
        <v>611.54</v>
      </c>
      <c r="B239" s="78">
        <v>615.26</v>
      </c>
      <c r="C239" s="78">
        <v>610.34100000000001</v>
      </c>
      <c r="D239" s="78">
        <v>614.70500000000004</v>
      </c>
      <c r="E239" s="78">
        <v>10728553</v>
      </c>
      <c r="F239" s="78" t="s">
        <v>239</v>
      </c>
      <c r="G239" s="25">
        <f t="shared" si="0"/>
        <v>-5.148811218389393E-3</v>
      </c>
      <c r="I239" s="78">
        <v>121.84700000000002</v>
      </c>
      <c r="J239" s="78">
        <v>122.77900000000002</v>
      </c>
      <c r="K239" s="78">
        <v>120.84700000000002</v>
      </c>
      <c r="L239" s="78">
        <v>122.73300000000002</v>
      </c>
      <c r="M239" s="78">
        <v>23693529.999999996</v>
      </c>
      <c r="N239" s="78" t="s">
        <v>239</v>
      </c>
      <c r="O239" s="25">
        <f t="shared" si="1"/>
        <v>-7.2189223762150201E-3</v>
      </c>
      <c r="Q239" s="83">
        <v>2.5000000000000001E-3</v>
      </c>
      <c r="R239">
        <v>48</v>
      </c>
      <c r="T239" s="53">
        <v>0</v>
      </c>
      <c r="U239" s="1">
        <f t="shared" si="3"/>
        <v>23.492560984533142</v>
      </c>
    </row>
    <row r="240" spans="1:25" ht="15">
      <c r="A240" s="78">
        <v>614.76</v>
      </c>
      <c r="B240" s="78">
        <v>615.22</v>
      </c>
      <c r="C240" s="78">
        <v>610.51</v>
      </c>
      <c r="D240" s="78">
        <v>610.52</v>
      </c>
      <c r="E240" s="78">
        <v>11551587</v>
      </c>
      <c r="F240" s="78" t="s">
        <v>240</v>
      </c>
      <c r="G240" s="25">
        <f t="shared" si="0"/>
        <v>6.9448994299941003E-3</v>
      </c>
      <c r="I240" s="78">
        <v>122.73700000000001</v>
      </c>
      <c r="J240" s="78">
        <v>122.97600000000003</v>
      </c>
      <c r="K240" s="78">
        <v>121.42432000000001</v>
      </c>
      <c r="L240" s="78">
        <v>122.19000000000003</v>
      </c>
      <c r="M240" s="78">
        <v>25332969.999999996</v>
      </c>
      <c r="N240" s="78" t="s">
        <v>240</v>
      </c>
      <c r="O240" s="25">
        <f t="shared" si="1"/>
        <v>4.4766347491609348E-3</v>
      </c>
      <c r="Q240" s="83">
        <v>5.0000000000000001E-3</v>
      </c>
      <c r="R240">
        <v>53</v>
      </c>
      <c r="T240" s="25">
        <f t="shared" ref="T240:T263" si="4">T239+0.0025</f>
        <v>2.5000000000000001E-3</v>
      </c>
      <c r="U240" s="1">
        <f t="shared" si="3"/>
        <v>23.388265609988458</v>
      </c>
    </row>
    <row r="241" spans="1:21" ht="15">
      <c r="A241" s="78">
        <v>611.78</v>
      </c>
      <c r="B241" s="78">
        <v>612.66999999999996</v>
      </c>
      <c r="C241" s="78">
        <v>608.85</v>
      </c>
      <c r="D241" s="78">
        <v>610.62</v>
      </c>
      <c r="E241" s="78">
        <v>6065655</v>
      </c>
      <c r="F241" s="78" t="s">
        <v>241</v>
      </c>
      <c r="G241" s="25">
        <f t="shared" si="0"/>
        <v>1.899708493007024E-3</v>
      </c>
      <c r="I241" s="78">
        <v>122.69700000000003</v>
      </c>
      <c r="J241" s="78">
        <v>122.99499000000003</v>
      </c>
      <c r="K241" s="78">
        <v>120.81000000000002</v>
      </c>
      <c r="L241" s="78">
        <v>121.86200000000001</v>
      </c>
      <c r="M241" s="78">
        <v>49475899.999999993</v>
      </c>
      <c r="N241" s="78" t="s">
        <v>241</v>
      </c>
      <c r="O241" s="25">
        <f t="shared" si="1"/>
        <v>6.8520129326616885E-3</v>
      </c>
      <c r="Q241" s="83">
        <v>7.4999999999999997E-3</v>
      </c>
      <c r="R241">
        <v>45</v>
      </c>
      <c r="T241" s="25">
        <f t="shared" si="4"/>
        <v>5.0000000000000001E-3</v>
      </c>
      <c r="U241" s="1">
        <f t="shared" si="3"/>
        <v>22.784282597708149</v>
      </c>
    </row>
    <row r="242" spans="1:21" ht="15">
      <c r="A242" s="78">
        <v>608.94000000000005</v>
      </c>
      <c r="B242" s="78">
        <v>611.30999999999995</v>
      </c>
      <c r="C242" s="78">
        <v>607.07000000000005</v>
      </c>
      <c r="D242" s="78">
        <v>608.54999999999995</v>
      </c>
      <c r="E242" s="78">
        <v>11029230</v>
      </c>
      <c r="F242" s="78" t="s">
        <v>242</v>
      </c>
      <c r="G242" s="25">
        <f t="shared" si="0"/>
        <v>6.4086763618442788E-4</v>
      </c>
      <c r="I242" s="78">
        <v>120.77800000000002</v>
      </c>
      <c r="J242" s="78">
        <v>123.30000000000003</v>
      </c>
      <c r="K242" s="78">
        <v>120.55000000000003</v>
      </c>
      <c r="L242" s="78">
        <v>122.08200000000002</v>
      </c>
      <c r="M242" s="78">
        <v>31232609.999999993</v>
      </c>
      <c r="N242" s="78" t="s">
        <v>242</v>
      </c>
      <c r="O242" s="25">
        <f t="shared" si="1"/>
        <v>-1.0681345325273206E-2</v>
      </c>
      <c r="Q242" s="83">
        <v>0.01</v>
      </c>
      <c r="R242">
        <v>40</v>
      </c>
      <c r="T242" s="25">
        <f t="shared" si="4"/>
        <v>7.4999999999999997E-3</v>
      </c>
      <c r="U242" s="1">
        <f t="shared" si="3"/>
        <v>21.719128107607478</v>
      </c>
    </row>
    <row r="243" spans="1:21" ht="15">
      <c r="A243" s="78">
        <v>606.09</v>
      </c>
      <c r="B243" s="78">
        <v>608.33000000000004</v>
      </c>
      <c r="C243" s="78">
        <v>601.54999999999995</v>
      </c>
      <c r="D243" s="78">
        <v>606.84</v>
      </c>
      <c r="E243" s="78">
        <v>11613628</v>
      </c>
      <c r="F243" s="78" t="s">
        <v>243</v>
      </c>
      <c r="G243" s="25">
        <f t="shared" si="0"/>
        <v>-1.2359106189440139E-3</v>
      </c>
      <c r="I243" s="78">
        <v>122.85000000000002</v>
      </c>
      <c r="J243" s="78">
        <v>123.39300000000003</v>
      </c>
      <c r="K243" s="78">
        <v>120.66050000000003</v>
      </c>
      <c r="L243" s="78">
        <v>122.10200000000002</v>
      </c>
      <c r="M243" s="78">
        <v>34597959.999999993</v>
      </c>
      <c r="N243" s="78" t="s">
        <v>243</v>
      </c>
      <c r="O243" s="25">
        <f t="shared" si="1"/>
        <v>6.1260257817234987E-3</v>
      </c>
      <c r="Q243" s="83">
        <v>1.2500000000000001E-2</v>
      </c>
      <c r="R243">
        <v>35</v>
      </c>
      <c r="T243" s="25">
        <f t="shared" si="4"/>
        <v>0.01</v>
      </c>
      <c r="U243" s="1">
        <f t="shared" si="3"/>
        <v>20.259051211596706</v>
      </c>
    </row>
    <row r="244" spans="1:21" ht="15">
      <c r="A244" s="78">
        <v>606.79</v>
      </c>
      <c r="B244" s="78">
        <v>608.41999999999996</v>
      </c>
      <c r="C244" s="78">
        <v>606.06089999999995</v>
      </c>
      <c r="D244" s="78">
        <v>608.16</v>
      </c>
      <c r="E244" s="78">
        <v>6367152</v>
      </c>
      <c r="F244" s="78" t="s">
        <v>244</v>
      </c>
      <c r="G244" s="25">
        <f t="shared" si="0"/>
        <v>-2.2526966587740338E-3</v>
      </c>
      <c r="I244" s="78">
        <v>120.05100000000002</v>
      </c>
      <c r="J244" s="78">
        <v>120.89999000000003</v>
      </c>
      <c r="K244" s="78">
        <v>119.72800000000002</v>
      </c>
      <c r="L244" s="78">
        <v>120.56400000000004</v>
      </c>
      <c r="M244" s="78">
        <v>21513839.999999996</v>
      </c>
      <c r="N244" s="78" t="s">
        <v>244</v>
      </c>
      <c r="O244" s="25">
        <f t="shared" si="1"/>
        <v>-4.2550014929831903E-3</v>
      </c>
      <c r="Q244" s="83">
        <v>1.5000000000000001E-2</v>
      </c>
      <c r="R244">
        <v>48</v>
      </c>
      <c r="T244" s="25">
        <f t="shared" si="4"/>
        <v>1.2500000000000001E-2</v>
      </c>
      <c r="U244" s="1">
        <f t="shared" si="3"/>
        <v>18.491217398482853</v>
      </c>
    </row>
    <row r="245" spans="1:21" ht="15">
      <c r="A245" s="78">
        <v>607.59</v>
      </c>
      <c r="B245" s="78">
        <v>607.77</v>
      </c>
      <c r="C245" s="78">
        <v>606.20000000000005</v>
      </c>
      <c r="D245" s="78">
        <v>606.47</v>
      </c>
      <c r="E245" s="78">
        <v>7447134</v>
      </c>
      <c r="F245" s="78" t="s">
        <v>245</v>
      </c>
      <c r="G245" s="25">
        <f t="shared" si="0"/>
        <v>1.8467525186736111E-3</v>
      </c>
      <c r="I245" s="78">
        <v>120.22600000000003</v>
      </c>
      <c r="J245" s="78">
        <v>120.72400000000002</v>
      </c>
      <c r="K245" s="78">
        <v>117.32076000000002</v>
      </c>
      <c r="L245" s="78">
        <v>118.84000000000003</v>
      </c>
      <c r="M245" s="78">
        <v>28638399.999999996</v>
      </c>
      <c r="N245" s="78" t="s">
        <v>245</v>
      </c>
      <c r="O245" s="25">
        <f t="shared" si="1"/>
        <v>1.1662739818242951E-2</v>
      </c>
      <c r="Q245" s="83">
        <v>1.7500000000000002E-2</v>
      </c>
      <c r="R245">
        <v>26</v>
      </c>
      <c r="T245" s="25">
        <f t="shared" si="4"/>
        <v>1.5000000000000001E-2</v>
      </c>
      <c r="U245" s="1">
        <f t="shared" si="3"/>
        <v>16.515114683372026</v>
      </c>
    </row>
    <row r="246" spans="1:21" ht="15">
      <c r="A246" s="78">
        <v>604.44000000000005</v>
      </c>
      <c r="B246" s="78">
        <v>605.98</v>
      </c>
      <c r="C246" s="78">
        <v>603.95000000000005</v>
      </c>
      <c r="D246" s="78">
        <v>604.59</v>
      </c>
      <c r="E246" s="78">
        <v>8108692</v>
      </c>
      <c r="F246" s="78" t="s">
        <v>246</v>
      </c>
      <c r="G246" s="25">
        <f t="shared" si="0"/>
        <v>-2.4810201955038913E-4</v>
      </c>
      <c r="I246" s="78">
        <v>118.84400000000002</v>
      </c>
      <c r="J246" s="78">
        <v>121.17800000000003</v>
      </c>
      <c r="K246" s="78">
        <v>118.24000000000004</v>
      </c>
      <c r="L246" s="78">
        <v>120.30550000000002</v>
      </c>
      <c r="M246" s="78">
        <v>37707549.999999993</v>
      </c>
      <c r="N246" s="78" t="s">
        <v>246</v>
      </c>
      <c r="O246" s="25">
        <f t="shared" si="1"/>
        <v>-1.2148239274181183E-2</v>
      </c>
      <c r="Q246" s="83">
        <v>0.02</v>
      </c>
      <c r="R246">
        <v>24</v>
      </c>
      <c r="T246" s="25">
        <f t="shared" si="4"/>
        <v>1.7500000000000002E-2</v>
      </c>
      <c r="U246" s="1">
        <f t="shared" si="3"/>
        <v>14.433357543348514</v>
      </c>
    </row>
    <row r="247" spans="1:21" ht="15">
      <c r="A247" s="78">
        <v>604.57000000000005</v>
      </c>
      <c r="B247" s="78">
        <v>605.23</v>
      </c>
      <c r="C247" s="78">
        <v>600.89</v>
      </c>
      <c r="D247" s="78">
        <v>601.42999999999995</v>
      </c>
      <c r="E247" s="78">
        <v>9086806</v>
      </c>
      <c r="F247" s="78" t="s">
        <v>247</v>
      </c>
      <c r="G247" s="25">
        <f t="shared" si="0"/>
        <v>5.2208902116623879E-3</v>
      </c>
      <c r="I247" s="78">
        <v>120.35000000000002</v>
      </c>
      <c r="J247" s="78">
        <v>125.34450000000002</v>
      </c>
      <c r="K247" s="78">
        <v>119.20000000000002</v>
      </c>
      <c r="L247" s="78">
        <v>125.10000000000002</v>
      </c>
      <c r="M247" s="78">
        <v>56401679.999999993</v>
      </c>
      <c r="N247" s="78" t="s">
        <v>247</v>
      </c>
      <c r="O247" s="25">
        <f t="shared" si="1"/>
        <v>-3.7969624300559501E-2</v>
      </c>
      <c r="Q247" s="83">
        <v>2.2499999999999999E-2</v>
      </c>
      <c r="R247">
        <v>20</v>
      </c>
      <c r="T247" s="25">
        <f t="shared" si="4"/>
        <v>0.02</v>
      </c>
      <c r="U247" s="1">
        <f t="shared" ref="U247:U263" si="5">_xlfn.NORM.DIST(T247,$S$205,$S$207,FALSE)</f>
        <v>12.343059807720115</v>
      </c>
    </row>
    <row r="248" spans="1:21" ht="15">
      <c r="A248" s="78">
        <v>599.67999999999995</v>
      </c>
      <c r="B248" s="78">
        <v>601.75</v>
      </c>
      <c r="C248" s="78">
        <v>598.16</v>
      </c>
      <c r="D248" s="78">
        <v>600.91999999999996</v>
      </c>
      <c r="E248" s="78">
        <v>21542357</v>
      </c>
      <c r="F248" s="78" t="s">
        <v>248</v>
      </c>
      <c r="G248" s="25">
        <f t="shared" si="0"/>
        <v>-2.0635026293017722E-3</v>
      </c>
      <c r="I248" s="78">
        <v>124.77100000000003</v>
      </c>
      <c r="J248" s="78">
        <v>126.70000000000003</v>
      </c>
      <c r="K248" s="78">
        <v>124.63550000000002</v>
      </c>
      <c r="L248" s="78">
        <v>126.39750000000002</v>
      </c>
      <c r="M248" s="78">
        <v>25312789.999999996</v>
      </c>
      <c r="N248" s="78" t="s">
        <v>248</v>
      </c>
      <c r="O248" s="25">
        <f t="shared" si="1"/>
        <v>-1.2868134258984476E-2</v>
      </c>
      <c r="Q248" s="83">
        <v>2.4999999999999998E-2</v>
      </c>
      <c r="R248">
        <v>13</v>
      </c>
      <c r="T248" s="25">
        <f t="shared" si="4"/>
        <v>2.2499999999999999E-2</v>
      </c>
      <c r="U248" s="1">
        <f t="shared" si="5"/>
        <v>10.328755180270928</v>
      </c>
    </row>
    <row r="249" spans="1:21" ht="15">
      <c r="A249" s="78">
        <v>597.95000000000005</v>
      </c>
      <c r="B249" s="78">
        <v>598.37</v>
      </c>
      <c r="C249" s="78">
        <v>595.01</v>
      </c>
      <c r="D249" s="78">
        <v>596.61</v>
      </c>
      <c r="E249" s="78">
        <v>7780114</v>
      </c>
      <c r="F249" s="78" t="s">
        <v>249</v>
      </c>
      <c r="G249" s="25">
        <f t="shared" si="0"/>
        <v>2.2460233653476269E-3</v>
      </c>
      <c r="I249" s="78">
        <v>126.32500000000003</v>
      </c>
      <c r="J249" s="78">
        <v>126.57210000000002</v>
      </c>
      <c r="K249" s="78">
        <v>124.66700000000003</v>
      </c>
      <c r="L249" s="78">
        <v>124.66700000000003</v>
      </c>
      <c r="M249" s="78">
        <v>21707389.999999996</v>
      </c>
      <c r="N249" s="78" t="s">
        <v>249</v>
      </c>
      <c r="O249" s="25">
        <f t="shared" si="1"/>
        <v>1.3299429680669217E-2</v>
      </c>
      <c r="Q249" s="83">
        <v>2.7499999999999997E-2</v>
      </c>
      <c r="R249">
        <v>11</v>
      </c>
      <c r="T249" s="25">
        <f t="shared" si="4"/>
        <v>2.4999999999999998E-2</v>
      </c>
      <c r="U249" s="1">
        <f t="shared" si="5"/>
        <v>8.4575158584218961</v>
      </c>
    </row>
    <row r="250" spans="1:21" ht="15">
      <c r="A250" s="78">
        <v>596.5</v>
      </c>
      <c r="B250" s="78">
        <v>597.41</v>
      </c>
      <c r="C250" s="78">
        <v>595.03</v>
      </c>
      <c r="D250" s="78">
        <v>596.30999999999995</v>
      </c>
      <c r="E250" s="78">
        <v>9448293</v>
      </c>
      <c r="F250" s="78" t="s">
        <v>250</v>
      </c>
      <c r="G250" s="25">
        <f t="shared" si="0"/>
        <v>3.1862621790690326E-4</v>
      </c>
      <c r="I250" s="78">
        <v>124.47600000000003</v>
      </c>
      <c r="J250" s="78">
        <v>125.20405000000004</v>
      </c>
      <c r="K250" s="78">
        <v>123.20000000000002</v>
      </c>
      <c r="L250" s="78">
        <v>124.85400000000003</v>
      </c>
      <c r="M250" s="78">
        <v>19060759.999999996</v>
      </c>
      <c r="N250" s="78" t="s">
        <v>250</v>
      </c>
      <c r="O250" s="25">
        <f t="shared" si="1"/>
        <v>-3.0275361622374986E-3</v>
      </c>
      <c r="Q250" s="83">
        <v>2.9999999999999995E-2</v>
      </c>
      <c r="R250">
        <v>8</v>
      </c>
      <c r="T250" s="25">
        <f t="shared" si="4"/>
        <v>2.7499999999999997E-2</v>
      </c>
      <c r="U250" s="1">
        <f t="shared" si="5"/>
        <v>6.7765296829348172</v>
      </c>
    </row>
    <row r="251" spans="1:21" ht="15">
      <c r="A251" s="78">
        <v>594.96</v>
      </c>
      <c r="B251" s="78">
        <v>599.6</v>
      </c>
      <c r="C251" s="78">
        <v>591.45000000000005</v>
      </c>
      <c r="D251" s="78">
        <v>598.91</v>
      </c>
      <c r="E251" s="78">
        <v>6622130</v>
      </c>
      <c r="F251" s="78" t="s">
        <v>251</v>
      </c>
      <c r="G251" s="25">
        <f t="shared" ref="G251:G314" si="6">A251/D251-1</f>
        <v>-6.5953148219264346E-3</v>
      </c>
      <c r="I251" s="78">
        <v>124.38200000000002</v>
      </c>
      <c r="J251" s="78">
        <v>126.71000000000002</v>
      </c>
      <c r="K251" s="78">
        <v>123.90201000000002</v>
      </c>
      <c r="L251" s="78">
        <v>126.00000000000003</v>
      </c>
      <c r="M251" s="78">
        <v>23670579.999999996</v>
      </c>
      <c r="N251" s="78" t="s">
        <v>251</v>
      </c>
      <c r="O251" s="25">
        <f t="shared" ref="O251:O314" si="7">I251/L251-1</f>
        <v>-1.2841269841269876E-2</v>
      </c>
      <c r="Q251" s="83">
        <v>3.2499999999999994E-2</v>
      </c>
      <c r="R251">
        <v>1</v>
      </c>
      <c r="T251" s="25">
        <f t="shared" si="4"/>
        <v>2.9999999999999995E-2</v>
      </c>
      <c r="U251" s="1">
        <f t="shared" si="5"/>
        <v>5.3130212897269322</v>
      </c>
    </row>
    <row r="252" spans="1:21" ht="15">
      <c r="A252" s="78">
        <v>596.59</v>
      </c>
      <c r="B252" s="78">
        <v>596.77</v>
      </c>
      <c r="C252" s="78">
        <v>591.6</v>
      </c>
      <c r="D252" s="78">
        <v>592.47</v>
      </c>
      <c r="E252" s="78">
        <v>8012477</v>
      </c>
      <c r="F252" s="78" t="s">
        <v>252</v>
      </c>
      <c r="G252" s="25">
        <f t="shared" si="6"/>
        <v>6.9539385960470934E-3</v>
      </c>
      <c r="I252" s="78">
        <v>125.74800000000003</v>
      </c>
      <c r="J252" s="78">
        <v>125.74800000000003</v>
      </c>
      <c r="K252" s="78">
        <v>122.30900000000001</v>
      </c>
      <c r="L252" s="78">
        <v>122.32000000000002</v>
      </c>
      <c r="M252" s="78">
        <v>30079259.999999993</v>
      </c>
      <c r="N252" s="78" t="s">
        <v>252</v>
      </c>
      <c r="O252" s="25">
        <f t="shared" si="7"/>
        <v>2.8024852844996895E-2</v>
      </c>
      <c r="Q252" s="83">
        <v>3.4999999999999996E-2</v>
      </c>
      <c r="R252">
        <v>6</v>
      </c>
      <c r="T252" s="25">
        <f t="shared" si="4"/>
        <v>3.2499999999999994E-2</v>
      </c>
      <c r="U252" s="1">
        <f t="shared" si="5"/>
        <v>4.0761058585547527</v>
      </c>
    </row>
    <row r="253" spans="1:21" ht="15">
      <c r="A253" s="78">
        <v>591.72</v>
      </c>
      <c r="B253" s="78">
        <v>592.23</v>
      </c>
      <c r="C253" s="78">
        <v>588.78</v>
      </c>
      <c r="D253" s="78">
        <v>590.80999999999995</v>
      </c>
      <c r="E253" s="78">
        <v>6669875</v>
      </c>
      <c r="F253" s="78" t="s">
        <v>253</v>
      </c>
      <c r="G253" s="25">
        <f t="shared" si="6"/>
        <v>1.5402582894672445E-3</v>
      </c>
      <c r="I253" s="78">
        <v>122.61800000000002</v>
      </c>
      <c r="J253" s="78">
        <v>122.69999000000003</v>
      </c>
      <c r="K253" s="78">
        <v>120.33800000000004</v>
      </c>
      <c r="L253" s="78">
        <v>120.51400000000004</v>
      </c>
      <c r="M253" s="78">
        <v>24412369.999999996</v>
      </c>
      <c r="N253" s="78" t="s">
        <v>253</v>
      </c>
      <c r="O253" s="25">
        <f t="shared" si="7"/>
        <v>1.7458552533315519E-2</v>
      </c>
      <c r="Q253" s="83">
        <v>3.7499999999999999E-2</v>
      </c>
      <c r="R253">
        <v>3</v>
      </c>
      <c r="T253" s="25">
        <f t="shared" si="4"/>
        <v>3.4999999999999996E-2</v>
      </c>
      <c r="U253" s="1">
        <f t="shared" si="5"/>
        <v>3.0599831814246525</v>
      </c>
    </row>
    <row r="254" spans="1:21" ht="15">
      <c r="A254" s="78">
        <v>588.71</v>
      </c>
      <c r="B254" s="78">
        <v>588.79999999999995</v>
      </c>
      <c r="C254" s="78">
        <v>583.66999999999996</v>
      </c>
      <c r="D254" s="78">
        <v>586.05999999999995</v>
      </c>
      <c r="E254" s="78">
        <v>11063662</v>
      </c>
      <c r="F254" s="78" t="s">
        <v>254</v>
      </c>
      <c r="G254" s="25">
        <f t="shared" si="6"/>
        <v>4.5217213254618027E-3</v>
      </c>
      <c r="I254" s="78">
        <v>121.41100000000002</v>
      </c>
      <c r="J254" s="78">
        <v>121.54000000000003</v>
      </c>
      <c r="K254" s="78">
        <v>118.28000000000002</v>
      </c>
      <c r="L254" s="78">
        <v>119.70000000000002</v>
      </c>
      <c r="M254" s="78">
        <v>22406769.999999996</v>
      </c>
      <c r="N254" s="78" t="s">
        <v>254</v>
      </c>
      <c r="O254" s="25">
        <f t="shared" si="7"/>
        <v>1.4294068504594915E-2</v>
      </c>
      <c r="Q254" s="83">
        <v>0.04</v>
      </c>
      <c r="R254">
        <v>5</v>
      </c>
      <c r="T254" s="25">
        <f t="shared" si="4"/>
        <v>3.7499999999999999E-2</v>
      </c>
      <c r="U254" s="1">
        <f t="shared" si="5"/>
        <v>2.2478240400790614</v>
      </c>
    </row>
    <row r="255" spans="1:21" ht="15">
      <c r="A255" s="78">
        <v>593.08000000000004</v>
      </c>
      <c r="B255" s="78">
        <v>595.54999999999995</v>
      </c>
      <c r="C255" s="78">
        <v>591.245</v>
      </c>
      <c r="D255" s="78">
        <v>595.24</v>
      </c>
      <c r="E255" s="78">
        <v>7480746</v>
      </c>
      <c r="F255" s="78" t="s">
        <v>255</v>
      </c>
      <c r="G255" s="25">
        <f t="shared" si="6"/>
        <v>-3.6287883878770577E-3</v>
      </c>
      <c r="I255" s="78">
        <v>120.82500000000002</v>
      </c>
      <c r="J255" s="78">
        <v>122.87900000000002</v>
      </c>
      <c r="K255" s="78">
        <v>120.11500000000004</v>
      </c>
      <c r="L255" s="78">
        <v>122.79700000000003</v>
      </c>
      <c r="M255" s="78">
        <v>31884089.999999993</v>
      </c>
      <c r="N255" s="78" t="s">
        <v>255</v>
      </c>
      <c r="O255" s="25">
        <f t="shared" si="7"/>
        <v>-1.6059024243263331E-2</v>
      </c>
      <c r="Q255" s="83">
        <v>4.2500000000000003E-2</v>
      </c>
      <c r="R255">
        <v>0</v>
      </c>
      <c r="T255" s="25">
        <f t="shared" si="4"/>
        <v>0.04</v>
      </c>
      <c r="U255" s="1">
        <f t="shared" si="5"/>
        <v>1.6157541152322721</v>
      </c>
    </row>
    <row r="256" spans="1:21" ht="15">
      <c r="A256" s="78">
        <v>596.52</v>
      </c>
      <c r="B256" s="78">
        <v>597.07000000000005</v>
      </c>
      <c r="C256" s="78">
        <v>593.27</v>
      </c>
      <c r="D256" s="78">
        <v>595.07000000000005</v>
      </c>
      <c r="E256" s="78">
        <v>5037983</v>
      </c>
      <c r="F256" s="78" t="s">
        <v>256</v>
      </c>
      <c r="G256" s="25">
        <f t="shared" si="6"/>
        <v>2.4366881207251723E-3</v>
      </c>
      <c r="I256" s="78">
        <v>123.14500000000002</v>
      </c>
      <c r="J256" s="78">
        <v>123.78910000000003</v>
      </c>
      <c r="K256" s="78">
        <v>121.42681000000002</v>
      </c>
      <c r="L256" s="78">
        <v>122.27900000000002</v>
      </c>
      <c r="M256" s="78">
        <v>19441339.999999996</v>
      </c>
      <c r="N256" s="78" t="s">
        <v>256</v>
      </c>
      <c r="O256" s="25">
        <f t="shared" si="7"/>
        <v>7.0821645581007342E-3</v>
      </c>
      <c r="Q256" s="83">
        <v>4.5000000000000005E-2</v>
      </c>
      <c r="R256">
        <v>0</v>
      </c>
      <c r="T256" s="25">
        <f t="shared" si="4"/>
        <v>4.2500000000000003E-2</v>
      </c>
      <c r="U256" s="1">
        <f t="shared" si="5"/>
        <v>1.1364698453568769</v>
      </c>
    </row>
    <row r="257" spans="1:21" ht="15">
      <c r="A257" s="78">
        <v>594.41999999999996</v>
      </c>
      <c r="B257" s="78">
        <v>595.14</v>
      </c>
      <c r="C257" s="78">
        <v>592.44000000000005</v>
      </c>
      <c r="D257" s="78">
        <v>592.52</v>
      </c>
      <c r="E257" s="78">
        <v>6089564</v>
      </c>
      <c r="F257" s="78" t="s">
        <v>257</v>
      </c>
      <c r="G257" s="25">
        <f t="shared" si="6"/>
        <v>3.20664281374472E-3</v>
      </c>
      <c r="I257" s="78">
        <v>122.35000000000002</v>
      </c>
      <c r="J257" s="78">
        <v>122.92100000000002</v>
      </c>
      <c r="K257" s="78">
        <v>121.30000000000003</v>
      </c>
      <c r="L257" s="78">
        <v>122.36100000000002</v>
      </c>
      <c r="M257" s="78">
        <v>16487679.999999996</v>
      </c>
      <c r="N257" s="78" t="s">
        <v>257</v>
      </c>
      <c r="O257" s="25">
        <f t="shared" si="7"/>
        <v>-8.989792499236593E-5</v>
      </c>
      <c r="Q257" s="83">
        <v>4.7500000000000007E-2</v>
      </c>
      <c r="R257">
        <v>2</v>
      </c>
      <c r="T257" s="25">
        <f t="shared" si="4"/>
        <v>4.5000000000000005E-2</v>
      </c>
      <c r="U257" s="1">
        <f t="shared" si="5"/>
        <v>0.78218638083777725</v>
      </c>
    </row>
    <row r="258" spans="1:21" ht="15">
      <c r="A258" s="78">
        <v>593.05999999999995</v>
      </c>
      <c r="B258" s="78">
        <v>593.42999999999995</v>
      </c>
      <c r="C258" s="78">
        <v>589.79499999999996</v>
      </c>
      <c r="D258" s="78">
        <v>590.38</v>
      </c>
      <c r="E258" s="78">
        <v>4746851</v>
      </c>
      <c r="F258" s="78" t="s">
        <v>258</v>
      </c>
      <c r="G258" s="25">
        <f t="shared" si="6"/>
        <v>4.5394491683321547E-3</v>
      </c>
      <c r="I258" s="78">
        <v>122.60900000000001</v>
      </c>
      <c r="J258" s="78">
        <v>123.14999000000003</v>
      </c>
      <c r="K258" s="78">
        <v>121.22000000000003</v>
      </c>
      <c r="L258" s="78">
        <v>122.02100000000003</v>
      </c>
      <c r="M258" s="78">
        <v>19795139.999999996</v>
      </c>
      <c r="N258" s="78" t="s">
        <v>258</v>
      </c>
      <c r="O258" s="25">
        <f t="shared" si="7"/>
        <v>4.8188426582307375E-3</v>
      </c>
      <c r="Q258" s="83">
        <v>5.000000000000001E-2</v>
      </c>
      <c r="R258">
        <v>2</v>
      </c>
      <c r="T258" s="25">
        <f t="shared" si="4"/>
        <v>4.7500000000000007E-2</v>
      </c>
      <c r="U258" s="1">
        <f t="shared" si="5"/>
        <v>0.52678362917876986</v>
      </c>
    </row>
    <row r="259" spans="1:21" ht="15">
      <c r="A259" s="78">
        <v>590.70000000000005</v>
      </c>
      <c r="B259" s="78">
        <v>593.22990000000004</v>
      </c>
      <c r="C259" s="78">
        <v>590.54999999999995</v>
      </c>
      <c r="D259" s="78">
        <v>592.04999999999995</v>
      </c>
      <c r="E259" s="78">
        <v>6483035</v>
      </c>
      <c r="F259" s="78" t="s">
        <v>259</v>
      </c>
      <c r="G259" s="25">
        <f t="shared" si="6"/>
        <v>-2.2802128198630145E-3</v>
      </c>
      <c r="I259" s="78">
        <v>121.80700000000002</v>
      </c>
      <c r="J259" s="78">
        <v>123.38000000000002</v>
      </c>
      <c r="K259" s="78">
        <v>119.90000000000002</v>
      </c>
      <c r="L259" s="78">
        <v>120.16500000000003</v>
      </c>
      <c r="M259" s="78">
        <v>28120359.999999996</v>
      </c>
      <c r="N259" s="78" t="s">
        <v>259</v>
      </c>
      <c r="O259" s="25">
        <f t="shared" si="7"/>
        <v>1.366454458452937E-2</v>
      </c>
      <c r="Q259" s="83">
        <v>5.2500000000000012E-2</v>
      </c>
      <c r="R259">
        <v>1</v>
      </c>
      <c r="T259" s="25">
        <f t="shared" si="4"/>
        <v>5.000000000000001E-2</v>
      </c>
      <c r="U259" s="1">
        <f t="shared" si="5"/>
        <v>0.34715544149515887</v>
      </c>
    </row>
    <row r="260" spans="1:21" ht="15">
      <c r="A260" s="78">
        <v>593.21</v>
      </c>
      <c r="B260" s="78">
        <v>594.32000000000005</v>
      </c>
      <c r="C260" s="78">
        <v>585.84</v>
      </c>
      <c r="D260" s="78">
        <v>586.27</v>
      </c>
      <c r="E260" s="78">
        <v>6368542</v>
      </c>
      <c r="F260" s="78" t="s">
        <v>260</v>
      </c>
      <c r="G260" s="25">
        <f t="shared" si="6"/>
        <v>1.1837549252051272E-2</v>
      </c>
      <c r="I260" s="78">
        <v>120.46500000000003</v>
      </c>
      <c r="J260" s="78">
        <v>121.36200000000001</v>
      </c>
      <c r="K260" s="78">
        <v>119.82300000000002</v>
      </c>
      <c r="L260" s="78">
        <v>120.88800000000003</v>
      </c>
      <c r="M260" s="78">
        <v>30609369.999999993</v>
      </c>
      <c r="N260" s="78" t="s">
        <v>260</v>
      </c>
      <c r="O260" s="25">
        <f t="shared" si="7"/>
        <v>-3.4991066110779956E-3</v>
      </c>
      <c r="Q260" s="83">
        <v>5.5000000000000014E-2</v>
      </c>
      <c r="R260">
        <v>2</v>
      </c>
      <c r="T260" s="25">
        <f t="shared" si="4"/>
        <v>5.2500000000000012E-2</v>
      </c>
      <c r="U260" s="1">
        <f t="shared" si="5"/>
        <v>0.2238645729769366</v>
      </c>
    </row>
    <row r="261" spans="1:21" ht="15">
      <c r="A261" s="78">
        <v>584.27</v>
      </c>
      <c r="B261" s="78">
        <v>586.46</v>
      </c>
      <c r="C261" s="78">
        <v>582.65</v>
      </c>
      <c r="D261" s="78">
        <v>584.92999999999995</v>
      </c>
      <c r="E261" s="78">
        <v>4807277</v>
      </c>
      <c r="F261" s="78" t="s">
        <v>261</v>
      </c>
      <c r="G261" s="25">
        <f t="shared" si="6"/>
        <v>-1.1283401432649054E-3</v>
      </c>
      <c r="I261" s="78">
        <v>120.62100000000002</v>
      </c>
      <c r="J261" s="78">
        <v>122.13999000000001</v>
      </c>
      <c r="K261" s="78">
        <v>119.76350000000002</v>
      </c>
      <c r="L261" s="78">
        <v>121.14300000000003</v>
      </c>
      <c r="M261" s="78">
        <v>20471779.999999996</v>
      </c>
      <c r="N261" s="78" t="s">
        <v>261</v>
      </c>
      <c r="O261" s="25">
        <f t="shared" si="7"/>
        <v>-4.3089571828335282E-3</v>
      </c>
      <c r="Q261" s="83">
        <v>5.7500000000000016E-2</v>
      </c>
      <c r="R261">
        <v>0</v>
      </c>
      <c r="T261" s="25">
        <f t="shared" si="4"/>
        <v>5.5000000000000014E-2</v>
      </c>
      <c r="U261" s="1">
        <f t="shared" si="5"/>
        <v>0.14125910557177046</v>
      </c>
    </row>
    <row r="262" spans="1:21" ht="15.75" thickBot="1">
      <c r="A262" s="78">
        <v>586.58000000000004</v>
      </c>
      <c r="B262" s="78">
        <v>588</v>
      </c>
      <c r="C262" s="78">
        <v>581.85</v>
      </c>
      <c r="D262" s="78">
        <v>587.80999999999995</v>
      </c>
      <c r="E262" s="78">
        <v>7054266</v>
      </c>
      <c r="F262" s="78" t="s">
        <v>262</v>
      </c>
      <c r="G262" s="25">
        <f t="shared" si="6"/>
        <v>-2.0925128868169995E-3</v>
      </c>
      <c r="I262" s="78">
        <v>121.38600000000001</v>
      </c>
      <c r="J262" s="78">
        <v>122.29999000000002</v>
      </c>
      <c r="K262" s="78">
        <v>119.33101000000002</v>
      </c>
      <c r="L262" s="78">
        <v>121.80000000000003</v>
      </c>
      <c r="M262" s="78">
        <v>23705389.999999996</v>
      </c>
      <c r="N262" s="78" t="s">
        <v>262</v>
      </c>
      <c r="O262" s="25">
        <f t="shared" si="7"/>
        <v>-3.3990147783252711E-3</v>
      </c>
      <c r="Q262" s="84" t="s">
        <v>942</v>
      </c>
      <c r="R262" s="84">
        <v>2</v>
      </c>
      <c r="T262" s="25">
        <f t="shared" si="4"/>
        <v>5.7500000000000016E-2</v>
      </c>
      <c r="U262" s="1">
        <f t="shared" si="5"/>
        <v>8.7220228487305776E-2</v>
      </c>
    </row>
    <row r="263" spans="1:21">
      <c r="A263" s="78">
        <v>588.13</v>
      </c>
      <c r="B263" s="78">
        <v>592.12</v>
      </c>
      <c r="C263" s="78">
        <v>586.94000000000005</v>
      </c>
      <c r="D263" s="78">
        <v>591.25</v>
      </c>
      <c r="E263" s="78">
        <v>6689596</v>
      </c>
      <c r="F263" s="78" t="s">
        <v>263</v>
      </c>
      <c r="G263" s="25">
        <f t="shared" si="6"/>
        <v>-5.2769556025370479E-3</v>
      </c>
      <c r="I263" s="78">
        <v>121.41500000000003</v>
      </c>
      <c r="J263" s="78">
        <v>124.09999000000002</v>
      </c>
      <c r="K263" s="78">
        <v>119.27900000000002</v>
      </c>
      <c r="L263" s="78">
        <v>124.02000000000002</v>
      </c>
      <c r="M263" s="78">
        <v>36886929.999999993</v>
      </c>
      <c r="N263" s="78" t="s">
        <v>263</v>
      </c>
      <c r="O263" s="25">
        <f t="shared" si="7"/>
        <v>-2.1004676665053901E-2</v>
      </c>
      <c r="T263" s="25">
        <f t="shared" si="4"/>
        <v>6.0000000000000019E-2</v>
      </c>
      <c r="U263" s="1">
        <f t="shared" si="5"/>
        <v>5.2697216367809489E-2</v>
      </c>
    </row>
    <row r="264" spans="1:21">
      <c r="A264" s="78">
        <v>591.36</v>
      </c>
      <c r="B264" s="78">
        <v>592.02</v>
      </c>
      <c r="C264" s="78">
        <v>590.35</v>
      </c>
      <c r="D264" s="78">
        <v>590.98</v>
      </c>
      <c r="E264" s="78">
        <v>5311743</v>
      </c>
      <c r="F264" s="78" t="s">
        <v>264</v>
      </c>
      <c r="G264" s="25">
        <f t="shared" si="6"/>
        <v>6.4299976310544515E-4</v>
      </c>
      <c r="I264" s="78">
        <v>124.50900000000001</v>
      </c>
      <c r="J264" s="78">
        <v>125.11599000000004</v>
      </c>
      <c r="K264" s="78">
        <v>123.54500000000003</v>
      </c>
      <c r="L264" s="78">
        <v>123.56300000000003</v>
      </c>
      <c r="M264" s="78">
        <v>21110869.999999996</v>
      </c>
      <c r="N264" s="78" t="s">
        <v>264</v>
      </c>
      <c r="O264" s="25">
        <f t="shared" si="7"/>
        <v>7.6560135315586475E-3</v>
      </c>
    </row>
    <row r="265" spans="1:21">
      <c r="A265" s="78">
        <v>591.57000000000005</v>
      </c>
      <c r="B265" s="78">
        <v>593.95000000000005</v>
      </c>
      <c r="C265" s="78">
        <v>590.66</v>
      </c>
      <c r="D265" s="78">
        <v>593.86</v>
      </c>
      <c r="E265" s="78">
        <v>7196315</v>
      </c>
      <c r="F265" s="78" t="s">
        <v>265</v>
      </c>
      <c r="G265" s="25">
        <f t="shared" si="6"/>
        <v>-3.8561277068668298E-3</v>
      </c>
      <c r="I265" s="78">
        <v>123.89500000000002</v>
      </c>
      <c r="J265" s="78">
        <v>124.69410000000003</v>
      </c>
      <c r="K265" s="78">
        <v>122.78800000000004</v>
      </c>
      <c r="L265" s="78">
        <v>123.40400000000002</v>
      </c>
      <c r="M265" s="78">
        <v>27678039.999999996</v>
      </c>
      <c r="N265" s="78" t="s">
        <v>265</v>
      </c>
      <c r="O265" s="25">
        <f t="shared" si="7"/>
        <v>3.9788013354511431E-3</v>
      </c>
    </row>
    <row r="266" spans="1:21">
      <c r="A266" s="78">
        <v>592.85</v>
      </c>
      <c r="B266" s="78">
        <v>593.51</v>
      </c>
      <c r="C266" s="78">
        <v>590.5</v>
      </c>
      <c r="D266" s="78">
        <v>590.91999999999996</v>
      </c>
      <c r="E266" s="78">
        <v>6236666</v>
      </c>
      <c r="F266" s="78" t="s">
        <v>266</v>
      </c>
      <c r="G266" s="25">
        <f t="shared" si="6"/>
        <v>3.2660935490422816E-3</v>
      </c>
      <c r="I266" s="78">
        <v>123.05600000000001</v>
      </c>
      <c r="J266" s="78">
        <v>124.40900000000002</v>
      </c>
      <c r="K266" s="78">
        <v>120.70300000000002</v>
      </c>
      <c r="L266" s="78">
        <v>120.98900000000003</v>
      </c>
      <c r="M266" s="78">
        <v>39046679.999999993</v>
      </c>
      <c r="N266" s="78" t="s">
        <v>266</v>
      </c>
      <c r="O266" s="25">
        <f t="shared" si="7"/>
        <v>1.7084197736984219E-2</v>
      </c>
    </row>
    <row r="267" spans="1:21">
      <c r="A267" s="78">
        <v>592.84</v>
      </c>
      <c r="B267" s="78">
        <v>594.03</v>
      </c>
      <c r="C267" s="78">
        <v>590.80999999999995</v>
      </c>
      <c r="D267" s="78">
        <v>592.86</v>
      </c>
      <c r="E267" s="78">
        <v>5392973</v>
      </c>
      <c r="F267" s="78" t="s">
        <v>267</v>
      </c>
      <c r="G267" s="25">
        <f t="shared" si="6"/>
        <v>-3.3734777181715359E-5</v>
      </c>
      <c r="I267" s="78">
        <v>120.44400000000003</v>
      </c>
      <c r="J267" s="78">
        <v>123.71200000000002</v>
      </c>
      <c r="K267" s="78">
        <v>120.30000000000003</v>
      </c>
      <c r="L267" s="78">
        <v>123.40000000000002</v>
      </c>
      <c r="M267" s="78">
        <v>27623549.999999996</v>
      </c>
      <c r="N267" s="78" t="s">
        <v>267</v>
      </c>
      <c r="O267" s="25">
        <f t="shared" si="7"/>
        <v>-2.3954619124797349E-2</v>
      </c>
    </row>
    <row r="268" spans="1:21">
      <c r="A268" s="78">
        <v>590.78</v>
      </c>
      <c r="B268" s="78">
        <v>590.96</v>
      </c>
      <c r="C268" s="78">
        <v>585.43499999999995</v>
      </c>
      <c r="D268" s="78">
        <v>586.75</v>
      </c>
      <c r="E268" s="78">
        <v>5874245</v>
      </c>
      <c r="F268" s="78" t="s">
        <v>268</v>
      </c>
      <c r="G268" s="25">
        <f t="shared" si="6"/>
        <v>6.8683425649764818E-3</v>
      </c>
      <c r="I268" s="78">
        <v>122.52800000000002</v>
      </c>
      <c r="J268" s="78">
        <v>123.19900000000003</v>
      </c>
      <c r="K268" s="78">
        <v>120.65050000000004</v>
      </c>
      <c r="L268" s="78">
        <v>122.50000000000003</v>
      </c>
      <c r="M268" s="78">
        <v>22826269.999999996</v>
      </c>
      <c r="N268" s="78" t="s">
        <v>268</v>
      </c>
      <c r="O268" s="25">
        <f t="shared" si="7"/>
        <v>2.2857142857146684E-4</v>
      </c>
    </row>
    <row r="269" spans="1:21">
      <c r="A269" s="78">
        <v>584.54</v>
      </c>
      <c r="B269" s="78">
        <v>587.36</v>
      </c>
      <c r="C269" s="78">
        <v>583.44000000000005</v>
      </c>
      <c r="D269" s="78">
        <v>586.03</v>
      </c>
      <c r="E269" s="78">
        <v>5373949</v>
      </c>
      <c r="F269" s="78" t="s">
        <v>269</v>
      </c>
      <c r="G269" s="25">
        <f t="shared" si="6"/>
        <v>-2.542531952289151E-3</v>
      </c>
      <c r="I269" s="78">
        <v>121.83100000000002</v>
      </c>
      <c r="J269" s="78">
        <v>122.30700000000002</v>
      </c>
      <c r="K269" s="78">
        <v>120.19300000000003</v>
      </c>
      <c r="L269" s="78">
        <v>121.40100000000002</v>
      </c>
      <c r="M269" s="78">
        <v>24556479.999999996</v>
      </c>
      <c r="N269" s="78" t="s">
        <v>269</v>
      </c>
      <c r="O269" s="25">
        <f t="shared" si="7"/>
        <v>3.5419807085608213E-3</v>
      </c>
      <c r="R269" s="25"/>
    </row>
    <row r="270" spans="1:21">
      <c r="A270" s="78">
        <v>585.74</v>
      </c>
      <c r="B270" s="78">
        <v>586.16999999999996</v>
      </c>
      <c r="C270" s="78">
        <v>582.6</v>
      </c>
      <c r="D270" s="78">
        <v>582.92999999999995</v>
      </c>
      <c r="E270" s="78">
        <v>4342341</v>
      </c>
      <c r="F270" s="78" t="s">
        <v>270</v>
      </c>
      <c r="G270" s="25">
        <f t="shared" si="6"/>
        <v>4.8204758718886076E-3</v>
      </c>
      <c r="I270" s="78">
        <v>121.16400000000003</v>
      </c>
      <c r="J270" s="78">
        <v>121.41100000000002</v>
      </c>
      <c r="K270" s="78">
        <v>118.03701000000004</v>
      </c>
      <c r="L270" s="78">
        <v>118.31900000000003</v>
      </c>
      <c r="M270" s="78">
        <v>38166889.999999993</v>
      </c>
      <c r="N270" s="78" t="s">
        <v>270</v>
      </c>
      <c r="O270" s="25">
        <f t="shared" si="7"/>
        <v>2.4045166034195598E-2</v>
      </c>
      <c r="R270" s="25"/>
    </row>
    <row r="271" spans="1:21">
      <c r="A271" s="78">
        <v>581.29</v>
      </c>
      <c r="B271" s="78">
        <v>585.52</v>
      </c>
      <c r="C271" s="78">
        <v>578.31269999999995</v>
      </c>
      <c r="D271" s="78">
        <v>584.87</v>
      </c>
      <c r="E271" s="78">
        <v>4594260</v>
      </c>
      <c r="F271" s="78" t="s">
        <v>271</v>
      </c>
      <c r="G271" s="25">
        <f t="shared" si="6"/>
        <v>-6.1210183459572409E-3</v>
      </c>
      <c r="I271" s="78">
        <v>118.03700000000001</v>
      </c>
      <c r="J271" s="78">
        <v>119.12200000000003</v>
      </c>
      <c r="K271" s="78">
        <v>116.82000000000002</v>
      </c>
      <c r="L271" s="78">
        <v>118.17600000000002</v>
      </c>
      <c r="M271" s="78">
        <v>26283209.999999996</v>
      </c>
      <c r="N271" s="78" t="s">
        <v>271</v>
      </c>
      <c r="O271" s="25">
        <f t="shared" si="7"/>
        <v>-1.176211751963252E-3</v>
      </c>
      <c r="R271" s="25"/>
    </row>
    <row r="272" spans="1:21">
      <c r="A272" s="78">
        <v>581.64</v>
      </c>
      <c r="B272" s="78">
        <v>582.27</v>
      </c>
      <c r="C272" s="78">
        <v>577.41</v>
      </c>
      <c r="D272" s="78">
        <v>578.25</v>
      </c>
      <c r="E272" s="78">
        <v>4545015</v>
      </c>
      <c r="F272" s="78" t="s">
        <v>272</v>
      </c>
      <c r="G272" s="25">
        <f t="shared" si="6"/>
        <v>5.8625162127108332E-3</v>
      </c>
      <c r="I272" s="78">
        <v>117.84800000000003</v>
      </c>
      <c r="J272" s="78">
        <v>118.13750000000002</v>
      </c>
      <c r="K272" s="78">
        <v>115.18701000000003</v>
      </c>
      <c r="L272" s="78">
        <v>115.35200000000002</v>
      </c>
      <c r="M272" s="78">
        <v>33621609.999999993</v>
      </c>
      <c r="N272" s="78" t="s">
        <v>272</v>
      </c>
      <c r="O272" s="25">
        <f t="shared" si="7"/>
        <v>2.1638116374228522E-2</v>
      </c>
      <c r="R272" s="25"/>
    </row>
    <row r="273" spans="1:18">
      <c r="A273" s="78">
        <v>577.35</v>
      </c>
      <c r="B273" s="78">
        <v>581.5</v>
      </c>
      <c r="C273" s="78">
        <v>576.4</v>
      </c>
      <c r="D273" s="78">
        <v>580.79</v>
      </c>
      <c r="E273" s="78">
        <v>4647381</v>
      </c>
      <c r="F273" s="78" t="s">
        <v>273</v>
      </c>
      <c r="G273" s="25">
        <f t="shared" si="6"/>
        <v>-5.9229669932332474E-3</v>
      </c>
      <c r="I273" s="78">
        <v>114.78700000000001</v>
      </c>
      <c r="J273" s="78">
        <v>117.17100000000002</v>
      </c>
      <c r="K273" s="78">
        <v>114.47100000000003</v>
      </c>
      <c r="L273" s="78">
        <v>117.10000000000002</v>
      </c>
      <c r="M273" s="78">
        <v>26607349.999999996</v>
      </c>
      <c r="N273" s="78" t="s">
        <v>273</v>
      </c>
      <c r="O273" s="25">
        <f t="shared" si="7"/>
        <v>-1.9752348420153831E-2</v>
      </c>
      <c r="R273" s="25"/>
    </row>
    <row r="274" spans="1:18">
      <c r="A274" s="78">
        <v>580.14</v>
      </c>
      <c r="B274" s="78">
        <v>580.21</v>
      </c>
      <c r="C274" s="78">
        <v>575.08000000000004</v>
      </c>
      <c r="D274" s="78">
        <v>575.16999999999996</v>
      </c>
      <c r="E274" s="78">
        <v>6640089</v>
      </c>
      <c r="F274" s="78" t="s">
        <v>274</v>
      </c>
      <c r="G274" s="25">
        <f t="shared" si="6"/>
        <v>8.6409235530364725E-3</v>
      </c>
      <c r="I274" s="78">
        <v>117.09900000000002</v>
      </c>
      <c r="J274" s="78">
        <v>117.70000000000002</v>
      </c>
      <c r="K274" s="78">
        <v>116.26150000000003</v>
      </c>
      <c r="L274" s="78">
        <v>116.76500000000003</v>
      </c>
      <c r="M274" s="78">
        <v>22447019.999999996</v>
      </c>
      <c r="N274" s="78" t="s">
        <v>274</v>
      </c>
      <c r="O274" s="25">
        <f t="shared" si="7"/>
        <v>2.8604461953496418E-3</v>
      </c>
      <c r="R274" s="25"/>
    </row>
    <row r="275" spans="1:18">
      <c r="A275" s="78">
        <v>571.45000000000005</v>
      </c>
      <c r="B275" s="78">
        <v>575.74</v>
      </c>
      <c r="C275" s="78">
        <v>569.29</v>
      </c>
      <c r="D275" s="78">
        <v>575.73</v>
      </c>
      <c r="E275" s="78">
        <v>8781254</v>
      </c>
      <c r="F275" s="78" t="s">
        <v>275</v>
      </c>
      <c r="G275" s="25">
        <f t="shared" si="6"/>
        <v>-7.4340402619282875E-3</v>
      </c>
      <c r="I275" s="78">
        <v>115.86000000000001</v>
      </c>
      <c r="J275" s="78">
        <v>117.85050000000004</v>
      </c>
      <c r="K275" s="78">
        <v>115.28500000000001</v>
      </c>
      <c r="L275" s="78">
        <v>116.30100000000002</v>
      </c>
      <c r="M275" s="78">
        <v>38909499.999999993</v>
      </c>
      <c r="N275" s="78" t="s">
        <v>275</v>
      </c>
      <c r="O275" s="25">
        <f t="shared" si="7"/>
        <v>-3.7918848505171798E-3</v>
      </c>
      <c r="R275" s="25"/>
    </row>
    <row r="276" spans="1:18">
      <c r="A276" s="78">
        <v>581.02</v>
      </c>
      <c r="B276" s="78">
        <v>588.16139999999996</v>
      </c>
      <c r="C276" s="78">
        <v>579.84</v>
      </c>
      <c r="D276" s="78">
        <v>587.83000000000004</v>
      </c>
      <c r="E276" s="78">
        <v>7046843</v>
      </c>
      <c r="F276" s="78" t="s">
        <v>276</v>
      </c>
      <c r="G276" s="25">
        <f t="shared" si="6"/>
        <v>-1.1584982052634363E-2</v>
      </c>
      <c r="I276" s="78">
        <v>115.94000000000003</v>
      </c>
      <c r="J276" s="78">
        <v>119.00000000000003</v>
      </c>
      <c r="K276" s="78">
        <v>115.77400000000003</v>
      </c>
      <c r="L276" s="78">
        <v>118.48000000000002</v>
      </c>
      <c r="M276" s="78">
        <v>37129489.999999993</v>
      </c>
      <c r="N276" s="78" t="s">
        <v>276</v>
      </c>
      <c r="O276" s="25">
        <f t="shared" si="7"/>
        <v>-2.1438217420661654E-2</v>
      </c>
      <c r="R276" s="25"/>
    </row>
    <row r="277" spans="1:18">
      <c r="A277" s="78">
        <v>583.21</v>
      </c>
      <c r="B277" s="78">
        <v>586.15</v>
      </c>
      <c r="C277" s="78">
        <v>580.54999999999995</v>
      </c>
      <c r="D277" s="78">
        <v>584.66</v>
      </c>
      <c r="E277" s="78">
        <v>6974729</v>
      </c>
      <c r="F277" s="78" t="s">
        <v>277</v>
      </c>
      <c r="G277" s="25">
        <f t="shared" si="6"/>
        <v>-2.4800738890977669E-3</v>
      </c>
      <c r="I277" s="78">
        <v>118.42000000000003</v>
      </c>
      <c r="J277" s="78">
        <v>118.48500000000001</v>
      </c>
      <c r="K277" s="78">
        <v>116.61000000000001</v>
      </c>
      <c r="L277" s="78">
        <v>116.85500000000002</v>
      </c>
      <c r="M277" s="78">
        <v>29227309.999999993</v>
      </c>
      <c r="N277" s="78" t="s">
        <v>277</v>
      </c>
      <c r="O277" s="25">
        <f t="shared" si="7"/>
        <v>1.3392666124684593E-2</v>
      </c>
      <c r="R277" s="25"/>
    </row>
    <row r="278" spans="1:18">
      <c r="A278" s="78">
        <v>583.91999999999996</v>
      </c>
      <c r="B278" s="78">
        <v>587.08000000000004</v>
      </c>
      <c r="C278" s="78">
        <v>583.12</v>
      </c>
      <c r="D278" s="78">
        <v>586.82000000000005</v>
      </c>
      <c r="E278" s="78">
        <v>5033308</v>
      </c>
      <c r="F278" s="78" t="s">
        <v>278</v>
      </c>
      <c r="G278" s="25">
        <f t="shared" si="6"/>
        <v>-4.9418901877920085E-3</v>
      </c>
      <c r="I278" s="78">
        <v>116.87400000000002</v>
      </c>
      <c r="J278" s="78">
        <v>117.96000000000001</v>
      </c>
      <c r="K278" s="78">
        <v>116.32900000000002</v>
      </c>
      <c r="L278" s="78">
        <v>117.90000000000002</v>
      </c>
      <c r="M278" s="78">
        <v>27347759.999999996</v>
      </c>
      <c r="N278" s="78" t="s">
        <v>278</v>
      </c>
      <c r="O278" s="25">
        <f t="shared" si="7"/>
        <v>-8.702290076335828E-3</v>
      </c>
    </row>
    <row r="279" spans="1:18">
      <c r="A279" s="78">
        <v>585.44000000000005</v>
      </c>
      <c r="B279" s="78">
        <v>586.5</v>
      </c>
      <c r="C279" s="78">
        <v>584.24</v>
      </c>
      <c r="D279" s="78">
        <v>586.04</v>
      </c>
      <c r="E279" s="78">
        <v>4169858</v>
      </c>
      <c r="F279" s="78" t="s">
        <v>279</v>
      </c>
      <c r="G279" s="25">
        <f t="shared" si="6"/>
        <v>-1.0238208995971831E-3</v>
      </c>
      <c r="I279" s="78">
        <v>117.46000000000001</v>
      </c>
      <c r="J279" s="78">
        <v>119.77899000000002</v>
      </c>
      <c r="K279" s="78">
        <v>116.85300000000002</v>
      </c>
      <c r="L279" s="78">
        <v>118.12000000000003</v>
      </c>
      <c r="M279" s="78">
        <v>34393349.999999993</v>
      </c>
      <c r="N279" s="78" t="s">
        <v>279</v>
      </c>
      <c r="O279" s="25">
        <f t="shared" si="7"/>
        <v>-5.5875380968508637E-3</v>
      </c>
    </row>
    <row r="280" spans="1:18">
      <c r="A280" s="78">
        <v>585.58000000000004</v>
      </c>
      <c r="B280" s="78">
        <v>586.04</v>
      </c>
      <c r="C280" s="78">
        <v>583.59</v>
      </c>
      <c r="D280" s="78">
        <v>583.80999999999995</v>
      </c>
      <c r="E280" s="78">
        <v>3189061</v>
      </c>
      <c r="F280" s="78" t="s">
        <v>280</v>
      </c>
      <c r="G280" s="25">
        <f t="shared" si="6"/>
        <v>3.0318082937943469E-3</v>
      </c>
      <c r="I280" s="78">
        <v>118.04900000000002</v>
      </c>
      <c r="J280" s="78">
        <v>118.73200000000001</v>
      </c>
      <c r="K280" s="78">
        <v>117.43825000000001</v>
      </c>
      <c r="L280" s="78">
        <v>117.84150000000002</v>
      </c>
      <c r="M280" s="78">
        <v>26099909.999999996</v>
      </c>
      <c r="N280" s="78" t="s">
        <v>280</v>
      </c>
      <c r="O280" s="25">
        <f t="shared" si="7"/>
        <v>1.7608397720667579E-3</v>
      </c>
    </row>
    <row r="281" spans="1:18">
      <c r="A281" s="78">
        <v>583.26</v>
      </c>
      <c r="B281" s="78">
        <v>584.75</v>
      </c>
      <c r="C281" s="78">
        <v>582.72</v>
      </c>
      <c r="D281" s="78">
        <v>583.34</v>
      </c>
      <c r="E281" s="78">
        <v>3840901</v>
      </c>
      <c r="F281" s="78" t="s">
        <v>281</v>
      </c>
      <c r="G281" s="25">
        <f t="shared" si="6"/>
        <v>-1.3714128981390239E-4</v>
      </c>
      <c r="I281" s="78">
        <v>118.07600000000002</v>
      </c>
      <c r="J281" s="78">
        <v>118.35000000000002</v>
      </c>
      <c r="K281" s="78">
        <v>116.26601000000002</v>
      </c>
      <c r="L281" s="78">
        <v>117.78000000000002</v>
      </c>
      <c r="M281" s="78">
        <v>38455699.999999993</v>
      </c>
      <c r="N281" s="78" t="s">
        <v>281</v>
      </c>
      <c r="O281" s="25">
        <f t="shared" si="7"/>
        <v>2.513160129054226E-3</v>
      </c>
    </row>
    <row r="282" spans="1:18">
      <c r="A282" s="78">
        <v>582.86</v>
      </c>
      <c r="B282" s="78">
        <v>582.96</v>
      </c>
      <c r="C282" s="78">
        <v>578.87</v>
      </c>
      <c r="D282" s="78">
        <v>580.57000000000005</v>
      </c>
      <c r="E282" s="78">
        <v>4257345</v>
      </c>
      <c r="F282" s="78" t="s">
        <v>282</v>
      </c>
      <c r="G282" s="25">
        <f t="shared" si="6"/>
        <v>3.9443994694867701E-3</v>
      </c>
      <c r="I282" s="78">
        <v>117.67800000000003</v>
      </c>
      <c r="J282" s="78">
        <v>119.26194000000002</v>
      </c>
      <c r="K282" s="78">
        <v>117.36000000000001</v>
      </c>
      <c r="L282" s="78">
        <v>118.98100000000002</v>
      </c>
      <c r="M282" s="78">
        <v>45042639.999999993</v>
      </c>
      <c r="N282" s="78" t="s">
        <v>282</v>
      </c>
      <c r="O282" s="25">
        <f t="shared" si="7"/>
        <v>-1.0951328363352109E-2</v>
      </c>
    </row>
    <row r="283" spans="1:18">
      <c r="A283" s="78">
        <v>577.95000000000005</v>
      </c>
      <c r="B283" s="78">
        <v>578.84</v>
      </c>
      <c r="C283" s="78">
        <v>575.64</v>
      </c>
      <c r="D283" s="78">
        <v>578.28</v>
      </c>
      <c r="E283" s="78">
        <v>4743679</v>
      </c>
      <c r="F283" s="78" t="s">
        <v>283</v>
      </c>
      <c r="G283" s="25">
        <f t="shared" si="6"/>
        <v>-5.7065781282406025E-4</v>
      </c>
      <c r="I283" s="78">
        <v>119.00800000000001</v>
      </c>
      <c r="J283" s="78">
        <v>123.23700000000001</v>
      </c>
      <c r="K283" s="78">
        <v>118.75000000000003</v>
      </c>
      <c r="L283" s="78">
        <v>123.03800000000004</v>
      </c>
      <c r="M283" s="78">
        <v>50088209.999999993</v>
      </c>
      <c r="N283" s="78" t="s">
        <v>283</v>
      </c>
      <c r="O283" s="25">
        <f t="shared" si="7"/>
        <v>-3.2754108486809153E-2</v>
      </c>
    </row>
    <row r="284" spans="1:18">
      <c r="A284" s="78">
        <v>577.95000000000005</v>
      </c>
      <c r="B284" s="78">
        <v>580.53</v>
      </c>
      <c r="C284" s="78">
        <v>577.59</v>
      </c>
      <c r="D284" s="78">
        <v>577.98</v>
      </c>
      <c r="E284" s="78">
        <v>5892207</v>
      </c>
      <c r="F284" s="78" t="s">
        <v>284</v>
      </c>
      <c r="G284" s="25">
        <f t="shared" si="6"/>
        <v>-5.1904910204458865E-5</v>
      </c>
      <c r="I284" s="78">
        <v>123.32700000000003</v>
      </c>
      <c r="J284" s="78">
        <v>123.71000000000001</v>
      </c>
      <c r="K284" s="78">
        <v>119.80000000000003</v>
      </c>
      <c r="L284" s="78">
        <v>120.60000000000002</v>
      </c>
      <c r="M284" s="78">
        <v>55902779.999999993</v>
      </c>
      <c r="N284" s="78" t="s">
        <v>284</v>
      </c>
      <c r="O284" s="25">
        <f t="shared" si="7"/>
        <v>2.2611940298507438E-2</v>
      </c>
    </row>
    <row r="285" spans="1:18">
      <c r="A285" s="78">
        <v>576.91999999999996</v>
      </c>
      <c r="B285" s="78">
        <v>578.5</v>
      </c>
      <c r="C285" s="78">
        <v>575.84</v>
      </c>
      <c r="D285" s="78">
        <v>578.47</v>
      </c>
      <c r="E285" s="78">
        <v>4244147</v>
      </c>
      <c r="F285" s="78" t="s">
        <v>285</v>
      </c>
      <c r="G285" s="25">
        <f t="shared" si="6"/>
        <v>-2.6794820820441601E-3</v>
      </c>
      <c r="I285" s="78">
        <v>120.92400000000002</v>
      </c>
      <c r="J285" s="78">
        <v>124.65000000000002</v>
      </c>
      <c r="K285" s="78">
        <v>120.10100000000003</v>
      </c>
      <c r="L285" s="78">
        <v>124.19600000000003</v>
      </c>
      <c r="M285" s="78">
        <v>106331459.99999999</v>
      </c>
      <c r="N285" s="78" t="s">
        <v>285</v>
      </c>
      <c r="O285" s="25">
        <f t="shared" si="7"/>
        <v>-2.6345453959869869E-2</v>
      </c>
    </row>
    <row r="286" spans="1:18">
      <c r="A286" s="78">
        <v>577.17999999999995</v>
      </c>
      <c r="B286" s="78">
        <v>577.65</v>
      </c>
      <c r="C286" s="78">
        <v>573.79999999999995</v>
      </c>
      <c r="D286" s="78">
        <v>574.02</v>
      </c>
      <c r="E286" s="78">
        <v>5391575</v>
      </c>
      <c r="F286" s="78" t="s">
        <v>286</v>
      </c>
      <c r="G286" s="25">
        <f t="shared" si="6"/>
        <v>5.5050346677816275E-3</v>
      </c>
      <c r="I286" s="78">
        <v>127.41700000000003</v>
      </c>
      <c r="J286" s="78">
        <v>127.75000000000003</v>
      </c>
      <c r="K286" s="78">
        <v>124.48004000000003</v>
      </c>
      <c r="L286" s="78">
        <v>125.57150000000001</v>
      </c>
      <c r="M286" s="78">
        <v>59283709.999999985</v>
      </c>
      <c r="N286" s="78" t="s">
        <v>286</v>
      </c>
      <c r="O286" s="25">
        <f t="shared" si="7"/>
        <v>1.4696806202044277E-2</v>
      </c>
    </row>
    <row r="287" spans="1:18">
      <c r="A287" s="78">
        <v>573.74</v>
      </c>
      <c r="B287" s="78">
        <v>574.26</v>
      </c>
      <c r="C287" s="78">
        <v>568.16999999999996</v>
      </c>
      <c r="D287" s="78">
        <v>573.4</v>
      </c>
      <c r="E287" s="78">
        <v>6119852</v>
      </c>
      <c r="F287" s="78" t="s">
        <v>287</v>
      </c>
      <c r="G287" s="25">
        <f t="shared" si="6"/>
        <v>5.9295430763861567E-4</v>
      </c>
      <c r="I287" s="78">
        <v>125.03100000000002</v>
      </c>
      <c r="J287" s="78">
        <v>127.10000000000002</v>
      </c>
      <c r="K287" s="78">
        <v>124.98200000000001</v>
      </c>
      <c r="L287" s="78">
        <v>126.17100000000003</v>
      </c>
      <c r="M287" s="78">
        <v>31958479.999999993</v>
      </c>
      <c r="N287" s="78" t="s">
        <v>287</v>
      </c>
      <c r="O287" s="25">
        <f t="shared" si="7"/>
        <v>-9.0353567777066157E-3</v>
      </c>
    </row>
    <row r="288" spans="1:18">
      <c r="A288" s="78">
        <v>571.86</v>
      </c>
      <c r="B288" s="78">
        <v>577.16</v>
      </c>
      <c r="C288" s="78">
        <v>571.85</v>
      </c>
      <c r="D288" s="78">
        <v>576.85</v>
      </c>
      <c r="E288" s="78">
        <v>5338268</v>
      </c>
      <c r="F288" s="78" t="s">
        <v>288</v>
      </c>
      <c r="G288" s="25">
        <f t="shared" si="6"/>
        <v>-8.6504290543468754E-3</v>
      </c>
      <c r="I288" s="78">
        <v>126.02700000000003</v>
      </c>
      <c r="J288" s="78">
        <v>127.12200000000003</v>
      </c>
      <c r="K288" s="78">
        <v>124.32450000000001</v>
      </c>
      <c r="L288" s="78">
        <v>126.20000000000003</v>
      </c>
      <c r="M288" s="78">
        <v>27804529.999999996</v>
      </c>
      <c r="N288" s="78" t="s">
        <v>288</v>
      </c>
      <c r="O288" s="25">
        <f t="shared" si="7"/>
        <v>-1.3708399366085811E-3</v>
      </c>
    </row>
    <row r="289" spans="1:15">
      <c r="A289" s="78">
        <v>574.35</v>
      </c>
      <c r="B289" s="78">
        <v>574.67899999999997</v>
      </c>
      <c r="C289" s="78">
        <v>571.58000000000004</v>
      </c>
      <c r="D289" s="78">
        <v>572.85</v>
      </c>
      <c r="E289" s="78">
        <v>4719971</v>
      </c>
      <c r="F289" s="78" t="s">
        <v>289</v>
      </c>
      <c r="G289" s="25">
        <f t="shared" si="6"/>
        <v>2.6184865147944603E-3</v>
      </c>
      <c r="I289" s="78">
        <v>126.19500000000004</v>
      </c>
      <c r="J289" s="78">
        <v>127.04900000000002</v>
      </c>
      <c r="K289" s="78">
        <v>124.00000000000003</v>
      </c>
      <c r="L289" s="78">
        <v>124.49100000000003</v>
      </c>
      <c r="M289" s="78">
        <v>26484979.999999996</v>
      </c>
      <c r="N289" s="78" t="s">
        <v>289</v>
      </c>
      <c r="O289" s="25">
        <f t="shared" si="7"/>
        <v>1.3687736462876909E-2</v>
      </c>
    </row>
    <row r="290" spans="1:15">
      <c r="A290" s="78">
        <v>573.22</v>
      </c>
      <c r="B290" s="78">
        <v>574.37570000000005</v>
      </c>
      <c r="C290" s="78">
        <v>571.37</v>
      </c>
      <c r="D290" s="78">
        <v>572.45000000000005</v>
      </c>
      <c r="E290" s="78">
        <v>4414258</v>
      </c>
      <c r="F290" s="78" t="s">
        <v>290</v>
      </c>
      <c r="G290" s="25">
        <f t="shared" si="6"/>
        <v>1.3450956415406168E-3</v>
      </c>
      <c r="I290" s="78">
        <v>124.51100000000001</v>
      </c>
      <c r="J290" s="78">
        <v>126.10000000000002</v>
      </c>
      <c r="K290" s="78">
        <v>123.13000000000002</v>
      </c>
      <c r="L290" s="78">
        <v>125.97860000000003</v>
      </c>
      <c r="M290" s="78">
        <v>38746569.999999993</v>
      </c>
      <c r="N290" s="78" t="s">
        <v>290</v>
      </c>
      <c r="O290" s="25">
        <f t="shared" si="7"/>
        <v>-1.1649597630073782E-2</v>
      </c>
    </row>
    <row r="291" spans="1:15">
      <c r="A291" s="78">
        <v>575.29</v>
      </c>
      <c r="B291" s="78">
        <v>576.26</v>
      </c>
      <c r="C291" s="78">
        <v>572.70000000000005</v>
      </c>
      <c r="D291" s="78">
        <v>573.78</v>
      </c>
      <c r="E291" s="78">
        <v>4920279</v>
      </c>
      <c r="F291" s="78" t="s">
        <v>291</v>
      </c>
      <c r="G291" s="25">
        <f t="shared" si="6"/>
        <v>2.6316706751716712E-3</v>
      </c>
      <c r="I291" s="78">
        <v>125.05900000000001</v>
      </c>
      <c r="J291" s="78">
        <v>128.95999</v>
      </c>
      <c r="K291" s="78">
        <v>124.60100000000003</v>
      </c>
      <c r="L291" s="78">
        <v>128.55000000000001</v>
      </c>
      <c r="M291" s="78">
        <v>42187269.999999993</v>
      </c>
      <c r="N291" s="78" t="s">
        <v>291</v>
      </c>
      <c r="O291" s="25">
        <f t="shared" si="7"/>
        <v>-2.7156748346946702E-2</v>
      </c>
    </row>
    <row r="292" spans="1:15">
      <c r="A292" s="78">
        <v>573.61</v>
      </c>
      <c r="B292" s="78">
        <v>574.26</v>
      </c>
      <c r="C292" s="78">
        <v>570.76</v>
      </c>
      <c r="D292" s="78">
        <v>572.46</v>
      </c>
      <c r="E292" s="78">
        <v>6833139</v>
      </c>
      <c r="F292" s="78" t="s">
        <v>292</v>
      </c>
      <c r="G292" s="25">
        <f t="shared" si="6"/>
        <v>2.0088739824615232E-3</v>
      </c>
      <c r="I292" s="78">
        <v>128.82800000000003</v>
      </c>
      <c r="J292" s="78">
        <v>128.82900000000001</v>
      </c>
      <c r="K292" s="78">
        <v>126.62400000000002</v>
      </c>
      <c r="L292" s="78">
        <v>127.39900000000003</v>
      </c>
      <c r="M292" s="78">
        <v>23711539.999999996</v>
      </c>
      <c r="N292" s="78" t="s">
        <v>292</v>
      </c>
      <c r="O292" s="25">
        <f t="shared" si="7"/>
        <v>1.1216728545750065E-2</v>
      </c>
    </row>
    <row r="293" spans="1:15">
      <c r="A293" s="78">
        <v>570.23</v>
      </c>
      <c r="B293" s="78">
        <v>571.83000000000004</v>
      </c>
      <c r="C293" s="78">
        <v>569.48</v>
      </c>
      <c r="D293" s="78">
        <v>571.15</v>
      </c>
      <c r="E293" s="78">
        <v>6916815</v>
      </c>
      <c r="F293" s="78" t="s">
        <v>293</v>
      </c>
      <c r="G293" s="25">
        <f t="shared" si="6"/>
        <v>-1.6107852578131077E-3</v>
      </c>
      <c r="I293" s="78">
        <v>127.53100000000002</v>
      </c>
      <c r="J293" s="78">
        <v>129.32500000000002</v>
      </c>
      <c r="K293" s="78">
        <v>126.00000000000003</v>
      </c>
      <c r="L293" s="78">
        <v>129.09000000000003</v>
      </c>
      <c r="M293" s="78">
        <v>32191529.999999993</v>
      </c>
      <c r="N293" s="78" t="s">
        <v>293</v>
      </c>
      <c r="O293" s="25">
        <f t="shared" si="7"/>
        <v>-1.2076845611588949E-2</v>
      </c>
    </row>
    <row r="294" spans="1:15">
      <c r="A294" s="78">
        <v>570.61</v>
      </c>
      <c r="B294" s="78">
        <v>573.59</v>
      </c>
      <c r="C294" s="78">
        <v>567.98</v>
      </c>
      <c r="D294" s="78">
        <v>573</v>
      </c>
      <c r="E294" s="78">
        <v>6347907</v>
      </c>
      <c r="F294" s="78" t="s">
        <v>294</v>
      </c>
      <c r="G294" s="25">
        <f t="shared" si="6"/>
        <v>-4.1710296684118742E-3</v>
      </c>
      <c r="I294" s="78">
        <v>128.96200000000002</v>
      </c>
      <c r="J294" s="78">
        <v>129.50000000000003</v>
      </c>
      <c r="K294" s="78">
        <v>127.60200000000002</v>
      </c>
      <c r="L294" s="78">
        <v>129.50000000000003</v>
      </c>
      <c r="M294" s="78">
        <v>22441329.999999996</v>
      </c>
      <c r="N294" s="78" t="s">
        <v>294</v>
      </c>
      <c r="O294" s="25">
        <f t="shared" si="7"/>
        <v>-4.1544401544402199E-3</v>
      </c>
    </row>
    <row r="295" spans="1:15">
      <c r="A295" s="78">
        <v>575.22</v>
      </c>
      <c r="B295" s="78">
        <v>575.66999999999996</v>
      </c>
      <c r="C295" s="78">
        <v>572.13</v>
      </c>
      <c r="D295" s="78">
        <v>572.17999999999995</v>
      </c>
      <c r="E295" s="78">
        <v>4833973</v>
      </c>
      <c r="F295" s="78" t="s">
        <v>295</v>
      </c>
      <c r="G295" s="25">
        <f t="shared" si="6"/>
        <v>5.3130133873957597E-3</v>
      </c>
      <c r="I295" s="78">
        <v>129.71800000000002</v>
      </c>
      <c r="J295" s="78">
        <v>130.22600000000003</v>
      </c>
      <c r="K295" s="78">
        <v>127.97600000000003</v>
      </c>
      <c r="L295" s="78">
        <v>129.20000000000002</v>
      </c>
      <c r="M295" s="78">
        <v>20055639.999999996</v>
      </c>
      <c r="N295" s="78" t="s">
        <v>295</v>
      </c>
      <c r="O295" s="25">
        <f t="shared" si="7"/>
        <v>4.0092879256965475E-3</v>
      </c>
    </row>
    <row r="296" spans="1:15">
      <c r="A296" s="78">
        <v>570.29</v>
      </c>
      <c r="B296" s="78">
        <v>570.34</v>
      </c>
      <c r="C296" s="78">
        <v>566.80999999999995</v>
      </c>
      <c r="D296" s="78">
        <v>567.37</v>
      </c>
      <c r="E296" s="78">
        <v>6134026</v>
      </c>
      <c r="F296" s="78" t="s">
        <v>296</v>
      </c>
      <c r="G296" s="25">
        <f t="shared" si="6"/>
        <v>5.1465533954913045E-3</v>
      </c>
      <c r="I296" s="78">
        <v>128.48600000000002</v>
      </c>
      <c r="J296" s="78">
        <v>129.99499000000003</v>
      </c>
      <c r="K296" s="78">
        <v>127.15900000000002</v>
      </c>
      <c r="L296" s="78">
        <v>129.69600000000003</v>
      </c>
      <c r="M296" s="78">
        <v>30194479.999999993</v>
      </c>
      <c r="N296" s="78" t="s">
        <v>296</v>
      </c>
      <c r="O296" s="25">
        <f t="shared" si="7"/>
        <v>-9.3295090056748631E-3</v>
      </c>
    </row>
    <row r="297" spans="1:15">
      <c r="A297" s="78">
        <v>567.77</v>
      </c>
      <c r="B297" s="78">
        <v>568.79999999999995</v>
      </c>
      <c r="C297" s="78">
        <v>565.79999999999995</v>
      </c>
      <c r="D297" s="78">
        <v>566.55999999999995</v>
      </c>
      <c r="E297" s="78">
        <v>7369350</v>
      </c>
      <c r="F297" s="78" t="s">
        <v>297</v>
      </c>
      <c r="G297" s="25">
        <f t="shared" si="6"/>
        <v>2.1356961310365907E-3</v>
      </c>
      <c r="I297" s="78">
        <v>129.36000000000001</v>
      </c>
      <c r="J297" s="78">
        <v>133.87743000000003</v>
      </c>
      <c r="K297" s="78">
        <v>128.22200000000004</v>
      </c>
      <c r="L297" s="78">
        <v>133.82300000000004</v>
      </c>
      <c r="M297" s="78">
        <v>49648549.999999993</v>
      </c>
      <c r="N297" s="78" t="s">
        <v>297</v>
      </c>
      <c r="O297" s="25">
        <f t="shared" si="7"/>
        <v>-3.3350022044043359E-2</v>
      </c>
    </row>
    <row r="298" spans="1:15">
      <c r="A298" s="78">
        <v>568.03</v>
      </c>
      <c r="B298" s="78">
        <v>569.15</v>
      </c>
      <c r="C298" s="78">
        <v>565.375</v>
      </c>
      <c r="D298" s="78">
        <v>567.5</v>
      </c>
      <c r="E298" s="78">
        <v>5719188</v>
      </c>
      <c r="F298" s="78" t="s">
        <v>298</v>
      </c>
      <c r="G298" s="25">
        <f t="shared" si="6"/>
        <v>9.3392070484576983E-4</v>
      </c>
      <c r="I298" s="78">
        <v>133.91300000000004</v>
      </c>
      <c r="J298" s="78">
        <v>134.11500000000004</v>
      </c>
      <c r="K298" s="78">
        <v>132.12100000000004</v>
      </c>
      <c r="L298" s="78">
        <v>133.10000000000002</v>
      </c>
      <c r="M298" s="78">
        <v>32395499.999999993</v>
      </c>
      <c r="N298" s="78" t="s">
        <v>298</v>
      </c>
      <c r="O298" s="25">
        <f t="shared" si="7"/>
        <v>6.1081893313299496E-3</v>
      </c>
    </row>
    <row r="299" spans="1:15">
      <c r="A299" s="78">
        <v>566.95000000000005</v>
      </c>
      <c r="B299" s="78">
        <v>568.33000000000004</v>
      </c>
      <c r="C299" s="78">
        <v>563.21</v>
      </c>
      <c r="D299" s="78">
        <v>565.11</v>
      </c>
      <c r="E299" s="78">
        <v>6056524</v>
      </c>
      <c r="F299" s="78" t="s">
        <v>299</v>
      </c>
      <c r="G299" s="25">
        <f t="shared" si="6"/>
        <v>3.2560032560033925E-3</v>
      </c>
      <c r="I299" s="78">
        <v>132.31200000000001</v>
      </c>
      <c r="J299" s="78">
        <v>133.13450000000003</v>
      </c>
      <c r="K299" s="78">
        <v>130.10000000000002</v>
      </c>
      <c r="L299" s="78">
        <v>130.68800000000005</v>
      </c>
      <c r="M299" s="78">
        <v>40708569.999999993</v>
      </c>
      <c r="N299" s="78" t="s">
        <v>299</v>
      </c>
      <c r="O299" s="25">
        <f t="shared" si="7"/>
        <v>1.2426542605288748E-2</v>
      </c>
    </row>
    <row r="300" spans="1:15">
      <c r="A300" s="78">
        <v>564.15</v>
      </c>
      <c r="B300" s="78">
        <v>564.54999999999995</v>
      </c>
      <c r="C300" s="78">
        <v>560.96</v>
      </c>
      <c r="D300" s="78">
        <v>561.52</v>
      </c>
      <c r="E300" s="78">
        <v>6081444</v>
      </c>
      <c r="F300" s="78" t="s">
        <v>300</v>
      </c>
      <c r="G300" s="25">
        <f t="shared" si="6"/>
        <v>4.6837156290069348E-3</v>
      </c>
      <c r="I300" s="78">
        <v>130.66700000000003</v>
      </c>
      <c r="J300" s="78">
        <v>130.73400000000001</v>
      </c>
      <c r="K300" s="78">
        <v>128.00000000000003</v>
      </c>
      <c r="L300" s="78">
        <v>128.00000000000003</v>
      </c>
      <c r="M300" s="78">
        <v>26058699.999999996</v>
      </c>
      <c r="N300" s="78" t="s">
        <v>300</v>
      </c>
      <c r="O300" s="25">
        <f t="shared" si="7"/>
        <v>2.0835937500000012E-2</v>
      </c>
    </row>
    <row r="301" spans="1:15">
      <c r="A301" s="78">
        <v>559.72</v>
      </c>
      <c r="B301" s="78">
        <v>561.02</v>
      </c>
      <c r="C301" s="78">
        <v>558.34</v>
      </c>
      <c r="D301" s="78">
        <v>560.52</v>
      </c>
      <c r="E301" s="78">
        <v>16472305</v>
      </c>
      <c r="F301" s="78" t="s">
        <v>301</v>
      </c>
      <c r="G301" s="25">
        <f t="shared" si="6"/>
        <v>-1.4272461285947946E-3</v>
      </c>
      <c r="I301" s="78">
        <v>127.52500000000002</v>
      </c>
      <c r="J301" s="78">
        <v>129.79999000000004</v>
      </c>
      <c r="K301" s="78">
        <v>127.38100000000001</v>
      </c>
      <c r="L301" s="78">
        <v>128.68400000000003</v>
      </c>
      <c r="M301" s="78">
        <v>21465099.999999996</v>
      </c>
      <c r="N301" s="78" t="s">
        <v>301</v>
      </c>
      <c r="O301" s="25">
        <f t="shared" si="7"/>
        <v>-9.0065587019365623E-3</v>
      </c>
    </row>
    <row r="302" spans="1:15">
      <c r="A302" s="78">
        <v>559.44000000000005</v>
      </c>
      <c r="B302" s="78">
        <v>560.42999999999995</v>
      </c>
      <c r="C302" s="78">
        <v>556.37</v>
      </c>
      <c r="D302" s="78">
        <v>557.17999999999995</v>
      </c>
      <c r="E302" s="78">
        <v>6770036</v>
      </c>
      <c r="F302" s="78" t="s">
        <v>302</v>
      </c>
      <c r="G302" s="25">
        <f t="shared" si="6"/>
        <v>4.0561398470873034E-3</v>
      </c>
      <c r="I302" s="78">
        <v>127.91100000000002</v>
      </c>
      <c r="J302" s="78">
        <v>128.25710000000001</v>
      </c>
      <c r="K302" s="78">
        <v>125.50000000000003</v>
      </c>
      <c r="L302" s="78">
        <v>126.05450000000003</v>
      </c>
      <c r="M302" s="78">
        <v>26633069.999999996</v>
      </c>
      <c r="N302" s="78" t="s">
        <v>302</v>
      </c>
      <c r="O302" s="25">
        <f t="shared" si="7"/>
        <v>1.472775664494308E-2</v>
      </c>
    </row>
    <row r="303" spans="1:15">
      <c r="A303" s="78">
        <v>553.36</v>
      </c>
      <c r="B303" s="78">
        <v>553.70000000000005</v>
      </c>
      <c r="C303" s="78">
        <v>545.75</v>
      </c>
      <c r="D303" s="78">
        <v>548.66</v>
      </c>
      <c r="E303" s="78">
        <v>9691151</v>
      </c>
      <c r="F303" s="78" t="s">
        <v>303</v>
      </c>
      <c r="G303" s="25">
        <f t="shared" si="6"/>
        <v>8.5663252287391245E-3</v>
      </c>
      <c r="I303" s="78">
        <v>125.35400000000003</v>
      </c>
      <c r="J303" s="78">
        <v>125.48400000000002</v>
      </c>
      <c r="K303" s="78">
        <v>121.50100000000002</v>
      </c>
      <c r="L303" s="78">
        <v>123.80250000000004</v>
      </c>
      <c r="M303" s="78">
        <v>25754029.999999996</v>
      </c>
      <c r="N303" s="78" t="s">
        <v>303</v>
      </c>
      <c r="O303" s="25">
        <f t="shared" si="7"/>
        <v>1.2532057107085715E-2</v>
      </c>
    </row>
    <row r="304" spans="1:15">
      <c r="A304" s="78">
        <v>547.72</v>
      </c>
      <c r="B304" s="78">
        <v>552.72</v>
      </c>
      <c r="C304" s="78">
        <v>546.62</v>
      </c>
      <c r="D304" s="78">
        <v>551.72</v>
      </c>
      <c r="E304" s="78">
        <v>9942858</v>
      </c>
      <c r="F304" s="78" t="s">
        <v>304</v>
      </c>
      <c r="G304" s="25">
        <f t="shared" si="6"/>
        <v>-7.2500543754078217E-3</v>
      </c>
      <c r="I304" s="78">
        <v>123.14100000000003</v>
      </c>
      <c r="J304" s="78">
        <v>124.84999000000003</v>
      </c>
      <c r="K304" s="78">
        <v>122.43490000000001</v>
      </c>
      <c r="L304" s="78">
        <v>123.44500000000002</v>
      </c>
      <c r="M304" s="78">
        <v>53063519.999999993</v>
      </c>
      <c r="N304" s="78" t="s">
        <v>304</v>
      </c>
      <c r="O304" s="25">
        <f t="shared" si="7"/>
        <v>-2.4626351816597891E-3</v>
      </c>
    </row>
    <row r="305" spans="1:15">
      <c r="A305" s="78">
        <v>549.24</v>
      </c>
      <c r="B305" s="78">
        <v>552.71</v>
      </c>
      <c r="C305" s="78">
        <v>548.39</v>
      </c>
      <c r="D305" s="78">
        <v>550.16</v>
      </c>
      <c r="E305" s="78">
        <v>4602329</v>
      </c>
      <c r="F305" s="78" t="s">
        <v>305</v>
      </c>
      <c r="G305" s="25">
        <f t="shared" si="6"/>
        <v>-1.6722408026754731E-3</v>
      </c>
      <c r="I305" s="78">
        <v>122.22900000000001</v>
      </c>
      <c r="J305" s="78">
        <v>124.19999000000003</v>
      </c>
      <c r="K305" s="78">
        <v>122.05000000000003</v>
      </c>
      <c r="L305" s="78">
        <v>122.99900000000002</v>
      </c>
      <c r="M305" s="78">
        <v>22810469.999999996</v>
      </c>
      <c r="N305" s="78" t="s">
        <v>305</v>
      </c>
      <c r="O305" s="25">
        <f t="shared" si="7"/>
        <v>-6.2602134976708079E-3</v>
      </c>
    </row>
    <row r="306" spans="1:15">
      <c r="A306" s="78">
        <v>549.35</v>
      </c>
      <c r="B306" s="78">
        <v>553.16</v>
      </c>
      <c r="C306" s="78">
        <v>548.63499999999999</v>
      </c>
      <c r="D306" s="78">
        <v>551.79</v>
      </c>
      <c r="E306" s="78">
        <v>4753344</v>
      </c>
      <c r="F306" s="78" t="s">
        <v>306</v>
      </c>
      <c r="G306" s="25">
        <f t="shared" si="6"/>
        <v>-4.4219721270771783E-3</v>
      </c>
      <c r="I306" s="78">
        <v>122.06700000000004</v>
      </c>
      <c r="J306" s="78">
        <v>123.23569000000002</v>
      </c>
      <c r="K306" s="78">
        <v>121.60900000000001</v>
      </c>
      <c r="L306" s="78">
        <v>121.99500000000003</v>
      </c>
      <c r="M306" s="78">
        <v>18921259.999999996</v>
      </c>
      <c r="N306" s="78" t="s">
        <v>306</v>
      </c>
      <c r="O306" s="25">
        <f t="shared" si="7"/>
        <v>5.9018812246414143E-4</v>
      </c>
    </row>
    <row r="307" spans="1:15">
      <c r="A307" s="78">
        <v>554.07000000000005</v>
      </c>
      <c r="B307" s="78">
        <v>555.69000000000005</v>
      </c>
      <c r="C307" s="78">
        <v>551.87</v>
      </c>
      <c r="D307" s="78">
        <v>551.94000000000005</v>
      </c>
      <c r="E307" s="78">
        <v>7421327</v>
      </c>
      <c r="F307" s="78" t="s">
        <v>307</v>
      </c>
      <c r="G307" s="25">
        <f t="shared" si="6"/>
        <v>3.8591151212088448E-3</v>
      </c>
      <c r="I307" s="78">
        <v>122.53500000000001</v>
      </c>
      <c r="J307" s="78">
        <v>122.62500000000003</v>
      </c>
      <c r="K307" s="78">
        <v>121.22000000000003</v>
      </c>
      <c r="L307" s="78">
        <v>121.22000000000003</v>
      </c>
      <c r="M307" s="78">
        <v>21127969.999999996</v>
      </c>
      <c r="N307" s="78" t="s">
        <v>307</v>
      </c>
      <c r="O307" s="25">
        <f t="shared" si="7"/>
        <v>1.0848044877082907E-2</v>
      </c>
    </row>
    <row r="308" spans="1:15">
      <c r="A308" s="78">
        <v>548.77</v>
      </c>
      <c r="B308" s="78">
        <v>553.245</v>
      </c>
      <c r="C308" s="78">
        <v>547.41</v>
      </c>
      <c r="D308" s="78">
        <v>550.24</v>
      </c>
      <c r="E308" s="78">
        <v>7062316</v>
      </c>
      <c r="F308" s="78" t="s">
        <v>308</v>
      </c>
      <c r="G308" s="25">
        <f t="shared" si="6"/>
        <v>-2.671561500436237E-3</v>
      </c>
      <c r="I308" s="78">
        <v>121.21500000000003</v>
      </c>
      <c r="J308" s="78">
        <v>122.06200000000001</v>
      </c>
      <c r="K308" s="78">
        <v>120.18900000000004</v>
      </c>
      <c r="L308" s="78">
        <v>120.65900000000002</v>
      </c>
      <c r="M308" s="78">
        <v>21755009.999999996</v>
      </c>
      <c r="N308" s="78" t="s">
        <v>308</v>
      </c>
      <c r="O308" s="25">
        <f t="shared" si="7"/>
        <v>4.6080275818629612E-3</v>
      </c>
    </row>
    <row r="309" spans="1:15">
      <c r="A309" s="78">
        <v>554.95000000000005</v>
      </c>
      <c r="B309" s="78">
        <v>555</v>
      </c>
      <c r="C309" s="78">
        <v>551.13220000000001</v>
      </c>
      <c r="D309" s="78">
        <v>551.6</v>
      </c>
      <c r="E309" s="78">
        <v>8422943</v>
      </c>
      <c r="F309" s="78" t="s">
        <v>309</v>
      </c>
      <c r="G309" s="25">
        <f t="shared" si="6"/>
        <v>6.0732414793329692E-3</v>
      </c>
      <c r="I309" s="78">
        <v>121.50300000000001</v>
      </c>
      <c r="J309" s="78">
        <v>123.00000000000003</v>
      </c>
      <c r="K309" s="78">
        <v>121.19650000000001</v>
      </c>
      <c r="L309" s="78">
        <v>122.25900000000001</v>
      </c>
      <c r="M309" s="78">
        <v>20846019.999999996</v>
      </c>
      <c r="N309" s="78" t="s">
        <v>309</v>
      </c>
      <c r="O309" s="25">
        <f t="shared" si="7"/>
        <v>-6.1835938458518758E-3</v>
      </c>
    </row>
    <row r="310" spans="1:15">
      <c r="A310" s="78">
        <v>552.86</v>
      </c>
      <c r="B310" s="78">
        <v>556.22500000000002</v>
      </c>
      <c r="C310" s="78">
        <v>550.91</v>
      </c>
      <c r="D310" s="78">
        <v>555.41</v>
      </c>
      <c r="E310" s="78">
        <v>20800557</v>
      </c>
      <c r="F310" s="78" t="s">
        <v>310</v>
      </c>
      <c r="G310" s="25">
        <f t="shared" si="6"/>
        <v>-4.5912028951584638E-3</v>
      </c>
      <c r="I310" s="78">
        <v>121.98800000000003</v>
      </c>
      <c r="J310" s="78">
        <v>122.82900000000002</v>
      </c>
      <c r="K310" s="78">
        <v>119.60101000000002</v>
      </c>
      <c r="L310" s="78">
        <v>120.26000000000002</v>
      </c>
      <c r="M310" s="78">
        <v>23822799.999999996</v>
      </c>
      <c r="N310" s="78" t="s">
        <v>310</v>
      </c>
      <c r="O310" s="25">
        <f t="shared" si="7"/>
        <v>1.4368867453850021E-2</v>
      </c>
    </row>
    <row r="311" spans="1:15">
      <c r="A311" s="78">
        <v>554.39</v>
      </c>
      <c r="B311" s="78">
        <v>554.74</v>
      </c>
      <c r="C311" s="78">
        <v>550.74</v>
      </c>
      <c r="D311" s="78">
        <v>551.78</v>
      </c>
      <c r="E311" s="78">
        <v>5951290</v>
      </c>
      <c r="F311" s="78" t="s">
        <v>311</v>
      </c>
      <c r="G311" s="25">
        <f t="shared" si="6"/>
        <v>4.7301460727102729E-3</v>
      </c>
      <c r="I311" s="78">
        <v>120.36200000000001</v>
      </c>
      <c r="J311" s="78">
        <v>122.75200000000002</v>
      </c>
      <c r="K311" s="78">
        <v>118.06100000000001</v>
      </c>
      <c r="L311" s="78">
        <v>122.75200000000002</v>
      </c>
      <c r="M311" s="78">
        <v>44408269.999999993</v>
      </c>
      <c r="N311" s="78" t="s">
        <v>311</v>
      </c>
      <c r="O311" s="25">
        <f t="shared" si="7"/>
        <v>-1.9470151199165953E-2</v>
      </c>
    </row>
    <row r="312" spans="1:15">
      <c r="A312" s="78">
        <v>551.25</v>
      </c>
      <c r="B312" s="78">
        <v>552.70000000000005</v>
      </c>
      <c r="C312" s="78">
        <v>550.20000000000005</v>
      </c>
      <c r="D312" s="78">
        <v>551.29999999999995</v>
      </c>
      <c r="E312" s="78">
        <v>4482378</v>
      </c>
      <c r="F312" s="78" t="s">
        <v>312</v>
      </c>
      <c r="G312" s="25">
        <f t="shared" si="6"/>
        <v>-9.0694721567086134E-5</v>
      </c>
      <c r="I312" s="78">
        <v>122.44600000000003</v>
      </c>
      <c r="J312" s="78">
        <v>123.88800000000003</v>
      </c>
      <c r="K312" s="78">
        <v>122.15700000000001</v>
      </c>
      <c r="L312" s="78">
        <v>123.88800000000003</v>
      </c>
      <c r="M312" s="78">
        <v>23796939.999999996</v>
      </c>
      <c r="N312" s="78" t="s">
        <v>312</v>
      </c>
      <c r="O312" s="25">
        <f t="shared" si="7"/>
        <v>-1.1639545395841444E-2</v>
      </c>
    </row>
    <row r="313" spans="1:15">
      <c r="A313" s="78">
        <v>550.66</v>
      </c>
      <c r="B313" s="78">
        <v>552.32000000000005</v>
      </c>
      <c r="C313" s="78">
        <v>548.69989999999996</v>
      </c>
      <c r="D313" s="78">
        <v>550.29999999999995</v>
      </c>
      <c r="E313" s="78">
        <v>4712599</v>
      </c>
      <c r="F313" s="78" t="s">
        <v>313</v>
      </c>
      <c r="G313" s="25">
        <f t="shared" si="6"/>
        <v>6.5418862438670899E-4</v>
      </c>
      <c r="I313" s="78">
        <v>124.14750000000001</v>
      </c>
      <c r="J313" s="78">
        <v>125.99999000000003</v>
      </c>
      <c r="K313" s="78">
        <v>123.55501000000001</v>
      </c>
      <c r="L313" s="78">
        <v>125.94100000000003</v>
      </c>
      <c r="M313" s="78">
        <v>25262019.999999996</v>
      </c>
      <c r="N313" s="78" t="s">
        <v>313</v>
      </c>
      <c r="O313" s="25">
        <f t="shared" si="7"/>
        <v>-1.4240795293034236E-2</v>
      </c>
    </row>
    <row r="314" spans="1:15">
      <c r="A314" s="78">
        <v>545.09</v>
      </c>
      <c r="B314" s="78">
        <v>550.63</v>
      </c>
      <c r="C314" s="78">
        <v>543.33749999999998</v>
      </c>
      <c r="D314" s="78">
        <v>549.48</v>
      </c>
      <c r="E314" s="78">
        <v>6334538</v>
      </c>
      <c r="F314" s="78" t="s">
        <v>314</v>
      </c>
      <c r="G314" s="25">
        <f t="shared" si="6"/>
        <v>-7.9893717696730704E-3</v>
      </c>
      <c r="I314" s="78">
        <v>125.05200000000002</v>
      </c>
      <c r="J314" s="78">
        <v>126.28100000000002</v>
      </c>
      <c r="K314" s="78">
        <v>123.72901000000002</v>
      </c>
      <c r="L314" s="78">
        <v>124.06000000000002</v>
      </c>
      <c r="M314" s="78">
        <v>28006559.999999996</v>
      </c>
      <c r="N314" s="78" t="s">
        <v>314</v>
      </c>
      <c r="O314" s="25">
        <f t="shared" si="7"/>
        <v>7.9961309044012108E-3</v>
      </c>
    </row>
    <row r="315" spans="1:15">
      <c r="A315" s="78">
        <v>547.65</v>
      </c>
      <c r="B315" s="78">
        <v>549.65</v>
      </c>
      <c r="C315" s="78">
        <v>547.44259999999997</v>
      </c>
      <c r="D315" s="78">
        <v>548.75</v>
      </c>
      <c r="E315" s="78">
        <v>4510272</v>
      </c>
      <c r="F315" s="78" t="s">
        <v>315</v>
      </c>
      <c r="G315" s="25">
        <f t="shared" ref="G315:G378" si="8">A315/D315-1</f>
        <v>-2.0045558086561055E-3</v>
      </c>
      <c r="I315" s="78">
        <v>123.96600000000004</v>
      </c>
      <c r="J315" s="78">
        <v>124.25600000000001</v>
      </c>
      <c r="K315" s="78">
        <v>121.98800000000003</v>
      </c>
      <c r="L315" s="78">
        <v>122.07350000000001</v>
      </c>
      <c r="M315" s="78">
        <v>23419099.999999996</v>
      </c>
      <c r="N315" s="78" t="s">
        <v>315</v>
      </c>
      <c r="O315" s="25">
        <f t="shared" ref="O315:O378" si="9">I315/L315-1</f>
        <v>1.5502955186834422E-2</v>
      </c>
    </row>
    <row r="316" spans="1:15">
      <c r="A316" s="78">
        <v>548</v>
      </c>
      <c r="B316" s="78">
        <v>548.87</v>
      </c>
      <c r="C316" s="78">
        <v>544.09</v>
      </c>
      <c r="D316" s="78">
        <v>544.53</v>
      </c>
      <c r="E316" s="78">
        <v>4968649</v>
      </c>
      <c r="F316" s="78" t="s">
        <v>316</v>
      </c>
      <c r="G316" s="25">
        <f t="shared" si="8"/>
        <v>6.3724679999266343E-3</v>
      </c>
      <c r="I316" s="78">
        <v>121.79400000000003</v>
      </c>
      <c r="J316" s="78">
        <v>122.95700000000002</v>
      </c>
      <c r="K316" s="78">
        <v>121.11800000000002</v>
      </c>
      <c r="L316" s="78">
        <v>121.98700000000001</v>
      </c>
      <c r="M316" s="78">
        <v>23471339.999999996</v>
      </c>
      <c r="N316" s="78" t="s">
        <v>316</v>
      </c>
      <c r="O316" s="25">
        <f t="shared" si="9"/>
        <v>-1.5821358013557996E-3</v>
      </c>
    </row>
    <row r="317" spans="1:15">
      <c r="A317" s="78">
        <v>544.91</v>
      </c>
      <c r="B317" s="78">
        <v>544.91</v>
      </c>
      <c r="C317" s="78">
        <v>537.79999999999995</v>
      </c>
      <c r="D317" s="78">
        <v>540.25</v>
      </c>
      <c r="E317" s="78">
        <v>5900870</v>
      </c>
      <c r="F317" s="78" t="s">
        <v>317</v>
      </c>
      <c r="G317" s="25">
        <f t="shared" si="8"/>
        <v>8.6256362795000818E-3</v>
      </c>
      <c r="I317" s="78">
        <v>121.89800000000002</v>
      </c>
      <c r="J317" s="78">
        <v>121.93999000000001</v>
      </c>
      <c r="K317" s="78">
        <v>119.62501000000002</v>
      </c>
      <c r="L317" s="78">
        <v>120.12000000000003</v>
      </c>
      <c r="M317" s="78">
        <v>22522219.999999996</v>
      </c>
      <c r="N317" s="78" t="s">
        <v>317</v>
      </c>
      <c r="O317" s="25">
        <f t="shared" si="9"/>
        <v>1.4801864801864628E-2</v>
      </c>
    </row>
    <row r="318" spans="1:15">
      <c r="A318" s="78">
        <v>541.76</v>
      </c>
      <c r="B318" s="78">
        <v>543.39</v>
      </c>
      <c r="C318" s="78">
        <v>536.16</v>
      </c>
      <c r="D318" s="78">
        <v>541.35</v>
      </c>
      <c r="E318" s="78">
        <v>6160101</v>
      </c>
      <c r="F318" s="78" t="s">
        <v>318</v>
      </c>
      <c r="G318" s="25">
        <f t="shared" si="8"/>
        <v>7.5736584464758394E-4</v>
      </c>
      <c r="I318" s="78">
        <v>120.72300000000003</v>
      </c>
      <c r="J318" s="78">
        <v>121.18100000000001</v>
      </c>
      <c r="K318" s="78">
        <v>118.09250000000002</v>
      </c>
      <c r="L318" s="78">
        <v>119.83300000000001</v>
      </c>
      <c r="M318" s="78">
        <v>46404619.999999993</v>
      </c>
      <c r="N318" s="78" t="s">
        <v>318</v>
      </c>
      <c r="O318" s="25">
        <f t="shared" si="9"/>
        <v>7.4270025785887483E-3</v>
      </c>
    </row>
    <row r="319" spans="1:15">
      <c r="A319" s="78">
        <v>542.32000000000005</v>
      </c>
      <c r="B319" s="78">
        <v>545.28</v>
      </c>
      <c r="C319" s="78">
        <v>538.74</v>
      </c>
      <c r="D319" s="78">
        <v>545.15</v>
      </c>
      <c r="E319" s="78">
        <v>4668939</v>
      </c>
      <c r="F319" s="78" t="s">
        <v>319</v>
      </c>
      <c r="G319" s="25">
        <f t="shared" si="8"/>
        <v>-5.1912317710720579E-3</v>
      </c>
      <c r="I319" s="78">
        <v>118.48600000000002</v>
      </c>
      <c r="J319" s="78">
        <v>120.90000000000002</v>
      </c>
      <c r="K319" s="78">
        <v>117.62800000000001</v>
      </c>
      <c r="L319" s="78">
        <v>120.80000000000003</v>
      </c>
      <c r="M319" s="78">
        <v>33030789.999999993</v>
      </c>
      <c r="N319" s="78" t="s">
        <v>319</v>
      </c>
      <c r="O319" s="25">
        <f t="shared" si="9"/>
        <v>-1.9155629139072872E-2</v>
      </c>
    </row>
    <row r="320" spans="1:15">
      <c r="A320" s="78">
        <v>540.24</v>
      </c>
      <c r="B320" s="78">
        <v>544.9</v>
      </c>
      <c r="C320" s="78">
        <v>539.61</v>
      </c>
      <c r="D320" s="78">
        <v>543.79</v>
      </c>
      <c r="E320" s="78">
        <v>4806244</v>
      </c>
      <c r="F320" s="78" t="s">
        <v>320</v>
      </c>
      <c r="G320" s="25">
        <f t="shared" si="8"/>
        <v>-6.5282553927066278E-3</v>
      </c>
      <c r="I320" s="78">
        <v>120.85500000000002</v>
      </c>
      <c r="J320" s="78">
        <v>121.59101000000003</v>
      </c>
      <c r="K320" s="78">
        <v>120.60200000000002</v>
      </c>
      <c r="L320" s="78">
        <v>121.02700000000002</v>
      </c>
      <c r="M320" s="78">
        <v>17434659.999999996</v>
      </c>
      <c r="N320" s="78" t="s">
        <v>320</v>
      </c>
      <c r="O320" s="25">
        <f t="shared" si="9"/>
        <v>-1.4211704826195826E-3</v>
      </c>
    </row>
    <row r="321" spans="1:15">
      <c r="A321" s="78">
        <v>543.34</v>
      </c>
      <c r="B321" s="78">
        <v>543.52</v>
      </c>
      <c r="C321" s="78">
        <v>537.17999999999995</v>
      </c>
      <c r="D321" s="78">
        <v>538.72</v>
      </c>
      <c r="E321" s="78">
        <v>6086299</v>
      </c>
      <c r="F321" s="78" t="s">
        <v>321</v>
      </c>
      <c r="G321" s="25">
        <f t="shared" si="8"/>
        <v>8.5758835758835694E-3</v>
      </c>
      <c r="I321" s="78">
        <v>121.15700000000001</v>
      </c>
      <c r="J321" s="78">
        <v>121.17700000000002</v>
      </c>
      <c r="K321" s="78">
        <v>119.30900000000001</v>
      </c>
      <c r="L321" s="78">
        <v>119.53300000000002</v>
      </c>
      <c r="M321" s="78">
        <v>28825119.999999993</v>
      </c>
      <c r="N321" s="78" t="s">
        <v>321</v>
      </c>
      <c r="O321" s="25">
        <f t="shared" si="9"/>
        <v>1.358620631959373E-2</v>
      </c>
    </row>
    <row r="322" spans="1:15">
      <c r="A322" s="78">
        <v>532.4</v>
      </c>
      <c r="B322" s="78">
        <v>534.80989999999997</v>
      </c>
      <c r="C322" s="78">
        <v>529.11</v>
      </c>
      <c r="D322" s="78">
        <v>529.42999999999995</v>
      </c>
      <c r="E322" s="78">
        <v>6455875</v>
      </c>
      <c r="F322" s="78" t="s">
        <v>322</v>
      </c>
      <c r="G322" s="25">
        <f t="shared" si="8"/>
        <v>5.6098067733223456E-3</v>
      </c>
      <c r="I322" s="78">
        <v>118.53900000000003</v>
      </c>
      <c r="J322" s="78">
        <v>119.14500000000002</v>
      </c>
      <c r="K322" s="78">
        <v>117.94400000000003</v>
      </c>
      <c r="L322" s="78">
        <v>118.40000000000002</v>
      </c>
      <c r="M322" s="78">
        <v>21864829.999999996</v>
      </c>
      <c r="N322" s="78" t="s">
        <v>322</v>
      </c>
      <c r="O322" s="25">
        <f t="shared" si="9"/>
        <v>1.173986486486589E-3</v>
      </c>
    </row>
    <row r="323" spans="1:15">
      <c r="A323" s="78">
        <v>536.02</v>
      </c>
      <c r="B323" s="78">
        <v>539.22500000000002</v>
      </c>
      <c r="C323" s="78">
        <v>534.44000000000005</v>
      </c>
      <c r="D323" s="78">
        <v>535.6</v>
      </c>
      <c r="E323" s="78">
        <v>5816572</v>
      </c>
      <c r="F323" s="78" t="s">
        <v>323</v>
      </c>
      <c r="G323" s="25">
        <f t="shared" si="8"/>
        <v>7.8416728902164223E-4</v>
      </c>
      <c r="I323" s="78">
        <v>118.79700000000003</v>
      </c>
      <c r="J323" s="78">
        <v>119.87499000000003</v>
      </c>
      <c r="K323" s="78">
        <v>118.72082000000003</v>
      </c>
      <c r="L323" s="78">
        <v>119.24000000000004</v>
      </c>
      <c r="M323" s="78">
        <v>18615879.999999996</v>
      </c>
      <c r="N323" s="78" t="s">
        <v>323</v>
      </c>
      <c r="O323" s="25">
        <f t="shared" si="9"/>
        <v>-3.7151962428716434E-3</v>
      </c>
    </row>
    <row r="324" spans="1:15">
      <c r="A324" s="78">
        <v>535.77</v>
      </c>
      <c r="B324" s="78">
        <v>544.69050000000004</v>
      </c>
      <c r="C324" s="78">
        <v>534.82000000000005</v>
      </c>
      <c r="D324" s="78">
        <v>540.91</v>
      </c>
      <c r="E324" s="78">
        <v>6339491</v>
      </c>
      <c r="F324" s="78" t="s">
        <v>324</v>
      </c>
      <c r="G324" s="25">
        <f t="shared" si="8"/>
        <v>-9.5025050378065856E-3</v>
      </c>
      <c r="I324" s="78">
        <v>119.46300000000004</v>
      </c>
      <c r="J324" s="78">
        <v>121.12199000000003</v>
      </c>
      <c r="K324" s="78">
        <v>118.65000000000002</v>
      </c>
      <c r="L324" s="78">
        <v>118.65000000000002</v>
      </c>
      <c r="M324" s="78">
        <v>29766099.999999993</v>
      </c>
      <c r="N324" s="78" t="s">
        <v>324</v>
      </c>
      <c r="O324" s="25">
        <f t="shared" si="9"/>
        <v>6.8520859671303835E-3</v>
      </c>
    </row>
    <row r="325" spans="1:15">
      <c r="A325" s="78">
        <v>544.88</v>
      </c>
      <c r="B325" s="78">
        <v>546.05999999999995</v>
      </c>
      <c r="C325" s="78">
        <v>541.99</v>
      </c>
      <c r="D325" s="78">
        <v>545.22</v>
      </c>
      <c r="E325" s="78">
        <v>7158205</v>
      </c>
      <c r="F325" s="78" t="s">
        <v>325</v>
      </c>
      <c r="G325" s="25">
        <f t="shared" si="8"/>
        <v>-6.2360148197060372E-4</v>
      </c>
      <c r="I325" s="78">
        <v>119.20200000000003</v>
      </c>
      <c r="J325" s="78">
        <v>119.30000000000003</v>
      </c>
      <c r="K325" s="78">
        <v>117.90200000000002</v>
      </c>
      <c r="L325" s="78">
        <v>118.67900000000002</v>
      </c>
      <c r="M325" s="78">
        <v>21330659.999999996</v>
      </c>
      <c r="N325" s="78" t="s">
        <v>325</v>
      </c>
      <c r="O325" s="25">
        <f t="shared" si="9"/>
        <v>4.4068453559602538E-3</v>
      </c>
    </row>
    <row r="326" spans="1:15">
      <c r="A326" s="78">
        <v>546.82000000000005</v>
      </c>
      <c r="B326" s="78">
        <v>547.45000000000005</v>
      </c>
      <c r="C326" s="78">
        <v>540.58000000000004</v>
      </c>
      <c r="D326" s="78">
        <v>540.63</v>
      </c>
      <c r="E326" s="78">
        <v>7766058</v>
      </c>
      <c r="F326" s="78" t="s">
        <v>326</v>
      </c>
      <c r="G326" s="25">
        <f t="shared" si="8"/>
        <v>1.144960509035764E-2</v>
      </c>
      <c r="I326" s="78">
        <v>119.16400000000003</v>
      </c>
      <c r="J326" s="78">
        <v>119.16400000000003</v>
      </c>
      <c r="K326" s="78">
        <v>117.17100000000002</v>
      </c>
      <c r="L326" s="78">
        <v>117.35750000000003</v>
      </c>
      <c r="M326" s="78">
        <v>28534149.999999996</v>
      </c>
      <c r="N326" s="78" t="s">
        <v>326</v>
      </c>
      <c r="O326" s="25">
        <f t="shared" si="9"/>
        <v>1.5393136356858239E-2</v>
      </c>
    </row>
    <row r="327" spans="1:15">
      <c r="A327" s="78">
        <v>546.26</v>
      </c>
      <c r="B327" s="78">
        <v>546.47</v>
      </c>
      <c r="C327" s="78">
        <v>541.70000000000005</v>
      </c>
      <c r="D327" s="78">
        <v>543.47</v>
      </c>
      <c r="E327" s="78">
        <v>7255342</v>
      </c>
      <c r="F327" s="78" t="s">
        <v>327</v>
      </c>
      <c r="G327" s="25">
        <f t="shared" si="8"/>
        <v>5.1336780319060082E-3</v>
      </c>
      <c r="I327" s="78">
        <v>119.15300000000002</v>
      </c>
      <c r="J327" s="78">
        <v>119.65000000000002</v>
      </c>
      <c r="K327" s="78">
        <v>117.93900000000004</v>
      </c>
      <c r="L327" s="78">
        <v>119.31400000000004</v>
      </c>
      <c r="M327" s="78">
        <v>46983529.999999993</v>
      </c>
      <c r="N327" s="78" t="s">
        <v>327</v>
      </c>
      <c r="O327" s="25">
        <f t="shared" si="9"/>
        <v>-1.3493806259116115E-3</v>
      </c>
    </row>
    <row r="328" spans="1:15">
      <c r="A328" s="78">
        <v>542.76</v>
      </c>
      <c r="B328" s="78">
        <v>543.24890000000005</v>
      </c>
      <c r="C328" s="78">
        <v>537.84</v>
      </c>
      <c r="D328" s="78">
        <v>538.26</v>
      </c>
      <c r="E328" s="78">
        <v>7362193</v>
      </c>
      <c r="F328" s="78" t="s">
        <v>328</v>
      </c>
      <c r="G328" s="25">
        <f t="shared" si="8"/>
        <v>8.360271987515322E-3</v>
      </c>
      <c r="I328" s="78">
        <v>117.79800000000003</v>
      </c>
      <c r="J328" s="78">
        <v>118.78019000000002</v>
      </c>
      <c r="K328" s="78">
        <v>114.76470000000002</v>
      </c>
      <c r="L328" s="78">
        <v>114.77400000000003</v>
      </c>
      <c r="M328" s="78">
        <v>44640409.999999993</v>
      </c>
      <c r="N328" s="78" t="s">
        <v>328</v>
      </c>
      <c r="O328" s="25">
        <f t="shared" si="9"/>
        <v>2.63474306027498E-2</v>
      </c>
    </row>
    <row r="329" spans="1:15">
      <c r="A329" s="78">
        <v>540.11</v>
      </c>
      <c r="B329" s="78">
        <v>541.41999999999996</v>
      </c>
      <c r="C329" s="78">
        <v>538.24</v>
      </c>
      <c r="D329" s="78">
        <v>540.37</v>
      </c>
      <c r="E329" s="78">
        <v>5031301</v>
      </c>
      <c r="F329" s="78" t="s">
        <v>329</v>
      </c>
      <c r="G329" s="25">
        <f t="shared" si="8"/>
        <v>-4.8115180339391994E-4</v>
      </c>
      <c r="I329" s="78">
        <v>115.09900000000002</v>
      </c>
      <c r="J329" s="78">
        <v>115.29003000000003</v>
      </c>
      <c r="K329" s="78">
        <v>112.84000000000003</v>
      </c>
      <c r="L329" s="78">
        <v>112.95950000000002</v>
      </c>
      <c r="M329" s="78">
        <v>39101469.999999993</v>
      </c>
      <c r="N329" s="78" t="s">
        <v>329</v>
      </c>
      <c r="O329" s="25">
        <f t="shared" si="9"/>
        <v>1.8940416698020046E-2</v>
      </c>
    </row>
    <row r="330" spans="1:15">
      <c r="A330" s="78">
        <v>539.44000000000005</v>
      </c>
      <c r="B330" s="78">
        <v>541.48</v>
      </c>
      <c r="C330" s="78">
        <v>535.78</v>
      </c>
      <c r="D330" s="78">
        <v>536.33000000000004</v>
      </c>
      <c r="E330" s="78">
        <v>7356804</v>
      </c>
      <c r="F330" s="78" t="s">
        <v>330</v>
      </c>
      <c r="G330" s="25">
        <f t="shared" si="8"/>
        <v>5.7986687300728423E-3</v>
      </c>
      <c r="I330" s="78">
        <v>113.84400000000002</v>
      </c>
      <c r="J330" s="78">
        <v>114.78800000000004</v>
      </c>
      <c r="K330" s="78">
        <v>110.63000000000002</v>
      </c>
      <c r="L330" s="78">
        <v>111.44600000000003</v>
      </c>
      <c r="M330" s="78">
        <v>39978689.999999993</v>
      </c>
      <c r="N330" s="78" t="s">
        <v>330</v>
      </c>
      <c r="O330" s="25">
        <f t="shared" si="9"/>
        <v>2.1517147317983598E-2</v>
      </c>
    </row>
    <row r="331" spans="1:15">
      <c r="A331" s="78">
        <v>535.91999999999996</v>
      </c>
      <c r="B331" s="78">
        <v>535.91999999999996</v>
      </c>
      <c r="C331" s="78">
        <v>530.39</v>
      </c>
      <c r="D331" s="78">
        <v>534.5</v>
      </c>
      <c r="E331" s="78">
        <v>7793576</v>
      </c>
      <c r="F331" s="78" t="s">
        <v>331</v>
      </c>
      <c r="G331" s="25">
        <f t="shared" si="8"/>
        <v>2.6566884939194235E-3</v>
      </c>
      <c r="I331" s="78">
        <v>111.00000000000003</v>
      </c>
      <c r="J331" s="78">
        <v>113.00000000000003</v>
      </c>
      <c r="K331" s="78">
        <v>110.29301000000002</v>
      </c>
      <c r="L331" s="78">
        <v>112.42600000000002</v>
      </c>
      <c r="M331" s="78">
        <v>64790789.999999985</v>
      </c>
      <c r="N331" s="78" t="s">
        <v>331</v>
      </c>
      <c r="O331" s="25">
        <f t="shared" si="9"/>
        <v>-1.2683898742283706E-2</v>
      </c>
    </row>
    <row r="332" spans="1:15">
      <c r="A332" s="78">
        <v>518.65</v>
      </c>
      <c r="B332" s="78">
        <v>521.63059999999996</v>
      </c>
      <c r="C332" s="78">
        <v>517.36</v>
      </c>
      <c r="D332" s="78">
        <v>520.69000000000005</v>
      </c>
      <c r="E332" s="78">
        <v>4739506</v>
      </c>
      <c r="F332" s="78" t="s">
        <v>332</v>
      </c>
      <c r="G332" s="25">
        <f t="shared" si="8"/>
        <v>-3.9178782000808265E-3</v>
      </c>
      <c r="I332" s="78">
        <v>114.02200000000002</v>
      </c>
      <c r="J332" s="78">
        <v>115.10000000000002</v>
      </c>
      <c r="K332" s="78">
        <v>113.32200000000003</v>
      </c>
      <c r="L332" s="78">
        <v>114.71000000000001</v>
      </c>
      <c r="M332" s="78">
        <v>25696329.999999996</v>
      </c>
      <c r="N332" s="78" t="s">
        <v>332</v>
      </c>
      <c r="O332" s="25">
        <f t="shared" si="9"/>
        <v>-5.9977334146977812E-3</v>
      </c>
    </row>
    <row r="333" spans="1:15">
      <c r="A333" s="78">
        <v>519.34</v>
      </c>
      <c r="B333" s="78">
        <v>524.23</v>
      </c>
      <c r="C333" s="78">
        <v>516.34500000000003</v>
      </c>
      <c r="D333" s="78">
        <v>519.54</v>
      </c>
      <c r="E333" s="78">
        <v>5088200</v>
      </c>
      <c r="F333" s="78" t="s">
        <v>333</v>
      </c>
      <c r="G333" s="25">
        <f t="shared" si="8"/>
        <v>-3.8495592254672584E-4</v>
      </c>
      <c r="I333" s="78">
        <v>114.44300000000003</v>
      </c>
      <c r="J333" s="78">
        <v>116.22939000000001</v>
      </c>
      <c r="K333" s="78">
        <v>113.92000000000003</v>
      </c>
      <c r="L333" s="78">
        <v>116.16200000000001</v>
      </c>
      <c r="M333" s="78">
        <v>37608719.999999993</v>
      </c>
      <c r="N333" s="78" t="s">
        <v>333</v>
      </c>
      <c r="O333" s="25">
        <f t="shared" si="9"/>
        <v>-1.4798298927359843E-2</v>
      </c>
    </row>
    <row r="334" spans="1:15">
      <c r="A334" s="78">
        <v>515.9</v>
      </c>
      <c r="B334" s="78">
        <v>518.17999999999995</v>
      </c>
      <c r="C334" s="78">
        <v>511.1</v>
      </c>
      <c r="D334" s="78">
        <v>514.91999999999996</v>
      </c>
      <c r="E334" s="78">
        <v>5467344</v>
      </c>
      <c r="F334" s="78" t="s">
        <v>334</v>
      </c>
      <c r="G334" s="25">
        <f t="shared" si="8"/>
        <v>1.9032082653616111E-3</v>
      </c>
      <c r="I334" s="78">
        <v>115.54100000000003</v>
      </c>
      <c r="J334" s="78">
        <v>116.40000000000002</v>
      </c>
      <c r="K334" s="78">
        <v>113.80000000000003</v>
      </c>
      <c r="L334" s="78">
        <v>113.91750000000002</v>
      </c>
      <c r="M334" s="78">
        <v>43523939.999999993</v>
      </c>
      <c r="N334" s="78" t="s">
        <v>334</v>
      </c>
      <c r="O334" s="25">
        <f t="shared" si="9"/>
        <v>1.4251541685869284E-2</v>
      </c>
    </row>
    <row r="335" spans="1:15">
      <c r="A335" s="78">
        <v>513.58000000000004</v>
      </c>
      <c r="B335" s="78">
        <v>517.82500000000005</v>
      </c>
      <c r="C335" s="78">
        <v>511.94</v>
      </c>
      <c r="D335" s="78">
        <v>512.89</v>
      </c>
      <c r="E335" s="78">
        <v>4694270</v>
      </c>
      <c r="F335" s="78" t="s">
        <v>335</v>
      </c>
      <c r="G335" s="25">
        <f t="shared" si="8"/>
        <v>1.3453177094504554E-3</v>
      </c>
      <c r="I335" s="78">
        <v>113.76900000000003</v>
      </c>
      <c r="J335" s="78">
        <v>114.76600000000003</v>
      </c>
      <c r="K335" s="78">
        <v>112.64000000000003</v>
      </c>
      <c r="L335" s="78">
        <v>112.94300000000003</v>
      </c>
      <c r="M335" s="78">
        <v>32566819.999999993</v>
      </c>
      <c r="N335" s="78" t="s">
        <v>335</v>
      </c>
      <c r="O335" s="25">
        <f t="shared" si="9"/>
        <v>7.3134235853484775E-3</v>
      </c>
    </row>
    <row r="336" spans="1:15">
      <c r="A336" s="78">
        <v>517.99</v>
      </c>
      <c r="B336" s="78">
        <v>520.85</v>
      </c>
      <c r="C336" s="78">
        <v>516.27</v>
      </c>
      <c r="D336" s="78">
        <v>517.08000000000004</v>
      </c>
      <c r="E336" s="78">
        <v>4793497</v>
      </c>
      <c r="F336" s="78" t="s">
        <v>336</v>
      </c>
      <c r="G336" s="25">
        <f t="shared" si="8"/>
        <v>1.7598824166473737E-3</v>
      </c>
      <c r="I336" s="78">
        <v>113.40600000000002</v>
      </c>
      <c r="J336" s="78">
        <v>114.40200000000002</v>
      </c>
      <c r="K336" s="78">
        <v>110.70100000000002</v>
      </c>
      <c r="L336" s="78">
        <v>111.47950000000003</v>
      </c>
      <c r="M336" s="78">
        <v>56623169.999999993</v>
      </c>
      <c r="N336" s="78" t="s">
        <v>336</v>
      </c>
      <c r="O336" s="25">
        <f t="shared" si="9"/>
        <v>1.7281204167582276E-2</v>
      </c>
    </row>
    <row r="337" spans="1:15">
      <c r="A337" s="78">
        <v>520.71</v>
      </c>
      <c r="B337" s="78">
        <v>522.41</v>
      </c>
      <c r="C337" s="78">
        <v>516.89</v>
      </c>
      <c r="D337" s="78">
        <v>519.12</v>
      </c>
      <c r="E337" s="78">
        <v>6285390</v>
      </c>
      <c r="F337" s="78" t="s">
        <v>337</v>
      </c>
      <c r="G337" s="25">
        <f t="shared" si="8"/>
        <v>3.0628756356911868E-3</v>
      </c>
      <c r="I337" s="78">
        <v>115.64900000000003</v>
      </c>
      <c r="J337" s="78">
        <v>115.94400000000003</v>
      </c>
      <c r="K337" s="78">
        <v>113.33200000000002</v>
      </c>
      <c r="L337" s="78">
        <v>113.66600000000003</v>
      </c>
      <c r="M337" s="78">
        <v>37742819.999999993</v>
      </c>
      <c r="N337" s="78" t="s">
        <v>337</v>
      </c>
      <c r="O337" s="25">
        <f t="shared" si="9"/>
        <v>1.7445850122288054E-2</v>
      </c>
    </row>
    <row r="338" spans="1:15">
      <c r="A338" s="78">
        <v>513.35</v>
      </c>
      <c r="B338" s="78">
        <v>518.44000000000005</v>
      </c>
      <c r="C338" s="78">
        <v>512.77</v>
      </c>
      <c r="D338" s="78">
        <v>515.13</v>
      </c>
      <c r="E338" s="78">
        <v>5784483</v>
      </c>
      <c r="F338" s="78" t="s">
        <v>338</v>
      </c>
      <c r="G338" s="25">
        <f t="shared" si="8"/>
        <v>-3.4554384330168775E-3</v>
      </c>
      <c r="I338" s="78">
        <v>113.34700000000002</v>
      </c>
      <c r="J338" s="78">
        <v>114.24200000000003</v>
      </c>
      <c r="K338" s="78">
        <v>111.18301000000001</v>
      </c>
      <c r="L338" s="78">
        <v>112.25200000000002</v>
      </c>
      <c r="M338" s="78">
        <v>34994969.999999993</v>
      </c>
      <c r="N338" s="78" t="s">
        <v>338</v>
      </c>
      <c r="O338" s="25">
        <f t="shared" si="9"/>
        <v>9.7548373302924762E-3</v>
      </c>
    </row>
    <row r="339" spans="1:15">
      <c r="A339" s="78">
        <v>509.74</v>
      </c>
      <c r="B339" s="78">
        <v>511.5</v>
      </c>
      <c r="C339" s="78">
        <v>497.76</v>
      </c>
      <c r="D339" s="78">
        <v>503.26</v>
      </c>
      <c r="E339" s="78">
        <v>7873686</v>
      </c>
      <c r="F339" s="78" t="s">
        <v>339</v>
      </c>
      <c r="G339" s="25">
        <f t="shared" si="8"/>
        <v>1.2876048165957998E-2</v>
      </c>
      <c r="I339" s="78">
        <v>113.17200000000003</v>
      </c>
      <c r="J339" s="78">
        <v>113.32005000000001</v>
      </c>
      <c r="K339" s="78">
        <v>110.11101000000004</v>
      </c>
      <c r="L339" s="78">
        <v>111.26500000000003</v>
      </c>
      <c r="M339" s="78">
        <v>42666759.999999993</v>
      </c>
      <c r="N339" s="78" t="s">
        <v>339</v>
      </c>
      <c r="O339" s="25">
        <f t="shared" si="9"/>
        <v>1.7139262121961041E-2</v>
      </c>
    </row>
    <row r="340" spans="1:15">
      <c r="A340" s="78">
        <v>509.49</v>
      </c>
      <c r="B340" s="78">
        <v>510.54969999999997</v>
      </c>
      <c r="C340" s="78">
        <v>504.26</v>
      </c>
      <c r="D340" s="78">
        <v>504.54</v>
      </c>
      <c r="E340" s="78">
        <v>6525457</v>
      </c>
      <c r="F340" s="78" t="s">
        <v>340</v>
      </c>
      <c r="G340" s="25">
        <f t="shared" si="8"/>
        <v>9.810916874777087E-3</v>
      </c>
      <c r="I340" s="78">
        <v>112.56400000000004</v>
      </c>
      <c r="J340" s="78">
        <v>112.78100000000002</v>
      </c>
      <c r="K340" s="78">
        <v>109.54800000000002</v>
      </c>
      <c r="L340" s="78">
        <v>110.39200000000002</v>
      </c>
      <c r="M340" s="78">
        <v>37773289.999999993</v>
      </c>
      <c r="N340" s="78" t="s">
        <v>340</v>
      </c>
      <c r="O340" s="25">
        <f t="shared" si="9"/>
        <v>1.9675338792666253E-2</v>
      </c>
    </row>
    <row r="341" spans="1:15">
      <c r="A341" s="78">
        <v>506.42</v>
      </c>
      <c r="B341" s="78">
        <v>508.74</v>
      </c>
      <c r="C341" s="78">
        <v>500.96</v>
      </c>
      <c r="D341" s="78">
        <v>506.81</v>
      </c>
      <c r="E341" s="78">
        <v>4210016</v>
      </c>
      <c r="F341" s="78" t="s">
        <v>341</v>
      </c>
      <c r="G341" s="25">
        <f t="shared" si="8"/>
        <v>-7.6951914918799158E-4</v>
      </c>
      <c r="I341" s="78">
        <v>111.03800000000004</v>
      </c>
      <c r="J341" s="78">
        <v>111.40000000000002</v>
      </c>
      <c r="K341" s="78">
        <v>108.26200000000001</v>
      </c>
      <c r="L341" s="78">
        <v>110.00000000000003</v>
      </c>
      <c r="M341" s="78">
        <v>38310879.999999993</v>
      </c>
      <c r="N341" s="78" t="s">
        <v>341</v>
      </c>
      <c r="O341" s="25">
        <f t="shared" si="9"/>
        <v>9.4363636363636871E-3</v>
      </c>
    </row>
    <row r="342" spans="1:15">
      <c r="A342" s="78">
        <v>506.11</v>
      </c>
      <c r="B342" s="78">
        <v>506.52</v>
      </c>
      <c r="C342" s="78">
        <v>499.75</v>
      </c>
      <c r="D342" s="78">
        <v>502.44</v>
      </c>
      <c r="E342" s="78">
        <v>6933423</v>
      </c>
      <c r="F342" s="78" t="s">
        <v>342</v>
      </c>
      <c r="G342" s="25">
        <f t="shared" si="8"/>
        <v>7.3043547488258476E-3</v>
      </c>
      <c r="I342" s="78">
        <v>110.15300000000002</v>
      </c>
      <c r="J342" s="78">
        <v>110.67984000000001</v>
      </c>
      <c r="K342" s="78">
        <v>109.10001000000001</v>
      </c>
      <c r="L342" s="78">
        <v>109.70400000000002</v>
      </c>
      <c r="M342" s="78">
        <v>39500079.999999993</v>
      </c>
      <c r="N342" s="78" t="s">
        <v>342</v>
      </c>
      <c r="O342" s="25">
        <f t="shared" si="9"/>
        <v>4.0928316196309211E-3</v>
      </c>
    </row>
    <row r="343" spans="1:15">
      <c r="A343" s="78">
        <v>502.41</v>
      </c>
      <c r="B343" s="78">
        <v>503</v>
      </c>
      <c r="C343" s="78">
        <v>492.22309999999999</v>
      </c>
      <c r="D343" s="78">
        <v>493.26</v>
      </c>
      <c r="E343" s="78">
        <v>6184333</v>
      </c>
      <c r="F343" s="78" t="s">
        <v>343</v>
      </c>
      <c r="G343" s="25">
        <f t="shared" si="8"/>
        <v>1.8550054737866528E-2</v>
      </c>
      <c r="I343" s="78">
        <v>109.68700000000001</v>
      </c>
      <c r="J343" s="78">
        <v>110.10000000000002</v>
      </c>
      <c r="K343" s="78">
        <v>104.70200000000001</v>
      </c>
      <c r="L343" s="78">
        <v>104.80000000000003</v>
      </c>
      <c r="M343" s="78">
        <v>63818959.999999985</v>
      </c>
      <c r="N343" s="78" t="s">
        <v>343</v>
      </c>
      <c r="O343" s="25">
        <f t="shared" si="9"/>
        <v>4.6631679389312897E-2</v>
      </c>
    </row>
    <row r="344" spans="1:15">
      <c r="A344" s="78">
        <v>492.07</v>
      </c>
      <c r="B344" s="78">
        <v>501.18</v>
      </c>
      <c r="C344" s="78">
        <v>490.7</v>
      </c>
      <c r="D344" s="78">
        <v>496.69</v>
      </c>
      <c r="E344" s="78">
        <v>8047601</v>
      </c>
      <c r="F344" s="78" t="s">
        <v>344</v>
      </c>
      <c r="G344" s="25">
        <f t="shared" si="8"/>
        <v>-9.3015764360063757E-3</v>
      </c>
      <c r="I344" s="78">
        <v>104.95900000000002</v>
      </c>
      <c r="J344" s="78">
        <v>106.12500000000001</v>
      </c>
      <c r="K344" s="78">
        <v>103.20001000000002</v>
      </c>
      <c r="L344" s="78">
        <v>104.72250000000001</v>
      </c>
      <c r="M344" s="78">
        <v>64718759.999999985</v>
      </c>
      <c r="N344" s="78" t="s">
        <v>344</v>
      </c>
      <c r="O344" s="25">
        <f t="shared" si="9"/>
        <v>2.2583494473489285E-3</v>
      </c>
    </row>
    <row r="345" spans="1:15">
      <c r="A345" s="78">
        <v>484.29</v>
      </c>
      <c r="B345" s="78">
        <v>486.48</v>
      </c>
      <c r="C345" s="78">
        <v>477.19</v>
      </c>
      <c r="D345" s="78">
        <v>478.07</v>
      </c>
      <c r="E345" s="78">
        <v>6236319</v>
      </c>
      <c r="F345" s="78" t="s">
        <v>345</v>
      </c>
      <c r="G345" s="25">
        <f t="shared" si="8"/>
        <v>1.301064697638421E-2</v>
      </c>
      <c r="I345" s="78">
        <v>104.03400000000001</v>
      </c>
      <c r="J345" s="78">
        <v>106.49700000000003</v>
      </c>
      <c r="K345" s="78">
        <v>100.45200000000001</v>
      </c>
      <c r="L345" s="78">
        <v>100.53000000000002</v>
      </c>
      <c r="M345" s="78">
        <v>93688729.999999985</v>
      </c>
      <c r="N345" s="78" t="s">
        <v>345</v>
      </c>
      <c r="O345" s="25">
        <f t="shared" si="9"/>
        <v>3.4855267084452413E-2</v>
      </c>
    </row>
    <row r="346" spans="1:15">
      <c r="A346" s="78">
        <v>472.37</v>
      </c>
      <c r="B346" s="78">
        <v>479.49</v>
      </c>
      <c r="C346" s="78">
        <v>467.33</v>
      </c>
      <c r="D346" s="78">
        <v>479.02</v>
      </c>
      <c r="E346" s="78">
        <v>7762501</v>
      </c>
      <c r="F346" s="78" t="s">
        <v>346</v>
      </c>
      <c r="G346" s="25">
        <f t="shared" si="8"/>
        <v>-1.388251012483821E-2</v>
      </c>
      <c r="I346" s="78">
        <v>98.791000000000011</v>
      </c>
      <c r="J346" s="78">
        <v>101.89999000000002</v>
      </c>
      <c r="K346" s="78">
        <v>97.305000000000021</v>
      </c>
      <c r="L346" s="78">
        <v>98.440000000000012</v>
      </c>
      <c r="M346" s="78">
        <v>97757469.999999985</v>
      </c>
      <c r="N346" s="78" t="s">
        <v>346</v>
      </c>
      <c r="O346" s="25">
        <f t="shared" si="9"/>
        <v>3.56562373019087E-3</v>
      </c>
    </row>
    <row r="347" spans="1:15">
      <c r="A347" s="78">
        <v>483.9</v>
      </c>
      <c r="B347" s="78">
        <v>488.16</v>
      </c>
      <c r="C347" s="78">
        <v>481.5</v>
      </c>
      <c r="D347" s="78">
        <v>484.79</v>
      </c>
      <c r="E347" s="78">
        <v>5638939</v>
      </c>
      <c r="F347" s="78" t="s">
        <v>347</v>
      </c>
      <c r="G347" s="25">
        <f t="shared" si="8"/>
        <v>-1.8358464489780513E-3</v>
      </c>
      <c r="I347" s="78">
        <v>97.303000000000011</v>
      </c>
      <c r="J347" s="78">
        <v>98.470150000000018</v>
      </c>
      <c r="K347" s="78">
        <v>95.600000000000023</v>
      </c>
      <c r="L347" s="78">
        <v>96.90000000000002</v>
      </c>
      <c r="M347" s="78">
        <v>88937349.999999985</v>
      </c>
      <c r="N347" s="78" t="s">
        <v>347</v>
      </c>
      <c r="O347" s="25">
        <f t="shared" si="9"/>
        <v>4.1589267285859766E-3</v>
      </c>
    </row>
    <row r="348" spans="1:15">
      <c r="A348" s="78">
        <v>483.23</v>
      </c>
      <c r="B348" s="78">
        <v>491.76499999999999</v>
      </c>
      <c r="C348" s="78">
        <v>478.23</v>
      </c>
      <c r="D348" s="78">
        <v>488.65</v>
      </c>
      <c r="E348" s="78">
        <v>6374869</v>
      </c>
      <c r="F348" s="78" t="s">
        <v>348</v>
      </c>
      <c r="G348" s="25">
        <f t="shared" si="8"/>
        <v>-1.1091783485111972E-2</v>
      </c>
      <c r="I348" s="78">
        <v>96.163000000000025</v>
      </c>
      <c r="J348" s="78">
        <v>98.121000000000024</v>
      </c>
      <c r="K348" s="78">
        <v>94.916500000000013</v>
      </c>
      <c r="L348" s="78">
        <v>97.628000000000014</v>
      </c>
      <c r="M348" s="78">
        <v>60661129.999999985</v>
      </c>
      <c r="N348" s="78" t="s">
        <v>348</v>
      </c>
      <c r="O348" s="25">
        <f t="shared" si="9"/>
        <v>-1.5005940918588867E-2</v>
      </c>
    </row>
    <row r="349" spans="1:15">
      <c r="A349" s="78">
        <v>494.09</v>
      </c>
      <c r="B349" s="78">
        <v>499.27</v>
      </c>
      <c r="C349" s="78">
        <v>493.42</v>
      </c>
      <c r="D349" s="78">
        <v>496.03</v>
      </c>
      <c r="E349" s="78">
        <v>8200583</v>
      </c>
      <c r="F349" s="78" t="s">
        <v>349</v>
      </c>
      <c r="G349" s="25">
        <f t="shared" si="8"/>
        <v>-3.911053766909256E-3</v>
      </c>
      <c r="I349" s="78">
        <v>97.628000000000014</v>
      </c>
      <c r="J349" s="78">
        <v>99.34499000000001</v>
      </c>
      <c r="K349" s="78">
        <v>94.800000000000011</v>
      </c>
      <c r="L349" s="78">
        <v>95.000000000000014</v>
      </c>
      <c r="M349" s="78">
        <v>77119819.999999985</v>
      </c>
      <c r="N349" s="78" t="s">
        <v>349</v>
      </c>
      <c r="O349" s="25">
        <f t="shared" si="9"/>
        <v>2.7663157894736834E-2</v>
      </c>
    </row>
    <row r="350" spans="1:15">
      <c r="A350" s="78">
        <v>495.48</v>
      </c>
      <c r="B350" s="78">
        <v>500.26</v>
      </c>
      <c r="C350" s="78">
        <v>490.69</v>
      </c>
      <c r="D350" s="78">
        <v>500.05</v>
      </c>
      <c r="E350" s="78">
        <v>7701488</v>
      </c>
      <c r="F350" s="78" t="s">
        <v>350</v>
      </c>
      <c r="G350" s="25">
        <f t="shared" si="8"/>
        <v>-9.1390860913908023E-3</v>
      </c>
      <c r="I350" s="78">
        <v>93.128000000000014</v>
      </c>
      <c r="J350" s="78">
        <v>94.898000000000025</v>
      </c>
      <c r="K350" s="78">
        <v>91.949790000000007</v>
      </c>
      <c r="L350" s="78">
        <v>93.270000000000024</v>
      </c>
      <c r="M350" s="78">
        <v>40358949.999999993</v>
      </c>
      <c r="N350" s="78" t="s">
        <v>350</v>
      </c>
      <c r="O350" s="25">
        <f t="shared" si="9"/>
        <v>-1.5224616704193616E-3</v>
      </c>
    </row>
    <row r="351" spans="1:15">
      <c r="A351" s="78">
        <v>490.55</v>
      </c>
      <c r="B351" s="78">
        <v>493</v>
      </c>
      <c r="C351" s="78">
        <v>478</v>
      </c>
      <c r="D351" s="78">
        <v>480.69</v>
      </c>
      <c r="E351" s="78">
        <v>11541195</v>
      </c>
      <c r="F351" s="78" t="s">
        <v>351</v>
      </c>
      <c r="G351" s="25">
        <f t="shared" si="8"/>
        <v>2.051218040733116E-2</v>
      </c>
      <c r="I351" s="78">
        <v>91.829000000000008</v>
      </c>
      <c r="J351" s="78">
        <v>94.485990000000015</v>
      </c>
      <c r="K351" s="78">
        <v>90.668000000000006</v>
      </c>
      <c r="L351" s="78">
        <v>92.000000000000014</v>
      </c>
      <c r="M351" s="78">
        <v>40736379.999999993</v>
      </c>
      <c r="N351" s="78" t="s">
        <v>351</v>
      </c>
      <c r="O351" s="25">
        <f t="shared" si="9"/>
        <v>-1.8586956521740028E-3</v>
      </c>
    </row>
    <row r="352" spans="1:15">
      <c r="A352" s="78">
        <v>482.06</v>
      </c>
      <c r="B352" s="78">
        <v>490.3</v>
      </c>
      <c r="C352" s="78">
        <v>468.33</v>
      </c>
      <c r="D352" s="78">
        <v>489.15</v>
      </c>
      <c r="E352" s="78">
        <v>16651303</v>
      </c>
      <c r="F352" s="78" t="s">
        <v>352</v>
      </c>
      <c r="G352" s="25">
        <f t="shared" si="8"/>
        <v>-1.4494531329857896E-2</v>
      </c>
      <c r="I352" s="78">
        <v>92.117000000000019</v>
      </c>
      <c r="J352" s="78">
        <v>94.123500000000021</v>
      </c>
      <c r="K352" s="78">
        <v>89.40000000000002</v>
      </c>
      <c r="L352" s="78">
        <v>93.194000000000017</v>
      </c>
      <c r="M352" s="78">
        <v>51297549.999999993</v>
      </c>
      <c r="N352" s="78" t="s">
        <v>352</v>
      </c>
      <c r="O352" s="25">
        <f t="shared" si="9"/>
        <v>-1.1556537974547698E-2</v>
      </c>
    </row>
    <row r="353" spans="1:15">
      <c r="A353" s="78">
        <v>499.1</v>
      </c>
      <c r="B353" s="78">
        <v>502.06119999999999</v>
      </c>
      <c r="C353" s="78">
        <v>453.16</v>
      </c>
      <c r="D353" s="78">
        <v>453.49</v>
      </c>
      <c r="E353" s="78">
        <v>29286594</v>
      </c>
      <c r="F353" s="78" t="s">
        <v>353</v>
      </c>
      <c r="G353" s="25">
        <f t="shared" si="8"/>
        <v>0.10057553639551031</v>
      </c>
      <c r="I353" s="78">
        <v>94.547000000000025</v>
      </c>
      <c r="J353" s="78">
        <v>95.143000000000015</v>
      </c>
      <c r="K353" s="78">
        <v>85.440000000000012</v>
      </c>
      <c r="L353" s="78">
        <v>85.593000000000018</v>
      </c>
      <c r="M353" s="78">
        <v>74979739.999999985</v>
      </c>
      <c r="N353" s="78" t="s">
        <v>353</v>
      </c>
      <c r="O353" s="25">
        <f t="shared" si="9"/>
        <v>0.10461135840547708</v>
      </c>
    </row>
    <row r="354" spans="1:15">
      <c r="A354" s="78">
        <v>456.74</v>
      </c>
      <c r="B354" s="78">
        <v>482.49</v>
      </c>
      <c r="C354" s="78">
        <v>449.6</v>
      </c>
      <c r="D354" s="78">
        <v>479.68</v>
      </c>
      <c r="E354" s="78">
        <v>19002684</v>
      </c>
      <c r="F354" s="78" t="s">
        <v>354</v>
      </c>
      <c r="G354" s="25">
        <f t="shared" si="8"/>
        <v>-4.7823549032688484E-2</v>
      </c>
      <c r="I354" s="78">
        <v>87.04000000000002</v>
      </c>
      <c r="J354" s="78">
        <v>92.242000000000019</v>
      </c>
      <c r="K354" s="78">
        <v>85.770000000000024</v>
      </c>
      <c r="L354" s="78">
        <v>91.244000000000028</v>
      </c>
      <c r="M354" s="78">
        <v>56253819.999999993</v>
      </c>
      <c r="N354" s="78" t="s">
        <v>354</v>
      </c>
      <c r="O354" s="25">
        <f t="shared" si="9"/>
        <v>-4.6074262417254874E-2</v>
      </c>
    </row>
    <row r="355" spans="1:15">
      <c r="A355" s="78">
        <v>463.56</v>
      </c>
      <c r="B355" s="78">
        <v>480.76</v>
      </c>
      <c r="C355" s="78">
        <v>442.8</v>
      </c>
      <c r="D355" s="78">
        <v>449.54</v>
      </c>
      <c r="E355" s="78">
        <v>31285267</v>
      </c>
      <c r="F355" s="78" t="s">
        <v>355</v>
      </c>
      <c r="G355" s="25">
        <f t="shared" si="8"/>
        <v>3.1187436045735595E-2</v>
      </c>
      <c r="I355" s="78">
        <v>86.783000000000015</v>
      </c>
      <c r="J355" s="78">
        <v>90.674000000000021</v>
      </c>
      <c r="K355" s="78">
        <v>82.110000000000014</v>
      </c>
      <c r="L355" s="78">
        <v>82.784500000000023</v>
      </c>
      <c r="M355" s="78">
        <v>66568229.999999985</v>
      </c>
      <c r="N355" s="78" t="s">
        <v>355</v>
      </c>
      <c r="O355" s="25">
        <f t="shared" si="9"/>
        <v>4.8300104488159024E-2</v>
      </c>
    </row>
    <row r="356" spans="1:15">
      <c r="A356" s="78">
        <v>465.52</v>
      </c>
      <c r="B356" s="78">
        <v>483.3</v>
      </c>
      <c r="C356" s="78">
        <v>464.24</v>
      </c>
      <c r="D356" s="78">
        <v>481.28</v>
      </c>
      <c r="E356" s="78">
        <v>30966508</v>
      </c>
      <c r="F356" s="78" t="s">
        <v>356</v>
      </c>
      <c r="G356" s="25">
        <f t="shared" si="8"/>
        <v>-3.2746010638297851E-2</v>
      </c>
      <c r="I356" s="78">
        <v>85.586000000000013</v>
      </c>
      <c r="J356" s="78">
        <v>90.662820000000011</v>
      </c>
      <c r="K356" s="78">
        <v>85.387000000000015</v>
      </c>
      <c r="L356" s="78">
        <v>89.65000000000002</v>
      </c>
      <c r="M356" s="78">
        <v>67988059.999999985</v>
      </c>
      <c r="N356" s="78" t="s">
        <v>356</v>
      </c>
      <c r="O356" s="25">
        <f t="shared" si="9"/>
        <v>-4.5331846068042414E-2</v>
      </c>
    </row>
    <row r="357" spans="1:15">
      <c r="A357" s="78">
        <v>494.16</v>
      </c>
      <c r="B357" s="78">
        <v>503.66</v>
      </c>
      <c r="C357" s="78">
        <v>493.5</v>
      </c>
      <c r="D357" s="78">
        <v>501</v>
      </c>
      <c r="E357" s="78">
        <v>16226023</v>
      </c>
      <c r="F357" s="78" t="s">
        <v>357</v>
      </c>
      <c r="G357" s="25">
        <f t="shared" si="8"/>
        <v>-1.3652694610778449E-2</v>
      </c>
      <c r="I357" s="78">
        <v>91.705000000000013</v>
      </c>
      <c r="J357" s="78">
        <v>94.659190000000024</v>
      </c>
      <c r="K357" s="78">
        <v>90.047000000000025</v>
      </c>
      <c r="L357" s="78">
        <v>90.18</v>
      </c>
      <c r="M357" s="78">
        <v>58646219.999999985</v>
      </c>
      <c r="N357" s="78" t="s">
        <v>357</v>
      </c>
      <c r="O357" s="25">
        <f t="shared" si="9"/>
        <v>1.691062319804848E-2</v>
      </c>
    </row>
    <row r="358" spans="1:15">
      <c r="A358" s="78">
        <v>518.91</v>
      </c>
      <c r="B358" s="78">
        <v>521.49</v>
      </c>
      <c r="C358" s="78">
        <v>509.9298</v>
      </c>
      <c r="D358" s="78">
        <v>510.14</v>
      </c>
      <c r="E358" s="78">
        <v>6308643</v>
      </c>
      <c r="F358" s="78" t="s">
        <v>358</v>
      </c>
      <c r="G358" s="25">
        <f t="shared" si="8"/>
        <v>1.7191359234719927E-2</v>
      </c>
      <c r="I358" s="78">
        <v>93.552000000000021</v>
      </c>
      <c r="J358" s="78">
        <v>94.954790000000017</v>
      </c>
      <c r="K358" s="78">
        <v>91.611000000000018</v>
      </c>
      <c r="L358" s="78">
        <v>92.300000000000011</v>
      </c>
      <c r="M358" s="78">
        <v>32568859.999999993</v>
      </c>
      <c r="N358" s="78" t="s">
        <v>358</v>
      </c>
      <c r="O358" s="25">
        <f t="shared" si="9"/>
        <v>1.3564463705308949E-2</v>
      </c>
    </row>
    <row r="359" spans="1:15">
      <c r="A359" s="78">
        <v>515.79999999999995</v>
      </c>
      <c r="B359" s="78">
        <v>517.35</v>
      </c>
      <c r="C359" s="78">
        <v>508.88</v>
      </c>
      <c r="D359" s="78">
        <v>512.36</v>
      </c>
      <c r="E359" s="78">
        <v>7697017</v>
      </c>
      <c r="F359" s="78" t="s">
        <v>359</v>
      </c>
      <c r="G359" s="25">
        <f t="shared" si="8"/>
        <v>6.7140291982199507E-3</v>
      </c>
      <c r="I359" s="78">
        <v>92.838000000000022</v>
      </c>
      <c r="J359" s="78">
        <v>93.229000000000013</v>
      </c>
      <c r="K359" s="78">
        <v>91.15000000000002</v>
      </c>
      <c r="L359" s="78">
        <v>92.750000000000014</v>
      </c>
      <c r="M359" s="78">
        <v>35199559.999999993</v>
      </c>
      <c r="N359" s="78" t="s">
        <v>359</v>
      </c>
      <c r="O359" s="25">
        <f t="shared" si="9"/>
        <v>9.4878706199463814E-4</v>
      </c>
    </row>
    <row r="360" spans="1:15">
      <c r="A360" s="78">
        <v>513.91</v>
      </c>
      <c r="B360" s="78">
        <v>515.33000000000004</v>
      </c>
      <c r="C360" s="78">
        <v>502.64</v>
      </c>
      <c r="D360" s="78">
        <v>505.31</v>
      </c>
      <c r="E360" s="78">
        <v>8196668</v>
      </c>
      <c r="F360" s="78" t="s">
        <v>360</v>
      </c>
      <c r="G360" s="25">
        <f t="shared" si="8"/>
        <v>1.7019255506520725E-2</v>
      </c>
      <c r="I360" s="78">
        <v>93.253000000000014</v>
      </c>
      <c r="J360" s="78">
        <v>93.448000000000022</v>
      </c>
      <c r="K360" s="78">
        <v>90.059000000000026</v>
      </c>
      <c r="L360" s="78">
        <v>92.053000000000011</v>
      </c>
      <c r="M360" s="78">
        <v>46340749.999999993</v>
      </c>
      <c r="N360" s="78" t="s">
        <v>360</v>
      </c>
      <c r="O360" s="25">
        <f t="shared" si="9"/>
        <v>1.3035968409503162E-2</v>
      </c>
    </row>
    <row r="361" spans="1:15">
      <c r="A361" s="78">
        <v>510.8</v>
      </c>
      <c r="B361" s="78">
        <v>520.46</v>
      </c>
      <c r="C361" s="78">
        <v>510.16</v>
      </c>
      <c r="D361" s="78">
        <v>519.76</v>
      </c>
      <c r="E361" s="78">
        <v>5831793</v>
      </c>
      <c r="F361" s="78" t="s">
        <v>361</v>
      </c>
      <c r="G361" s="25">
        <f t="shared" si="8"/>
        <v>-1.7238725565645652E-2</v>
      </c>
      <c r="I361" s="78">
        <v>93.385000000000019</v>
      </c>
      <c r="J361" s="78">
        <v>97.498000000000019</v>
      </c>
      <c r="K361" s="78">
        <v>92.923000000000016</v>
      </c>
      <c r="L361" s="78">
        <v>97.200000000000017</v>
      </c>
      <c r="M361" s="78">
        <v>44227169.999999993</v>
      </c>
      <c r="N361" s="78" t="s">
        <v>361</v>
      </c>
      <c r="O361" s="25">
        <f t="shared" si="9"/>
        <v>-3.9248971193415638E-2</v>
      </c>
    </row>
    <row r="362" spans="1:15">
      <c r="A362" s="78">
        <v>521.21</v>
      </c>
      <c r="B362" s="78">
        <v>524.678</v>
      </c>
      <c r="C362" s="78">
        <v>519.23</v>
      </c>
      <c r="D362" s="78">
        <v>521.29</v>
      </c>
      <c r="E362" s="78">
        <v>5534928</v>
      </c>
      <c r="F362" s="78" t="s">
        <v>362</v>
      </c>
      <c r="G362" s="25">
        <f t="shared" si="8"/>
        <v>-1.5346544150074415E-4</v>
      </c>
      <c r="I362" s="78">
        <v>97.672000000000025</v>
      </c>
      <c r="J362" s="78">
        <v>98.90000000000002</v>
      </c>
      <c r="K362" s="78">
        <v>96.636640000000014</v>
      </c>
      <c r="L362" s="78">
        <v>97.422000000000025</v>
      </c>
      <c r="M362" s="78">
        <v>30472369.999999993</v>
      </c>
      <c r="N362" s="78" t="s">
        <v>362</v>
      </c>
      <c r="O362" s="25">
        <f t="shared" si="9"/>
        <v>2.5661554884932603E-3</v>
      </c>
    </row>
    <row r="363" spans="1:15">
      <c r="A363" s="78">
        <v>522.64789999999982</v>
      </c>
      <c r="B363" s="78">
        <v>529.57388654806823</v>
      </c>
      <c r="C363" s="78">
        <v>521.2925990351979</v>
      </c>
      <c r="D363" s="78">
        <v>528.72682344506711</v>
      </c>
      <c r="E363" s="78">
        <v>4444984.1890879134</v>
      </c>
      <c r="F363" s="78" t="s">
        <v>363</v>
      </c>
      <c r="G363" s="25">
        <f t="shared" si="8"/>
        <v>-1.1497285886610364E-2</v>
      </c>
      <c r="I363" s="78">
        <v>97.065000000000012</v>
      </c>
      <c r="J363" s="78">
        <v>99.679000000000016</v>
      </c>
      <c r="K363" s="78">
        <v>96.632000000000019</v>
      </c>
      <c r="L363" s="78">
        <v>99.381000000000014</v>
      </c>
      <c r="M363" s="78">
        <v>35347069.999999993</v>
      </c>
      <c r="N363" s="78" t="s">
        <v>363</v>
      </c>
      <c r="O363" s="25">
        <f t="shared" si="9"/>
        <v>-2.3304253328100932E-2</v>
      </c>
    </row>
    <row r="364" spans="1:15">
      <c r="A364" s="78">
        <v>528.81651247950253</v>
      </c>
      <c r="B364" s="78">
        <v>529.76323006520977</v>
      </c>
      <c r="C364" s="78">
        <v>527.28183344582988</v>
      </c>
      <c r="D364" s="78">
        <v>528.75671978987896</v>
      </c>
      <c r="E364" s="78">
        <v>6281904.064935497</v>
      </c>
      <c r="F364" s="78" t="s">
        <v>364</v>
      </c>
      <c r="G364" s="25">
        <f t="shared" si="8"/>
        <v>1.1308166380818996E-4</v>
      </c>
      <c r="I364" s="78">
        <v>99.728000000000023</v>
      </c>
      <c r="J364" s="78">
        <v>99.870000000000019</v>
      </c>
      <c r="K364" s="78">
        <v>97.711000000000027</v>
      </c>
      <c r="L364" s="78">
        <v>97.818000000000012</v>
      </c>
      <c r="M364" s="78">
        <v>37822449.999999993</v>
      </c>
      <c r="N364" s="78" t="s">
        <v>364</v>
      </c>
      <c r="O364" s="25">
        <f t="shared" si="9"/>
        <v>1.9526058598622109E-2</v>
      </c>
    </row>
    <row r="365" spans="1:15">
      <c r="A365" s="78">
        <v>527.56086599740661</v>
      </c>
      <c r="B365" s="78">
        <v>528.55741082446684</v>
      </c>
      <c r="C365" s="78">
        <v>524.06299365442533</v>
      </c>
      <c r="D365" s="78">
        <v>524.66092055066144</v>
      </c>
      <c r="E365" s="78">
        <v>22453848.931221198</v>
      </c>
      <c r="F365" s="78" t="s">
        <v>365</v>
      </c>
      <c r="G365" s="25">
        <f t="shared" si="8"/>
        <v>5.5272754900470566E-3</v>
      </c>
      <c r="I365" s="78">
        <v>97.199000000000026</v>
      </c>
      <c r="J365" s="78">
        <v>97.700000000000017</v>
      </c>
      <c r="K365" s="78">
        <v>95.155000000000015</v>
      </c>
      <c r="L365" s="78">
        <v>96.967000000000013</v>
      </c>
      <c r="M365" s="78">
        <v>46778709.999999993</v>
      </c>
      <c r="N365" s="78" t="s">
        <v>365</v>
      </c>
      <c r="O365" s="25">
        <f t="shared" si="9"/>
        <v>2.3925665432571463E-3</v>
      </c>
    </row>
    <row r="366" spans="1:15">
      <c r="A366" s="78">
        <v>518.46241172634689</v>
      </c>
      <c r="B366" s="78">
        <v>519.15002765701854</v>
      </c>
      <c r="C366" s="78">
        <v>512.87677797067442</v>
      </c>
      <c r="D366" s="78">
        <v>514.00785634938768</v>
      </c>
      <c r="E366" s="78">
        <v>5076551.3628965141</v>
      </c>
      <c r="F366" s="78" t="s">
        <v>366</v>
      </c>
      <c r="G366" s="25">
        <f t="shared" si="8"/>
        <v>8.666317687431091E-3</v>
      </c>
      <c r="I366" s="78">
        <v>96.029000000000011</v>
      </c>
      <c r="J366" s="78">
        <v>96.365320000000011</v>
      </c>
      <c r="K366" s="78">
        <v>94.095000000000027</v>
      </c>
      <c r="L366" s="78">
        <v>94.163500000000013</v>
      </c>
      <c r="M366" s="78">
        <v>59054289.999999985</v>
      </c>
      <c r="N366" s="78" t="s">
        <v>366</v>
      </c>
      <c r="O366" s="25">
        <f t="shared" si="9"/>
        <v>1.9811285689253166E-2</v>
      </c>
    </row>
    <row r="367" spans="1:15">
      <c r="A367" s="78">
        <v>518.33286089882904</v>
      </c>
      <c r="B367" s="78">
        <v>522.80236444819411</v>
      </c>
      <c r="C367" s="78">
        <v>515.53256993478999</v>
      </c>
      <c r="D367" s="78">
        <v>516.17035862410842</v>
      </c>
      <c r="E367" s="78">
        <v>6050643.0180241829</v>
      </c>
      <c r="F367" s="78" t="s">
        <v>367</v>
      </c>
      <c r="G367" s="25">
        <f t="shared" si="8"/>
        <v>4.1895127036835067E-3</v>
      </c>
      <c r="I367" s="78">
        <v>95.084000000000017</v>
      </c>
      <c r="J367" s="78">
        <v>96.700000000000017</v>
      </c>
      <c r="K367" s="78">
        <v>94.550000000000011</v>
      </c>
      <c r="L367" s="78">
        <v>95.001000000000019</v>
      </c>
      <c r="M367" s="78">
        <v>44663049.999999993</v>
      </c>
      <c r="N367" s="78" t="s">
        <v>367</v>
      </c>
      <c r="O367" s="25">
        <f t="shared" si="9"/>
        <v>8.7367501394730596E-4</v>
      </c>
    </row>
    <row r="368" spans="1:15">
      <c r="A368" s="78">
        <v>519.52871469130139</v>
      </c>
      <c r="B368" s="78">
        <v>523.14617241352994</v>
      </c>
      <c r="C368" s="78">
        <v>514.63478270009125</v>
      </c>
      <c r="D368" s="78">
        <v>515.75180979674315</v>
      </c>
      <c r="E368" s="78">
        <v>5392581.3009867659</v>
      </c>
      <c r="F368" s="78" t="s">
        <v>368</v>
      </c>
      <c r="G368" s="25">
        <f t="shared" si="8"/>
        <v>7.3231054604474544E-3</v>
      </c>
      <c r="I368" s="78">
        <v>95.949000000000026</v>
      </c>
      <c r="J368" s="78">
        <v>96.800000000000026</v>
      </c>
      <c r="K368" s="78">
        <v>92.40000000000002</v>
      </c>
      <c r="L368" s="78">
        <v>93.577000000000012</v>
      </c>
      <c r="M368" s="78">
        <v>66623609.999999985</v>
      </c>
      <c r="N368" s="78" t="s">
        <v>368</v>
      </c>
      <c r="O368" s="25">
        <f t="shared" si="9"/>
        <v>2.5348109043889178E-2</v>
      </c>
    </row>
    <row r="369" spans="1:15">
      <c r="A369" s="78">
        <v>514.12744172863495</v>
      </c>
      <c r="B369" s="78">
        <v>517.72496855432234</v>
      </c>
      <c r="C369" s="78">
        <v>512.29459648270586</v>
      </c>
      <c r="D369" s="78">
        <v>517.52565958891034</v>
      </c>
      <c r="E369" s="78">
        <v>6031437.6601914996</v>
      </c>
      <c r="F369" s="78" t="s">
        <v>369</v>
      </c>
      <c r="G369" s="25">
        <f t="shared" si="8"/>
        <v>-6.5662789802050092E-3</v>
      </c>
      <c r="I369" s="78">
        <v>92.998000000000019</v>
      </c>
      <c r="J369" s="78">
        <v>94.824990000000014</v>
      </c>
      <c r="K369" s="78">
        <v>91.63000000000001</v>
      </c>
      <c r="L369" s="78">
        <v>94.000000000000014</v>
      </c>
      <c r="M369" s="78">
        <v>60093999.999999985</v>
      </c>
      <c r="N369" s="78" t="s">
        <v>369</v>
      </c>
      <c r="O369" s="25">
        <f t="shared" si="9"/>
        <v>-1.0659574468085076E-2</v>
      </c>
    </row>
    <row r="370" spans="1:15">
      <c r="A370" s="78">
        <v>519.60843827746612</v>
      </c>
      <c r="B370" s="78">
        <v>522.03004220722255</v>
      </c>
      <c r="C370" s="78">
        <v>515.29339917629545</v>
      </c>
      <c r="D370" s="78">
        <v>515.66212076230772</v>
      </c>
      <c r="E370" s="78">
        <v>6291581.5021547033</v>
      </c>
      <c r="F370" s="78" t="s">
        <v>370</v>
      </c>
      <c r="G370" s="25">
        <f t="shared" si="8"/>
        <v>7.6529133249587655E-3</v>
      </c>
      <c r="I370" s="78">
        <v>95.00200000000001</v>
      </c>
      <c r="J370" s="78">
        <v>96.763000000000019</v>
      </c>
      <c r="K370" s="78">
        <v>93.442000000000007</v>
      </c>
      <c r="L370" s="78">
        <v>93.995000000000019</v>
      </c>
      <c r="M370" s="78">
        <v>75431459.999999985</v>
      </c>
      <c r="N370" s="78" t="s">
        <v>370</v>
      </c>
      <c r="O370" s="25">
        <f t="shared" si="9"/>
        <v>1.0713335815734748E-2</v>
      </c>
    </row>
    <row r="371" spans="1:15">
      <c r="A371" s="78">
        <v>515.6720862105783</v>
      </c>
      <c r="B371" s="78">
        <v>516.62876924455611</v>
      </c>
      <c r="C371" s="78">
        <v>509.07495945543968</v>
      </c>
      <c r="D371" s="78">
        <v>509.51343917934616</v>
      </c>
      <c r="E371" s="78">
        <v>7437960.4396382375</v>
      </c>
      <c r="F371" s="78" t="s">
        <v>371</v>
      </c>
      <c r="G371" s="25">
        <f t="shared" si="8"/>
        <v>1.2087310280081365E-2</v>
      </c>
      <c r="I371" s="78">
        <v>91.800000000000011</v>
      </c>
      <c r="J371" s="78">
        <v>91.96250000000002</v>
      </c>
      <c r="K371" s="78">
        <v>90.100000000000023</v>
      </c>
      <c r="L371" s="78">
        <v>90.146000000000015</v>
      </c>
      <c r="M371" s="78">
        <v>52006839.999999993</v>
      </c>
      <c r="N371" s="78" t="s">
        <v>371</v>
      </c>
      <c r="O371" s="25">
        <f t="shared" si="9"/>
        <v>1.8348013222993842E-2</v>
      </c>
    </row>
    <row r="372" spans="1:15">
      <c r="A372" s="78">
        <v>505.2980545608815</v>
      </c>
      <c r="B372" s="78">
        <v>512.28383379857348</v>
      </c>
      <c r="C372" s="78">
        <v>503.67368649277336</v>
      </c>
      <c r="D372" s="78">
        <v>511.73573414369048</v>
      </c>
      <c r="E372" s="78">
        <v>21725060.842337649</v>
      </c>
      <c r="F372" s="78" t="s">
        <v>372</v>
      </c>
      <c r="G372" s="25">
        <f t="shared" si="8"/>
        <v>-1.2580086074273189E-2</v>
      </c>
      <c r="I372" s="78">
        <v>89.01700000000001</v>
      </c>
      <c r="J372" s="78">
        <v>92.18892000000001</v>
      </c>
      <c r="K372" s="78">
        <v>88.751000000000019</v>
      </c>
      <c r="L372" s="78">
        <v>91.300000000000011</v>
      </c>
      <c r="M372" s="78">
        <v>50016979.999999993</v>
      </c>
      <c r="N372" s="78" t="s">
        <v>372</v>
      </c>
      <c r="O372" s="25">
        <f t="shared" si="9"/>
        <v>-2.5005476451259612E-2</v>
      </c>
    </row>
    <row r="373" spans="1:15">
      <c r="A373" s="78">
        <v>511.98487035045554</v>
      </c>
      <c r="B373" s="78">
        <v>515.95111876215515</v>
      </c>
      <c r="C373" s="78">
        <v>507.34097145635496</v>
      </c>
      <c r="D373" s="78">
        <v>515.10405565915403</v>
      </c>
      <c r="E373" s="78">
        <v>8620339.7646867074</v>
      </c>
      <c r="F373" s="78" t="s">
        <v>373</v>
      </c>
      <c r="G373" s="25">
        <f t="shared" si="8"/>
        <v>-6.0554470003288952E-3</v>
      </c>
      <c r="I373" s="78">
        <v>91.968000000000018</v>
      </c>
      <c r="J373" s="78">
        <v>92.718000000000018</v>
      </c>
      <c r="K373" s="78">
        <v>90.100000000000023</v>
      </c>
      <c r="L373" s="78">
        <v>91.460000000000022</v>
      </c>
      <c r="M373" s="78">
        <v>68658369.999999985</v>
      </c>
      <c r="N373" s="78" t="s">
        <v>373</v>
      </c>
      <c r="O373" s="25">
        <f t="shared" si="9"/>
        <v>5.554340695385962E-3</v>
      </c>
    </row>
    <row r="374" spans="1:15">
      <c r="A374" s="78">
        <v>509.51343917934616</v>
      </c>
      <c r="B374" s="78">
        <v>515.74174469398986</v>
      </c>
      <c r="C374" s="78">
        <v>505.77639607787034</v>
      </c>
      <c r="D374" s="78">
        <v>512.55290090187987</v>
      </c>
      <c r="E374" s="78">
        <v>11247777.014774196</v>
      </c>
      <c r="F374" s="78" t="s">
        <v>374</v>
      </c>
      <c r="G374" s="25">
        <f t="shared" si="8"/>
        <v>-5.9300449127992483E-3</v>
      </c>
      <c r="I374" s="78">
        <v>89.510000000000019</v>
      </c>
      <c r="J374" s="78">
        <v>91.068000000000012</v>
      </c>
      <c r="K374" s="78">
        <v>86.600000000000023</v>
      </c>
      <c r="L374" s="78">
        <v>86.741000000000014</v>
      </c>
      <c r="M374" s="78">
        <v>73989339.999999985</v>
      </c>
      <c r="N374" s="78" t="s">
        <v>374</v>
      </c>
      <c r="O374" s="25">
        <f t="shared" si="9"/>
        <v>3.1922620214200892E-2</v>
      </c>
    </row>
    <row r="375" spans="1:15">
      <c r="A375" s="78">
        <v>513.72882379781095</v>
      </c>
      <c r="B375" s="78">
        <v>521.89052593143413</v>
      </c>
      <c r="C375" s="78">
        <v>509.0649940071691</v>
      </c>
      <c r="D375" s="78">
        <v>520.09674524272566</v>
      </c>
      <c r="E375" s="78">
        <v>11215642.986148039</v>
      </c>
      <c r="F375" s="78" t="s">
        <v>375</v>
      </c>
      <c r="G375" s="25">
        <f t="shared" si="8"/>
        <v>-1.2243724851504045E-2</v>
      </c>
      <c r="I375" s="78">
        <v>86.668000000000006</v>
      </c>
      <c r="J375" s="78">
        <v>88.12700000000001</v>
      </c>
      <c r="K375" s="78">
        <v>85.450000000000017</v>
      </c>
      <c r="L375" s="78">
        <v>87.507000000000019</v>
      </c>
      <c r="M375" s="78">
        <v>69953089.999999985</v>
      </c>
      <c r="N375" s="78" t="s">
        <v>375</v>
      </c>
      <c r="O375" s="25">
        <f t="shared" si="9"/>
        <v>-9.5878044042192467E-3</v>
      </c>
    </row>
    <row r="376" spans="1:15">
      <c r="A376" s="78">
        <v>527.68045137665388</v>
      </c>
      <c r="B376" s="78">
        <v>529.04571778972638</v>
      </c>
      <c r="C376" s="78">
        <v>518.33286089882904</v>
      </c>
      <c r="D376" s="78">
        <v>523.08637972390625</v>
      </c>
      <c r="E376" s="78">
        <v>7333618.9216487836</v>
      </c>
      <c r="F376" s="78" t="s">
        <v>376</v>
      </c>
      <c r="G376" s="25">
        <f t="shared" si="8"/>
        <v>8.782625261954724E-3</v>
      </c>
      <c r="I376" s="78">
        <v>89.111000000000018</v>
      </c>
      <c r="J376" s="78">
        <v>90.488590000000016</v>
      </c>
      <c r="K376" s="78">
        <v>85.807000000000016</v>
      </c>
      <c r="L376" s="78">
        <v>89.76400000000001</v>
      </c>
      <c r="M376" s="78">
        <v>77374879.999999985</v>
      </c>
      <c r="N376" s="78" t="s">
        <v>376</v>
      </c>
      <c r="O376" s="25">
        <f t="shared" si="9"/>
        <v>-7.274631255291597E-3</v>
      </c>
    </row>
    <row r="377" spans="1:15">
      <c r="A377" s="78">
        <v>524.85026406780287</v>
      </c>
      <c r="B377" s="78">
        <v>531.58690709872985</v>
      </c>
      <c r="C377" s="78">
        <v>522.4087292415054</v>
      </c>
      <c r="D377" s="78">
        <v>527.36155703199472</v>
      </c>
      <c r="E377" s="78">
        <v>7253989.7892252151</v>
      </c>
      <c r="F377" s="78" t="s">
        <v>377</v>
      </c>
      <c r="G377" s="25">
        <f t="shared" si="8"/>
        <v>-4.7619947466885915E-3</v>
      </c>
      <c r="I377" s="78">
        <v>90.636000000000024</v>
      </c>
      <c r="J377" s="78">
        <v>97.369000000000028</v>
      </c>
      <c r="K377" s="78">
        <v>89.90000000000002</v>
      </c>
      <c r="L377" s="78">
        <v>97.299000000000021</v>
      </c>
      <c r="M377" s="78">
        <v>78525589.999999985</v>
      </c>
      <c r="N377" s="78" t="s">
        <v>377</v>
      </c>
      <c r="O377" s="25">
        <f t="shared" si="9"/>
        <v>-6.8479634939721867E-2</v>
      </c>
    </row>
    <row r="378" spans="1:15">
      <c r="A378" s="78">
        <v>534.54664523509871</v>
      </c>
      <c r="B378" s="78">
        <v>535.93194219919519</v>
      </c>
      <c r="C378" s="78">
        <v>525.10936572283845</v>
      </c>
      <c r="D378" s="78">
        <v>528.41789454867842</v>
      </c>
      <c r="E378" s="78">
        <v>6243316.7390512833</v>
      </c>
      <c r="F378" s="78" t="s">
        <v>378</v>
      </c>
      <c r="G378" s="25">
        <f t="shared" si="8"/>
        <v>1.1598302687411577E-2</v>
      </c>
      <c r="I378" s="78">
        <v>99.092000000000013</v>
      </c>
      <c r="J378" s="78">
        <v>99.559990000000028</v>
      </c>
      <c r="K378" s="78">
        <v>96.948000000000022</v>
      </c>
      <c r="L378" s="78">
        <v>97.362000000000023</v>
      </c>
      <c r="M378" s="78">
        <v>38079349.999999993</v>
      </c>
      <c r="N378" s="78" t="s">
        <v>378</v>
      </c>
      <c r="O378" s="25">
        <f t="shared" si="9"/>
        <v>1.7768739343891671E-2</v>
      </c>
    </row>
    <row r="379" spans="1:15">
      <c r="A379" s="78">
        <v>528.61720351409053</v>
      </c>
      <c r="B379" s="78">
        <v>536.42004985548931</v>
      </c>
      <c r="C379" s="78">
        <v>524.34202620600217</v>
      </c>
      <c r="D379" s="78">
        <v>531.21818551271758</v>
      </c>
      <c r="E379" s="78">
        <v>10513761.865493005</v>
      </c>
      <c r="F379" s="78" t="s">
        <v>379</v>
      </c>
      <c r="G379" s="25">
        <f t="shared" ref="G379:G442" si="10">A379/D379-1</f>
        <v>-4.8962593329079374E-3</v>
      </c>
      <c r="I379" s="78">
        <v>97.258000000000024</v>
      </c>
      <c r="J379" s="78">
        <v>98.631350000000012</v>
      </c>
      <c r="K379" s="78">
        <v>94.821000000000026</v>
      </c>
      <c r="L379" s="78">
        <v>97.161000000000016</v>
      </c>
      <c r="M379" s="78">
        <v>43928139.999999993</v>
      </c>
      <c r="N379" s="78" t="s">
        <v>379</v>
      </c>
      <c r="O379" s="25">
        <f t="shared" ref="O379:O442" si="11">I379/L379-1</f>
        <v>9.9834295653611349E-4</v>
      </c>
    </row>
    <row r="380" spans="1:15">
      <c r="A380" s="78">
        <v>535.06484854517009</v>
      </c>
      <c r="B380" s="78">
        <v>547.39210805590494</v>
      </c>
      <c r="C380" s="78">
        <v>531.40852557468611</v>
      </c>
      <c r="D380" s="78">
        <v>546.3058741944094</v>
      </c>
      <c r="E380" s="78">
        <v>7315273.535165838</v>
      </c>
      <c r="F380" s="78" t="s">
        <v>380</v>
      </c>
      <c r="G380" s="25">
        <f t="shared" si="10"/>
        <v>-2.0576431959139163E-2</v>
      </c>
      <c r="I380" s="78">
        <v>97.370000000000019</v>
      </c>
      <c r="J380" s="78">
        <v>99.493000000000009</v>
      </c>
      <c r="K380" s="78">
        <v>96.481000000000009</v>
      </c>
      <c r="L380" s="78">
        <v>98.300000000000026</v>
      </c>
      <c r="M380" s="78">
        <v>39074469.999999993</v>
      </c>
      <c r="N380" s="78" t="s">
        <v>380</v>
      </c>
      <c r="O380" s="25">
        <f t="shared" si="11"/>
        <v>-9.4608341810783481E-3</v>
      </c>
    </row>
    <row r="381" spans="1:15">
      <c r="A381" s="78">
        <v>544.44233536780678</v>
      </c>
      <c r="B381" s="78">
        <v>545.00040047096036</v>
      </c>
      <c r="C381" s="78">
        <v>533.72947847690943</v>
      </c>
      <c r="D381" s="78">
        <v>536.55966578576033</v>
      </c>
      <c r="E381" s="78">
        <v>7353458.470721879</v>
      </c>
      <c r="F381" s="78" t="s">
        <v>381</v>
      </c>
      <c r="G381" s="25">
        <f t="shared" si="10"/>
        <v>1.4691133315998917E-2</v>
      </c>
      <c r="I381" s="78">
        <v>98.056000000000012</v>
      </c>
      <c r="J381" s="78">
        <v>98.227000000000018</v>
      </c>
      <c r="K381" s="78">
        <v>95.817000000000021</v>
      </c>
      <c r="L381" s="78">
        <v>96.956000000000017</v>
      </c>
      <c r="M381" s="78">
        <v>47174089.999999993</v>
      </c>
      <c r="N381" s="78" t="s">
        <v>381</v>
      </c>
      <c r="O381" s="25">
        <f t="shared" si="11"/>
        <v>1.1345352531044961E-2</v>
      </c>
    </row>
    <row r="382" spans="1:15">
      <c r="A382" s="78">
        <v>536.11122061358333</v>
      </c>
      <c r="B382" s="78">
        <v>547.98006950387048</v>
      </c>
      <c r="C382" s="78">
        <v>535.74249902757106</v>
      </c>
      <c r="D382" s="78">
        <v>546.93369743545725</v>
      </c>
      <c r="E382" s="78">
        <v>5540494.3662071563</v>
      </c>
      <c r="F382" s="78" t="s">
        <v>382</v>
      </c>
      <c r="G382" s="25">
        <f t="shared" si="10"/>
        <v>-1.9787548056775295E-2</v>
      </c>
      <c r="I382" s="78">
        <v>96.307000000000031</v>
      </c>
      <c r="J382" s="78">
        <v>100.07255000000002</v>
      </c>
      <c r="K382" s="78">
        <v>96.182500000000019</v>
      </c>
      <c r="L382" s="78">
        <v>99.500000000000014</v>
      </c>
      <c r="M382" s="78">
        <v>37665659.999999993</v>
      </c>
      <c r="N382" s="78" t="s">
        <v>382</v>
      </c>
      <c r="O382" s="25">
        <f t="shared" si="11"/>
        <v>-3.2090452261306357E-2</v>
      </c>
    </row>
    <row r="383" spans="1:15">
      <c r="A383" s="78">
        <v>544.86088419517193</v>
      </c>
      <c r="B383" s="78">
        <v>549.4400076755137</v>
      </c>
      <c r="C383" s="78">
        <v>542.36952212752146</v>
      </c>
      <c r="D383" s="78">
        <v>546.11653067726786</v>
      </c>
      <c r="E383" s="78">
        <v>4195298.4817886017</v>
      </c>
      <c r="F383" s="78" t="s">
        <v>383</v>
      </c>
      <c r="G383" s="25">
        <f t="shared" si="10"/>
        <v>-2.2992281162753647E-3</v>
      </c>
      <c r="I383" s="78">
        <v>99.006000000000014</v>
      </c>
      <c r="J383" s="78">
        <v>100.08900000000001</v>
      </c>
      <c r="K383" s="78">
        <v>97.690000000000012</v>
      </c>
      <c r="L383" s="78">
        <v>97.760000000000019</v>
      </c>
      <c r="M383" s="78">
        <v>33972049.999999993</v>
      </c>
      <c r="N383" s="78" t="s">
        <v>383</v>
      </c>
      <c r="O383" s="25">
        <f t="shared" si="11"/>
        <v>1.274549918166934E-2</v>
      </c>
    </row>
    <row r="384" spans="1:15">
      <c r="A384" s="78">
        <v>544.52205895397151</v>
      </c>
      <c r="B384" s="78">
        <v>547.87044957289379</v>
      </c>
      <c r="C384" s="78">
        <v>540.2951144155129</v>
      </c>
      <c r="D384" s="78">
        <v>547.28248812492825</v>
      </c>
      <c r="E384" s="78">
        <v>5510533.8474334273</v>
      </c>
      <c r="F384" s="78" t="s">
        <v>384</v>
      </c>
      <c r="G384" s="25">
        <f t="shared" si="10"/>
        <v>-5.0438836082886684E-3</v>
      </c>
      <c r="I384" s="78">
        <v>97.724000000000018</v>
      </c>
      <c r="J384" s="78">
        <v>99.439990000000023</v>
      </c>
      <c r="K384" s="78">
        <v>95.500000000000014</v>
      </c>
      <c r="L384" s="78">
        <v>98.940000000000012</v>
      </c>
      <c r="M384" s="78">
        <v>47383039.999999993</v>
      </c>
      <c r="N384" s="78" t="s">
        <v>384</v>
      </c>
      <c r="O384" s="25">
        <f t="shared" si="11"/>
        <v>-1.2290276935516431E-2</v>
      </c>
    </row>
    <row r="385" spans="1:15">
      <c r="A385" s="78">
        <v>547.24262633184594</v>
      </c>
      <c r="B385" s="78">
        <v>552.59407205315927</v>
      </c>
      <c r="C385" s="78">
        <v>546.61809168872719</v>
      </c>
      <c r="D385" s="78">
        <v>551.69718170880503</v>
      </c>
      <c r="E385" s="78">
        <v>4788801.1360994671</v>
      </c>
      <c r="F385" s="78" t="s">
        <v>385</v>
      </c>
      <c r="G385" s="25">
        <f t="shared" si="10"/>
        <v>-8.0742761149544817E-3</v>
      </c>
      <c r="I385" s="78">
        <v>98.847000000000023</v>
      </c>
      <c r="J385" s="78">
        <v>101.51700000000001</v>
      </c>
      <c r="K385" s="78">
        <v>98.448000000000022</v>
      </c>
      <c r="L385" s="78">
        <v>100.80000000000003</v>
      </c>
      <c r="M385" s="78">
        <v>44262269.999999993</v>
      </c>
      <c r="N385" s="78" t="s">
        <v>385</v>
      </c>
      <c r="O385" s="25">
        <f t="shared" si="11"/>
        <v>-1.9375000000000031E-2</v>
      </c>
    </row>
    <row r="386" spans="1:15">
      <c r="A386" s="78">
        <v>549.8436083304731</v>
      </c>
      <c r="B386" s="78">
        <v>559.2609569461921</v>
      </c>
      <c r="C386" s="78">
        <v>549.36028408934885</v>
      </c>
      <c r="D386" s="78">
        <v>559.16130246348609</v>
      </c>
      <c r="E386" s="78">
        <v>6170012.4600902461</v>
      </c>
      <c r="F386" s="78" t="s">
        <v>386</v>
      </c>
      <c r="G386" s="25">
        <f t="shared" si="10"/>
        <v>-1.6663696310817988E-2</v>
      </c>
      <c r="I386" s="78">
        <v>100.31500000000001</v>
      </c>
      <c r="J386" s="78">
        <v>103.23800000000003</v>
      </c>
      <c r="K386" s="78">
        <v>99.939000000000021</v>
      </c>
      <c r="L386" s="78">
        <v>102.94200000000002</v>
      </c>
      <c r="M386" s="78">
        <v>37387099.999999993</v>
      </c>
      <c r="N386" s="78" t="s">
        <v>386</v>
      </c>
      <c r="O386" s="25">
        <f t="shared" si="11"/>
        <v>-2.5519224417633324E-2</v>
      </c>
    </row>
    <row r="387" spans="1:15">
      <c r="A387" s="78">
        <v>559.3606114288981</v>
      </c>
      <c r="B387" s="78">
        <v>560.54101877655091</v>
      </c>
      <c r="C387" s="78">
        <v>556.29125336155266</v>
      </c>
      <c r="D387" s="78">
        <v>560.44684529039375</v>
      </c>
      <c r="E387" s="78">
        <v>4462199.6715570865</v>
      </c>
      <c r="F387" s="78" t="s">
        <v>387</v>
      </c>
      <c r="G387" s="25">
        <f t="shared" si="10"/>
        <v>-1.9381567951066714E-3</v>
      </c>
      <c r="I387" s="78">
        <v>102.45400000000002</v>
      </c>
      <c r="J387" s="78">
        <v>104.50000000000001</v>
      </c>
      <c r="K387" s="78">
        <v>101.55941000000003</v>
      </c>
      <c r="L387" s="78">
        <v>104.20000000000002</v>
      </c>
      <c r="M387" s="78">
        <v>31118309.999999993</v>
      </c>
      <c r="N387" s="78" t="s">
        <v>387</v>
      </c>
      <c r="O387" s="25">
        <f t="shared" si="11"/>
        <v>-1.6756238003838742E-2</v>
      </c>
    </row>
    <row r="388" spans="1:15">
      <c r="A388" s="78">
        <v>561.72242266903072</v>
      </c>
      <c r="B388" s="78">
        <v>561.97155887579584</v>
      </c>
      <c r="C388" s="78">
        <v>558.5942684568887</v>
      </c>
      <c r="D388" s="78">
        <v>559.08157887732125</v>
      </c>
      <c r="E388" s="78">
        <v>3870935.7524635624</v>
      </c>
      <c r="F388" s="78" t="s">
        <v>388</v>
      </c>
      <c r="G388" s="25">
        <f t="shared" si="10"/>
        <v>4.7235392677620336E-3</v>
      </c>
      <c r="I388" s="78">
        <v>104.33300000000001</v>
      </c>
      <c r="J388" s="78">
        <v>104.49999000000003</v>
      </c>
      <c r="K388" s="78">
        <v>102.45100000000002</v>
      </c>
      <c r="L388" s="78">
        <v>103.51800000000003</v>
      </c>
      <c r="M388" s="78">
        <v>26000479.999999996</v>
      </c>
      <c r="N388" s="78" t="s">
        <v>388</v>
      </c>
      <c r="O388" s="25">
        <f t="shared" si="11"/>
        <v>7.8730269131936925E-3</v>
      </c>
    </row>
    <row r="389" spans="1:15">
      <c r="A389" s="78">
        <v>560.36712170422891</v>
      </c>
      <c r="B389" s="78">
        <v>560.36712170422891</v>
      </c>
      <c r="C389" s="78">
        <v>557.55686529191917</v>
      </c>
      <c r="D389" s="78">
        <v>559.85888384242821</v>
      </c>
      <c r="E389" s="78">
        <v>3858235.8721808712</v>
      </c>
      <c r="F389" s="78" t="s">
        <v>389</v>
      </c>
      <c r="G389" s="25">
        <f t="shared" si="10"/>
        <v>9.077963688144397E-4</v>
      </c>
      <c r="I389" s="78">
        <v>103.58500000000001</v>
      </c>
      <c r="J389" s="78">
        <v>106.20000000000002</v>
      </c>
      <c r="K389" s="78">
        <v>102.37490000000003</v>
      </c>
      <c r="L389" s="78">
        <v>106.00000000000001</v>
      </c>
      <c r="M389" s="78">
        <v>42293389.999999993</v>
      </c>
      <c r="N389" s="78" t="s">
        <v>389</v>
      </c>
      <c r="O389" s="25">
        <f t="shared" si="11"/>
        <v>-2.2783018867924554E-2</v>
      </c>
    </row>
    <row r="390" spans="1:15">
      <c r="A390" s="78">
        <v>558.7527190843914</v>
      </c>
      <c r="B390" s="78">
        <v>559.91867653205179</v>
      </c>
      <c r="C390" s="78">
        <v>558.13486129161413</v>
      </c>
      <c r="D390" s="78">
        <v>558.96199349807398</v>
      </c>
      <c r="E390" s="78">
        <v>3392290.9519008892</v>
      </c>
      <c r="F390" s="78" t="s">
        <v>390</v>
      </c>
      <c r="G390" s="25">
        <f t="shared" si="10"/>
        <v>-3.7439828846486112E-4</v>
      </c>
      <c r="I390" s="78">
        <v>105.86000000000001</v>
      </c>
      <c r="J390" s="78">
        <v>106.45000000000002</v>
      </c>
      <c r="K390" s="78">
        <v>104.16900000000003</v>
      </c>
      <c r="L390" s="78">
        <v>104.49500000000002</v>
      </c>
      <c r="M390" s="78">
        <v>31454299.999999993</v>
      </c>
      <c r="N390" s="78" t="s">
        <v>390</v>
      </c>
      <c r="O390" s="25">
        <f t="shared" si="11"/>
        <v>1.3062825972534498E-2</v>
      </c>
    </row>
    <row r="391" spans="1:15">
      <c r="A391" s="78">
        <v>558.73278818785013</v>
      </c>
      <c r="B391" s="78">
        <v>558.94206260153283</v>
      </c>
      <c r="C391" s="78">
        <v>552.7784328461654</v>
      </c>
      <c r="D391" s="78">
        <v>553.94937301796119</v>
      </c>
      <c r="E391" s="78">
        <v>3400246.4394863169</v>
      </c>
      <c r="F391" s="78" t="s">
        <v>391</v>
      </c>
      <c r="G391" s="25">
        <f t="shared" si="10"/>
        <v>8.6351125263099959E-3</v>
      </c>
      <c r="I391" s="78">
        <v>104.36900000000003</v>
      </c>
      <c r="J391" s="78">
        <v>104.59899000000003</v>
      </c>
      <c r="K391" s="78">
        <v>102.51</v>
      </c>
      <c r="L391" s="78">
        <v>102.66250000000002</v>
      </c>
      <c r="M391" s="78">
        <v>34760679.999999993</v>
      </c>
      <c r="N391" s="78" t="s">
        <v>391</v>
      </c>
      <c r="O391" s="25">
        <f t="shared" si="11"/>
        <v>1.6622427858273614E-2</v>
      </c>
    </row>
    <row r="392" spans="1:15">
      <c r="A392" s="78">
        <v>552.89303550127727</v>
      </c>
      <c r="B392" s="78">
        <v>553.99421753517879</v>
      </c>
      <c r="C392" s="78">
        <v>548.48830736567118</v>
      </c>
      <c r="D392" s="78">
        <v>549.09619971017787</v>
      </c>
      <c r="E392" s="78">
        <v>3591893.6136163576</v>
      </c>
      <c r="F392" s="78" t="s">
        <v>392</v>
      </c>
      <c r="G392" s="25">
        <f t="shared" si="10"/>
        <v>6.9147005444645249E-3</v>
      </c>
      <c r="I392" s="78">
        <v>102.73100000000001</v>
      </c>
      <c r="J392" s="78">
        <v>102.77400000000002</v>
      </c>
      <c r="K392" s="78">
        <v>99.834730000000022</v>
      </c>
      <c r="L392" s="78">
        <v>100.54900000000002</v>
      </c>
      <c r="M392" s="78">
        <v>33889659.999999993</v>
      </c>
      <c r="N392" s="78" t="s">
        <v>392</v>
      </c>
      <c r="O392" s="25">
        <f t="shared" si="11"/>
        <v>2.1700862266158749E-2</v>
      </c>
    </row>
    <row r="393" spans="1:15">
      <c r="A393" s="78">
        <v>554.72667798306804</v>
      </c>
      <c r="B393" s="78">
        <v>555.19007132765114</v>
      </c>
      <c r="C393" s="78">
        <v>552.07586874308799</v>
      </c>
      <c r="D393" s="78">
        <v>552.18548867406457</v>
      </c>
      <c r="E393" s="78">
        <v>2762467.8040034226</v>
      </c>
      <c r="F393" s="78" t="s">
        <v>393</v>
      </c>
      <c r="G393" s="25">
        <f t="shared" si="10"/>
        <v>4.6020573903626794E-3</v>
      </c>
      <c r="I393" s="78">
        <v>100.80800000000002</v>
      </c>
      <c r="J393" s="78">
        <v>102.26900000000002</v>
      </c>
      <c r="K393" s="78">
        <v>100.29500000000003</v>
      </c>
      <c r="L393" s="78">
        <v>102.07900000000002</v>
      </c>
      <c r="M393" s="78">
        <v>33317969.999999993</v>
      </c>
      <c r="N393" s="78" t="s">
        <v>393</v>
      </c>
      <c r="O393" s="25">
        <f t="shared" si="11"/>
        <v>-1.245114078311893E-2</v>
      </c>
    </row>
    <row r="394" spans="1:15">
      <c r="A394" s="78">
        <v>554.22840556953793</v>
      </c>
      <c r="B394" s="78">
        <v>554.85174435886415</v>
      </c>
      <c r="C394" s="78">
        <v>552.325004949853</v>
      </c>
      <c r="D394" s="78">
        <v>553.52085874232534</v>
      </c>
      <c r="E394" s="78">
        <v>3529747.8893916928</v>
      </c>
      <c r="F394" s="78" t="s">
        <v>394</v>
      </c>
      <c r="G394" s="25">
        <f t="shared" si="10"/>
        <v>1.2782658793026869E-3</v>
      </c>
      <c r="I394" s="78">
        <v>102.76</v>
      </c>
      <c r="J394" s="78">
        <v>103.28500000000001</v>
      </c>
      <c r="K394" s="78">
        <v>101.58800000000002</v>
      </c>
      <c r="L394" s="78">
        <v>102.30500000000002</v>
      </c>
      <c r="M394" s="78">
        <v>32965659.999999993</v>
      </c>
      <c r="N394" s="78" t="s">
        <v>394</v>
      </c>
      <c r="O394" s="25">
        <f t="shared" si="11"/>
        <v>4.4474854601435077E-3</v>
      </c>
    </row>
    <row r="395" spans="1:15">
      <c r="A395" s="78">
        <v>550.29205350265022</v>
      </c>
      <c r="B395" s="78">
        <v>557.26786729207174</v>
      </c>
      <c r="C395" s="78">
        <v>549.8884528476907</v>
      </c>
      <c r="D395" s="78">
        <v>556.17166798230539</v>
      </c>
      <c r="E395" s="78">
        <v>10196785.657877898</v>
      </c>
      <c r="F395" s="78" t="s">
        <v>395</v>
      </c>
      <c r="G395" s="25">
        <f t="shared" si="10"/>
        <v>-1.057158215373577E-2</v>
      </c>
      <c r="I395" s="78">
        <v>101.39300000000001</v>
      </c>
      <c r="J395" s="78">
        <v>102.77600000000002</v>
      </c>
      <c r="K395" s="78">
        <v>100.56701000000002</v>
      </c>
      <c r="L395" s="78">
        <v>101.70000000000002</v>
      </c>
      <c r="M395" s="78">
        <v>32128529.999999993</v>
      </c>
      <c r="N395" s="78" t="s">
        <v>395</v>
      </c>
      <c r="O395" s="25">
        <f t="shared" si="11"/>
        <v>-3.0186823992134348E-3</v>
      </c>
    </row>
    <row r="396" spans="1:15">
      <c r="A396" s="78">
        <v>555.69332646531655</v>
      </c>
      <c r="B396" s="78">
        <v>555.72322281012828</v>
      </c>
      <c r="C396" s="78">
        <v>552.2751777085</v>
      </c>
      <c r="D396" s="78">
        <v>555.36446667238658</v>
      </c>
      <c r="E396" s="78">
        <v>3618802.5887791775</v>
      </c>
      <c r="F396" s="78" t="s">
        <v>396</v>
      </c>
      <c r="G396" s="25">
        <f t="shared" si="10"/>
        <v>5.9215130363021728E-4</v>
      </c>
      <c r="I396" s="78">
        <v>101.56800000000001</v>
      </c>
      <c r="J396" s="78">
        <v>101.63500000000002</v>
      </c>
      <c r="K396" s="78">
        <v>100.26100000000002</v>
      </c>
      <c r="L396" s="78">
        <v>100.78700000000002</v>
      </c>
      <c r="M396" s="78">
        <v>31342929.999999993</v>
      </c>
      <c r="N396" s="78" t="s">
        <v>396</v>
      </c>
      <c r="O396" s="25">
        <f t="shared" si="11"/>
        <v>7.7490152499826159E-3</v>
      </c>
    </row>
    <row r="397" spans="1:15">
      <c r="A397" s="78">
        <v>553.70023681119608</v>
      </c>
      <c r="B397" s="78">
        <v>553.80985674217277</v>
      </c>
      <c r="C397" s="78">
        <v>548.50823826221233</v>
      </c>
      <c r="D397" s="78">
        <v>550.43156977843864</v>
      </c>
      <c r="E397" s="78">
        <v>3436056.1682922682</v>
      </c>
      <c r="F397" s="78" t="s">
        <v>397</v>
      </c>
      <c r="G397" s="25">
        <f t="shared" si="10"/>
        <v>5.9383712930440868E-3</v>
      </c>
      <c r="I397" s="78">
        <v>101.11100000000002</v>
      </c>
      <c r="J397" s="78">
        <v>101.18250000000002</v>
      </c>
      <c r="K397" s="78">
        <v>98.668000000000021</v>
      </c>
      <c r="L397" s="78">
        <v>98.773000000000025</v>
      </c>
      <c r="M397" s="78">
        <v>39977329.999999993</v>
      </c>
      <c r="N397" s="78" t="s">
        <v>397</v>
      </c>
      <c r="O397" s="25">
        <f t="shared" si="11"/>
        <v>2.3670436252822169E-2</v>
      </c>
    </row>
    <row r="398" spans="1:15">
      <c r="A398" s="78">
        <v>551.43808005376945</v>
      </c>
      <c r="B398" s="78">
        <v>551.9164215707583</v>
      </c>
      <c r="C398" s="78">
        <v>547.33231536628136</v>
      </c>
      <c r="D398" s="78">
        <v>547.80069143499964</v>
      </c>
      <c r="E398" s="78">
        <v>4195910.5967516582</v>
      </c>
      <c r="F398" s="78" t="s">
        <v>398</v>
      </c>
      <c r="G398" s="25">
        <f t="shared" si="10"/>
        <v>6.6399854466072661E-3</v>
      </c>
      <c r="I398" s="78">
        <v>99.487000000000023</v>
      </c>
      <c r="J398" s="78">
        <v>100.80000000000003</v>
      </c>
      <c r="K398" s="78">
        <v>97.851000000000013</v>
      </c>
      <c r="L398" s="78">
        <v>98.047000000000025</v>
      </c>
      <c r="M398" s="78">
        <v>60001369.999999985</v>
      </c>
      <c r="N398" s="78" t="s">
        <v>398</v>
      </c>
      <c r="O398" s="25">
        <f t="shared" si="11"/>
        <v>1.4686833865391158E-2</v>
      </c>
    </row>
    <row r="399" spans="1:15">
      <c r="A399" s="78">
        <v>547.80069143499964</v>
      </c>
      <c r="B399" s="78">
        <v>550.05278308967297</v>
      </c>
      <c r="C399" s="78">
        <v>541.10391019715496</v>
      </c>
      <c r="D399" s="78">
        <v>543.106965299546</v>
      </c>
      <c r="E399" s="78">
        <v>7851164.1298472667</v>
      </c>
      <c r="F399" s="78" t="s">
        <v>399</v>
      </c>
      <c r="G399" s="25">
        <f t="shared" si="10"/>
        <v>8.6423604102827678E-3</v>
      </c>
      <c r="I399" s="78">
        <v>97.89400000000002</v>
      </c>
      <c r="J399" s="78">
        <v>98.76891000000002</v>
      </c>
      <c r="K399" s="78">
        <v>96.437500000000014</v>
      </c>
      <c r="L399" s="78">
        <v>97.300000000000026</v>
      </c>
      <c r="M399" s="78">
        <v>37241969.999999993</v>
      </c>
      <c r="N399" s="78" t="s">
        <v>399</v>
      </c>
      <c r="O399" s="25">
        <f t="shared" si="11"/>
        <v>6.1048304213771054E-3</v>
      </c>
    </row>
    <row r="400" spans="1:15">
      <c r="A400" s="78">
        <v>551.41814915722819</v>
      </c>
      <c r="B400" s="78">
        <v>558.9520280498034</v>
      </c>
      <c r="C400" s="78">
        <v>550.80029136445091</v>
      </c>
      <c r="D400" s="78">
        <v>556.68987129237678</v>
      </c>
      <c r="E400" s="78">
        <v>6264968.5498018861</v>
      </c>
      <c r="F400" s="78" t="s">
        <v>400</v>
      </c>
      <c r="G400" s="25">
        <f t="shared" si="10"/>
        <v>-9.4697647774875104E-3</v>
      </c>
      <c r="I400" s="78">
        <v>97.676000000000016</v>
      </c>
      <c r="J400" s="78">
        <v>99.028920000000028</v>
      </c>
      <c r="K400" s="78">
        <v>97.40000000000002</v>
      </c>
      <c r="L400" s="78">
        <v>97.40000000000002</v>
      </c>
      <c r="M400" s="78">
        <v>36187179.999999993</v>
      </c>
      <c r="N400" s="78" t="s">
        <v>400</v>
      </c>
      <c r="O400" s="25">
        <f t="shared" si="11"/>
        <v>2.8336755646816147E-3</v>
      </c>
    </row>
    <row r="401" spans="1:15">
      <c r="A401" s="78">
        <v>554.37788729359704</v>
      </c>
      <c r="B401" s="78">
        <v>555.85277363764612</v>
      </c>
      <c r="C401" s="78">
        <v>550.47143157152095</v>
      </c>
      <c r="D401" s="78">
        <v>553.45110060443108</v>
      </c>
      <c r="E401" s="78">
        <v>4311434.7526891446</v>
      </c>
      <c r="F401" s="78" t="s">
        <v>401</v>
      </c>
      <c r="G401" s="25">
        <f t="shared" si="10"/>
        <v>1.6745593028071326E-3</v>
      </c>
      <c r="I401" s="78">
        <v>97.324000000000026</v>
      </c>
      <c r="J401" s="78">
        <v>99.459000000000017</v>
      </c>
      <c r="K401" s="78">
        <v>97.001010000000022</v>
      </c>
      <c r="L401" s="78">
        <v>98.675000000000026</v>
      </c>
      <c r="M401" s="78">
        <v>38678249.999999993</v>
      </c>
      <c r="N401" s="78" t="s">
        <v>401</v>
      </c>
      <c r="O401" s="25">
        <f t="shared" si="11"/>
        <v>-1.3691411198378467E-2</v>
      </c>
    </row>
    <row r="402" spans="1:15">
      <c r="A402" s="78">
        <v>551.49787274339303</v>
      </c>
      <c r="B402" s="78">
        <v>553.58065143194881</v>
      </c>
      <c r="C402" s="78">
        <v>549.06640301984885</v>
      </c>
      <c r="D402" s="78">
        <v>553.25179163901896</v>
      </c>
      <c r="E402" s="78">
        <v>4188944.5277786455</v>
      </c>
      <c r="F402" s="78" t="s">
        <v>402</v>
      </c>
      <c r="G402" s="25">
        <f t="shared" si="10"/>
        <v>-3.1702001188824713E-3</v>
      </c>
      <c r="I402" s="78">
        <v>97.815000000000012</v>
      </c>
      <c r="J402" s="78">
        <v>98.764000000000024</v>
      </c>
      <c r="K402" s="78">
        <v>96.823450000000022</v>
      </c>
      <c r="L402" s="78">
        <v>98.000000000000014</v>
      </c>
      <c r="M402" s="78">
        <v>29307279.999999993</v>
      </c>
      <c r="N402" s="78" t="s">
        <v>402</v>
      </c>
      <c r="O402" s="25">
        <f t="shared" si="11"/>
        <v>-1.8877551020408667E-3</v>
      </c>
    </row>
    <row r="403" spans="1:15">
      <c r="A403" s="78">
        <v>553.92944212141992</v>
      </c>
      <c r="B403" s="78">
        <v>554.72667798306804</v>
      </c>
      <c r="C403" s="78">
        <v>547.32234991801079</v>
      </c>
      <c r="D403" s="78">
        <v>550.39170798535611</v>
      </c>
      <c r="E403" s="78">
        <v>4179113.5600850987</v>
      </c>
      <c r="F403" s="78" t="s">
        <v>403</v>
      </c>
      <c r="G403" s="25">
        <f t="shared" si="10"/>
        <v>6.4276661234836663E-3</v>
      </c>
      <c r="I403" s="78">
        <v>97.183000000000021</v>
      </c>
      <c r="J403" s="78">
        <v>97.79340000000002</v>
      </c>
      <c r="K403" s="78">
        <v>95.730000000000018</v>
      </c>
      <c r="L403" s="78">
        <v>96.671000000000021</v>
      </c>
      <c r="M403" s="78">
        <v>34339719.999999993</v>
      </c>
      <c r="N403" s="78" t="s">
        <v>403</v>
      </c>
      <c r="O403" s="25">
        <f t="shared" si="11"/>
        <v>5.2963143031519166E-3</v>
      </c>
    </row>
    <row r="404" spans="1:15">
      <c r="A404" s="78">
        <v>549.32540502040172</v>
      </c>
      <c r="B404" s="78">
        <v>549.48485219273141</v>
      </c>
      <c r="C404" s="78">
        <v>544.94060778133689</v>
      </c>
      <c r="D404" s="78">
        <v>545.04026226404278</v>
      </c>
      <c r="E404" s="78">
        <v>7643795.6358382031</v>
      </c>
      <c r="F404" s="78" t="s">
        <v>404</v>
      </c>
      <c r="G404" s="25">
        <f t="shared" si="10"/>
        <v>7.8620664436033216E-3</v>
      </c>
      <c r="I404" s="78">
        <v>97.189000000000021</v>
      </c>
      <c r="J404" s="78">
        <v>98.227000000000018</v>
      </c>
      <c r="K404" s="78">
        <v>96.026000000000025</v>
      </c>
      <c r="L404" s="78">
        <v>97.110000000000028</v>
      </c>
      <c r="M404" s="78">
        <v>46342039.999999993</v>
      </c>
      <c r="N404" s="78" t="s">
        <v>404</v>
      </c>
      <c r="O404" s="25">
        <f t="shared" si="11"/>
        <v>8.1351045206456973E-4</v>
      </c>
    </row>
    <row r="405" spans="1:15">
      <c r="A405" s="78">
        <v>557.0785237749302</v>
      </c>
      <c r="B405" s="78">
        <v>559.71936756663979</v>
      </c>
      <c r="C405" s="78">
        <v>556.09194439614055</v>
      </c>
      <c r="D405" s="78">
        <v>558.82247722228556</v>
      </c>
      <c r="E405" s="78">
        <v>3624664.8438843829</v>
      </c>
      <c r="F405" s="78" t="s">
        <v>405</v>
      </c>
      <c r="G405" s="25">
        <f t="shared" si="10"/>
        <v>-3.1207646765104569E-3</v>
      </c>
      <c r="I405" s="78">
        <v>97.759000000000029</v>
      </c>
      <c r="J405" s="78">
        <v>98.628000000000014</v>
      </c>
      <c r="K405" s="78">
        <v>96.768000000000015</v>
      </c>
      <c r="L405" s="78">
        <v>98.441000000000017</v>
      </c>
      <c r="M405" s="78">
        <v>45503969.999999993</v>
      </c>
      <c r="N405" s="78" t="s">
        <v>405</v>
      </c>
      <c r="O405" s="25">
        <f t="shared" si="11"/>
        <v>-6.9280076390932921E-3</v>
      </c>
    </row>
    <row r="406" spans="1:15">
      <c r="A406" s="78">
        <v>558.76268453266198</v>
      </c>
      <c r="B406" s="78">
        <v>558.76268453266198</v>
      </c>
      <c r="C406" s="78">
        <v>554.87615970712704</v>
      </c>
      <c r="D406" s="78">
        <v>555.11533046562158</v>
      </c>
      <c r="E406" s="78">
        <v>6239436.3315723669</v>
      </c>
      <c r="F406" s="78" t="s">
        <v>406</v>
      </c>
      <c r="G406" s="25">
        <f t="shared" si="10"/>
        <v>6.5704437742353239E-3</v>
      </c>
      <c r="I406" s="78">
        <v>98.486000000000018</v>
      </c>
      <c r="J406" s="78">
        <v>98.500000000000014</v>
      </c>
      <c r="K406" s="78">
        <v>95.390000000000015</v>
      </c>
      <c r="L406" s="78">
        <v>95.78100000000002</v>
      </c>
      <c r="M406" s="78">
        <v>77521369.999999985</v>
      </c>
      <c r="N406" s="78" t="s">
        <v>406</v>
      </c>
      <c r="O406" s="25">
        <f t="shared" si="11"/>
        <v>2.8241509276369925E-2</v>
      </c>
    </row>
    <row r="407" spans="1:15">
      <c r="A407" s="78">
        <v>555.68336101704597</v>
      </c>
      <c r="B407" s="78">
        <v>556.99870053428265</v>
      </c>
      <c r="C407" s="78">
        <v>554.80640156923289</v>
      </c>
      <c r="D407" s="78">
        <v>555.2648121896807</v>
      </c>
      <c r="E407" s="78">
        <v>4796609.1140134707</v>
      </c>
      <c r="F407" s="78" t="s">
        <v>407</v>
      </c>
      <c r="G407" s="25">
        <f t="shared" si="10"/>
        <v>7.5378237226075839E-4</v>
      </c>
      <c r="I407" s="78">
        <v>95.399000000000015</v>
      </c>
      <c r="J407" s="78">
        <v>99.90000000000002</v>
      </c>
      <c r="K407" s="78">
        <v>95.076000000000022</v>
      </c>
      <c r="L407" s="78">
        <v>99.802500000000023</v>
      </c>
      <c r="M407" s="78">
        <v>142732049.99999997</v>
      </c>
      <c r="N407" s="78" t="s">
        <v>407</v>
      </c>
      <c r="O407" s="25">
        <f t="shared" si="11"/>
        <v>-4.4122141228927214E-2</v>
      </c>
    </row>
    <row r="408" spans="1:15">
      <c r="A408" s="78">
        <v>552.54424481180627</v>
      </c>
      <c r="B408" s="78">
        <v>552.54424481180627</v>
      </c>
      <c r="C408" s="78">
        <v>548.59792729664775</v>
      </c>
      <c r="D408" s="78">
        <v>550.41163888189737</v>
      </c>
      <c r="E408" s="78">
        <v>5320059.7264047191</v>
      </c>
      <c r="F408" s="78" t="s">
        <v>408</v>
      </c>
      <c r="G408" s="25">
        <f t="shared" si="10"/>
        <v>3.8745654692933229E-3</v>
      </c>
      <c r="I408" s="78">
        <v>86.968000000000018</v>
      </c>
      <c r="J408" s="78">
        <v>91.640000000000015</v>
      </c>
      <c r="K408" s="78">
        <v>85.47450000000002</v>
      </c>
      <c r="L408" s="78">
        <v>86.353000000000009</v>
      </c>
      <c r="M408" s="78">
        <v>98513509.999999985</v>
      </c>
      <c r="N408" s="78" t="s">
        <v>408</v>
      </c>
      <c r="O408" s="25">
        <f t="shared" si="11"/>
        <v>7.1219297534539372E-3</v>
      </c>
    </row>
    <row r="409" spans="1:15">
      <c r="A409" s="78">
        <v>547.56152067650521</v>
      </c>
      <c r="B409" s="78">
        <v>549.21578508942514</v>
      </c>
      <c r="C409" s="78">
        <v>545.7876708843379</v>
      </c>
      <c r="D409" s="78">
        <v>547.02338646989256</v>
      </c>
      <c r="E409" s="78">
        <v>6581390.843548785</v>
      </c>
      <c r="F409" s="78" t="s">
        <v>409</v>
      </c>
      <c r="G409" s="25">
        <f t="shared" si="10"/>
        <v>9.83749908912257E-4</v>
      </c>
      <c r="I409" s="78">
        <v>85.810000000000016</v>
      </c>
      <c r="J409" s="78">
        <v>86.500000000000014</v>
      </c>
      <c r="K409" s="78">
        <v>85.213000000000022</v>
      </c>
      <c r="L409" s="78">
        <v>85.979000000000013</v>
      </c>
      <c r="M409" s="78">
        <v>36175649.999999993</v>
      </c>
      <c r="N409" s="78" t="s">
        <v>409</v>
      </c>
      <c r="O409" s="25">
        <f t="shared" si="11"/>
        <v>-1.9655962502471702E-3</v>
      </c>
    </row>
    <row r="410" spans="1:15">
      <c r="A410" s="78">
        <v>542.35955667925089</v>
      </c>
      <c r="B410" s="78">
        <v>544.62171343667751</v>
      </c>
      <c r="C410" s="78">
        <v>541.51249357624965</v>
      </c>
      <c r="D410" s="78">
        <v>544.46226626434793</v>
      </c>
      <c r="E410" s="78">
        <v>3645347.3053656211</v>
      </c>
      <c r="F410" s="78" t="s">
        <v>410</v>
      </c>
      <c r="G410" s="25">
        <f t="shared" si="10"/>
        <v>-3.8619932277843549E-3</v>
      </c>
      <c r="I410" s="78">
        <v>84.237000000000023</v>
      </c>
      <c r="J410" s="78">
        <v>86.898000000000025</v>
      </c>
      <c r="K410" s="78">
        <v>84.202000000000012</v>
      </c>
      <c r="L410" s="78">
        <v>86.096000000000018</v>
      </c>
      <c r="M410" s="78">
        <v>40285369.999999993</v>
      </c>
      <c r="N410" s="78" t="s">
        <v>410</v>
      </c>
      <c r="O410" s="25">
        <f t="shared" si="11"/>
        <v>-2.1592176175431965E-2</v>
      </c>
    </row>
    <row r="411" spans="1:15">
      <c r="A411" s="78">
        <v>543.16675798916958</v>
      </c>
      <c r="B411" s="78">
        <v>544.24302640239466</v>
      </c>
      <c r="C411" s="78">
        <v>539.88812550814146</v>
      </c>
      <c r="D411" s="78">
        <v>540.96439392136654</v>
      </c>
      <c r="E411" s="78">
        <v>5325719.2811451089</v>
      </c>
      <c r="F411" s="78" t="s">
        <v>411</v>
      </c>
      <c r="G411" s="25">
        <f t="shared" si="10"/>
        <v>4.0711811951956722E-3</v>
      </c>
      <c r="I411" s="78">
        <v>84.826000000000022</v>
      </c>
      <c r="J411" s="78">
        <v>85.084000000000017</v>
      </c>
      <c r="K411" s="78">
        <v>83.041000000000011</v>
      </c>
      <c r="L411" s="78">
        <v>83.64400000000002</v>
      </c>
      <c r="M411" s="78">
        <v>31813829.999999993</v>
      </c>
      <c r="N411" s="78" t="s">
        <v>411</v>
      </c>
      <c r="O411" s="25">
        <f t="shared" si="11"/>
        <v>1.4131318444837726E-2</v>
      </c>
    </row>
    <row r="412" spans="1:15">
      <c r="A412" s="78">
        <v>533.41058413225016</v>
      </c>
      <c r="B412" s="78">
        <v>536.04784036258229</v>
      </c>
      <c r="C412" s="78">
        <v>529.97738754854493</v>
      </c>
      <c r="D412" s="78">
        <v>535.46346647599421</v>
      </c>
      <c r="E412" s="78">
        <v>8850583.2959053349</v>
      </c>
      <c r="F412" s="78" t="s">
        <v>412</v>
      </c>
      <c r="G412" s="25">
        <f t="shared" si="10"/>
        <v>-3.8338420308196008E-3</v>
      </c>
      <c r="I412" s="78">
        <v>82.840000000000018</v>
      </c>
      <c r="J412" s="78">
        <v>84.489250000000027</v>
      </c>
      <c r="K412" s="78">
        <v>82.351900000000015</v>
      </c>
      <c r="L412" s="78">
        <v>84.320000000000022</v>
      </c>
      <c r="M412" s="78">
        <v>30376499.999999993</v>
      </c>
      <c r="N412" s="78" t="s">
        <v>412</v>
      </c>
      <c r="O412" s="25">
        <f t="shared" si="11"/>
        <v>-1.7552182163187879E-2</v>
      </c>
    </row>
    <row r="413" spans="1:15">
      <c r="A413" s="78">
        <v>532.7329336498492</v>
      </c>
      <c r="B413" s="78">
        <v>533.06179344277905</v>
      </c>
      <c r="C413" s="78">
        <v>527.19214441139434</v>
      </c>
      <c r="D413" s="78">
        <v>527.5708314456773</v>
      </c>
      <c r="E413" s="78">
        <v>5640499.9026304344</v>
      </c>
      <c r="F413" s="78" t="s">
        <v>413</v>
      </c>
      <c r="G413" s="25">
        <f t="shared" si="10"/>
        <v>9.7846618813750563E-3</v>
      </c>
      <c r="I413" s="78">
        <v>84.029000000000011</v>
      </c>
      <c r="J413" s="78">
        <v>84.707000000000022</v>
      </c>
      <c r="K413" s="78">
        <v>82.914000000000016</v>
      </c>
      <c r="L413" s="78">
        <v>83.152500000000018</v>
      </c>
      <c r="M413" s="78">
        <v>30245169.999999993</v>
      </c>
      <c r="N413" s="78" t="s">
        <v>413</v>
      </c>
      <c r="O413" s="25">
        <f t="shared" si="11"/>
        <v>1.054087369592005E-2</v>
      </c>
    </row>
    <row r="414" spans="1:15">
      <c r="A414" s="78">
        <v>532.04531771917766</v>
      </c>
      <c r="B414" s="78">
        <v>536.88852557869029</v>
      </c>
      <c r="C414" s="78">
        <v>530.16184799603388</v>
      </c>
      <c r="D414" s="78">
        <v>536.84866378560787</v>
      </c>
      <c r="E414" s="78">
        <v>7962714.5558606498</v>
      </c>
      <c r="F414" s="78" t="s">
        <v>414</v>
      </c>
      <c r="G414" s="25">
        <f t="shared" si="10"/>
        <v>-8.9473000315568596E-3</v>
      </c>
      <c r="I414" s="78">
        <v>83.76900000000002</v>
      </c>
      <c r="J414" s="78">
        <v>86.64100000000002</v>
      </c>
      <c r="K414" s="78">
        <v>83.440000000000012</v>
      </c>
      <c r="L414" s="78">
        <v>86.640000000000015</v>
      </c>
      <c r="M414" s="78">
        <v>48033119.999999993</v>
      </c>
      <c r="N414" s="78" t="s">
        <v>414</v>
      </c>
      <c r="O414" s="25">
        <f t="shared" si="11"/>
        <v>-3.313711911357331E-2</v>
      </c>
    </row>
    <row r="415" spans="1:15">
      <c r="A415" s="78">
        <v>540.26681254242442</v>
      </c>
      <c r="B415" s="78">
        <v>541.12384109369623</v>
      </c>
      <c r="C415" s="78">
        <v>536.22084054456002</v>
      </c>
      <c r="D415" s="78">
        <v>539.44964578423503</v>
      </c>
      <c r="E415" s="78">
        <v>4331966.6940975003</v>
      </c>
      <c r="F415" s="78" t="s">
        <v>415</v>
      </c>
      <c r="G415" s="25">
        <f t="shared" si="10"/>
        <v>1.5148156358530951E-3</v>
      </c>
      <c r="I415" s="78">
        <v>87.500000000000014</v>
      </c>
      <c r="J415" s="78">
        <v>88.621500000000026</v>
      </c>
      <c r="K415" s="78">
        <v>87.300000000000011</v>
      </c>
      <c r="L415" s="78">
        <v>88.000000000000014</v>
      </c>
      <c r="M415" s="78">
        <v>23479489.999999996</v>
      </c>
      <c r="N415" s="78" t="s">
        <v>415</v>
      </c>
      <c r="O415" s="25">
        <f t="shared" si="11"/>
        <v>-5.6818181818182323E-3</v>
      </c>
    </row>
    <row r="416" spans="1:15">
      <c r="A416" s="78">
        <v>539.53933481867045</v>
      </c>
      <c r="B416" s="78">
        <v>547.70103695229363</v>
      </c>
      <c r="C416" s="78">
        <v>537.69572688860899</v>
      </c>
      <c r="D416" s="78">
        <v>547.42200440071679</v>
      </c>
      <c r="E416" s="78">
        <v>5401899.496965358</v>
      </c>
      <c r="F416" s="78" t="s">
        <v>416</v>
      </c>
      <c r="G416" s="25">
        <f t="shared" si="10"/>
        <v>-1.439962135003281E-2</v>
      </c>
      <c r="I416" s="78">
        <v>87.919000000000025</v>
      </c>
      <c r="J416" s="78">
        <v>88.800000000000011</v>
      </c>
      <c r="K416" s="78">
        <v>86.911000000000016</v>
      </c>
      <c r="L416" s="78">
        <v>87.938000000000017</v>
      </c>
      <c r="M416" s="78">
        <v>26498229.999999996</v>
      </c>
      <c r="N416" s="78" t="s">
        <v>416</v>
      </c>
      <c r="O416" s="25">
        <f t="shared" si="11"/>
        <v>-2.160613159269964E-4</v>
      </c>
    </row>
    <row r="417" spans="1:15">
      <c r="A417" s="78">
        <v>545.67805095336143</v>
      </c>
      <c r="B417" s="78">
        <v>549.52471398581372</v>
      </c>
      <c r="C417" s="78">
        <v>543.93409750600608</v>
      </c>
      <c r="D417" s="78">
        <v>546.38559778057413</v>
      </c>
      <c r="E417" s="78">
        <v>6004180.4819267448</v>
      </c>
      <c r="F417" s="78" t="s">
        <v>417</v>
      </c>
      <c r="G417" s="25">
        <f t="shared" si="10"/>
        <v>-1.2949587801851514E-3</v>
      </c>
      <c r="I417" s="78">
        <v>88.179000000000016</v>
      </c>
      <c r="J417" s="78">
        <v>89.283000000000015</v>
      </c>
      <c r="K417" s="78">
        <v>87.169000000000025</v>
      </c>
      <c r="L417" s="78">
        <v>88.876000000000019</v>
      </c>
      <c r="M417" s="78">
        <v>34576559.999999993</v>
      </c>
      <c r="N417" s="78" t="s">
        <v>417</v>
      </c>
      <c r="O417" s="25">
        <f t="shared" si="11"/>
        <v>-7.8423871461361649E-3</v>
      </c>
    </row>
    <row r="418" spans="1:15">
      <c r="A418" s="78">
        <v>542.51900385158046</v>
      </c>
      <c r="B418" s="78">
        <v>542.99734536856943</v>
      </c>
      <c r="C418" s="78">
        <v>537.33697075086741</v>
      </c>
      <c r="D418" s="78">
        <v>538.32355012965706</v>
      </c>
      <c r="E418" s="78">
        <v>6441920.9509499632</v>
      </c>
      <c r="F418" s="78" t="s">
        <v>418</v>
      </c>
      <c r="G418" s="25">
        <f t="shared" si="10"/>
        <v>7.7935541198466129E-3</v>
      </c>
      <c r="I418" s="78">
        <v>88.105000000000018</v>
      </c>
      <c r="J418" s="78">
        <v>89.883000000000024</v>
      </c>
      <c r="K418" s="78">
        <v>87.989010000000007</v>
      </c>
      <c r="L418" s="78">
        <v>89.313000000000017</v>
      </c>
      <c r="M418" s="78">
        <v>29700189.999999993</v>
      </c>
      <c r="N418" s="78" t="s">
        <v>418</v>
      </c>
      <c r="O418" s="25">
        <f t="shared" si="11"/>
        <v>-1.3525466617401727E-2</v>
      </c>
    </row>
    <row r="419" spans="1:15">
      <c r="A419" s="78">
        <v>535.60298275178263</v>
      </c>
      <c r="B419" s="78">
        <v>541.66187564582594</v>
      </c>
      <c r="C419" s="78">
        <v>531.95064596060683</v>
      </c>
      <c r="D419" s="78">
        <v>540.14722716317715</v>
      </c>
      <c r="E419" s="78">
        <v>7167462.8235950079</v>
      </c>
      <c r="F419" s="78" t="s">
        <v>419</v>
      </c>
      <c r="G419" s="25">
        <f t="shared" si="10"/>
        <v>-8.4129736910075748E-3</v>
      </c>
      <c r="I419" s="78">
        <v>88.673000000000016</v>
      </c>
      <c r="J419" s="78">
        <v>89.858000000000018</v>
      </c>
      <c r="K419" s="78">
        <v>87.700000000000017</v>
      </c>
      <c r="L419" s="78">
        <v>89.550000000000011</v>
      </c>
      <c r="M419" s="78">
        <v>23156849.999999996</v>
      </c>
      <c r="N419" s="78" t="s">
        <v>419</v>
      </c>
      <c r="O419" s="25">
        <f t="shared" si="11"/>
        <v>-9.793411501954119E-3</v>
      </c>
    </row>
    <row r="420" spans="1:15">
      <c r="A420" s="78">
        <v>536.94831826831387</v>
      </c>
      <c r="B420" s="78">
        <v>541.1887161619378</v>
      </c>
      <c r="C420" s="78">
        <v>535.54328971664165</v>
      </c>
      <c r="D420" s="78">
        <v>540.57574143881311</v>
      </c>
      <c r="E420" s="78">
        <v>6061694.2017752314</v>
      </c>
      <c r="F420" s="78" t="s">
        <v>420</v>
      </c>
      <c r="G420" s="25">
        <f t="shared" si="10"/>
        <v>-6.7102958798046508E-3</v>
      </c>
      <c r="I420" s="78">
        <v>89.132000000000019</v>
      </c>
      <c r="J420" s="78">
        <v>90.268000000000015</v>
      </c>
      <c r="K420" s="78">
        <v>88.947000000000017</v>
      </c>
      <c r="L420" s="78">
        <v>90.18</v>
      </c>
      <c r="M420" s="78">
        <v>18758969.999999996</v>
      </c>
      <c r="N420" s="78" t="s">
        <v>420</v>
      </c>
      <c r="O420" s="25">
        <f t="shared" si="11"/>
        <v>-1.1621202040363543E-2</v>
      </c>
    </row>
    <row r="421" spans="1:15">
      <c r="A421" s="78">
        <v>539.12078599130518</v>
      </c>
      <c r="B421" s="78">
        <v>542.21007495519189</v>
      </c>
      <c r="C421" s="78">
        <v>535.54319006215894</v>
      </c>
      <c r="D421" s="78">
        <v>538.69227171566922</v>
      </c>
      <c r="E421" s="78">
        <v>6527643.1359238243</v>
      </c>
      <c r="F421" s="78" t="s">
        <v>421</v>
      </c>
      <c r="G421" s="25">
        <f t="shared" si="10"/>
        <v>7.9547136303115273E-4</v>
      </c>
      <c r="I421" s="78">
        <v>90.043000000000006</v>
      </c>
      <c r="J421" s="78">
        <v>90.822990000000019</v>
      </c>
      <c r="K421" s="78">
        <v>88.971000000000018</v>
      </c>
      <c r="L421" s="78">
        <v>89.451000000000022</v>
      </c>
      <c r="M421" s="78">
        <v>22029699.999999996</v>
      </c>
      <c r="N421" s="78" t="s">
        <v>421</v>
      </c>
      <c r="O421" s="25">
        <f t="shared" si="11"/>
        <v>6.6181484835270421E-3</v>
      </c>
    </row>
    <row r="422" spans="1:15">
      <c r="A422" s="78">
        <v>545.1897439881019</v>
      </c>
      <c r="B422" s="78">
        <v>547.72096784883479</v>
      </c>
      <c r="C422" s="78">
        <v>541.32324971359094</v>
      </c>
      <c r="D422" s="78">
        <v>547.47183164206979</v>
      </c>
      <c r="E422" s="78">
        <v>7101672.5066722762</v>
      </c>
      <c r="F422" s="78" t="s">
        <v>422</v>
      </c>
      <c r="G422" s="25">
        <f t="shared" si="10"/>
        <v>-4.1684110890656267E-3</v>
      </c>
      <c r="I422" s="78">
        <v>90.75500000000001</v>
      </c>
      <c r="J422" s="78">
        <v>91.813000000000017</v>
      </c>
      <c r="K422" s="78">
        <v>89.450000000000017</v>
      </c>
      <c r="L422" s="78">
        <v>91.601000000000013</v>
      </c>
      <c r="M422" s="78">
        <v>32261579.999999993</v>
      </c>
      <c r="N422" s="78" t="s">
        <v>422</v>
      </c>
      <c r="O422" s="25">
        <f t="shared" si="11"/>
        <v>-9.2357070337660829E-3</v>
      </c>
    </row>
    <row r="423" spans="1:15">
      <c r="A423" s="78">
        <v>550.8999458471568</v>
      </c>
      <c r="B423" s="78">
        <v>552.05593784654673</v>
      </c>
      <c r="C423" s="78">
        <v>548.02003095143561</v>
      </c>
      <c r="D423" s="78">
        <v>549.29550867558999</v>
      </c>
      <c r="E423" s="78">
        <v>4511857.2470682478</v>
      </c>
      <c r="F423" s="78" t="s">
        <v>423</v>
      </c>
      <c r="G423" s="25">
        <f t="shared" si="10"/>
        <v>2.9208998548619913E-3</v>
      </c>
      <c r="I423" s="78">
        <v>92.414000000000016</v>
      </c>
      <c r="J423" s="78">
        <v>93.049000000000021</v>
      </c>
      <c r="K423" s="78">
        <v>91.530000000000015</v>
      </c>
      <c r="L423" s="78">
        <v>92.840000000000018</v>
      </c>
      <c r="M423" s="78">
        <v>23424179.999999996</v>
      </c>
      <c r="N423" s="78" t="s">
        <v>423</v>
      </c>
      <c r="O423" s="25">
        <f t="shared" si="11"/>
        <v>-4.5885394226626852E-3</v>
      </c>
    </row>
    <row r="424" spans="1:15">
      <c r="A424" s="78">
        <v>550.90991129542749</v>
      </c>
      <c r="B424" s="78">
        <v>550.98963488159222</v>
      </c>
      <c r="C424" s="78">
        <v>545.64815460854948</v>
      </c>
      <c r="D424" s="78">
        <v>546.16635791862086</v>
      </c>
      <c r="E424" s="78">
        <v>3451174.4044126086</v>
      </c>
      <c r="F424" s="78" t="s">
        <v>424</v>
      </c>
      <c r="G424" s="25">
        <f t="shared" si="10"/>
        <v>8.6851804546947964E-3</v>
      </c>
      <c r="I424" s="78">
        <v>93.212000000000018</v>
      </c>
      <c r="J424" s="78">
        <v>93.585000000000022</v>
      </c>
      <c r="K424" s="78">
        <v>91.170000000000016</v>
      </c>
      <c r="L424" s="78">
        <v>91.500000000000014</v>
      </c>
      <c r="M424" s="78">
        <v>23202929.999999996</v>
      </c>
      <c r="N424" s="78" t="s">
        <v>424</v>
      </c>
      <c r="O424" s="25">
        <f t="shared" si="11"/>
        <v>1.8710382513661195E-2</v>
      </c>
    </row>
    <row r="425" spans="1:15">
      <c r="A425" s="78">
        <v>545.29936391907859</v>
      </c>
      <c r="B425" s="78">
        <v>545.46877653967874</v>
      </c>
      <c r="C425" s="78">
        <v>538.45310095717491</v>
      </c>
      <c r="D425" s="78">
        <v>541.43276999008481</v>
      </c>
      <c r="E425" s="78">
        <v>7087844.7293101177</v>
      </c>
      <c r="F425" s="78" t="s">
        <v>425</v>
      </c>
      <c r="G425" s="25">
        <f t="shared" si="10"/>
        <v>7.1414109808398685E-3</v>
      </c>
      <c r="I425" s="78">
        <v>91.145000000000024</v>
      </c>
      <c r="J425" s="78">
        <v>91.500000000000014</v>
      </c>
      <c r="K425" s="78">
        <v>89.910010000000014</v>
      </c>
      <c r="L425" s="78">
        <v>91.342000000000013</v>
      </c>
      <c r="M425" s="78">
        <v>23393749.999999996</v>
      </c>
      <c r="N425" s="78" t="s">
        <v>425</v>
      </c>
      <c r="O425" s="25">
        <f t="shared" si="11"/>
        <v>-2.1567296533904212E-3</v>
      </c>
    </row>
    <row r="426" spans="1:15">
      <c r="A426" s="78">
        <v>541.42429935905466</v>
      </c>
      <c r="B426" s="78">
        <v>545.89444714108117</v>
      </c>
      <c r="C426" s="78">
        <v>532.29526422198273</v>
      </c>
      <c r="D426" s="78">
        <v>533.05022251405831</v>
      </c>
      <c r="E426" s="78">
        <v>9452116.6995613053</v>
      </c>
      <c r="F426" s="78" t="s">
        <v>426</v>
      </c>
      <c r="G426" s="25">
        <f t="shared" si="10"/>
        <v>1.5709733325879105E-2</v>
      </c>
      <c r="I426" s="78">
        <v>90.905000000000015</v>
      </c>
      <c r="J426" s="78">
        <v>91.992380000000026</v>
      </c>
      <c r="K426" s="78">
        <v>89.048720000000017</v>
      </c>
      <c r="L426" s="78">
        <v>89.321000000000026</v>
      </c>
      <c r="M426" s="78">
        <v>45305189.999999993</v>
      </c>
      <c r="N426" s="78" t="s">
        <v>426</v>
      </c>
      <c r="O426" s="25">
        <f t="shared" si="11"/>
        <v>1.7733791605557325E-2</v>
      </c>
    </row>
    <row r="427" spans="1:15">
      <c r="A427" s="78">
        <v>535.36476569897434</v>
      </c>
      <c r="B427" s="78">
        <v>541.48390132948168</v>
      </c>
      <c r="C427" s="78">
        <v>535.07668950857703</v>
      </c>
      <c r="D427" s="78">
        <v>540.08325502444677</v>
      </c>
      <c r="E427" s="78">
        <v>16904264.956033021</v>
      </c>
      <c r="F427" s="78" t="s">
        <v>427</v>
      </c>
      <c r="G427" s="25">
        <f t="shared" si="10"/>
        <v>-8.7365962221117588E-3</v>
      </c>
      <c r="I427" s="78">
        <v>90.204000000000008</v>
      </c>
      <c r="J427" s="78">
        <v>91.26215000000002</v>
      </c>
      <c r="K427" s="78">
        <v>89.90000000000002</v>
      </c>
      <c r="L427" s="78">
        <v>90.818000000000012</v>
      </c>
      <c r="M427" s="78">
        <v>28155119.999999996</v>
      </c>
      <c r="N427" s="78" t="s">
        <v>427</v>
      </c>
      <c r="O427" s="25">
        <f t="shared" si="11"/>
        <v>-6.7607742958444295E-3</v>
      </c>
    </row>
    <row r="428" spans="1:15">
      <c r="A428" s="78">
        <v>535.56343893373094</v>
      </c>
      <c r="B428" s="78">
        <v>553.83144286961283</v>
      </c>
      <c r="C428" s="78">
        <v>534.95748556772298</v>
      </c>
      <c r="D428" s="78">
        <v>551.61623630207521</v>
      </c>
      <c r="E428" s="78">
        <v>24749111.303395186</v>
      </c>
      <c r="F428" s="78" t="s">
        <v>428</v>
      </c>
      <c r="G428" s="25">
        <f t="shared" si="10"/>
        <v>-2.9101386637853555E-2</v>
      </c>
      <c r="I428" s="78">
        <v>88.955000000000013</v>
      </c>
      <c r="J428" s="78">
        <v>92.244000000000028</v>
      </c>
      <c r="K428" s="78">
        <v>88.656000000000006</v>
      </c>
      <c r="L428" s="78">
        <v>91.913000000000011</v>
      </c>
      <c r="M428" s="78">
        <v>29381939.999999993</v>
      </c>
      <c r="N428" s="78" t="s">
        <v>428</v>
      </c>
      <c r="O428" s="25">
        <f t="shared" si="11"/>
        <v>-3.218260746575563E-2</v>
      </c>
    </row>
    <row r="429" spans="1:15">
      <c r="A429" s="78">
        <v>551.76524122814283</v>
      </c>
      <c r="B429" s="78">
        <v>552.69403860063051</v>
      </c>
      <c r="C429" s="78">
        <v>550.61293646655361</v>
      </c>
      <c r="D429" s="78">
        <v>551.78510855161846</v>
      </c>
      <c r="E429" s="78">
        <v>6151689.2373373276</v>
      </c>
      <c r="F429" s="78" t="s">
        <v>429</v>
      </c>
      <c r="G429" s="25">
        <f t="shared" si="10"/>
        <v>-3.6005544853834337E-5</v>
      </c>
      <c r="I429" s="78">
        <v>91.913000000000011</v>
      </c>
      <c r="J429" s="78">
        <v>92.845000000000027</v>
      </c>
      <c r="K429" s="78">
        <v>91.64200000000001</v>
      </c>
      <c r="L429" s="78">
        <v>92.154000000000011</v>
      </c>
      <c r="M429" s="78">
        <v>24594559.999999996</v>
      </c>
      <c r="N429" s="78" t="s">
        <v>429</v>
      </c>
      <c r="O429" s="25">
        <f t="shared" si="11"/>
        <v>-2.6151876207218816E-3</v>
      </c>
    </row>
    <row r="430" spans="1:15">
      <c r="A430" s="78">
        <v>554.08971807479656</v>
      </c>
      <c r="B430" s="78">
        <v>555.09132918782268</v>
      </c>
      <c r="C430" s="78">
        <v>552.72383958584396</v>
      </c>
      <c r="D430" s="78">
        <v>553.43409640009929</v>
      </c>
      <c r="E430" s="78">
        <v>22999352.708959177</v>
      </c>
      <c r="F430" s="78" t="s">
        <v>430</v>
      </c>
      <c r="G430" s="25">
        <f t="shared" si="10"/>
        <v>1.1846427225243872E-3</v>
      </c>
      <c r="I430" s="78">
        <v>92.108000000000018</v>
      </c>
      <c r="J430" s="78">
        <v>92.89400000000002</v>
      </c>
      <c r="K430" s="78">
        <v>91.950000000000017</v>
      </c>
      <c r="L430" s="78">
        <v>92.39400000000002</v>
      </c>
      <c r="M430" s="78">
        <v>26748919.999999996</v>
      </c>
      <c r="N430" s="78" t="s">
        <v>430</v>
      </c>
      <c r="O430" s="25">
        <f t="shared" si="11"/>
        <v>-3.0954390977768753E-3</v>
      </c>
    </row>
    <row r="431" spans="1:15">
      <c r="A431" s="78">
        <v>551.92417981594815</v>
      </c>
      <c r="B431" s="78">
        <v>554.45726355909653</v>
      </c>
      <c r="C431" s="78">
        <v>550.5279043220778</v>
      </c>
      <c r="D431" s="78">
        <v>553.81157554613708</v>
      </c>
      <c r="E431" s="78">
        <v>4698028.9073304981</v>
      </c>
      <c r="F431" s="78" t="s">
        <v>431</v>
      </c>
      <c r="G431" s="25">
        <f t="shared" si="10"/>
        <v>-3.4080106186434866E-3</v>
      </c>
      <c r="I431" s="78">
        <v>91.887000000000015</v>
      </c>
      <c r="J431" s="78">
        <v>92.555000000000007</v>
      </c>
      <c r="K431" s="78">
        <v>90.961000000000013</v>
      </c>
      <c r="L431" s="78">
        <v>91.681000000000012</v>
      </c>
      <c r="M431" s="78">
        <v>24858289.999999996</v>
      </c>
      <c r="N431" s="78" t="s">
        <v>431</v>
      </c>
      <c r="O431" s="25">
        <f t="shared" si="11"/>
        <v>2.2469213904734442E-3</v>
      </c>
    </row>
    <row r="432" spans="1:15">
      <c r="A432" s="78">
        <v>551.96391446289942</v>
      </c>
      <c r="B432" s="78">
        <v>554.49699820604792</v>
      </c>
      <c r="C432" s="78">
        <v>551.93411347768597</v>
      </c>
      <c r="D432" s="78">
        <v>553.97051413394252</v>
      </c>
      <c r="E432" s="78">
        <v>4075639.0813863762</v>
      </c>
      <c r="F432" s="78" t="s">
        <v>432</v>
      </c>
      <c r="G432" s="25">
        <f t="shared" si="10"/>
        <v>-3.6222138540715765E-3</v>
      </c>
      <c r="I432" s="78">
        <v>92.555000000000007</v>
      </c>
      <c r="J432" s="78">
        <v>93.408860000000018</v>
      </c>
      <c r="K432" s="78">
        <v>92.260000000000019</v>
      </c>
      <c r="L432" s="78">
        <v>93.335000000000022</v>
      </c>
      <c r="M432" s="78">
        <v>24861969.999999996</v>
      </c>
      <c r="N432" s="78" t="s">
        <v>432</v>
      </c>
      <c r="O432" s="25">
        <f t="shared" si="11"/>
        <v>-8.3569936251139953E-3</v>
      </c>
    </row>
    <row r="433" spans="1:15">
      <c r="A433" s="78">
        <v>554.8248090433965</v>
      </c>
      <c r="B433" s="78">
        <v>555.67910395285048</v>
      </c>
      <c r="C433" s="78">
        <v>552.96721429842103</v>
      </c>
      <c r="D433" s="78">
        <v>553.22548950360476</v>
      </c>
      <c r="E433" s="78">
        <v>3537886.7257114095</v>
      </c>
      <c r="F433" s="78" t="s">
        <v>433</v>
      </c>
      <c r="G433" s="25">
        <f t="shared" si="10"/>
        <v>2.8908999497234689E-3</v>
      </c>
      <c r="I433" s="78">
        <v>93.656000000000006</v>
      </c>
      <c r="J433" s="78">
        <v>94.175000000000011</v>
      </c>
      <c r="K433" s="78">
        <v>92.308000000000021</v>
      </c>
      <c r="L433" s="78">
        <v>92.471000000000018</v>
      </c>
      <c r="M433" s="78">
        <v>35016909.999999993</v>
      </c>
      <c r="N433" s="78" t="s">
        <v>433</v>
      </c>
      <c r="O433" s="25">
        <f t="shared" si="11"/>
        <v>1.2814828432697656E-2</v>
      </c>
    </row>
    <row r="434" spans="1:15">
      <c r="A434" s="78">
        <v>550.65267111350511</v>
      </c>
      <c r="B434" s="78">
        <v>553.18575485665338</v>
      </c>
      <c r="C434" s="78">
        <v>549.89771282142954</v>
      </c>
      <c r="D434" s="78">
        <v>552.88774500451837</v>
      </c>
      <c r="E434" s="78">
        <v>4137560.8597027324</v>
      </c>
      <c r="F434" s="78" t="s">
        <v>434</v>
      </c>
      <c r="G434" s="25">
        <f t="shared" si="10"/>
        <v>-4.0425455460131321E-3</v>
      </c>
      <c r="I434" s="78">
        <v>91.335000000000022</v>
      </c>
      <c r="J434" s="78">
        <v>92.288000000000011</v>
      </c>
      <c r="K434" s="78">
        <v>90.958000000000027</v>
      </c>
      <c r="L434" s="78">
        <v>91.376000000000019</v>
      </c>
      <c r="M434" s="78">
        <v>23885749.999999996</v>
      </c>
      <c r="N434" s="78" t="s">
        <v>434</v>
      </c>
      <c r="O434" s="25">
        <f t="shared" si="11"/>
        <v>-4.4869549991244373E-4</v>
      </c>
    </row>
    <row r="435" spans="1:15">
      <c r="A435" s="78">
        <v>552.22218966808327</v>
      </c>
      <c r="B435" s="78">
        <v>555.15758671161404</v>
      </c>
      <c r="C435" s="78">
        <v>551.69570559597787</v>
      </c>
      <c r="D435" s="78">
        <v>555.00361495467757</v>
      </c>
      <c r="E435" s="78">
        <v>4441741.7428196585</v>
      </c>
      <c r="F435" s="78" t="s">
        <v>435</v>
      </c>
      <c r="G435" s="25">
        <f t="shared" si="10"/>
        <v>-5.0115444506094731E-3</v>
      </c>
      <c r="I435" s="78">
        <v>91.369000000000028</v>
      </c>
      <c r="J435" s="78">
        <v>93.029990000000012</v>
      </c>
      <c r="K435" s="78">
        <v>90.259000000000015</v>
      </c>
      <c r="L435" s="78">
        <v>92.800000000000011</v>
      </c>
      <c r="M435" s="78">
        <v>33500819.999999993</v>
      </c>
      <c r="N435" s="78" t="s">
        <v>435</v>
      </c>
      <c r="O435" s="25">
        <f t="shared" si="11"/>
        <v>-1.542025862068952E-2</v>
      </c>
    </row>
    <row r="436" spans="1:15">
      <c r="A436" s="78">
        <v>555.1128852337938</v>
      </c>
      <c r="B436" s="78">
        <v>556.24532267190716</v>
      </c>
      <c r="C436" s="78">
        <v>554.37779426519387</v>
      </c>
      <c r="D436" s="78">
        <v>554.76520707296947</v>
      </c>
      <c r="E436" s="78">
        <v>5169171.3846481517</v>
      </c>
      <c r="F436" s="78" t="s">
        <v>436</v>
      </c>
      <c r="G436" s="25">
        <f t="shared" si="10"/>
        <v>6.2671226744503983E-4</v>
      </c>
      <c r="I436" s="78">
        <v>93.474000000000018</v>
      </c>
      <c r="J436" s="78">
        <v>93.527000000000015</v>
      </c>
      <c r="K436" s="78">
        <v>91.271000000000015</v>
      </c>
      <c r="L436" s="78">
        <v>91.523000000000025</v>
      </c>
      <c r="M436" s="78">
        <v>29553829.999999993</v>
      </c>
      <c r="N436" s="78" t="s">
        <v>436</v>
      </c>
      <c r="O436" s="25">
        <f t="shared" si="11"/>
        <v>2.1317045988439975E-2</v>
      </c>
    </row>
    <row r="437" spans="1:15">
      <c r="A437" s="78">
        <v>554.0102487808939</v>
      </c>
      <c r="B437" s="78">
        <v>555.69897127632612</v>
      </c>
      <c r="C437" s="78">
        <v>553.76190723744799</v>
      </c>
      <c r="D437" s="78">
        <v>554.9241456607748</v>
      </c>
      <c r="E437" s="78">
        <v>3041739.3703784416</v>
      </c>
      <c r="F437" s="78" t="s">
        <v>437</v>
      </c>
      <c r="G437" s="25">
        <f t="shared" si="10"/>
        <v>-1.6468861321445871E-3</v>
      </c>
      <c r="I437" s="78">
        <v>91.78700000000002</v>
      </c>
      <c r="J437" s="78">
        <v>92.700000000000017</v>
      </c>
      <c r="K437" s="78">
        <v>91.11075000000001</v>
      </c>
      <c r="L437" s="78">
        <v>91.785000000000025</v>
      </c>
      <c r="M437" s="78">
        <v>28353069.999999996</v>
      </c>
      <c r="N437" s="78" t="s">
        <v>437</v>
      </c>
      <c r="O437" s="25">
        <f t="shared" si="11"/>
        <v>2.1790052840753305E-5</v>
      </c>
    </row>
    <row r="438" spans="1:15">
      <c r="A438" s="78">
        <v>554.93407932251262</v>
      </c>
      <c r="B438" s="78">
        <v>555.17248720422072</v>
      </c>
      <c r="C438" s="78">
        <v>552.48145823944083</v>
      </c>
      <c r="D438" s="78">
        <v>553.13608654796428</v>
      </c>
      <c r="E438" s="78">
        <v>5526986.0650556246</v>
      </c>
      <c r="F438" s="78" t="s">
        <v>438</v>
      </c>
      <c r="G438" s="25">
        <f t="shared" si="10"/>
        <v>3.2505432537757173E-3</v>
      </c>
      <c r="I438" s="78">
        <v>91.106000000000009</v>
      </c>
      <c r="J438" s="78">
        <v>91.596990000000019</v>
      </c>
      <c r="K438" s="78">
        <v>89.805000000000007</v>
      </c>
      <c r="L438" s="78">
        <v>89.805000000000007</v>
      </c>
      <c r="M438" s="78">
        <v>26896289.999999996</v>
      </c>
      <c r="N438" s="78" t="s">
        <v>438</v>
      </c>
      <c r="O438" s="25">
        <f t="shared" si="11"/>
        <v>1.4486943934079344E-2</v>
      </c>
    </row>
    <row r="439" spans="1:15">
      <c r="A439" s="78">
        <v>551.45729771426977</v>
      </c>
      <c r="B439" s="78">
        <v>551.74547324128446</v>
      </c>
      <c r="C439" s="78">
        <v>550.11625337966177</v>
      </c>
      <c r="D439" s="78">
        <v>551.11955321518337</v>
      </c>
      <c r="E439" s="78">
        <v>4230973.5432115309</v>
      </c>
      <c r="F439" s="78" t="s">
        <v>439</v>
      </c>
      <c r="G439" s="25">
        <f t="shared" si="10"/>
        <v>6.1283345349671947E-4</v>
      </c>
      <c r="I439" s="78">
        <v>90.217000000000013</v>
      </c>
      <c r="J439" s="78">
        <v>90.26900000000002</v>
      </c>
      <c r="K439" s="78">
        <v>88.802500000000009</v>
      </c>
      <c r="L439" s="78">
        <v>89.436000000000021</v>
      </c>
      <c r="M439" s="78">
        <v>24016339.999999996</v>
      </c>
      <c r="N439" s="78" t="s">
        <v>439</v>
      </c>
      <c r="O439" s="25">
        <f t="shared" si="11"/>
        <v>8.7325014535533096E-3</v>
      </c>
    </row>
    <row r="440" spans="1:15">
      <c r="A440" s="78">
        <v>551.3281601116779</v>
      </c>
      <c r="B440" s="78">
        <v>551.88444516899688</v>
      </c>
      <c r="C440" s="78">
        <v>550.21558999704018</v>
      </c>
      <c r="D440" s="78">
        <v>550.68247209871856</v>
      </c>
      <c r="E440" s="78">
        <v>5477346.7665760098</v>
      </c>
      <c r="F440" s="78" t="s">
        <v>440</v>
      </c>
      <c r="G440" s="25">
        <f t="shared" si="10"/>
        <v>1.1725232700772192E-3</v>
      </c>
      <c r="I440" s="78">
        <v>89.774000000000015</v>
      </c>
      <c r="J440" s="78">
        <v>90.234000000000023</v>
      </c>
      <c r="K440" s="78">
        <v>88.41200000000002</v>
      </c>
      <c r="L440" s="78">
        <v>88.751000000000019</v>
      </c>
      <c r="M440" s="78">
        <v>23889659.999999996</v>
      </c>
      <c r="N440" s="78" t="s">
        <v>440</v>
      </c>
      <c r="O440" s="25">
        <f t="shared" si="11"/>
        <v>1.1526630685851469E-2</v>
      </c>
    </row>
    <row r="441" spans="1:15">
      <c r="A441" s="78">
        <v>549.77850888057549</v>
      </c>
      <c r="B441" s="78">
        <v>551.02021659780507</v>
      </c>
      <c r="C441" s="78">
        <v>547.41429738697036</v>
      </c>
      <c r="D441" s="78">
        <v>547.6328379452026</v>
      </c>
      <c r="E441" s="78">
        <v>4015364.2284870273</v>
      </c>
      <c r="F441" s="78" t="s">
        <v>441</v>
      </c>
      <c r="G441" s="25">
        <f t="shared" si="10"/>
        <v>3.9180830415936896E-3</v>
      </c>
      <c r="I441" s="78">
        <v>88.681000000000012</v>
      </c>
      <c r="J441" s="78">
        <v>89.241000000000014</v>
      </c>
      <c r="K441" s="78">
        <v>87.668000000000006</v>
      </c>
      <c r="L441" s="78">
        <v>88.217000000000013</v>
      </c>
      <c r="M441" s="78">
        <v>20272369.999999996</v>
      </c>
      <c r="N441" s="78" t="s">
        <v>441</v>
      </c>
      <c r="O441" s="25">
        <f t="shared" si="11"/>
        <v>5.2597571896573214E-3</v>
      </c>
    </row>
    <row r="442" spans="1:15">
      <c r="A442" s="78">
        <v>546.89774697660266</v>
      </c>
      <c r="B442" s="78">
        <v>548.71560707462686</v>
      </c>
      <c r="C442" s="78">
        <v>545.46729968635429</v>
      </c>
      <c r="D442" s="78">
        <v>548.37786257554035</v>
      </c>
      <c r="E442" s="78">
        <v>3334338.4216355425</v>
      </c>
      <c r="F442" s="78" t="s">
        <v>442</v>
      </c>
      <c r="G442" s="25">
        <f t="shared" si="10"/>
        <v>-2.6990797768278174E-3</v>
      </c>
      <c r="I442" s="78">
        <v>87.734000000000023</v>
      </c>
      <c r="J442" s="78">
        <v>88.095000000000027</v>
      </c>
      <c r="K442" s="78">
        <v>85.89100000000002</v>
      </c>
      <c r="L442" s="78">
        <v>87.206000000000017</v>
      </c>
      <c r="M442" s="78">
        <v>25782219.999999996</v>
      </c>
      <c r="N442" s="78" t="s">
        <v>442</v>
      </c>
      <c r="O442" s="25">
        <f t="shared" si="11"/>
        <v>6.0546292686283198E-3</v>
      </c>
    </row>
    <row r="443" spans="1:15">
      <c r="A443" s="78">
        <v>548.64607144246202</v>
      </c>
      <c r="B443" s="78">
        <v>549.15258885447429</v>
      </c>
      <c r="C443" s="78">
        <v>546.20239065495423</v>
      </c>
      <c r="D443" s="78">
        <v>546.84807866791357</v>
      </c>
      <c r="E443" s="78">
        <v>4468215.3642233675</v>
      </c>
      <c r="F443" s="78" t="s">
        <v>443</v>
      </c>
      <c r="G443" s="25">
        <f t="shared" ref="G443:G506" si="12">A443/D443-1</f>
        <v>3.2879200726612101E-3</v>
      </c>
      <c r="I443" s="78">
        <v>87.260000000000019</v>
      </c>
      <c r="J443" s="78">
        <v>88.636000000000024</v>
      </c>
      <c r="K443" s="78">
        <v>86.725010000000012</v>
      </c>
      <c r="L443" s="78">
        <v>86.749000000000024</v>
      </c>
      <c r="M443" s="78">
        <v>31382589.999999993</v>
      </c>
      <c r="N443" s="78" t="s">
        <v>443</v>
      </c>
      <c r="O443" s="25">
        <f t="shared" ref="O443:O506" si="13">I443/L443-1</f>
        <v>5.8905578162282701E-3</v>
      </c>
    </row>
    <row r="444" spans="1:15">
      <c r="A444" s="78">
        <v>545.58650362720834</v>
      </c>
      <c r="B444" s="78">
        <v>548.71560707462686</v>
      </c>
      <c r="C444" s="78">
        <v>543.56987095781005</v>
      </c>
      <c r="D444" s="78">
        <v>547.54343498956223</v>
      </c>
      <c r="E444" s="78">
        <v>4333750.3466647081</v>
      </c>
      <c r="F444" s="78" t="s">
        <v>444</v>
      </c>
      <c r="G444" s="25">
        <f t="shared" si="12"/>
        <v>-3.5740203193034281E-3</v>
      </c>
      <c r="I444" s="78">
        <v>86.559000000000026</v>
      </c>
      <c r="J444" s="78">
        <v>90.205000000000013</v>
      </c>
      <c r="K444" s="78">
        <v>86.422000000000025</v>
      </c>
      <c r="L444" s="78">
        <v>90.205000000000013</v>
      </c>
      <c r="M444" s="78">
        <v>60142029.999999985</v>
      </c>
      <c r="N444" s="78" t="s">
        <v>444</v>
      </c>
      <c r="O444" s="25">
        <f t="shared" si="13"/>
        <v>-4.041904550745512E-2</v>
      </c>
    </row>
    <row r="445" spans="1:15">
      <c r="A445" s="78">
        <v>543.8381791613491</v>
      </c>
      <c r="B445" s="78">
        <v>544.41393419567407</v>
      </c>
      <c r="C445" s="78">
        <v>541.75211019640335</v>
      </c>
      <c r="D445" s="78">
        <v>542.19912497460598</v>
      </c>
      <c r="E445" s="78">
        <v>5611815.81084718</v>
      </c>
      <c r="F445" s="78" t="s">
        <v>445</v>
      </c>
      <c r="G445" s="25">
        <f t="shared" si="12"/>
        <v>3.0229746070133956E-3</v>
      </c>
      <c r="I445" s="78">
        <v>89.779000000000011</v>
      </c>
      <c r="J445" s="78">
        <v>90.600000000000023</v>
      </c>
      <c r="K445" s="78">
        <v>89.300000000000011</v>
      </c>
      <c r="L445" s="78">
        <v>89.600000000000023</v>
      </c>
      <c r="M445" s="78">
        <v>32140199.999999993</v>
      </c>
      <c r="N445" s="78" t="s">
        <v>445</v>
      </c>
      <c r="O445" s="25">
        <f t="shared" si="13"/>
        <v>1.9977678571427848E-3</v>
      </c>
    </row>
    <row r="446" spans="1:15">
      <c r="A446" s="78">
        <v>542.02031906332491</v>
      </c>
      <c r="B446" s="78">
        <v>543.44083269183557</v>
      </c>
      <c r="C446" s="78">
        <v>536.45746849013631</v>
      </c>
      <c r="D446" s="78">
        <v>541.96071709289788</v>
      </c>
      <c r="E446" s="78">
        <v>4560875.0524926046</v>
      </c>
      <c r="F446" s="78" t="s">
        <v>446</v>
      </c>
      <c r="G446" s="25">
        <f t="shared" si="12"/>
        <v>1.0997470581775026E-4</v>
      </c>
      <c r="I446" s="78">
        <v>89.748000000000019</v>
      </c>
      <c r="J446" s="78">
        <v>90.800000000000011</v>
      </c>
      <c r="K446" s="78">
        <v>87.724000000000018</v>
      </c>
      <c r="L446" s="78">
        <v>88.393000000000015</v>
      </c>
      <c r="M446" s="78">
        <v>45112629.999999993</v>
      </c>
      <c r="N446" s="78" t="s">
        <v>446</v>
      </c>
      <c r="O446" s="25">
        <f t="shared" si="13"/>
        <v>1.5329268154718134E-2</v>
      </c>
    </row>
    <row r="447" spans="1:15">
      <c r="A447" s="78">
        <v>539.29849574715763</v>
      </c>
      <c r="B447" s="78">
        <v>539.46736799670089</v>
      </c>
      <c r="C447" s="78">
        <v>533.87471643829883</v>
      </c>
      <c r="D447" s="78">
        <v>539.17929180630358</v>
      </c>
      <c r="E447" s="78">
        <v>3975432.327193358</v>
      </c>
      <c r="F447" s="78" t="s">
        <v>447</v>
      </c>
      <c r="G447" s="25">
        <f t="shared" si="12"/>
        <v>2.2108404878595778E-4</v>
      </c>
      <c r="I447" s="78">
        <v>88.385000000000019</v>
      </c>
      <c r="J447" s="78">
        <v>89.060000000000016</v>
      </c>
      <c r="K447" s="78">
        <v>86.840000000000018</v>
      </c>
      <c r="L447" s="78">
        <v>87.998000000000019</v>
      </c>
      <c r="M447" s="78">
        <v>40938429.999999993</v>
      </c>
      <c r="N447" s="78" t="s">
        <v>447</v>
      </c>
      <c r="O447" s="25">
        <f t="shared" si="13"/>
        <v>4.3978272233460292E-3</v>
      </c>
    </row>
    <row r="448" spans="1:15">
      <c r="A448" s="78">
        <v>539.09982251240092</v>
      </c>
      <c r="B448" s="78">
        <v>539.76537784883601</v>
      </c>
      <c r="C448" s="78">
        <v>533.3382987044555</v>
      </c>
      <c r="D448" s="78">
        <v>533.93431840872574</v>
      </c>
      <c r="E448" s="78">
        <v>7024975.4664181583</v>
      </c>
      <c r="F448" s="78" t="s">
        <v>448</v>
      </c>
      <c r="G448" s="25">
        <f t="shared" si="12"/>
        <v>9.674418604651347E-3</v>
      </c>
      <c r="I448" s="78">
        <v>87.132000000000019</v>
      </c>
      <c r="J448" s="78">
        <v>87.449000000000012</v>
      </c>
      <c r="K448" s="78">
        <v>83.916000000000011</v>
      </c>
      <c r="L448" s="78">
        <v>83.975000000000023</v>
      </c>
      <c r="M448" s="78">
        <v>38142269.999999993</v>
      </c>
      <c r="N448" s="78" t="s">
        <v>448</v>
      </c>
      <c r="O448" s="25">
        <f t="shared" si="13"/>
        <v>3.7594522179219991E-2</v>
      </c>
    </row>
    <row r="449" spans="1:15">
      <c r="A449" s="78">
        <v>537.14289115004703</v>
      </c>
      <c r="B449" s="78">
        <v>538.33493055858742</v>
      </c>
      <c r="C449" s="78">
        <v>534.57503959081623</v>
      </c>
      <c r="D449" s="78">
        <v>535.34489837549859</v>
      </c>
      <c r="E449" s="78">
        <v>4534325.9302293137</v>
      </c>
      <c r="F449" s="78" t="s">
        <v>449</v>
      </c>
      <c r="G449" s="25">
        <f t="shared" si="12"/>
        <v>3.3585689898314453E-3</v>
      </c>
      <c r="I449" s="78">
        <v>84.705000000000013</v>
      </c>
      <c r="J449" s="78">
        <v>84.845000000000027</v>
      </c>
      <c r="K449" s="78">
        <v>80.933010000000024</v>
      </c>
      <c r="L449" s="78">
        <v>81.550000000000011</v>
      </c>
      <c r="M449" s="78">
        <v>40840809.999999993</v>
      </c>
      <c r="N449" s="78" t="s">
        <v>449</v>
      </c>
      <c r="O449" s="25">
        <f t="shared" si="13"/>
        <v>3.868792152053957E-2</v>
      </c>
    </row>
    <row r="450" spans="1:15">
      <c r="A450" s="78">
        <v>534.92768458250941</v>
      </c>
      <c r="B450" s="78">
        <v>538.97068490980905</v>
      </c>
      <c r="C450" s="78">
        <v>533.18929377838799</v>
      </c>
      <c r="D450" s="78">
        <v>538.53360379334424</v>
      </c>
      <c r="E450" s="78">
        <v>7409265.7815855956</v>
      </c>
      <c r="F450" s="78" t="s">
        <v>450</v>
      </c>
      <c r="G450" s="25">
        <f t="shared" si="12"/>
        <v>-6.6958109678492139E-3</v>
      </c>
      <c r="I450" s="78">
        <v>82.396000000000015</v>
      </c>
      <c r="J450" s="78">
        <v>83.204000000000008</v>
      </c>
      <c r="K450" s="78">
        <v>81.649000000000015</v>
      </c>
      <c r="L450" s="78">
        <v>83.204000000000008</v>
      </c>
      <c r="M450" s="78">
        <v>36737199.999999993</v>
      </c>
      <c r="N450" s="78" t="s">
        <v>450</v>
      </c>
      <c r="O450" s="25">
        <f t="shared" si="13"/>
        <v>-9.7110715830969196E-3</v>
      </c>
    </row>
    <row r="451" spans="1:15">
      <c r="A451" s="78">
        <v>541.92098244594649</v>
      </c>
      <c r="B451" s="78">
        <v>545.92424812629474</v>
      </c>
      <c r="C451" s="78">
        <v>541.26536077124933</v>
      </c>
      <c r="D451" s="78">
        <v>545.45736602461648</v>
      </c>
      <c r="E451" s="78">
        <v>3966595.7065879218</v>
      </c>
      <c r="F451" s="78" t="s">
        <v>451</v>
      </c>
      <c r="G451" s="25">
        <f t="shared" si="12"/>
        <v>-6.4833363686033207E-3</v>
      </c>
      <c r="I451" s="78">
        <v>83.726000000000013</v>
      </c>
      <c r="J451" s="78">
        <v>84.099970000000013</v>
      </c>
      <c r="K451" s="78">
        <v>83.00200000000001</v>
      </c>
      <c r="L451" s="78">
        <v>83.367000000000019</v>
      </c>
      <c r="M451" s="78">
        <v>30382309.999999993</v>
      </c>
      <c r="N451" s="78" t="s">
        <v>451</v>
      </c>
      <c r="O451" s="25">
        <f t="shared" si="13"/>
        <v>4.3062602708505704E-3</v>
      </c>
    </row>
    <row r="452" spans="1:15">
      <c r="A452" s="78">
        <v>545.38783039245152</v>
      </c>
      <c r="B452" s="78">
        <v>547.22555781395135</v>
      </c>
      <c r="C452" s="78">
        <v>543.34149607445727</v>
      </c>
      <c r="D452" s="78">
        <v>545.51696799504339</v>
      </c>
      <c r="E452" s="78">
        <v>3726289.5573551976</v>
      </c>
      <c r="F452" s="78" t="s">
        <v>452</v>
      </c>
      <c r="G452" s="25">
        <f t="shared" si="12"/>
        <v>-2.3672518027528788E-4</v>
      </c>
      <c r="I452" s="78">
        <v>83.047000000000025</v>
      </c>
      <c r="J452" s="78">
        <v>83.698990000000023</v>
      </c>
      <c r="K452" s="78">
        <v>82.053680000000014</v>
      </c>
      <c r="L452" s="78">
        <v>82.261500000000012</v>
      </c>
      <c r="M452" s="78">
        <v>27677719.999999996</v>
      </c>
      <c r="N452" s="78" t="s">
        <v>452</v>
      </c>
      <c r="O452" s="25">
        <f t="shared" si="13"/>
        <v>9.5488168827460029E-3</v>
      </c>
    </row>
    <row r="453" spans="1:15">
      <c r="A453" s="78">
        <v>545.10968786379215</v>
      </c>
      <c r="B453" s="78">
        <v>547.28515978437838</v>
      </c>
      <c r="C453" s="78">
        <v>542.80507834061393</v>
      </c>
      <c r="D453" s="78">
        <v>546.73880838879734</v>
      </c>
      <c r="E453" s="78">
        <v>4850792.3132173652</v>
      </c>
      <c r="F453" s="78" t="s">
        <v>453</v>
      </c>
      <c r="G453" s="25">
        <f t="shared" si="12"/>
        <v>-2.9797052998782325E-3</v>
      </c>
      <c r="I453" s="78">
        <v>81.950000000000017</v>
      </c>
      <c r="J453" s="78">
        <v>82.036970000000011</v>
      </c>
      <c r="K453" s="78">
        <v>80.375000000000014</v>
      </c>
      <c r="L453" s="78">
        <v>80.750000000000014</v>
      </c>
      <c r="M453" s="78">
        <v>28140639.999999996</v>
      </c>
      <c r="N453" s="78" t="s">
        <v>453</v>
      </c>
      <c r="O453" s="25">
        <f t="shared" si="13"/>
        <v>1.4860681114551078E-2</v>
      </c>
    </row>
    <row r="454" spans="1:15">
      <c r="A454" s="78">
        <v>546.74874205053516</v>
      </c>
      <c r="B454" s="78">
        <v>548.06991906166752</v>
      </c>
      <c r="C454" s="78">
        <v>545.20902448117056</v>
      </c>
      <c r="D454" s="78">
        <v>547.77190920953228</v>
      </c>
      <c r="E454" s="78">
        <v>4925805.9405851793</v>
      </c>
      <c r="F454" s="78" t="s">
        <v>454</v>
      </c>
      <c r="G454" s="25">
        <f t="shared" si="12"/>
        <v>-1.8678708086247164E-3</v>
      </c>
      <c r="I454" s="78">
        <v>80.544000000000025</v>
      </c>
      <c r="J454" s="78">
        <v>80.682300000000012</v>
      </c>
      <c r="K454" s="78">
        <v>79.556500000000014</v>
      </c>
      <c r="L454" s="78">
        <v>79.590000000000018</v>
      </c>
      <c r="M454" s="78">
        <v>23991499.999999996</v>
      </c>
      <c r="N454" s="78" t="s">
        <v>454</v>
      </c>
      <c r="O454" s="25">
        <f t="shared" si="13"/>
        <v>1.1986430456087493E-2</v>
      </c>
    </row>
    <row r="455" spans="1:15">
      <c r="A455" s="78">
        <v>546.30172727233264</v>
      </c>
      <c r="B455" s="78">
        <v>547.5831696365135</v>
      </c>
      <c r="C455" s="78">
        <v>544.4242652038813</v>
      </c>
      <c r="D455" s="78">
        <v>544.43419886561924</v>
      </c>
      <c r="E455" s="78">
        <v>6843373.7522054855</v>
      </c>
      <c r="F455" s="78" t="s">
        <v>455</v>
      </c>
      <c r="G455" s="25">
        <f t="shared" si="12"/>
        <v>3.4302187676757967E-3</v>
      </c>
      <c r="I455" s="78">
        <v>79.504000000000005</v>
      </c>
      <c r="J455" s="78">
        <v>79.906000000000006</v>
      </c>
      <c r="K455" s="78">
        <v>78.865000000000009</v>
      </c>
      <c r="L455" s="78">
        <v>79.736000000000018</v>
      </c>
      <c r="M455" s="78">
        <v>19106259.999999996</v>
      </c>
      <c r="N455" s="78" t="s">
        <v>455</v>
      </c>
      <c r="O455" s="25">
        <f t="shared" si="13"/>
        <v>-2.9096016855625351E-3</v>
      </c>
    </row>
    <row r="456" spans="1:15">
      <c r="A456" s="78">
        <v>543.89778113177601</v>
      </c>
      <c r="B456" s="78">
        <v>544.83651216600163</v>
      </c>
      <c r="C456" s="78">
        <v>541.53356963817089</v>
      </c>
      <c r="D456" s="78">
        <v>541.60310527033573</v>
      </c>
      <c r="E456" s="78">
        <v>6091687.1942106001</v>
      </c>
      <c r="F456" s="78" t="s">
        <v>456</v>
      </c>
      <c r="G456" s="25">
        <f t="shared" si="12"/>
        <v>4.23682183338836E-3</v>
      </c>
      <c r="I456" s="78">
        <v>79.654000000000011</v>
      </c>
      <c r="J456" s="78">
        <v>79.822000000000017</v>
      </c>
      <c r="K456" s="78">
        <v>77.994000000000014</v>
      </c>
      <c r="L456" s="78">
        <v>78.137000000000015</v>
      </c>
      <c r="M456" s="78">
        <v>32950739.999999993</v>
      </c>
      <c r="N456" s="78" t="s">
        <v>456</v>
      </c>
      <c r="O456" s="25">
        <f t="shared" si="13"/>
        <v>1.9414617914688348E-2</v>
      </c>
    </row>
    <row r="457" spans="1:15">
      <c r="A457" s="78">
        <v>539.69584221667105</v>
      </c>
      <c r="B457" s="78">
        <v>540.5302698026494</v>
      </c>
      <c r="C457" s="78">
        <v>534.59987374516083</v>
      </c>
      <c r="D457" s="78">
        <v>538.05678802992804</v>
      </c>
      <c r="E457" s="78">
        <v>7533311.6805219874</v>
      </c>
      <c r="F457" s="78" t="s">
        <v>457</v>
      </c>
      <c r="G457" s="25">
        <f t="shared" si="12"/>
        <v>3.0462475768484598E-3</v>
      </c>
      <c r="I457" s="78">
        <v>78.021000000000015</v>
      </c>
      <c r="J457" s="78">
        <v>78.149000000000015</v>
      </c>
      <c r="K457" s="78">
        <v>75.738000000000014</v>
      </c>
      <c r="L457" s="78">
        <v>77.15000000000002</v>
      </c>
      <c r="M457" s="78">
        <v>36908169.999999993</v>
      </c>
      <c r="N457" s="78" t="s">
        <v>457</v>
      </c>
      <c r="O457" s="25">
        <f t="shared" si="13"/>
        <v>1.1289695398574162E-2</v>
      </c>
    </row>
    <row r="458" spans="1:15">
      <c r="A458" s="78">
        <v>526.58340872272663</v>
      </c>
      <c r="B458" s="78">
        <v>526.65294435489136</v>
      </c>
      <c r="C458" s="78">
        <v>521.00069082606228</v>
      </c>
      <c r="D458" s="78">
        <v>521.23909870777038</v>
      </c>
      <c r="E458" s="78">
        <v>3322318.6847901442</v>
      </c>
      <c r="F458" s="78" t="s">
        <v>458</v>
      </c>
      <c r="G458" s="25">
        <f t="shared" si="12"/>
        <v>1.0253087360878377E-2</v>
      </c>
      <c r="I458" s="78">
        <v>76.391000000000005</v>
      </c>
      <c r="J458" s="78">
        <v>76.752990000000011</v>
      </c>
      <c r="K458" s="78">
        <v>75.62700000000001</v>
      </c>
      <c r="L458" s="78">
        <v>75.735000000000014</v>
      </c>
      <c r="M458" s="78">
        <v>22006449.999999996</v>
      </c>
      <c r="N458" s="78" t="s">
        <v>458</v>
      </c>
      <c r="O458" s="25">
        <f t="shared" si="13"/>
        <v>8.6617812108007453E-3</v>
      </c>
    </row>
    <row r="459" spans="1:15">
      <c r="A459" s="78">
        <v>520.32520182788937</v>
      </c>
      <c r="B459" s="78">
        <v>522.78874993887291</v>
      </c>
      <c r="C459" s="78">
        <v>518.56704303690969</v>
      </c>
      <c r="D459" s="78">
        <v>521.57684320685678</v>
      </c>
      <c r="E459" s="78">
        <v>3706046.2668841663</v>
      </c>
      <c r="F459" s="78" t="s">
        <v>459</v>
      </c>
      <c r="G459" s="25">
        <f t="shared" si="12"/>
        <v>-2.3997257456290777E-3</v>
      </c>
      <c r="I459" s="78">
        <v>75.551000000000016</v>
      </c>
      <c r="J459" s="78">
        <v>76.248000000000019</v>
      </c>
      <c r="K459" s="78">
        <v>74.969000000000023</v>
      </c>
      <c r="L459" s="78">
        <v>75.314000000000007</v>
      </c>
      <c r="M459" s="78">
        <v>19021939.999999996</v>
      </c>
      <c r="N459" s="78" t="s">
        <v>459</v>
      </c>
      <c r="O459" s="25">
        <f t="shared" si="13"/>
        <v>3.1468252914466088E-3</v>
      </c>
    </row>
    <row r="460" spans="1:15">
      <c r="A460" s="78">
        <v>521.45763926600284</v>
      </c>
      <c r="B460" s="78">
        <v>525.57017522546732</v>
      </c>
      <c r="C460" s="78">
        <v>521.0603921331068</v>
      </c>
      <c r="D460" s="78">
        <v>521.67617982423519</v>
      </c>
      <c r="E460" s="78">
        <v>6147724.938870227</v>
      </c>
      <c r="F460" s="78" t="s">
        <v>460</v>
      </c>
      <c r="G460" s="25">
        <f t="shared" si="12"/>
        <v>-4.1891994820619782E-4</v>
      </c>
      <c r="I460" s="78">
        <v>75.610000000000014</v>
      </c>
      <c r="J460" s="78">
        <v>76.379990000000006</v>
      </c>
      <c r="K460" s="78">
        <v>74.777000000000015</v>
      </c>
      <c r="L460" s="78">
        <v>75.348000000000013</v>
      </c>
      <c r="M460" s="78">
        <v>29968289.999999993</v>
      </c>
      <c r="N460" s="78" t="s">
        <v>460</v>
      </c>
      <c r="O460" s="25">
        <f t="shared" si="13"/>
        <v>3.4771991293729432E-3</v>
      </c>
    </row>
    <row r="461" spans="1:15">
      <c r="A461" s="78">
        <v>519.20269805151383</v>
      </c>
      <c r="B461" s="78">
        <v>525.71918015153483</v>
      </c>
      <c r="C461" s="78">
        <v>519.04375946370851</v>
      </c>
      <c r="D461" s="78">
        <v>525.58010888720514</v>
      </c>
      <c r="E461" s="78">
        <v>8026017.2033361597</v>
      </c>
      <c r="F461" s="78" t="s">
        <v>461</v>
      </c>
      <c r="G461" s="25">
        <f t="shared" si="12"/>
        <v>-1.213404146742536E-2</v>
      </c>
      <c r="I461" s="78">
        <v>75.603000000000009</v>
      </c>
      <c r="J461" s="78">
        <v>76.078990000000019</v>
      </c>
      <c r="K461" s="78">
        <v>75.223000000000013</v>
      </c>
      <c r="L461" s="78">
        <v>75.393000000000015</v>
      </c>
      <c r="M461" s="78">
        <v>30577089.999999993</v>
      </c>
      <c r="N461" s="78" t="s">
        <v>461</v>
      </c>
      <c r="O461" s="25">
        <f t="shared" si="13"/>
        <v>2.7854044805220024E-3</v>
      </c>
    </row>
    <row r="462" spans="1:15">
      <c r="A462" s="78">
        <v>529.62310921450455</v>
      </c>
      <c r="B462" s="78">
        <v>532.64294238280706</v>
      </c>
      <c r="C462" s="78">
        <v>529.05689049544799</v>
      </c>
      <c r="D462" s="78">
        <v>530.80521496130723</v>
      </c>
      <c r="E462" s="78">
        <v>3087496.9179974315</v>
      </c>
      <c r="F462" s="78" t="s">
        <v>462</v>
      </c>
      <c r="G462" s="25">
        <f t="shared" si="12"/>
        <v>-2.2270047721533182E-3</v>
      </c>
      <c r="I462" s="78">
        <v>75.374000000000009</v>
      </c>
      <c r="J462" s="78">
        <v>75.979000000000013</v>
      </c>
      <c r="K462" s="78">
        <v>75.227750000000015</v>
      </c>
      <c r="L462" s="78">
        <v>75.808000000000021</v>
      </c>
      <c r="M462" s="78">
        <v>17220019.999999996</v>
      </c>
      <c r="N462" s="78" t="s">
        <v>462</v>
      </c>
      <c r="O462" s="25">
        <f t="shared" si="13"/>
        <v>-5.7249894470242646E-3</v>
      </c>
    </row>
    <row r="463" spans="1:15">
      <c r="A463" s="78">
        <v>531.22242875429629</v>
      </c>
      <c r="B463" s="78">
        <v>532.26546323676928</v>
      </c>
      <c r="C463" s="78">
        <v>528.22246290946964</v>
      </c>
      <c r="D463" s="78">
        <v>529.58337456755328</v>
      </c>
      <c r="E463" s="78">
        <v>3047829.7730513616</v>
      </c>
      <c r="F463" s="78" t="s">
        <v>463</v>
      </c>
      <c r="G463" s="25">
        <f t="shared" si="12"/>
        <v>3.0949879951980286E-3</v>
      </c>
      <c r="I463" s="78">
        <v>75.944000000000017</v>
      </c>
      <c r="J463" s="78">
        <v>76.388000000000019</v>
      </c>
      <c r="K463" s="78">
        <v>74.801000000000016</v>
      </c>
      <c r="L463" s="78">
        <v>75.113000000000014</v>
      </c>
      <c r="M463" s="78">
        <v>36604329.999999993</v>
      </c>
      <c r="N463" s="78" t="s">
        <v>463</v>
      </c>
      <c r="O463" s="25">
        <f t="shared" si="13"/>
        <v>1.1063331247586961E-2</v>
      </c>
    </row>
    <row r="464" spans="1:15">
      <c r="A464" s="78">
        <v>530.37806750658012</v>
      </c>
      <c r="B464" s="78">
        <v>532.01712169332336</v>
      </c>
      <c r="C464" s="78">
        <v>530.13052065607326</v>
      </c>
      <c r="D464" s="78">
        <v>531.97738704637186</v>
      </c>
      <c r="E464" s="78">
        <v>3430729.8657243685</v>
      </c>
      <c r="F464" s="78" t="s">
        <v>464</v>
      </c>
      <c r="G464" s="25">
        <f t="shared" si="12"/>
        <v>-3.0063675237614884E-3</v>
      </c>
      <c r="I464" s="78">
        <v>74.91200000000002</v>
      </c>
      <c r="J464" s="78">
        <v>75.868000000000009</v>
      </c>
      <c r="K464" s="78">
        <v>74.788000000000011</v>
      </c>
      <c r="L464" s="78">
        <v>75.868000000000009</v>
      </c>
      <c r="M464" s="78">
        <v>28624049.999999996</v>
      </c>
      <c r="N464" s="78" t="s">
        <v>464</v>
      </c>
      <c r="O464" s="25">
        <f t="shared" si="13"/>
        <v>-1.2600833025781522E-2</v>
      </c>
    </row>
    <row r="465" spans="1:15">
      <c r="A465" s="78">
        <v>528.72907965809929</v>
      </c>
      <c r="B465" s="78">
        <v>533.69600986363503</v>
      </c>
      <c r="C465" s="78">
        <v>527.88869187507828</v>
      </c>
      <c r="D465" s="78">
        <v>531.10322481344224</v>
      </c>
      <c r="E465" s="78">
        <v>4356087.5276414705</v>
      </c>
      <c r="F465" s="78" t="s">
        <v>465</v>
      </c>
      <c r="G465" s="25">
        <f t="shared" si="12"/>
        <v>-4.4702141587954491E-3</v>
      </c>
      <c r="I465" s="78">
        <v>75.468000000000004</v>
      </c>
      <c r="J465" s="78">
        <v>76.850000000000009</v>
      </c>
      <c r="K465" s="78">
        <v>75.353000000000009</v>
      </c>
      <c r="L465" s="78">
        <v>75.617000000000004</v>
      </c>
      <c r="M465" s="78">
        <v>28194729.999999996</v>
      </c>
      <c r="N465" s="78" t="s">
        <v>465</v>
      </c>
      <c r="O465" s="25">
        <f t="shared" si="13"/>
        <v>-1.9704563788566221E-3</v>
      </c>
    </row>
    <row r="466" spans="1:15">
      <c r="A466" s="78">
        <v>528.93768655459394</v>
      </c>
      <c r="B466" s="78">
        <v>529.6429765379803</v>
      </c>
      <c r="C466" s="78">
        <v>526.52380675229949</v>
      </c>
      <c r="D466" s="78">
        <v>529.63304287624237</v>
      </c>
      <c r="E466" s="78">
        <v>4507665.0666938424</v>
      </c>
      <c r="F466" s="78" t="s">
        <v>466</v>
      </c>
      <c r="G466" s="25">
        <f t="shared" si="12"/>
        <v>-1.3129020762605581E-3</v>
      </c>
      <c r="I466" s="78">
        <v>75.455000000000013</v>
      </c>
      <c r="J466" s="78">
        <v>75.582000000000022</v>
      </c>
      <c r="K466" s="78">
        <v>74.625000000000014</v>
      </c>
      <c r="L466" s="78">
        <v>75.197000000000017</v>
      </c>
      <c r="M466" s="78">
        <v>26429619.999999996</v>
      </c>
      <c r="N466" s="78" t="s">
        <v>466</v>
      </c>
      <c r="O466" s="25">
        <f t="shared" si="13"/>
        <v>3.4309879383485065E-3</v>
      </c>
    </row>
    <row r="467" spans="1:15">
      <c r="A467" s="78">
        <v>527.74564714605344</v>
      </c>
      <c r="B467" s="78">
        <v>531.1727604456072</v>
      </c>
      <c r="C467" s="78">
        <v>524.51720708125652</v>
      </c>
      <c r="D467" s="78">
        <v>530.73567932914227</v>
      </c>
      <c r="E467" s="78">
        <v>5262665.6090852972</v>
      </c>
      <c r="F467" s="78" t="s">
        <v>467</v>
      </c>
      <c r="G467" s="25">
        <f t="shared" si="12"/>
        <v>-5.6337500935838003E-3</v>
      </c>
      <c r="I467" s="78">
        <v>74.929000000000016</v>
      </c>
      <c r="J467" s="78">
        <v>76.378990000000016</v>
      </c>
      <c r="K467" s="78">
        <v>74.426000000000016</v>
      </c>
      <c r="L467" s="78">
        <v>76.283000000000015</v>
      </c>
      <c r="M467" s="78">
        <v>37490069.999999993</v>
      </c>
      <c r="N467" s="78" t="s">
        <v>467</v>
      </c>
      <c r="O467" s="25">
        <f t="shared" si="13"/>
        <v>-1.7749695213874594E-2</v>
      </c>
    </row>
    <row r="468" spans="1:15">
      <c r="A468" s="78">
        <v>532.60320773585568</v>
      </c>
      <c r="B468" s="78">
        <v>533.7157778504934</v>
      </c>
      <c r="C468" s="78">
        <v>529.93105272837761</v>
      </c>
      <c r="D468" s="78">
        <v>530.56680707959913</v>
      </c>
      <c r="E468" s="78">
        <v>3389077.5515103652</v>
      </c>
      <c r="F468" s="78" t="s">
        <v>468</v>
      </c>
      <c r="G468" s="25">
        <f t="shared" si="12"/>
        <v>3.8381606785118372E-3</v>
      </c>
      <c r="I468" s="78">
        <v>76.424000000000021</v>
      </c>
      <c r="J468" s="78">
        <v>76.970000000000013</v>
      </c>
      <c r="K468" s="78">
        <v>76.112000000000009</v>
      </c>
      <c r="L468" s="78">
        <v>76.527000000000015</v>
      </c>
      <c r="M468" s="78">
        <v>29872519.999999993</v>
      </c>
      <c r="N468" s="78" t="s">
        <v>468</v>
      </c>
      <c r="O468" s="25">
        <f t="shared" si="13"/>
        <v>-1.3459301945717428E-3</v>
      </c>
    </row>
    <row r="469" spans="1:15">
      <c r="A469" s="78">
        <v>532.97075322015553</v>
      </c>
      <c r="B469" s="78">
        <v>534.04358868784198</v>
      </c>
      <c r="C469" s="78">
        <v>530.16946061008571</v>
      </c>
      <c r="D469" s="78">
        <v>533.15949279317454</v>
      </c>
      <c r="E469" s="78">
        <v>3695949.2852627807</v>
      </c>
      <c r="F469" s="78" t="s">
        <v>469</v>
      </c>
      <c r="G469" s="25">
        <f t="shared" si="12"/>
        <v>-3.5400208674929434E-4</v>
      </c>
      <c r="I469" s="78">
        <v>77.207000000000022</v>
      </c>
      <c r="J469" s="78">
        <v>77.300000000000011</v>
      </c>
      <c r="K469" s="78">
        <v>75.660000000000011</v>
      </c>
      <c r="L469" s="78">
        <v>76.576000000000008</v>
      </c>
      <c r="M469" s="78">
        <v>60570929.999999985</v>
      </c>
      <c r="N469" s="78" t="s">
        <v>469</v>
      </c>
      <c r="O469" s="25">
        <f t="shared" si="13"/>
        <v>8.2401796907649594E-3</v>
      </c>
    </row>
    <row r="470" spans="1:15">
      <c r="A470" s="78">
        <v>533.79524714439606</v>
      </c>
      <c r="B470" s="78">
        <v>534.53033811299599</v>
      </c>
      <c r="C470" s="78">
        <v>532.00718803158543</v>
      </c>
      <c r="D470" s="78">
        <v>533.3382987044555</v>
      </c>
      <c r="E470" s="78">
        <v>5104272.8591080224</v>
      </c>
      <c r="F470" s="78" t="s">
        <v>470</v>
      </c>
      <c r="G470" s="25">
        <f t="shared" si="12"/>
        <v>8.5677034829600984E-4</v>
      </c>
      <c r="I470" s="78">
        <v>76.38900000000001</v>
      </c>
      <c r="J470" s="78">
        <v>76.628100000000003</v>
      </c>
      <c r="K470" s="78">
        <v>73.623000000000019</v>
      </c>
      <c r="L470" s="78">
        <v>73.76400000000001</v>
      </c>
      <c r="M470" s="78">
        <v>159741189.99999997</v>
      </c>
      <c r="N470" s="78" t="s">
        <v>470</v>
      </c>
      <c r="O470" s="25">
        <f t="shared" si="13"/>
        <v>3.5586464942248153E-2</v>
      </c>
    </row>
    <row r="471" spans="1:15">
      <c r="A471" s="78">
        <v>531.74891282640169</v>
      </c>
      <c r="B471" s="78">
        <v>535.18595978769315</v>
      </c>
      <c r="C471" s="78">
        <v>531.59990790033407</v>
      </c>
      <c r="D471" s="78">
        <v>535.04688852336346</v>
      </c>
      <c r="E471" s="78">
        <v>3246835.945414796</v>
      </c>
      <c r="F471" s="78" t="s">
        <v>471</v>
      </c>
      <c r="G471" s="25">
        <f t="shared" si="12"/>
        <v>-6.1639003379004853E-3</v>
      </c>
      <c r="I471" s="78">
        <v>68.765000000000015</v>
      </c>
      <c r="J471" s="78">
        <v>70.441240000000022</v>
      </c>
      <c r="K471" s="78">
        <v>67.788000000000011</v>
      </c>
      <c r="L471" s="78">
        <v>70.435000000000016</v>
      </c>
      <c r="M471" s="78">
        <v>89266719.999999985</v>
      </c>
      <c r="N471" s="78" t="s">
        <v>471</v>
      </c>
      <c r="O471" s="25">
        <f t="shared" si="13"/>
        <v>-2.3709803364804438E-2</v>
      </c>
    </row>
    <row r="472" spans="1:15">
      <c r="A472" s="78">
        <v>531.66944353249903</v>
      </c>
      <c r="B472" s="78">
        <v>532.17606028112868</v>
      </c>
      <c r="C472" s="78">
        <v>528.68437818027905</v>
      </c>
      <c r="D472" s="78">
        <v>529.39463499453439</v>
      </c>
      <c r="E472" s="78">
        <v>3258834.5420195116</v>
      </c>
      <c r="F472" s="78" t="s">
        <v>472</v>
      </c>
      <c r="G472" s="25">
        <f t="shared" si="12"/>
        <v>4.2969996059520899E-3</v>
      </c>
      <c r="I472" s="78">
        <v>70.200000000000017</v>
      </c>
      <c r="J472" s="78">
        <v>70.559000000000012</v>
      </c>
      <c r="K472" s="78">
        <v>69.782000000000025</v>
      </c>
      <c r="L472" s="78">
        <v>70.343000000000004</v>
      </c>
      <c r="M472" s="78">
        <v>24942759.999999996</v>
      </c>
      <c r="N472" s="78" t="s">
        <v>472</v>
      </c>
      <c r="O472" s="25">
        <f t="shared" si="13"/>
        <v>-2.0328959526887402E-3</v>
      </c>
    </row>
    <row r="473" spans="1:15">
      <c r="A473" s="78">
        <v>529.44430330322359</v>
      </c>
      <c r="B473" s="78">
        <v>534.04358868784198</v>
      </c>
      <c r="C473" s="78">
        <v>528.2919985416346</v>
      </c>
      <c r="D473" s="78">
        <v>533.81511446787169</v>
      </c>
      <c r="E473" s="78">
        <v>4843460.6764129233</v>
      </c>
      <c r="F473" s="78" t="s">
        <v>473</v>
      </c>
      <c r="G473" s="25">
        <f t="shared" si="12"/>
        <v>-8.1878745022143651E-3</v>
      </c>
      <c r="I473" s="78">
        <v>70.598000000000013</v>
      </c>
      <c r="J473" s="78">
        <v>71.340000000000018</v>
      </c>
      <c r="K473" s="78">
        <v>69.978060000000013</v>
      </c>
      <c r="L473" s="78">
        <v>71.251000000000019</v>
      </c>
      <c r="M473" s="78">
        <v>29327519.999999993</v>
      </c>
      <c r="N473" s="78" t="s">
        <v>473</v>
      </c>
      <c r="O473" s="25">
        <f t="shared" si="13"/>
        <v>-9.1647836521593362E-3</v>
      </c>
    </row>
    <row r="474" spans="1:15">
      <c r="A474" s="78">
        <v>533.50717095399887</v>
      </c>
      <c r="B474" s="78">
        <v>534.41113417214194</v>
      </c>
      <c r="C474" s="78">
        <v>530.42773581526944</v>
      </c>
      <c r="D474" s="78">
        <v>530.70587834392882</v>
      </c>
      <c r="E474" s="78">
        <v>2656552.1049991744</v>
      </c>
      <c r="F474" s="78" t="s">
        <v>474</v>
      </c>
      <c r="G474" s="25">
        <f t="shared" si="12"/>
        <v>5.2784277023867343E-3</v>
      </c>
      <c r="I474" s="78">
        <v>71.300000000000011</v>
      </c>
      <c r="J474" s="78">
        <v>72.661960000000008</v>
      </c>
      <c r="K474" s="78">
        <v>71.131090000000015</v>
      </c>
      <c r="L474" s="78">
        <v>72.500000000000014</v>
      </c>
      <c r="M474" s="78">
        <v>27970709.999999996</v>
      </c>
      <c r="N474" s="78" t="s">
        <v>474</v>
      </c>
      <c r="O474" s="25">
        <f t="shared" si="13"/>
        <v>-1.6551724137931045E-2</v>
      </c>
    </row>
    <row r="475" spans="1:15">
      <c r="A475" s="78">
        <v>529.17609443630204</v>
      </c>
      <c r="B475" s="78">
        <v>529.89131808142622</v>
      </c>
      <c r="C475" s="78">
        <v>525.87811873934015</v>
      </c>
      <c r="D475" s="78">
        <v>525.98738901845638</v>
      </c>
      <c r="E475" s="78">
        <v>5465424.6775090043</v>
      </c>
      <c r="F475" s="78" t="s">
        <v>475</v>
      </c>
      <c r="G475" s="25">
        <f t="shared" si="12"/>
        <v>6.0623229461758132E-3</v>
      </c>
      <c r="I475" s="78">
        <v>72.279000000000011</v>
      </c>
      <c r="J475" s="78">
        <v>73.600000000000009</v>
      </c>
      <c r="K475" s="78">
        <v>72.122000000000014</v>
      </c>
      <c r="L475" s="78">
        <v>73.490000000000009</v>
      </c>
      <c r="M475" s="78">
        <v>22995249.999999996</v>
      </c>
      <c r="N475" s="78" t="s">
        <v>475</v>
      </c>
      <c r="O475" s="25">
        <f t="shared" si="13"/>
        <v>-1.6478432439787749E-2</v>
      </c>
    </row>
    <row r="476" spans="1:15">
      <c r="A476" s="78">
        <v>526.04699098888329</v>
      </c>
      <c r="B476" s="78">
        <v>527.37810166175348</v>
      </c>
      <c r="C476" s="78">
        <v>524.58674271342147</v>
      </c>
      <c r="D476" s="78">
        <v>525.7589147984861</v>
      </c>
      <c r="E476" s="78">
        <v>3661925.577900907</v>
      </c>
      <c r="F476" s="78" t="s">
        <v>476</v>
      </c>
      <c r="G476" s="25">
        <f t="shared" si="12"/>
        <v>5.4792449978258162E-4</v>
      </c>
      <c r="I476" s="78">
        <v>73.029000000000011</v>
      </c>
      <c r="J476" s="78">
        <v>73.385000000000019</v>
      </c>
      <c r="K476" s="78">
        <v>72.250000000000014</v>
      </c>
      <c r="L476" s="78">
        <v>72.329000000000008</v>
      </c>
      <c r="M476" s="78">
        <v>27678619.999999996</v>
      </c>
      <c r="N476" s="78" t="s">
        <v>476</v>
      </c>
      <c r="O476" s="25">
        <f t="shared" si="13"/>
        <v>9.6779991428057599E-3</v>
      </c>
    </row>
    <row r="477" spans="1:15">
      <c r="A477" s="78">
        <v>526.93108688355096</v>
      </c>
      <c r="B477" s="78">
        <v>527.50723926434534</v>
      </c>
      <c r="C477" s="78">
        <v>522.81855092408637</v>
      </c>
      <c r="D477" s="78">
        <v>523.37483598140534</v>
      </c>
      <c r="E477" s="78">
        <v>2961430.6160586346</v>
      </c>
      <c r="F477" s="78" t="s">
        <v>477</v>
      </c>
      <c r="G477" s="25">
        <f t="shared" si="12"/>
        <v>6.7948450281853923E-3</v>
      </c>
      <c r="I477" s="78">
        <v>72.743000000000009</v>
      </c>
      <c r="J477" s="78">
        <v>72.859000000000023</v>
      </c>
      <c r="K477" s="78">
        <v>71.887000000000015</v>
      </c>
      <c r="L477" s="78">
        <v>71.925000000000011</v>
      </c>
      <c r="M477" s="78">
        <v>19810699.999999996</v>
      </c>
      <c r="N477" s="78" t="s">
        <v>477</v>
      </c>
      <c r="O477" s="25">
        <f t="shared" si="13"/>
        <v>1.1372957942300976E-2</v>
      </c>
    </row>
    <row r="478" spans="1:15">
      <c r="A478" s="78">
        <v>523.3549686579297</v>
      </c>
      <c r="B478" s="78">
        <v>523.88145273003499</v>
      </c>
      <c r="C478" s="78">
        <v>520.02719197575436</v>
      </c>
      <c r="D478" s="78">
        <v>520.84175223825696</v>
      </c>
      <c r="E478" s="78">
        <v>2644208.2177966391</v>
      </c>
      <c r="F478" s="78" t="s">
        <v>478</v>
      </c>
      <c r="G478" s="25">
        <f t="shared" si="12"/>
        <v>4.8252975282270238E-3</v>
      </c>
      <c r="I478" s="78">
        <v>72.176000000000016</v>
      </c>
      <c r="J478" s="78">
        <v>72.506000000000014</v>
      </c>
      <c r="K478" s="78">
        <v>70.35457000000001</v>
      </c>
      <c r="L478" s="78">
        <v>70.388000000000019</v>
      </c>
      <c r="M478" s="78">
        <v>31874019.999999993</v>
      </c>
      <c r="N478" s="78" t="s">
        <v>478</v>
      </c>
      <c r="O478" s="25">
        <f t="shared" si="13"/>
        <v>2.540205716883559E-2</v>
      </c>
    </row>
    <row r="479" spans="1:15">
      <c r="A479" s="78">
        <v>518.44773975943826</v>
      </c>
      <c r="B479" s="78">
        <v>522.23256421817143</v>
      </c>
      <c r="C479" s="78">
        <v>517.35503696827618</v>
      </c>
      <c r="D479" s="78">
        <v>521.65631250075955</v>
      </c>
      <c r="E479" s="78">
        <v>3997020.5396430702</v>
      </c>
      <c r="F479" s="78" t="s">
        <v>479</v>
      </c>
      <c r="G479" s="25">
        <f t="shared" si="12"/>
        <v>-6.15074075484634E-3</v>
      </c>
      <c r="I479" s="78">
        <v>70.192000000000007</v>
      </c>
      <c r="J479" s="78">
        <v>71.588000000000008</v>
      </c>
      <c r="K479" s="78">
        <v>69.643000000000015</v>
      </c>
      <c r="L479" s="78">
        <v>71.475500000000011</v>
      </c>
      <c r="M479" s="78">
        <v>33605199.999999993</v>
      </c>
      <c r="N479" s="78" t="s">
        <v>479</v>
      </c>
      <c r="O479" s="25">
        <f t="shared" si="13"/>
        <v>-1.7957202118208393E-2</v>
      </c>
    </row>
    <row r="480" spans="1:15">
      <c r="A480" s="78">
        <v>523.15629542317288</v>
      </c>
      <c r="B480" s="78">
        <v>523.52384090747285</v>
      </c>
      <c r="C480" s="78">
        <v>518.83515256721387</v>
      </c>
      <c r="D480" s="78">
        <v>522.66954599801886</v>
      </c>
      <c r="E480" s="78">
        <v>5393957.5771852722</v>
      </c>
      <c r="F480" s="78" t="s">
        <v>480</v>
      </c>
      <c r="G480" s="25">
        <f t="shared" si="12"/>
        <v>9.312756575947656E-4</v>
      </c>
      <c r="I480" s="78">
        <v>71.970000000000013</v>
      </c>
      <c r="J480" s="78">
        <v>72.101000000000013</v>
      </c>
      <c r="K480" s="78">
        <v>70.882000000000019</v>
      </c>
      <c r="L480" s="78">
        <v>71.332000000000022</v>
      </c>
      <c r="M480" s="78">
        <v>22301389.999999996</v>
      </c>
      <c r="N480" s="78" t="s">
        <v>480</v>
      </c>
      <c r="O480" s="25">
        <f t="shared" si="13"/>
        <v>8.9440924129422505E-3</v>
      </c>
    </row>
    <row r="481" spans="1:15">
      <c r="A481" s="78">
        <v>518.37820412727342</v>
      </c>
      <c r="B481" s="78">
        <v>520.28050035006913</v>
      </c>
      <c r="C481" s="78">
        <v>516.37160445623044</v>
      </c>
      <c r="D481" s="78">
        <v>518.10006159861393</v>
      </c>
      <c r="E481" s="78">
        <v>4034717.615493123</v>
      </c>
      <c r="F481" s="78" t="s">
        <v>481</v>
      </c>
      <c r="G481" s="25">
        <f t="shared" si="12"/>
        <v>5.3685098550504406E-4</v>
      </c>
      <c r="I481" s="78">
        <v>70.680000000000007</v>
      </c>
      <c r="J481" s="78">
        <v>70.881000000000014</v>
      </c>
      <c r="K481" s="78">
        <v>70.000000000000014</v>
      </c>
      <c r="L481" s="78">
        <v>70.426000000000016</v>
      </c>
      <c r="M481" s="78">
        <v>22564489.999999996</v>
      </c>
      <c r="N481" s="78" t="s">
        <v>481</v>
      </c>
      <c r="O481" s="25">
        <f t="shared" si="13"/>
        <v>3.6066225541702135E-3</v>
      </c>
    </row>
    <row r="482" spans="1:15">
      <c r="A482" s="78">
        <v>519.36163663931927</v>
      </c>
      <c r="B482" s="78">
        <v>520.37487013657858</v>
      </c>
      <c r="C482" s="78">
        <v>516.13329591113973</v>
      </c>
      <c r="D482" s="78">
        <v>518.38813778901124</v>
      </c>
      <c r="E482" s="78">
        <v>3292424.3711083229</v>
      </c>
      <c r="F482" s="78" t="s">
        <v>482</v>
      </c>
      <c r="G482" s="25">
        <f t="shared" si="12"/>
        <v>1.877934272300541E-3</v>
      </c>
      <c r="I482" s="78">
        <v>71.109000000000023</v>
      </c>
      <c r="J482" s="78">
        <v>71.621000000000024</v>
      </c>
      <c r="K482" s="78">
        <v>70.468780000000024</v>
      </c>
      <c r="L482" s="78">
        <v>70.613000000000014</v>
      </c>
      <c r="M482" s="78">
        <v>17581669.999999996</v>
      </c>
      <c r="N482" s="78" t="s">
        <v>482</v>
      </c>
      <c r="O482" s="25">
        <f t="shared" si="13"/>
        <v>7.0242023423450206E-3</v>
      </c>
    </row>
    <row r="483" spans="1:15">
      <c r="A483" s="78">
        <v>519.27223368367868</v>
      </c>
      <c r="B483" s="78">
        <v>523.60331020137562</v>
      </c>
      <c r="C483" s="78">
        <v>516.77888458748168</v>
      </c>
      <c r="D483" s="78">
        <v>523.54370823094848</v>
      </c>
      <c r="E483" s="78">
        <v>9260086.8066232149</v>
      </c>
      <c r="F483" s="78" t="s">
        <v>483</v>
      </c>
      <c r="G483" s="25">
        <f t="shared" si="12"/>
        <v>-8.158773527625951E-3</v>
      </c>
      <c r="I483" s="78">
        <v>70.613000000000014</v>
      </c>
      <c r="J483" s="78">
        <v>71.77600000000001</v>
      </c>
      <c r="K483" s="78">
        <v>69.859000000000023</v>
      </c>
      <c r="L483" s="78">
        <v>71.364000000000019</v>
      </c>
      <c r="M483" s="78">
        <v>28134819.999999996</v>
      </c>
      <c r="N483" s="78" t="s">
        <v>483</v>
      </c>
      <c r="O483" s="25">
        <f t="shared" si="13"/>
        <v>-1.0523513255983441E-2</v>
      </c>
    </row>
    <row r="484" spans="1:15">
      <c r="A484" s="78">
        <v>524.16952892043219</v>
      </c>
      <c r="B484" s="78">
        <v>524.45263827996064</v>
      </c>
      <c r="C484" s="78">
        <v>518.72588228809775</v>
      </c>
      <c r="D484" s="78">
        <v>520.84175223825696</v>
      </c>
      <c r="E484" s="78">
        <v>8070889.8808808522</v>
      </c>
      <c r="F484" s="78" t="s">
        <v>484</v>
      </c>
      <c r="G484" s="25">
        <f t="shared" si="12"/>
        <v>6.3892279523953821E-3</v>
      </c>
      <c r="I484" s="78">
        <v>70.927000000000007</v>
      </c>
      <c r="J484" s="78">
        <v>71.121000000000024</v>
      </c>
      <c r="K484" s="78">
        <v>70.281920000000014</v>
      </c>
      <c r="L484" s="78">
        <v>70.700000000000017</v>
      </c>
      <c r="M484" s="78">
        <v>17115079.999999996</v>
      </c>
      <c r="N484" s="78" t="s">
        <v>484</v>
      </c>
      <c r="O484" s="25">
        <f t="shared" si="13"/>
        <v>3.2107496463931184E-3</v>
      </c>
    </row>
    <row r="485" spans="1:15">
      <c r="A485" s="78">
        <v>521.89472038246765</v>
      </c>
      <c r="B485" s="78">
        <v>524.2688655378106</v>
      </c>
      <c r="C485" s="78">
        <v>520.84175223825696</v>
      </c>
      <c r="D485" s="78">
        <v>523.59337653963769</v>
      </c>
      <c r="E485" s="78">
        <v>5635982.1259820741</v>
      </c>
      <c r="F485" s="78" t="s">
        <v>485</v>
      </c>
      <c r="G485" s="25">
        <f t="shared" si="12"/>
        <v>-3.2442277409928666E-3</v>
      </c>
      <c r="I485" s="78">
        <v>70.735000000000014</v>
      </c>
      <c r="J485" s="78">
        <v>71.071000000000012</v>
      </c>
      <c r="K485" s="78">
        <v>70.125090000000014</v>
      </c>
      <c r="L485" s="78">
        <v>70.836000000000013</v>
      </c>
      <c r="M485" s="78">
        <v>23956129.999999996</v>
      </c>
      <c r="N485" s="78" t="s">
        <v>485</v>
      </c>
      <c r="O485" s="25">
        <f t="shared" si="13"/>
        <v>-1.4258286746852145E-3</v>
      </c>
    </row>
    <row r="486" spans="1:15">
      <c r="A486" s="78">
        <v>522.57160009328379</v>
      </c>
      <c r="B486" s="78">
        <v>524.77002524432999</v>
      </c>
      <c r="C486" s="78">
        <v>520.3830777582333</v>
      </c>
      <c r="D486" s="78">
        <v>524.52245484443733</v>
      </c>
      <c r="E486" s="78">
        <v>5325672.0131809711</v>
      </c>
      <c r="F486" s="78" t="s">
        <v>486</v>
      </c>
      <c r="G486" s="25">
        <f t="shared" si="12"/>
        <v>-3.7192969207240356E-3</v>
      </c>
      <c r="I486" s="78">
        <v>71.143000000000015</v>
      </c>
      <c r="J486" s="78">
        <v>72.52600000000001</v>
      </c>
      <c r="K486" s="78">
        <v>70.172000000000011</v>
      </c>
      <c r="L486" s="78">
        <v>72.473000000000013</v>
      </c>
      <c r="M486" s="78">
        <v>28329619.999999996</v>
      </c>
      <c r="N486" s="78" t="s">
        <v>486</v>
      </c>
      <c r="O486" s="25">
        <f t="shared" si="13"/>
        <v>-1.8351661998261437E-2</v>
      </c>
    </row>
    <row r="487" spans="1:15">
      <c r="A487" s="78">
        <v>520.50191155018172</v>
      </c>
      <c r="B487" s="78">
        <v>522.17548745345562</v>
      </c>
      <c r="C487" s="78">
        <v>519.55124121459414</v>
      </c>
      <c r="D487" s="78">
        <v>521.4921931497521</v>
      </c>
      <c r="E487" s="78">
        <v>35765633.750405967</v>
      </c>
      <c r="F487" s="78" t="s">
        <v>487</v>
      </c>
      <c r="G487" s="25">
        <f t="shared" si="12"/>
        <v>-1.8989384933821851E-3</v>
      </c>
      <c r="I487" s="78">
        <v>72.156000000000006</v>
      </c>
      <c r="J487" s="78">
        <v>72.512000000000015</v>
      </c>
      <c r="K487" s="78">
        <v>71.621000000000024</v>
      </c>
      <c r="L487" s="78">
        <v>72.100000000000009</v>
      </c>
      <c r="M487" s="78">
        <v>22597749.999999996</v>
      </c>
      <c r="N487" s="78" t="s">
        <v>487</v>
      </c>
      <c r="O487" s="25">
        <f t="shared" si="13"/>
        <v>7.7669902912624877E-4</v>
      </c>
    </row>
    <row r="488" spans="1:15">
      <c r="A488" s="78">
        <v>521.56151286172189</v>
      </c>
      <c r="B488" s="78">
        <v>521.71995791765323</v>
      </c>
      <c r="C488" s="78">
        <v>518.29358358313982</v>
      </c>
      <c r="D488" s="78">
        <v>520.89802419000989</v>
      </c>
      <c r="E488" s="78">
        <v>4696248.0187632013</v>
      </c>
      <c r="F488" s="78" t="s">
        <v>488</v>
      </c>
      <c r="G488" s="25">
        <f t="shared" si="12"/>
        <v>1.2737400429647661E-3</v>
      </c>
      <c r="I488" s="78">
        <v>72.226000000000013</v>
      </c>
      <c r="J488" s="78">
        <v>72.244000000000014</v>
      </c>
      <c r="K488" s="78">
        <v>70.445000000000022</v>
      </c>
      <c r="L488" s="78">
        <v>70.662500000000009</v>
      </c>
      <c r="M488" s="78">
        <v>35657309.999999993</v>
      </c>
      <c r="N488" s="78" t="s">
        <v>488</v>
      </c>
      <c r="O488" s="25">
        <f t="shared" si="13"/>
        <v>2.2126304617017478E-2</v>
      </c>
    </row>
    <row r="489" spans="1:15">
      <c r="A489" s="78">
        <v>520.06618764637074</v>
      </c>
      <c r="B489" s="78">
        <v>520.71977350208726</v>
      </c>
      <c r="C489" s="78">
        <v>518.7392103029465</v>
      </c>
      <c r="D489" s="78">
        <v>519.89783977444381</v>
      </c>
      <c r="E489" s="78">
        <v>29576592.1660132</v>
      </c>
      <c r="F489" s="78" t="s">
        <v>489</v>
      </c>
      <c r="G489" s="25">
        <f t="shared" si="12"/>
        <v>3.2380952380939299E-4</v>
      </c>
      <c r="I489" s="78">
        <v>70.53700000000002</v>
      </c>
      <c r="J489" s="78">
        <v>71.22499000000002</v>
      </c>
      <c r="K489" s="78">
        <v>69.916000000000011</v>
      </c>
      <c r="L489" s="78">
        <v>70.239000000000019</v>
      </c>
      <c r="M489" s="78">
        <v>32243439.999999993</v>
      </c>
      <c r="N489" s="78" t="s">
        <v>489</v>
      </c>
      <c r="O489" s="25">
        <f t="shared" si="13"/>
        <v>4.2426572132292506E-3</v>
      </c>
    </row>
    <row r="490" spans="1:15">
      <c r="A490" s="78">
        <v>518.78872438292501</v>
      </c>
      <c r="B490" s="78">
        <v>519.81861724647808</v>
      </c>
      <c r="C490" s="78">
        <v>516.05554716811071</v>
      </c>
      <c r="D490" s="78">
        <v>518.42232019108394</v>
      </c>
      <c r="E490" s="78">
        <v>5667759.5569129474</v>
      </c>
      <c r="F490" s="78" t="s">
        <v>490</v>
      </c>
      <c r="G490" s="25">
        <f t="shared" si="12"/>
        <v>7.0676777903000421E-4</v>
      </c>
      <c r="I490" s="78">
        <v>70.103000000000009</v>
      </c>
      <c r="J490" s="78">
        <v>70.667320000000004</v>
      </c>
      <c r="K490" s="78">
        <v>69.631000000000014</v>
      </c>
      <c r="L490" s="78">
        <v>70.555000000000007</v>
      </c>
      <c r="M490" s="78">
        <v>39980619.999999993</v>
      </c>
      <c r="N490" s="78" t="s">
        <v>490</v>
      </c>
      <c r="O490" s="25">
        <f t="shared" si="13"/>
        <v>-6.406349656296495E-3</v>
      </c>
    </row>
    <row r="491" spans="1:15">
      <c r="A491" s="78">
        <v>519.80871443048238</v>
      </c>
      <c r="B491" s="78">
        <v>521.4822903337564</v>
      </c>
      <c r="C491" s="78">
        <v>517.11514847965111</v>
      </c>
      <c r="D491" s="78">
        <v>519.77900598249528</v>
      </c>
      <c r="E491" s="78">
        <v>5612919.6002545981</v>
      </c>
      <c r="F491" s="78" t="s">
        <v>491</v>
      </c>
      <c r="G491" s="25">
        <f t="shared" si="12"/>
        <v>5.7155921353357897E-5</v>
      </c>
      <c r="I491" s="78">
        <v>70.432000000000016</v>
      </c>
      <c r="J491" s="78">
        <v>71.566000000000017</v>
      </c>
      <c r="K491" s="78">
        <v>69.53700000000002</v>
      </c>
      <c r="L491" s="78">
        <v>70.500000000000014</v>
      </c>
      <c r="M491" s="78">
        <v>42284799.999999993</v>
      </c>
      <c r="N491" s="78" t="s">
        <v>491</v>
      </c>
      <c r="O491" s="25">
        <f t="shared" si="13"/>
        <v>-9.6453900709214668E-4</v>
      </c>
    </row>
    <row r="492" spans="1:15">
      <c r="A492" s="78">
        <v>510.89618003434907</v>
      </c>
      <c r="B492" s="78">
        <v>517.64990054341911</v>
      </c>
      <c r="C492" s="78">
        <v>510.4604561305382</v>
      </c>
      <c r="D492" s="78">
        <v>513.14411926537377</v>
      </c>
      <c r="E492" s="78">
        <v>6989201.8623821521</v>
      </c>
      <c r="F492" s="78" t="s">
        <v>492</v>
      </c>
      <c r="G492" s="25">
        <f t="shared" si="12"/>
        <v>-4.3807171253231747E-3</v>
      </c>
      <c r="I492" s="78">
        <v>69.047000000000011</v>
      </c>
      <c r="J492" s="78">
        <v>70.75500000000001</v>
      </c>
      <c r="K492" s="78">
        <v>68.800000000000011</v>
      </c>
      <c r="L492" s="78">
        <v>70.75500000000001</v>
      </c>
      <c r="M492" s="78">
        <v>29844109.999999993</v>
      </c>
      <c r="N492" s="78" t="s">
        <v>492</v>
      </c>
      <c r="O492" s="25">
        <f t="shared" si="13"/>
        <v>-2.4139636774786255E-2</v>
      </c>
    </row>
    <row r="493" spans="1:15">
      <c r="A493" s="78">
        <v>512.55985312162738</v>
      </c>
      <c r="B493" s="78">
        <v>515.6742887522762</v>
      </c>
      <c r="C493" s="78">
        <v>510.49016457852525</v>
      </c>
      <c r="D493" s="78">
        <v>514.39187408083262</v>
      </c>
      <c r="E493" s="78">
        <v>8229938.8411698611</v>
      </c>
      <c r="F493" s="78" t="s">
        <v>493</v>
      </c>
      <c r="G493" s="25">
        <f t="shared" si="12"/>
        <v>-3.5615277991684069E-3</v>
      </c>
      <c r="I493" s="78">
        <v>70.691000000000017</v>
      </c>
      <c r="J493" s="78">
        <v>70.763000000000019</v>
      </c>
      <c r="K493" s="78">
        <v>69.837000000000018</v>
      </c>
      <c r="L493" s="78">
        <v>70.082000000000022</v>
      </c>
      <c r="M493" s="78">
        <v>22986299.999999996</v>
      </c>
      <c r="N493" s="78" t="s">
        <v>493</v>
      </c>
      <c r="O493" s="25">
        <f t="shared" si="13"/>
        <v>8.6898204959904302E-3</v>
      </c>
    </row>
    <row r="494" spans="1:15">
      <c r="A494" s="78">
        <v>512.32218553773043</v>
      </c>
      <c r="B494" s="78">
        <v>512.55985312162738</v>
      </c>
      <c r="C494" s="78">
        <v>509.64842521889045</v>
      </c>
      <c r="D494" s="78">
        <v>511.32200112216441</v>
      </c>
      <c r="E494" s="78">
        <v>4298022.9076724881</v>
      </c>
      <c r="F494" s="78" t="s">
        <v>494</v>
      </c>
      <c r="G494" s="25">
        <f t="shared" si="12"/>
        <v>1.9560754541581016E-3</v>
      </c>
      <c r="I494" s="78">
        <v>69.65000000000002</v>
      </c>
      <c r="J494" s="78">
        <v>70.302000000000007</v>
      </c>
      <c r="K494" s="78">
        <v>68.863160000000022</v>
      </c>
      <c r="L494" s="78">
        <v>70.000000000000014</v>
      </c>
      <c r="M494" s="78">
        <v>18437449.999999996</v>
      </c>
      <c r="N494" s="78" t="s">
        <v>494</v>
      </c>
      <c r="O494" s="25">
        <f t="shared" si="13"/>
        <v>-4.9999999999998934E-3</v>
      </c>
    </row>
    <row r="495" spans="1:15">
      <c r="A495" s="78">
        <v>511.5497658900656</v>
      </c>
      <c r="B495" s="78">
        <v>512.50043622565306</v>
      </c>
      <c r="C495" s="78">
        <v>509.23250694707093</v>
      </c>
      <c r="D495" s="78">
        <v>509.4305632669849</v>
      </c>
      <c r="E495" s="78">
        <v>4459984.9193564206</v>
      </c>
      <c r="F495" s="78" t="s">
        <v>495</v>
      </c>
      <c r="G495" s="25">
        <f t="shared" si="12"/>
        <v>4.1599440157069623E-3</v>
      </c>
      <c r="I495" s="78">
        <v>69.706000000000003</v>
      </c>
      <c r="J495" s="78">
        <v>69.964000000000013</v>
      </c>
      <c r="K495" s="78">
        <v>68.000000000000014</v>
      </c>
      <c r="L495" s="78">
        <v>68.001000000000019</v>
      </c>
      <c r="M495" s="78">
        <v>22764819.999999996</v>
      </c>
      <c r="N495" s="78" t="s">
        <v>495</v>
      </c>
      <c r="O495" s="25">
        <f t="shared" si="13"/>
        <v>2.5073160688813267E-2</v>
      </c>
    </row>
    <row r="496" spans="1:15">
      <c r="A496" s="78">
        <v>508.84629712323851</v>
      </c>
      <c r="B496" s="78">
        <v>509.14318354678971</v>
      </c>
      <c r="C496" s="78">
        <v>503.12246947772172</v>
      </c>
      <c r="D496" s="78">
        <v>505.13274112484953</v>
      </c>
      <c r="E496" s="78">
        <v>4139769.9419827382</v>
      </c>
      <c r="F496" s="78" t="s">
        <v>496</v>
      </c>
      <c r="G496" s="25">
        <f t="shared" si="12"/>
        <v>7.3516438275600393E-3</v>
      </c>
      <c r="I496" s="78">
        <v>68.680000000000007</v>
      </c>
      <c r="J496" s="78">
        <v>69.488000000000014</v>
      </c>
      <c r="K496" s="78">
        <v>68.220000000000013</v>
      </c>
      <c r="L496" s="78">
        <v>68.492000000000004</v>
      </c>
      <c r="M496" s="78">
        <v>25884369.999999996</v>
      </c>
      <c r="N496" s="78" t="s">
        <v>496</v>
      </c>
      <c r="O496" s="25">
        <f t="shared" si="13"/>
        <v>2.744846113414745E-3</v>
      </c>
    </row>
    <row r="497" spans="1:15">
      <c r="A497" s="78">
        <v>504.50886371712022</v>
      </c>
      <c r="B497" s="78">
        <v>505.4793396846992</v>
      </c>
      <c r="C497" s="78">
        <v>491.42724378679566</v>
      </c>
      <c r="D497" s="78">
        <v>499.40891347933285</v>
      </c>
      <c r="E497" s="78">
        <v>4994369.2805619482</v>
      </c>
      <c r="F497" s="78" t="s">
        <v>497</v>
      </c>
      <c r="G497" s="25">
        <f t="shared" si="12"/>
        <v>1.0211972794511137E-2</v>
      </c>
      <c r="I497" s="78">
        <v>68.14700000000002</v>
      </c>
      <c r="J497" s="78">
        <v>68.297000000000011</v>
      </c>
      <c r="K497" s="78">
        <v>66.080000000000013</v>
      </c>
      <c r="L497" s="78">
        <v>67.746000000000024</v>
      </c>
      <c r="M497" s="78">
        <v>23919239.999999996</v>
      </c>
      <c r="N497" s="78" t="s">
        <v>497</v>
      </c>
      <c r="O497" s="25">
        <f t="shared" si="13"/>
        <v>5.9191686594042281E-3</v>
      </c>
    </row>
    <row r="498" spans="1:15">
      <c r="A498" s="78">
        <v>499.39901066333715</v>
      </c>
      <c r="B498" s="78">
        <v>499.80007471116312</v>
      </c>
      <c r="C498" s="78">
        <v>494.64536190091951</v>
      </c>
      <c r="D498" s="78">
        <v>499.05241210348748</v>
      </c>
      <c r="E498" s="78">
        <v>3004584.7578010764</v>
      </c>
      <c r="F498" s="78" t="s">
        <v>498</v>
      </c>
      <c r="G498" s="25">
        <f t="shared" si="12"/>
        <v>6.9451334457792946E-4</v>
      </c>
      <c r="I498" s="78">
        <v>67.362000000000009</v>
      </c>
      <c r="J498" s="78">
        <v>68.058990000000009</v>
      </c>
      <c r="K498" s="78">
        <v>66.580500000000015</v>
      </c>
      <c r="L498" s="78">
        <v>67.687000000000012</v>
      </c>
      <c r="M498" s="78">
        <v>20791819.999999996</v>
      </c>
      <c r="N498" s="78" t="s">
        <v>498</v>
      </c>
      <c r="O498" s="25">
        <f t="shared" si="13"/>
        <v>-4.8015128458935852E-3</v>
      </c>
    </row>
    <row r="499" spans="1:15">
      <c r="A499" s="78">
        <v>497.34912775222648</v>
      </c>
      <c r="B499" s="78">
        <v>498.47804877573668</v>
      </c>
      <c r="C499" s="78">
        <v>493.90294778572161</v>
      </c>
      <c r="D499" s="78">
        <v>495.73496874492679</v>
      </c>
      <c r="E499" s="78">
        <v>3692683.9815932065</v>
      </c>
      <c r="F499" s="78" t="s">
        <v>499</v>
      </c>
      <c r="G499" s="25">
        <f t="shared" si="12"/>
        <v>3.2560926887734709E-3</v>
      </c>
      <c r="I499" s="78">
        <v>67.542000000000016</v>
      </c>
      <c r="J499" s="78">
        <v>68.350000000000009</v>
      </c>
      <c r="K499" s="78">
        <v>67.214000000000013</v>
      </c>
      <c r="L499" s="78">
        <v>67.40000000000002</v>
      </c>
      <c r="M499" s="78">
        <v>26831109.999999996</v>
      </c>
      <c r="N499" s="78" t="s">
        <v>499</v>
      </c>
      <c r="O499" s="25">
        <f t="shared" si="13"/>
        <v>2.1068249258160421E-3</v>
      </c>
    </row>
    <row r="500" spans="1:15">
      <c r="A500" s="78">
        <v>491.81345361062807</v>
      </c>
      <c r="B500" s="78">
        <v>502.01335408620292</v>
      </c>
      <c r="C500" s="78">
        <v>490.98161706698903</v>
      </c>
      <c r="D500" s="78">
        <v>500.42890352689028</v>
      </c>
      <c r="E500" s="78">
        <v>7484173.1919642175</v>
      </c>
      <c r="F500" s="78" t="s">
        <v>500</v>
      </c>
      <c r="G500" s="25">
        <f t="shared" si="12"/>
        <v>-1.7216131713301941E-2</v>
      </c>
      <c r="I500" s="78">
        <v>66.577000000000012</v>
      </c>
      <c r="J500" s="78">
        <v>68.315180000000012</v>
      </c>
      <c r="K500" s="78">
        <v>66.234000000000023</v>
      </c>
      <c r="L500" s="78">
        <v>68.186000000000021</v>
      </c>
      <c r="M500" s="78">
        <v>29912649.999999993</v>
      </c>
      <c r="N500" s="78" t="s">
        <v>500</v>
      </c>
      <c r="O500" s="25">
        <f t="shared" si="13"/>
        <v>-2.3597219370545375E-2</v>
      </c>
    </row>
    <row r="501" spans="1:15">
      <c r="A501" s="78">
        <v>500.14172186301494</v>
      </c>
      <c r="B501" s="78">
        <v>503.99391728534363</v>
      </c>
      <c r="C501" s="78">
        <v>497.95319952796439</v>
      </c>
      <c r="D501" s="78">
        <v>501.43899075845212</v>
      </c>
      <c r="E501" s="78">
        <v>3459186.762115113</v>
      </c>
      <c r="F501" s="78" t="s">
        <v>501</v>
      </c>
      <c r="G501" s="25">
        <f t="shared" si="12"/>
        <v>-2.5870921873766273E-3</v>
      </c>
      <c r="I501" s="78">
        <v>68.362000000000009</v>
      </c>
      <c r="J501" s="78">
        <v>68.731000000000009</v>
      </c>
      <c r="K501" s="78">
        <v>67.186000000000021</v>
      </c>
      <c r="L501" s="78">
        <v>67.314000000000007</v>
      </c>
      <c r="M501" s="78">
        <v>18100719.999999996</v>
      </c>
      <c r="N501" s="78" t="s">
        <v>501</v>
      </c>
      <c r="O501" s="25">
        <f t="shared" si="13"/>
        <v>1.5568826692812898E-2</v>
      </c>
    </row>
    <row r="502" spans="1:15">
      <c r="A502" s="78">
        <v>501.37957386247791</v>
      </c>
      <c r="B502" s="78">
        <v>504.57818342909013</v>
      </c>
      <c r="C502" s="78">
        <v>500.11201341502777</v>
      </c>
      <c r="D502" s="78">
        <v>500.76559927074425</v>
      </c>
      <c r="E502" s="78">
        <v>3636716.0629486055</v>
      </c>
      <c r="F502" s="78" t="s">
        <v>502</v>
      </c>
      <c r="G502" s="25">
        <f t="shared" si="12"/>
        <v>1.2260718240786339E-3</v>
      </c>
      <c r="I502" s="78">
        <v>67.968000000000004</v>
      </c>
      <c r="J502" s="78">
        <v>68.465000000000018</v>
      </c>
      <c r="K502" s="78">
        <v>67.306000000000012</v>
      </c>
      <c r="L502" s="78">
        <v>67.331000000000003</v>
      </c>
      <c r="M502" s="78">
        <v>17853369.999999996</v>
      </c>
      <c r="N502" s="78" t="s">
        <v>502</v>
      </c>
      <c r="O502" s="25">
        <f t="shared" si="13"/>
        <v>9.460723886471234E-3</v>
      </c>
    </row>
    <row r="503" spans="1:15">
      <c r="A503" s="78">
        <v>502.62732867793653</v>
      </c>
      <c r="B503" s="78">
        <v>510.42084486655529</v>
      </c>
      <c r="C503" s="78">
        <v>500.19123594299344</v>
      </c>
      <c r="D503" s="78">
        <v>510.11385757068854</v>
      </c>
      <c r="E503" s="78">
        <v>5924012.9298021281</v>
      </c>
      <c r="F503" s="78" t="s">
        <v>503</v>
      </c>
      <c r="G503" s="25">
        <f t="shared" si="12"/>
        <v>-1.4676191955272588E-2</v>
      </c>
      <c r="I503" s="78">
        <v>67.532000000000025</v>
      </c>
      <c r="J503" s="78">
        <v>70.38600000000001</v>
      </c>
      <c r="K503" s="78">
        <v>67.101000000000013</v>
      </c>
      <c r="L503" s="78">
        <v>70.010000000000019</v>
      </c>
      <c r="M503" s="78">
        <v>31609639.999999993</v>
      </c>
      <c r="N503" s="78" t="s">
        <v>503</v>
      </c>
      <c r="O503" s="25">
        <f t="shared" si="13"/>
        <v>-3.539494357948858E-2</v>
      </c>
    </row>
    <row r="504" spans="1:15">
      <c r="A504" s="78">
        <v>513.00547984143395</v>
      </c>
      <c r="B504" s="78">
        <v>513.54023190520206</v>
      </c>
      <c r="C504" s="78">
        <v>507.14301277197745</v>
      </c>
      <c r="D504" s="78">
        <v>510.41094205055958</v>
      </c>
      <c r="E504" s="78">
        <v>5693052.3625258831</v>
      </c>
      <c r="F504" s="78" t="s">
        <v>504</v>
      </c>
      <c r="G504" s="25">
        <f t="shared" si="12"/>
        <v>5.0832330914594159E-3</v>
      </c>
      <c r="I504" s="78">
        <v>70.135000000000019</v>
      </c>
      <c r="J504" s="78">
        <v>70.186000000000021</v>
      </c>
      <c r="K504" s="78">
        <v>68.816000000000017</v>
      </c>
      <c r="L504" s="78">
        <v>70.036000000000016</v>
      </c>
      <c r="M504" s="78">
        <v>32667229.999999993</v>
      </c>
      <c r="N504" s="78" t="s">
        <v>504</v>
      </c>
      <c r="O504" s="25">
        <f t="shared" si="13"/>
        <v>1.4135587412189565E-3</v>
      </c>
    </row>
    <row r="505" spans="1:15">
      <c r="A505" s="78">
        <v>508.22241971550915</v>
      </c>
      <c r="B505" s="78">
        <v>513.05499392141257</v>
      </c>
      <c r="C505" s="78">
        <v>507.1529155879731</v>
      </c>
      <c r="D505" s="78">
        <v>509.98512096274442</v>
      </c>
      <c r="E505" s="78">
        <v>3521367.0551011832</v>
      </c>
      <c r="F505" s="78" t="s">
        <v>505</v>
      </c>
      <c r="G505" s="25">
        <f t="shared" si="12"/>
        <v>-3.4563777937436369E-3</v>
      </c>
      <c r="I505" s="78">
        <v>69.248000000000019</v>
      </c>
      <c r="J505" s="78">
        <v>69.98</v>
      </c>
      <c r="K505" s="78">
        <v>68.607000000000014</v>
      </c>
      <c r="L505" s="78">
        <v>69.000000000000014</v>
      </c>
      <c r="M505" s="78">
        <v>21869739.999999996</v>
      </c>
      <c r="N505" s="78" t="s">
        <v>505</v>
      </c>
      <c r="O505" s="25">
        <f t="shared" si="13"/>
        <v>3.5942028985507246E-3</v>
      </c>
    </row>
    <row r="506" spans="1:15">
      <c r="A506" s="78">
        <v>508.14319718754348</v>
      </c>
      <c r="B506" s="78">
        <v>511.21307014621163</v>
      </c>
      <c r="C506" s="78">
        <v>505.2020608368195</v>
      </c>
      <c r="D506" s="78">
        <v>510.78724905839636</v>
      </c>
      <c r="E506" s="78">
        <v>3979098.4723027707</v>
      </c>
      <c r="F506" s="78" t="s">
        <v>506</v>
      </c>
      <c r="G506" s="25">
        <f t="shared" si="12"/>
        <v>-5.1764249709189691E-3</v>
      </c>
      <c r="I506" s="78">
        <v>68.384000000000015</v>
      </c>
      <c r="J506" s="78">
        <v>69.667000000000016</v>
      </c>
      <c r="K506" s="78">
        <v>67.710000000000022</v>
      </c>
      <c r="L506" s="78">
        <v>69.583000000000013</v>
      </c>
      <c r="M506" s="78">
        <v>24305829.999999996</v>
      </c>
      <c r="N506" s="78" t="s">
        <v>506</v>
      </c>
      <c r="O506" s="25">
        <f t="shared" si="13"/>
        <v>-1.723122026931867E-2</v>
      </c>
    </row>
    <row r="507" spans="1:15">
      <c r="A507" s="78">
        <v>511.06452790627611</v>
      </c>
      <c r="B507" s="78">
        <v>511.569571522057</v>
      </c>
      <c r="C507" s="78">
        <v>508.17290563553058</v>
      </c>
      <c r="D507" s="78">
        <v>509.26221539505798</v>
      </c>
      <c r="E507" s="78">
        <v>3061531.1859932854</v>
      </c>
      <c r="F507" s="78" t="s">
        <v>507</v>
      </c>
      <c r="G507" s="25">
        <f t="shared" ref="G507:G570" si="14">A507/D507-1</f>
        <v>3.5390658421812216E-3</v>
      </c>
      <c r="I507" s="78">
        <v>69.572000000000017</v>
      </c>
      <c r="J507" s="78">
        <v>70.789000000000016</v>
      </c>
      <c r="K507" s="78">
        <v>68.692000000000007</v>
      </c>
      <c r="L507" s="78">
        <v>68.853000000000009</v>
      </c>
      <c r="M507" s="78">
        <v>31648779.999999993</v>
      </c>
      <c r="N507" s="78" t="s">
        <v>507</v>
      </c>
      <c r="O507" s="25">
        <f t="shared" ref="O507:O570" si="15">I507/L507-1</f>
        <v>1.0442536999114127E-2</v>
      </c>
    </row>
    <row r="508" spans="1:15">
      <c r="A508" s="78">
        <v>510.38123360257254</v>
      </c>
      <c r="B508" s="78">
        <v>513.2530502413266</v>
      </c>
      <c r="C508" s="78">
        <v>508.88095697922341</v>
      </c>
      <c r="D508" s="78">
        <v>512.60936720160589</v>
      </c>
      <c r="E508" s="78">
        <v>3431993.4869783409</v>
      </c>
      <c r="F508" s="78" t="s">
        <v>508</v>
      </c>
      <c r="G508" s="25">
        <f t="shared" si="14"/>
        <v>-4.3466501815934144E-3</v>
      </c>
      <c r="I508" s="78">
        <v>68.844000000000023</v>
      </c>
      <c r="J508" s="78">
        <v>69.059000000000012</v>
      </c>
      <c r="K508" s="78">
        <v>68.163760000000011</v>
      </c>
      <c r="L508" s="78">
        <v>68.726000000000013</v>
      </c>
      <c r="M508" s="78">
        <v>13541539.999999998</v>
      </c>
      <c r="N508" s="78" t="s">
        <v>508</v>
      </c>
      <c r="O508" s="25">
        <f t="shared" si="15"/>
        <v>1.7169630125426494E-3</v>
      </c>
    </row>
    <row r="509" spans="1:15">
      <c r="A509" s="78">
        <v>511.63889123402686</v>
      </c>
      <c r="B509" s="78">
        <v>512.52024185764446</v>
      </c>
      <c r="C509" s="78">
        <v>507.27382897128069</v>
      </c>
      <c r="D509" s="78">
        <v>509.331535107028</v>
      </c>
      <c r="E509" s="78">
        <v>5152868.6408127062</v>
      </c>
      <c r="F509" s="78" t="s">
        <v>509</v>
      </c>
      <c r="G509" s="25">
        <f t="shared" si="14"/>
        <v>4.5301654579743555E-3</v>
      </c>
      <c r="I509" s="78">
        <v>68.673000000000016</v>
      </c>
      <c r="J509" s="78">
        <v>69.607000000000014</v>
      </c>
      <c r="K509" s="78">
        <v>67.863000000000014</v>
      </c>
      <c r="L509" s="78">
        <v>69.413000000000011</v>
      </c>
      <c r="M509" s="78">
        <v>23544499.999999996</v>
      </c>
      <c r="N509" s="78" t="s">
        <v>509</v>
      </c>
      <c r="O509" s="25">
        <f t="shared" si="15"/>
        <v>-1.0660827222566338E-2</v>
      </c>
    </row>
    <row r="510" spans="1:15">
      <c r="A510" s="78">
        <v>506.16263398840277</v>
      </c>
      <c r="B510" s="78">
        <v>512.59946438561019</v>
      </c>
      <c r="C510" s="78">
        <v>505.14264394084529</v>
      </c>
      <c r="D510" s="78">
        <v>512.02510105785927</v>
      </c>
      <c r="E510" s="78">
        <v>3713173.1030802694</v>
      </c>
      <c r="F510" s="78" t="s">
        <v>510</v>
      </c>
      <c r="G510" s="25">
        <f t="shared" si="14"/>
        <v>-1.1449569674112592E-2</v>
      </c>
      <c r="I510" s="78">
        <v>68.896000000000015</v>
      </c>
      <c r="J510" s="78">
        <v>70.15000000000002</v>
      </c>
      <c r="K510" s="78">
        <v>68.624000000000009</v>
      </c>
      <c r="L510" s="78">
        <v>69.100000000000009</v>
      </c>
      <c r="M510" s="78">
        <v>27293889.999999996</v>
      </c>
      <c r="N510" s="78" t="s">
        <v>510</v>
      </c>
      <c r="O510" s="25">
        <f t="shared" si="15"/>
        <v>-2.9522431259043636E-3</v>
      </c>
    </row>
    <row r="511" spans="1:15">
      <c r="A511" s="78">
        <v>510.29210825861117</v>
      </c>
      <c r="B511" s="78">
        <v>511.63879220586693</v>
      </c>
      <c r="C511" s="78">
        <v>507.86591833966384</v>
      </c>
      <c r="D511" s="78">
        <v>509.47017453096782</v>
      </c>
      <c r="E511" s="78">
        <v>3376867.7530217734</v>
      </c>
      <c r="F511" s="78" t="s">
        <v>511</v>
      </c>
      <c r="G511" s="25">
        <f t="shared" si="14"/>
        <v>1.6133107858571361E-3</v>
      </c>
      <c r="I511" s="78">
        <v>69.712000000000018</v>
      </c>
      <c r="J511" s="78">
        <v>70.100000000000009</v>
      </c>
      <c r="K511" s="78">
        <v>69.138000000000019</v>
      </c>
      <c r="L511" s="78">
        <v>69.700000000000017</v>
      </c>
      <c r="M511" s="78">
        <v>22353429.999999996</v>
      </c>
      <c r="N511" s="78" t="s">
        <v>511</v>
      </c>
      <c r="O511" s="25">
        <f t="shared" si="15"/>
        <v>1.7216642754669387E-4</v>
      </c>
    </row>
    <row r="512" spans="1:15">
      <c r="A512" s="78">
        <v>508.50960137938455</v>
      </c>
      <c r="B512" s="78">
        <v>510.47025991837393</v>
      </c>
      <c r="C512" s="78">
        <v>507.27174937992157</v>
      </c>
      <c r="D512" s="78">
        <v>508.92551965120407</v>
      </c>
      <c r="E512" s="78">
        <v>3186953.0862425533</v>
      </c>
      <c r="F512" s="78" t="s">
        <v>512</v>
      </c>
      <c r="G512" s="25">
        <f t="shared" si="14"/>
        <v>-8.1724782067238433E-4</v>
      </c>
      <c r="I512" s="78">
        <v>69.854000000000013</v>
      </c>
      <c r="J512" s="78">
        <v>71.133000000000024</v>
      </c>
      <c r="K512" s="78">
        <v>68.824500000000015</v>
      </c>
      <c r="L512" s="78">
        <v>68.88600000000001</v>
      </c>
      <c r="M512" s="78">
        <v>48131179.999999993</v>
      </c>
      <c r="N512" s="78" t="s">
        <v>512</v>
      </c>
      <c r="O512" s="25">
        <f t="shared" si="15"/>
        <v>1.4052202189124063E-2</v>
      </c>
    </row>
    <row r="513" spans="1:15">
      <c r="A513" s="78">
        <v>509.35134073901935</v>
      </c>
      <c r="B513" s="78">
        <v>509.35134073901935</v>
      </c>
      <c r="C513" s="78">
        <v>504.1127510772921</v>
      </c>
      <c r="D513" s="78">
        <v>504.9049763569484</v>
      </c>
      <c r="E513" s="78">
        <v>3841647.6703702165</v>
      </c>
      <c r="F513" s="78" t="s">
        <v>513</v>
      </c>
      <c r="G513" s="25">
        <f t="shared" si="14"/>
        <v>8.8063389950181481E-3</v>
      </c>
      <c r="I513" s="78">
        <v>68.853000000000009</v>
      </c>
      <c r="J513" s="78">
        <v>68.884000000000015</v>
      </c>
      <c r="K513" s="78">
        <v>67.291000000000011</v>
      </c>
      <c r="L513" s="78">
        <v>67.407000000000025</v>
      </c>
      <c r="M513" s="78">
        <v>30162269.999999993</v>
      </c>
      <c r="N513" s="78" t="s">
        <v>513</v>
      </c>
      <c r="O513" s="25">
        <f t="shared" si="15"/>
        <v>2.1451778005251443E-2</v>
      </c>
    </row>
    <row r="514" spans="1:15">
      <c r="A514" s="78">
        <v>504.49896090112452</v>
      </c>
      <c r="B514" s="78">
        <v>505.15254675684099</v>
      </c>
      <c r="C514" s="78">
        <v>501.72617242232747</v>
      </c>
      <c r="D514" s="78">
        <v>501.91432592624585</v>
      </c>
      <c r="E514" s="78">
        <v>3483136.5154078021</v>
      </c>
      <c r="F514" s="78" t="s">
        <v>514</v>
      </c>
      <c r="G514" s="25">
        <f t="shared" si="14"/>
        <v>5.149554099913134E-3</v>
      </c>
      <c r="I514" s="78">
        <v>67.407000000000025</v>
      </c>
      <c r="J514" s="78">
        <v>68.02300000000001</v>
      </c>
      <c r="K514" s="78">
        <v>66.536000000000016</v>
      </c>
      <c r="L514" s="78">
        <v>66.943000000000012</v>
      </c>
      <c r="M514" s="78">
        <v>35110139.999999993</v>
      </c>
      <c r="N514" s="78" t="s">
        <v>514</v>
      </c>
      <c r="O514" s="25">
        <f t="shared" si="15"/>
        <v>6.9312698863213118E-3</v>
      </c>
    </row>
    <row r="515" spans="1:15">
      <c r="A515" s="78">
        <v>503.43935958958423</v>
      </c>
      <c r="B515" s="78">
        <v>503.64731872549402</v>
      </c>
      <c r="C515" s="78">
        <v>499.58290595637737</v>
      </c>
      <c r="D515" s="78">
        <v>500.18133312699769</v>
      </c>
      <c r="E515" s="78">
        <v>4320945.680356387</v>
      </c>
      <c r="F515" s="78" t="s">
        <v>515</v>
      </c>
      <c r="G515" s="25">
        <f t="shared" si="14"/>
        <v>6.5136906293927765E-3</v>
      </c>
      <c r="I515" s="78">
        <v>66.322000000000017</v>
      </c>
      <c r="J515" s="78">
        <v>67.319000000000017</v>
      </c>
      <c r="K515" s="78">
        <v>65.98</v>
      </c>
      <c r="L515" s="78">
        <v>66.849000000000018</v>
      </c>
      <c r="M515" s="78">
        <v>32101729.999999993</v>
      </c>
      <c r="N515" s="78" t="s">
        <v>515</v>
      </c>
      <c r="O515" s="25">
        <f t="shared" si="15"/>
        <v>-7.8834387948959472E-3</v>
      </c>
    </row>
    <row r="516" spans="1:15">
      <c r="A516" s="78">
        <v>494.9427434652705</v>
      </c>
      <c r="B516" s="78">
        <v>495.98253914481938</v>
      </c>
      <c r="C516" s="78">
        <v>491.65302799149771</v>
      </c>
      <c r="D516" s="78">
        <v>494.07129565764859</v>
      </c>
      <c r="E516" s="78">
        <v>3736818.9024267974</v>
      </c>
      <c r="F516" s="78" t="s">
        <v>516</v>
      </c>
      <c r="G516" s="25">
        <f t="shared" si="14"/>
        <v>1.7638098292311888E-3</v>
      </c>
      <c r="I516" s="78">
        <v>66.168000000000006</v>
      </c>
      <c r="J516" s="78">
        <v>66.357000000000014</v>
      </c>
      <c r="K516" s="78">
        <v>64.870000000000019</v>
      </c>
      <c r="L516" s="78">
        <v>64.870000000000019</v>
      </c>
      <c r="M516" s="78">
        <v>40143439.999999993</v>
      </c>
      <c r="N516" s="78" t="s">
        <v>516</v>
      </c>
      <c r="O516" s="25">
        <f t="shared" si="15"/>
        <v>2.0009249267766149E-2</v>
      </c>
    </row>
    <row r="517" spans="1:15">
      <c r="A517" s="78">
        <v>493.36819572195355</v>
      </c>
      <c r="B517" s="78">
        <v>493.53654359388054</v>
      </c>
      <c r="C517" s="78">
        <v>488.12960606022637</v>
      </c>
      <c r="D517" s="78">
        <v>488.3474680121318</v>
      </c>
      <c r="E517" s="78">
        <v>3279761.0310128825</v>
      </c>
      <c r="F517" s="78" t="s">
        <v>517</v>
      </c>
      <c r="G517" s="25">
        <f t="shared" si="14"/>
        <v>1.0281056089548546E-2</v>
      </c>
      <c r="I517" s="78">
        <v>64.802000000000007</v>
      </c>
      <c r="J517" s="78">
        <v>65.097000000000008</v>
      </c>
      <c r="K517" s="78">
        <v>63.550000000000011</v>
      </c>
      <c r="L517" s="78">
        <v>63.856000000000009</v>
      </c>
      <c r="M517" s="78">
        <v>26395709.999999996</v>
      </c>
      <c r="N517" s="78" t="s">
        <v>517</v>
      </c>
      <c r="O517" s="25">
        <f t="shared" si="15"/>
        <v>1.4814582811325527E-2</v>
      </c>
    </row>
    <row r="518" spans="1:15">
      <c r="A518" s="78">
        <v>485.3073035014508</v>
      </c>
      <c r="B518" s="78">
        <v>487.56514554847126</v>
      </c>
      <c r="C518" s="78">
        <v>483.23761495834873</v>
      </c>
      <c r="D518" s="78">
        <v>486.16884849307701</v>
      </c>
      <c r="E518" s="78">
        <v>3613249.0006401851</v>
      </c>
      <c r="F518" s="78" t="s">
        <v>518</v>
      </c>
      <c r="G518" s="25">
        <f t="shared" si="14"/>
        <v>-1.7721106448852497E-3</v>
      </c>
      <c r="I518" s="78">
        <v>63.314000000000014</v>
      </c>
      <c r="J518" s="78">
        <v>63.900000000000013</v>
      </c>
      <c r="K518" s="78">
        <v>62.707000000000015</v>
      </c>
      <c r="L518" s="78">
        <v>63.100000000000016</v>
      </c>
      <c r="M518" s="78">
        <v>23317119.999999996</v>
      </c>
      <c r="N518" s="78" t="s">
        <v>518</v>
      </c>
      <c r="O518" s="25">
        <f t="shared" si="15"/>
        <v>3.3914421553089547E-3</v>
      </c>
    </row>
    <row r="519" spans="1:15">
      <c r="A519" s="78">
        <v>485.05973310155821</v>
      </c>
      <c r="B519" s="78">
        <v>486.43622452496101</v>
      </c>
      <c r="C519" s="78">
        <v>481.09860670327669</v>
      </c>
      <c r="D519" s="78">
        <v>482.19781927879984</v>
      </c>
      <c r="E519" s="78">
        <v>7736517.5757318391</v>
      </c>
      <c r="F519" s="78" t="s">
        <v>519</v>
      </c>
      <c r="G519" s="25">
        <f t="shared" si="14"/>
        <v>5.9351446819870812E-3</v>
      </c>
      <c r="I519" s="78">
        <v>63.39400000000002</v>
      </c>
      <c r="J519" s="78">
        <v>63.662000000000013</v>
      </c>
      <c r="K519" s="78">
        <v>62.299000000000014</v>
      </c>
      <c r="L519" s="78">
        <v>62.299000000000014</v>
      </c>
      <c r="M519" s="78">
        <v>19808359.999999996</v>
      </c>
      <c r="N519" s="78" t="s">
        <v>519</v>
      </c>
      <c r="O519" s="25">
        <f t="shared" si="15"/>
        <v>1.7576526107963231E-2</v>
      </c>
    </row>
    <row r="520" spans="1:15">
      <c r="A520" s="78">
        <v>482.99004455845613</v>
      </c>
      <c r="B520" s="78">
        <v>483.52479662222407</v>
      </c>
      <c r="C520" s="78">
        <v>474.97866641793183</v>
      </c>
      <c r="D520" s="78">
        <v>476.81068737713701</v>
      </c>
      <c r="E520" s="78">
        <v>4218228.4330157014</v>
      </c>
      <c r="F520" s="78" t="s">
        <v>520</v>
      </c>
      <c r="G520" s="25">
        <f t="shared" si="14"/>
        <v>1.295977071174903E-2</v>
      </c>
      <c r="I520" s="78">
        <v>63.035000000000018</v>
      </c>
      <c r="J520" s="78">
        <v>63.229000000000006</v>
      </c>
      <c r="K520" s="78">
        <v>61.602000000000011</v>
      </c>
      <c r="L520" s="78">
        <v>62.199000000000012</v>
      </c>
      <c r="M520" s="78">
        <v>32835419.999999993</v>
      </c>
      <c r="N520" s="78" t="s">
        <v>520</v>
      </c>
      <c r="O520" s="25">
        <f t="shared" si="15"/>
        <v>1.3440730558369252E-2</v>
      </c>
    </row>
    <row r="521" spans="1:15">
      <c r="A521" s="78">
        <v>471.97811317123364</v>
      </c>
      <c r="B521" s="78">
        <v>483.80207547010383</v>
      </c>
      <c r="C521" s="78">
        <v>471.48297237144845</v>
      </c>
      <c r="D521" s="78">
        <v>480.97977291132827</v>
      </c>
      <c r="E521" s="78">
        <v>6035001.5617707362</v>
      </c>
      <c r="F521" s="78" t="s">
        <v>521</v>
      </c>
      <c r="G521" s="25">
        <f t="shared" si="14"/>
        <v>-1.8715256331068519E-2</v>
      </c>
      <c r="I521" s="78">
        <v>61.14800000000001</v>
      </c>
      <c r="J521" s="78">
        <v>63.20000000000001</v>
      </c>
      <c r="K521" s="78">
        <v>61.064000000000007</v>
      </c>
      <c r="L521" s="78">
        <v>61.606500000000018</v>
      </c>
      <c r="M521" s="78">
        <v>31877909.999999993</v>
      </c>
      <c r="N521" s="78" t="s">
        <v>521</v>
      </c>
      <c r="O521" s="25">
        <f t="shared" si="15"/>
        <v>-7.4423965003693748E-3</v>
      </c>
    </row>
    <row r="522" spans="1:15">
      <c r="A522" s="78">
        <v>475.27575089780294</v>
      </c>
      <c r="B522" s="78">
        <v>482.12849956682993</v>
      </c>
      <c r="C522" s="78">
        <v>471.31462449952147</v>
      </c>
      <c r="D522" s="78">
        <v>472.75053281889848</v>
      </c>
      <c r="E522" s="78">
        <v>8336053.1020483728</v>
      </c>
      <c r="F522" s="78" t="s">
        <v>522</v>
      </c>
      <c r="G522" s="25">
        <f t="shared" si="14"/>
        <v>5.3415446490290286E-3</v>
      </c>
      <c r="I522" s="78">
        <v>60.957000000000015</v>
      </c>
      <c r="J522" s="78">
        <v>62.245000000000019</v>
      </c>
      <c r="K522" s="78">
        <v>60.062000000000012</v>
      </c>
      <c r="L522" s="78">
        <v>60.062000000000012</v>
      </c>
      <c r="M522" s="78">
        <v>43190569.999999993</v>
      </c>
      <c r="N522" s="78" t="s">
        <v>522</v>
      </c>
      <c r="O522" s="25">
        <f t="shared" si="15"/>
        <v>1.4901268689021308E-2</v>
      </c>
    </row>
    <row r="523" spans="1:15">
      <c r="A523" s="78">
        <v>470.58181611583939</v>
      </c>
      <c r="B523" s="78">
        <v>476.50370008127021</v>
      </c>
      <c r="C523" s="78">
        <v>464.33313922255036</v>
      </c>
      <c r="D523" s="78">
        <v>465.60069967000044</v>
      </c>
      <c r="E523" s="78">
        <v>15393879.888926227</v>
      </c>
      <c r="F523" s="78" t="s">
        <v>523</v>
      </c>
      <c r="G523" s="25">
        <f t="shared" si="14"/>
        <v>1.0698258076865752E-2</v>
      </c>
      <c r="I523" s="78">
        <v>59.855000000000004</v>
      </c>
      <c r="J523" s="78">
        <v>60.456270000000004</v>
      </c>
      <c r="K523" s="78">
        <v>58.704000000000008</v>
      </c>
      <c r="L523" s="78">
        <v>58.704000000000008</v>
      </c>
      <c r="M523" s="78">
        <v>40442349.999999993</v>
      </c>
      <c r="N523" s="78" t="s">
        <v>523</v>
      </c>
      <c r="O523" s="25">
        <f t="shared" si="15"/>
        <v>1.9606841101117434E-2</v>
      </c>
    </row>
    <row r="524" spans="1:15">
      <c r="A524" s="78">
        <v>485.14885844551952</v>
      </c>
      <c r="B524" s="78">
        <v>488.72377501996851</v>
      </c>
      <c r="C524" s="78">
        <v>481.07880107128534</v>
      </c>
      <c r="D524" s="78">
        <v>487.62456244444547</v>
      </c>
      <c r="E524" s="78">
        <v>8645183.3536180388</v>
      </c>
      <c r="F524" s="78" t="s">
        <v>524</v>
      </c>
      <c r="G524" s="25">
        <f t="shared" si="14"/>
        <v>-5.0770699214069959E-3</v>
      </c>
      <c r="I524" s="78">
        <v>61.364000000000011</v>
      </c>
      <c r="J524" s="78">
        <v>62.527000000000008</v>
      </c>
      <c r="K524" s="78">
        <v>60.835000000000015</v>
      </c>
      <c r="L524" s="78">
        <v>62.098000000000013</v>
      </c>
      <c r="M524" s="78">
        <v>35230029.999999993</v>
      </c>
      <c r="N524" s="78" t="s">
        <v>524</v>
      </c>
      <c r="O524" s="25">
        <f t="shared" si="15"/>
        <v>-1.1820026409868345E-2</v>
      </c>
    </row>
    <row r="525" spans="1:15">
      <c r="A525" s="78">
        <v>494.18022663360125</v>
      </c>
      <c r="B525" s="78">
        <v>504.9445876209312</v>
      </c>
      <c r="C525" s="78">
        <v>490.93210298701047</v>
      </c>
      <c r="D525" s="78">
        <v>502.90460752581623</v>
      </c>
      <c r="E525" s="78">
        <v>7007316.9116850803</v>
      </c>
      <c r="F525" s="78" t="s">
        <v>525</v>
      </c>
      <c r="G525" s="25">
        <f t="shared" si="14"/>
        <v>-1.7347983616887275E-2</v>
      </c>
      <c r="I525" s="78">
        <v>62.485000000000014</v>
      </c>
      <c r="J525" s="78">
        <v>64.670990000000003</v>
      </c>
      <c r="K525" s="78">
        <v>61.76100000000001</v>
      </c>
      <c r="L525" s="78">
        <v>62.925000000000011</v>
      </c>
      <c r="M525" s="78">
        <v>37205729.999999993</v>
      </c>
      <c r="N525" s="78" t="s">
        <v>525</v>
      </c>
      <c r="O525" s="25">
        <f t="shared" si="15"/>
        <v>-6.9924513309495007E-3</v>
      </c>
    </row>
    <row r="526" spans="1:15">
      <c r="A526" s="78">
        <v>501.01316967063684</v>
      </c>
      <c r="B526" s="78">
        <v>503.7099045225869</v>
      </c>
      <c r="C526" s="78">
        <v>498.41368047176462</v>
      </c>
      <c r="D526" s="78">
        <v>499.57726135125984</v>
      </c>
      <c r="E526" s="78">
        <v>5420263.289077281</v>
      </c>
      <c r="F526" s="78" t="s">
        <v>526</v>
      </c>
      <c r="G526" s="25">
        <f t="shared" si="14"/>
        <v>2.8742467491278401E-3</v>
      </c>
      <c r="I526" s="78">
        <v>62.835000000000015</v>
      </c>
      <c r="J526" s="78">
        <v>63.359990000000018</v>
      </c>
      <c r="K526" s="78">
        <v>62.258000000000017</v>
      </c>
      <c r="L526" s="78">
        <v>62.657000000000018</v>
      </c>
      <c r="M526" s="78">
        <v>31348769.999999993</v>
      </c>
      <c r="N526" s="78" t="s">
        <v>526</v>
      </c>
      <c r="O526" s="25">
        <f t="shared" si="15"/>
        <v>2.8408637502592704E-3</v>
      </c>
    </row>
    <row r="527" spans="1:15">
      <c r="A527" s="78">
        <v>493.23945911400943</v>
      </c>
      <c r="B527" s="78">
        <v>498.12154739989137</v>
      </c>
      <c r="C527" s="78">
        <v>490.10521785136922</v>
      </c>
      <c r="D527" s="78">
        <v>497.1708770643038</v>
      </c>
      <c r="E527" s="78">
        <v>3855267.0287485314</v>
      </c>
      <c r="F527" s="78" t="s">
        <v>527</v>
      </c>
      <c r="G527" s="25">
        <f t="shared" si="14"/>
        <v>-7.9075789264017038E-3</v>
      </c>
      <c r="I527" s="78">
        <v>62.258000000000017</v>
      </c>
      <c r="J527" s="78">
        <v>63.469000000000015</v>
      </c>
      <c r="K527" s="78">
        <v>61.700010000000006</v>
      </c>
      <c r="L527" s="78">
        <v>63.01700000000001</v>
      </c>
      <c r="M527" s="78">
        <v>34966089.999999993</v>
      </c>
      <c r="N527" s="78" t="s">
        <v>527</v>
      </c>
      <c r="O527" s="25">
        <f t="shared" si="15"/>
        <v>-1.2044368979798992E-2</v>
      </c>
    </row>
    <row r="528" spans="1:15">
      <c r="A528" s="78">
        <v>495.8339969048838</v>
      </c>
      <c r="B528" s="78">
        <v>497.87892840799663</v>
      </c>
      <c r="C528" s="78">
        <v>493.92730871307106</v>
      </c>
      <c r="D528" s="78">
        <v>496.9431122964026</v>
      </c>
      <c r="E528" s="78">
        <v>3126563.1930788858</v>
      </c>
      <c r="F528" s="78" t="s">
        <v>528</v>
      </c>
      <c r="G528" s="25">
        <f t="shared" si="14"/>
        <v>-2.2318759714637926E-3</v>
      </c>
      <c r="I528" s="78">
        <v>62.696000000000019</v>
      </c>
      <c r="J528" s="78">
        <v>63.461000000000013</v>
      </c>
      <c r="K528" s="78">
        <v>62.393000000000008</v>
      </c>
      <c r="L528" s="78">
        <v>63.461000000000013</v>
      </c>
      <c r="M528" s="78">
        <v>24005369.999999996</v>
      </c>
      <c r="N528" s="78" t="s">
        <v>528</v>
      </c>
      <c r="O528" s="25">
        <f t="shared" si="15"/>
        <v>-1.2054647736404966E-2</v>
      </c>
    </row>
    <row r="529" spans="1:15">
      <c r="A529" s="78">
        <v>495.46759271304273</v>
      </c>
      <c r="B529" s="78">
        <v>497.99776219994504</v>
      </c>
      <c r="C529" s="78">
        <v>492.83344365818562</v>
      </c>
      <c r="D529" s="78">
        <v>493.51673796188913</v>
      </c>
      <c r="E529" s="78">
        <v>3671666.7275020173</v>
      </c>
      <c r="F529" s="78" t="s">
        <v>529</v>
      </c>
      <c r="G529" s="25">
        <f t="shared" si="14"/>
        <v>3.9529657275865215E-3</v>
      </c>
      <c r="I529" s="78">
        <v>63.137000000000015</v>
      </c>
      <c r="J529" s="78">
        <v>64.698990000000009</v>
      </c>
      <c r="K529" s="78">
        <v>62.977000000000011</v>
      </c>
      <c r="L529" s="78">
        <v>64.500000000000014</v>
      </c>
      <c r="M529" s="78">
        <v>31206589.999999993</v>
      </c>
      <c r="N529" s="78" t="s">
        <v>529</v>
      </c>
      <c r="O529" s="25">
        <f t="shared" si="15"/>
        <v>-2.1131782945736477E-2</v>
      </c>
    </row>
    <row r="530" spans="1:15">
      <c r="A530" s="78">
        <v>489.97152983542719</v>
      </c>
      <c r="B530" s="78">
        <v>498.25028400783549</v>
      </c>
      <c r="C530" s="78">
        <v>489.11988765979675</v>
      </c>
      <c r="D530" s="78">
        <v>492.71460986623714</v>
      </c>
      <c r="E530" s="78">
        <v>5702015.4695894197</v>
      </c>
      <c r="F530" s="78" t="s">
        <v>530</v>
      </c>
      <c r="G530" s="25">
        <f t="shared" si="14"/>
        <v>-5.5672796703849503E-3</v>
      </c>
      <c r="I530" s="78">
        <v>63.409000000000013</v>
      </c>
      <c r="J530" s="78">
        <v>64.998000000000019</v>
      </c>
      <c r="K530" s="78">
        <v>62.170010000000012</v>
      </c>
      <c r="L530" s="78">
        <v>64.100000000000009</v>
      </c>
      <c r="M530" s="78">
        <v>45545389.999999993</v>
      </c>
      <c r="N530" s="78" t="s">
        <v>530</v>
      </c>
      <c r="O530" s="25">
        <f t="shared" si="15"/>
        <v>-1.078003120124793E-2</v>
      </c>
    </row>
    <row r="531" spans="1:15">
      <c r="A531" s="78">
        <v>492.45713665034884</v>
      </c>
      <c r="B531" s="78">
        <v>499.79512330316527</v>
      </c>
      <c r="C531" s="78">
        <v>491.71937685866897</v>
      </c>
      <c r="D531" s="78">
        <v>499.52774727128127</v>
      </c>
      <c r="E531" s="78">
        <v>6217829.3554796651</v>
      </c>
      <c r="F531" s="78" t="s">
        <v>531</v>
      </c>
      <c r="G531" s="25">
        <f t="shared" si="14"/>
        <v>-1.4154590329679029E-2</v>
      </c>
      <c r="I531" s="78">
        <v>63.599000000000011</v>
      </c>
      <c r="J531" s="78">
        <v>65.242000000000004</v>
      </c>
      <c r="K531" s="78">
        <v>63.267440000000015</v>
      </c>
      <c r="L531" s="78">
        <v>63.574000000000012</v>
      </c>
      <c r="M531" s="78">
        <v>48881629.999999993</v>
      </c>
      <c r="N531" s="78" t="s">
        <v>531</v>
      </c>
      <c r="O531" s="25">
        <f t="shared" si="15"/>
        <v>3.932425205273038E-4</v>
      </c>
    </row>
    <row r="532" spans="1:15">
      <c r="A532" s="78">
        <v>503.99391728534363</v>
      </c>
      <c r="B532" s="78">
        <v>506.67758042017931</v>
      </c>
      <c r="C532" s="78">
        <v>503.548290565537</v>
      </c>
      <c r="D532" s="78">
        <v>504.70692003703437</v>
      </c>
      <c r="E532" s="78">
        <v>3146625.1633392838</v>
      </c>
      <c r="F532" s="78" t="s">
        <v>532</v>
      </c>
      <c r="G532" s="25">
        <f t="shared" si="14"/>
        <v>-1.4127065102226277E-3</v>
      </c>
      <c r="I532" s="78">
        <v>64.27600000000001</v>
      </c>
      <c r="J532" s="78">
        <v>64.991000000000014</v>
      </c>
      <c r="K532" s="78">
        <v>64.100010000000012</v>
      </c>
      <c r="L532" s="78">
        <v>64.750000000000014</v>
      </c>
      <c r="M532" s="78">
        <v>24635789.999999996</v>
      </c>
      <c r="N532" s="78" t="s">
        <v>532</v>
      </c>
      <c r="O532" s="25">
        <f t="shared" si="15"/>
        <v>-7.3204633204633218E-3</v>
      </c>
    </row>
    <row r="533" spans="1:15">
      <c r="A533" s="78">
        <v>504.83565664497849</v>
      </c>
      <c r="B533" s="78">
        <v>505.36050589275072</v>
      </c>
      <c r="C533" s="78">
        <v>501.51821328641773</v>
      </c>
      <c r="D533" s="78">
        <v>503.33042861363151</v>
      </c>
      <c r="E533" s="78">
        <v>4385549.5264015486</v>
      </c>
      <c r="F533" s="78" t="s">
        <v>533</v>
      </c>
      <c r="G533" s="25">
        <f t="shared" si="14"/>
        <v>2.9905365258622307E-3</v>
      </c>
      <c r="I533" s="78">
        <v>64.750000000000014</v>
      </c>
      <c r="J533" s="78">
        <v>65.629000000000005</v>
      </c>
      <c r="K533" s="78">
        <v>63.260000000000012</v>
      </c>
      <c r="L533" s="78">
        <v>63.95000000000001</v>
      </c>
      <c r="M533" s="78">
        <v>52190769.999999993</v>
      </c>
      <c r="N533" s="78" t="s">
        <v>533</v>
      </c>
      <c r="O533" s="25">
        <f t="shared" si="15"/>
        <v>1.2509773260359625E-2</v>
      </c>
    </row>
    <row r="534" spans="1:15">
      <c r="A534" s="78">
        <v>499.64658106322975</v>
      </c>
      <c r="B534" s="78">
        <v>504.25139050123192</v>
      </c>
      <c r="C534" s="78">
        <v>498.66620227965507</v>
      </c>
      <c r="D534" s="78">
        <v>502.70655120590214</v>
      </c>
      <c r="E534" s="78">
        <v>4079079.1243142341</v>
      </c>
      <c r="F534" s="78" t="s">
        <v>534</v>
      </c>
      <c r="G534" s="25">
        <f t="shared" si="14"/>
        <v>-6.0869907808682733E-3</v>
      </c>
      <c r="I534" s="78">
        <v>63.334000000000017</v>
      </c>
      <c r="J534" s="78">
        <v>67.89700000000002</v>
      </c>
      <c r="K534" s="78">
        <v>62.912010000000009</v>
      </c>
      <c r="L534" s="78">
        <v>66.064000000000007</v>
      </c>
      <c r="M534" s="78">
        <v>98156309.999999985</v>
      </c>
      <c r="N534" s="78" t="s">
        <v>534</v>
      </c>
      <c r="O534" s="25">
        <f t="shared" si="15"/>
        <v>-4.1323565027851616E-2</v>
      </c>
    </row>
    <row r="535" spans="1:15">
      <c r="A535" s="78">
        <v>503.0036356857733</v>
      </c>
      <c r="B535" s="78">
        <v>509.19289568308812</v>
      </c>
      <c r="C535" s="78">
        <v>500.95474305626215</v>
      </c>
      <c r="D535" s="78">
        <v>508.26203097949195</v>
      </c>
      <c r="E535" s="78">
        <v>5105466.9724182151</v>
      </c>
      <c r="F535" s="78" t="s">
        <v>535</v>
      </c>
      <c r="G535" s="25">
        <f t="shared" si="14"/>
        <v>-1.0345835362883582E-2</v>
      </c>
      <c r="I535" s="78">
        <v>64.304000000000002</v>
      </c>
      <c r="J535" s="78">
        <v>65.703950000000006</v>
      </c>
      <c r="K535" s="78">
        <v>63.916500000000006</v>
      </c>
      <c r="L535" s="78">
        <v>65.660000000000011</v>
      </c>
      <c r="M535" s="78">
        <v>75757629.999999985</v>
      </c>
      <c r="N535" s="78" t="s">
        <v>535</v>
      </c>
      <c r="O535" s="25">
        <f t="shared" si="15"/>
        <v>-2.0651842826683087E-2</v>
      </c>
    </row>
    <row r="536" spans="1:15">
      <c r="A536" s="78">
        <v>506.81621984411925</v>
      </c>
      <c r="B536" s="78">
        <v>510.10395475469284</v>
      </c>
      <c r="C536" s="78">
        <v>506.588455076218</v>
      </c>
      <c r="D536" s="78">
        <v>508.5690182753587</v>
      </c>
      <c r="E536" s="78">
        <v>5033220.8557267217</v>
      </c>
      <c r="F536" s="78" t="s">
        <v>536</v>
      </c>
      <c r="G536" s="25">
        <f t="shared" si="14"/>
        <v>-3.4465301035904172E-3</v>
      </c>
      <c r="I536" s="78">
        <v>64.746000000000009</v>
      </c>
      <c r="J536" s="78">
        <v>65.045000000000016</v>
      </c>
      <c r="K536" s="78">
        <v>63.947000000000017</v>
      </c>
      <c r="L536" s="78">
        <v>65.000000000000014</v>
      </c>
      <c r="M536" s="78">
        <v>40172769.999999993</v>
      </c>
      <c r="N536" s="78" t="s">
        <v>536</v>
      </c>
      <c r="O536" s="25">
        <f t="shared" si="15"/>
        <v>-3.9076923076923897E-3</v>
      </c>
    </row>
    <row r="537" spans="1:15">
      <c r="A537" s="78">
        <v>513.99576144100433</v>
      </c>
      <c r="B537" s="78">
        <v>514.3522628168497</v>
      </c>
      <c r="C537" s="78">
        <v>511.57947433805271</v>
      </c>
      <c r="D537" s="78">
        <v>512.30237990573903</v>
      </c>
      <c r="E537" s="78">
        <v>4205167.5016547516</v>
      </c>
      <c r="F537" s="78" t="s">
        <v>537</v>
      </c>
      <c r="G537" s="25">
        <f t="shared" si="14"/>
        <v>3.3054336690312436E-3</v>
      </c>
      <c r="I537" s="78">
        <v>65.632000000000019</v>
      </c>
      <c r="J537" s="78">
        <v>66.367500000000007</v>
      </c>
      <c r="K537" s="78">
        <v>64.913000000000011</v>
      </c>
      <c r="L537" s="78">
        <v>66.180000000000007</v>
      </c>
      <c r="M537" s="78">
        <v>26857059.999999996</v>
      </c>
      <c r="N537" s="78" t="s">
        <v>537</v>
      </c>
      <c r="O537" s="25">
        <f t="shared" si="15"/>
        <v>-8.2804472650345184E-3</v>
      </c>
    </row>
    <row r="538" spans="1:15">
      <c r="A538" s="78">
        <v>511.09423635426322</v>
      </c>
      <c r="B538" s="78">
        <v>514.07498396897006</v>
      </c>
      <c r="C538" s="78">
        <v>509.34143792302365</v>
      </c>
      <c r="D538" s="78">
        <v>511.5596687060613</v>
      </c>
      <c r="E538" s="78">
        <v>7847791.9849986648</v>
      </c>
      <c r="F538" s="78" t="s">
        <v>538</v>
      </c>
      <c r="G538" s="25">
        <f t="shared" si="14"/>
        <v>-9.0983003600608736E-4</v>
      </c>
      <c r="I538" s="78">
        <v>65.64500000000001</v>
      </c>
      <c r="J538" s="78">
        <v>66.754000000000005</v>
      </c>
      <c r="K538" s="78">
        <v>64.663000000000011</v>
      </c>
      <c r="L538" s="78">
        <v>64.750000000000014</v>
      </c>
      <c r="M538" s="78">
        <v>32087629.999999993</v>
      </c>
      <c r="N538" s="78" t="s">
        <v>538</v>
      </c>
      <c r="O538" s="25">
        <f t="shared" si="15"/>
        <v>1.3822393822393808E-2</v>
      </c>
    </row>
    <row r="539" spans="1:15">
      <c r="A539" s="78">
        <v>509.54939705893338</v>
      </c>
      <c r="B539" s="78">
        <v>512.99557702543825</v>
      </c>
      <c r="C539" s="78">
        <v>507.1925268519559</v>
      </c>
      <c r="D539" s="78">
        <v>507.50941696381847</v>
      </c>
      <c r="E539" s="78">
        <v>5289576.2198071387</v>
      </c>
      <c r="F539" s="78" t="s">
        <v>539</v>
      </c>
      <c r="G539" s="25">
        <f t="shared" si="14"/>
        <v>4.0195906261584202E-3</v>
      </c>
      <c r="I539" s="78">
        <v>64.760000000000019</v>
      </c>
      <c r="J539" s="78">
        <v>65.592000000000013</v>
      </c>
      <c r="K539" s="78">
        <v>64.370750000000015</v>
      </c>
      <c r="L539" s="78">
        <v>65.275000000000006</v>
      </c>
      <c r="M539" s="78">
        <v>33551969.999999993</v>
      </c>
      <c r="N539" s="78" t="s">
        <v>539</v>
      </c>
      <c r="O539" s="25">
        <f t="shared" si="15"/>
        <v>-7.889697433933196E-3</v>
      </c>
    </row>
    <row r="540" spans="1:15">
      <c r="A540" s="78">
        <v>506.42010720429101</v>
      </c>
      <c r="B540" s="78">
        <v>511.76762784197103</v>
      </c>
      <c r="C540" s="78">
        <v>505.86059810053376</v>
      </c>
      <c r="D540" s="78">
        <v>510.98530537831044</v>
      </c>
      <c r="E540" s="78">
        <v>5600738.2166913431</v>
      </c>
      <c r="F540" s="78" t="s">
        <v>540</v>
      </c>
      <c r="G540" s="25">
        <f t="shared" si="14"/>
        <v>-8.9341085271318343E-3</v>
      </c>
      <c r="I540" s="78">
        <v>65.275000000000006</v>
      </c>
      <c r="J540" s="78">
        <v>67.248500000000021</v>
      </c>
      <c r="K540" s="78">
        <v>64.744000000000014</v>
      </c>
      <c r="L540" s="78">
        <v>67.248500000000021</v>
      </c>
      <c r="M540" s="78">
        <v>51119279.999999993</v>
      </c>
      <c r="N540" s="78" t="s">
        <v>540</v>
      </c>
      <c r="O540" s="25">
        <f t="shared" si="15"/>
        <v>-2.9346379473148332E-2</v>
      </c>
    </row>
    <row r="541" spans="1:15">
      <c r="A541" s="78">
        <v>510.79715187439206</v>
      </c>
      <c r="B541" s="78">
        <v>511.16850747423092</v>
      </c>
      <c r="C541" s="78">
        <v>506.71719168416217</v>
      </c>
      <c r="D541" s="78">
        <v>507.00437334803757</v>
      </c>
      <c r="E541" s="78">
        <v>3480750.3254583725</v>
      </c>
      <c r="F541" s="78" t="s">
        <v>541</v>
      </c>
      <c r="G541" s="25">
        <f t="shared" si="14"/>
        <v>7.480760967225164E-3</v>
      </c>
      <c r="I541" s="78">
        <v>67.765000000000015</v>
      </c>
      <c r="J541" s="78">
        <v>68.722000000000023</v>
      </c>
      <c r="K541" s="78">
        <v>67.316000000000017</v>
      </c>
      <c r="L541" s="78">
        <v>68.50200000000001</v>
      </c>
      <c r="M541" s="78">
        <v>26519279.999999996</v>
      </c>
      <c r="N541" s="78" t="s">
        <v>541</v>
      </c>
      <c r="O541" s="25">
        <f t="shared" si="15"/>
        <v>-1.0758809961752824E-2</v>
      </c>
    </row>
    <row r="542" spans="1:15">
      <c r="A542" s="78">
        <v>505.92496640450588</v>
      </c>
      <c r="B542" s="78">
        <v>507.03408179602468</v>
      </c>
      <c r="C542" s="78">
        <v>505.57836784465627</v>
      </c>
      <c r="D542" s="78">
        <v>506.24185651636839</v>
      </c>
      <c r="E542" s="78">
        <v>3176695.3979199519</v>
      </c>
      <c r="F542" s="78" t="s">
        <v>542</v>
      </c>
      <c r="G542" s="25">
        <f t="shared" si="14"/>
        <v>-6.2596584573848535E-4</v>
      </c>
      <c r="I542" s="78">
        <v>68.574000000000012</v>
      </c>
      <c r="J542" s="78">
        <v>69.527000000000015</v>
      </c>
      <c r="K542" s="78">
        <v>68.472000000000023</v>
      </c>
      <c r="L542" s="78">
        <v>69.000000000000014</v>
      </c>
      <c r="M542" s="78">
        <v>25994739.999999996</v>
      </c>
      <c r="N542" s="78" t="s">
        <v>542</v>
      </c>
      <c r="O542" s="25">
        <f t="shared" si="15"/>
        <v>-6.1739130434782519E-3</v>
      </c>
    </row>
    <row r="543" spans="1:15">
      <c r="A543" s="78">
        <v>505.37040870874642</v>
      </c>
      <c r="B543" s="78">
        <v>506.23690510837054</v>
      </c>
      <c r="C543" s="78">
        <v>504.3702242931804</v>
      </c>
      <c r="D543" s="78">
        <v>505.53875658067341</v>
      </c>
      <c r="E543" s="78">
        <v>3174227.4130547778</v>
      </c>
      <c r="F543" s="78" t="s">
        <v>543</v>
      </c>
      <c r="G543" s="25">
        <f t="shared" si="14"/>
        <v>-3.330068560235544E-4</v>
      </c>
      <c r="I543" s="78">
        <v>68.574000000000012</v>
      </c>
      <c r="J543" s="78">
        <v>68.88600000000001</v>
      </c>
      <c r="K543" s="78">
        <v>68.148500000000013</v>
      </c>
      <c r="L543" s="78">
        <v>68.700000000000017</v>
      </c>
      <c r="M543" s="78">
        <v>19307859.999999996</v>
      </c>
      <c r="N543" s="78" t="s">
        <v>543</v>
      </c>
      <c r="O543" s="25">
        <f t="shared" si="15"/>
        <v>-1.8340611353712122E-3</v>
      </c>
    </row>
    <row r="544" spans="1:15">
      <c r="A544" s="78">
        <v>504.88517072495694</v>
      </c>
      <c r="B544" s="78">
        <v>505.14264394084529</v>
      </c>
      <c r="C544" s="78">
        <v>501.56772736639624</v>
      </c>
      <c r="D544" s="78">
        <v>502.20150759012125</v>
      </c>
      <c r="E544" s="78">
        <v>3187903.3210044717</v>
      </c>
      <c r="F544" s="78" t="s">
        <v>544</v>
      </c>
      <c r="G544" s="25">
        <f t="shared" si="14"/>
        <v>5.3437974483860895E-3</v>
      </c>
      <c r="I544" s="78">
        <v>69.065000000000012</v>
      </c>
      <c r="J544" s="78">
        <v>69.749000000000009</v>
      </c>
      <c r="K544" s="78">
        <v>67.723000000000013</v>
      </c>
      <c r="L544" s="78">
        <v>68.251000000000019</v>
      </c>
      <c r="M544" s="78">
        <v>26590649.999999996</v>
      </c>
      <c r="N544" s="78" t="s">
        <v>544</v>
      </c>
      <c r="O544" s="25">
        <f t="shared" si="15"/>
        <v>1.1926565178532078E-2</v>
      </c>
    </row>
    <row r="545" spans="1:15">
      <c r="A545" s="78">
        <v>501.88461747825875</v>
      </c>
      <c r="B545" s="78">
        <v>502.21141040611695</v>
      </c>
      <c r="C545" s="78">
        <v>499.31978813537154</v>
      </c>
      <c r="D545" s="78">
        <v>499.31978813537154</v>
      </c>
      <c r="E545" s="78">
        <v>2151999.9977022349</v>
      </c>
      <c r="F545" s="78" t="s">
        <v>545</v>
      </c>
      <c r="G545" s="25">
        <f t="shared" si="14"/>
        <v>5.1366467018363338E-3</v>
      </c>
      <c r="I545" s="78">
        <v>68.251000000000019</v>
      </c>
      <c r="J545" s="78">
        <v>68.374990000000011</v>
      </c>
      <c r="K545" s="78">
        <v>67.550000000000011</v>
      </c>
      <c r="L545" s="78">
        <v>67.748000000000019</v>
      </c>
      <c r="M545" s="78">
        <v>14035449.999999998</v>
      </c>
      <c r="N545" s="78" t="s">
        <v>545</v>
      </c>
      <c r="O545" s="25">
        <f t="shared" si="15"/>
        <v>7.4245734191416002E-3</v>
      </c>
    </row>
    <row r="546" spans="1:15">
      <c r="A546" s="78">
        <v>499.62677543123829</v>
      </c>
      <c r="B546" s="78">
        <v>499.70599795920396</v>
      </c>
      <c r="C546" s="78">
        <v>494.75458996135211</v>
      </c>
      <c r="D546" s="78">
        <v>494.83381248931772</v>
      </c>
      <c r="E546" s="78">
        <v>4251399.8056982309</v>
      </c>
      <c r="F546" s="78" t="s">
        <v>546</v>
      </c>
      <c r="G546" s="25">
        <f t="shared" si="14"/>
        <v>9.6860053233003285E-3</v>
      </c>
      <c r="I546" s="78">
        <v>67.958000000000013</v>
      </c>
      <c r="J546" s="78">
        <v>68.174000000000021</v>
      </c>
      <c r="K546" s="78">
        <v>67.007000000000019</v>
      </c>
      <c r="L546" s="78">
        <v>67.354000000000013</v>
      </c>
      <c r="M546" s="78">
        <v>24114259.999999996</v>
      </c>
      <c r="N546" s="78" t="s">
        <v>546</v>
      </c>
      <c r="O546" s="25">
        <f t="shared" si="15"/>
        <v>8.9675446150190297E-3</v>
      </c>
    </row>
    <row r="547" spans="1:15">
      <c r="A547" s="78">
        <v>496.40836023263461</v>
      </c>
      <c r="B547" s="78">
        <v>496.8043738443028</v>
      </c>
      <c r="C547" s="78">
        <v>493.75440554578603</v>
      </c>
      <c r="D547" s="78">
        <v>496.6163193685444</v>
      </c>
      <c r="E547" s="78">
        <v>4411397.7295905249</v>
      </c>
      <c r="F547" s="78" t="s">
        <v>547</v>
      </c>
      <c r="G547" s="25">
        <f t="shared" si="14"/>
        <v>-4.1875211868636075E-4</v>
      </c>
      <c r="I547" s="78">
        <v>67.361000000000018</v>
      </c>
      <c r="J547" s="78">
        <v>67.50200000000001</v>
      </c>
      <c r="K547" s="78">
        <v>66.378000000000014</v>
      </c>
      <c r="L547" s="78">
        <v>67.489000000000019</v>
      </c>
      <c r="M547" s="78">
        <v>22128259.999999996</v>
      </c>
      <c r="N547" s="78" t="s">
        <v>547</v>
      </c>
      <c r="O547" s="25">
        <f t="shared" si="15"/>
        <v>-1.8966053727274002E-3</v>
      </c>
    </row>
    <row r="548" spans="1:15">
      <c r="A548" s="78">
        <v>495.2695363931287</v>
      </c>
      <c r="B548" s="78">
        <v>500.81511335072275</v>
      </c>
      <c r="C548" s="78">
        <v>494.16042100160985</v>
      </c>
      <c r="D548" s="78">
        <v>498.08193613590856</v>
      </c>
      <c r="E548" s="78">
        <v>5653514.1139943674</v>
      </c>
      <c r="F548" s="78" t="s">
        <v>548</v>
      </c>
      <c r="G548" s="25">
        <f t="shared" si="14"/>
        <v>-5.6464600274370724E-3</v>
      </c>
      <c r="I548" s="78">
        <v>67.488000000000014</v>
      </c>
      <c r="J548" s="78">
        <v>68.700000000000017</v>
      </c>
      <c r="K548" s="78">
        <v>67.308000000000021</v>
      </c>
      <c r="L548" s="78">
        <v>67.90000000000002</v>
      </c>
      <c r="M548" s="78">
        <v>34123909.999999993</v>
      </c>
      <c r="N548" s="78" t="s">
        <v>548</v>
      </c>
      <c r="O548" s="25">
        <f t="shared" si="15"/>
        <v>-6.067746686303499E-3</v>
      </c>
    </row>
    <row r="549" spans="1:15">
      <c r="A549" s="78">
        <v>497.18721671069676</v>
      </c>
      <c r="B549" s="78">
        <v>497.80888575213316</v>
      </c>
      <c r="C549" s="78">
        <v>495.67744903863684</v>
      </c>
      <c r="D549" s="78">
        <v>496.34845689288568</v>
      </c>
      <c r="E549" s="78">
        <v>3668161.832107625</v>
      </c>
      <c r="F549" s="78" t="s">
        <v>549</v>
      </c>
      <c r="G549" s="25">
        <f t="shared" si="14"/>
        <v>1.6898608349902311E-3</v>
      </c>
      <c r="I549" s="78">
        <v>68.434000000000012</v>
      </c>
      <c r="J549" s="78">
        <v>68.857000000000014</v>
      </c>
      <c r="K549" s="78">
        <v>67.814000000000007</v>
      </c>
      <c r="L549" s="78">
        <v>67.935000000000016</v>
      </c>
      <c r="M549" s="78">
        <v>24048489.999999996</v>
      </c>
      <c r="N549" s="78" t="s">
        <v>549</v>
      </c>
      <c r="O549" s="25">
        <f t="shared" si="15"/>
        <v>7.3452564951792532E-3</v>
      </c>
    </row>
    <row r="550" spans="1:15">
      <c r="A550" s="78">
        <v>496.41753123082304</v>
      </c>
      <c r="B550" s="78">
        <v>497.10827461019687</v>
      </c>
      <c r="C550" s="78">
        <v>494.26635899220179</v>
      </c>
      <c r="D550" s="78">
        <v>494.83868922082587</v>
      </c>
      <c r="E550" s="78">
        <v>3245619.2371071526</v>
      </c>
      <c r="F550" s="78" t="s">
        <v>550</v>
      </c>
      <c r="G550" s="25">
        <f t="shared" si="14"/>
        <v>3.1906195784392466E-3</v>
      </c>
      <c r="I550" s="78">
        <v>67.76900000000002</v>
      </c>
      <c r="J550" s="78">
        <v>68.296000000000021</v>
      </c>
      <c r="K550" s="78">
        <v>67.00200000000001</v>
      </c>
      <c r="L550" s="78">
        <v>67.241000000000014</v>
      </c>
      <c r="M550" s="78">
        <v>35458149.999999993</v>
      </c>
      <c r="N550" s="78" t="s">
        <v>550</v>
      </c>
      <c r="O550" s="25">
        <f t="shared" si="15"/>
        <v>7.8523519876265713E-3</v>
      </c>
    </row>
    <row r="551" spans="1:15">
      <c r="A551" s="78">
        <v>495.86493652732401</v>
      </c>
      <c r="B551" s="78">
        <v>496.18070492932344</v>
      </c>
      <c r="C551" s="78">
        <v>493.70389652614028</v>
      </c>
      <c r="D551" s="78">
        <v>495.07551552232536</v>
      </c>
      <c r="E551" s="78">
        <v>6421642.1502602752</v>
      </c>
      <c r="F551" s="78" t="s">
        <v>551</v>
      </c>
      <c r="G551" s="25">
        <f t="shared" si="14"/>
        <v>1.5945466504554417E-3</v>
      </c>
      <c r="I551" s="78">
        <v>67.241000000000014</v>
      </c>
      <c r="J551" s="78">
        <v>67.366500000000016</v>
      </c>
      <c r="K551" s="78">
        <v>66.23</v>
      </c>
      <c r="L551" s="78">
        <v>67.344000000000023</v>
      </c>
      <c r="M551" s="78">
        <v>22787679.999999996</v>
      </c>
      <c r="N551" s="78" t="s">
        <v>551</v>
      </c>
      <c r="O551" s="25">
        <f t="shared" si="15"/>
        <v>-1.5294606794964416E-3</v>
      </c>
    </row>
    <row r="552" spans="1:15">
      <c r="A552" s="78">
        <v>493.81244191432762</v>
      </c>
      <c r="B552" s="78">
        <v>497.76892131375513</v>
      </c>
      <c r="C552" s="78">
        <v>493.81244191432762</v>
      </c>
      <c r="D552" s="78">
        <v>495.39128392432485</v>
      </c>
      <c r="E552" s="78">
        <v>7116956.8131896658</v>
      </c>
      <c r="F552" s="78" t="s">
        <v>552</v>
      </c>
      <c r="G552" s="25">
        <f t="shared" si="14"/>
        <v>-3.1870605342310121E-3</v>
      </c>
      <c r="I552" s="78">
        <v>66.902000000000015</v>
      </c>
      <c r="J552" s="78">
        <v>68.550000000000011</v>
      </c>
      <c r="K552" s="78">
        <v>66.450000000000017</v>
      </c>
      <c r="L552" s="78">
        <v>68.500000000000014</v>
      </c>
      <c r="M552" s="78">
        <v>39163349.999999993</v>
      </c>
      <c r="N552" s="78" t="s">
        <v>552</v>
      </c>
      <c r="O552" s="25">
        <f t="shared" si="15"/>
        <v>-2.3328467153284627E-2</v>
      </c>
    </row>
    <row r="553" spans="1:15">
      <c r="A553" s="78">
        <v>495.14458986026278</v>
      </c>
      <c r="B553" s="78">
        <v>496.56130453135847</v>
      </c>
      <c r="C553" s="78">
        <v>494.22688794195193</v>
      </c>
      <c r="D553" s="78">
        <v>495.46035826226228</v>
      </c>
      <c r="E553" s="78">
        <v>4406103.1793878563</v>
      </c>
      <c r="F553" s="78" t="s">
        <v>553</v>
      </c>
      <c r="G553" s="25">
        <f t="shared" si="14"/>
        <v>-6.3732324238208182E-4</v>
      </c>
      <c r="I553" s="78">
        <v>68.612000000000009</v>
      </c>
      <c r="J553" s="78">
        <v>68.690000000000012</v>
      </c>
      <c r="K553" s="78">
        <v>67.810000000000016</v>
      </c>
      <c r="L553" s="78">
        <v>68.326000000000008</v>
      </c>
      <c r="M553" s="78">
        <v>45570859.999999993</v>
      </c>
      <c r="N553" s="78" t="s">
        <v>553</v>
      </c>
      <c r="O553" s="25">
        <f t="shared" si="15"/>
        <v>4.1858150630800228E-3</v>
      </c>
    </row>
    <row r="554" spans="1:15">
      <c r="A554" s="78">
        <v>496.23004374213588</v>
      </c>
      <c r="B554" s="78">
        <v>499.05222383500598</v>
      </c>
      <c r="C554" s="78">
        <v>494.56239186907629</v>
      </c>
      <c r="D554" s="78">
        <v>498.46015808125702</v>
      </c>
      <c r="E554" s="78">
        <v>4875337.2099678321</v>
      </c>
      <c r="F554" s="78" t="s">
        <v>554</v>
      </c>
      <c r="G554" s="25">
        <f t="shared" si="14"/>
        <v>-4.4740072059231695E-3</v>
      </c>
      <c r="I554" s="78">
        <v>67.903000000000006</v>
      </c>
      <c r="J554" s="78">
        <v>68.988000000000014</v>
      </c>
      <c r="K554" s="78">
        <v>67.372030000000009</v>
      </c>
      <c r="L554" s="78">
        <v>68.180000000000007</v>
      </c>
      <c r="M554" s="78">
        <v>25850889.999999996</v>
      </c>
      <c r="N554" s="78" t="s">
        <v>554</v>
      </c>
      <c r="O554" s="25">
        <f t="shared" si="15"/>
        <v>-4.0627750073335411E-3</v>
      </c>
    </row>
    <row r="555" spans="1:15">
      <c r="A555" s="78">
        <v>497.61153050088348</v>
      </c>
      <c r="B555" s="78">
        <v>497.68573607535336</v>
      </c>
      <c r="C555" s="78">
        <v>495.98334967807381</v>
      </c>
      <c r="D555" s="78">
        <v>496.39779570569812</v>
      </c>
      <c r="E555" s="78">
        <v>3477652.5866635391</v>
      </c>
      <c r="F555" s="78" t="s">
        <v>555</v>
      </c>
      <c r="G555" s="25">
        <f t="shared" si="14"/>
        <v>2.4450849816122222E-3</v>
      </c>
      <c r="I555" s="78">
        <v>68.567000000000007</v>
      </c>
      <c r="J555" s="78">
        <v>68.706000000000003</v>
      </c>
      <c r="K555" s="78">
        <v>67.464000000000013</v>
      </c>
      <c r="L555" s="78">
        <v>67.563000000000017</v>
      </c>
      <c r="M555" s="78">
        <v>29437749.999999993</v>
      </c>
      <c r="N555" s="78" t="s">
        <v>555</v>
      </c>
      <c r="O555" s="25">
        <f t="shared" si="15"/>
        <v>1.4860204549827394E-2</v>
      </c>
    </row>
    <row r="556" spans="1:15">
      <c r="A556" s="78">
        <v>496.28925031751078</v>
      </c>
      <c r="B556" s="78">
        <v>497.51285287525866</v>
      </c>
      <c r="C556" s="78">
        <v>491.32576574858194</v>
      </c>
      <c r="D556" s="78">
        <v>491.88822821464345</v>
      </c>
      <c r="E556" s="78">
        <v>4671311.2225920837</v>
      </c>
      <c r="F556" s="78" t="s">
        <v>556</v>
      </c>
      <c r="G556" s="25">
        <f t="shared" si="14"/>
        <v>8.9471994864387394E-3</v>
      </c>
      <c r="I556" s="78">
        <v>67.583000000000013</v>
      </c>
      <c r="J556" s="78">
        <v>68.270990000000012</v>
      </c>
      <c r="K556" s="78">
        <v>66.511010000000013</v>
      </c>
      <c r="L556" s="78">
        <v>66.911000000000016</v>
      </c>
      <c r="M556" s="78">
        <v>36311839.999999993</v>
      </c>
      <c r="N556" s="78" t="s">
        <v>556</v>
      </c>
      <c r="O556" s="25">
        <f t="shared" si="15"/>
        <v>1.0043191702410637E-2</v>
      </c>
    </row>
    <row r="557" spans="1:15">
      <c r="A557" s="78">
        <v>492.38161634276764</v>
      </c>
      <c r="B557" s="78">
        <v>492.44082291814249</v>
      </c>
      <c r="C557" s="78">
        <v>489.72718821345973</v>
      </c>
      <c r="D557" s="78">
        <v>490.68436118202055</v>
      </c>
      <c r="E557" s="78">
        <v>5889932.9642338268</v>
      </c>
      <c r="F557" s="78" t="s">
        <v>557</v>
      </c>
      <c r="G557" s="25">
        <f t="shared" si="14"/>
        <v>3.4589550738044483E-3</v>
      </c>
      <c r="I557" s="78">
        <v>66.938000000000017</v>
      </c>
      <c r="J557" s="78">
        <v>67.558000000000021</v>
      </c>
      <c r="K557" s="78">
        <v>65.26400000000001</v>
      </c>
      <c r="L557" s="78">
        <v>65.50500000000001</v>
      </c>
      <c r="M557" s="78">
        <v>44471159.999999993</v>
      </c>
      <c r="N557" s="78" t="s">
        <v>557</v>
      </c>
      <c r="O557" s="25">
        <f t="shared" si="15"/>
        <v>2.1876192657049209E-2</v>
      </c>
    </row>
    <row r="558" spans="1:15">
      <c r="A558" s="78">
        <v>491.98690584026826</v>
      </c>
      <c r="B558" s="78">
        <v>492.84540118320427</v>
      </c>
      <c r="C558" s="78">
        <v>489.50022967452264</v>
      </c>
      <c r="D558" s="78">
        <v>492.69738474476708</v>
      </c>
      <c r="E558" s="78">
        <v>8926926.3870325722</v>
      </c>
      <c r="F558" s="78" t="s">
        <v>558</v>
      </c>
      <c r="G558" s="25">
        <f t="shared" si="14"/>
        <v>-1.4420188263569722E-3</v>
      </c>
      <c r="I558" s="78">
        <v>65.326000000000008</v>
      </c>
      <c r="J558" s="78">
        <v>65.525000000000006</v>
      </c>
      <c r="K558" s="78">
        <v>64.235000000000014</v>
      </c>
      <c r="L558" s="78">
        <v>64.400000000000006</v>
      </c>
      <c r="M558" s="78">
        <v>18635869.999999996</v>
      </c>
      <c r="N558" s="78" t="s">
        <v>558</v>
      </c>
      <c r="O558" s="25">
        <f t="shared" si="15"/>
        <v>1.4378881987577641E-2</v>
      </c>
    </row>
    <row r="559" spans="1:15">
      <c r="A559" s="78">
        <v>491.05933615939489</v>
      </c>
      <c r="B559" s="78">
        <v>493.53614456257804</v>
      </c>
      <c r="C559" s="78">
        <v>490.14163424108398</v>
      </c>
      <c r="D559" s="78">
        <v>491.34550127370693</v>
      </c>
      <c r="E559" s="78">
        <v>3748354.2764423308</v>
      </c>
      <c r="F559" s="78" t="s">
        <v>559</v>
      </c>
      <c r="G559" s="25">
        <f t="shared" si="14"/>
        <v>-5.8241118229473976E-4</v>
      </c>
      <c r="I559" s="78">
        <v>65.006</v>
      </c>
      <c r="J559" s="78">
        <v>65.578000000000003</v>
      </c>
      <c r="K559" s="78">
        <v>64.311000000000007</v>
      </c>
      <c r="L559" s="78">
        <v>65.221000000000018</v>
      </c>
      <c r="M559" s="78">
        <v>20943809.999999996</v>
      </c>
      <c r="N559" s="78" t="s">
        <v>559</v>
      </c>
      <c r="O559" s="25">
        <f t="shared" si="15"/>
        <v>-3.2964842612044354E-3</v>
      </c>
    </row>
    <row r="560" spans="1:15">
      <c r="A560" s="78">
        <v>487.00368574621444</v>
      </c>
      <c r="B560" s="78">
        <v>487.13196665952677</v>
      </c>
      <c r="C560" s="78">
        <v>482.64114791734079</v>
      </c>
      <c r="D560" s="78">
        <v>484.49727405534384</v>
      </c>
      <c r="E560" s="78">
        <v>4082407.7134932731</v>
      </c>
      <c r="F560" s="78" t="s">
        <v>560</v>
      </c>
      <c r="G560" s="25">
        <f t="shared" si="14"/>
        <v>5.1732214505386676E-3</v>
      </c>
      <c r="I560" s="78">
        <v>64.855000000000004</v>
      </c>
      <c r="J560" s="78">
        <v>65.01900000000002</v>
      </c>
      <c r="K560" s="78">
        <v>64.052000000000007</v>
      </c>
      <c r="L560" s="78">
        <v>64.072000000000017</v>
      </c>
      <c r="M560" s="78">
        <v>21674169.999999996</v>
      </c>
      <c r="N560" s="78" t="s">
        <v>560</v>
      </c>
      <c r="O560" s="25">
        <f t="shared" si="15"/>
        <v>1.2220626794855471E-2</v>
      </c>
    </row>
    <row r="561" spans="1:15">
      <c r="A561" s="78">
        <v>485.89849633921642</v>
      </c>
      <c r="B561" s="78">
        <v>486.17479369096588</v>
      </c>
      <c r="C561" s="78">
        <v>483.08618400890879</v>
      </c>
      <c r="D561" s="78">
        <v>483.68811752522026</v>
      </c>
      <c r="E561" s="78">
        <v>3511659.2824950577</v>
      </c>
      <c r="F561" s="78" t="s">
        <v>561</v>
      </c>
      <c r="G561" s="25">
        <f t="shared" si="14"/>
        <v>4.5698431156537822E-3</v>
      </c>
      <c r="I561" s="78">
        <v>64.450000000000017</v>
      </c>
      <c r="J561" s="78">
        <v>64.479000000000013</v>
      </c>
      <c r="K561" s="78">
        <v>63.559000000000019</v>
      </c>
      <c r="L561" s="78">
        <v>64.101000000000013</v>
      </c>
      <c r="M561" s="78">
        <v>20667589.999999996</v>
      </c>
      <c r="N561" s="78" t="s">
        <v>561</v>
      </c>
      <c r="O561" s="25">
        <f t="shared" si="15"/>
        <v>5.444532846601513E-3</v>
      </c>
    </row>
    <row r="562" spans="1:15">
      <c r="A562" s="78">
        <v>484.30978656665667</v>
      </c>
      <c r="B562" s="78">
        <v>487.00368574621444</v>
      </c>
      <c r="C562" s="78">
        <v>483.06644848378386</v>
      </c>
      <c r="D562" s="78">
        <v>484.0630925025946</v>
      </c>
      <c r="E562" s="78">
        <v>3104641.9901181473</v>
      </c>
      <c r="F562" s="78" t="s">
        <v>562</v>
      </c>
      <c r="G562" s="25">
        <f t="shared" si="14"/>
        <v>5.0963204566301101E-4</v>
      </c>
      <c r="I562" s="78">
        <v>64.14700000000002</v>
      </c>
      <c r="J562" s="78">
        <v>65.040000000000006</v>
      </c>
      <c r="K562" s="78">
        <v>64.024010000000004</v>
      </c>
      <c r="L562" s="78">
        <v>64.938000000000017</v>
      </c>
      <c r="M562" s="78">
        <v>18766309.999999996</v>
      </c>
      <c r="N562" s="78" t="s">
        <v>562</v>
      </c>
      <c r="O562" s="25">
        <f t="shared" si="15"/>
        <v>-1.2180849425605933E-2</v>
      </c>
    </row>
    <row r="563" spans="1:15">
      <c r="A563" s="78">
        <v>484.94132337065554</v>
      </c>
      <c r="B563" s="78">
        <v>485.67153780027928</v>
      </c>
      <c r="C563" s="78">
        <v>483.16522478703428</v>
      </c>
      <c r="D563" s="78">
        <v>485.33603387315486</v>
      </c>
      <c r="E563" s="78">
        <v>21629993.491280023</v>
      </c>
      <c r="F563" s="78" t="s">
        <v>563</v>
      </c>
      <c r="G563" s="25">
        <f t="shared" si="14"/>
        <v>-8.1327260897856579E-4</v>
      </c>
      <c r="I563" s="78">
        <v>64.852000000000004</v>
      </c>
      <c r="J563" s="78">
        <v>65.799000000000007</v>
      </c>
      <c r="K563" s="78">
        <v>64.423680000000019</v>
      </c>
      <c r="L563" s="78">
        <v>64.489000000000004</v>
      </c>
      <c r="M563" s="78">
        <v>24666639.999999996</v>
      </c>
      <c r="N563" s="78" t="s">
        <v>563</v>
      </c>
      <c r="O563" s="25">
        <f t="shared" si="15"/>
        <v>5.6288669385475831E-3</v>
      </c>
    </row>
    <row r="564" spans="1:15">
      <c r="A564" s="78">
        <v>485.04986875884288</v>
      </c>
      <c r="B564" s="78">
        <v>485.04986875884288</v>
      </c>
      <c r="C564" s="78">
        <v>479.63246711203982</v>
      </c>
      <c r="D564" s="78">
        <v>481.4185321358492</v>
      </c>
      <c r="E564" s="78">
        <v>3066699.244979193</v>
      </c>
      <c r="F564" s="78" t="s">
        <v>564</v>
      </c>
      <c r="G564" s="25">
        <f t="shared" si="14"/>
        <v>7.5429930104331522E-3</v>
      </c>
      <c r="I564" s="78">
        <v>65.027000000000015</v>
      </c>
      <c r="J564" s="78">
        <v>65.125000000000014</v>
      </c>
      <c r="K564" s="78">
        <v>62.82500000000001</v>
      </c>
      <c r="L564" s="78">
        <v>63.402000000000008</v>
      </c>
      <c r="M564" s="78">
        <v>26826139.999999996</v>
      </c>
      <c r="N564" s="78" t="s">
        <v>564</v>
      </c>
      <c r="O564" s="25">
        <f t="shared" si="15"/>
        <v>2.5630106305794875E-2</v>
      </c>
    </row>
    <row r="565" spans="1:15">
      <c r="A565" s="78">
        <v>479.31669871004038</v>
      </c>
      <c r="B565" s="78">
        <v>479.9778388017267</v>
      </c>
      <c r="C565" s="78">
        <v>476.17875021517079</v>
      </c>
      <c r="D565" s="78">
        <v>477.59970802416836</v>
      </c>
      <c r="E565" s="78">
        <v>2594579.0484806858</v>
      </c>
      <c r="F565" s="78" t="s">
        <v>565</v>
      </c>
      <c r="G565" s="25">
        <f t="shared" si="14"/>
        <v>3.5950413223140298E-3</v>
      </c>
      <c r="I565" s="78">
        <v>63.162000000000013</v>
      </c>
      <c r="J565" s="78">
        <v>63.522990000000014</v>
      </c>
      <c r="K565" s="78">
        <v>62.64400000000002</v>
      </c>
      <c r="L565" s="78">
        <v>63.378000000000007</v>
      </c>
      <c r="M565" s="78">
        <v>30081509.999999993</v>
      </c>
      <c r="N565" s="78" t="s">
        <v>565</v>
      </c>
      <c r="O565" s="25">
        <f t="shared" si="15"/>
        <v>-3.4081226924168595E-3</v>
      </c>
    </row>
    <row r="566" spans="1:15">
      <c r="A566" s="78">
        <v>478.73450071885384</v>
      </c>
      <c r="B566" s="78">
        <v>479.9778388017267</v>
      </c>
      <c r="C566" s="78">
        <v>474.04731350167452</v>
      </c>
      <c r="D566" s="78">
        <v>479.86929341353942</v>
      </c>
      <c r="E566" s="78">
        <v>4267690.8502147933</v>
      </c>
      <c r="F566" s="78" t="s">
        <v>566</v>
      </c>
      <c r="G566" s="25">
        <f t="shared" si="14"/>
        <v>-2.3647953937899757E-3</v>
      </c>
      <c r="I566" s="78">
        <v>63.379000000000012</v>
      </c>
      <c r="J566" s="78">
        <v>64.678000000000011</v>
      </c>
      <c r="K566" s="78">
        <v>62.727000000000011</v>
      </c>
      <c r="L566" s="78">
        <v>64.521500000000017</v>
      </c>
      <c r="M566" s="78">
        <v>23235059.999999996</v>
      </c>
      <c r="N566" s="78" t="s">
        <v>566</v>
      </c>
      <c r="O566" s="25">
        <f t="shared" si="15"/>
        <v>-1.7707275869284E-2</v>
      </c>
    </row>
    <row r="567" spans="1:15">
      <c r="A567" s="78">
        <v>478.21150930304231</v>
      </c>
      <c r="B567" s="78">
        <v>478.49767441735429</v>
      </c>
      <c r="C567" s="78">
        <v>470.17421669590004</v>
      </c>
      <c r="D567" s="78">
        <v>474.87620555692308</v>
      </c>
      <c r="E567" s="78">
        <v>5405451.3028918337</v>
      </c>
      <c r="F567" s="78" t="s">
        <v>567</v>
      </c>
      <c r="G567" s="25">
        <f t="shared" si="14"/>
        <v>7.0235225667028001E-3</v>
      </c>
      <c r="I567" s="78">
        <v>64.162000000000006</v>
      </c>
      <c r="J567" s="78">
        <v>64.858000000000018</v>
      </c>
      <c r="K567" s="78">
        <v>62.830000000000005</v>
      </c>
      <c r="L567" s="78">
        <v>64.40100000000001</v>
      </c>
      <c r="M567" s="78">
        <v>40710229.999999993</v>
      </c>
      <c r="N567" s="78" t="s">
        <v>567</v>
      </c>
      <c r="O567" s="25">
        <f t="shared" si="15"/>
        <v>-3.7111224980979074E-3</v>
      </c>
    </row>
    <row r="568" spans="1:15">
      <c r="A568" s="78">
        <v>474.08678455192444</v>
      </c>
      <c r="B568" s="78">
        <v>476.36663241436048</v>
      </c>
      <c r="C568" s="78">
        <v>472.86318199417656</v>
      </c>
      <c r="D568" s="78">
        <v>475.74456866242156</v>
      </c>
      <c r="E568" s="78">
        <v>3439066.3319184515</v>
      </c>
      <c r="F568" s="78" t="s">
        <v>568</v>
      </c>
      <c r="G568" s="25">
        <f t="shared" si="14"/>
        <v>-3.4846096407533667E-3</v>
      </c>
      <c r="I568" s="78">
        <v>64.766000000000005</v>
      </c>
      <c r="J568" s="78">
        <v>65.648990000000012</v>
      </c>
      <c r="K568" s="78">
        <v>64.473000000000013</v>
      </c>
      <c r="L568" s="78">
        <v>65.352000000000004</v>
      </c>
      <c r="M568" s="78">
        <v>23933539.999999996</v>
      </c>
      <c r="N568" s="78" t="s">
        <v>568</v>
      </c>
      <c r="O568" s="25">
        <f t="shared" si="15"/>
        <v>-8.9668258048720695E-3</v>
      </c>
    </row>
    <row r="569" spans="1:15">
      <c r="A569" s="78">
        <v>477.29380738473139</v>
      </c>
      <c r="B569" s="78">
        <v>478.27071587841715</v>
      </c>
      <c r="C569" s="78">
        <v>476.57346071767012</v>
      </c>
      <c r="D569" s="78">
        <v>476.80041925660726</v>
      </c>
      <c r="E569" s="78">
        <v>5680072.8275627885</v>
      </c>
      <c r="F569" s="78" t="s">
        <v>569</v>
      </c>
      <c r="G569" s="25">
        <f t="shared" si="14"/>
        <v>1.0347896272686619E-3</v>
      </c>
      <c r="I569" s="78">
        <v>65.462000000000018</v>
      </c>
      <c r="J569" s="78">
        <v>66.425000000000011</v>
      </c>
      <c r="K569" s="78">
        <v>64.38900000000001</v>
      </c>
      <c r="L569" s="78">
        <v>64.413000000000011</v>
      </c>
      <c r="M569" s="78">
        <v>36959349.999999993</v>
      </c>
      <c r="N569" s="78" t="s">
        <v>569</v>
      </c>
      <c r="O569" s="25">
        <f t="shared" si="15"/>
        <v>1.6285532423579108E-2</v>
      </c>
    </row>
    <row r="570" spans="1:15">
      <c r="A570" s="78">
        <v>480.678449943663</v>
      </c>
      <c r="B570" s="78">
        <v>481.19650747819333</v>
      </c>
      <c r="C570" s="78">
        <v>478.11776555869864</v>
      </c>
      <c r="D570" s="78">
        <v>480.95474729541246</v>
      </c>
      <c r="E570" s="78">
        <v>4088785.0457001971</v>
      </c>
      <c r="F570" s="78" t="s">
        <v>570</v>
      </c>
      <c r="G570" s="25">
        <f t="shared" si="14"/>
        <v>-5.7447681575695242E-4</v>
      </c>
      <c r="I570" s="78">
        <v>64.900000000000006</v>
      </c>
      <c r="J570" s="78">
        <v>64.975000000000009</v>
      </c>
      <c r="K570" s="78">
        <v>64.303000000000011</v>
      </c>
      <c r="L570" s="78">
        <v>64.705000000000013</v>
      </c>
      <c r="M570" s="78">
        <v>26094509.999999996</v>
      </c>
      <c r="N570" s="78" t="s">
        <v>570</v>
      </c>
      <c r="O570" s="25">
        <f t="shared" si="15"/>
        <v>3.0136774592379734E-3</v>
      </c>
    </row>
    <row r="571" spans="1:15">
      <c r="A571" s="78">
        <v>480.29360720372614</v>
      </c>
      <c r="B571" s="78">
        <v>480.95474729541246</v>
      </c>
      <c r="C571" s="78">
        <v>477.92534418873026</v>
      </c>
      <c r="D571" s="78">
        <v>478.76410400654134</v>
      </c>
      <c r="E571" s="78">
        <v>2589483.6684812554</v>
      </c>
      <c r="F571" s="78" t="s">
        <v>571</v>
      </c>
      <c r="G571" s="25">
        <f t="shared" ref="G571:G634" si="16">A571/D571-1</f>
        <v>3.1946906302815492E-3</v>
      </c>
      <c r="I571" s="78">
        <v>64.675000000000011</v>
      </c>
      <c r="J571" s="78">
        <v>65.200000000000017</v>
      </c>
      <c r="K571" s="78">
        <v>63.760000000000012</v>
      </c>
      <c r="L571" s="78">
        <v>63.940000000000012</v>
      </c>
      <c r="M571" s="78">
        <v>26152599.999999996</v>
      </c>
      <c r="N571" s="78" t="s">
        <v>571</v>
      </c>
      <c r="O571" s="25">
        <f t="shared" ref="O571:O634" si="17">I571/L571-1</f>
        <v>1.1495151704723261E-2</v>
      </c>
    </row>
    <row r="572" spans="1:15">
      <c r="A572" s="78">
        <v>477.04711332066933</v>
      </c>
      <c r="B572" s="78">
        <v>483.51049779909556</v>
      </c>
      <c r="C572" s="78">
        <v>475.9123206259838</v>
      </c>
      <c r="D572" s="78">
        <v>483.43155569859573</v>
      </c>
      <c r="E572" s="78">
        <v>3862382.1518472382</v>
      </c>
      <c r="F572" s="78" t="s">
        <v>572</v>
      </c>
      <c r="G572" s="25">
        <f t="shared" si="16"/>
        <v>-1.320650731767059E-2</v>
      </c>
      <c r="I572" s="78">
        <v>63.567000000000007</v>
      </c>
      <c r="J572" s="78">
        <v>64.271000000000015</v>
      </c>
      <c r="K572" s="78">
        <v>63.000000000000014</v>
      </c>
      <c r="L572" s="78">
        <v>64.234000000000009</v>
      </c>
      <c r="M572" s="78">
        <v>23139389.999999996</v>
      </c>
      <c r="N572" s="78" t="s">
        <v>572</v>
      </c>
      <c r="O572" s="25">
        <f t="shared" si="17"/>
        <v>-1.0383908833328181E-2</v>
      </c>
    </row>
    <row r="573" spans="1:15">
      <c r="A573" s="78">
        <v>480.6192433682881</v>
      </c>
      <c r="B573" s="78">
        <v>481.97112683934824</v>
      </c>
      <c r="C573" s="78">
        <v>478.52727770504174</v>
      </c>
      <c r="D573" s="78">
        <v>481.33959003534937</v>
      </c>
      <c r="E573" s="78">
        <v>3294141.8882115106</v>
      </c>
      <c r="F573" s="78" t="s">
        <v>573</v>
      </c>
      <c r="G573" s="25">
        <f t="shared" si="16"/>
        <v>-1.4965456446421888E-3</v>
      </c>
      <c r="I573" s="78">
        <v>64.047000000000011</v>
      </c>
      <c r="J573" s="78">
        <v>64.925000000000011</v>
      </c>
      <c r="K573" s="78">
        <v>63.812000000000012</v>
      </c>
      <c r="L573" s="78">
        <v>64.714000000000013</v>
      </c>
      <c r="M573" s="78">
        <v>21761739.999999996</v>
      </c>
      <c r="N573" s="78" t="s">
        <v>573</v>
      </c>
      <c r="O573" s="25">
        <f t="shared" si="17"/>
        <v>-1.0306888772135925E-2</v>
      </c>
    </row>
    <row r="574" spans="1:15">
      <c r="A574" s="78">
        <v>482.02046565216068</v>
      </c>
      <c r="B574" s="78">
        <v>482.11914327778544</v>
      </c>
      <c r="C574" s="78">
        <v>479.9186322263518</v>
      </c>
      <c r="D574" s="78">
        <v>480.09625195247645</v>
      </c>
      <c r="E574" s="78">
        <v>2486456.2604378862</v>
      </c>
      <c r="F574" s="78" t="s">
        <v>574</v>
      </c>
      <c r="G574" s="25">
        <f t="shared" si="16"/>
        <v>4.0079748422503503E-3</v>
      </c>
      <c r="I574" s="78">
        <v>65.061000000000007</v>
      </c>
      <c r="J574" s="78">
        <v>65.088000000000008</v>
      </c>
      <c r="K574" s="78">
        <v>63.422000000000018</v>
      </c>
      <c r="L574" s="78">
        <v>63.676000000000009</v>
      </c>
      <c r="M574" s="78">
        <v>29201549.999999993</v>
      </c>
      <c r="N574" s="78" t="s">
        <v>574</v>
      </c>
      <c r="O574" s="25">
        <f t="shared" si="17"/>
        <v>2.1750738111690371E-2</v>
      </c>
    </row>
    <row r="575" spans="1:15">
      <c r="A575" s="78">
        <v>480.72778875647543</v>
      </c>
      <c r="B575" s="78">
        <v>482.14864788784729</v>
      </c>
      <c r="C575" s="78">
        <v>480.01730985197662</v>
      </c>
      <c r="D575" s="78">
        <v>480.34294601653852</v>
      </c>
      <c r="E575" s="78">
        <v>2634421.9204094037</v>
      </c>
      <c r="F575" s="78" t="s">
        <v>575</v>
      </c>
      <c r="G575" s="25">
        <f t="shared" si="16"/>
        <v>8.0118328608413947E-4</v>
      </c>
      <c r="I575" s="78">
        <v>64.082000000000022</v>
      </c>
      <c r="J575" s="78">
        <v>64.437000000000012</v>
      </c>
      <c r="K575" s="78">
        <v>61.952000000000012</v>
      </c>
      <c r="L575" s="78">
        <v>62.040000000000006</v>
      </c>
      <c r="M575" s="78">
        <v>38578529.999999993</v>
      </c>
      <c r="N575" s="78" t="s">
        <v>575</v>
      </c>
      <c r="O575" s="25">
        <f t="shared" si="17"/>
        <v>3.2914248871696028E-2</v>
      </c>
    </row>
    <row r="576" spans="1:15">
      <c r="A576" s="78">
        <v>480.25413615347622</v>
      </c>
      <c r="B576" s="78">
        <v>480.29360720372614</v>
      </c>
      <c r="C576" s="78">
        <v>478.29045140354214</v>
      </c>
      <c r="D576" s="78">
        <v>479.66207039972721</v>
      </c>
      <c r="E576" s="78">
        <v>3317910.1941993055</v>
      </c>
      <c r="F576" s="78" t="s">
        <v>576</v>
      </c>
      <c r="G576" s="25">
        <f t="shared" si="16"/>
        <v>1.2343393198790409E-3</v>
      </c>
      <c r="I576" s="78">
        <v>62.110000000000014</v>
      </c>
      <c r="J576" s="78">
        <v>62.579000000000008</v>
      </c>
      <c r="K576" s="78">
        <v>61.471410000000013</v>
      </c>
      <c r="L576" s="78">
        <v>61.70000000000001</v>
      </c>
      <c r="M576" s="78">
        <v>37827079.999999993</v>
      </c>
      <c r="N576" s="78" t="s">
        <v>576</v>
      </c>
      <c r="O576" s="25">
        <f t="shared" si="17"/>
        <v>6.6450567260940563E-3</v>
      </c>
    </row>
    <row r="577" spans="1:15">
      <c r="A577" s="78">
        <v>479.54365724897747</v>
      </c>
      <c r="B577" s="78">
        <v>482.10927551522298</v>
      </c>
      <c r="C577" s="78">
        <v>479.40550857310268</v>
      </c>
      <c r="D577" s="78">
        <v>480.60937560572563</v>
      </c>
      <c r="E577" s="78">
        <v>3392239.1006110399</v>
      </c>
      <c r="F577" s="78" t="s">
        <v>577</v>
      </c>
      <c r="G577" s="25">
        <f t="shared" si="16"/>
        <v>-2.2174314752079205E-3</v>
      </c>
      <c r="I577" s="78">
        <v>61.052000000000007</v>
      </c>
      <c r="J577" s="78">
        <v>61.834000000000017</v>
      </c>
      <c r="K577" s="78">
        <v>60.909000000000013</v>
      </c>
      <c r="L577" s="78">
        <v>61.57500000000001</v>
      </c>
      <c r="M577" s="78">
        <v>30563499.999999993</v>
      </c>
      <c r="N577" s="78" t="s">
        <v>577</v>
      </c>
      <c r="O577" s="25">
        <f t="shared" si="17"/>
        <v>-8.4937068615510425E-3</v>
      </c>
    </row>
    <row r="578" spans="1:15">
      <c r="A578" s="78">
        <v>480.46135916728832</v>
      </c>
      <c r="B578" s="78">
        <v>480.78699533185028</v>
      </c>
      <c r="C578" s="78">
        <v>476.35143606001429</v>
      </c>
      <c r="D578" s="78">
        <v>476.94843569504445</v>
      </c>
      <c r="E578" s="78">
        <v>4458442.2984870141</v>
      </c>
      <c r="F578" s="78" t="s">
        <v>578</v>
      </c>
      <c r="G578" s="25">
        <f t="shared" si="16"/>
        <v>7.3654156494393774E-3</v>
      </c>
      <c r="I578" s="78">
        <v>61.352000000000011</v>
      </c>
      <c r="J578" s="78">
        <v>62.410000000000018</v>
      </c>
      <c r="K578" s="78">
        <v>60.910000000000011</v>
      </c>
      <c r="L578" s="78">
        <v>61.857000000000014</v>
      </c>
      <c r="M578" s="78">
        <v>56706069.999999993</v>
      </c>
      <c r="N578" s="78" t="s">
        <v>578</v>
      </c>
      <c r="O578" s="25">
        <f t="shared" si="17"/>
        <v>-8.1639911408571963E-3</v>
      </c>
    </row>
    <row r="579" spans="1:15">
      <c r="A579" s="78">
        <v>474.67885030567345</v>
      </c>
      <c r="B579" s="78">
        <v>475.10316409586022</v>
      </c>
      <c r="C579" s="78">
        <v>472.15270308967786</v>
      </c>
      <c r="D579" s="78">
        <v>472.646091217802</v>
      </c>
      <c r="E579" s="78">
        <v>3301380.6112297941</v>
      </c>
      <c r="F579" s="78" t="s">
        <v>579</v>
      </c>
      <c r="G579" s="25">
        <f t="shared" si="16"/>
        <v>4.3008058791598192E-3</v>
      </c>
      <c r="I579" s="78">
        <v>61.366000000000007</v>
      </c>
      <c r="J579" s="78">
        <v>62.14800000000001</v>
      </c>
      <c r="K579" s="78">
        <v>60.840000000000011</v>
      </c>
      <c r="L579" s="78">
        <v>61.51700000000001</v>
      </c>
      <c r="M579" s="78">
        <v>27923579.999999996</v>
      </c>
      <c r="N579" s="78" t="s">
        <v>579</v>
      </c>
      <c r="O579" s="25">
        <f t="shared" si="17"/>
        <v>-2.4546060438578321E-3</v>
      </c>
    </row>
    <row r="580" spans="1:15">
      <c r="A580" s="78">
        <v>472.43886820398978</v>
      </c>
      <c r="B580" s="78">
        <v>474.06704902679951</v>
      </c>
      <c r="C580" s="78">
        <v>471.41262089749165</v>
      </c>
      <c r="D580" s="78">
        <v>473.99797468886214</v>
      </c>
      <c r="E580" s="78">
        <v>3150098.0899340655</v>
      </c>
      <c r="F580" s="78" t="s">
        <v>580</v>
      </c>
      <c r="G580" s="25">
        <f t="shared" si="16"/>
        <v>-3.2892682419071173E-3</v>
      </c>
      <c r="I580" s="78">
        <v>61.659000000000013</v>
      </c>
      <c r="J580" s="78">
        <v>61.821900000000014</v>
      </c>
      <c r="K580" s="78">
        <v>60.683000000000014</v>
      </c>
      <c r="L580" s="78">
        <v>61.430000000000007</v>
      </c>
      <c r="M580" s="78">
        <v>20861969.999999996</v>
      </c>
      <c r="N580" s="78" t="s">
        <v>580</v>
      </c>
      <c r="O580" s="25">
        <f t="shared" si="17"/>
        <v>3.7278202832493612E-3</v>
      </c>
    </row>
    <row r="581" spans="1:15">
      <c r="A581" s="78">
        <v>472.40926491630239</v>
      </c>
      <c r="B581" s="78">
        <v>474.037445739112</v>
      </c>
      <c r="C581" s="78">
        <v>471.2744722216168</v>
      </c>
      <c r="D581" s="78">
        <v>473.34670235973823</v>
      </c>
      <c r="E581" s="78">
        <v>3392014.1255991319</v>
      </c>
      <c r="F581" s="78" t="s">
        <v>581</v>
      </c>
      <c r="G581" s="25">
        <f t="shared" si="16"/>
        <v>-1.9804457045174972E-3</v>
      </c>
      <c r="I581" s="78">
        <v>61.08700000000001</v>
      </c>
      <c r="J581" s="78">
        <v>62.398000000000017</v>
      </c>
      <c r="K581" s="78">
        <v>60.506000000000007</v>
      </c>
      <c r="L581" s="78">
        <v>61.900000000000013</v>
      </c>
      <c r="M581" s="78">
        <v>26535859.999999996</v>
      </c>
      <c r="N581" s="78" t="s">
        <v>581</v>
      </c>
      <c r="O581" s="25">
        <f t="shared" si="17"/>
        <v>-1.3134087237479886E-2</v>
      </c>
    </row>
    <row r="582" spans="1:15">
      <c r="A582" s="78">
        <v>471.82706692511584</v>
      </c>
      <c r="B582" s="78">
        <v>471.82706692511584</v>
      </c>
      <c r="C582" s="78">
        <v>468.65951514255892</v>
      </c>
      <c r="D582" s="78">
        <v>469.30091970912025</v>
      </c>
      <c r="E582" s="78">
        <v>3532765.3841752745</v>
      </c>
      <c r="F582" s="78" t="s">
        <v>582</v>
      </c>
      <c r="G582" s="25">
        <f t="shared" si="16"/>
        <v>5.382787695283664E-3</v>
      </c>
      <c r="I582" s="78">
        <v>61.209000000000017</v>
      </c>
      <c r="J582" s="78">
        <v>61.572000000000017</v>
      </c>
      <c r="K582" s="78">
        <v>60.57500000000001</v>
      </c>
      <c r="L582" s="78">
        <v>61.440000000000012</v>
      </c>
      <c r="M582" s="78">
        <v>20653749.999999996</v>
      </c>
      <c r="N582" s="78" t="s">
        <v>582</v>
      </c>
      <c r="O582" s="25">
        <f t="shared" si="17"/>
        <v>-3.7597656249999112E-3</v>
      </c>
    </row>
    <row r="583" spans="1:15">
      <c r="A583" s="78">
        <v>469.13316774555813</v>
      </c>
      <c r="B583" s="78">
        <v>469.56734929830736</v>
      </c>
      <c r="C583" s="78">
        <v>467.2385573335614</v>
      </c>
      <c r="D583" s="78">
        <v>467.3273671966237</v>
      </c>
      <c r="E583" s="78">
        <v>3257960.4339315477</v>
      </c>
      <c r="F583" s="78" t="s">
        <v>583</v>
      </c>
      <c r="G583" s="25">
        <f t="shared" si="16"/>
        <v>3.8641018602589838E-3</v>
      </c>
      <c r="I583" s="78">
        <v>60.947000000000017</v>
      </c>
      <c r="J583" s="78">
        <v>61.822000000000017</v>
      </c>
      <c r="K583" s="78">
        <v>60.163000000000011</v>
      </c>
      <c r="L583" s="78">
        <v>60.163000000000011</v>
      </c>
      <c r="M583" s="78">
        <v>30939039.999999993</v>
      </c>
      <c r="N583" s="78" t="s">
        <v>583</v>
      </c>
      <c r="O583" s="25">
        <f t="shared" si="17"/>
        <v>1.3031265063244923E-2</v>
      </c>
    </row>
    <row r="584" spans="1:15">
      <c r="A584" s="78">
        <v>469.11343222043308</v>
      </c>
      <c r="B584" s="78">
        <v>470.33703477818096</v>
      </c>
      <c r="C584" s="78">
        <v>468.43255660362178</v>
      </c>
      <c r="D584" s="78">
        <v>469.40946509730759</v>
      </c>
      <c r="E584" s="78">
        <v>3497552.7412078525</v>
      </c>
      <c r="F584" s="78" t="s">
        <v>584</v>
      </c>
      <c r="G584" s="25">
        <f t="shared" si="16"/>
        <v>-6.3064956905611869E-4</v>
      </c>
      <c r="I584" s="78">
        <v>60.600000000000009</v>
      </c>
      <c r="J584" s="78">
        <v>60.605000000000004</v>
      </c>
      <c r="K584" s="78">
        <v>59.132000000000019</v>
      </c>
      <c r="L584" s="78">
        <v>59.628000000000007</v>
      </c>
      <c r="M584" s="78">
        <v>36140919.999999993</v>
      </c>
      <c r="N584" s="78" t="s">
        <v>584</v>
      </c>
      <c r="O584" s="25">
        <f t="shared" si="17"/>
        <v>1.630106661300057E-2</v>
      </c>
    </row>
    <row r="585" spans="1:15">
      <c r="A585" s="78">
        <v>468.4424243661843</v>
      </c>
      <c r="B585" s="78">
        <v>468.53123422924665</v>
      </c>
      <c r="C585" s="78">
        <v>465.58077322306428</v>
      </c>
      <c r="D585" s="78">
        <v>465.97548372556361</v>
      </c>
      <c r="E585" s="78">
        <v>4846632.6279304698</v>
      </c>
      <c r="F585" s="78" t="s">
        <v>585</v>
      </c>
      <c r="G585" s="25">
        <f t="shared" si="16"/>
        <v>5.2941425606709558E-3</v>
      </c>
      <c r="I585" s="78">
        <v>59.697000000000017</v>
      </c>
      <c r="J585" s="78">
        <v>59.734000000000016</v>
      </c>
      <c r="K585" s="78">
        <v>58.025000000000013</v>
      </c>
      <c r="L585" s="78">
        <v>58.182000000000016</v>
      </c>
      <c r="M585" s="78">
        <v>36863369.999999993</v>
      </c>
      <c r="N585" s="78" t="s">
        <v>585</v>
      </c>
      <c r="O585" s="25">
        <f t="shared" si="17"/>
        <v>2.6038981128184036E-2</v>
      </c>
    </row>
    <row r="586" spans="1:15">
      <c r="A586" s="78">
        <v>463.76510491156745</v>
      </c>
      <c r="B586" s="78">
        <v>464.77161669294065</v>
      </c>
      <c r="C586" s="78">
        <v>461.25879189832239</v>
      </c>
      <c r="D586" s="78">
        <v>463.54801413519277</v>
      </c>
      <c r="E586" s="78">
        <v>4648327.2889431035</v>
      </c>
      <c r="F586" s="78" t="s">
        <v>586</v>
      </c>
      <c r="G586" s="25">
        <f t="shared" si="16"/>
        <v>4.6832425068132899E-4</v>
      </c>
      <c r="I586" s="78">
        <v>57.934000000000012</v>
      </c>
      <c r="J586" s="78">
        <v>58.02600000000001</v>
      </c>
      <c r="K586" s="78">
        <v>56.516000000000005</v>
      </c>
      <c r="L586" s="78">
        <v>56.600000000000009</v>
      </c>
      <c r="M586" s="78">
        <v>33075239.999999993</v>
      </c>
      <c r="N586" s="78" t="s">
        <v>586</v>
      </c>
      <c r="O586" s="25">
        <f t="shared" si="17"/>
        <v>2.3568904593639584E-2</v>
      </c>
    </row>
    <row r="587" spans="1:15">
      <c r="A587" s="78">
        <v>458.08127367557734</v>
      </c>
      <c r="B587" s="78">
        <v>458.80162034263856</v>
      </c>
      <c r="C587" s="78">
        <v>453.08818581896105</v>
      </c>
      <c r="D587" s="78">
        <v>457.23264609520379</v>
      </c>
      <c r="E587" s="78">
        <v>4025658.2734399545</v>
      </c>
      <c r="F587" s="78" t="s">
        <v>587</v>
      </c>
      <c r="G587" s="25">
        <f t="shared" si="16"/>
        <v>1.8560082872929318E-3</v>
      </c>
      <c r="I587" s="78">
        <v>56.515000000000008</v>
      </c>
      <c r="J587" s="78">
        <v>56.546000000000014</v>
      </c>
      <c r="K587" s="78">
        <v>55.559000000000012</v>
      </c>
      <c r="L587" s="78">
        <v>55.602000000000011</v>
      </c>
      <c r="M587" s="78">
        <v>30682279.999999993</v>
      </c>
      <c r="N587" s="78" t="s">
        <v>587</v>
      </c>
      <c r="O587" s="25">
        <f t="shared" si="17"/>
        <v>1.6420272652062806E-2</v>
      </c>
    </row>
    <row r="588" spans="1:15">
      <c r="A588" s="78">
        <v>453.84800353627219</v>
      </c>
      <c r="B588" s="78">
        <v>460.89358600588491</v>
      </c>
      <c r="C588" s="78">
        <v>453.36448317071051</v>
      </c>
      <c r="D588" s="78">
        <v>454.67689559152075</v>
      </c>
      <c r="E588" s="78">
        <v>6197328.889175579</v>
      </c>
      <c r="F588" s="78" t="s">
        <v>588</v>
      </c>
      <c r="G588" s="25">
        <f t="shared" si="16"/>
        <v>-1.8230353538641886E-3</v>
      </c>
      <c r="I588" s="78">
        <v>55.171000000000014</v>
      </c>
      <c r="J588" s="78">
        <v>56.039000000000009</v>
      </c>
      <c r="K588" s="78">
        <v>54.425000000000011</v>
      </c>
      <c r="L588" s="78">
        <v>54.784000000000013</v>
      </c>
      <c r="M588" s="78">
        <v>34732329.999999993</v>
      </c>
      <c r="N588" s="78" t="s">
        <v>588</v>
      </c>
      <c r="O588" s="25">
        <f t="shared" si="17"/>
        <v>7.0641063084111444E-3</v>
      </c>
    </row>
    <row r="589" spans="1:15">
      <c r="A589" s="78">
        <v>455.3281679206446</v>
      </c>
      <c r="B589" s="78">
        <v>462.14679185132024</v>
      </c>
      <c r="C589" s="78">
        <v>455.25909358270724</v>
      </c>
      <c r="D589" s="78">
        <v>461.23895769557186</v>
      </c>
      <c r="E589" s="78">
        <v>4423328.9688131372</v>
      </c>
      <c r="F589" s="78" t="s">
        <v>589</v>
      </c>
      <c r="G589" s="25">
        <f t="shared" si="16"/>
        <v>-1.2815027170424931E-2</v>
      </c>
      <c r="I589" s="78">
        <v>55.064000000000007</v>
      </c>
      <c r="J589" s="78">
        <v>56.000000000000014</v>
      </c>
      <c r="K589" s="78">
        <v>54.937500000000014</v>
      </c>
      <c r="L589" s="78">
        <v>56.000000000000014</v>
      </c>
      <c r="M589" s="78">
        <v>33614919.999999993</v>
      </c>
      <c r="N589" s="78" t="s">
        <v>589</v>
      </c>
      <c r="O589" s="25">
        <f t="shared" si="17"/>
        <v>-1.6714285714285793E-2</v>
      </c>
    </row>
    <row r="590" spans="1:15">
      <c r="A590" s="78">
        <v>462.64017997944438</v>
      </c>
      <c r="B590" s="78">
        <v>463.21251020806841</v>
      </c>
      <c r="C590" s="78">
        <v>460.04495842551137</v>
      </c>
      <c r="D590" s="78">
        <v>462.64017997944438</v>
      </c>
      <c r="E590" s="78">
        <v>3296801.0523162251</v>
      </c>
      <c r="F590" s="78" t="s">
        <v>590</v>
      </c>
      <c r="G590" s="25">
        <f t="shared" si="16"/>
        <v>0</v>
      </c>
      <c r="I590" s="78">
        <v>55.949000000000012</v>
      </c>
      <c r="J590" s="78">
        <v>55.964000000000013</v>
      </c>
      <c r="K590" s="78">
        <v>55.424000000000014</v>
      </c>
      <c r="L590" s="78">
        <v>55.918000000000006</v>
      </c>
      <c r="M590" s="78">
        <v>25088819.999999996</v>
      </c>
      <c r="N590" s="78" t="s">
        <v>590</v>
      </c>
      <c r="O590" s="25">
        <f t="shared" si="17"/>
        <v>5.5438320397738217E-4</v>
      </c>
    </row>
    <row r="591" spans="1:15">
      <c r="A591" s="78">
        <v>461.03173468175964</v>
      </c>
      <c r="B591" s="78">
        <v>462.43295696563223</v>
      </c>
      <c r="C591" s="78">
        <v>458.66347166676383</v>
      </c>
      <c r="D591" s="78">
        <v>459.17659532001289</v>
      </c>
      <c r="E591" s="78">
        <v>4972872.9982385458</v>
      </c>
      <c r="F591" s="78" t="s">
        <v>591</v>
      </c>
      <c r="G591" s="25">
        <f t="shared" si="16"/>
        <v>4.0401435540369235E-3</v>
      </c>
      <c r="I591" s="78">
        <v>56.123000000000012</v>
      </c>
      <c r="J591" s="78">
        <v>56.292000000000009</v>
      </c>
      <c r="K591" s="78">
        <v>55.319000000000017</v>
      </c>
      <c r="L591" s="78">
        <v>55.821000000000012</v>
      </c>
      <c r="M591" s="78">
        <v>43325929.999999993</v>
      </c>
      <c r="N591" s="78" t="s">
        <v>591</v>
      </c>
      <c r="O591" s="25">
        <f t="shared" si="17"/>
        <v>5.4101503018577635E-3</v>
      </c>
    </row>
    <row r="592" spans="1:15">
      <c r="A592" s="78">
        <v>456.46296061533013</v>
      </c>
      <c r="B592" s="78">
        <v>457.33132372082861</v>
      </c>
      <c r="C592" s="78">
        <v>451.21331093208926</v>
      </c>
      <c r="D592" s="78">
        <v>452.70334307902419</v>
      </c>
      <c r="E592" s="78">
        <v>4941574.1097575594</v>
      </c>
      <c r="F592" s="78" t="s">
        <v>592</v>
      </c>
      <c r="G592" s="25">
        <f t="shared" si="16"/>
        <v>8.3048150489350991E-3</v>
      </c>
      <c r="I592" s="78">
        <v>56.480000000000004</v>
      </c>
      <c r="J592" s="78">
        <v>56.654000000000011</v>
      </c>
      <c r="K592" s="78">
        <v>54.570500000000017</v>
      </c>
      <c r="L592" s="78">
        <v>54.946000000000012</v>
      </c>
      <c r="M592" s="78">
        <v>38071009.999999993</v>
      </c>
      <c r="N592" s="78" t="s">
        <v>592</v>
      </c>
      <c r="O592" s="25">
        <f t="shared" si="17"/>
        <v>2.7918319804899117E-2</v>
      </c>
    </row>
    <row r="593" spans="1:15">
      <c r="A593" s="78">
        <v>458.35757102732686</v>
      </c>
      <c r="B593" s="78">
        <v>460.14363605113624</v>
      </c>
      <c r="C593" s="78">
        <v>456.3248119394554</v>
      </c>
      <c r="D593" s="78">
        <v>459.4134216215125</v>
      </c>
      <c r="E593" s="78">
        <v>7790861.3541524773</v>
      </c>
      <c r="F593" s="78" t="s">
        <v>593</v>
      </c>
      <c r="G593" s="25">
        <f t="shared" si="16"/>
        <v>-2.298258049272861E-3</v>
      </c>
      <c r="I593" s="78">
        <v>55.512000000000015</v>
      </c>
      <c r="J593" s="78">
        <v>57.690700000000014</v>
      </c>
      <c r="K593" s="78">
        <v>55.13000000000001</v>
      </c>
      <c r="L593" s="78">
        <v>57.431000000000004</v>
      </c>
      <c r="M593" s="78">
        <v>53553119.999999993</v>
      </c>
      <c r="N593" s="78" t="s">
        <v>593</v>
      </c>
      <c r="O593" s="25">
        <f t="shared" si="17"/>
        <v>-3.3414009855304405E-2</v>
      </c>
    </row>
    <row r="594" spans="1:15">
      <c r="A594" s="78">
        <v>458.69307495445122</v>
      </c>
      <c r="B594" s="78">
        <v>458.97924006876326</v>
      </c>
      <c r="C594" s="78">
        <v>454.57821796589593</v>
      </c>
      <c r="D594" s="78">
        <v>455.08147385658253</v>
      </c>
      <c r="E594" s="78">
        <v>4314453.2238611141</v>
      </c>
      <c r="F594" s="78" t="s">
        <v>594</v>
      </c>
      <c r="G594" s="25">
        <f t="shared" si="16"/>
        <v>7.9361637538488683E-3</v>
      </c>
      <c r="I594" s="78">
        <v>57.775000000000013</v>
      </c>
      <c r="J594" s="78">
        <v>57.921000000000014</v>
      </c>
      <c r="K594" s="78">
        <v>55.528000000000006</v>
      </c>
      <c r="L594" s="78">
        <v>55.649000000000015</v>
      </c>
      <c r="M594" s="78">
        <v>49755199.999999993</v>
      </c>
      <c r="N594" s="78" t="s">
        <v>594</v>
      </c>
      <c r="O594" s="25">
        <f t="shared" si="17"/>
        <v>3.8203741307121453E-2</v>
      </c>
    </row>
    <row r="595" spans="1:15">
      <c r="A595" s="78">
        <v>452.97964043077371</v>
      </c>
      <c r="B595" s="78">
        <v>455.62410211989345</v>
      </c>
      <c r="C595" s="78">
        <v>449.32856828265511</v>
      </c>
      <c r="D595" s="78">
        <v>451.4994760464013</v>
      </c>
      <c r="E595" s="78">
        <v>5896055.932801161</v>
      </c>
      <c r="F595" s="78" t="s">
        <v>595</v>
      </c>
      <c r="G595" s="25">
        <f t="shared" si="16"/>
        <v>3.2783302371326428E-3</v>
      </c>
      <c r="I595" s="78">
        <v>55.460000000000015</v>
      </c>
      <c r="J595" s="78">
        <v>55.861000000000011</v>
      </c>
      <c r="K595" s="78">
        <v>54.201000000000008</v>
      </c>
      <c r="L595" s="78">
        <v>55.06600000000001</v>
      </c>
      <c r="M595" s="78">
        <v>85976509.999999985</v>
      </c>
      <c r="N595" s="78" t="s">
        <v>595</v>
      </c>
      <c r="O595" s="25">
        <f t="shared" si="17"/>
        <v>7.1550503032724588E-3</v>
      </c>
    </row>
    <row r="596" spans="1:15">
      <c r="A596" s="78">
        <v>449.08187421859304</v>
      </c>
      <c r="B596" s="78">
        <v>453.85787129883465</v>
      </c>
      <c r="C596" s="78">
        <v>447.89774271109502</v>
      </c>
      <c r="D596" s="78">
        <v>452.92043385539881</v>
      </c>
      <c r="E596" s="78">
        <v>9918615.2261221297</v>
      </c>
      <c r="F596" s="78" t="s">
        <v>596</v>
      </c>
      <c r="G596" s="25">
        <f t="shared" si="16"/>
        <v>-8.4751301771279763E-3</v>
      </c>
      <c r="I596" s="78">
        <v>55.504000000000005</v>
      </c>
      <c r="J596" s="78">
        <v>57.900000000000013</v>
      </c>
      <c r="K596" s="78">
        <v>55.216000000000008</v>
      </c>
      <c r="L596" s="78">
        <v>56.788000000000011</v>
      </c>
      <c r="M596" s="78">
        <v>164496989.99999997</v>
      </c>
      <c r="N596" s="78" t="s">
        <v>596</v>
      </c>
      <c r="O596" s="25">
        <f t="shared" si="17"/>
        <v>-2.2610410650137469E-2</v>
      </c>
    </row>
    <row r="597" spans="1:15">
      <c r="A597" s="78">
        <v>452.87109504258638</v>
      </c>
      <c r="B597" s="78">
        <v>457.17343951982895</v>
      </c>
      <c r="C597" s="78">
        <v>452.15074837552515</v>
      </c>
      <c r="D597" s="78">
        <v>455.25909358270724</v>
      </c>
      <c r="E597" s="78">
        <v>5712831.0134183131</v>
      </c>
      <c r="F597" s="78" t="s">
        <v>597</v>
      </c>
      <c r="G597" s="25">
        <f t="shared" si="16"/>
        <v>-5.245361539795379E-3</v>
      </c>
      <c r="I597" s="78">
        <v>61.056000000000004</v>
      </c>
      <c r="J597" s="78">
        <v>62.133000000000017</v>
      </c>
      <c r="K597" s="78">
        <v>60.543500000000009</v>
      </c>
      <c r="L597" s="78">
        <v>61.210000000000015</v>
      </c>
      <c r="M597" s="78">
        <v>84684069.999999985</v>
      </c>
      <c r="N597" s="78" t="s">
        <v>597</v>
      </c>
      <c r="O597" s="25">
        <f t="shared" si="17"/>
        <v>-2.5159287698089949E-3</v>
      </c>
    </row>
    <row r="598" spans="1:15">
      <c r="A598" s="78">
        <v>453.90721011164709</v>
      </c>
      <c r="B598" s="78">
        <v>459.0877854569506</v>
      </c>
      <c r="C598" s="78">
        <v>452.66387202877428</v>
      </c>
      <c r="D598" s="78">
        <v>458.95950454363833</v>
      </c>
      <c r="E598" s="78">
        <v>7252129.2995110629</v>
      </c>
      <c r="F598" s="78" t="s">
        <v>598</v>
      </c>
      <c r="G598" s="25">
        <f t="shared" si="16"/>
        <v>-1.1008148610006319E-2</v>
      </c>
      <c r="I598" s="78">
        <v>61.369000000000014</v>
      </c>
      <c r="J598" s="78">
        <v>62.097000000000016</v>
      </c>
      <c r="K598" s="78">
        <v>60.771000000000015</v>
      </c>
      <c r="L598" s="78">
        <v>62.097000000000016</v>
      </c>
      <c r="M598" s="78">
        <v>33122219.999999993</v>
      </c>
      <c r="N598" s="78" t="s">
        <v>598</v>
      </c>
      <c r="O598" s="25">
        <f t="shared" si="17"/>
        <v>-1.1723593732386406E-2</v>
      </c>
    </row>
    <row r="599" spans="1:15">
      <c r="A599" s="78">
        <v>456.66031586657977</v>
      </c>
      <c r="B599" s="78">
        <v>459.3542150461376</v>
      </c>
      <c r="C599" s="78">
        <v>455.48605212164432</v>
      </c>
      <c r="D599" s="78">
        <v>457.91352171201515</v>
      </c>
      <c r="E599" s="78">
        <v>6852028.4686488919</v>
      </c>
      <c r="F599" s="78" t="s">
        <v>599</v>
      </c>
      <c r="G599" s="25">
        <f t="shared" si="16"/>
        <v>-2.736774054520108E-3</v>
      </c>
      <c r="I599" s="78">
        <v>61.75200000000001</v>
      </c>
      <c r="J599" s="78">
        <v>62.245000000000019</v>
      </c>
      <c r="K599" s="78">
        <v>60.750000000000014</v>
      </c>
      <c r="L599" s="78">
        <v>60.750000000000014</v>
      </c>
      <c r="M599" s="78">
        <v>35191219.999999993</v>
      </c>
      <c r="N599" s="78" t="s">
        <v>599</v>
      </c>
      <c r="O599" s="25">
        <f t="shared" si="17"/>
        <v>1.6493827160493746E-2</v>
      </c>
    </row>
    <row r="600" spans="1:15">
      <c r="A600" s="78">
        <v>457.47934015926592</v>
      </c>
      <c r="B600" s="78">
        <v>467.3273671966237</v>
      </c>
      <c r="C600" s="78">
        <v>456.72939020451719</v>
      </c>
      <c r="D600" s="78">
        <v>467.20895404587395</v>
      </c>
      <c r="E600" s="78">
        <v>9657755.6864138376</v>
      </c>
      <c r="F600" s="78" t="s">
        <v>600</v>
      </c>
      <c r="G600" s="25">
        <f t="shared" si="16"/>
        <v>-2.0824973071155495E-2</v>
      </c>
      <c r="I600" s="78">
        <v>60.715000000000011</v>
      </c>
      <c r="J600" s="78">
        <v>63.01700000000001</v>
      </c>
      <c r="K600" s="78">
        <v>60.387100000000011</v>
      </c>
      <c r="L600" s="78">
        <v>63.01700000000001</v>
      </c>
      <c r="M600" s="78">
        <v>30853939.999999993</v>
      </c>
      <c r="N600" s="78" t="s">
        <v>600</v>
      </c>
      <c r="O600" s="25">
        <f t="shared" si="17"/>
        <v>-3.6529825285240514E-2</v>
      </c>
    </row>
    <row r="601" spans="1:15">
      <c r="A601" s="78">
        <v>463.3605266465056</v>
      </c>
      <c r="B601" s="78">
        <v>467.78128427449792</v>
      </c>
      <c r="C601" s="78">
        <v>461.72247806113353</v>
      </c>
      <c r="D601" s="78">
        <v>466.51821066650012</v>
      </c>
      <c r="E601" s="78">
        <v>7052989.9315381097</v>
      </c>
      <c r="F601" s="78" t="s">
        <v>601</v>
      </c>
      <c r="G601" s="25">
        <f t="shared" si="16"/>
        <v>-6.7686189902066429E-3</v>
      </c>
      <c r="I601" s="78">
        <v>62.283000000000015</v>
      </c>
      <c r="J601" s="78">
        <v>63.311990000000016</v>
      </c>
      <c r="K601" s="78">
        <v>61.891500000000008</v>
      </c>
      <c r="L601" s="78">
        <v>62.823000000000015</v>
      </c>
      <c r="M601" s="78">
        <v>29592689.999999993</v>
      </c>
      <c r="N601" s="78" t="s">
        <v>601</v>
      </c>
      <c r="O601" s="25">
        <f t="shared" si="17"/>
        <v>-8.5955780526240089E-3</v>
      </c>
    </row>
    <row r="602" spans="1:15">
      <c r="A602" s="78">
        <v>469.764704549557</v>
      </c>
      <c r="B602" s="78">
        <v>471.11658802061714</v>
      </c>
      <c r="C602" s="78">
        <v>464.44598052837875</v>
      </c>
      <c r="D602" s="78">
        <v>467.71220993656055</v>
      </c>
      <c r="E602" s="78">
        <v>5178378.5510079227</v>
      </c>
      <c r="F602" s="78" t="s">
        <v>602</v>
      </c>
      <c r="G602" s="25">
        <f t="shared" si="16"/>
        <v>4.3883708173340086E-3</v>
      </c>
      <c r="I602" s="78">
        <v>62.878000000000007</v>
      </c>
      <c r="J602" s="78">
        <v>63.166000000000011</v>
      </c>
      <c r="K602" s="78">
        <v>61.724000000000011</v>
      </c>
      <c r="L602" s="78">
        <v>62.442000000000007</v>
      </c>
      <c r="M602" s="78">
        <v>26626619.999999996</v>
      </c>
      <c r="N602" s="78" t="s">
        <v>602</v>
      </c>
      <c r="O602" s="25">
        <f t="shared" si="17"/>
        <v>6.9824797411999207E-3</v>
      </c>
    </row>
    <row r="603" spans="1:15">
      <c r="A603" s="78">
        <v>466.39979751575032</v>
      </c>
      <c r="B603" s="78">
        <v>468.11678820162234</v>
      </c>
      <c r="C603" s="78">
        <v>464.44598052837875</v>
      </c>
      <c r="D603" s="78">
        <v>465.66958308612664</v>
      </c>
      <c r="E603" s="78">
        <v>7026302.0174002824</v>
      </c>
      <c r="F603" s="78" t="s">
        <v>603</v>
      </c>
      <c r="G603" s="25">
        <f t="shared" si="16"/>
        <v>1.5680956114512146E-3</v>
      </c>
      <c r="I603" s="78">
        <v>61.858000000000018</v>
      </c>
      <c r="J603" s="78">
        <v>62.01400000000001</v>
      </c>
      <c r="K603" s="78">
        <v>60.934000000000012</v>
      </c>
      <c r="L603" s="78">
        <v>61.097000000000016</v>
      </c>
      <c r="M603" s="78">
        <v>28062479.999999996</v>
      </c>
      <c r="N603" s="78" t="s">
        <v>603</v>
      </c>
      <c r="O603" s="25">
        <f t="shared" si="17"/>
        <v>1.2455603384781577E-2</v>
      </c>
    </row>
    <row r="604" spans="1:15">
      <c r="A604" s="78">
        <v>470.95870381961737</v>
      </c>
      <c r="B604" s="78">
        <v>472.27111624042766</v>
      </c>
      <c r="C604" s="78">
        <v>466.48860737881267</v>
      </c>
      <c r="D604" s="78">
        <v>472.05402546405298</v>
      </c>
      <c r="E604" s="78">
        <v>5324602.174738585</v>
      </c>
      <c r="F604" s="78" t="s">
        <v>604</v>
      </c>
      <c r="G604" s="25">
        <f t="shared" si="16"/>
        <v>-2.3203311175217234E-3</v>
      </c>
      <c r="I604" s="78">
        <v>61.820000000000014</v>
      </c>
      <c r="J604" s="78">
        <v>63.199000000000012</v>
      </c>
      <c r="K604" s="78">
        <v>61.563470000000009</v>
      </c>
      <c r="L604" s="78">
        <v>63.199000000000012</v>
      </c>
      <c r="M604" s="78">
        <v>21466349.999999996</v>
      </c>
      <c r="N604" s="78" t="s">
        <v>604</v>
      </c>
      <c r="O604" s="25">
        <f t="shared" si="17"/>
        <v>-2.1819965505783245E-2</v>
      </c>
    </row>
    <row r="605" spans="1:15">
      <c r="A605" s="78">
        <v>470.37650582843094</v>
      </c>
      <c r="B605" s="78">
        <v>471.74812482461601</v>
      </c>
      <c r="C605" s="78">
        <v>469.67589468649464</v>
      </c>
      <c r="D605" s="78">
        <v>470.84029066886757</v>
      </c>
      <c r="E605" s="78">
        <v>4800255.3466468742</v>
      </c>
      <c r="F605" s="78" t="s">
        <v>605</v>
      </c>
      <c r="G605" s="25">
        <f t="shared" si="16"/>
        <v>-9.8501519438320972E-4</v>
      </c>
      <c r="I605" s="78">
        <v>62.841000000000008</v>
      </c>
      <c r="J605" s="78">
        <v>63.900000000000013</v>
      </c>
      <c r="K605" s="78">
        <v>62.811000000000014</v>
      </c>
      <c r="L605" s="78">
        <v>63.63900000000001</v>
      </c>
      <c r="M605" s="78">
        <v>21457309.999999996</v>
      </c>
      <c r="N605" s="78" t="s">
        <v>605</v>
      </c>
      <c r="O605" s="25">
        <f t="shared" si="17"/>
        <v>-1.2539480507236189E-2</v>
      </c>
    </row>
    <row r="606" spans="1:15">
      <c r="A606" s="78">
        <v>470.18901833974377</v>
      </c>
      <c r="B606" s="78">
        <v>472.00468665124055</v>
      </c>
      <c r="C606" s="78">
        <v>466.17283897681324</v>
      </c>
      <c r="D606" s="78">
        <v>466.59715276700001</v>
      </c>
      <c r="E606" s="78">
        <v>5663046.6781255519</v>
      </c>
      <c r="F606" s="78" t="s">
        <v>606</v>
      </c>
      <c r="G606" s="25">
        <f t="shared" si="16"/>
        <v>7.6980014803849084E-3</v>
      </c>
      <c r="I606" s="78">
        <v>63.618000000000009</v>
      </c>
      <c r="J606" s="78">
        <v>63.791000000000011</v>
      </c>
      <c r="K606" s="78">
        <v>62.271000000000015</v>
      </c>
      <c r="L606" s="78">
        <v>62.492000000000012</v>
      </c>
      <c r="M606" s="78">
        <v>33788419.999999993</v>
      </c>
      <c r="N606" s="78" t="s">
        <v>606</v>
      </c>
      <c r="O606" s="25">
        <f t="shared" si="17"/>
        <v>1.8018306343211998E-2</v>
      </c>
    </row>
    <row r="607" spans="1:15">
      <c r="A607" s="78">
        <v>465.24526929593986</v>
      </c>
      <c r="B607" s="78">
        <v>475.11303185842269</v>
      </c>
      <c r="C607" s="78">
        <v>465.03804628212771</v>
      </c>
      <c r="D607" s="78">
        <v>474.83673450667311</v>
      </c>
      <c r="E607" s="78">
        <v>6963270.5048297672</v>
      </c>
      <c r="F607" s="78" t="s">
        <v>607</v>
      </c>
      <c r="G607" s="25">
        <f t="shared" si="16"/>
        <v>-2.0199501246882634E-2</v>
      </c>
      <c r="I607" s="78">
        <v>61.714000000000013</v>
      </c>
      <c r="J607" s="78">
        <v>63.800000000000011</v>
      </c>
      <c r="K607" s="78">
        <v>61.658000000000015</v>
      </c>
      <c r="L607" s="78">
        <v>63.321000000000019</v>
      </c>
      <c r="M607" s="78">
        <v>30643489.999999993</v>
      </c>
      <c r="N607" s="78" t="s">
        <v>607</v>
      </c>
      <c r="O607" s="25">
        <f t="shared" si="17"/>
        <v>-2.5378626364081502E-2</v>
      </c>
    </row>
    <row r="608" spans="1:15">
      <c r="A608" s="78">
        <v>471.04751368267978</v>
      </c>
      <c r="B608" s="78">
        <v>472.47044504418977</v>
      </c>
      <c r="C608" s="78">
        <v>469.49827496036994</v>
      </c>
      <c r="D608" s="78">
        <v>469.54761377318232</v>
      </c>
      <c r="E608" s="78">
        <v>6308230.4226357285</v>
      </c>
      <c r="F608" s="78" t="s">
        <v>608</v>
      </c>
      <c r="G608" s="25">
        <f t="shared" si="16"/>
        <v>3.194351042367316E-3</v>
      </c>
      <c r="I608" s="78">
        <v>63.008000000000017</v>
      </c>
      <c r="J608" s="78">
        <v>63.041000000000011</v>
      </c>
      <c r="K608" s="78">
        <v>61.150000000000013</v>
      </c>
      <c r="L608" s="78">
        <v>61.27450000000001</v>
      </c>
      <c r="M608" s="78">
        <v>29312309.999999993</v>
      </c>
      <c r="N608" s="78" t="s">
        <v>608</v>
      </c>
      <c r="O608" s="25">
        <f t="shared" si="17"/>
        <v>2.8290724526516042E-2</v>
      </c>
    </row>
    <row r="609" spans="1:15">
      <c r="A609" s="78">
        <v>470.62319989249301</v>
      </c>
      <c r="B609" s="78">
        <v>470.68240646786791</v>
      </c>
      <c r="C609" s="78">
        <v>468.43255660362178</v>
      </c>
      <c r="D609" s="78">
        <v>470.03113413874399</v>
      </c>
      <c r="E609" s="78">
        <v>4882385.4136066614</v>
      </c>
      <c r="F609" s="78" t="s">
        <v>609</v>
      </c>
      <c r="G609" s="25">
        <f t="shared" si="16"/>
        <v>1.259630928138078E-3</v>
      </c>
      <c r="I609" s="78">
        <v>61.421000000000014</v>
      </c>
      <c r="J609" s="78">
        <v>61.503000000000007</v>
      </c>
      <c r="K609" s="78">
        <v>60.551010000000005</v>
      </c>
      <c r="L609" s="78">
        <v>61.100000000000009</v>
      </c>
      <c r="M609" s="78">
        <v>20292169.999999996</v>
      </c>
      <c r="N609" s="78" t="s">
        <v>609</v>
      </c>
      <c r="O609" s="25">
        <f t="shared" si="17"/>
        <v>5.2536824877251753E-3</v>
      </c>
    </row>
    <row r="610" spans="1:15">
      <c r="A610" s="78">
        <v>473.72167733711257</v>
      </c>
      <c r="B610" s="78">
        <v>475.58668446142184</v>
      </c>
      <c r="C610" s="78">
        <v>472.49807477936469</v>
      </c>
      <c r="D610" s="78">
        <v>475.07356080817272</v>
      </c>
      <c r="E610" s="78">
        <v>5810800.5372975701</v>
      </c>
      <c r="F610" s="78" t="s">
        <v>610</v>
      </c>
      <c r="G610" s="25">
        <f t="shared" si="16"/>
        <v>-2.8456297773347128E-3</v>
      </c>
      <c r="I610" s="78">
        <v>61.431000000000004</v>
      </c>
      <c r="J610" s="78">
        <v>61.51100000000001</v>
      </c>
      <c r="K610" s="78">
        <v>60.557100000000013</v>
      </c>
      <c r="L610" s="78">
        <v>60.800000000000011</v>
      </c>
      <c r="M610" s="78">
        <v>21159249.999999996</v>
      </c>
      <c r="N610" s="78" t="s">
        <v>610</v>
      </c>
      <c r="O610" s="25">
        <f t="shared" si="17"/>
        <v>1.0378289473684132E-2</v>
      </c>
    </row>
    <row r="611" spans="1:15">
      <c r="A611" s="78">
        <v>474.34334637854897</v>
      </c>
      <c r="B611" s="78">
        <v>475.78384235742027</v>
      </c>
      <c r="C611" s="78">
        <v>474.14934616657058</v>
      </c>
      <c r="D611" s="78">
        <v>474.51109834211121</v>
      </c>
      <c r="E611" s="78">
        <v>4119493.1214246862</v>
      </c>
      <c r="F611" s="78" t="s">
        <v>611</v>
      </c>
      <c r="G611" s="25">
        <f t="shared" si="16"/>
        <v>-3.5352590097126324E-4</v>
      </c>
      <c r="I611" s="78">
        <v>60.733000000000018</v>
      </c>
      <c r="J611" s="78">
        <v>61.500000000000014</v>
      </c>
      <c r="K611" s="78">
        <v>60.159000000000013</v>
      </c>
      <c r="L611" s="78">
        <v>61.499000000000009</v>
      </c>
      <c r="M611" s="78">
        <v>37088029.999999993</v>
      </c>
      <c r="N611" s="78" t="s">
        <v>611</v>
      </c>
      <c r="O611" s="25">
        <f t="shared" si="17"/>
        <v>-1.2455487081090566E-2</v>
      </c>
    </row>
    <row r="612" spans="1:15">
      <c r="A612" s="78">
        <v>474.40255295392387</v>
      </c>
      <c r="B612" s="78">
        <v>474.51109834211121</v>
      </c>
      <c r="C612" s="78">
        <v>471.13632354574207</v>
      </c>
      <c r="D612" s="78">
        <v>473.16908263361353</v>
      </c>
      <c r="E612" s="78">
        <v>5017782.8749399669</v>
      </c>
      <c r="F612" s="78" t="s">
        <v>612</v>
      </c>
      <c r="G612" s="25">
        <f t="shared" si="16"/>
        <v>2.6068278033826164E-3</v>
      </c>
      <c r="I612" s="78">
        <v>61.353000000000009</v>
      </c>
      <c r="J612" s="78">
        <v>63.135000000000012</v>
      </c>
      <c r="K612" s="78">
        <v>61.073000000000015</v>
      </c>
      <c r="L612" s="78">
        <v>62.90100000000001</v>
      </c>
      <c r="M612" s="78">
        <v>26282669.999999996</v>
      </c>
      <c r="N612" s="78" t="s">
        <v>612</v>
      </c>
      <c r="O612" s="25">
        <f t="shared" si="17"/>
        <v>-2.4610101588210087E-2</v>
      </c>
    </row>
    <row r="613" spans="1:15">
      <c r="A613" s="78">
        <v>470.29756372793105</v>
      </c>
      <c r="B613" s="78">
        <v>473.0309339577388</v>
      </c>
      <c r="C613" s="78">
        <v>470.12981176436887</v>
      </c>
      <c r="D613" s="78">
        <v>472.72503331830183</v>
      </c>
      <c r="E613" s="78">
        <v>8181694.6332853744</v>
      </c>
      <c r="F613" s="78" t="s">
        <v>613</v>
      </c>
      <c r="G613" s="25">
        <f t="shared" si="16"/>
        <v>-5.1350561516302351E-3</v>
      </c>
      <c r="I613" s="78">
        <v>62.924000000000014</v>
      </c>
      <c r="J613" s="78">
        <v>63.438990000000011</v>
      </c>
      <c r="K613" s="78">
        <v>61.918360000000007</v>
      </c>
      <c r="L613" s="78">
        <v>62.520000000000017</v>
      </c>
      <c r="M613" s="78">
        <v>28044529.999999996</v>
      </c>
      <c r="N613" s="78" t="s">
        <v>613</v>
      </c>
      <c r="O613" s="25">
        <f t="shared" si="17"/>
        <v>6.4619321817018793E-3</v>
      </c>
    </row>
    <row r="614" spans="1:15">
      <c r="A614" s="78">
        <v>471.61984391130375</v>
      </c>
      <c r="B614" s="78">
        <v>472.45860372911483</v>
      </c>
      <c r="C614" s="78">
        <v>471.23500117136695</v>
      </c>
      <c r="D614" s="78">
        <v>471.41262089749165</v>
      </c>
      <c r="E614" s="78">
        <v>6162771.9166257447</v>
      </c>
      <c r="F614" s="78" t="s">
        <v>614</v>
      </c>
      <c r="G614" s="25">
        <f t="shared" si="16"/>
        <v>4.3957884160494842E-4</v>
      </c>
      <c r="I614" s="78">
        <v>62.746000000000016</v>
      </c>
      <c r="J614" s="78">
        <v>63.046000000000014</v>
      </c>
      <c r="K614" s="78">
        <v>62.31600000000001</v>
      </c>
      <c r="L614" s="78">
        <v>62.790000000000013</v>
      </c>
      <c r="M614" s="78">
        <v>18032639.999999996</v>
      </c>
      <c r="N614" s="78" t="s">
        <v>614</v>
      </c>
      <c r="O614" s="25">
        <f t="shared" si="17"/>
        <v>-7.0074852683543742E-4</v>
      </c>
    </row>
    <row r="615" spans="1:15">
      <c r="A615" s="78">
        <v>472.84344646905163</v>
      </c>
      <c r="B615" s="78">
        <v>473.96837140117464</v>
      </c>
      <c r="C615" s="78">
        <v>472.48820701680222</v>
      </c>
      <c r="D615" s="78">
        <v>473.52432208586293</v>
      </c>
      <c r="E615" s="78">
        <v>5960320.7543333527</v>
      </c>
      <c r="F615" s="78" t="s">
        <v>615</v>
      </c>
      <c r="G615" s="25">
        <f t="shared" si="16"/>
        <v>-1.4378894283868515E-3</v>
      </c>
      <c r="I615" s="78">
        <v>62.801000000000009</v>
      </c>
      <c r="J615" s="78">
        <v>62.905000000000008</v>
      </c>
      <c r="K615" s="78">
        <v>62.100000000000009</v>
      </c>
      <c r="L615" s="78">
        <v>62.416000000000011</v>
      </c>
      <c r="M615" s="78">
        <v>21356879.999999996</v>
      </c>
      <c r="N615" s="78" t="s">
        <v>615</v>
      </c>
      <c r="O615" s="25">
        <f t="shared" si="17"/>
        <v>6.1682901820045988E-3</v>
      </c>
    </row>
    <row r="616" spans="1:15">
      <c r="A616" s="78">
        <v>473.46225385934514</v>
      </c>
      <c r="B616" s="78">
        <v>475.31636489814201</v>
      </c>
      <c r="C616" s="78">
        <v>473.32454799969969</v>
      </c>
      <c r="D616" s="78">
        <v>474.71144272898545</v>
      </c>
      <c r="E616" s="78">
        <v>5128722.9303001203</v>
      </c>
      <c r="F616" s="78" t="s">
        <v>616</v>
      </c>
      <c r="G616" s="25">
        <f t="shared" si="16"/>
        <v>-2.6314698934979397E-3</v>
      </c>
      <c r="I616" s="78">
        <v>62.271000000000015</v>
      </c>
      <c r="J616" s="78">
        <v>63.436170000000018</v>
      </c>
      <c r="K616" s="78">
        <v>62.233000000000018</v>
      </c>
      <c r="L616" s="78">
        <v>63.065000000000012</v>
      </c>
      <c r="M616" s="78">
        <v>25076709.999999996</v>
      </c>
      <c r="N616" s="78" t="s">
        <v>616</v>
      </c>
      <c r="O616" s="25">
        <f t="shared" si="17"/>
        <v>-1.2590184730040366E-2</v>
      </c>
    </row>
    <row r="617" spans="1:15">
      <c r="A617" s="78">
        <v>471.88847260625494</v>
      </c>
      <c r="B617" s="78">
        <v>472.1540481927139</v>
      </c>
      <c r="C617" s="78">
        <v>467.14745658132085</v>
      </c>
      <c r="D617" s="78">
        <v>467.74746068406148</v>
      </c>
      <c r="E617" s="78">
        <v>6282302.3089051498</v>
      </c>
      <c r="F617" s="78" t="s">
        <v>617</v>
      </c>
      <c r="G617" s="25">
        <f t="shared" si="16"/>
        <v>8.8530933254824529E-3</v>
      </c>
      <c r="I617" s="78">
        <v>62.76900000000002</v>
      </c>
      <c r="J617" s="78">
        <v>62.950500000000012</v>
      </c>
      <c r="K617" s="78">
        <v>61.834000000000017</v>
      </c>
      <c r="L617" s="78">
        <v>61.995000000000019</v>
      </c>
      <c r="M617" s="78">
        <v>26395089.999999996</v>
      </c>
      <c r="N617" s="78" t="s">
        <v>617</v>
      </c>
      <c r="O617" s="25">
        <f t="shared" si="17"/>
        <v>1.2484877812726891E-2</v>
      </c>
    </row>
    <row r="618" spans="1:15">
      <c r="A618" s="78">
        <v>467.80647748105235</v>
      </c>
      <c r="B618" s="78">
        <v>467.94418334069775</v>
      </c>
      <c r="C618" s="78">
        <v>463.56710423054074</v>
      </c>
      <c r="D618" s="78">
        <v>464.46219231823574</v>
      </c>
      <c r="E618" s="78">
        <v>4626053.8341683242</v>
      </c>
      <c r="F618" s="78" t="s">
        <v>618</v>
      </c>
      <c r="G618" s="25">
        <f t="shared" si="16"/>
        <v>7.2003388394747958E-3</v>
      </c>
      <c r="I618" s="78">
        <v>62.074000000000012</v>
      </c>
      <c r="J618" s="78">
        <v>62.128000000000007</v>
      </c>
      <c r="K618" s="78">
        <v>60.800000000000011</v>
      </c>
      <c r="L618" s="78">
        <v>61.562000000000012</v>
      </c>
      <c r="M618" s="78">
        <v>21426129.999999996</v>
      </c>
      <c r="N618" s="78" t="s">
        <v>618</v>
      </c>
      <c r="O618" s="25">
        <f t="shared" si="17"/>
        <v>8.3168188168025736E-3</v>
      </c>
    </row>
    <row r="619" spans="1:15">
      <c r="A619" s="78">
        <v>465.1999022806217</v>
      </c>
      <c r="B619" s="78">
        <v>467.49073761715113</v>
      </c>
      <c r="C619" s="78">
        <v>464.75727630319011</v>
      </c>
      <c r="D619" s="78">
        <v>466.1835155638031</v>
      </c>
      <c r="E619" s="78">
        <v>4004729.366056887</v>
      </c>
      <c r="F619" s="78" t="s">
        <v>619</v>
      </c>
      <c r="G619" s="25">
        <f t="shared" si="16"/>
        <v>-2.1099272075114639E-3</v>
      </c>
      <c r="I619" s="78">
        <v>61.839000000000013</v>
      </c>
      <c r="J619" s="78">
        <v>62.741000000000007</v>
      </c>
      <c r="K619" s="78">
        <v>61.044810000000005</v>
      </c>
      <c r="L619" s="78">
        <v>61.356000000000009</v>
      </c>
      <c r="M619" s="78">
        <v>33442439.999999993</v>
      </c>
      <c r="N619" s="78" t="s">
        <v>619</v>
      </c>
      <c r="O619" s="25">
        <f t="shared" si="17"/>
        <v>7.8720907490710257E-3</v>
      </c>
    </row>
    <row r="620" spans="1:15">
      <c r="A620" s="78">
        <v>462.30807922806855</v>
      </c>
      <c r="B620" s="78">
        <v>464.05045179789602</v>
      </c>
      <c r="C620" s="78">
        <v>461.03931645409295</v>
      </c>
      <c r="D620" s="78">
        <v>462.70152454134114</v>
      </c>
      <c r="E620" s="78">
        <v>6920491.128366488</v>
      </c>
      <c r="F620" s="78" t="s">
        <v>620</v>
      </c>
      <c r="G620" s="25">
        <f t="shared" si="16"/>
        <v>-8.5032205948010198E-4</v>
      </c>
      <c r="I620" s="78">
        <v>60.588000000000008</v>
      </c>
      <c r="J620" s="78">
        <v>62.292000000000009</v>
      </c>
      <c r="K620" s="78">
        <v>60.382000000000019</v>
      </c>
      <c r="L620" s="78">
        <v>62.292000000000009</v>
      </c>
      <c r="M620" s="78">
        <v>66716289.999999985</v>
      </c>
      <c r="N620" s="78" t="s">
        <v>620</v>
      </c>
      <c r="O620" s="25">
        <f t="shared" si="17"/>
        <v>-2.7355037565016338E-2</v>
      </c>
    </row>
    <row r="621" spans="1:15">
      <c r="A621" s="78">
        <v>465.51465853123977</v>
      </c>
      <c r="B621" s="78">
        <v>467.53598382817745</v>
      </c>
      <c r="C621" s="78">
        <v>462.74086907266832</v>
      </c>
      <c r="D621" s="78">
        <v>467.37368763645253</v>
      </c>
      <c r="E621" s="78">
        <v>5238827.1774181742</v>
      </c>
      <c r="F621" s="78" t="s">
        <v>621</v>
      </c>
      <c r="G621" s="25">
        <f t="shared" si="16"/>
        <v>-3.9776075427224722E-3</v>
      </c>
      <c r="I621" s="78">
        <v>61.301000000000009</v>
      </c>
      <c r="J621" s="78">
        <v>62.080000000000005</v>
      </c>
      <c r="K621" s="78">
        <v>60.735000000000014</v>
      </c>
      <c r="L621" s="78">
        <v>61.500000000000014</v>
      </c>
      <c r="M621" s="78">
        <v>31204519.999999993</v>
      </c>
      <c r="N621" s="78" t="s">
        <v>621</v>
      </c>
      <c r="O621" s="25">
        <f t="shared" si="17"/>
        <v>-3.2357723577236541E-3</v>
      </c>
    </row>
    <row r="622" spans="1:15">
      <c r="A622" s="78">
        <v>466.5376163457484</v>
      </c>
      <c r="B622" s="78">
        <v>467.67860775423878</v>
      </c>
      <c r="C622" s="78">
        <v>465.15072161646265</v>
      </c>
      <c r="D622" s="78">
        <v>467.52122962892975</v>
      </c>
      <c r="E622" s="78">
        <v>3603576.792431822</v>
      </c>
      <c r="F622" s="78" t="s">
        <v>622</v>
      </c>
      <c r="G622" s="25">
        <f t="shared" si="16"/>
        <v>-2.1038900927815574E-3</v>
      </c>
      <c r="I622" s="78">
        <v>60.945000000000014</v>
      </c>
      <c r="J622" s="78">
        <v>61.484990000000018</v>
      </c>
      <c r="K622" s="78">
        <v>60.721000000000018</v>
      </c>
      <c r="L622" s="78">
        <v>61.33700000000001</v>
      </c>
      <c r="M622" s="78">
        <v>21920939.999999996</v>
      </c>
      <c r="N622" s="78" t="s">
        <v>622</v>
      </c>
      <c r="O622" s="25">
        <f t="shared" si="17"/>
        <v>-6.3909222818200329E-3</v>
      </c>
    </row>
    <row r="623" spans="1:15">
      <c r="A623" s="78">
        <v>467.2458179096389</v>
      </c>
      <c r="B623" s="78">
        <v>467.75729681689324</v>
      </c>
      <c r="C623" s="78">
        <v>461.87528938346873</v>
      </c>
      <c r="D623" s="78">
        <v>464.18678059894495</v>
      </c>
      <c r="E623" s="78">
        <v>4891186.4878841415</v>
      </c>
      <c r="F623" s="78" t="s">
        <v>623</v>
      </c>
      <c r="G623" s="25">
        <f t="shared" si="16"/>
        <v>6.5901000169519275E-3</v>
      </c>
      <c r="I623" s="78">
        <v>61.108000000000018</v>
      </c>
      <c r="J623" s="78">
        <v>61.530000000000008</v>
      </c>
      <c r="K623" s="78">
        <v>59.62700000000001</v>
      </c>
      <c r="L623" s="78">
        <v>60.021000000000015</v>
      </c>
      <c r="M623" s="78">
        <v>28216309.999999996</v>
      </c>
      <c r="N623" s="78" t="s">
        <v>623</v>
      </c>
      <c r="O623" s="25">
        <f t="shared" si="17"/>
        <v>1.8110328051848645E-2</v>
      </c>
    </row>
    <row r="624" spans="1:15">
      <c r="A624" s="78">
        <v>462.29824309523673</v>
      </c>
      <c r="B624" s="78">
        <v>462.74578713908426</v>
      </c>
      <c r="C624" s="78">
        <v>459.73101242613342</v>
      </c>
      <c r="D624" s="78">
        <v>461.51135246869165</v>
      </c>
      <c r="E624" s="78">
        <v>5412560.0894497139</v>
      </c>
      <c r="F624" s="78" t="s">
        <v>624</v>
      </c>
      <c r="G624" s="25">
        <f t="shared" si="16"/>
        <v>1.7050298380221207E-3</v>
      </c>
      <c r="I624" s="78">
        <v>60.093000000000004</v>
      </c>
      <c r="J624" s="78">
        <v>61.100000000000009</v>
      </c>
      <c r="K624" s="78">
        <v>60.037000000000013</v>
      </c>
      <c r="L624" s="78">
        <v>60.808000000000014</v>
      </c>
      <c r="M624" s="78">
        <v>25009399.999999996</v>
      </c>
      <c r="N624" s="78" t="s">
        <v>624</v>
      </c>
      <c r="O624" s="25">
        <f t="shared" si="17"/>
        <v>-1.1758321273516836E-2</v>
      </c>
    </row>
    <row r="625" spans="1:15">
      <c r="A625" s="78">
        <v>462.68185227567744</v>
      </c>
      <c r="B625" s="78">
        <v>468.49441661130936</v>
      </c>
      <c r="C625" s="78">
        <v>462.1211927042641</v>
      </c>
      <c r="D625" s="78">
        <v>466.00646517283042</v>
      </c>
      <c r="E625" s="78">
        <v>6390341.7201423468</v>
      </c>
      <c r="F625" s="78" t="s">
        <v>625</v>
      </c>
      <c r="G625" s="25">
        <f t="shared" si="16"/>
        <v>-7.1342634611731848E-3</v>
      </c>
      <c r="I625" s="78">
        <v>60.482000000000014</v>
      </c>
      <c r="J625" s="78">
        <v>61.609000000000016</v>
      </c>
      <c r="K625" s="78">
        <v>60.084000000000017</v>
      </c>
      <c r="L625" s="78">
        <v>60.827000000000012</v>
      </c>
      <c r="M625" s="78">
        <v>27772429.999999996</v>
      </c>
      <c r="N625" s="78" t="s">
        <v>625</v>
      </c>
      <c r="O625" s="25">
        <f t="shared" si="17"/>
        <v>-5.6718233679122765E-3</v>
      </c>
    </row>
    <row r="626" spans="1:15">
      <c r="A626" s="78">
        <v>465.50482239840795</v>
      </c>
      <c r="B626" s="78">
        <v>466.4195827517666</v>
      </c>
      <c r="C626" s="78">
        <v>463.06546145611816</v>
      </c>
      <c r="D626" s="78">
        <v>463.90153274682234</v>
      </c>
      <c r="E626" s="78">
        <v>7268915.6625406686</v>
      </c>
      <c r="F626" s="78" t="s">
        <v>626</v>
      </c>
      <c r="G626" s="25">
        <f t="shared" si="16"/>
        <v>3.4560990607044317E-3</v>
      </c>
      <c r="I626" s="78">
        <v>60.851000000000013</v>
      </c>
      <c r="J626" s="78">
        <v>61.053000000000011</v>
      </c>
      <c r="K626" s="78">
        <v>59.590000000000011</v>
      </c>
      <c r="L626" s="78">
        <v>59.934000000000012</v>
      </c>
      <c r="M626" s="78">
        <v>27428049.999999996</v>
      </c>
      <c r="N626" s="78" t="s">
        <v>626</v>
      </c>
      <c r="O626" s="25">
        <f t="shared" si="17"/>
        <v>1.5300163513197962E-2</v>
      </c>
    </row>
    <row r="627" spans="1:15">
      <c r="A627" s="78">
        <v>460.94085676444649</v>
      </c>
      <c r="B627" s="78">
        <v>462.94742786213646</v>
      </c>
      <c r="C627" s="78">
        <v>459.66206113498242</v>
      </c>
      <c r="D627" s="78">
        <v>461.56053313285071</v>
      </c>
      <c r="E627" s="78">
        <v>5413763.8145520939</v>
      </c>
      <c r="F627" s="78" t="s">
        <v>627</v>
      </c>
      <c r="G627" s="25">
        <f t="shared" si="16"/>
        <v>-1.3425679275438362E-3</v>
      </c>
      <c r="I627" s="78">
        <v>59.76900000000002</v>
      </c>
      <c r="J627" s="78">
        <v>60.793000000000006</v>
      </c>
      <c r="K627" s="78">
        <v>59.355550000000015</v>
      </c>
      <c r="L627" s="78">
        <v>60.299000000000014</v>
      </c>
      <c r="M627" s="78">
        <v>24695919.999999996</v>
      </c>
      <c r="N627" s="78" t="s">
        <v>627</v>
      </c>
      <c r="O627" s="25">
        <f t="shared" si="17"/>
        <v>-8.7895321647124547E-3</v>
      </c>
    </row>
    <row r="628" spans="1:15">
      <c r="A628" s="78">
        <v>458.51133195498852</v>
      </c>
      <c r="B628" s="78">
        <v>461.68840285966428</v>
      </c>
      <c r="C628" s="78">
        <v>456.4555801931395</v>
      </c>
      <c r="D628" s="78">
        <v>461.26544914789633</v>
      </c>
      <c r="E628" s="78">
        <v>4693412.6235755878</v>
      </c>
      <c r="F628" s="78" t="s">
        <v>628</v>
      </c>
      <c r="G628" s="25">
        <f t="shared" si="16"/>
        <v>-5.9707857980595413E-3</v>
      </c>
      <c r="I628" s="78">
        <v>59.850000000000009</v>
      </c>
      <c r="J628" s="78">
        <v>61.091000000000008</v>
      </c>
      <c r="K628" s="78">
        <v>59.20000000000001</v>
      </c>
      <c r="L628" s="78">
        <v>61.010000000000012</v>
      </c>
      <c r="M628" s="78">
        <v>38495629.999999993</v>
      </c>
      <c r="N628" s="78" t="s">
        <v>628</v>
      </c>
      <c r="O628" s="25">
        <f t="shared" si="17"/>
        <v>-1.9013276512047317E-2</v>
      </c>
    </row>
    <row r="629" spans="1:15">
      <c r="A629" s="78">
        <v>463.1539866516045</v>
      </c>
      <c r="B629" s="78">
        <v>464.85563763150827</v>
      </c>
      <c r="C629" s="78">
        <v>462.88841106514559</v>
      </c>
      <c r="D629" s="78">
        <v>462.89824719797735</v>
      </c>
      <c r="E629" s="78">
        <v>4036385.0995981134</v>
      </c>
      <c r="F629" s="78" t="s">
        <v>629</v>
      </c>
      <c r="G629" s="25">
        <f t="shared" si="16"/>
        <v>5.5247444805672785E-4</v>
      </c>
      <c r="I629" s="78">
        <v>61.583000000000013</v>
      </c>
      <c r="J629" s="78">
        <v>62.442000000000007</v>
      </c>
      <c r="K629" s="78">
        <v>61.508000000000017</v>
      </c>
      <c r="L629" s="78">
        <v>62.156000000000006</v>
      </c>
      <c r="M629" s="78">
        <v>30203059.999999993</v>
      </c>
      <c r="N629" s="78" t="s">
        <v>629</v>
      </c>
      <c r="O629" s="25">
        <f t="shared" si="17"/>
        <v>-9.2187399446552742E-3</v>
      </c>
    </row>
    <row r="630" spans="1:15">
      <c r="A630" s="78">
        <v>463.70481009018607</v>
      </c>
      <c r="B630" s="78">
        <v>464.03923860646773</v>
      </c>
      <c r="C630" s="78">
        <v>459.77035695746065</v>
      </c>
      <c r="D630" s="78">
        <v>460.16380227073319</v>
      </c>
      <c r="E630" s="78">
        <v>4920044.3738901056</v>
      </c>
      <c r="F630" s="78" t="s">
        <v>630</v>
      </c>
      <c r="G630" s="25">
        <f t="shared" si="16"/>
        <v>7.6951029220015954E-3</v>
      </c>
      <c r="I630" s="78">
        <v>61.934000000000012</v>
      </c>
      <c r="J630" s="78">
        <v>62.028000000000006</v>
      </c>
      <c r="K630" s="78">
        <v>59.95000000000001</v>
      </c>
      <c r="L630" s="78">
        <v>59.981000000000009</v>
      </c>
      <c r="M630" s="78">
        <v>42703049.999999993</v>
      </c>
      <c r="N630" s="78" t="s">
        <v>630</v>
      </c>
      <c r="O630" s="25">
        <f t="shared" si="17"/>
        <v>3.2560310765075595E-2</v>
      </c>
    </row>
    <row r="631" spans="1:15">
      <c r="A631" s="78">
        <v>459.27855031587001</v>
      </c>
      <c r="B631" s="78">
        <v>460.81298703763292</v>
      </c>
      <c r="C631" s="78">
        <v>456.85886163924386</v>
      </c>
      <c r="D631" s="78">
        <v>459.31789484719724</v>
      </c>
      <c r="E631" s="78">
        <v>7455085.3728639456</v>
      </c>
      <c r="F631" s="78" t="s">
        <v>631</v>
      </c>
      <c r="G631" s="25">
        <f t="shared" si="16"/>
        <v>-8.5658607619332194E-5</v>
      </c>
      <c r="I631" s="78">
        <v>60.292000000000009</v>
      </c>
      <c r="J631" s="78">
        <v>60.451610000000016</v>
      </c>
      <c r="K631" s="78">
        <v>59.516000000000005</v>
      </c>
      <c r="L631" s="78">
        <v>60.425000000000011</v>
      </c>
      <c r="M631" s="78">
        <v>35720819.999999993</v>
      </c>
      <c r="N631" s="78" t="s">
        <v>631</v>
      </c>
      <c r="O631" s="25">
        <f t="shared" si="17"/>
        <v>-2.2010757136946557E-3</v>
      </c>
    </row>
    <row r="632" spans="1:15">
      <c r="A632" s="78">
        <v>457.58673546879805</v>
      </c>
      <c r="B632" s="78">
        <v>458.1965757043705</v>
      </c>
      <c r="C632" s="78">
        <v>456.50476085729855</v>
      </c>
      <c r="D632" s="78">
        <v>456.8785339049075</v>
      </c>
      <c r="E632" s="78">
        <v>2847259.2307231338</v>
      </c>
      <c r="F632" s="78" t="s">
        <v>632</v>
      </c>
      <c r="G632" s="25">
        <f t="shared" si="16"/>
        <v>1.55008719240457E-3</v>
      </c>
      <c r="I632" s="78">
        <v>59.64800000000001</v>
      </c>
      <c r="J632" s="78">
        <v>59.817000000000007</v>
      </c>
      <c r="K632" s="78">
        <v>59.001000000000012</v>
      </c>
      <c r="L632" s="78">
        <v>59.579000000000008</v>
      </c>
      <c r="M632" s="78">
        <v>26052419.999999996</v>
      </c>
      <c r="N632" s="78" t="s">
        <v>632</v>
      </c>
      <c r="O632" s="25">
        <f t="shared" si="17"/>
        <v>1.1581261854010094E-3</v>
      </c>
    </row>
    <row r="633" spans="1:15">
      <c r="A633" s="78">
        <v>458.29493703268861</v>
      </c>
      <c r="B633" s="78">
        <v>458.48182355649311</v>
      </c>
      <c r="C633" s="78">
        <v>456.30803820066234</v>
      </c>
      <c r="D633" s="78">
        <v>458.0785421103887</v>
      </c>
      <c r="E633" s="78">
        <v>3646700.4475565357</v>
      </c>
      <c r="F633" s="78" t="s">
        <v>633</v>
      </c>
      <c r="G633" s="25">
        <f t="shared" si="16"/>
        <v>4.7239698524825791E-4</v>
      </c>
      <c r="I633" s="78">
        <v>60.167000000000009</v>
      </c>
      <c r="J633" s="78">
        <v>60.536000000000016</v>
      </c>
      <c r="K633" s="78">
        <v>59.233000000000018</v>
      </c>
      <c r="L633" s="78">
        <v>59.500000000000014</v>
      </c>
      <c r="M633" s="78">
        <v>44893549.999999993</v>
      </c>
      <c r="N633" s="78" t="s">
        <v>633</v>
      </c>
      <c r="O633" s="25">
        <f t="shared" si="17"/>
        <v>1.1210084033613343E-2</v>
      </c>
    </row>
    <row r="634" spans="1:15">
      <c r="A634" s="78">
        <v>457.44902960915266</v>
      </c>
      <c r="B634" s="78">
        <v>459.92773508276963</v>
      </c>
      <c r="C634" s="78">
        <v>457.32115988233909</v>
      </c>
      <c r="D634" s="78">
        <v>459.53428976949715</v>
      </c>
      <c r="E634" s="78">
        <v>3508293.4106368246</v>
      </c>
      <c r="F634" s="78" t="s">
        <v>634</v>
      </c>
      <c r="G634" s="25">
        <f t="shared" si="16"/>
        <v>-4.5377683597680463E-3</v>
      </c>
      <c r="I634" s="78">
        <v>58.765000000000008</v>
      </c>
      <c r="J634" s="78">
        <v>59.07500000000001</v>
      </c>
      <c r="K634" s="78">
        <v>58.327000000000012</v>
      </c>
      <c r="L634" s="78">
        <v>58.356000000000009</v>
      </c>
      <c r="M634" s="78">
        <v>23937119.999999996</v>
      </c>
      <c r="N634" s="78" t="s">
        <v>634</v>
      </c>
      <c r="O634" s="25">
        <f t="shared" si="17"/>
        <v>7.0087051888407803E-3</v>
      </c>
    </row>
    <row r="635" spans="1:15">
      <c r="A635" s="78">
        <v>459.13100832339273</v>
      </c>
      <c r="B635" s="78">
        <v>461.18676008524181</v>
      </c>
      <c r="C635" s="78">
        <v>458.4530036872959</v>
      </c>
      <c r="D635" s="78">
        <v>460.41954172436033</v>
      </c>
      <c r="E635" s="78">
        <v>4118103.1908178921</v>
      </c>
      <c r="F635" s="78" t="s">
        <v>635</v>
      </c>
      <c r="G635" s="25">
        <f t="shared" ref="G635:G698" si="18">A635/D635-1</f>
        <v>-2.7986071054711958E-3</v>
      </c>
      <c r="I635" s="78">
        <v>58.356000000000009</v>
      </c>
      <c r="J635" s="78">
        <v>59.243000000000009</v>
      </c>
      <c r="K635" s="78">
        <v>57.982000000000014</v>
      </c>
      <c r="L635" s="78">
        <v>58.640000000000008</v>
      </c>
      <c r="M635" s="78">
        <v>25688519.999999996</v>
      </c>
      <c r="N635" s="78" t="s">
        <v>635</v>
      </c>
      <c r="O635" s="25">
        <f t="shared" ref="O635:O698" si="19">I635/L635-1</f>
        <v>-4.8431105047749279E-3</v>
      </c>
    </row>
    <row r="636" spans="1:15">
      <c r="A636" s="78">
        <v>458.9244495339247</v>
      </c>
      <c r="B636" s="78">
        <v>459.67199562914249</v>
      </c>
      <c r="C636" s="78">
        <v>454.73917501398802</v>
      </c>
      <c r="D636" s="78">
        <v>455.62934503526719</v>
      </c>
      <c r="E636" s="78">
        <v>4400648.1754699135</v>
      </c>
      <c r="F636" s="78" t="s">
        <v>636</v>
      </c>
      <c r="G636" s="25">
        <f t="shared" si="18"/>
        <v>7.2319848020379052E-3</v>
      </c>
      <c r="I636" s="78">
        <v>58.847000000000016</v>
      </c>
      <c r="J636" s="78">
        <v>59.085000000000015</v>
      </c>
      <c r="K636" s="78">
        <v>57.888500000000008</v>
      </c>
      <c r="L636" s="78">
        <v>58.275000000000013</v>
      </c>
      <c r="M636" s="78">
        <v>35265969.999999993</v>
      </c>
      <c r="N636" s="78" t="s">
        <v>636</v>
      </c>
      <c r="O636" s="25">
        <f t="shared" si="19"/>
        <v>9.8155298155297999E-3</v>
      </c>
    </row>
    <row r="637" spans="1:15">
      <c r="A637" s="78">
        <v>449.48176201538371</v>
      </c>
      <c r="B637" s="78">
        <v>449.62930400786092</v>
      </c>
      <c r="C637" s="78">
        <v>446.16698525106256</v>
      </c>
      <c r="D637" s="78">
        <v>447.85880009813445</v>
      </c>
      <c r="E637" s="78">
        <v>4293433.275261458</v>
      </c>
      <c r="F637" s="78" t="s">
        <v>637</v>
      </c>
      <c r="G637" s="25">
        <f t="shared" si="18"/>
        <v>3.6238250021962681E-3</v>
      </c>
      <c r="I637" s="78">
        <v>57.335000000000015</v>
      </c>
      <c r="J637" s="78">
        <v>57.577500000000008</v>
      </c>
      <c r="K637" s="78">
        <v>56.732000000000014</v>
      </c>
      <c r="L637" s="78">
        <v>57.351000000000013</v>
      </c>
      <c r="M637" s="78">
        <v>22811429.999999996</v>
      </c>
      <c r="N637" s="78" t="s">
        <v>637</v>
      </c>
      <c r="O637" s="25">
        <f t="shared" si="19"/>
        <v>-2.7898380150304103E-4</v>
      </c>
    </row>
    <row r="638" spans="1:15">
      <c r="A638" s="78">
        <v>449.02929990512024</v>
      </c>
      <c r="B638" s="78">
        <v>450.55390049405139</v>
      </c>
      <c r="C638" s="78">
        <v>446.98338427610304</v>
      </c>
      <c r="D638" s="78">
        <v>449.94406025847894</v>
      </c>
      <c r="E638" s="78">
        <v>5395193.508200678</v>
      </c>
      <c r="F638" s="78" t="s">
        <v>638</v>
      </c>
      <c r="G638" s="25">
        <f t="shared" si="18"/>
        <v>-2.0330535152152107E-3</v>
      </c>
      <c r="I638" s="78">
        <v>57.513000000000012</v>
      </c>
      <c r="J638" s="78">
        <v>58.600000000000009</v>
      </c>
      <c r="K638" s="78">
        <v>56.966000000000008</v>
      </c>
      <c r="L638" s="78">
        <v>58.018000000000008</v>
      </c>
      <c r="M638" s="78">
        <v>31242359.999999993</v>
      </c>
      <c r="N638" s="78" t="s">
        <v>638</v>
      </c>
      <c r="O638" s="25">
        <f t="shared" si="19"/>
        <v>-8.7041952497499686E-3</v>
      </c>
    </row>
    <row r="639" spans="1:15">
      <c r="A639" s="78">
        <v>451.50800537873727</v>
      </c>
      <c r="B639" s="78">
        <v>454.5768788222631</v>
      </c>
      <c r="C639" s="78">
        <v>450.888329010333</v>
      </c>
      <c r="D639" s="78">
        <v>453.52441260925906</v>
      </c>
      <c r="E639" s="78">
        <v>5619986.1210910352</v>
      </c>
      <c r="F639" s="78" t="s">
        <v>639</v>
      </c>
      <c r="G639" s="25">
        <f t="shared" si="18"/>
        <v>-4.4460831092218989E-3</v>
      </c>
      <c r="I639" s="78">
        <v>58.395000000000017</v>
      </c>
      <c r="J639" s="78">
        <v>59.70000000000001</v>
      </c>
      <c r="K639" s="78">
        <v>57.746000000000016</v>
      </c>
      <c r="L639" s="78">
        <v>59.695000000000014</v>
      </c>
      <c r="M639" s="78">
        <v>43256889.999999993</v>
      </c>
      <c r="N639" s="78" t="s">
        <v>639</v>
      </c>
      <c r="O639" s="25">
        <f t="shared" si="19"/>
        <v>-2.1777368288801391E-2</v>
      </c>
    </row>
    <row r="640" spans="1:15">
      <c r="A640" s="78">
        <v>453.82933272704526</v>
      </c>
      <c r="B640" s="78">
        <v>453.97687471952253</v>
      </c>
      <c r="C640" s="78">
        <v>450.91783740882846</v>
      </c>
      <c r="D640" s="78">
        <v>451.38013565192369</v>
      </c>
      <c r="E640" s="78">
        <v>5790599.9211174203</v>
      </c>
      <c r="F640" s="78" t="s">
        <v>640</v>
      </c>
      <c r="G640" s="25">
        <f t="shared" si="18"/>
        <v>5.4260187404662208E-3</v>
      </c>
      <c r="I640" s="78">
        <v>59.346000000000018</v>
      </c>
      <c r="J640" s="78">
        <v>59.37700000000001</v>
      </c>
      <c r="K640" s="78">
        <v>58.032000000000018</v>
      </c>
      <c r="L640" s="78">
        <v>58.19100000000001</v>
      </c>
      <c r="M640" s="78">
        <v>52209379.999999993</v>
      </c>
      <c r="N640" s="78" t="s">
        <v>640</v>
      </c>
      <c r="O640" s="25">
        <f t="shared" si="19"/>
        <v>1.9848430169614018E-2</v>
      </c>
    </row>
    <row r="641" spans="1:15">
      <c r="A641" s="78">
        <v>450.78013154918312</v>
      </c>
      <c r="B641" s="78">
        <v>451.15390459679202</v>
      </c>
      <c r="C641" s="78">
        <v>446.95387587760757</v>
      </c>
      <c r="D641" s="78">
        <v>449.09323476852705</v>
      </c>
      <c r="E641" s="78">
        <v>5717703.3862433787</v>
      </c>
      <c r="F641" s="78" t="s">
        <v>641</v>
      </c>
      <c r="G641" s="25">
        <f t="shared" si="18"/>
        <v>3.7562284400154411E-3</v>
      </c>
      <c r="I641" s="78">
        <v>57.933000000000014</v>
      </c>
      <c r="J641" s="78">
        <v>58.124800000000015</v>
      </c>
      <c r="K641" s="78">
        <v>56.434000000000012</v>
      </c>
      <c r="L641" s="78">
        <v>56.726000000000013</v>
      </c>
      <c r="M641" s="78">
        <v>56342259.999999993</v>
      </c>
      <c r="N641" s="78" t="s">
        <v>641</v>
      </c>
      <c r="O641" s="25">
        <f t="shared" si="19"/>
        <v>2.1277720974508973E-2</v>
      </c>
    </row>
    <row r="642" spans="1:15">
      <c r="A642" s="78">
        <v>446.53092216583963</v>
      </c>
      <c r="B642" s="78">
        <v>448.23257314574334</v>
      </c>
      <c r="C642" s="78">
        <v>443.60467264837507</v>
      </c>
      <c r="D642" s="78">
        <v>447.03256494026215</v>
      </c>
      <c r="E642" s="78">
        <v>8288056.0270930398</v>
      </c>
      <c r="F642" s="78" t="s">
        <v>642</v>
      </c>
      <c r="G642" s="25">
        <f t="shared" si="18"/>
        <v>-1.1221615912692107E-3</v>
      </c>
      <c r="I642" s="78">
        <v>55.452000000000012</v>
      </c>
      <c r="J642" s="78">
        <v>55.919990000000006</v>
      </c>
      <c r="K642" s="78">
        <v>54.900000000000013</v>
      </c>
      <c r="L642" s="78">
        <v>55.080000000000005</v>
      </c>
      <c r="M642" s="78">
        <v>35114529.999999993</v>
      </c>
      <c r="N642" s="78" t="s">
        <v>642</v>
      </c>
      <c r="O642" s="25">
        <f t="shared" si="19"/>
        <v>6.7538126361657014E-3</v>
      </c>
    </row>
    <row r="643" spans="1:15">
      <c r="A643" s="78">
        <v>452.91457237368661</v>
      </c>
      <c r="B643" s="78">
        <v>455.15721065934014</v>
      </c>
      <c r="C643" s="78">
        <v>452.21620694262788</v>
      </c>
      <c r="D643" s="78">
        <v>453.06211436616383</v>
      </c>
      <c r="E643" s="78">
        <v>4640271.8202804755</v>
      </c>
      <c r="F643" s="78" t="s">
        <v>643</v>
      </c>
      <c r="G643" s="25">
        <f t="shared" si="18"/>
        <v>-3.2565510952864418E-4</v>
      </c>
      <c r="I643" s="78">
        <v>55.785000000000011</v>
      </c>
      <c r="J643" s="78">
        <v>56.844000000000015</v>
      </c>
      <c r="K643" s="78">
        <v>55.70000000000001</v>
      </c>
      <c r="L643" s="78">
        <v>56.036000000000016</v>
      </c>
      <c r="M643" s="78">
        <v>36084869.999999993</v>
      </c>
      <c r="N643" s="78" t="s">
        <v>643</v>
      </c>
      <c r="O643" s="25">
        <f t="shared" si="19"/>
        <v>-4.4792633307160212E-3</v>
      </c>
    </row>
    <row r="644" spans="1:15">
      <c r="A644" s="78">
        <v>453.1211311631547</v>
      </c>
      <c r="B644" s="78">
        <v>453.47523194509995</v>
      </c>
      <c r="C644" s="78">
        <v>450.66209795520132</v>
      </c>
      <c r="D644" s="78">
        <v>451.02603486997845</v>
      </c>
      <c r="E644" s="78">
        <v>4069276.0746928803</v>
      </c>
      <c r="F644" s="78" t="s">
        <v>644</v>
      </c>
      <c r="G644" s="25">
        <f t="shared" si="18"/>
        <v>4.6451781742049558E-3</v>
      </c>
      <c r="I644" s="78">
        <v>56.132000000000019</v>
      </c>
      <c r="J644" s="78">
        <v>56.600000000000009</v>
      </c>
      <c r="K644" s="78">
        <v>55.810000000000016</v>
      </c>
      <c r="L644" s="78">
        <v>56.500000000000014</v>
      </c>
      <c r="M644" s="78">
        <v>30556979.999999993</v>
      </c>
      <c r="N644" s="78" t="s">
        <v>644</v>
      </c>
      <c r="O644" s="25">
        <f t="shared" si="19"/>
        <v>-6.5132743362831258E-3</v>
      </c>
    </row>
    <row r="645" spans="1:15">
      <c r="A645" s="78">
        <v>450.56373662688316</v>
      </c>
      <c r="B645" s="78">
        <v>450.8194760805103</v>
      </c>
      <c r="C645" s="78">
        <v>449.54077881237453</v>
      </c>
      <c r="D645" s="78">
        <v>450.30799717325601</v>
      </c>
      <c r="E645" s="78">
        <v>4254306.1094758129</v>
      </c>
      <c r="F645" s="78" t="s">
        <v>645</v>
      </c>
      <c r="G645" s="25">
        <f t="shared" si="18"/>
        <v>5.6792119001336516E-4</v>
      </c>
      <c r="I645" s="78">
        <v>55.853000000000009</v>
      </c>
      <c r="J645" s="78">
        <v>56.370000000000019</v>
      </c>
      <c r="K645" s="78">
        <v>55.574000000000012</v>
      </c>
      <c r="L645" s="78">
        <v>56.055000000000007</v>
      </c>
      <c r="M645" s="78">
        <v>31754679.999999993</v>
      </c>
      <c r="N645" s="78" t="s">
        <v>645</v>
      </c>
      <c r="O645" s="25">
        <f t="shared" si="19"/>
        <v>-3.6036036036035668E-3</v>
      </c>
    </row>
    <row r="646" spans="1:15">
      <c r="A646" s="78">
        <v>450.25881650909696</v>
      </c>
      <c r="B646" s="78">
        <v>450.67193408803314</v>
      </c>
      <c r="C646" s="78">
        <v>447.80961943397534</v>
      </c>
      <c r="D646" s="78">
        <v>448.67519912317493</v>
      </c>
      <c r="E646" s="78">
        <v>6876091.5652996404</v>
      </c>
      <c r="F646" s="78" t="s">
        <v>646</v>
      </c>
      <c r="G646" s="25">
        <f t="shared" si="18"/>
        <v>3.5295407212541097E-3</v>
      </c>
      <c r="I646" s="78">
        <v>55.930000000000007</v>
      </c>
      <c r="J646" s="78">
        <v>56.780000000000008</v>
      </c>
      <c r="K646" s="78">
        <v>55.498000000000012</v>
      </c>
      <c r="L646" s="78">
        <v>55.81600000000001</v>
      </c>
      <c r="M646" s="78">
        <v>43735909.999999993</v>
      </c>
      <c r="N646" s="78" t="s">
        <v>646</v>
      </c>
      <c r="O646" s="25">
        <f t="shared" si="19"/>
        <v>2.0424251110791047E-3</v>
      </c>
    </row>
    <row r="647" spans="1:15">
      <c r="A647" s="78">
        <v>446.5899389628305</v>
      </c>
      <c r="B647" s="78">
        <v>446.8456784164577</v>
      </c>
      <c r="C647" s="78">
        <v>444.79976278744044</v>
      </c>
      <c r="D647" s="78">
        <v>446.14731298539886</v>
      </c>
      <c r="E647" s="78">
        <v>4456630.5426680259</v>
      </c>
      <c r="F647" s="78" t="s">
        <v>647</v>
      </c>
      <c r="G647" s="25">
        <f t="shared" si="18"/>
        <v>9.9210723576881321E-4</v>
      </c>
      <c r="I647" s="78">
        <v>55.588000000000008</v>
      </c>
      <c r="J647" s="78">
        <v>56.633990000000004</v>
      </c>
      <c r="K647" s="78">
        <v>55.437000000000012</v>
      </c>
      <c r="L647" s="78">
        <v>56.412000000000013</v>
      </c>
      <c r="M647" s="78">
        <v>28402999.999999996</v>
      </c>
      <c r="N647" s="78" t="s">
        <v>647</v>
      </c>
      <c r="O647" s="25">
        <f t="shared" si="19"/>
        <v>-1.4606821243707047E-2</v>
      </c>
    </row>
    <row r="648" spans="1:15">
      <c r="A648" s="78">
        <v>445.2030442335448</v>
      </c>
      <c r="B648" s="78">
        <v>446.70797255681225</v>
      </c>
      <c r="C648" s="78">
        <v>443.1571286045276</v>
      </c>
      <c r="D648" s="78">
        <v>446.29485497787613</v>
      </c>
      <c r="E648" s="78">
        <v>7220171.9125122745</v>
      </c>
      <c r="F648" s="78" t="s">
        <v>648</v>
      </c>
      <c r="G648" s="25">
        <f t="shared" si="18"/>
        <v>-2.4463888215459084E-3</v>
      </c>
      <c r="I648" s="78">
        <v>56.206000000000003</v>
      </c>
      <c r="J648" s="78">
        <v>57.57500000000001</v>
      </c>
      <c r="K648" s="78">
        <v>55.719500000000018</v>
      </c>
      <c r="L648" s="78">
        <v>56.247000000000014</v>
      </c>
      <c r="M648" s="78">
        <v>41430989.999999993</v>
      </c>
      <c r="N648" s="78" t="s">
        <v>648</v>
      </c>
      <c r="O648" s="25">
        <f t="shared" si="19"/>
        <v>-7.2892776503652446E-4</v>
      </c>
    </row>
    <row r="649" spans="1:15">
      <c r="A649" s="78">
        <v>446.83584228362582</v>
      </c>
      <c r="B649" s="78">
        <v>448.40962353671603</v>
      </c>
      <c r="C649" s="78">
        <v>442.32105731382342</v>
      </c>
      <c r="D649" s="78">
        <v>442.63581356444143</v>
      </c>
      <c r="E649" s="78">
        <v>6357663.2269279826</v>
      </c>
      <c r="F649" s="78" t="s">
        <v>649</v>
      </c>
      <c r="G649" s="25">
        <f t="shared" si="18"/>
        <v>9.488678029377029E-3</v>
      </c>
      <c r="I649" s="78">
        <v>56.464000000000013</v>
      </c>
      <c r="J649" s="78">
        <v>56.780000000000008</v>
      </c>
      <c r="K649" s="78">
        <v>56.237000000000009</v>
      </c>
      <c r="L649" s="78">
        <v>56.452000000000012</v>
      </c>
      <c r="M649" s="78">
        <v>40328429.999999993</v>
      </c>
      <c r="N649" s="78" t="s">
        <v>649</v>
      </c>
      <c r="O649" s="25">
        <f t="shared" si="19"/>
        <v>2.1256997094876162E-4</v>
      </c>
    </row>
    <row r="650" spans="1:15">
      <c r="A650" s="78">
        <v>442.29154891532801</v>
      </c>
      <c r="B650" s="78">
        <v>442.29154891532801</v>
      </c>
      <c r="C650" s="78">
        <v>437.36384308924602</v>
      </c>
      <c r="D650" s="78">
        <v>438.05217566481639</v>
      </c>
      <c r="E650" s="78">
        <v>6240623.3272352358</v>
      </c>
      <c r="F650" s="78" t="s">
        <v>650</v>
      </c>
      <c r="G650" s="25">
        <f t="shared" si="18"/>
        <v>9.6777815201527506E-3</v>
      </c>
      <c r="I650" s="78">
        <v>56.751000000000012</v>
      </c>
      <c r="J650" s="78">
        <v>57.266000000000005</v>
      </c>
      <c r="K650" s="78">
        <v>56.383000000000017</v>
      </c>
      <c r="L650" s="78">
        <v>56.702000000000012</v>
      </c>
      <c r="M650" s="78">
        <v>31740019.999999993</v>
      </c>
      <c r="N650" s="78" t="s">
        <v>650</v>
      </c>
      <c r="O650" s="25">
        <f t="shared" si="19"/>
        <v>8.6416704878122808E-4</v>
      </c>
    </row>
    <row r="651" spans="1:15">
      <c r="A651" s="78">
        <v>436.54724734154888</v>
      </c>
      <c r="B651" s="78">
        <v>442.09974432510762</v>
      </c>
      <c r="C651" s="78">
        <v>436.47839441172619</v>
      </c>
      <c r="D651" s="78">
        <v>441.68170867975556</v>
      </c>
      <c r="E651" s="78">
        <v>7226460.9695083257</v>
      </c>
      <c r="F651" s="78" t="s">
        <v>651</v>
      </c>
      <c r="G651" s="25">
        <f t="shared" si="18"/>
        <v>-1.1624799572421129E-2</v>
      </c>
      <c r="I651" s="78">
        <v>56.411000000000016</v>
      </c>
      <c r="J651" s="78">
        <v>57.215000000000011</v>
      </c>
      <c r="K651" s="78">
        <v>56.20450000000001</v>
      </c>
      <c r="L651" s="78">
        <v>56.285000000000011</v>
      </c>
      <c r="M651" s="78">
        <v>48575989.999999993</v>
      </c>
      <c r="N651" s="78" t="s">
        <v>651</v>
      </c>
      <c r="O651" s="25">
        <f t="shared" si="19"/>
        <v>2.2386070889224285E-3</v>
      </c>
    </row>
    <row r="652" spans="1:15">
      <c r="A652" s="78">
        <v>443.77680497293187</v>
      </c>
      <c r="B652" s="78">
        <v>444.40631747416791</v>
      </c>
      <c r="C652" s="78">
        <v>443.05876727620944</v>
      </c>
      <c r="D652" s="78">
        <v>443.45221258948197</v>
      </c>
      <c r="E652" s="78">
        <v>3466761.8446255634</v>
      </c>
      <c r="F652" s="78" t="s">
        <v>652</v>
      </c>
      <c r="G652" s="25">
        <f t="shared" si="18"/>
        <v>7.3196699494282313E-4</v>
      </c>
      <c r="I652" s="78">
        <v>56.285000000000011</v>
      </c>
      <c r="J652" s="78">
        <v>57.088000000000008</v>
      </c>
      <c r="K652" s="78">
        <v>56.082000000000015</v>
      </c>
      <c r="L652" s="78">
        <v>56.732000000000014</v>
      </c>
      <c r="M652" s="78">
        <v>61817979.999999985</v>
      </c>
      <c r="N652" s="78" t="s">
        <v>652</v>
      </c>
      <c r="O652" s="25">
        <f t="shared" si="19"/>
        <v>-7.8791510963830413E-3</v>
      </c>
    </row>
    <row r="653" spans="1:15">
      <c r="A653" s="78">
        <v>444.09156122354989</v>
      </c>
      <c r="B653" s="78">
        <v>444.20939809487498</v>
      </c>
      <c r="C653" s="78">
        <v>440.37468334906418</v>
      </c>
      <c r="D653" s="78">
        <v>440.88498192037866</v>
      </c>
      <c r="E653" s="78">
        <v>4618941.2828032468</v>
      </c>
      <c r="F653" s="78" t="s">
        <v>653</v>
      </c>
      <c r="G653" s="25">
        <f t="shared" si="18"/>
        <v>7.2730517814514339E-3</v>
      </c>
      <c r="I653" s="78">
        <v>57.579000000000008</v>
      </c>
      <c r="J653" s="78">
        <v>57.854990000000008</v>
      </c>
      <c r="K653" s="78">
        <v>56.268000000000008</v>
      </c>
      <c r="L653" s="78">
        <v>57.135000000000012</v>
      </c>
      <c r="M653" s="78">
        <v>69053899.999999985</v>
      </c>
      <c r="N653" s="78" t="s">
        <v>653</v>
      </c>
      <c r="O653" s="25">
        <f t="shared" si="19"/>
        <v>7.7710685219216646E-3</v>
      </c>
    </row>
    <row r="654" spans="1:15">
      <c r="A654" s="78">
        <v>440.88498192037866</v>
      </c>
      <c r="B654" s="78">
        <v>442.14400692285079</v>
      </c>
      <c r="C654" s="78">
        <v>439.83251570737463</v>
      </c>
      <c r="D654" s="78">
        <v>440.75711219356509</v>
      </c>
      <c r="E654" s="78">
        <v>6510712.1970609371</v>
      </c>
      <c r="F654" s="78" t="s">
        <v>654</v>
      </c>
      <c r="G654" s="25">
        <f t="shared" si="18"/>
        <v>2.9011381388088786E-4</v>
      </c>
      <c r="I654" s="78">
        <v>57.042000000000009</v>
      </c>
      <c r="J654" s="78">
        <v>57.964000000000013</v>
      </c>
      <c r="K654" s="78">
        <v>55.843190000000014</v>
      </c>
      <c r="L654" s="78">
        <v>56.181000000000004</v>
      </c>
      <c r="M654" s="78">
        <v>127705709.99999997</v>
      </c>
      <c r="N654" s="78" t="s">
        <v>654</v>
      </c>
      <c r="O654" s="25">
        <f t="shared" si="19"/>
        <v>1.5325465904843405E-2</v>
      </c>
    </row>
    <row r="655" spans="1:15">
      <c r="A655" s="78">
        <v>441.15055750683763</v>
      </c>
      <c r="B655" s="78">
        <v>441.40629696046477</v>
      </c>
      <c r="C655" s="78">
        <v>438.79972176003417</v>
      </c>
      <c r="D655" s="78">
        <v>440.79645672489232</v>
      </c>
      <c r="E655" s="78">
        <v>4236476.9480565209</v>
      </c>
      <c r="F655" s="78" t="s">
        <v>655</v>
      </c>
      <c r="G655" s="25">
        <f t="shared" si="18"/>
        <v>8.033203909492137E-4</v>
      </c>
      <c r="I655" s="78">
        <v>56.20000000000001</v>
      </c>
      <c r="J655" s="78">
        <v>56.346000000000018</v>
      </c>
      <c r="K655" s="78">
        <v>54.846000000000011</v>
      </c>
      <c r="L655" s="78">
        <v>55.195000000000014</v>
      </c>
      <c r="M655" s="78">
        <v>94519149.999999985</v>
      </c>
      <c r="N655" s="78" t="s">
        <v>655</v>
      </c>
      <c r="O655" s="25">
        <f t="shared" si="19"/>
        <v>1.8208171029984621E-2</v>
      </c>
    </row>
    <row r="656" spans="1:15">
      <c r="A656" s="78">
        <v>438.68168816605242</v>
      </c>
      <c r="B656" s="78">
        <v>441.82885722691947</v>
      </c>
      <c r="C656" s="78">
        <v>438.44562097808887</v>
      </c>
      <c r="D656" s="78">
        <v>440.97350711586495</v>
      </c>
      <c r="E656" s="78">
        <v>4644308.9760081377</v>
      </c>
      <c r="F656" s="78" t="s">
        <v>656</v>
      </c>
      <c r="G656" s="25">
        <f t="shared" si="18"/>
        <v>-5.1971805852961683E-3</v>
      </c>
      <c r="I656" s="78">
        <v>54.487000000000009</v>
      </c>
      <c r="J656" s="78">
        <v>56.250000000000014</v>
      </c>
      <c r="K656" s="78">
        <v>53.707000000000015</v>
      </c>
      <c r="L656" s="78">
        <v>53.775000000000013</v>
      </c>
      <c r="M656" s="78">
        <v>264327969.99999994</v>
      </c>
      <c r="N656" s="78" t="s">
        <v>656</v>
      </c>
      <c r="O656" s="25">
        <f t="shared" si="19"/>
        <v>1.3240353324035281E-2</v>
      </c>
    </row>
    <row r="657" spans="1:15">
      <c r="A657" s="78">
        <v>438.3177512512753</v>
      </c>
      <c r="B657" s="78">
        <v>438.51447390791157</v>
      </c>
      <c r="C657" s="78">
        <v>436.50790281022159</v>
      </c>
      <c r="D657" s="78">
        <v>437.54069675756205</v>
      </c>
      <c r="E657" s="78">
        <v>3305756.4955642079</v>
      </c>
      <c r="F657" s="78" t="s">
        <v>657</v>
      </c>
      <c r="G657" s="25">
        <f t="shared" si="18"/>
        <v>1.7759593552593156E-3</v>
      </c>
      <c r="I657" s="78">
        <v>49.219000000000008</v>
      </c>
      <c r="J657" s="78">
        <v>49.896000000000008</v>
      </c>
      <c r="K657" s="78">
        <v>48.140000000000008</v>
      </c>
      <c r="L657" s="78">
        <v>49.20000000000001</v>
      </c>
      <c r="M657" s="78">
        <v>155060239.99999997</v>
      </c>
      <c r="N657" s="78" t="s">
        <v>657</v>
      </c>
      <c r="O657" s="25">
        <f t="shared" si="19"/>
        <v>3.861788617884887E-4</v>
      </c>
    </row>
    <row r="658" spans="1:15">
      <c r="A658" s="78">
        <v>437.01938171747594</v>
      </c>
      <c r="B658" s="78">
        <v>438.61283523622973</v>
      </c>
      <c r="C658" s="78">
        <v>436.40954148190349</v>
      </c>
      <c r="D658" s="78">
        <v>437.48167996057117</v>
      </c>
      <c r="E658" s="78">
        <v>5968211.3899611058</v>
      </c>
      <c r="F658" s="78" t="s">
        <v>658</v>
      </c>
      <c r="G658" s="25">
        <f t="shared" si="18"/>
        <v>-1.0567259482429092E-3</v>
      </c>
      <c r="I658" s="78">
        <v>48.571000000000005</v>
      </c>
      <c r="J658" s="78">
        <v>48.980000000000011</v>
      </c>
      <c r="K658" s="78">
        <v>47.990000000000009</v>
      </c>
      <c r="L658" s="78">
        <v>48.75500000000001</v>
      </c>
      <c r="M658" s="78">
        <v>52123089.999999993</v>
      </c>
      <c r="N658" s="78" t="s">
        <v>658</v>
      </c>
      <c r="O658" s="25">
        <f t="shared" si="19"/>
        <v>-3.7739719003180294E-3</v>
      </c>
    </row>
    <row r="659" spans="1:15">
      <c r="A659" s="78">
        <v>436.02593230146277</v>
      </c>
      <c r="B659" s="78">
        <v>436.34068855208079</v>
      </c>
      <c r="C659" s="78">
        <v>431.1275381512196</v>
      </c>
      <c r="D659" s="78">
        <v>431.80623131661474</v>
      </c>
      <c r="E659" s="78">
        <v>4917381.7420969186</v>
      </c>
      <c r="F659" s="78" t="s">
        <v>659</v>
      </c>
      <c r="G659" s="25">
        <f t="shared" si="18"/>
        <v>9.7722095671981535E-3</v>
      </c>
      <c r="I659" s="78">
        <v>48.295000000000009</v>
      </c>
      <c r="J659" s="78">
        <v>48.567000000000014</v>
      </c>
      <c r="K659" s="78">
        <v>47.606000000000009</v>
      </c>
      <c r="L659" s="78">
        <v>48.498000000000012</v>
      </c>
      <c r="M659" s="78">
        <v>56723509.999999993</v>
      </c>
      <c r="N659" s="78" t="s">
        <v>659</v>
      </c>
      <c r="O659" s="25">
        <f t="shared" si="19"/>
        <v>-4.1857396181286255E-3</v>
      </c>
    </row>
    <row r="660" spans="1:15">
      <c r="A660" s="78">
        <v>430.7537651036107</v>
      </c>
      <c r="B660" s="78">
        <v>431.20622721387412</v>
      </c>
      <c r="C660" s="78">
        <v>427.04554302601701</v>
      </c>
      <c r="D660" s="78">
        <v>428.44227388813448</v>
      </c>
      <c r="E660" s="78">
        <v>4403442.9730260307</v>
      </c>
      <c r="F660" s="78" t="s">
        <v>660</v>
      </c>
      <c r="G660" s="25">
        <f t="shared" si="18"/>
        <v>5.395105376739151E-3</v>
      </c>
      <c r="I660" s="78">
        <v>48.531000000000013</v>
      </c>
      <c r="J660" s="78">
        <v>48.577000000000005</v>
      </c>
      <c r="K660" s="78">
        <v>47.802000000000007</v>
      </c>
      <c r="L660" s="78">
        <v>48.003000000000007</v>
      </c>
      <c r="M660" s="78">
        <v>40543989.999999993</v>
      </c>
      <c r="N660" s="78" t="s">
        <v>660</v>
      </c>
      <c r="O660" s="25">
        <f t="shared" si="19"/>
        <v>1.0999312542966155E-2</v>
      </c>
    </row>
    <row r="661" spans="1:15">
      <c r="A661" s="78">
        <v>426.95701783053067</v>
      </c>
      <c r="B661" s="78">
        <v>427.36029927663503</v>
      </c>
      <c r="C661" s="78">
        <v>424.73405181054079</v>
      </c>
      <c r="D661" s="78">
        <v>426.49471958743544</v>
      </c>
      <c r="E661" s="78">
        <v>6145312.4956279369</v>
      </c>
      <c r="F661" s="78" t="s">
        <v>661</v>
      </c>
      <c r="G661" s="25">
        <f t="shared" si="18"/>
        <v>1.0839483394833316E-3</v>
      </c>
      <c r="I661" s="78">
        <v>48.033000000000008</v>
      </c>
      <c r="J661" s="78">
        <v>48.621000000000009</v>
      </c>
      <c r="K661" s="78">
        <v>47.526420000000009</v>
      </c>
      <c r="L661" s="78">
        <v>48.45000000000001</v>
      </c>
      <c r="M661" s="78">
        <v>48945929.999999993</v>
      </c>
      <c r="N661" s="78" t="s">
        <v>661</v>
      </c>
      <c r="O661" s="25">
        <f t="shared" si="19"/>
        <v>-8.6068111455108731E-3</v>
      </c>
    </row>
    <row r="662" spans="1:15">
      <c r="A662" s="78">
        <v>429.34719810866136</v>
      </c>
      <c r="B662" s="78">
        <v>430.80294576776976</v>
      </c>
      <c r="C662" s="78">
        <v>427.61603873026218</v>
      </c>
      <c r="D662" s="78">
        <v>429.63244596078397</v>
      </c>
      <c r="E662" s="78">
        <v>5826313.1435806062</v>
      </c>
      <c r="F662" s="78" t="s">
        <v>662</v>
      </c>
      <c r="G662" s="25">
        <f t="shared" si="18"/>
        <v>-6.6393461388769559E-4</v>
      </c>
      <c r="I662" s="78">
        <v>48.124000000000009</v>
      </c>
      <c r="J662" s="78">
        <v>49.415000000000006</v>
      </c>
      <c r="K662" s="78">
        <v>47.802000000000007</v>
      </c>
      <c r="L662" s="78">
        <v>49.000000000000007</v>
      </c>
      <c r="M662" s="78">
        <v>46789739.999999993</v>
      </c>
      <c r="N662" s="78" t="s">
        <v>662</v>
      </c>
      <c r="O662" s="25">
        <f t="shared" si="19"/>
        <v>-1.7877551020408111E-2</v>
      </c>
    </row>
    <row r="663" spans="1:15">
      <c r="A663" s="78">
        <v>430.81278190060158</v>
      </c>
      <c r="B663" s="78">
        <v>432.59312194315982</v>
      </c>
      <c r="C663" s="78">
        <v>429.57342916379309</v>
      </c>
      <c r="D663" s="78">
        <v>431.91442877776473</v>
      </c>
      <c r="E663" s="78">
        <v>5269010.787692301</v>
      </c>
      <c r="F663" s="78" t="s">
        <v>663</v>
      </c>
      <c r="G663" s="25">
        <f t="shared" si="18"/>
        <v>-2.5506137414316177E-3</v>
      </c>
      <c r="I663" s="78">
        <v>49.216000000000015</v>
      </c>
      <c r="J663" s="78">
        <v>50.079000000000015</v>
      </c>
      <c r="K663" s="78">
        <v>49.061000000000014</v>
      </c>
      <c r="L663" s="78">
        <v>50.051000000000009</v>
      </c>
      <c r="M663" s="78">
        <v>50037179.999999993</v>
      </c>
      <c r="N663" s="78" t="s">
        <v>663</v>
      </c>
      <c r="O663" s="25">
        <f t="shared" si="19"/>
        <v>-1.6682983356975711E-2</v>
      </c>
    </row>
    <row r="664" spans="1:15">
      <c r="A664" s="78">
        <v>430.61605924396531</v>
      </c>
      <c r="B664" s="78">
        <v>432.15541403214417</v>
      </c>
      <c r="C664" s="78">
        <v>426.88816490070798</v>
      </c>
      <c r="D664" s="78">
        <v>431.74721451962387</v>
      </c>
      <c r="E664" s="78">
        <v>4876496.7716643009</v>
      </c>
      <c r="F664" s="78" t="s">
        <v>664</v>
      </c>
      <c r="G664" s="25">
        <f t="shared" si="18"/>
        <v>-2.6199480566819755E-3</v>
      </c>
      <c r="I664" s="78">
        <v>49.223000000000013</v>
      </c>
      <c r="J664" s="78">
        <v>50.341000000000015</v>
      </c>
      <c r="K664" s="78">
        <v>48.382000000000012</v>
      </c>
      <c r="L664" s="78">
        <v>49.254000000000012</v>
      </c>
      <c r="M664" s="78">
        <v>79932649.999999985</v>
      </c>
      <c r="N664" s="78" t="s">
        <v>664</v>
      </c>
      <c r="O664" s="25">
        <f t="shared" si="19"/>
        <v>-6.2939050635479887E-4</v>
      </c>
    </row>
    <row r="665" spans="1:15">
      <c r="A665" s="78">
        <v>430.76360123644253</v>
      </c>
      <c r="B665" s="78">
        <v>431.54557379657172</v>
      </c>
      <c r="C665" s="78">
        <v>428.34391255981637</v>
      </c>
      <c r="D665" s="78">
        <v>428.62916041193893</v>
      </c>
      <c r="E665" s="78">
        <v>4350125.2709405348</v>
      </c>
      <c r="F665" s="78" t="s">
        <v>665</v>
      </c>
      <c r="G665" s="25">
        <f t="shared" si="18"/>
        <v>4.9796911214632367E-3</v>
      </c>
      <c r="I665" s="78">
        <v>47.833000000000006</v>
      </c>
      <c r="J665" s="78">
        <v>48.70000000000001</v>
      </c>
      <c r="K665" s="78">
        <v>47.295000000000009</v>
      </c>
      <c r="L665" s="78">
        <v>48.160000000000011</v>
      </c>
      <c r="M665" s="78">
        <v>43424479.999999993</v>
      </c>
      <c r="N665" s="78" t="s">
        <v>665</v>
      </c>
      <c r="O665" s="25">
        <f t="shared" si="19"/>
        <v>-6.7898671096346952E-3</v>
      </c>
    </row>
    <row r="666" spans="1:15">
      <c r="A666" s="78">
        <v>427.94063111371202</v>
      </c>
      <c r="B666" s="78">
        <v>429.27834517883866</v>
      </c>
      <c r="C666" s="78">
        <v>426.06517566667014</v>
      </c>
      <c r="D666" s="78">
        <v>426.51439185309908</v>
      </c>
      <c r="E666" s="78">
        <v>8071837.922237711</v>
      </c>
      <c r="F666" s="78" t="s">
        <v>666</v>
      </c>
      <c r="G666" s="25">
        <f t="shared" si="18"/>
        <v>3.3439417001059901E-3</v>
      </c>
      <c r="I666" s="78">
        <v>48.20900000000001</v>
      </c>
      <c r="J666" s="78">
        <v>48.508500000000005</v>
      </c>
      <c r="K666" s="78">
        <v>47.38000000000001</v>
      </c>
      <c r="L666" s="78">
        <v>47.553000000000004</v>
      </c>
      <c r="M666" s="78">
        <v>35267569.999999993</v>
      </c>
      <c r="N666" s="78" t="s">
        <v>666</v>
      </c>
      <c r="O666" s="25">
        <f t="shared" si="19"/>
        <v>1.3795133850651009E-2</v>
      </c>
    </row>
    <row r="667" spans="1:15">
      <c r="A667" s="78">
        <v>428.98326119388423</v>
      </c>
      <c r="B667" s="78">
        <v>429.12096705352963</v>
      </c>
      <c r="C667" s="78">
        <v>423.31764868275968</v>
      </c>
      <c r="D667" s="78">
        <v>423.39633774541414</v>
      </c>
      <c r="E667" s="78">
        <v>7342684.4914500499</v>
      </c>
      <c r="F667" s="78" t="s">
        <v>667</v>
      </c>
      <c r="G667" s="25">
        <f t="shared" si="18"/>
        <v>1.3195493088628218E-2</v>
      </c>
      <c r="I667" s="78">
        <v>48.503000000000007</v>
      </c>
      <c r="J667" s="78">
        <v>48.524000000000008</v>
      </c>
      <c r="K667" s="78">
        <v>47.365000000000009</v>
      </c>
      <c r="L667" s="78">
        <v>47.38900000000001</v>
      </c>
      <c r="M667" s="78">
        <v>36757749.999999993</v>
      </c>
      <c r="N667" s="78" t="s">
        <v>667</v>
      </c>
      <c r="O667" s="25">
        <f t="shared" si="19"/>
        <v>2.3507565046740675E-2</v>
      </c>
    </row>
    <row r="668" spans="1:15">
      <c r="A668" s="78">
        <v>422.93403950231897</v>
      </c>
      <c r="B668" s="78">
        <v>425.21602231929967</v>
      </c>
      <c r="C668" s="78">
        <v>421.61599770285591</v>
      </c>
      <c r="D668" s="78">
        <v>422.5504303218782</v>
      </c>
      <c r="E668" s="78">
        <v>5819978.3368973872</v>
      </c>
      <c r="F668" s="78" t="s">
        <v>668</v>
      </c>
      <c r="G668" s="25">
        <f t="shared" si="18"/>
        <v>9.0784236132135376E-4</v>
      </c>
      <c r="I668" s="78">
        <v>47.406000000000006</v>
      </c>
      <c r="J668" s="78">
        <v>47.95450000000001</v>
      </c>
      <c r="K668" s="78">
        <v>47.180400000000006</v>
      </c>
      <c r="L668" s="78">
        <v>47.650000000000013</v>
      </c>
      <c r="M668" s="78">
        <v>26312499.999999996</v>
      </c>
      <c r="N668" s="78" t="s">
        <v>668</v>
      </c>
      <c r="O668" s="25">
        <f t="shared" si="19"/>
        <v>-5.1206715634838362E-3</v>
      </c>
    </row>
    <row r="669" spans="1:15">
      <c r="A669" s="78">
        <v>422.39305219656916</v>
      </c>
      <c r="B669" s="78">
        <v>425.68815669522667</v>
      </c>
      <c r="C669" s="78">
        <v>422.17665727426925</v>
      </c>
      <c r="D669" s="78">
        <v>423.27830415143239</v>
      </c>
      <c r="E669" s="78">
        <v>4010985.8899420621</v>
      </c>
      <c r="F669" s="78" t="s">
        <v>669</v>
      </c>
      <c r="G669" s="25">
        <f t="shared" si="18"/>
        <v>-2.0914182139288862E-3</v>
      </c>
      <c r="I669" s="78">
        <v>47.467000000000013</v>
      </c>
      <c r="J669" s="78">
        <v>48.073930000000011</v>
      </c>
      <c r="K669" s="78">
        <v>46.653000000000006</v>
      </c>
      <c r="L669" s="78">
        <v>47.298000000000009</v>
      </c>
      <c r="M669" s="78">
        <v>36365129.999999993</v>
      </c>
      <c r="N669" s="78" t="s">
        <v>669</v>
      </c>
      <c r="O669" s="25">
        <f t="shared" si="19"/>
        <v>3.5730897712378251E-3</v>
      </c>
    </row>
    <row r="670" spans="1:15">
      <c r="A670" s="78">
        <v>423.73076626169586</v>
      </c>
      <c r="B670" s="78">
        <v>425.90455161752664</v>
      </c>
      <c r="C670" s="78">
        <v>423.19961508877788</v>
      </c>
      <c r="D670" s="78">
        <v>425.23569458496331</v>
      </c>
      <c r="E670" s="78">
        <v>4885099.7461713459</v>
      </c>
      <c r="F670" s="78" t="s">
        <v>670</v>
      </c>
      <c r="G670" s="25">
        <f t="shared" si="18"/>
        <v>-3.5390451517394172E-3</v>
      </c>
      <c r="I670" s="78">
        <v>47.02600000000001</v>
      </c>
      <c r="J670" s="78">
        <v>47.50500000000001</v>
      </c>
      <c r="K670" s="78">
        <v>46.577270000000006</v>
      </c>
      <c r="L670" s="78">
        <v>46.732000000000006</v>
      </c>
      <c r="M670" s="78">
        <v>34436939.999999993</v>
      </c>
      <c r="N670" s="78" t="s">
        <v>670</v>
      </c>
      <c r="O670" s="25">
        <f t="shared" si="19"/>
        <v>6.2911923307371609E-3</v>
      </c>
    </row>
    <row r="671" spans="1:15">
      <c r="A671" s="78">
        <v>426.8980010335398</v>
      </c>
      <c r="B671" s="78">
        <v>428.13735377034828</v>
      </c>
      <c r="C671" s="78">
        <v>425.27503911629054</v>
      </c>
      <c r="D671" s="78">
        <v>426.79963970522169</v>
      </c>
      <c r="E671" s="78">
        <v>9227245.2550100368</v>
      </c>
      <c r="F671" s="78" t="s">
        <v>671</v>
      </c>
      <c r="G671" s="25">
        <f t="shared" si="18"/>
        <v>2.3046253831426888E-4</v>
      </c>
      <c r="I671" s="78">
        <v>46.850000000000009</v>
      </c>
      <c r="J671" s="78">
        <v>48.465000000000011</v>
      </c>
      <c r="K671" s="78">
        <v>46.186000000000007</v>
      </c>
      <c r="L671" s="78">
        <v>48.318500000000007</v>
      </c>
      <c r="M671" s="78">
        <v>50494229.999999993</v>
      </c>
      <c r="N671" s="78" t="s">
        <v>671</v>
      </c>
      <c r="O671" s="25">
        <f t="shared" si="19"/>
        <v>-3.0392085847035788E-2</v>
      </c>
    </row>
    <row r="672" spans="1:15">
      <c r="A672" s="78">
        <v>429.64228209361579</v>
      </c>
      <c r="B672" s="78">
        <v>431.15704654971501</v>
      </c>
      <c r="C672" s="78">
        <v>427.81276138689844</v>
      </c>
      <c r="D672" s="78">
        <v>430.69474830661983</v>
      </c>
      <c r="E672" s="78">
        <v>4449802.6560231056</v>
      </c>
      <c r="F672" s="78" t="s">
        <v>672</v>
      </c>
      <c r="G672" s="25">
        <f t="shared" si="18"/>
        <v>-2.4436476579806632E-3</v>
      </c>
      <c r="I672" s="78">
        <v>48.688000000000009</v>
      </c>
      <c r="J672" s="78">
        <v>49.22299000000001</v>
      </c>
      <c r="K672" s="78">
        <v>48.193500000000007</v>
      </c>
      <c r="L672" s="78">
        <v>49.037000000000013</v>
      </c>
      <c r="M672" s="78">
        <v>27405549.999999996</v>
      </c>
      <c r="N672" s="78" t="s">
        <v>672</v>
      </c>
      <c r="O672" s="25">
        <f t="shared" si="19"/>
        <v>-7.1170748618391011E-3</v>
      </c>
    </row>
    <row r="673" spans="1:15">
      <c r="A673" s="78">
        <v>430.79310963493799</v>
      </c>
      <c r="B673" s="78">
        <v>431.6488531913057</v>
      </c>
      <c r="C673" s="78">
        <v>430.48818951715174</v>
      </c>
      <c r="D673" s="78">
        <v>431.06852135422872</v>
      </c>
      <c r="E673" s="78">
        <v>4782016.5510440329</v>
      </c>
      <c r="F673" s="78" t="s">
        <v>673</v>
      </c>
      <c r="G673" s="25">
        <f t="shared" si="18"/>
        <v>-6.3890473474037535E-4</v>
      </c>
      <c r="I673" s="78">
        <v>49.051000000000009</v>
      </c>
      <c r="J673" s="78">
        <v>49.289000000000009</v>
      </c>
      <c r="K673" s="78">
        <v>48.907000000000011</v>
      </c>
      <c r="L673" s="78">
        <v>49.20000000000001</v>
      </c>
      <c r="M673" s="78">
        <v>17104919.999999996</v>
      </c>
      <c r="N673" s="78" t="s">
        <v>673</v>
      </c>
      <c r="O673" s="25">
        <f t="shared" si="19"/>
        <v>-3.0284552845528667E-3</v>
      </c>
    </row>
    <row r="674" spans="1:15">
      <c r="A674" s="78">
        <v>430.72425670511524</v>
      </c>
      <c r="B674" s="78">
        <v>430.84229029909699</v>
      </c>
      <c r="C674" s="78">
        <v>429.26850904600684</v>
      </c>
      <c r="D674" s="78">
        <v>429.73572535551796</v>
      </c>
      <c r="E674" s="78">
        <v>4342162.7920538438</v>
      </c>
      <c r="F674" s="78" t="s">
        <v>674</v>
      </c>
      <c r="G674" s="25">
        <f t="shared" si="18"/>
        <v>2.3003238764462974E-3</v>
      </c>
      <c r="I674" s="78">
        <v>49.179000000000009</v>
      </c>
      <c r="J674" s="78">
        <v>49.401500000000006</v>
      </c>
      <c r="K674" s="78">
        <v>48.925000000000011</v>
      </c>
      <c r="L674" s="78">
        <v>49.124000000000009</v>
      </c>
      <c r="M674" s="78">
        <v>25613299.999999996</v>
      </c>
      <c r="N674" s="78" t="s">
        <v>674</v>
      </c>
      <c r="O674" s="25">
        <f t="shared" si="19"/>
        <v>1.1196156664765589E-3</v>
      </c>
    </row>
    <row r="675" spans="1:15">
      <c r="A675" s="78">
        <v>429.93736607857016</v>
      </c>
      <c r="B675" s="78">
        <v>430.74392897077888</v>
      </c>
      <c r="C675" s="78">
        <v>428.44227388813448</v>
      </c>
      <c r="D675" s="78">
        <v>428.52647118517484</v>
      </c>
      <c r="E675" s="78">
        <v>3899740.9506239491</v>
      </c>
      <c r="F675" s="78" t="s">
        <v>675</v>
      </c>
      <c r="G675" s="25">
        <f t="shared" si="18"/>
        <v>3.2924334627291163E-3</v>
      </c>
      <c r="I675" s="78">
        <v>49.119000000000007</v>
      </c>
      <c r="J675" s="78">
        <v>49.14800000000001</v>
      </c>
      <c r="K675" s="78">
        <v>48.638000000000012</v>
      </c>
      <c r="L675" s="78">
        <v>48.939000000000007</v>
      </c>
      <c r="M675" s="78">
        <v>20345169.999999996</v>
      </c>
      <c r="N675" s="78" t="s">
        <v>675</v>
      </c>
      <c r="O675" s="25">
        <f t="shared" si="19"/>
        <v>3.6780481824312261E-3</v>
      </c>
    </row>
    <row r="676" spans="1:15">
      <c r="A676" s="78">
        <v>428.15702603601193</v>
      </c>
      <c r="B676" s="78">
        <v>429.67965939837666</v>
      </c>
      <c r="C676" s="78">
        <v>426.37668599345369</v>
      </c>
      <c r="D676" s="78">
        <v>428.32424029415273</v>
      </c>
      <c r="E676" s="78">
        <v>4105098.0797455548</v>
      </c>
      <c r="F676" s="78" t="s">
        <v>676</v>
      </c>
      <c r="G676" s="25">
        <f t="shared" si="18"/>
        <v>-3.9039176962285538E-4</v>
      </c>
      <c r="I676" s="78">
        <v>48.676000000000009</v>
      </c>
      <c r="J676" s="78">
        <v>49.602000000000011</v>
      </c>
      <c r="K676" s="78">
        <v>48.545000000000009</v>
      </c>
      <c r="L676" s="78">
        <v>49.400000000000013</v>
      </c>
      <c r="M676" s="78">
        <v>27026719.999999996</v>
      </c>
      <c r="N676" s="78" t="s">
        <v>676</v>
      </c>
      <c r="O676" s="25">
        <f t="shared" si="19"/>
        <v>-1.4655870445344221E-2</v>
      </c>
    </row>
    <row r="677" spans="1:15">
      <c r="A677" s="78">
        <v>427.16357661999871</v>
      </c>
      <c r="B677" s="78">
        <v>427.51767740194401</v>
      </c>
      <c r="C677" s="78">
        <v>423.79489784775927</v>
      </c>
      <c r="D677" s="78">
        <v>426.03242134434021</v>
      </c>
      <c r="E677" s="78">
        <v>4698600.6381004583</v>
      </c>
      <c r="F677" s="78" t="s">
        <v>677</v>
      </c>
      <c r="G677" s="25">
        <f t="shared" si="18"/>
        <v>2.6550920047097026E-3</v>
      </c>
      <c r="I677" s="78">
        <v>49.161000000000008</v>
      </c>
      <c r="J677" s="78">
        <v>49.440000000000005</v>
      </c>
      <c r="K677" s="78">
        <v>48.677000000000007</v>
      </c>
      <c r="L677" s="78">
        <v>49.266000000000012</v>
      </c>
      <c r="M677" s="78">
        <v>27562249.999999996</v>
      </c>
      <c r="N677" s="78" t="s">
        <v>677</v>
      </c>
      <c r="O677" s="25">
        <f t="shared" si="19"/>
        <v>-2.1312872975277619E-3</v>
      </c>
    </row>
    <row r="678" spans="1:15">
      <c r="A678" s="78">
        <v>423.04223696346884</v>
      </c>
      <c r="B678" s="78">
        <v>430.13900680162237</v>
      </c>
      <c r="C678" s="78">
        <v>422.85535043966439</v>
      </c>
      <c r="D678" s="78">
        <v>428.37342095831178</v>
      </c>
      <c r="E678" s="78">
        <v>5879581.0293400744</v>
      </c>
      <c r="F678" s="78" t="s">
        <v>678</v>
      </c>
      <c r="G678" s="25">
        <f t="shared" si="18"/>
        <v>-1.2445179215173074E-2</v>
      </c>
      <c r="I678" s="78">
        <v>48.927000000000007</v>
      </c>
      <c r="J678" s="78">
        <v>50.089000000000006</v>
      </c>
      <c r="K678" s="78">
        <v>48.839000000000006</v>
      </c>
      <c r="L678" s="78">
        <v>49.20000000000001</v>
      </c>
      <c r="M678" s="78">
        <v>45636899.999999993</v>
      </c>
      <c r="N678" s="78" t="s">
        <v>678</v>
      </c>
      <c r="O678" s="25">
        <f t="shared" si="19"/>
        <v>-5.5487804878049385E-3</v>
      </c>
    </row>
    <row r="679" spans="1:15">
      <c r="A679" s="78">
        <v>429.23791867290009</v>
      </c>
      <c r="B679" s="78">
        <v>429.2673057825105</v>
      </c>
      <c r="C679" s="78">
        <v>427.04368115532253</v>
      </c>
      <c r="D679" s="78">
        <v>427.13184248415382</v>
      </c>
      <c r="E679" s="78">
        <v>4146213.8201173837</v>
      </c>
      <c r="F679" s="78" t="s">
        <v>679</v>
      </c>
      <c r="G679" s="25">
        <f t="shared" si="18"/>
        <v>4.9307402990550475E-3</v>
      </c>
      <c r="I679" s="78">
        <v>49.50200000000001</v>
      </c>
      <c r="J679" s="78">
        <v>49.614000000000011</v>
      </c>
      <c r="K679" s="78">
        <v>48.406000000000013</v>
      </c>
      <c r="L679" s="78">
        <v>48.840000000000011</v>
      </c>
      <c r="M679" s="78">
        <v>38490139.999999993</v>
      </c>
      <c r="N679" s="78" t="s">
        <v>679</v>
      </c>
      <c r="O679" s="25">
        <f t="shared" si="19"/>
        <v>1.3554463554463547E-2</v>
      </c>
    </row>
    <row r="680" spans="1:15">
      <c r="A680" s="78">
        <v>426.64205732398028</v>
      </c>
      <c r="B680" s="78">
        <v>427.48448779947876</v>
      </c>
      <c r="C680" s="78">
        <v>425.57432567480186</v>
      </c>
      <c r="D680" s="78">
        <v>425.76044403566783</v>
      </c>
      <c r="E680" s="78">
        <v>4369747.5424563875</v>
      </c>
      <c r="F680" s="78" t="s">
        <v>680</v>
      </c>
      <c r="G680" s="25">
        <f t="shared" si="18"/>
        <v>2.0706791827720394E-3</v>
      </c>
      <c r="I680" s="78">
        <v>48.612000000000009</v>
      </c>
      <c r="J680" s="78">
        <v>49.204000000000015</v>
      </c>
      <c r="K680" s="78">
        <v>47.50950000000001</v>
      </c>
      <c r="L680" s="78">
        <v>47.63000000000001</v>
      </c>
      <c r="M680" s="78">
        <v>64106599.999999985</v>
      </c>
      <c r="N680" s="78" t="s">
        <v>680</v>
      </c>
      <c r="O680" s="25">
        <f t="shared" si="19"/>
        <v>2.0617258030652952E-2</v>
      </c>
    </row>
    <row r="681" spans="1:15">
      <c r="A681" s="78">
        <v>424.24211003912978</v>
      </c>
      <c r="B681" s="78">
        <v>425.37841161073248</v>
      </c>
      <c r="C681" s="78">
        <v>423.40947526683476</v>
      </c>
      <c r="D681" s="78">
        <v>424.34006707116453</v>
      </c>
      <c r="E681" s="78">
        <v>5437119.6119056791</v>
      </c>
      <c r="F681" s="78" t="s">
        <v>681</v>
      </c>
      <c r="G681" s="25">
        <f t="shared" si="18"/>
        <v>-2.3084558738661887E-4</v>
      </c>
      <c r="I681" s="78">
        <v>47.20600000000001</v>
      </c>
      <c r="J681" s="78">
        <v>47.300000000000011</v>
      </c>
      <c r="K681" s="78">
        <v>46.730000000000011</v>
      </c>
      <c r="L681" s="78">
        <v>46.730000000000011</v>
      </c>
      <c r="M681" s="78">
        <v>78409919.999999985</v>
      </c>
      <c r="N681" s="78" t="s">
        <v>681</v>
      </c>
      <c r="O681" s="25">
        <f t="shared" si="19"/>
        <v>1.0186175904130179E-2</v>
      </c>
    </row>
    <row r="682" spans="1:15">
      <c r="A682" s="78">
        <v>424.88862645055889</v>
      </c>
      <c r="B682" s="78">
        <v>426.46984886166319</v>
      </c>
      <c r="C682" s="78">
        <v>422.42990494648768</v>
      </c>
      <c r="D682" s="78">
        <v>425.34902450112207</v>
      </c>
      <c r="E682" s="78">
        <v>8523270.6897872202</v>
      </c>
      <c r="F682" s="78" t="s">
        <v>682</v>
      </c>
      <c r="G682" s="25">
        <f t="shared" si="18"/>
        <v>-1.082400626410629E-3</v>
      </c>
      <c r="I682" s="78">
        <v>46.983000000000004</v>
      </c>
      <c r="J682" s="78">
        <v>48.076000000000008</v>
      </c>
      <c r="K682" s="78">
        <v>46.476010000000009</v>
      </c>
      <c r="L682" s="78">
        <v>48.036000000000008</v>
      </c>
      <c r="M682" s="78">
        <v>51764369.999999993</v>
      </c>
      <c r="N682" s="78" t="s">
        <v>682</v>
      </c>
      <c r="O682" s="25">
        <f t="shared" si="19"/>
        <v>-2.1921059205595839E-2</v>
      </c>
    </row>
    <row r="683" spans="1:15">
      <c r="A683" s="78">
        <v>423.64457214371811</v>
      </c>
      <c r="B683" s="78">
        <v>423.7719162853632</v>
      </c>
      <c r="C683" s="78">
        <v>417.79653733124582</v>
      </c>
      <c r="D683" s="78">
        <v>418.15897834977426</v>
      </c>
      <c r="E683" s="78">
        <v>8839708.4110629745</v>
      </c>
      <c r="F683" s="78" t="s">
        <v>683</v>
      </c>
      <c r="G683" s="25">
        <f t="shared" si="18"/>
        <v>1.311844077961033E-2</v>
      </c>
      <c r="I683" s="78">
        <v>47.998000000000012</v>
      </c>
      <c r="J683" s="78">
        <v>48.125000000000007</v>
      </c>
      <c r="K683" s="78">
        <v>46.198000000000008</v>
      </c>
      <c r="L683" s="78">
        <v>46.198000000000008</v>
      </c>
      <c r="M683" s="78">
        <v>58201919.999999985</v>
      </c>
      <c r="N683" s="78" t="s">
        <v>683</v>
      </c>
      <c r="O683" s="25">
        <f t="shared" si="19"/>
        <v>3.8962725659119624E-2</v>
      </c>
    </row>
    <row r="684" spans="1:15">
      <c r="A684" s="78">
        <v>417.95326858250138</v>
      </c>
      <c r="B684" s="78">
        <v>417.95326858250138</v>
      </c>
      <c r="C684" s="78">
        <v>414.62654981757061</v>
      </c>
      <c r="D684" s="78">
        <v>415.553321297651</v>
      </c>
      <c r="E684" s="78">
        <v>6107327.7494566049</v>
      </c>
      <c r="F684" s="78" t="s">
        <v>684</v>
      </c>
      <c r="G684" s="25">
        <f t="shared" si="18"/>
        <v>5.7753052661353443E-3</v>
      </c>
      <c r="I684" s="78">
        <v>46.300000000000011</v>
      </c>
      <c r="J684" s="78">
        <v>46.561000000000007</v>
      </c>
      <c r="K684" s="78">
        <v>45.919620000000009</v>
      </c>
      <c r="L684" s="78">
        <v>46.52300000000001</v>
      </c>
      <c r="M684" s="78">
        <v>33026599.999999993</v>
      </c>
      <c r="N684" s="78" t="s">
        <v>684</v>
      </c>
      <c r="O684" s="25">
        <f t="shared" si="19"/>
        <v>-4.7933280312962845E-3</v>
      </c>
    </row>
    <row r="685" spans="1:15">
      <c r="A685" s="78">
        <v>415.88637520656897</v>
      </c>
      <c r="B685" s="78">
        <v>416.03331075462103</v>
      </c>
      <c r="C685" s="78">
        <v>413.59418065695678</v>
      </c>
      <c r="D685" s="78">
        <v>413.7802990178227</v>
      </c>
      <c r="E685" s="78">
        <v>5356517.9456853075</v>
      </c>
      <c r="F685" s="78" t="s">
        <v>685</v>
      </c>
      <c r="G685" s="25">
        <f t="shared" si="18"/>
        <v>5.0898416230675814E-3</v>
      </c>
      <c r="I685" s="78">
        <v>45.989000000000004</v>
      </c>
      <c r="J685" s="78">
        <v>47.065000000000005</v>
      </c>
      <c r="K685" s="78">
        <v>45.721000000000004</v>
      </c>
      <c r="L685" s="78">
        <v>45.936000000000007</v>
      </c>
      <c r="M685" s="78">
        <v>49296619.999999993</v>
      </c>
      <c r="N685" s="78" t="s">
        <v>685</v>
      </c>
      <c r="O685" s="25">
        <f t="shared" si="19"/>
        <v>1.1537791710205525E-3</v>
      </c>
    </row>
    <row r="686" spans="1:15">
      <c r="A686" s="78">
        <v>414.27987988119975</v>
      </c>
      <c r="B686" s="78">
        <v>414.72068652535592</v>
      </c>
      <c r="C686" s="78">
        <v>411.56647009383818</v>
      </c>
      <c r="D686" s="78">
        <v>411.78197556431456</v>
      </c>
      <c r="E686" s="78">
        <v>5232169.5477501424</v>
      </c>
      <c r="F686" s="78" t="s">
        <v>686</v>
      </c>
      <c r="G686" s="25">
        <f t="shared" si="18"/>
        <v>6.0660846397222468E-3</v>
      </c>
      <c r="I686" s="78">
        <v>45.376000000000005</v>
      </c>
      <c r="J686" s="78">
        <v>45.550000000000011</v>
      </c>
      <c r="K686" s="78">
        <v>45.076000000000008</v>
      </c>
      <c r="L686" s="78">
        <v>45.076000000000008</v>
      </c>
      <c r="M686" s="78">
        <v>34583839.999999993</v>
      </c>
      <c r="N686" s="78" t="s">
        <v>686</v>
      </c>
      <c r="O686" s="25">
        <f t="shared" si="19"/>
        <v>6.6554263909841538E-3</v>
      </c>
    </row>
    <row r="687" spans="1:15">
      <c r="A687" s="78">
        <v>412.52644900777841</v>
      </c>
      <c r="B687" s="78">
        <v>413.05541698076587</v>
      </c>
      <c r="C687" s="78">
        <v>410.71424391513619</v>
      </c>
      <c r="D687" s="78">
        <v>411.2334161849202</v>
      </c>
      <c r="E687" s="78">
        <v>3315995.7305045594</v>
      </c>
      <c r="F687" s="78" t="s">
        <v>687</v>
      </c>
      <c r="G687" s="25">
        <f t="shared" si="18"/>
        <v>3.1442795550369329E-3</v>
      </c>
      <c r="I687" s="78">
        <v>45.20000000000001</v>
      </c>
      <c r="J687" s="78">
        <v>45.288500000000006</v>
      </c>
      <c r="K687" s="78">
        <v>44.832000000000008</v>
      </c>
      <c r="L687" s="78">
        <v>45.085000000000008</v>
      </c>
      <c r="M687" s="78">
        <v>35067219.999999993</v>
      </c>
      <c r="N687" s="78" t="s">
        <v>687</v>
      </c>
      <c r="O687" s="25">
        <f t="shared" si="19"/>
        <v>2.5507374958413376E-3</v>
      </c>
    </row>
    <row r="688" spans="1:15">
      <c r="A688" s="78">
        <v>409.32325406024336</v>
      </c>
      <c r="B688" s="78">
        <v>413.05541698076587</v>
      </c>
      <c r="C688" s="78">
        <v>408.9314259321045</v>
      </c>
      <c r="D688" s="78">
        <v>412.99664276154499</v>
      </c>
      <c r="E688" s="78">
        <v>4289432.7367034713</v>
      </c>
      <c r="F688" s="78" t="s">
        <v>688</v>
      </c>
      <c r="G688" s="25">
        <f t="shared" si="18"/>
        <v>-8.8944759374777194E-3</v>
      </c>
      <c r="I688" s="78">
        <v>44.673000000000009</v>
      </c>
      <c r="J688" s="78">
        <v>46.050000000000011</v>
      </c>
      <c r="K688" s="78">
        <v>44.573000000000008</v>
      </c>
      <c r="L688" s="78">
        <v>46.000000000000007</v>
      </c>
      <c r="M688" s="78">
        <v>41787549.999999993</v>
      </c>
      <c r="N688" s="78" t="s">
        <v>688</v>
      </c>
      <c r="O688" s="25">
        <f t="shared" si="19"/>
        <v>-2.8847826086956463E-2</v>
      </c>
    </row>
    <row r="689" spans="1:15">
      <c r="A689" s="78">
        <v>411.03750212085077</v>
      </c>
      <c r="B689" s="78">
        <v>411.87993259634931</v>
      </c>
      <c r="C689" s="78">
        <v>409.46039390509196</v>
      </c>
      <c r="D689" s="78">
        <v>409.79344781400994</v>
      </c>
      <c r="E689" s="78">
        <v>3490594.7321764301</v>
      </c>
      <c r="F689" s="78" t="s">
        <v>689</v>
      </c>
      <c r="G689" s="25">
        <f t="shared" si="18"/>
        <v>3.0358081942918336E-3</v>
      </c>
      <c r="I689" s="78">
        <v>45.515000000000008</v>
      </c>
      <c r="J689" s="78">
        <v>45.63900000000001</v>
      </c>
      <c r="K689" s="78">
        <v>44.958000000000006</v>
      </c>
      <c r="L689" s="78">
        <v>45.070000000000007</v>
      </c>
      <c r="M689" s="78">
        <v>33806739.999999993</v>
      </c>
      <c r="N689" s="78" t="s">
        <v>689</v>
      </c>
      <c r="O689" s="25">
        <f t="shared" si="19"/>
        <v>9.8735300643444379E-3</v>
      </c>
    </row>
    <row r="690" spans="1:15">
      <c r="A690" s="78">
        <v>411.16484626249593</v>
      </c>
      <c r="B690" s="78">
        <v>411.29219040414102</v>
      </c>
      <c r="C690" s="78">
        <v>408.97060874491837</v>
      </c>
      <c r="D690" s="78">
        <v>410.09711461331756</v>
      </c>
      <c r="E690" s="78">
        <v>5927169.1673371857</v>
      </c>
      <c r="F690" s="78" t="s">
        <v>690</v>
      </c>
      <c r="G690" s="25">
        <f t="shared" si="18"/>
        <v>2.6036068314820859E-3</v>
      </c>
      <c r="I690" s="78">
        <v>45.390000000000008</v>
      </c>
      <c r="J690" s="78">
        <v>46.120000000000005</v>
      </c>
      <c r="K690" s="78">
        <v>45.120000000000005</v>
      </c>
      <c r="L690" s="78">
        <v>46.099000000000011</v>
      </c>
      <c r="M690" s="78">
        <v>51577129.999999993</v>
      </c>
      <c r="N690" s="78" t="s">
        <v>690</v>
      </c>
      <c r="O690" s="25">
        <f t="shared" si="19"/>
        <v>-1.5379943165795384E-2</v>
      </c>
    </row>
    <row r="691" spans="1:15">
      <c r="A691" s="78">
        <v>413.24153534163179</v>
      </c>
      <c r="B691" s="78">
        <v>413.74111620500884</v>
      </c>
      <c r="C691" s="78">
        <v>409.7052864851787</v>
      </c>
      <c r="D691" s="78">
        <v>410.27343727098003</v>
      </c>
      <c r="E691" s="78">
        <v>5077353.7097751191</v>
      </c>
      <c r="F691" s="78" t="s">
        <v>691</v>
      </c>
      <c r="G691" s="25">
        <f t="shared" si="18"/>
        <v>7.2344387937828269E-3</v>
      </c>
      <c r="I691" s="78">
        <v>46.574000000000012</v>
      </c>
      <c r="J691" s="78">
        <v>47.522990000000007</v>
      </c>
      <c r="K691" s="78">
        <v>46.460000000000008</v>
      </c>
      <c r="L691" s="78">
        <v>47.317000000000007</v>
      </c>
      <c r="M691" s="78">
        <v>43414709.999999993</v>
      </c>
      <c r="N691" s="78" t="s">
        <v>691</v>
      </c>
      <c r="O691" s="25">
        <f t="shared" si="19"/>
        <v>-1.570260160196113E-2</v>
      </c>
    </row>
    <row r="692" spans="1:15">
      <c r="A692" s="78">
        <v>410.83179235357784</v>
      </c>
      <c r="B692" s="78">
        <v>411.12566344968201</v>
      </c>
      <c r="C692" s="78">
        <v>408.05960834699556</v>
      </c>
      <c r="D692" s="78">
        <v>409.98936187807942</v>
      </c>
      <c r="E692" s="78">
        <v>4497573.9959524777</v>
      </c>
      <c r="F692" s="78" t="s">
        <v>692</v>
      </c>
      <c r="G692" s="25">
        <f t="shared" si="18"/>
        <v>2.0547617909874027E-3</v>
      </c>
      <c r="I692" s="78">
        <v>47.397000000000013</v>
      </c>
      <c r="J692" s="78">
        <v>47.85907000000001</v>
      </c>
      <c r="K692" s="78">
        <v>47.042000000000009</v>
      </c>
      <c r="L692" s="78">
        <v>47.531000000000006</v>
      </c>
      <c r="M692" s="78">
        <v>42873489.999999993</v>
      </c>
      <c r="N692" s="78" t="s">
        <v>692</v>
      </c>
      <c r="O692" s="25">
        <f t="shared" si="19"/>
        <v>-2.8192127243271692E-3</v>
      </c>
    </row>
    <row r="693" spans="1:15">
      <c r="A693" s="78">
        <v>409.24488843461552</v>
      </c>
      <c r="B693" s="78">
        <v>412.5166533045749</v>
      </c>
      <c r="C693" s="78">
        <v>408.83836675167151</v>
      </c>
      <c r="D693" s="78">
        <v>411.47772102281476</v>
      </c>
      <c r="E693" s="78">
        <v>4177972.6426886683</v>
      </c>
      <c r="F693" s="78" t="s">
        <v>693</v>
      </c>
      <c r="G693" s="25">
        <f t="shared" si="18"/>
        <v>-5.4263754126203656E-3</v>
      </c>
      <c r="I693" s="78">
        <v>47.719000000000008</v>
      </c>
      <c r="J693" s="78">
        <v>48.098850000000006</v>
      </c>
      <c r="K693" s="78">
        <v>47.449000000000012</v>
      </c>
      <c r="L693" s="78">
        <v>47.900000000000013</v>
      </c>
      <c r="M693" s="78">
        <v>28555399.999999996</v>
      </c>
      <c r="N693" s="78" t="s">
        <v>693</v>
      </c>
      <c r="O693" s="25">
        <f t="shared" si="19"/>
        <v>-3.7787056367433181E-3</v>
      </c>
    </row>
    <row r="694" spans="1:15">
      <c r="A694" s="78">
        <v>409.50937242110928</v>
      </c>
      <c r="B694" s="78">
        <v>410.68485680552584</v>
      </c>
      <c r="C694" s="78">
        <v>408.19674819184416</v>
      </c>
      <c r="D694" s="78">
        <v>408.72571616483162</v>
      </c>
      <c r="E694" s="78">
        <v>3452985.3852671185</v>
      </c>
      <c r="F694" s="78" t="s">
        <v>694</v>
      </c>
      <c r="G694" s="25">
        <f t="shared" si="18"/>
        <v>1.9173157579388533E-3</v>
      </c>
      <c r="I694" s="78">
        <v>47.900000000000013</v>
      </c>
      <c r="J694" s="78">
        <v>48.050000000000011</v>
      </c>
      <c r="K694" s="78">
        <v>47.595000000000006</v>
      </c>
      <c r="L694" s="78">
        <v>47.811000000000014</v>
      </c>
      <c r="M694" s="78">
        <v>28901639.999999993</v>
      </c>
      <c r="N694" s="78" t="s">
        <v>694</v>
      </c>
      <c r="O694" s="25">
        <f t="shared" si="19"/>
        <v>1.8614963083809499E-3</v>
      </c>
    </row>
    <row r="695" spans="1:15">
      <c r="A695" s="78">
        <v>409.10774858976697</v>
      </c>
      <c r="B695" s="78">
        <v>409.97692133501101</v>
      </c>
      <c r="C695" s="78">
        <v>408.70612475842466</v>
      </c>
      <c r="D695" s="78">
        <v>409.25468413781908</v>
      </c>
      <c r="E695" s="78">
        <v>3708311.6184173571</v>
      </c>
      <c r="F695" s="78" t="s">
        <v>695</v>
      </c>
      <c r="G695" s="25">
        <f t="shared" si="18"/>
        <v>-3.5903204959442103E-4</v>
      </c>
      <c r="I695" s="78">
        <v>47.917000000000009</v>
      </c>
      <c r="J695" s="78">
        <v>48.20000000000001</v>
      </c>
      <c r="K695" s="78">
        <v>47.535000000000011</v>
      </c>
      <c r="L695" s="78">
        <v>47.903000000000006</v>
      </c>
      <c r="M695" s="78">
        <v>36259239.999999993</v>
      </c>
      <c r="N695" s="78" t="s">
        <v>695</v>
      </c>
      <c r="O695" s="25">
        <f t="shared" si="19"/>
        <v>2.9225726989956513E-4</v>
      </c>
    </row>
    <row r="696" spans="1:15">
      <c r="A696" s="78">
        <v>409.82283492362035</v>
      </c>
      <c r="B696" s="78">
        <v>409.94038336206205</v>
      </c>
      <c r="C696" s="78">
        <v>409.3036626538364</v>
      </c>
      <c r="D696" s="78">
        <v>409.64651226595788</v>
      </c>
      <c r="E696" s="78">
        <v>1379453.7992139023</v>
      </c>
      <c r="F696" s="78" t="s">
        <v>696</v>
      </c>
      <c r="G696" s="25">
        <f t="shared" si="18"/>
        <v>4.304263612233683E-4</v>
      </c>
      <c r="I696" s="78">
        <v>47.95600000000001</v>
      </c>
      <c r="J696" s="78">
        <v>48.040000000000006</v>
      </c>
      <c r="K696" s="78">
        <v>47.52000000000001</v>
      </c>
      <c r="L696" s="78">
        <v>47.711000000000013</v>
      </c>
      <c r="M696" s="78">
        <v>14047319.999999998</v>
      </c>
      <c r="N696" s="78" t="s">
        <v>696</v>
      </c>
      <c r="O696" s="25">
        <f t="shared" si="19"/>
        <v>5.1350841525015234E-3</v>
      </c>
    </row>
    <row r="697" spans="1:15">
      <c r="A697" s="78">
        <v>409.59753374994051</v>
      </c>
      <c r="B697" s="78">
        <v>410.74363102474666</v>
      </c>
      <c r="C697" s="78">
        <v>408.53959780396565</v>
      </c>
      <c r="D697" s="78">
        <v>409.52896382751624</v>
      </c>
      <c r="E697" s="78">
        <v>3771106.4976846292</v>
      </c>
      <c r="F697" s="78" t="s">
        <v>697</v>
      </c>
      <c r="G697" s="25">
        <f t="shared" si="18"/>
        <v>1.6743607529834392E-4</v>
      </c>
      <c r="I697" s="78">
        <v>47.800000000000011</v>
      </c>
      <c r="J697" s="78">
        <v>48.27000000000001</v>
      </c>
      <c r="K697" s="78">
        <v>47.656000000000013</v>
      </c>
      <c r="L697" s="78">
        <v>47.680000000000014</v>
      </c>
      <c r="M697" s="78">
        <v>28438909.999999996</v>
      </c>
      <c r="N697" s="78" t="s">
        <v>697</v>
      </c>
      <c r="O697" s="25">
        <f t="shared" si="19"/>
        <v>2.5167785234898599E-3</v>
      </c>
    </row>
    <row r="698" spans="1:15">
      <c r="A698" s="78">
        <v>407.83430717331572</v>
      </c>
      <c r="B698" s="78">
        <v>408.32409233348926</v>
      </c>
      <c r="C698" s="78">
        <v>406.81555404015472</v>
      </c>
      <c r="D698" s="78">
        <v>407.89308139253654</v>
      </c>
      <c r="E698" s="78">
        <v>5357641.9078727392</v>
      </c>
      <c r="F698" s="78" t="s">
        <v>698</v>
      </c>
      <c r="G698" s="25">
        <f t="shared" si="18"/>
        <v>-1.4409221902011993E-4</v>
      </c>
      <c r="I698" s="78">
        <v>47.495000000000005</v>
      </c>
      <c r="J698" s="78">
        <v>47.702000000000005</v>
      </c>
      <c r="K698" s="78">
        <v>47.121000000000009</v>
      </c>
      <c r="L698" s="78">
        <v>47.263000000000005</v>
      </c>
      <c r="M698" s="78">
        <v>29977229.999999993</v>
      </c>
      <c r="N698" s="78" t="s">
        <v>698</v>
      </c>
      <c r="O698" s="25">
        <f t="shared" si="19"/>
        <v>4.9087023676026575E-3</v>
      </c>
    </row>
    <row r="699" spans="1:15">
      <c r="A699" s="78">
        <v>408.90203882249409</v>
      </c>
      <c r="B699" s="78">
        <v>409.65630796916133</v>
      </c>
      <c r="C699" s="78">
        <v>405.52242326026453</v>
      </c>
      <c r="D699" s="78">
        <v>405.53231692050002</v>
      </c>
      <c r="E699" s="78">
        <v>3597916.2769561326</v>
      </c>
      <c r="F699" s="78" t="s">
        <v>699</v>
      </c>
      <c r="G699" s="25">
        <f t="shared" ref="G699:G762" si="20">A699/D699-1</f>
        <v>8.3093794536099885E-3</v>
      </c>
      <c r="I699" s="78">
        <v>47.44700000000001</v>
      </c>
      <c r="J699" s="78">
        <v>47.675580000000011</v>
      </c>
      <c r="K699" s="78">
        <v>46.540000000000006</v>
      </c>
      <c r="L699" s="78">
        <v>46.540000000000006</v>
      </c>
      <c r="M699" s="78">
        <v>36210949.999999993</v>
      </c>
      <c r="N699" s="78" t="s">
        <v>699</v>
      </c>
      <c r="O699" s="25">
        <f t="shared" ref="O699:O762" si="21">I699/L699-1</f>
        <v>1.9488611946712586E-2</v>
      </c>
    </row>
    <row r="700" spans="1:15">
      <c r="A700" s="78">
        <v>405.84577942301109</v>
      </c>
      <c r="B700" s="78">
        <v>406.31597317677773</v>
      </c>
      <c r="C700" s="78">
        <v>404.43519816171124</v>
      </c>
      <c r="D700" s="78">
        <v>405.48333840448265</v>
      </c>
      <c r="E700" s="78">
        <v>4798163.9524710281</v>
      </c>
      <c r="F700" s="78" t="s">
        <v>700</v>
      </c>
      <c r="G700" s="25">
        <f t="shared" si="20"/>
        <v>8.9384935014735767E-4</v>
      </c>
      <c r="I700" s="78">
        <v>46.591000000000008</v>
      </c>
      <c r="J700" s="78">
        <v>46.765000000000008</v>
      </c>
      <c r="K700" s="78">
        <v>46.27600000000001</v>
      </c>
      <c r="L700" s="78">
        <v>46.695000000000007</v>
      </c>
      <c r="M700" s="78">
        <v>28002139.999999996</v>
      </c>
      <c r="N700" s="78" t="s">
        <v>700</v>
      </c>
      <c r="O700" s="25">
        <f t="shared" si="21"/>
        <v>-2.2272191883498937E-3</v>
      </c>
    </row>
    <row r="701" spans="1:15">
      <c r="A701" s="78">
        <v>405.24824152759936</v>
      </c>
      <c r="B701" s="78">
        <v>405.4931341076861</v>
      </c>
      <c r="C701" s="78">
        <v>403.33807940292252</v>
      </c>
      <c r="D701" s="78">
        <v>404.30785402006615</v>
      </c>
      <c r="E701" s="78">
        <v>3878117.7023144872</v>
      </c>
      <c r="F701" s="78" t="s">
        <v>701</v>
      </c>
      <c r="G701" s="25">
        <f t="shared" si="20"/>
        <v>2.3259194650384618E-3</v>
      </c>
      <c r="I701" s="78">
        <v>46.695000000000007</v>
      </c>
      <c r="J701" s="78">
        <v>46.728000000000009</v>
      </c>
      <c r="K701" s="78">
        <v>45.965000000000003</v>
      </c>
      <c r="L701" s="78">
        <v>46.300000000000011</v>
      </c>
      <c r="M701" s="78">
        <v>36559739.999999993</v>
      </c>
      <c r="N701" s="78" t="s">
        <v>701</v>
      </c>
      <c r="O701" s="25">
        <f t="shared" si="21"/>
        <v>8.5313174946004544E-3</v>
      </c>
    </row>
    <row r="702" spans="1:15">
      <c r="A702" s="78">
        <v>404.68009074179804</v>
      </c>
      <c r="B702" s="78">
        <v>406.24740325435346</v>
      </c>
      <c r="C702" s="78">
        <v>403.9454130015377</v>
      </c>
      <c r="D702" s="78">
        <v>405.09151027634385</v>
      </c>
      <c r="E702" s="78">
        <v>4506881.1378805526</v>
      </c>
      <c r="F702" s="78" t="s">
        <v>702</v>
      </c>
      <c r="G702" s="25">
        <f t="shared" si="20"/>
        <v>-1.0156212216473337E-3</v>
      </c>
      <c r="I702" s="78">
        <v>46.19400000000001</v>
      </c>
      <c r="J702" s="78">
        <v>46.27499000000001</v>
      </c>
      <c r="K702" s="78">
        <v>45.245000000000005</v>
      </c>
      <c r="L702" s="78">
        <v>45.281000000000006</v>
      </c>
      <c r="M702" s="78">
        <v>50352829.999999993</v>
      </c>
      <c r="N702" s="78" t="s">
        <v>702</v>
      </c>
      <c r="O702" s="25">
        <f t="shared" si="21"/>
        <v>2.0162982266292762E-2</v>
      </c>
    </row>
    <row r="703" spans="1:15">
      <c r="A703" s="78">
        <v>403.79847745348565</v>
      </c>
      <c r="B703" s="78">
        <v>405.06212316673339</v>
      </c>
      <c r="C703" s="78">
        <v>401.51176849766733</v>
      </c>
      <c r="D703" s="78">
        <v>401.66301415512896</v>
      </c>
      <c r="E703" s="78">
        <v>7118544.5854760921</v>
      </c>
      <c r="F703" s="78" t="s">
        <v>703</v>
      </c>
      <c r="G703" s="25">
        <f t="shared" si="20"/>
        <v>5.3165544824895772E-3</v>
      </c>
      <c r="I703" s="78">
        <v>44.865000000000009</v>
      </c>
      <c r="J703" s="78">
        <v>45.407500000000006</v>
      </c>
      <c r="K703" s="78">
        <v>44.564000000000007</v>
      </c>
      <c r="L703" s="78">
        <v>44.878000000000007</v>
      </c>
      <c r="M703" s="78">
        <v>40608839.999999993</v>
      </c>
      <c r="N703" s="78" t="s">
        <v>703</v>
      </c>
      <c r="O703" s="25">
        <f t="shared" si="21"/>
        <v>-2.8967422790671105E-4</v>
      </c>
    </row>
    <row r="704" spans="1:15">
      <c r="A704" s="78">
        <v>396.18721606438856</v>
      </c>
      <c r="B704" s="78">
        <v>397.20596919754962</v>
      </c>
      <c r="C704" s="78">
        <v>394.59051644222279</v>
      </c>
      <c r="D704" s="78">
        <v>395.34478558889003</v>
      </c>
      <c r="E704" s="78">
        <v>2932858.3566945717</v>
      </c>
      <c r="F704" s="78" t="s">
        <v>704</v>
      </c>
      <c r="G704" s="25">
        <f t="shared" si="20"/>
        <v>2.1308753933446667E-3</v>
      </c>
      <c r="I704" s="78">
        <v>44.46200000000001</v>
      </c>
      <c r="J704" s="78">
        <v>44.843000000000011</v>
      </c>
      <c r="K704" s="78">
        <v>44.260000000000012</v>
      </c>
      <c r="L704" s="78">
        <v>44.725000000000009</v>
      </c>
      <c r="M704" s="78">
        <v>28961429.999999993</v>
      </c>
      <c r="N704" s="78" t="s">
        <v>704</v>
      </c>
      <c r="O704" s="25">
        <f t="shared" si="21"/>
        <v>-5.8803801006148682E-3</v>
      </c>
    </row>
    <row r="705" spans="1:15">
      <c r="A705" s="78">
        <v>396.58883989573093</v>
      </c>
      <c r="B705" s="78">
        <v>396.83275290549733</v>
      </c>
      <c r="C705" s="78">
        <v>390.98569766334543</v>
      </c>
      <c r="D705" s="78">
        <v>392.40607462784874</v>
      </c>
      <c r="E705" s="78">
        <v>4077746.0454136403</v>
      </c>
      <c r="F705" s="78" t="s">
        <v>705</v>
      </c>
      <c r="G705" s="25">
        <f t="shared" si="20"/>
        <v>1.065927756559093E-2</v>
      </c>
      <c r="I705" s="78">
        <v>44.724000000000011</v>
      </c>
      <c r="J705" s="78">
        <v>44.748000000000012</v>
      </c>
      <c r="K705" s="78">
        <v>43.551000000000009</v>
      </c>
      <c r="L705" s="78">
        <v>43.748000000000012</v>
      </c>
      <c r="M705" s="78">
        <v>44432839.999999993</v>
      </c>
      <c r="N705" s="78" t="s">
        <v>705</v>
      </c>
      <c r="O705" s="25">
        <f t="shared" si="21"/>
        <v>2.2309591295601949E-2</v>
      </c>
    </row>
    <row r="706" spans="1:15">
      <c r="A706" s="78">
        <v>390.49591250317189</v>
      </c>
      <c r="B706" s="78">
        <v>394.64929066144362</v>
      </c>
      <c r="C706" s="78">
        <v>390.07469726542263</v>
      </c>
      <c r="D706" s="78">
        <v>394.58072073901934</v>
      </c>
      <c r="E706" s="78">
        <v>4232074.935193019</v>
      </c>
      <c r="F706" s="78" t="s">
        <v>706</v>
      </c>
      <c r="G706" s="25">
        <f t="shared" si="20"/>
        <v>-1.0352275266254596E-2</v>
      </c>
      <c r="I706" s="78">
        <v>43.515000000000008</v>
      </c>
      <c r="J706" s="78">
        <v>44.038000000000011</v>
      </c>
      <c r="K706" s="78">
        <v>43.435000000000009</v>
      </c>
      <c r="L706" s="78">
        <v>43.803000000000004</v>
      </c>
      <c r="M706" s="78">
        <v>27355069.999999996</v>
      </c>
      <c r="N706" s="78" t="s">
        <v>706</v>
      </c>
      <c r="O706" s="25">
        <f t="shared" si="21"/>
        <v>-6.5748921306758579E-3</v>
      </c>
    </row>
    <row r="707" spans="1:15">
      <c r="A707" s="78">
        <v>393.46401057382366</v>
      </c>
      <c r="B707" s="78">
        <v>394.27960082254458</v>
      </c>
      <c r="C707" s="78">
        <v>391.39711719789125</v>
      </c>
      <c r="D707" s="78">
        <v>393.77747307633473</v>
      </c>
      <c r="E707" s="78">
        <v>3809688.7201294741</v>
      </c>
      <c r="F707" s="78" t="s">
        <v>707</v>
      </c>
      <c r="G707" s="25">
        <f t="shared" si="20"/>
        <v>-7.9603970248010025E-4</v>
      </c>
      <c r="I707" s="78">
        <v>43.665000000000006</v>
      </c>
      <c r="J707" s="78">
        <v>43.807000000000009</v>
      </c>
      <c r="K707" s="78">
        <v>43.368000000000009</v>
      </c>
      <c r="L707" s="78">
        <v>43.500000000000007</v>
      </c>
      <c r="M707" s="78">
        <v>23568449.999999996</v>
      </c>
      <c r="N707" s="78" t="s">
        <v>707</v>
      </c>
      <c r="O707" s="25">
        <f t="shared" si="21"/>
        <v>3.7931034482758808E-3</v>
      </c>
    </row>
    <row r="708" spans="1:15">
      <c r="A708" s="78">
        <v>393.14075236810908</v>
      </c>
      <c r="B708" s="78">
        <v>393.8264515923521</v>
      </c>
      <c r="C708" s="78">
        <v>391.07385899217672</v>
      </c>
      <c r="D708" s="78">
        <v>392.08281642213421</v>
      </c>
      <c r="E708" s="78">
        <v>3428623.6835043048</v>
      </c>
      <c r="F708" s="78" t="s">
        <v>708</v>
      </c>
      <c r="G708" s="25">
        <f t="shared" si="20"/>
        <v>2.6982461400089086E-3</v>
      </c>
      <c r="I708" s="78">
        <v>43.461000000000013</v>
      </c>
      <c r="J708" s="78">
        <v>43.76400000000001</v>
      </c>
      <c r="K708" s="78">
        <v>43.100000000000009</v>
      </c>
      <c r="L708" s="78">
        <v>43.618000000000009</v>
      </c>
      <c r="M708" s="78">
        <v>32910639.999999993</v>
      </c>
      <c r="N708" s="78" t="s">
        <v>708</v>
      </c>
      <c r="O708" s="25">
        <f t="shared" si="21"/>
        <v>-3.5994314273922745E-3</v>
      </c>
    </row>
    <row r="709" spans="1:15">
      <c r="A709" s="78">
        <v>392.03383790611684</v>
      </c>
      <c r="B709" s="78">
        <v>392.54615318365842</v>
      </c>
      <c r="C709" s="78">
        <v>390.31958984550937</v>
      </c>
      <c r="D709" s="78">
        <v>391.94567657728561</v>
      </c>
      <c r="E709" s="78">
        <v>4090676.2044200012</v>
      </c>
      <c r="F709" s="78" t="s">
        <v>709</v>
      </c>
      <c r="G709" s="25">
        <f t="shared" si="20"/>
        <v>2.2493252024391452E-4</v>
      </c>
      <c r="I709" s="78">
        <v>43.474000000000011</v>
      </c>
      <c r="J709" s="78">
        <v>43.503000000000007</v>
      </c>
      <c r="K709" s="78">
        <v>42.961000000000013</v>
      </c>
      <c r="L709" s="78">
        <v>43.438000000000009</v>
      </c>
      <c r="M709" s="78">
        <v>30032349.999999993</v>
      </c>
      <c r="N709" s="78" t="s">
        <v>709</v>
      </c>
      <c r="O709" s="25">
        <f t="shared" si="21"/>
        <v>8.2876743864823688E-4</v>
      </c>
    </row>
    <row r="710" spans="1:15">
      <c r="A710" s="78">
        <v>391.27956875944955</v>
      </c>
      <c r="B710" s="78">
        <v>392.66076291113905</v>
      </c>
      <c r="C710" s="78">
        <v>389.71225624689419</v>
      </c>
      <c r="D710" s="78">
        <v>389.79062187252197</v>
      </c>
      <c r="E710" s="78">
        <v>6106182.3492982965</v>
      </c>
      <c r="F710" s="78" t="s">
        <v>710</v>
      </c>
      <c r="G710" s="25">
        <f t="shared" si="20"/>
        <v>3.8198632891033313E-3</v>
      </c>
      <c r="I710" s="78">
        <v>43.236000000000011</v>
      </c>
      <c r="J710" s="78">
        <v>43.481500000000011</v>
      </c>
      <c r="K710" s="78">
        <v>42.553000000000004</v>
      </c>
      <c r="L710" s="78">
        <v>42.876000000000005</v>
      </c>
      <c r="M710" s="78">
        <v>36670509.999999993</v>
      </c>
      <c r="N710" s="78" t="s">
        <v>710</v>
      </c>
      <c r="O710" s="25">
        <f t="shared" si="21"/>
        <v>8.396305625524958E-3</v>
      </c>
    </row>
    <row r="711" spans="1:15">
      <c r="A711" s="78">
        <v>387.69434138697915</v>
      </c>
      <c r="B711" s="78">
        <v>387.82129370049614</v>
      </c>
      <c r="C711" s="78">
        <v>383.91319995043932</v>
      </c>
      <c r="D711" s="78">
        <v>383.92299565364277</v>
      </c>
      <c r="E711" s="78">
        <v>4851273.9731804803</v>
      </c>
      <c r="F711" s="78" t="s">
        <v>711</v>
      </c>
      <c r="G711" s="25">
        <f t="shared" si="20"/>
        <v>9.8231827111985304E-3</v>
      </c>
      <c r="I711" s="78">
        <v>42.471000000000004</v>
      </c>
      <c r="J711" s="78">
        <v>42.669000000000011</v>
      </c>
      <c r="K711" s="78">
        <v>41.710000000000008</v>
      </c>
      <c r="L711" s="78">
        <v>42.117000000000012</v>
      </c>
      <c r="M711" s="78">
        <v>44759839.999999993</v>
      </c>
      <c r="N711" s="78" t="s">
        <v>711</v>
      </c>
      <c r="O711" s="25">
        <f t="shared" si="21"/>
        <v>8.4051570624685823E-3</v>
      </c>
    </row>
    <row r="712" spans="1:15">
      <c r="A712" s="78">
        <v>380.46511242281747</v>
      </c>
      <c r="B712" s="78">
        <v>381.13122024065348</v>
      </c>
      <c r="C712" s="78">
        <v>376.76233661190543</v>
      </c>
      <c r="D712" s="78">
        <v>377.2227346624685</v>
      </c>
      <c r="E712" s="78">
        <v>5664890.9064881224</v>
      </c>
      <c r="F712" s="78" t="s">
        <v>712</v>
      </c>
      <c r="G712" s="25">
        <f t="shared" si="20"/>
        <v>8.5953932846867254E-3</v>
      </c>
      <c r="I712" s="78">
        <v>42.019000000000005</v>
      </c>
      <c r="J712" s="78">
        <v>42.060000000000009</v>
      </c>
      <c r="K712" s="78">
        <v>41.417980000000007</v>
      </c>
      <c r="L712" s="78">
        <v>41.477000000000004</v>
      </c>
      <c r="M712" s="78">
        <v>48061079.999999993</v>
      </c>
      <c r="N712" s="78" t="s">
        <v>712</v>
      </c>
      <c r="O712" s="25">
        <f t="shared" si="21"/>
        <v>1.306748318345119E-2</v>
      </c>
    </row>
    <row r="713" spans="1:15">
      <c r="A713" s="78">
        <v>376.3215299677492</v>
      </c>
      <c r="B713" s="78">
        <v>376.62519676705682</v>
      </c>
      <c r="C713" s="78">
        <v>372.78528111129611</v>
      </c>
      <c r="D713" s="78">
        <v>374.53871198471751</v>
      </c>
      <c r="E713" s="78">
        <v>4617493.921617819</v>
      </c>
      <c r="F713" s="78" t="s">
        <v>713</v>
      </c>
      <c r="G713" s="25">
        <f t="shared" si="20"/>
        <v>4.7600366156661522E-3</v>
      </c>
      <c r="I713" s="78">
        <v>41.169000000000011</v>
      </c>
      <c r="J713" s="78">
        <v>41.25200000000001</v>
      </c>
      <c r="K713" s="78">
        <v>40.463010000000011</v>
      </c>
      <c r="L713" s="78">
        <v>40.924000000000007</v>
      </c>
      <c r="M713" s="78">
        <v>38776229.999999993</v>
      </c>
      <c r="N713" s="78" t="s">
        <v>713</v>
      </c>
      <c r="O713" s="25">
        <f t="shared" si="21"/>
        <v>5.9867070667580791E-3</v>
      </c>
    </row>
    <row r="714" spans="1:15">
      <c r="A714" s="78">
        <v>374.05872252774742</v>
      </c>
      <c r="B714" s="78">
        <v>374.97951862887368</v>
      </c>
      <c r="C714" s="78">
        <v>370.97307601865396</v>
      </c>
      <c r="D714" s="78">
        <v>372.14856040307052</v>
      </c>
      <c r="E714" s="78">
        <v>5916635.9776460733</v>
      </c>
      <c r="F714" s="78" t="s">
        <v>714</v>
      </c>
      <c r="G714" s="25">
        <f t="shared" si="20"/>
        <v>5.1327946092496468E-3</v>
      </c>
      <c r="I714" s="78">
        <v>41.00800000000001</v>
      </c>
      <c r="J714" s="78">
        <v>41.282000000000011</v>
      </c>
      <c r="K714" s="78">
        <v>39.94100000000001</v>
      </c>
      <c r="L714" s="78">
        <v>40.235000000000014</v>
      </c>
      <c r="M714" s="78">
        <v>53171469.999999993</v>
      </c>
      <c r="N714" s="78" t="s">
        <v>714</v>
      </c>
      <c r="O714" s="25">
        <f t="shared" si="21"/>
        <v>1.9212128743631096E-2</v>
      </c>
    </row>
    <row r="715" spans="1:15">
      <c r="A715" s="78">
        <v>369.61147327337147</v>
      </c>
      <c r="B715" s="78">
        <v>373.1085393170107</v>
      </c>
      <c r="C715" s="78">
        <v>368.2645640828942</v>
      </c>
      <c r="D715" s="78">
        <v>372.7558940016857</v>
      </c>
      <c r="E715" s="78">
        <v>5756352.4362415485</v>
      </c>
      <c r="F715" s="78" t="s">
        <v>715</v>
      </c>
      <c r="G715" s="25">
        <f t="shared" si="20"/>
        <v>-8.4356029747982841E-3</v>
      </c>
      <c r="I715" s="78">
        <v>39.787000000000006</v>
      </c>
      <c r="J715" s="78">
        <v>41.021000000000008</v>
      </c>
      <c r="K715" s="78">
        <v>39.562000000000005</v>
      </c>
      <c r="L715" s="78">
        <v>40.64200000000001</v>
      </c>
      <c r="M715" s="78">
        <v>49976119.999999993</v>
      </c>
      <c r="N715" s="78" t="s">
        <v>715</v>
      </c>
      <c r="O715" s="25">
        <f t="shared" si="21"/>
        <v>-2.1037350524088505E-2</v>
      </c>
    </row>
    <row r="716" spans="1:15">
      <c r="A716" s="78">
        <v>371.25715141155467</v>
      </c>
      <c r="B716" s="78">
        <v>375.56442006715292</v>
      </c>
      <c r="C716" s="78">
        <v>370.42451663925959</v>
      </c>
      <c r="D716" s="78">
        <v>374.81299167441466</v>
      </c>
      <c r="E716" s="78">
        <v>7104544.5696373712</v>
      </c>
      <c r="F716" s="78" t="s">
        <v>716</v>
      </c>
      <c r="G716" s="25">
        <f t="shared" si="20"/>
        <v>-9.4869717481639304E-3</v>
      </c>
      <c r="I716" s="78">
        <v>40.354000000000013</v>
      </c>
      <c r="J716" s="78">
        <v>41.731000000000009</v>
      </c>
      <c r="K716" s="78">
        <v>40.154440000000008</v>
      </c>
      <c r="L716" s="78">
        <v>41.14200000000001</v>
      </c>
      <c r="M716" s="78">
        <v>68497019.999999985</v>
      </c>
      <c r="N716" s="78" t="s">
        <v>716</v>
      </c>
      <c r="O716" s="25">
        <f t="shared" si="21"/>
        <v>-1.9153176802294447E-2</v>
      </c>
    </row>
    <row r="717" spans="1:15">
      <c r="A717" s="78">
        <v>375.87092762038952</v>
      </c>
      <c r="B717" s="78">
        <v>379.75982179216754</v>
      </c>
      <c r="C717" s="78">
        <v>375.29298113138475</v>
      </c>
      <c r="D717" s="78">
        <v>379.68145616653982</v>
      </c>
      <c r="E717" s="78">
        <v>5585320.3045813804</v>
      </c>
      <c r="F717" s="78" t="s">
        <v>717</v>
      </c>
      <c r="G717" s="25">
        <f t="shared" si="20"/>
        <v>-1.0036119711042457E-2</v>
      </c>
      <c r="I717" s="78">
        <v>41.125000000000007</v>
      </c>
      <c r="J717" s="78">
        <v>41.884000000000007</v>
      </c>
      <c r="K717" s="78">
        <v>41.01100000000001</v>
      </c>
      <c r="L717" s="78">
        <v>41.602000000000004</v>
      </c>
      <c r="M717" s="78">
        <v>62995869.999999985</v>
      </c>
      <c r="N717" s="78" t="s">
        <v>717</v>
      </c>
      <c r="O717" s="25">
        <f t="shared" si="21"/>
        <v>-1.1465794913706029E-2</v>
      </c>
    </row>
    <row r="718" spans="1:15">
      <c r="A718" s="78">
        <v>381.24876867909518</v>
      </c>
      <c r="B718" s="78">
        <v>382.28711321866308</v>
      </c>
      <c r="C718" s="78">
        <v>378.65290733017537</v>
      </c>
      <c r="D718" s="78">
        <v>380.34756398437582</v>
      </c>
      <c r="E718" s="78">
        <v>4544352.6692627948</v>
      </c>
      <c r="F718" s="78" t="s">
        <v>718</v>
      </c>
      <c r="G718" s="25">
        <f t="shared" si="20"/>
        <v>2.3694241269187621E-3</v>
      </c>
      <c r="I718" s="78">
        <v>41.373000000000012</v>
      </c>
      <c r="J718" s="78">
        <v>41.668990000000008</v>
      </c>
      <c r="K718" s="78">
        <v>40.839000000000006</v>
      </c>
      <c r="L718" s="78">
        <v>40.968000000000011</v>
      </c>
      <c r="M718" s="78">
        <v>64592469.999999985</v>
      </c>
      <c r="N718" s="78" t="s">
        <v>718</v>
      </c>
      <c r="O718" s="25">
        <f t="shared" si="21"/>
        <v>9.8857644991212634E-3</v>
      </c>
    </row>
    <row r="719" spans="1:15">
      <c r="A719" s="78">
        <v>378.41781045329202</v>
      </c>
      <c r="B719" s="78">
        <v>381.97365071615201</v>
      </c>
      <c r="C719" s="78">
        <v>376.00806746523813</v>
      </c>
      <c r="D719" s="78">
        <v>377.60476708740396</v>
      </c>
      <c r="E719" s="78">
        <v>5652612.0534541337</v>
      </c>
      <c r="F719" s="78" t="s">
        <v>719</v>
      </c>
      <c r="G719" s="25">
        <f t="shared" si="20"/>
        <v>2.1531596970010281E-3</v>
      </c>
      <c r="I719" s="78">
        <v>40.684000000000005</v>
      </c>
      <c r="J719" s="78">
        <v>40.754000000000012</v>
      </c>
      <c r="K719" s="78">
        <v>39.852010000000007</v>
      </c>
      <c r="L719" s="78">
        <v>40.332000000000008</v>
      </c>
      <c r="M719" s="78">
        <v>73900319.999999985</v>
      </c>
      <c r="N719" s="78" t="s">
        <v>719</v>
      </c>
      <c r="O719" s="25">
        <f t="shared" si="21"/>
        <v>8.7275612416939374E-3</v>
      </c>
    </row>
    <row r="720" spans="1:15">
      <c r="A720" s="78">
        <v>379.08391827112808</v>
      </c>
      <c r="B720" s="78">
        <v>383.81524291840458</v>
      </c>
      <c r="C720" s="78">
        <v>378.93698272307597</v>
      </c>
      <c r="D720" s="78">
        <v>383.38423197745186</v>
      </c>
      <c r="E720" s="78">
        <v>7707066.9079937013</v>
      </c>
      <c r="F720" s="78" t="s">
        <v>720</v>
      </c>
      <c r="G720" s="25">
        <f t="shared" si="20"/>
        <v>-1.1216720322959728E-2</v>
      </c>
      <c r="I720" s="78">
        <v>40.096000000000004</v>
      </c>
      <c r="J720" s="78">
        <v>41.064000000000007</v>
      </c>
      <c r="K720" s="78">
        <v>39.801000000000009</v>
      </c>
      <c r="L720" s="78">
        <v>40.563000000000009</v>
      </c>
      <c r="M720" s="78">
        <v>127829219.99999997</v>
      </c>
      <c r="N720" s="78" t="s">
        <v>720</v>
      </c>
      <c r="O720" s="25">
        <f t="shared" si="21"/>
        <v>-1.1512955156177007E-2</v>
      </c>
    </row>
    <row r="721" spans="1:15">
      <c r="A721" s="78">
        <v>383.86422143442195</v>
      </c>
      <c r="B721" s="78">
        <v>389.4771593700109</v>
      </c>
      <c r="C721" s="78">
        <v>383.14423724896682</v>
      </c>
      <c r="D721" s="78">
        <v>387.88045974784512</v>
      </c>
      <c r="E721" s="78">
        <v>6848822.2444537785</v>
      </c>
      <c r="F721" s="78" t="s">
        <v>721</v>
      </c>
      <c r="G721" s="25">
        <f t="shared" si="20"/>
        <v>-1.0354319771699982E-2</v>
      </c>
      <c r="I721" s="78">
        <v>40.177000000000007</v>
      </c>
      <c r="J721" s="78">
        <v>40.89500000000001</v>
      </c>
      <c r="K721" s="78">
        <v>39.226010000000009</v>
      </c>
      <c r="L721" s="78">
        <v>40.474000000000011</v>
      </c>
      <c r="M721" s="78">
        <v>280744159.99999994</v>
      </c>
      <c r="N721" s="78" t="s">
        <v>721</v>
      </c>
      <c r="O721" s="25">
        <f t="shared" si="21"/>
        <v>-7.338044176508518E-3</v>
      </c>
    </row>
    <row r="722" spans="1:15">
      <c r="A722" s="78">
        <v>387.14578200758478</v>
      </c>
      <c r="B722" s="78">
        <v>391.64200977797799</v>
      </c>
      <c r="C722" s="78">
        <v>386.16621168723771</v>
      </c>
      <c r="D722" s="78">
        <v>390.74080508325864</v>
      </c>
      <c r="E722" s="78">
        <v>7482118.2795767868</v>
      </c>
      <c r="F722" s="78" t="s">
        <v>722</v>
      </c>
      <c r="G722" s="25">
        <f t="shared" si="20"/>
        <v>-9.2005314748425659E-3</v>
      </c>
      <c r="I722" s="78">
        <v>34.619000000000007</v>
      </c>
      <c r="J722" s="78">
        <v>35.479000000000006</v>
      </c>
      <c r="K722" s="78">
        <v>34.473000000000006</v>
      </c>
      <c r="L722" s="78">
        <v>35.100000000000009</v>
      </c>
      <c r="M722" s="78">
        <v>114296429.99999999</v>
      </c>
      <c r="N722" s="78" t="s">
        <v>722</v>
      </c>
      <c r="O722" s="25">
        <f t="shared" si="21"/>
        <v>-1.3703703703703773E-2</v>
      </c>
    </row>
    <row r="723" spans="1:15">
      <c r="A723" s="78">
        <v>392.39627892464529</v>
      </c>
      <c r="B723" s="78">
        <v>394.27705393971172</v>
      </c>
      <c r="C723" s="78">
        <v>389.19063505130936</v>
      </c>
      <c r="D723" s="78">
        <v>389.50654647962131</v>
      </c>
      <c r="E723" s="78">
        <v>4302507.8572271941</v>
      </c>
      <c r="F723" s="78" t="s">
        <v>723</v>
      </c>
      <c r="G723" s="25">
        <f t="shared" si="20"/>
        <v>7.4189573221337124E-3</v>
      </c>
      <c r="I723" s="78">
        <v>35.57200000000001</v>
      </c>
      <c r="J723" s="78">
        <v>36.270490000000009</v>
      </c>
      <c r="K723" s="78">
        <v>35.389000000000003</v>
      </c>
      <c r="L723" s="78">
        <v>36.110000000000007</v>
      </c>
      <c r="M723" s="78">
        <v>59084119.999999985</v>
      </c>
      <c r="N723" s="78" t="s">
        <v>723</v>
      </c>
      <c r="O723" s="25">
        <f t="shared" si="21"/>
        <v>-1.4898919966768065E-2</v>
      </c>
    </row>
    <row r="724" spans="1:15">
      <c r="A724" s="78">
        <v>392.38648322144178</v>
      </c>
      <c r="B724" s="78">
        <v>393.39544065139933</v>
      </c>
      <c r="C724" s="78">
        <v>390.20204140706772</v>
      </c>
      <c r="D724" s="78">
        <v>390.42734258074756</v>
      </c>
      <c r="E724" s="78">
        <v>5258367.7690181229</v>
      </c>
      <c r="F724" s="78" t="s">
        <v>724</v>
      </c>
      <c r="G724" s="25">
        <f t="shared" si="20"/>
        <v>5.0179391323983413E-3</v>
      </c>
      <c r="I724" s="78">
        <v>36.082000000000008</v>
      </c>
      <c r="J724" s="78">
        <v>36.307990000000011</v>
      </c>
      <c r="K724" s="78">
        <v>35.477000000000004</v>
      </c>
      <c r="L724" s="78">
        <v>35.621000000000002</v>
      </c>
      <c r="M724" s="78">
        <v>51289469.999999993</v>
      </c>
      <c r="N724" s="78" t="s">
        <v>724</v>
      </c>
      <c r="O724" s="25">
        <f t="shared" si="21"/>
        <v>1.2941803992027268E-2</v>
      </c>
    </row>
    <row r="725" spans="1:15">
      <c r="A725" s="78">
        <v>388.32126639200129</v>
      </c>
      <c r="B725" s="78">
        <v>392.76851564637718</v>
      </c>
      <c r="C725" s="78">
        <v>386.89109372429448</v>
      </c>
      <c r="D725" s="78">
        <v>391.64200977797799</v>
      </c>
      <c r="E725" s="78">
        <v>3850891.479300146</v>
      </c>
      <c r="F725" s="78" t="s">
        <v>725</v>
      </c>
      <c r="G725" s="25">
        <f t="shared" si="20"/>
        <v>-8.4790275380806079E-3</v>
      </c>
      <c r="I725" s="78">
        <v>35.568000000000005</v>
      </c>
      <c r="J725" s="78">
        <v>35.893000000000008</v>
      </c>
      <c r="K725" s="78">
        <v>35.205000000000005</v>
      </c>
      <c r="L725" s="78">
        <v>35.564000000000007</v>
      </c>
      <c r="M725" s="78">
        <v>63163199.999999985</v>
      </c>
      <c r="N725" s="78" t="s">
        <v>725</v>
      </c>
      <c r="O725" s="25">
        <f t="shared" si="21"/>
        <v>1.1247328759411701E-4</v>
      </c>
    </row>
    <row r="726" spans="1:15">
      <c r="A726" s="78">
        <v>390.37836406473019</v>
      </c>
      <c r="B726" s="78">
        <v>393.59135471546875</v>
      </c>
      <c r="C726" s="78">
        <v>388.1057609215249</v>
      </c>
      <c r="D726" s="78">
        <v>393.27789221295768</v>
      </c>
      <c r="E726" s="78">
        <v>3953701.8624937828</v>
      </c>
      <c r="F726" s="78" t="s">
        <v>726</v>
      </c>
      <c r="G726" s="25">
        <f t="shared" si="20"/>
        <v>-7.3727209325497034E-3</v>
      </c>
      <c r="I726" s="78">
        <v>36.120000000000005</v>
      </c>
      <c r="J726" s="78">
        <v>36.883000000000003</v>
      </c>
      <c r="K726" s="78">
        <v>35.905000000000008</v>
      </c>
      <c r="L726" s="78">
        <v>36.64800000000001</v>
      </c>
      <c r="M726" s="78">
        <v>73760859.999999985</v>
      </c>
      <c r="N726" s="78" t="s">
        <v>726</v>
      </c>
      <c r="O726" s="25">
        <f t="shared" si="21"/>
        <v>-1.4407334643091185E-2</v>
      </c>
    </row>
    <row r="727" spans="1:15">
      <c r="A727" s="78">
        <v>392.73912853676677</v>
      </c>
      <c r="B727" s="78">
        <v>392.89585978802228</v>
      </c>
      <c r="C727" s="78">
        <v>389.8591917949463</v>
      </c>
      <c r="D727" s="78">
        <v>392.09261212533767</v>
      </c>
      <c r="E727" s="78">
        <v>4268998.2670342531</v>
      </c>
      <c r="F727" s="78" t="s">
        <v>727</v>
      </c>
      <c r="G727" s="25">
        <f t="shared" si="20"/>
        <v>1.6488870012740797E-3</v>
      </c>
      <c r="I727" s="78">
        <v>36.593000000000011</v>
      </c>
      <c r="J727" s="78">
        <v>37.781000000000006</v>
      </c>
      <c r="K727" s="78">
        <v>36.534000000000006</v>
      </c>
      <c r="L727" s="78">
        <v>37.277500000000003</v>
      </c>
      <c r="M727" s="78">
        <v>91513949.999999985</v>
      </c>
      <c r="N727" s="78" t="s">
        <v>727</v>
      </c>
      <c r="O727" s="25">
        <f t="shared" si="21"/>
        <v>-1.8362282878411684E-2</v>
      </c>
    </row>
    <row r="728" spans="1:15">
      <c r="A728" s="78">
        <v>391.08365469538018</v>
      </c>
      <c r="B728" s="78">
        <v>393.47380627702711</v>
      </c>
      <c r="C728" s="78">
        <v>389.26900067693714</v>
      </c>
      <c r="D728" s="78">
        <v>389.64368632446991</v>
      </c>
      <c r="E728" s="78">
        <v>3358247.9293924696</v>
      </c>
      <c r="F728" s="78" t="s">
        <v>728</v>
      </c>
      <c r="G728" s="25">
        <f t="shared" si="20"/>
        <v>3.6956029866506146E-3</v>
      </c>
      <c r="I728" s="78">
        <v>37.332000000000008</v>
      </c>
      <c r="J728" s="78">
        <v>38.870000000000005</v>
      </c>
      <c r="K728" s="78">
        <v>37.225000000000009</v>
      </c>
      <c r="L728" s="78">
        <v>38.558000000000007</v>
      </c>
      <c r="M728" s="78">
        <v>72889389.999999985</v>
      </c>
      <c r="N728" s="78" t="s">
        <v>728</v>
      </c>
      <c r="O728" s="25">
        <f t="shared" si="21"/>
        <v>-3.1796254992478845E-2</v>
      </c>
    </row>
    <row r="729" spans="1:15">
      <c r="A729" s="78">
        <v>389.07553553866859</v>
      </c>
      <c r="B729" s="78">
        <v>389.56532069884213</v>
      </c>
      <c r="C729" s="78">
        <v>384.29523237537467</v>
      </c>
      <c r="D729" s="78">
        <v>384.77522183234476</v>
      </c>
      <c r="E729" s="78">
        <v>3021224.6517955987</v>
      </c>
      <c r="F729" s="78" t="s">
        <v>729</v>
      </c>
      <c r="G729" s="25">
        <f t="shared" si="20"/>
        <v>1.1176171079429809E-2</v>
      </c>
      <c r="I729" s="78">
        <v>38.595000000000006</v>
      </c>
      <c r="J729" s="78">
        <v>38.717000000000006</v>
      </c>
      <c r="K729" s="78">
        <v>37.775500000000008</v>
      </c>
      <c r="L729" s="78">
        <v>37.805000000000007</v>
      </c>
      <c r="M729" s="78">
        <v>32998019.999999993</v>
      </c>
      <c r="N729" s="78" t="s">
        <v>729</v>
      </c>
      <c r="O729" s="25">
        <f t="shared" si="21"/>
        <v>2.0896706784816699E-2</v>
      </c>
    </row>
    <row r="730" spans="1:15">
      <c r="A730" s="78">
        <v>386.49926559615568</v>
      </c>
      <c r="B730" s="78">
        <v>387.99311033468501</v>
      </c>
      <c r="C730" s="78">
        <v>378.51615931345486</v>
      </c>
      <c r="D730" s="78">
        <v>379.76961749537105</v>
      </c>
      <c r="E730" s="78">
        <v>4999354.2048769658</v>
      </c>
      <c r="F730" s="78" t="s">
        <v>730</v>
      </c>
      <c r="G730" s="25">
        <f t="shared" si="20"/>
        <v>1.7720343573473629E-2</v>
      </c>
      <c r="I730" s="78">
        <v>38.151000000000003</v>
      </c>
      <c r="J730" s="78">
        <v>38.252000000000002</v>
      </c>
      <c r="K730" s="78">
        <v>36.777000000000008</v>
      </c>
      <c r="L730" s="78">
        <v>36.843000000000011</v>
      </c>
      <c r="M730" s="78">
        <v>47781179.999999993</v>
      </c>
      <c r="N730" s="78" t="s">
        <v>730</v>
      </c>
      <c r="O730" s="25">
        <f t="shared" si="21"/>
        <v>3.550199495155093E-2</v>
      </c>
    </row>
    <row r="731" spans="1:15">
      <c r="A731" s="78">
        <v>381.94426360654165</v>
      </c>
      <c r="B731" s="78">
        <v>382.80520796109471</v>
      </c>
      <c r="C731" s="78">
        <v>379.04473545831416</v>
      </c>
      <c r="D731" s="78">
        <v>381.92467220013464</v>
      </c>
      <c r="E731" s="78">
        <v>3398521.7098251195</v>
      </c>
      <c r="F731" s="78" t="s">
        <v>731</v>
      </c>
      <c r="G731" s="25">
        <f t="shared" si="20"/>
        <v>5.1296519531396356E-5</v>
      </c>
      <c r="I731" s="78">
        <v>37.259000000000007</v>
      </c>
      <c r="J731" s="78">
        <v>37.859990000000003</v>
      </c>
      <c r="K731" s="78">
        <v>36.724000000000011</v>
      </c>
      <c r="L731" s="78">
        <v>37.801000000000009</v>
      </c>
      <c r="M731" s="78">
        <v>50347729.999999993</v>
      </c>
      <c r="N731" s="78" t="s">
        <v>731</v>
      </c>
      <c r="O731" s="25">
        <f t="shared" si="21"/>
        <v>-1.433824501997305E-2</v>
      </c>
    </row>
    <row r="732" spans="1:15">
      <c r="A732" s="78">
        <v>382.26752181225618</v>
      </c>
      <c r="B732" s="78">
        <v>382.86505970766791</v>
      </c>
      <c r="C732" s="78">
        <v>378.50597178212325</v>
      </c>
      <c r="D732" s="78">
        <v>379.80880030818491</v>
      </c>
      <c r="E732" s="78">
        <v>4424123.4243033649</v>
      </c>
      <c r="F732" s="78" t="s">
        <v>732</v>
      </c>
      <c r="G732" s="25">
        <f t="shared" si="20"/>
        <v>6.4735769736672388E-3</v>
      </c>
      <c r="I732" s="78">
        <v>37.690000000000005</v>
      </c>
      <c r="J732" s="78">
        <v>38.022000000000013</v>
      </c>
      <c r="K732" s="78">
        <v>37.358000000000004</v>
      </c>
      <c r="L732" s="78">
        <v>37.650000000000006</v>
      </c>
      <c r="M732" s="78">
        <v>43036579.999999993</v>
      </c>
      <c r="N732" s="78" t="s">
        <v>732</v>
      </c>
      <c r="O732" s="25">
        <f t="shared" si="21"/>
        <v>1.0624169986719334E-3</v>
      </c>
    </row>
    <row r="733" spans="1:15">
      <c r="A733" s="78">
        <v>379.47574639926688</v>
      </c>
      <c r="B733" s="78">
        <v>383.92299565364277</v>
      </c>
      <c r="C733" s="78">
        <v>378.14353076359481</v>
      </c>
      <c r="D733" s="78">
        <v>382.60057572117415</v>
      </c>
      <c r="E733" s="78">
        <v>7030289.5636524763</v>
      </c>
      <c r="F733" s="78" t="s">
        <v>733</v>
      </c>
      <c r="G733" s="25">
        <f t="shared" si="20"/>
        <v>-8.167340877669127E-3</v>
      </c>
      <c r="I733" s="78">
        <v>37.675000000000004</v>
      </c>
      <c r="J733" s="78">
        <v>39.49</v>
      </c>
      <c r="K733" s="78">
        <v>37.284920000000007</v>
      </c>
      <c r="L733" s="78">
        <v>37.711000000000006</v>
      </c>
      <c r="M733" s="78">
        <v>88781339.999999985</v>
      </c>
      <c r="N733" s="78" t="s">
        <v>733</v>
      </c>
      <c r="O733" s="25">
        <f t="shared" si="21"/>
        <v>-9.5462862294826145E-4</v>
      </c>
    </row>
    <row r="734" spans="1:15">
      <c r="A734" s="78">
        <v>384.64787769069966</v>
      </c>
      <c r="B734" s="78">
        <v>385.71551138284599</v>
      </c>
      <c r="C734" s="78">
        <v>382.00303782576248</v>
      </c>
      <c r="D734" s="78">
        <v>383.89360854403236</v>
      </c>
      <c r="E734" s="78">
        <v>6008913.1711485982</v>
      </c>
      <c r="F734" s="78" t="s">
        <v>734</v>
      </c>
      <c r="G734" s="25">
        <f t="shared" si="20"/>
        <v>1.964786935442886E-3</v>
      </c>
      <c r="I734" s="78">
        <v>38.033000000000008</v>
      </c>
      <c r="J734" s="78">
        <v>38.480800000000009</v>
      </c>
      <c r="K734" s="78">
        <v>37.680000000000007</v>
      </c>
      <c r="L734" s="78">
        <v>37.748000000000012</v>
      </c>
      <c r="M734" s="78">
        <v>31021009.999999993</v>
      </c>
      <c r="N734" s="78" t="s">
        <v>734</v>
      </c>
      <c r="O734" s="25">
        <f t="shared" si="21"/>
        <v>7.55006887782117E-3</v>
      </c>
    </row>
    <row r="735" spans="1:15">
      <c r="A735" s="78">
        <v>384.67726480031007</v>
      </c>
      <c r="B735" s="78">
        <v>388.63472889451236</v>
      </c>
      <c r="C735" s="78">
        <v>383.30586635182414</v>
      </c>
      <c r="D735" s="78">
        <v>388.51718045607072</v>
      </c>
      <c r="E735" s="78">
        <v>5886851.490107025</v>
      </c>
      <c r="F735" s="78" t="s">
        <v>735</v>
      </c>
      <c r="G735" s="25">
        <f t="shared" si="20"/>
        <v>-9.8835157077302727E-3</v>
      </c>
      <c r="I735" s="78">
        <v>37.760000000000012</v>
      </c>
      <c r="J735" s="78">
        <v>38.258000000000003</v>
      </c>
      <c r="K735" s="78">
        <v>37.535000000000011</v>
      </c>
      <c r="L735" s="78">
        <v>38.000000000000007</v>
      </c>
      <c r="M735" s="78">
        <v>42052979.999999993</v>
      </c>
      <c r="N735" s="78" t="s">
        <v>735</v>
      </c>
      <c r="O735" s="25">
        <f t="shared" si="21"/>
        <v>-6.3157894736840525E-3</v>
      </c>
    </row>
    <row r="736" spans="1:15">
      <c r="A736" s="78">
        <v>385.59806090143633</v>
      </c>
      <c r="B736" s="78">
        <v>387.1947605236021</v>
      </c>
      <c r="C736" s="78">
        <v>382.35568314108741</v>
      </c>
      <c r="D736" s="78">
        <v>382.88465111407487</v>
      </c>
      <c r="E736" s="78">
        <v>4150569.8116285275</v>
      </c>
      <c r="F736" s="78" t="s">
        <v>736</v>
      </c>
      <c r="G736" s="25">
        <f t="shared" si="20"/>
        <v>7.0867551871465206E-3</v>
      </c>
      <c r="I736" s="78">
        <v>37.63600000000001</v>
      </c>
      <c r="J736" s="78">
        <v>37.896000000000008</v>
      </c>
      <c r="K736" s="78">
        <v>37.110000000000007</v>
      </c>
      <c r="L736" s="78">
        <v>37.560000000000009</v>
      </c>
      <c r="M736" s="78">
        <v>43699059.999999993</v>
      </c>
      <c r="N736" s="78" t="s">
        <v>736</v>
      </c>
      <c r="O736" s="25">
        <f t="shared" si="21"/>
        <v>2.0234291799787751E-3</v>
      </c>
    </row>
    <row r="737" spans="1:15">
      <c r="A737" s="78">
        <v>383.36219164524408</v>
      </c>
      <c r="B737" s="78">
        <v>384.86499876025914</v>
      </c>
      <c r="C737" s="78">
        <v>380.04430580689905</v>
      </c>
      <c r="D737" s="78">
        <v>384.32828193346802</v>
      </c>
      <c r="E737" s="78">
        <v>4957425.903540004</v>
      </c>
      <c r="F737" s="78" t="s">
        <v>737</v>
      </c>
      <c r="G737" s="25">
        <f t="shared" si="20"/>
        <v>-2.5137111517365973E-3</v>
      </c>
      <c r="I737" s="78">
        <v>37.759000000000007</v>
      </c>
      <c r="J737" s="78">
        <v>38.422300000000007</v>
      </c>
      <c r="K737" s="78">
        <v>37.625000000000007</v>
      </c>
      <c r="L737" s="78">
        <v>38.24</v>
      </c>
      <c r="M737" s="78">
        <v>38435209.999999993</v>
      </c>
      <c r="N737" s="78" t="s">
        <v>737</v>
      </c>
      <c r="O737" s="25">
        <f t="shared" si="21"/>
        <v>-1.257845188284501E-2</v>
      </c>
    </row>
    <row r="738" spans="1:15">
      <c r="A738" s="78">
        <v>383.27436525540548</v>
      </c>
      <c r="B738" s="78">
        <v>386.78742084894725</v>
      </c>
      <c r="C738" s="78">
        <v>382.49368623461845</v>
      </c>
      <c r="D738" s="78">
        <v>386.16287763231765</v>
      </c>
      <c r="E738" s="78">
        <v>5876662.5947943795</v>
      </c>
      <c r="F738" s="78" t="s">
        <v>738</v>
      </c>
      <c r="G738" s="25">
        <f t="shared" si="20"/>
        <v>-7.4800363893663402E-3</v>
      </c>
      <c r="I738" s="78">
        <v>37.925000000000004</v>
      </c>
      <c r="J738" s="78">
        <v>38.45600000000001</v>
      </c>
      <c r="K738" s="78">
        <v>37.735500000000009</v>
      </c>
      <c r="L738" s="78">
        <v>38.288000000000004</v>
      </c>
      <c r="M738" s="78">
        <v>40893919.999999993</v>
      </c>
      <c r="N738" s="78" t="s">
        <v>738</v>
      </c>
      <c r="O738" s="25">
        <f t="shared" si="21"/>
        <v>-9.4807772670287838E-3</v>
      </c>
    </row>
    <row r="739" spans="1:15">
      <c r="A739" s="78">
        <v>388.98308059491086</v>
      </c>
      <c r="B739" s="78">
        <v>389.01157537916959</v>
      </c>
      <c r="C739" s="78">
        <v>385.82133056072325</v>
      </c>
      <c r="D739" s="78">
        <v>386.20191158335695</v>
      </c>
      <c r="E739" s="78">
        <v>3307787.1074293554</v>
      </c>
      <c r="F739" s="78" t="s">
        <v>739</v>
      </c>
      <c r="G739" s="25">
        <f t="shared" si="20"/>
        <v>7.2013341419041588E-3</v>
      </c>
      <c r="I739" s="78">
        <v>38.480000000000011</v>
      </c>
      <c r="J739" s="78">
        <v>38.662000000000006</v>
      </c>
      <c r="K739" s="78">
        <v>38.08100000000001</v>
      </c>
      <c r="L739" s="78">
        <v>38.290000000000006</v>
      </c>
      <c r="M739" s="78">
        <v>37572779.999999993</v>
      </c>
      <c r="N739" s="78" t="s">
        <v>739</v>
      </c>
      <c r="O739" s="25">
        <f t="shared" si="21"/>
        <v>4.9621311047272076E-3</v>
      </c>
    </row>
    <row r="740" spans="1:15">
      <c r="A740" s="78">
        <v>387.37293011453755</v>
      </c>
      <c r="B740" s="78">
        <v>390.65763709449914</v>
      </c>
      <c r="C740" s="78">
        <v>386.9777113602641</v>
      </c>
      <c r="D740" s="78">
        <v>389.16361261846788</v>
      </c>
      <c r="E740" s="78">
        <v>7384881.9380181106</v>
      </c>
      <c r="F740" s="78" t="s">
        <v>740</v>
      </c>
      <c r="G740" s="25">
        <f t="shared" si="20"/>
        <v>-4.6013616018255599E-3</v>
      </c>
      <c r="I740" s="78">
        <v>37.981000000000009</v>
      </c>
      <c r="J740" s="78">
        <v>38.688000000000009</v>
      </c>
      <c r="K740" s="78">
        <v>37.836000000000006</v>
      </c>
      <c r="L740" s="78">
        <v>38.500000000000007</v>
      </c>
      <c r="M740" s="78">
        <v>36997959.999999993</v>
      </c>
      <c r="N740" s="78" t="s">
        <v>740</v>
      </c>
      <c r="O740" s="25">
        <f t="shared" si="21"/>
        <v>-1.3480519480519426E-2</v>
      </c>
    </row>
    <row r="741" spans="1:15">
      <c r="A741" s="78">
        <v>388.30974493948202</v>
      </c>
      <c r="B741" s="78">
        <v>392.34000038429519</v>
      </c>
      <c r="C741" s="78">
        <v>388.08529972100575</v>
      </c>
      <c r="D741" s="78">
        <v>392.09603819029928</v>
      </c>
      <c r="E741" s="78">
        <v>4747804.284868842</v>
      </c>
      <c r="F741" s="78" t="s">
        <v>741</v>
      </c>
      <c r="G741" s="25">
        <f t="shared" si="20"/>
        <v>-9.656545545047357E-3</v>
      </c>
      <c r="I741" s="78">
        <v>38.415000000000006</v>
      </c>
      <c r="J741" s="78">
        <v>39.589990000000007</v>
      </c>
      <c r="K741" s="78">
        <v>38.342000000000006</v>
      </c>
      <c r="L741" s="78">
        <v>38.650000000000006</v>
      </c>
      <c r="M741" s="78">
        <v>55563879.999999993</v>
      </c>
      <c r="N741" s="78" t="s">
        <v>741</v>
      </c>
      <c r="O741" s="25">
        <f t="shared" si="21"/>
        <v>-6.0802069857697205E-3</v>
      </c>
    </row>
    <row r="742" spans="1:15">
      <c r="A742" s="78">
        <v>394.77962232425477</v>
      </c>
      <c r="B742" s="78">
        <v>399.94186234920915</v>
      </c>
      <c r="C742" s="78">
        <v>394.56493559353828</v>
      </c>
      <c r="D742" s="78">
        <v>399.57103981433528</v>
      </c>
      <c r="E742" s="78">
        <v>4108643.7762427176</v>
      </c>
      <c r="F742" s="78" t="s">
        <v>742</v>
      </c>
      <c r="G742" s="25">
        <f t="shared" si="20"/>
        <v>-1.1991403311678694E-2</v>
      </c>
      <c r="I742" s="78">
        <v>38.63000000000001</v>
      </c>
      <c r="J742" s="78">
        <v>39.798500000000011</v>
      </c>
      <c r="K742" s="78">
        <v>38.612000000000009</v>
      </c>
      <c r="L742" s="78">
        <v>39.705000000000005</v>
      </c>
      <c r="M742" s="78">
        <v>38666189.999999993</v>
      </c>
      <c r="N742" s="78" t="s">
        <v>742</v>
      </c>
      <c r="O742" s="25">
        <f t="shared" si="21"/>
        <v>-2.7074675733534725E-2</v>
      </c>
    </row>
    <row r="743" spans="1:15">
      <c r="A743" s="78">
        <v>398.50736464851298</v>
      </c>
      <c r="B743" s="78">
        <v>398.93185886606591</v>
      </c>
      <c r="C743" s="78">
        <v>395.91160690439597</v>
      </c>
      <c r="D743" s="78">
        <v>398.36098733211543</v>
      </c>
      <c r="E743" s="78">
        <v>3719606.0386923924</v>
      </c>
      <c r="F743" s="78" t="s">
        <v>743</v>
      </c>
      <c r="G743" s="25">
        <f t="shared" si="20"/>
        <v>3.6744892459950051E-4</v>
      </c>
      <c r="I743" s="78">
        <v>39.620000000000005</v>
      </c>
      <c r="J743" s="78">
        <v>39.823000000000008</v>
      </c>
      <c r="K743" s="78">
        <v>39.02450000000001</v>
      </c>
      <c r="L743" s="78">
        <v>39.284000000000006</v>
      </c>
      <c r="M743" s="78">
        <v>40800539.999999993</v>
      </c>
      <c r="N743" s="78" t="s">
        <v>743</v>
      </c>
      <c r="O743" s="25">
        <f t="shared" si="21"/>
        <v>8.5531004989307657E-3</v>
      </c>
    </row>
    <row r="744" spans="1:15">
      <c r="A744" s="78">
        <v>399.30756064481966</v>
      </c>
      <c r="B744" s="78">
        <v>400.42978673720103</v>
      </c>
      <c r="C744" s="78">
        <v>398.30243640555636</v>
      </c>
      <c r="D744" s="78">
        <v>398.71229289146953</v>
      </c>
      <c r="E744" s="78">
        <v>3089178.4405435175</v>
      </c>
      <c r="F744" s="78" t="s">
        <v>744</v>
      </c>
      <c r="G744" s="25">
        <f t="shared" si="20"/>
        <v>1.4929756718391474E-3</v>
      </c>
      <c r="I744" s="78">
        <v>39.440000000000005</v>
      </c>
      <c r="J744" s="78">
        <v>39.946500000000007</v>
      </c>
      <c r="K744" s="78">
        <v>39.260000000000012</v>
      </c>
      <c r="L744" s="78">
        <v>39.550000000000004</v>
      </c>
      <c r="M744" s="78">
        <v>47047059.999999993</v>
      </c>
      <c r="N744" s="78" t="s">
        <v>744</v>
      </c>
      <c r="O744" s="25">
        <f t="shared" si="21"/>
        <v>-2.7812895069532217E-3</v>
      </c>
    </row>
    <row r="745" spans="1:15">
      <c r="A745" s="78">
        <v>398.86842869562696</v>
      </c>
      <c r="B745" s="78">
        <v>402.70351438524341</v>
      </c>
      <c r="C745" s="78">
        <v>398.61470801387117</v>
      </c>
      <c r="D745" s="78">
        <v>402.38148428916867</v>
      </c>
      <c r="E745" s="78">
        <v>4103125.5031941393</v>
      </c>
      <c r="F745" s="78" t="s">
        <v>745</v>
      </c>
      <c r="G745" s="25">
        <f t="shared" si="20"/>
        <v>-8.7306591647667853E-3</v>
      </c>
      <c r="I745" s="78">
        <v>39.69400000000001</v>
      </c>
      <c r="J745" s="78">
        <v>40.469970000000011</v>
      </c>
      <c r="K745" s="78">
        <v>39.503000000000007</v>
      </c>
      <c r="L745" s="78">
        <v>40.100000000000009</v>
      </c>
      <c r="M745" s="78">
        <v>91167449.999999985</v>
      </c>
      <c r="N745" s="78" t="s">
        <v>745</v>
      </c>
      <c r="O745" s="25">
        <f t="shared" si="21"/>
        <v>-1.0124688279301686E-2</v>
      </c>
    </row>
    <row r="746" spans="1:15">
      <c r="A746" s="78">
        <v>403.90380837970343</v>
      </c>
      <c r="B746" s="78">
        <v>404.49907613305362</v>
      </c>
      <c r="C746" s="78">
        <v>401.48370341526362</v>
      </c>
      <c r="D746" s="78">
        <v>402.70351438524341</v>
      </c>
      <c r="E746" s="78">
        <v>3751504.4237353187</v>
      </c>
      <c r="F746" s="78" t="s">
        <v>746</v>
      </c>
      <c r="G746" s="25">
        <f t="shared" si="20"/>
        <v>2.9805898175294665E-3</v>
      </c>
      <c r="I746" s="78">
        <v>40.049000000000007</v>
      </c>
      <c r="J746" s="78">
        <v>41.13900000000001</v>
      </c>
      <c r="K746" s="78">
        <v>40.000000000000007</v>
      </c>
      <c r="L746" s="78">
        <v>41.040000000000006</v>
      </c>
      <c r="M746" s="78">
        <v>107090429.99999999</v>
      </c>
      <c r="N746" s="78" t="s">
        <v>746</v>
      </c>
      <c r="O746" s="25">
        <f t="shared" si="21"/>
        <v>-2.414717348927875E-2</v>
      </c>
    </row>
    <row r="747" spans="1:15">
      <c r="A747" s="78">
        <v>400.43954522496091</v>
      </c>
      <c r="B747" s="78">
        <v>401.46418643974391</v>
      </c>
      <c r="C747" s="78">
        <v>399.11239088962293</v>
      </c>
      <c r="D747" s="78">
        <v>400.12727361664605</v>
      </c>
      <c r="E747" s="78">
        <v>2592356.5846046028</v>
      </c>
      <c r="F747" s="78" t="s">
        <v>747</v>
      </c>
      <c r="G747" s="25">
        <f t="shared" si="20"/>
        <v>7.8043070019284677E-4</v>
      </c>
      <c r="I747" s="78">
        <v>41.224000000000011</v>
      </c>
      <c r="J747" s="78">
        <v>43.84</v>
      </c>
      <c r="K747" s="78">
        <v>41.06900000000001</v>
      </c>
      <c r="L747" s="78">
        <v>43.550000000000011</v>
      </c>
      <c r="M747" s="78">
        <v>118430269.99999997</v>
      </c>
      <c r="N747" s="78" t="s">
        <v>747</v>
      </c>
      <c r="O747" s="25">
        <f t="shared" si="21"/>
        <v>-5.3409873708381128E-2</v>
      </c>
    </row>
    <row r="748" spans="1:15">
      <c r="A748" s="78">
        <v>399.97113781248868</v>
      </c>
      <c r="B748" s="78">
        <v>402.19607302173176</v>
      </c>
      <c r="C748" s="78">
        <v>399.40514552241808</v>
      </c>
      <c r="D748" s="78">
        <v>400.78109229655524</v>
      </c>
      <c r="E748" s="78">
        <v>7783271.5344061935</v>
      </c>
      <c r="F748" s="78" t="s">
        <v>748</v>
      </c>
      <c r="G748" s="25">
        <f t="shared" si="20"/>
        <v>-2.020939858777715E-3</v>
      </c>
      <c r="I748" s="78">
        <v>43.469000000000008</v>
      </c>
      <c r="J748" s="78">
        <v>44.543990000000008</v>
      </c>
      <c r="K748" s="78">
        <v>43.412000000000006</v>
      </c>
      <c r="L748" s="78">
        <v>44.285000000000011</v>
      </c>
      <c r="M748" s="78">
        <v>31240239.999999993</v>
      </c>
      <c r="N748" s="78" t="s">
        <v>748</v>
      </c>
      <c r="O748" s="25">
        <f t="shared" si="21"/>
        <v>-1.8426103646833059E-2</v>
      </c>
    </row>
    <row r="749" spans="1:15">
      <c r="A749" s="78">
        <v>402.12776360741293</v>
      </c>
      <c r="B749" s="78">
        <v>402.42051824020808</v>
      </c>
      <c r="C749" s="78">
        <v>400.3809942984019</v>
      </c>
      <c r="D749" s="78">
        <v>401.93259385221614</v>
      </c>
      <c r="E749" s="78">
        <v>3429386.8910437454</v>
      </c>
      <c r="F749" s="78" t="s">
        <v>749</v>
      </c>
      <c r="G749" s="25">
        <f t="shared" si="20"/>
        <v>4.8557832378359755E-4</v>
      </c>
      <c r="I749" s="78">
        <v>44.536000000000008</v>
      </c>
      <c r="J749" s="78">
        <v>44.989000000000004</v>
      </c>
      <c r="K749" s="78">
        <v>44.275000000000006</v>
      </c>
      <c r="L749" s="78">
        <v>44.307000000000009</v>
      </c>
      <c r="M749" s="78">
        <v>29137669.999999993</v>
      </c>
      <c r="N749" s="78" t="s">
        <v>749</v>
      </c>
      <c r="O749" s="25">
        <f t="shared" si="21"/>
        <v>5.1684835353329461E-3</v>
      </c>
    </row>
    <row r="750" spans="1:15">
      <c r="A750" s="78">
        <v>399.50273040001645</v>
      </c>
      <c r="B750" s="78">
        <v>400.91771112519297</v>
      </c>
      <c r="C750" s="78">
        <v>398.62446650163099</v>
      </c>
      <c r="D750" s="78">
        <v>398.94649659770567</v>
      </c>
      <c r="E750" s="78">
        <v>4227317.901629867</v>
      </c>
      <c r="F750" s="78" t="s">
        <v>750</v>
      </c>
      <c r="G750" s="25">
        <f t="shared" si="20"/>
        <v>1.3942566410645174E-3</v>
      </c>
      <c r="I750" s="78">
        <v>44.280000000000008</v>
      </c>
      <c r="J750" s="78">
        <v>44.681000000000012</v>
      </c>
      <c r="K750" s="78">
        <v>43.885000000000012</v>
      </c>
      <c r="L750" s="78">
        <v>44.356000000000009</v>
      </c>
      <c r="M750" s="78">
        <v>27043529.999999996</v>
      </c>
      <c r="N750" s="78" t="s">
        <v>750</v>
      </c>
      <c r="O750" s="25">
        <f t="shared" si="21"/>
        <v>-1.7134096852736702E-3</v>
      </c>
    </row>
    <row r="751" spans="1:15">
      <c r="A751" s="78">
        <v>398.9562550854655</v>
      </c>
      <c r="B751" s="78">
        <v>399.5417643510558</v>
      </c>
      <c r="C751" s="78">
        <v>397.02895375289745</v>
      </c>
      <c r="D751" s="78">
        <v>397.33634611733237</v>
      </c>
      <c r="E751" s="78">
        <v>2301339.1575307297</v>
      </c>
      <c r="F751" s="78" t="s">
        <v>751</v>
      </c>
      <c r="G751" s="25">
        <f t="shared" si="20"/>
        <v>4.0769211877103029E-3</v>
      </c>
      <c r="I751" s="78">
        <v>44.314000000000007</v>
      </c>
      <c r="J751" s="78">
        <v>44.460000000000008</v>
      </c>
      <c r="K751" s="78">
        <v>43.670000000000009</v>
      </c>
      <c r="L751" s="78">
        <v>44.115000000000009</v>
      </c>
      <c r="M751" s="78">
        <v>29226759.999999993</v>
      </c>
      <c r="N751" s="78" t="s">
        <v>751</v>
      </c>
      <c r="O751" s="25">
        <f t="shared" si="21"/>
        <v>4.5109373229059724E-3</v>
      </c>
    </row>
    <row r="752" spans="1:15">
      <c r="A752" s="78">
        <v>400.14679059216576</v>
      </c>
      <c r="B752" s="78">
        <v>402.17655604621211</v>
      </c>
      <c r="C752" s="78">
        <v>397.98040630948168</v>
      </c>
      <c r="D752" s="78">
        <v>402.14728058293264</v>
      </c>
      <c r="E752" s="78">
        <v>3836729.7189314449</v>
      </c>
      <c r="F752" s="78" t="s">
        <v>752</v>
      </c>
      <c r="G752" s="25">
        <f t="shared" si="20"/>
        <v>-4.9745207473915753E-3</v>
      </c>
      <c r="I752" s="78">
        <v>44.576000000000008</v>
      </c>
      <c r="J752" s="78">
        <v>45.13900000000001</v>
      </c>
      <c r="K752" s="78">
        <v>44.049000000000007</v>
      </c>
      <c r="L752" s="78">
        <v>44.861000000000011</v>
      </c>
      <c r="M752" s="78">
        <v>38622739.999999993</v>
      </c>
      <c r="N752" s="78" t="s">
        <v>752</v>
      </c>
      <c r="O752" s="25">
        <f t="shared" si="21"/>
        <v>-6.3529569113485174E-3</v>
      </c>
    </row>
    <row r="753" spans="1:15">
      <c r="A753" s="78">
        <v>402.92795960371961</v>
      </c>
      <c r="B753" s="78">
        <v>404.46004218201426</v>
      </c>
      <c r="C753" s="78">
        <v>402.80109926284172</v>
      </c>
      <c r="D753" s="78">
        <v>404.19656301249859</v>
      </c>
      <c r="E753" s="78">
        <v>4536242.8164519137</v>
      </c>
      <c r="F753" s="78" t="s">
        <v>753</v>
      </c>
      <c r="G753" s="25">
        <f t="shared" si="20"/>
        <v>-3.1385803959439462E-3</v>
      </c>
      <c r="I753" s="78">
        <v>44.868000000000009</v>
      </c>
      <c r="J753" s="78">
        <v>45.345000000000006</v>
      </c>
      <c r="K753" s="78">
        <v>43.800000000000011</v>
      </c>
      <c r="L753" s="78">
        <v>43.839000000000006</v>
      </c>
      <c r="M753" s="78">
        <v>61558649.999999985</v>
      </c>
      <c r="N753" s="78" t="s">
        <v>753</v>
      </c>
      <c r="O753" s="25">
        <f t="shared" si="21"/>
        <v>2.3472250735646405E-2</v>
      </c>
    </row>
    <row r="754" spans="1:15">
      <c r="A754" s="78">
        <v>404.69424588825035</v>
      </c>
      <c r="B754" s="78">
        <v>406.81183773213525</v>
      </c>
      <c r="C754" s="78">
        <v>403.23047272427465</v>
      </c>
      <c r="D754" s="78">
        <v>406.40198124622202</v>
      </c>
      <c r="E754" s="78">
        <v>3676769.4834506679</v>
      </c>
      <c r="F754" s="78" t="s">
        <v>754</v>
      </c>
      <c r="G754" s="25">
        <f t="shared" si="20"/>
        <v>-4.2020842337798792E-3</v>
      </c>
      <c r="I754" s="78">
        <v>43.988000000000007</v>
      </c>
      <c r="J754" s="78">
        <v>44.550000000000011</v>
      </c>
      <c r="K754" s="78">
        <v>43.593000000000011</v>
      </c>
      <c r="L754" s="78">
        <v>43.772500000000008</v>
      </c>
      <c r="M754" s="78">
        <v>47933789.999999993</v>
      </c>
      <c r="N754" s="78" t="s">
        <v>754</v>
      </c>
      <c r="O754" s="25">
        <f t="shared" si="21"/>
        <v>4.9231823633559824E-3</v>
      </c>
    </row>
    <row r="755" spans="1:15">
      <c r="A755" s="78">
        <v>403.8354989653846</v>
      </c>
      <c r="B755" s="78">
        <v>406.07019266238757</v>
      </c>
      <c r="C755" s="78">
        <v>403.6696046734674</v>
      </c>
      <c r="D755" s="78">
        <v>404.95967675531801</v>
      </c>
      <c r="E755" s="78">
        <v>4868716.4619436599</v>
      </c>
      <c r="F755" s="78" t="s">
        <v>755</v>
      </c>
      <c r="G755" s="25">
        <f t="shared" si="20"/>
        <v>-2.7760240203190678E-3</v>
      </c>
      <c r="I755" s="78">
        <v>43.368000000000009</v>
      </c>
      <c r="J755" s="78">
        <v>43.715000000000003</v>
      </c>
      <c r="K755" s="78">
        <v>43.123000000000012</v>
      </c>
      <c r="L755" s="78">
        <v>43.123000000000012</v>
      </c>
      <c r="M755" s="78">
        <v>38029539.999999993</v>
      </c>
      <c r="N755" s="78" t="s">
        <v>755</v>
      </c>
      <c r="O755" s="25">
        <f t="shared" si="21"/>
        <v>5.6814229065695887E-3</v>
      </c>
    </row>
    <row r="756" spans="1:15">
      <c r="A756" s="78">
        <v>404.35269881665607</v>
      </c>
      <c r="B756" s="78">
        <v>405.0057368175444</v>
      </c>
      <c r="C756" s="78">
        <v>402.44003521572773</v>
      </c>
      <c r="D756" s="78">
        <v>403.05481994459751</v>
      </c>
      <c r="E756" s="78">
        <v>3078874.5899393465</v>
      </c>
      <c r="F756" s="78" t="s">
        <v>756</v>
      </c>
      <c r="G756" s="25">
        <f t="shared" si="20"/>
        <v>3.2201050771132333E-3</v>
      </c>
      <c r="I756" s="78">
        <v>43.467000000000013</v>
      </c>
      <c r="J756" s="78">
        <v>43.81600000000001</v>
      </c>
      <c r="K756" s="78">
        <v>42.835000000000008</v>
      </c>
      <c r="L756" s="78">
        <v>43.085000000000008</v>
      </c>
      <c r="M756" s="78">
        <v>36253799.999999993</v>
      </c>
      <c r="N756" s="78" t="s">
        <v>756</v>
      </c>
      <c r="O756" s="25">
        <f t="shared" si="21"/>
        <v>8.8661947313450895E-3</v>
      </c>
    </row>
    <row r="757" spans="1:15">
      <c r="A757" s="78">
        <v>402.67423892196388</v>
      </c>
      <c r="B757" s="78">
        <v>403.00602750579839</v>
      </c>
      <c r="C757" s="78">
        <v>396.75083685174206</v>
      </c>
      <c r="D757" s="78">
        <v>396.95576509469862</v>
      </c>
      <c r="E757" s="78">
        <v>3568856.2466954826</v>
      </c>
      <c r="F757" s="78" t="s">
        <v>757</v>
      </c>
      <c r="G757" s="25">
        <f t="shared" si="20"/>
        <v>1.4405821328482338E-2</v>
      </c>
      <c r="I757" s="78">
        <v>42.999000000000009</v>
      </c>
      <c r="J757" s="78">
        <v>43.217000000000013</v>
      </c>
      <c r="K757" s="78">
        <v>41.45000000000001</v>
      </c>
      <c r="L757" s="78">
        <v>41.600000000000009</v>
      </c>
      <c r="M757" s="78">
        <v>44867029.999999993</v>
      </c>
      <c r="N757" s="78" t="s">
        <v>757</v>
      </c>
      <c r="O757" s="25">
        <f t="shared" si="21"/>
        <v>3.3629807692307612E-2</v>
      </c>
    </row>
    <row r="758" spans="1:15">
      <c r="A758" s="78">
        <v>397.03383299677739</v>
      </c>
      <c r="B758" s="78">
        <v>397.59982528684799</v>
      </c>
      <c r="C758" s="78">
        <v>395.3163391510459</v>
      </c>
      <c r="D758" s="78">
        <v>396.54590860878545</v>
      </c>
      <c r="E758" s="78">
        <v>3316816.1703506233</v>
      </c>
      <c r="F758" s="78" t="s">
        <v>758</v>
      </c>
      <c r="G758" s="25">
        <f t="shared" si="20"/>
        <v>1.2304360665420511E-3</v>
      </c>
      <c r="I758" s="78">
        <v>41.806000000000012</v>
      </c>
      <c r="J758" s="78">
        <v>41.983000000000004</v>
      </c>
      <c r="K758" s="78">
        <v>41.327000000000005</v>
      </c>
      <c r="L758" s="78">
        <v>41.804000000000009</v>
      </c>
      <c r="M758" s="78">
        <v>29286129.999999993</v>
      </c>
      <c r="N758" s="78" t="s">
        <v>758</v>
      </c>
      <c r="O758" s="25">
        <f t="shared" si="21"/>
        <v>4.784231174048692E-5</v>
      </c>
    </row>
    <row r="759" spans="1:15">
      <c r="A759" s="78">
        <v>394.43807525266038</v>
      </c>
      <c r="B759" s="78">
        <v>395.99943329423456</v>
      </c>
      <c r="C759" s="78">
        <v>390.05651424849304</v>
      </c>
      <c r="D759" s="78">
        <v>393.34512462355855</v>
      </c>
      <c r="E759" s="78">
        <v>4527171.7388240546</v>
      </c>
      <c r="F759" s="78" t="s">
        <v>759</v>
      </c>
      <c r="G759" s="25">
        <f t="shared" si="20"/>
        <v>2.7786047434750216E-3</v>
      </c>
      <c r="I759" s="78">
        <v>41.603000000000009</v>
      </c>
      <c r="J759" s="78">
        <v>41.925000000000011</v>
      </c>
      <c r="K759" s="78">
        <v>40.75641000000001</v>
      </c>
      <c r="L759" s="78">
        <v>41.20000000000001</v>
      </c>
      <c r="M759" s="78">
        <v>53909329.999999993</v>
      </c>
      <c r="N759" s="78" t="s">
        <v>759</v>
      </c>
      <c r="O759" s="25">
        <f t="shared" si="21"/>
        <v>9.7815533980583069E-3</v>
      </c>
    </row>
    <row r="760" spans="1:15">
      <c r="A760" s="78">
        <v>391.84231750854349</v>
      </c>
      <c r="B760" s="78">
        <v>399.1992414306855</v>
      </c>
      <c r="C760" s="78">
        <v>391.70569867990571</v>
      </c>
      <c r="D760" s="78">
        <v>398.73180986698924</v>
      </c>
      <c r="E760" s="78">
        <v>3544392.4152212543</v>
      </c>
      <c r="F760" s="78" t="s">
        <v>760</v>
      </c>
      <c r="G760" s="25">
        <f t="shared" si="20"/>
        <v>-1.7278511992168344E-2</v>
      </c>
      <c r="I760" s="78">
        <v>40.693000000000012</v>
      </c>
      <c r="J760" s="78">
        <v>42.759000000000007</v>
      </c>
      <c r="K760" s="78">
        <v>40.616500000000009</v>
      </c>
      <c r="L760" s="78">
        <v>42.541000000000011</v>
      </c>
      <c r="M760" s="78">
        <v>56877989.999999993</v>
      </c>
      <c r="N760" s="78" t="s">
        <v>760</v>
      </c>
      <c r="O760" s="25">
        <f t="shared" si="21"/>
        <v>-4.3440445687689455E-2</v>
      </c>
    </row>
    <row r="761" spans="1:15">
      <c r="A761" s="78">
        <v>397.12165938661593</v>
      </c>
      <c r="B761" s="78">
        <v>397.82427050532431</v>
      </c>
      <c r="C761" s="78">
        <v>393.72570564619224</v>
      </c>
      <c r="D761" s="78">
        <v>393.81353203603078</v>
      </c>
      <c r="E761" s="78">
        <v>3330397.1680688797</v>
      </c>
      <c r="F761" s="78" t="s">
        <v>761</v>
      </c>
      <c r="G761" s="25">
        <f t="shared" si="20"/>
        <v>8.4002378828427204E-3</v>
      </c>
      <c r="I761" s="78">
        <v>42.75500000000001</v>
      </c>
      <c r="J761" s="78">
        <v>43.702000000000005</v>
      </c>
      <c r="K761" s="78">
        <v>41.771000000000008</v>
      </c>
      <c r="L761" s="78">
        <v>41.84</v>
      </c>
      <c r="M761" s="78">
        <v>81747319.999999985</v>
      </c>
      <c r="N761" s="78" t="s">
        <v>761</v>
      </c>
      <c r="O761" s="25">
        <f t="shared" si="21"/>
        <v>2.1869024856596697E-2</v>
      </c>
    </row>
    <row r="762" spans="1:15">
      <c r="A762" s="78">
        <v>392.88647569884614</v>
      </c>
      <c r="B762" s="78">
        <v>395.60909378384099</v>
      </c>
      <c r="C762" s="78">
        <v>392.34975887205502</v>
      </c>
      <c r="D762" s="78">
        <v>395.56030134504181</v>
      </c>
      <c r="E762" s="78">
        <v>2713587.4586001462</v>
      </c>
      <c r="F762" s="78" t="s">
        <v>762</v>
      </c>
      <c r="G762" s="25">
        <f t="shared" si="20"/>
        <v>-6.7595904773651849E-3</v>
      </c>
      <c r="I762" s="78">
        <v>41.317000000000007</v>
      </c>
      <c r="J762" s="78">
        <v>41.574000000000012</v>
      </c>
      <c r="K762" s="78">
        <v>40.740000000000009</v>
      </c>
      <c r="L762" s="78">
        <v>40.900000000000006</v>
      </c>
      <c r="M762" s="78">
        <v>36032729.999999993</v>
      </c>
      <c r="N762" s="78" t="s">
        <v>762</v>
      </c>
      <c r="O762" s="25">
        <f t="shared" si="21"/>
        <v>1.0195599022004842E-2</v>
      </c>
    </row>
    <row r="763" spans="1:15">
      <c r="A763" s="78">
        <v>393.98918481570786</v>
      </c>
      <c r="B763" s="78">
        <v>394.62348652009734</v>
      </c>
      <c r="C763" s="78">
        <v>390.32975190576855</v>
      </c>
      <c r="D763" s="78">
        <v>392.42782677413373</v>
      </c>
      <c r="E763" s="78">
        <v>3373918.2556033526</v>
      </c>
      <c r="F763" s="78" t="s">
        <v>763</v>
      </c>
      <c r="G763" s="25">
        <f t="shared" ref="G763:G826" si="22">A763/D763-1</f>
        <v>3.9787138807381162E-3</v>
      </c>
      <c r="I763" s="78">
        <v>40.829000000000008</v>
      </c>
      <c r="J763" s="78">
        <v>40.961000000000013</v>
      </c>
      <c r="K763" s="78">
        <v>39.95000000000001</v>
      </c>
      <c r="L763" s="78">
        <v>40.223000000000006</v>
      </c>
      <c r="M763" s="78">
        <v>38615789.999999993</v>
      </c>
      <c r="N763" s="78" t="s">
        <v>763</v>
      </c>
      <c r="O763" s="25">
        <f t="shared" ref="O763:O826" si="23">I763/L763-1</f>
        <v>1.5066007010914095E-2</v>
      </c>
    </row>
    <row r="764" spans="1:15">
      <c r="A764" s="78">
        <v>391.40318555935073</v>
      </c>
      <c r="B764" s="78">
        <v>392.31072492101566</v>
      </c>
      <c r="C764" s="78">
        <v>388.24143552516318</v>
      </c>
      <c r="D764" s="78">
        <v>388.55370713347799</v>
      </c>
      <c r="E764" s="78">
        <v>4260564.8562794654</v>
      </c>
      <c r="F764" s="78" t="s">
        <v>764</v>
      </c>
      <c r="G764" s="25">
        <f t="shared" si="22"/>
        <v>7.3335509958056821E-3</v>
      </c>
      <c r="I764" s="78">
        <v>40.453000000000003</v>
      </c>
      <c r="J764" s="78">
        <v>40.652000000000008</v>
      </c>
      <c r="K764" s="78">
        <v>39.815000000000005</v>
      </c>
      <c r="L764" s="78">
        <v>39.933000000000007</v>
      </c>
      <c r="M764" s="78">
        <v>43121959.999999993</v>
      </c>
      <c r="N764" s="78" t="s">
        <v>764</v>
      </c>
      <c r="O764" s="25">
        <f t="shared" si="23"/>
        <v>1.3021811534319916E-2</v>
      </c>
    </row>
    <row r="765" spans="1:15">
      <c r="A765" s="78">
        <v>391.04212151223675</v>
      </c>
      <c r="B765" s="78">
        <v>395.78474656351807</v>
      </c>
      <c r="C765" s="78">
        <v>390.70057444064236</v>
      </c>
      <c r="D765" s="78">
        <v>395.5407843695221</v>
      </c>
      <c r="E765" s="78">
        <v>7278283.4541545361</v>
      </c>
      <c r="F765" s="78" t="s">
        <v>765</v>
      </c>
      <c r="G765" s="25">
        <f t="shared" si="22"/>
        <v>-1.137344879480906E-2</v>
      </c>
      <c r="I765" s="78">
        <v>40.300000000000011</v>
      </c>
      <c r="J765" s="78">
        <v>41.524000000000008</v>
      </c>
      <c r="K765" s="78">
        <v>40.158180000000009</v>
      </c>
      <c r="L765" s="78">
        <v>41.500000000000007</v>
      </c>
      <c r="M765" s="78">
        <v>60314689.999999985</v>
      </c>
      <c r="N765" s="78" t="s">
        <v>765</v>
      </c>
      <c r="O765" s="25">
        <f t="shared" si="23"/>
        <v>-2.8915662650602303E-2</v>
      </c>
    </row>
    <row r="766" spans="1:15">
      <c r="A766" s="78">
        <v>394.23314700970383</v>
      </c>
      <c r="B766" s="78">
        <v>398.25364396675718</v>
      </c>
      <c r="C766" s="78">
        <v>394.11604515658576</v>
      </c>
      <c r="D766" s="78">
        <v>396.77035382726172</v>
      </c>
      <c r="E766" s="78">
        <v>3436652.3610371388</v>
      </c>
      <c r="F766" s="78" t="s">
        <v>766</v>
      </c>
      <c r="G766" s="25">
        <f t="shared" si="22"/>
        <v>-6.3946481713764713E-3</v>
      </c>
      <c r="I766" s="78">
        <v>41.545000000000009</v>
      </c>
      <c r="J766" s="78">
        <v>42.451000000000008</v>
      </c>
      <c r="K766" s="78">
        <v>41.525000000000006</v>
      </c>
      <c r="L766" s="78">
        <v>42.373000000000012</v>
      </c>
      <c r="M766" s="78">
        <v>39670209.999999993</v>
      </c>
      <c r="N766" s="78" t="s">
        <v>766</v>
      </c>
      <c r="O766" s="25">
        <f t="shared" si="23"/>
        <v>-1.9540745285913319E-2</v>
      </c>
    </row>
    <row r="767" spans="1:15">
      <c r="A767" s="78">
        <v>397.17045182541511</v>
      </c>
      <c r="B767" s="78">
        <v>401.76913918223886</v>
      </c>
      <c r="C767" s="78">
        <v>396.59470104758469</v>
      </c>
      <c r="D767" s="78">
        <v>400.18582454320511</v>
      </c>
      <c r="E767" s="78">
        <v>4802095.4837757498</v>
      </c>
      <c r="F767" s="78" t="s">
        <v>767</v>
      </c>
      <c r="G767" s="25">
        <f t="shared" si="22"/>
        <v>-7.5349313565314935E-3</v>
      </c>
      <c r="I767" s="78">
        <v>42.370000000000005</v>
      </c>
      <c r="J767" s="78">
        <v>42.912000000000006</v>
      </c>
      <c r="K767" s="78">
        <v>42.104000000000013</v>
      </c>
      <c r="L767" s="78">
        <v>42.44100000000001</v>
      </c>
      <c r="M767" s="78">
        <v>33679979.999999993</v>
      </c>
      <c r="N767" s="78" t="s">
        <v>767</v>
      </c>
      <c r="O767" s="25">
        <f t="shared" si="23"/>
        <v>-1.6729106288730922E-3</v>
      </c>
    </row>
    <row r="768" spans="1:15">
      <c r="A768" s="78">
        <v>401.77645804805877</v>
      </c>
      <c r="B768" s="78">
        <v>401.79597502357842</v>
      </c>
      <c r="C768" s="78">
        <v>398.44881372195391</v>
      </c>
      <c r="D768" s="78">
        <v>398.69277591594988</v>
      </c>
      <c r="E768" s="78">
        <v>2841538.6361523434</v>
      </c>
      <c r="F768" s="78" t="s">
        <v>768</v>
      </c>
      <c r="G768" s="25">
        <f t="shared" si="22"/>
        <v>7.7344820834148731E-3</v>
      </c>
      <c r="I768" s="78">
        <v>42.778000000000006</v>
      </c>
      <c r="J768" s="78">
        <v>42.88450000000001</v>
      </c>
      <c r="K768" s="78">
        <v>41.878000000000007</v>
      </c>
      <c r="L768" s="78">
        <v>42.199000000000012</v>
      </c>
      <c r="M768" s="78">
        <v>39659629.999999993</v>
      </c>
      <c r="N768" s="78" t="s">
        <v>768</v>
      </c>
      <c r="O768" s="25">
        <f t="shared" si="23"/>
        <v>1.3720704282091933E-2</v>
      </c>
    </row>
    <row r="769" spans="1:15">
      <c r="A769" s="78">
        <v>399.52224737553615</v>
      </c>
      <c r="B769" s="78">
        <v>400.49809615151997</v>
      </c>
      <c r="C769" s="78">
        <v>397.50224040924957</v>
      </c>
      <c r="D769" s="78">
        <v>398.09750816259975</v>
      </c>
      <c r="E769" s="78">
        <v>2991100.7441263557</v>
      </c>
      <c r="F769" s="78" t="s">
        <v>769</v>
      </c>
      <c r="G769" s="25">
        <f t="shared" si="22"/>
        <v>3.5788699595540319E-3</v>
      </c>
      <c r="I769" s="78">
        <v>42.166000000000011</v>
      </c>
      <c r="J769" s="78">
        <v>43.063170000000014</v>
      </c>
      <c r="K769" s="78">
        <v>42.132770000000008</v>
      </c>
      <c r="L769" s="78">
        <v>42.89800000000001</v>
      </c>
      <c r="M769" s="78">
        <v>39279139.999999993</v>
      </c>
      <c r="N769" s="78" t="s">
        <v>769</v>
      </c>
      <c r="O769" s="25">
        <f t="shared" si="23"/>
        <v>-1.7063732574945201E-2</v>
      </c>
    </row>
    <row r="770" spans="1:15">
      <c r="A770" s="78">
        <v>399.89306991041002</v>
      </c>
      <c r="B770" s="78">
        <v>405.02603447208486</v>
      </c>
      <c r="C770" s="78">
        <v>398.75132684250889</v>
      </c>
      <c r="D770" s="78">
        <v>401.85452595013749</v>
      </c>
      <c r="E770" s="78">
        <v>4701882.2105650436</v>
      </c>
      <c r="F770" s="78" t="s">
        <v>770</v>
      </c>
      <c r="G770" s="25">
        <f t="shared" si="22"/>
        <v>-4.8810101991257904E-3</v>
      </c>
      <c r="I770" s="78">
        <v>42.998000000000012</v>
      </c>
      <c r="J770" s="78">
        <v>43.812000000000012</v>
      </c>
      <c r="K770" s="78">
        <v>42.869000000000007</v>
      </c>
      <c r="L770" s="78">
        <v>43.112000000000009</v>
      </c>
      <c r="M770" s="78">
        <v>54676069.999999993</v>
      </c>
      <c r="N770" s="78" t="s">
        <v>770</v>
      </c>
      <c r="O770" s="25">
        <f t="shared" si="23"/>
        <v>-2.6442753757653925E-3</v>
      </c>
    </row>
    <row r="771" spans="1:15">
      <c r="A771" s="78">
        <v>399.65886620417388</v>
      </c>
      <c r="B771" s="78">
        <v>402.76206531180242</v>
      </c>
      <c r="C771" s="78">
        <v>398.97577206098521</v>
      </c>
      <c r="D771" s="78">
        <v>402.69375589748358</v>
      </c>
      <c r="E771" s="78">
        <v>3223792.5357116582</v>
      </c>
      <c r="F771" s="78" t="s">
        <v>771</v>
      </c>
      <c r="G771" s="25">
        <f t="shared" si="22"/>
        <v>-7.5364707022731459E-3</v>
      </c>
      <c r="I771" s="78">
        <v>42.890000000000008</v>
      </c>
      <c r="J771" s="78">
        <v>44.062000000000012</v>
      </c>
      <c r="K771" s="78">
        <v>42.759000000000007</v>
      </c>
      <c r="L771" s="78">
        <v>43.974000000000011</v>
      </c>
      <c r="M771" s="78">
        <v>38466389.999999993</v>
      </c>
      <c r="N771" s="78" t="s">
        <v>771</v>
      </c>
      <c r="O771" s="25">
        <f t="shared" si="23"/>
        <v>-2.4650930095056256E-2</v>
      </c>
    </row>
    <row r="772" spans="1:15">
      <c r="A772" s="78">
        <v>402.33269185036954</v>
      </c>
      <c r="B772" s="78">
        <v>402.77182379956224</v>
      </c>
      <c r="C772" s="78">
        <v>399.24413047438071</v>
      </c>
      <c r="D772" s="78">
        <v>401.81549199909807</v>
      </c>
      <c r="E772" s="78">
        <v>3873639.1262970357</v>
      </c>
      <c r="F772" s="78" t="s">
        <v>772</v>
      </c>
      <c r="G772" s="25">
        <f t="shared" si="22"/>
        <v>1.2871575675150737E-3</v>
      </c>
      <c r="I772" s="78">
        <v>43.830000000000013</v>
      </c>
      <c r="J772" s="78">
        <v>44.357000000000006</v>
      </c>
      <c r="K772" s="78">
        <v>43.510000000000012</v>
      </c>
      <c r="L772" s="78">
        <v>44.036000000000008</v>
      </c>
      <c r="M772" s="78">
        <v>37671949.999999993</v>
      </c>
      <c r="N772" s="78" t="s">
        <v>772</v>
      </c>
      <c r="O772" s="25">
        <f t="shared" si="23"/>
        <v>-4.6779907348531991E-3</v>
      </c>
    </row>
    <row r="773" spans="1:15">
      <c r="A773" s="78">
        <v>404.07946115938057</v>
      </c>
      <c r="B773" s="78">
        <v>404.235596963538</v>
      </c>
      <c r="C773" s="78">
        <v>401.69839014598006</v>
      </c>
      <c r="D773" s="78">
        <v>402.33269185036954</v>
      </c>
      <c r="E773" s="78">
        <v>2662274.1801164825</v>
      </c>
      <c r="F773" s="78" t="s">
        <v>773</v>
      </c>
      <c r="G773" s="25">
        <f t="shared" si="22"/>
        <v>4.341604210628347E-3</v>
      </c>
      <c r="I773" s="78">
        <v>44.076000000000008</v>
      </c>
      <c r="J773" s="78">
        <v>44.111000000000011</v>
      </c>
      <c r="K773" s="78">
        <v>42.890570000000011</v>
      </c>
      <c r="L773" s="78">
        <v>43.645500000000006</v>
      </c>
      <c r="M773" s="78">
        <v>47813029.999999993</v>
      </c>
      <c r="N773" s="78" t="s">
        <v>773</v>
      </c>
      <c r="O773" s="25">
        <f t="shared" si="23"/>
        <v>9.8635598171632477E-3</v>
      </c>
    </row>
    <row r="774" spans="1:15">
      <c r="A774" s="78">
        <v>400.46882068824044</v>
      </c>
      <c r="B774" s="78">
        <v>406.07848737698339</v>
      </c>
      <c r="C774" s="78">
        <v>400.12727361664605</v>
      </c>
      <c r="D774" s="78">
        <v>404.1477705736994</v>
      </c>
      <c r="E774" s="78">
        <v>5858762.280288795</v>
      </c>
      <c r="F774" s="78" t="s">
        <v>774</v>
      </c>
      <c r="G774" s="25">
        <f t="shared" si="22"/>
        <v>-9.1029820113484039E-3</v>
      </c>
      <c r="I774" s="78">
        <v>43.160000000000011</v>
      </c>
      <c r="J774" s="78">
        <v>43.650000000000006</v>
      </c>
      <c r="K774" s="78">
        <v>42.62700000000001</v>
      </c>
      <c r="L774" s="78">
        <v>43.306000000000012</v>
      </c>
      <c r="M774" s="78">
        <v>54418109.999999993</v>
      </c>
      <c r="N774" s="78" t="s">
        <v>774</v>
      </c>
      <c r="O774" s="25">
        <f t="shared" si="23"/>
        <v>-3.3713573176926692E-3</v>
      </c>
    </row>
    <row r="775" spans="1:15">
      <c r="A775" s="78">
        <v>402.44003521572773</v>
      </c>
      <c r="B775" s="78">
        <v>404.18680452473876</v>
      </c>
      <c r="C775" s="78">
        <v>401.16167331918894</v>
      </c>
      <c r="D775" s="78">
        <v>401.73742409701941</v>
      </c>
      <c r="E775" s="78">
        <v>3103143.719114739</v>
      </c>
      <c r="F775" s="78" t="s">
        <v>775</v>
      </c>
      <c r="G775" s="25">
        <f t="shared" si="22"/>
        <v>1.748931208705784E-3</v>
      </c>
      <c r="I775" s="78">
        <v>43.100000000000009</v>
      </c>
      <c r="J775" s="78">
        <v>44.193000000000012</v>
      </c>
      <c r="K775" s="78">
        <v>42.719000000000008</v>
      </c>
      <c r="L775" s="78">
        <v>42.780000000000008</v>
      </c>
      <c r="M775" s="78">
        <v>62593089.999999985</v>
      </c>
      <c r="N775" s="78" t="s">
        <v>775</v>
      </c>
      <c r="O775" s="25">
        <f t="shared" si="23"/>
        <v>7.4801309022907159E-3</v>
      </c>
    </row>
    <row r="776" spans="1:15">
      <c r="A776" s="78">
        <v>403.58177828362881</v>
      </c>
      <c r="B776" s="78">
        <v>406.63618495245817</v>
      </c>
      <c r="C776" s="78">
        <v>402.90844262819996</v>
      </c>
      <c r="D776" s="78">
        <v>406.40198124622202</v>
      </c>
      <c r="E776" s="78">
        <v>5102294.661363136</v>
      </c>
      <c r="F776" s="78" t="s">
        <v>776</v>
      </c>
      <c r="G776" s="25">
        <f t="shared" si="22"/>
        <v>-6.9394419632137216E-3</v>
      </c>
      <c r="I776" s="78">
        <v>42.970000000000006</v>
      </c>
      <c r="J776" s="78">
        <v>43.556000000000012</v>
      </c>
      <c r="K776" s="78">
        <v>42.656000000000006</v>
      </c>
      <c r="L776" s="78">
        <v>43.52300000000001</v>
      </c>
      <c r="M776" s="78">
        <v>49217809.999999993</v>
      </c>
      <c r="N776" s="78" t="s">
        <v>776</v>
      </c>
      <c r="O776" s="25">
        <f t="shared" si="23"/>
        <v>-1.2705925602555124E-2</v>
      </c>
    </row>
    <row r="777" spans="1:15">
      <c r="A777" s="78">
        <v>409.25145967209482</v>
      </c>
      <c r="B777" s="78">
        <v>409.93455381528349</v>
      </c>
      <c r="C777" s="78">
        <v>408.44150518802826</v>
      </c>
      <c r="D777" s="78">
        <v>409.13435781897675</v>
      </c>
      <c r="E777" s="78">
        <v>3214919.2346294592</v>
      </c>
      <c r="F777" s="78" t="s">
        <v>777</v>
      </c>
      <c r="G777" s="25">
        <f t="shared" si="22"/>
        <v>2.8621857558563946E-4</v>
      </c>
      <c r="I777" s="78">
        <v>43.862000000000009</v>
      </c>
      <c r="J777" s="78">
        <v>44.52499000000001</v>
      </c>
      <c r="K777" s="78">
        <v>43.140000000000008</v>
      </c>
      <c r="L777" s="78">
        <v>43.737000000000009</v>
      </c>
      <c r="M777" s="78">
        <v>57255439.999999993</v>
      </c>
      <c r="N777" s="78" t="s">
        <v>777</v>
      </c>
      <c r="O777" s="25">
        <f t="shared" si="23"/>
        <v>2.8579920890778876E-3</v>
      </c>
    </row>
    <row r="778" spans="1:15">
      <c r="A778" s="78">
        <v>410.5200630808738</v>
      </c>
      <c r="B778" s="78">
        <v>410.80305922590912</v>
      </c>
      <c r="C778" s="78">
        <v>408.92942957602014</v>
      </c>
      <c r="D778" s="78">
        <v>410.16875752151958</v>
      </c>
      <c r="E778" s="78">
        <v>3540033.1332252184</v>
      </c>
      <c r="F778" s="78" t="s">
        <v>778</v>
      </c>
      <c r="G778" s="25">
        <f t="shared" si="22"/>
        <v>8.5649029311007929E-4</v>
      </c>
      <c r="I778" s="78">
        <v>43.897000000000013</v>
      </c>
      <c r="J778" s="78">
        <v>43.913000000000011</v>
      </c>
      <c r="K778" s="78">
        <v>42.63000000000001</v>
      </c>
      <c r="L778" s="78">
        <v>42.65100000000001</v>
      </c>
      <c r="M778" s="78">
        <v>65876189.999999985</v>
      </c>
      <c r="N778" s="78" t="s">
        <v>778</v>
      </c>
      <c r="O778" s="25">
        <f t="shared" si="23"/>
        <v>2.9213851961267023E-2</v>
      </c>
    </row>
    <row r="779" spans="1:15">
      <c r="A779" s="78">
        <v>409.72962557232688</v>
      </c>
      <c r="B779" s="78">
        <v>410.46151215431473</v>
      </c>
      <c r="C779" s="78">
        <v>408.06092416539457</v>
      </c>
      <c r="D779" s="78">
        <v>408.81232772290213</v>
      </c>
      <c r="E779" s="78">
        <v>2769618.6812092797</v>
      </c>
      <c r="F779" s="78" t="s">
        <v>779</v>
      </c>
      <c r="G779" s="25">
        <f t="shared" si="22"/>
        <v>2.2438116153056242E-3</v>
      </c>
      <c r="I779" s="78">
        <v>42.578000000000003</v>
      </c>
      <c r="J779" s="78">
        <v>42.747000000000014</v>
      </c>
      <c r="K779" s="78">
        <v>41.376000000000005</v>
      </c>
      <c r="L779" s="78">
        <v>41.556000000000012</v>
      </c>
      <c r="M779" s="78">
        <v>64280729.999999985</v>
      </c>
      <c r="N779" s="78" t="s">
        <v>779</v>
      </c>
      <c r="O779" s="25">
        <f t="shared" si="23"/>
        <v>2.4593319857541429E-2</v>
      </c>
    </row>
    <row r="780" spans="1:15">
      <c r="A780" s="78">
        <v>405.77743802959242</v>
      </c>
      <c r="B780" s="78">
        <v>411.95456078156997</v>
      </c>
      <c r="C780" s="78">
        <v>404.89917413120696</v>
      </c>
      <c r="D780" s="78">
        <v>411.60325522221586</v>
      </c>
      <c r="E780" s="78">
        <v>4252137.3209867058</v>
      </c>
      <c r="F780" s="78" t="s">
        <v>780</v>
      </c>
      <c r="G780" s="25">
        <f t="shared" si="22"/>
        <v>-1.4153962872519577E-2</v>
      </c>
      <c r="I780" s="78">
        <v>41.317000000000007</v>
      </c>
      <c r="J780" s="78">
        <v>42.75200000000001</v>
      </c>
      <c r="K780" s="78">
        <v>41.188000000000009</v>
      </c>
      <c r="L780" s="78">
        <v>42.690000000000005</v>
      </c>
      <c r="M780" s="78">
        <v>65944659.999999985</v>
      </c>
      <c r="N780" s="78" t="s">
        <v>780</v>
      </c>
      <c r="O780" s="25">
        <f t="shared" si="23"/>
        <v>-3.2162098852190124E-2</v>
      </c>
    </row>
    <row r="781" spans="1:15">
      <c r="A781" s="78">
        <v>408.54884855338651</v>
      </c>
      <c r="B781" s="78">
        <v>409.74914254784653</v>
      </c>
      <c r="C781" s="78">
        <v>406.51908309934009</v>
      </c>
      <c r="D781" s="78">
        <v>407.53396582636327</v>
      </c>
      <c r="E781" s="78">
        <v>6290766.7161963824</v>
      </c>
      <c r="F781" s="78" t="s">
        <v>781</v>
      </c>
      <c r="G781" s="25">
        <f t="shared" si="22"/>
        <v>2.4903021885926968E-3</v>
      </c>
      <c r="I781" s="78">
        <v>42.26700000000001</v>
      </c>
      <c r="J781" s="78">
        <v>42.52600000000001</v>
      </c>
      <c r="K781" s="78">
        <v>41.559000000000005</v>
      </c>
      <c r="L781" s="78">
        <v>42.420000000000009</v>
      </c>
      <c r="M781" s="78">
        <v>60092419.999999985</v>
      </c>
      <c r="N781" s="78" t="s">
        <v>781</v>
      </c>
      <c r="O781" s="25">
        <f t="shared" si="23"/>
        <v>-3.6067892503536259E-3</v>
      </c>
    </row>
    <row r="782" spans="1:15">
      <c r="A782" s="78">
        <v>408.45126367578808</v>
      </c>
      <c r="B782" s="78">
        <v>409.51493884161044</v>
      </c>
      <c r="C782" s="78">
        <v>406.99471179275463</v>
      </c>
      <c r="D782" s="78">
        <v>407.00700748733203</v>
      </c>
      <c r="E782" s="78">
        <v>4047049.1916315909</v>
      </c>
      <c r="F782" s="78" t="s">
        <v>782</v>
      </c>
      <c r="G782" s="25">
        <f t="shared" si="22"/>
        <v>3.548479907931279E-3</v>
      </c>
      <c r="I782" s="78">
        <v>42.77000000000001</v>
      </c>
      <c r="J782" s="78">
        <v>43.087990000000012</v>
      </c>
      <c r="K782" s="78">
        <v>42.613000000000007</v>
      </c>
      <c r="L782" s="78">
        <v>42.718000000000011</v>
      </c>
      <c r="M782" s="78">
        <v>48598429.999999993</v>
      </c>
      <c r="N782" s="78" t="s">
        <v>782</v>
      </c>
      <c r="O782" s="25">
        <f t="shared" si="23"/>
        <v>1.2172854534389099E-3</v>
      </c>
    </row>
    <row r="783" spans="1:15">
      <c r="A783" s="78">
        <v>407.25096968132794</v>
      </c>
      <c r="B783" s="78">
        <v>408.00237323883556</v>
      </c>
      <c r="C783" s="78">
        <v>405.96772854090926</v>
      </c>
      <c r="D783" s="78">
        <v>406.51908309934009</v>
      </c>
      <c r="E783" s="78">
        <v>3557032.6934114527</v>
      </c>
      <c r="F783" s="78" t="s">
        <v>783</v>
      </c>
      <c r="G783" s="25">
        <f t="shared" si="22"/>
        <v>1.8003744778913866E-3</v>
      </c>
      <c r="I783" s="78">
        <v>42.83700000000001</v>
      </c>
      <c r="J783" s="78">
        <v>42.864000000000004</v>
      </c>
      <c r="K783" s="78">
        <v>41.919000000000011</v>
      </c>
      <c r="L783" s="78">
        <v>42.500000000000007</v>
      </c>
      <c r="M783" s="78">
        <v>82824339.999999985</v>
      </c>
      <c r="N783" s="78" t="s">
        <v>783</v>
      </c>
      <c r="O783" s="25">
        <f t="shared" si="23"/>
        <v>7.9294117647059625E-3</v>
      </c>
    </row>
    <row r="784" spans="1:15">
      <c r="A784" s="78">
        <v>405.53347583559645</v>
      </c>
      <c r="B784" s="78">
        <v>407.22169421804847</v>
      </c>
      <c r="C784" s="78">
        <v>405.44564944575791</v>
      </c>
      <c r="D784" s="78">
        <v>407.03628295061156</v>
      </c>
      <c r="E784" s="78">
        <v>3255333.2833740916</v>
      </c>
      <c r="F784" s="78" t="s">
        <v>784</v>
      </c>
      <c r="G784" s="25">
        <f t="shared" si="22"/>
        <v>-3.6920716357795591E-3</v>
      </c>
      <c r="I784" s="78">
        <v>42.750000000000007</v>
      </c>
      <c r="J784" s="78">
        <v>43.824000000000012</v>
      </c>
      <c r="K784" s="78">
        <v>42.31900000000001</v>
      </c>
      <c r="L784" s="78">
        <v>43.737000000000009</v>
      </c>
      <c r="M784" s="78">
        <v>173400279.99999997</v>
      </c>
      <c r="N784" s="78" t="s">
        <v>784</v>
      </c>
      <c r="O784" s="25">
        <f t="shared" si="23"/>
        <v>-2.2566705535359111E-2</v>
      </c>
    </row>
    <row r="785" spans="1:15">
      <c r="A785" s="78">
        <v>405.48468339679727</v>
      </c>
      <c r="B785" s="78">
        <v>408.06092416539457</v>
      </c>
      <c r="C785" s="78">
        <v>404.8015892536086</v>
      </c>
      <c r="D785" s="78">
        <v>407.22169421804847</v>
      </c>
      <c r="E785" s="78">
        <v>4186096.3507195371</v>
      </c>
      <c r="F785" s="78" t="s">
        <v>785</v>
      </c>
      <c r="G785" s="25">
        <f t="shared" si="22"/>
        <v>-4.2655164150491309E-3</v>
      </c>
      <c r="I785" s="78">
        <v>43.742000000000012</v>
      </c>
      <c r="J785" s="78">
        <v>44.850000000000009</v>
      </c>
      <c r="K785" s="78">
        <v>43.20000000000001</v>
      </c>
      <c r="L785" s="78">
        <v>44.70000000000001</v>
      </c>
      <c r="M785" s="78">
        <v>239897109.99999994</v>
      </c>
      <c r="N785" s="78" t="s">
        <v>785</v>
      </c>
      <c r="O785" s="25">
        <f t="shared" si="23"/>
        <v>-2.1431767337807606E-2</v>
      </c>
    </row>
    <row r="786" spans="1:15">
      <c r="A786" s="78">
        <v>408.14875055523311</v>
      </c>
      <c r="B786" s="78">
        <v>409.241701184335</v>
      </c>
      <c r="C786" s="78">
        <v>407.40710548548543</v>
      </c>
      <c r="D786" s="78">
        <v>407.97309777555603</v>
      </c>
      <c r="E786" s="78">
        <v>3581411.4707235582</v>
      </c>
      <c r="F786" s="78" t="s">
        <v>786</v>
      </c>
      <c r="G786" s="25">
        <f t="shared" si="22"/>
        <v>4.3054990791024927E-4</v>
      </c>
      <c r="I786" s="78">
        <v>47.759000000000007</v>
      </c>
      <c r="J786" s="78">
        <v>48.500000000000007</v>
      </c>
      <c r="K786" s="78">
        <v>47.000000000000007</v>
      </c>
      <c r="L786" s="78">
        <v>47.686000000000014</v>
      </c>
      <c r="M786" s="78">
        <v>209964809.99999997</v>
      </c>
      <c r="N786" s="78" t="s">
        <v>786</v>
      </c>
      <c r="O786" s="25">
        <f t="shared" si="23"/>
        <v>1.5308476282345218E-3</v>
      </c>
    </row>
    <row r="787" spans="1:15">
      <c r="A787" s="78">
        <v>407.27048665684771</v>
      </c>
      <c r="B787" s="78">
        <v>407.83647894691831</v>
      </c>
      <c r="C787" s="78">
        <v>403.55250282034933</v>
      </c>
      <c r="D787" s="78">
        <v>403.91356686746332</v>
      </c>
      <c r="E787" s="78">
        <v>3686312.9703404387</v>
      </c>
      <c r="F787" s="78" t="s">
        <v>787</v>
      </c>
      <c r="G787" s="25">
        <f t="shared" si="22"/>
        <v>8.3109854799354732E-3</v>
      </c>
      <c r="I787" s="78">
        <v>47.480000000000011</v>
      </c>
      <c r="J787" s="78">
        <v>47.815000000000005</v>
      </c>
      <c r="K787" s="78">
        <v>44.878000000000007</v>
      </c>
      <c r="L787" s="78">
        <v>45.100000000000009</v>
      </c>
      <c r="M787" s="78">
        <v>131968769.99999997</v>
      </c>
      <c r="N787" s="78" t="s">
        <v>787</v>
      </c>
      <c r="O787" s="25">
        <f t="shared" si="23"/>
        <v>5.2771618625277128E-2</v>
      </c>
    </row>
    <row r="788" spans="1:15">
      <c r="A788" s="78">
        <v>404.20632150025847</v>
      </c>
      <c r="B788" s="78">
        <v>405.22071630289366</v>
      </c>
      <c r="C788" s="78">
        <v>402.66448043420399</v>
      </c>
      <c r="D788" s="78">
        <v>402.6839974097237</v>
      </c>
      <c r="E788" s="78">
        <v>3041728.4655683292</v>
      </c>
      <c r="F788" s="78" t="s">
        <v>788</v>
      </c>
      <c r="G788" s="25">
        <f t="shared" si="22"/>
        <v>3.7804434750998706E-3</v>
      </c>
      <c r="I788" s="78">
        <v>45.00500000000001</v>
      </c>
      <c r="J788" s="78">
        <v>45.668000000000006</v>
      </c>
      <c r="K788" s="78">
        <v>44.51053000000001</v>
      </c>
      <c r="L788" s="78">
        <v>44.557000000000009</v>
      </c>
      <c r="M788" s="78">
        <v>69011409.999999985</v>
      </c>
      <c r="N788" s="78" t="s">
        <v>788</v>
      </c>
      <c r="O788" s="25">
        <f t="shared" si="23"/>
        <v>1.0054536885337972E-2</v>
      </c>
    </row>
    <row r="789" spans="1:15">
      <c r="A789" s="78">
        <v>402.80109926284172</v>
      </c>
      <c r="B789" s="78">
        <v>404.69424588825035</v>
      </c>
      <c r="C789" s="78">
        <v>402.12776360741293</v>
      </c>
      <c r="D789" s="78">
        <v>403.94284233074285</v>
      </c>
      <c r="E789" s="78">
        <v>3772044.4915135377</v>
      </c>
      <c r="F789" s="78" t="s">
        <v>789</v>
      </c>
      <c r="G789" s="25">
        <f t="shared" si="22"/>
        <v>-2.8264965937093711E-3</v>
      </c>
      <c r="I789" s="78">
        <v>44.19100000000001</v>
      </c>
      <c r="J789" s="78">
        <v>45.64800000000001</v>
      </c>
      <c r="K789" s="78">
        <v>43.970000000000006</v>
      </c>
      <c r="L789" s="78">
        <v>45.278500000000008</v>
      </c>
      <c r="M789" s="78">
        <v>71958599.999999985</v>
      </c>
      <c r="N789" s="78" t="s">
        <v>789</v>
      </c>
      <c r="O789" s="25">
        <f t="shared" si="23"/>
        <v>-2.4018021798425271E-2</v>
      </c>
    </row>
    <row r="790" spans="1:15">
      <c r="A790" s="78">
        <v>403.12312935891646</v>
      </c>
      <c r="B790" s="78">
        <v>403.81598198986495</v>
      </c>
      <c r="C790" s="78">
        <v>401.20070727022829</v>
      </c>
      <c r="D790" s="78">
        <v>401.60080526838169</v>
      </c>
      <c r="E790" s="78">
        <v>3354440.8524771994</v>
      </c>
      <c r="F790" s="78" t="s">
        <v>790</v>
      </c>
      <c r="G790" s="25">
        <f t="shared" si="22"/>
        <v>3.7906400349905223E-3</v>
      </c>
      <c r="I790" s="78">
        <v>45.038000000000011</v>
      </c>
      <c r="J790" s="78">
        <v>45.167000000000009</v>
      </c>
      <c r="K790" s="78">
        <v>44.117700000000013</v>
      </c>
      <c r="L790" s="78">
        <v>44.70000000000001</v>
      </c>
      <c r="M790" s="78">
        <v>61574749.999999985</v>
      </c>
      <c r="N790" s="78" t="s">
        <v>790</v>
      </c>
      <c r="O790" s="25">
        <f t="shared" si="23"/>
        <v>7.5615212527964104E-3</v>
      </c>
    </row>
    <row r="791" spans="1:15">
      <c r="A791" s="78">
        <v>399.86379444713043</v>
      </c>
      <c r="B791" s="78">
        <v>401.20070727022829</v>
      </c>
      <c r="C791" s="78">
        <v>398.9172211344262</v>
      </c>
      <c r="D791" s="78">
        <v>400.28340942080348</v>
      </c>
      <c r="E791" s="78">
        <v>4351451.8893759446</v>
      </c>
      <c r="F791" s="78" t="s">
        <v>791</v>
      </c>
      <c r="G791" s="25">
        <f t="shared" si="22"/>
        <v>-1.0482946927033998E-3</v>
      </c>
      <c r="I791" s="78">
        <v>44.405000000000008</v>
      </c>
      <c r="J791" s="78">
        <v>44.540850000000006</v>
      </c>
      <c r="K791" s="78">
        <v>43.774940000000008</v>
      </c>
      <c r="L791" s="78">
        <v>44.455000000000013</v>
      </c>
      <c r="M791" s="78">
        <v>57316569.999999993</v>
      </c>
      <c r="N791" s="78" t="s">
        <v>791</v>
      </c>
      <c r="O791" s="25">
        <f t="shared" si="23"/>
        <v>-1.1247328759420583E-3</v>
      </c>
    </row>
    <row r="792" spans="1:15">
      <c r="A792" s="78">
        <v>396.74107836398224</v>
      </c>
      <c r="B792" s="78">
        <v>397.17045182541511</v>
      </c>
      <c r="C792" s="78">
        <v>394.01846027898733</v>
      </c>
      <c r="D792" s="78">
        <v>394.99430905497115</v>
      </c>
      <c r="E792" s="78">
        <v>3260618.9384130086</v>
      </c>
      <c r="F792" s="78" t="s">
        <v>792</v>
      </c>
      <c r="G792" s="25">
        <f t="shared" si="22"/>
        <v>4.4222644958866741E-3</v>
      </c>
      <c r="I792" s="78">
        <v>44.021000000000008</v>
      </c>
      <c r="J792" s="78">
        <v>44.080000000000013</v>
      </c>
      <c r="K792" s="78">
        <v>43.104150000000004</v>
      </c>
      <c r="L792" s="78">
        <v>43.865000000000009</v>
      </c>
      <c r="M792" s="78">
        <v>45745589.999999993</v>
      </c>
      <c r="N792" s="78" t="s">
        <v>792</v>
      </c>
      <c r="O792" s="25">
        <f t="shared" si="23"/>
        <v>3.5563661233328769E-3</v>
      </c>
    </row>
    <row r="793" spans="1:15">
      <c r="A793" s="78">
        <v>394.21363003418418</v>
      </c>
      <c r="B793" s="78">
        <v>394.3502488628219</v>
      </c>
      <c r="C793" s="78">
        <v>392.34975887205502</v>
      </c>
      <c r="D793" s="78">
        <v>392.90599267436579</v>
      </c>
      <c r="E793" s="78">
        <v>3445489.7959063947</v>
      </c>
      <c r="F793" s="78" t="s">
        <v>793</v>
      </c>
      <c r="G793" s="25">
        <f t="shared" si="22"/>
        <v>3.3281176266053425E-3</v>
      </c>
      <c r="I793" s="78">
        <v>44.171000000000006</v>
      </c>
      <c r="J793" s="78">
        <v>44.44100000000001</v>
      </c>
      <c r="K793" s="78">
        <v>43.682000000000009</v>
      </c>
      <c r="L793" s="78">
        <v>43.852000000000004</v>
      </c>
      <c r="M793" s="78">
        <v>42517369.999999993</v>
      </c>
      <c r="N793" s="78" t="s">
        <v>793</v>
      </c>
      <c r="O793" s="25">
        <f t="shared" si="23"/>
        <v>7.2744686673356096E-3</v>
      </c>
    </row>
    <row r="794" spans="1:15">
      <c r="A794" s="78">
        <v>393.15971335612159</v>
      </c>
      <c r="B794" s="78">
        <v>396.85720436832429</v>
      </c>
      <c r="C794" s="78">
        <v>392.98406057644451</v>
      </c>
      <c r="D794" s="78">
        <v>393.29633218475931</v>
      </c>
      <c r="E794" s="78">
        <v>3764158.0236617527</v>
      </c>
      <c r="F794" s="78" t="s">
        <v>794</v>
      </c>
      <c r="G794" s="25">
        <f t="shared" si="22"/>
        <v>-3.4736868223206319E-4</v>
      </c>
      <c r="I794" s="78">
        <v>43.810000000000009</v>
      </c>
      <c r="J794" s="78">
        <v>44.232500000000009</v>
      </c>
      <c r="K794" s="78">
        <v>43.583540000000006</v>
      </c>
      <c r="L794" s="78">
        <v>43.860000000000014</v>
      </c>
      <c r="M794" s="78">
        <v>41651439.999999993</v>
      </c>
      <c r="N794" s="78" t="s">
        <v>794</v>
      </c>
      <c r="O794" s="25">
        <f t="shared" si="23"/>
        <v>-1.1399908800731051E-3</v>
      </c>
    </row>
    <row r="795" spans="1:15">
      <c r="A795" s="78">
        <v>394.0770112055464</v>
      </c>
      <c r="B795" s="78">
        <v>394.58445256905799</v>
      </c>
      <c r="C795" s="78">
        <v>391.86183448406314</v>
      </c>
      <c r="D795" s="78">
        <v>394.02821876674716</v>
      </c>
      <c r="E795" s="78">
        <v>6189761.3120540967</v>
      </c>
      <c r="F795" s="78" t="s">
        <v>795</v>
      </c>
      <c r="G795" s="25">
        <f t="shared" si="22"/>
        <v>1.2382980831149304E-4</v>
      </c>
      <c r="I795" s="78">
        <v>43.884000000000007</v>
      </c>
      <c r="J795" s="78">
        <v>44.279990000000005</v>
      </c>
      <c r="K795" s="78">
        <v>43.07200000000001</v>
      </c>
      <c r="L795" s="78">
        <v>44.000000000000007</v>
      </c>
      <c r="M795" s="78">
        <v>49448919.999999993</v>
      </c>
      <c r="N795" s="78" t="s">
        <v>795</v>
      </c>
      <c r="O795" s="25">
        <f t="shared" si="23"/>
        <v>-2.6363636363636589E-3</v>
      </c>
    </row>
    <row r="796" spans="1:15">
      <c r="A796" s="78">
        <v>397.31682914181266</v>
      </c>
      <c r="B796" s="78">
        <v>397.9901647972415</v>
      </c>
      <c r="C796" s="78">
        <v>396.20436153719112</v>
      </c>
      <c r="D796" s="78">
        <v>396.20436153719112</v>
      </c>
      <c r="E796" s="78">
        <v>4338914.0860798694</v>
      </c>
      <c r="F796" s="78" t="s">
        <v>796</v>
      </c>
      <c r="G796" s="25">
        <f t="shared" si="22"/>
        <v>2.8078126154527094E-3</v>
      </c>
      <c r="I796" s="78">
        <v>44.59</v>
      </c>
      <c r="J796" s="78">
        <v>45.097000000000008</v>
      </c>
      <c r="K796" s="78">
        <v>43.962440000000008</v>
      </c>
      <c r="L796" s="78">
        <v>44.491000000000014</v>
      </c>
      <c r="M796" s="78">
        <v>68754139.999999985</v>
      </c>
      <c r="N796" s="78" t="s">
        <v>796</v>
      </c>
      <c r="O796" s="25">
        <f t="shared" si="23"/>
        <v>2.2251691353305514E-3</v>
      </c>
    </row>
    <row r="797" spans="1:15">
      <c r="A797" s="78">
        <v>398.20485152795794</v>
      </c>
      <c r="B797" s="78">
        <v>398.20485152795794</v>
      </c>
      <c r="C797" s="78">
        <v>396.85818021710031</v>
      </c>
      <c r="D797" s="78">
        <v>397.0923839233364</v>
      </c>
      <c r="E797" s="78">
        <v>2430723.9588517216</v>
      </c>
      <c r="F797" s="78" t="s">
        <v>797</v>
      </c>
      <c r="G797" s="25">
        <f t="shared" si="22"/>
        <v>2.8015334709525774E-3</v>
      </c>
      <c r="I797" s="78">
        <v>44.144000000000005</v>
      </c>
      <c r="J797" s="78">
        <v>44.154500000000013</v>
      </c>
      <c r="K797" s="78">
        <v>43.162000000000006</v>
      </c>
      <c r="L797" s="78">
        <v>43.976000000000006</v>
      </c>
      <c r="M797" s="78">
        <v>37332069.999999993</v>
      </c>
      <c r="N797" s="78" t="s">
        <v>797</v>
      </c>
      <c r="O797" s="25">
        <f t="shared" si="23"/>
        <v>3.8202655994179491E-3</v>
      </c>
    </row>
    <row r="798" spans="1:15">
      <c r="A798" s="78">
        <v>397.44368948269056</v>
      </c>
      <c r="B798" s="78">
        <v>398.36098733211543</v>
      </c>
      <c r="C798" s="78">
        <v>395.5017504184828</v>
      </c>
      <c r="D798" s="78">
        <v>395.60909378384099</v>
      </c>
      <c r="E798" s="78">
        <v>5301735.3993030749</v>
      </c>
      <c r="F798" s="78" t="s">
        <v>798</v>
      </c>
      <c r="G798" s="25">
        <f t="shared" si="22"/>
        <v>4.6373951652687317E-3</v>
      </c>
      <c r="I798" s="78">
        <v>44.049000000000007</v>
      </c>
      <c r="J798" s="78">
        <v>44.412000000000006</v>
      </c>
      <c r="K798" s="78">
        <v>43.110000000000014</v>
      </c>
      <c r="L798" s="78">
        <v>43.110000000000014</v>
      </c>
      <c r="M798" s="78">
        <v>73463939.999999985</v>
      </c>
      <c r="N798" s="78" t="s">
        <v>798</v>
      </c>
      <c r="O798" s="25">
        <f t="shared" si="23"/>
        <v>2.1781489213639427E-2</v>
      </c>
    </row>
    <row r="799" spans="1:15">
      <c r="A799" s="78">
        <v>392.78889082124778</v>
      </c>
      <c r="B799" s="78">
        <v>392.94502662540521</v>
      </c>
      <c r="C799" s="78">
        <v>390.52492166096528</v>
      </c>
      <c r="D799" s="78">
        <v>390.92501965911868</v>
      </c>
      <c r="E799" s="78">
        <v>4011737.3678653939</v>
      </c>
      <c r="F799" s="78" t="s">
        <v>799</v>
      </c>
      <c r="G799" s="25">
        <f t="shared" si="22"/>
        <v>4.7678482276585221E-3</v>
      </c>
      <c r="I799" s="78">
        <v>42.824000000000012</v>
      </c>
      <c r="J799" s="78">
        <v>43.785000000000011</v>
      </c>
      <c r="K799" s="78">
        <v>42.615000000000009</v>
      </c>
      <c r="L799" s="78">
        <v>43.433000000000007</v>
      </c>
      <c r="M799" s="78">
        <v>49323099.999999993</v>
      </c>
      <c r="N799" s="78" t="s">
        <v>799</v>
      </c>
      <c r="O799" s="25">
        <f t="shared" si="23"/>
        <v>-1.402159648193757E-2</v>
      </c>
    </row>
    <row r="800" spans="1:15">
      <c r="A800" s="78">
        <v>391.28979193158125</v>
      </c>
      <c r="B800" s="78">
        <v>392.1986379270005</v>
      </c>
      <c r="C800" s="78">
        <v>389.50126077482031</v>
      </c>
      <c r="D800" s="78">
        <v>390.12335856847631</v>
      </c>
      <c r="E800" s="78">
        <v>4445008.6597304381</v>
      </c>
      <c r="F800" s="78" t="s">
        <v>800</v>
      </c>
      <c r="G800" s="25">
        <f t="shared" si="22"/>
        <v>2.9899090569327491E-3</v>
      </c>
      <c r="I800" s="78">
        <v>42.984000000000009</v>
      </c>
      <c r="J800" s="78">
        <v>43.729150000000004</v>
      </c>
      <c r="K800" s="78">
        <v>42.289000000000009</v>
      </c>
      <c r="L800" s="78">
        <v>42.310000000000009</v>
      </c>
      <c r="M800" s="78">
        <v>88113419.999999985</v>
      </c>
      <c r="N800" s="78" t="s">
        <v>800</v>
      </c>
      <c r="O800" s="25">
        <f t="shared" si="23"/>
        <v>1.5930040179626515E-2</v>
      </c>
    </row>
    <row r="801" spans="1:15">
      <c r="A801" s="78">
        <v>391.11482692711547</v>
      </c>
      <c r="B801" s="78">
        <v>391.65916249656448</v>
      </c>
      <c r="C801" s="78">
        <v>387.24615627281742</v>
      </c>
      <c r="D801" s="78">
        <v>387.64468767187827</v>
      </c>
      <c r="E801" s="78">
        <v>4426170.7211948764</v>
      </c>
      <c r="F801" s="78" t="s">
        <v>801</v>
      </c>
      <c r="G801" s="25">
        <f t="shared" si="22"/>
        <v>8.9518555667000843E-3</v>
      </c>
      <c r="I801" s="78">
        <v>41.708000000000006</v>
      </c>
      <c r="J801" s="78">
        <v>42.087890000000009</v>
      </c>
      <c r="K801" s="78">
        <v>41.150000000000006</v>
      </c>
      <c r="L801" s="78">
        <v>41.739000000000004</v>
      </c>
      <c r="M801" s="78">
        <v>48180659.999999993</v>
      </c>
      <c r="N801" s="78" t="s">
        <v>801</v>
      </c>
      <c r="O801" s="25">
        <f t="shared" si="23"/>
        <v>-7.4271065430409067E-4</v>
      </c>
    </row>
    <row r="802" spans="1:15">
      <c r="A802" s="78">
        <v>386.82818431770477</v>
      </c>
      <c r="B802" s="78">
        <v>389.64706494520846</v>
      </c>
      <c r="C802" s="78">
        <v>386.60461792310969</v>
      </c>
      <c r="D802" s="78">
        <v>387.87797434449925</v>
      </c>
      <c r="E802" s="78">
        <v>3344245.9066982488</v>
      </c>
      <c r="F802" s="78" t="s">
        <v>802</v>
      </c>
      <c r="G802" s="25">
        <f t="shared" si="22"/>
        <v>-2.7064955894147147E-3</v>
      </c>
      <c r="I802" s="78">
        <v>41.594000000000008</v>
      </c>
      <c r="J802" s="78">
        <v>43.095990000000008</v>
      </c>
      <c r="K802" s="78">
        <v>41.490000000000009</v>
      </c>
      <c r="L802" s="78">
        <v>42.243500000000012</v>
      </c>
      <c r="M802" s="78">
        <v>46400219.999999993</v>
      </c>
      <c r="N802" s="78" t="s">
        <v>802</v>
      </c>
      <c r="O802" s="25">
        <f t="shared" si="23"/>
        <v>-1.5375146472238366E-2</v>
      </c>
    </row>
    <row r="803" spans="1:15">
      <c r="A803" s="78">
        <v>388.43203019197409</v>
      </c>
      <c r="B803" s="78">
        <v>390.05531662229515</v>
      </c>
      <c r="C803" s="78">
        <v>387.77105128621463</v>
      </c>
      <c r="D803" s="78">
        <v>388.15986240724959</v>
      </c>
      <c r="E803" s="78">
        <v>4336611.5545040993</v>
      </c>
      <c r="F803" s="78" t="s">
        <v>803</v>
      </c>
      <c r="G803" s="25">
        <f t="shared" si="22"/>
        <v>7.0117446723272359E-4</v>
      </c>
      <c r="I803" s="78">
        <v>42.402000000000008</v>
      </c>
      <c r="J803" s="78">
        <v>42.582000000000008</v>
      </c>
      <c r="K803" s="78">
        <v>41.77300000000001</v>
      </c>
      <c r="L803" s="78">
        <v>41.859000000000009</v>
      </c>
      <c r="M803" s="78">
        <v>82985999.999999985</v>
      </c>
      <c r="N803" s="78" t="s">
        <v>803</v>
      </c>
      <c r="O803" s="25">
        <f t="shared" si="23"/>
        <v>1.297212069089082E-2</v>
      </c>
    </row>
    <row r="804" spans="1:15">
      <c r="A804" s="78">
        <v>391.36755415578824</v>
      </c>
      <c r="B804" s="78">
        <v>391.45503665802113</v>
      </c>
      <c r="C804" s="78">
        <v>388.76251964485385</v>
      </c>
      <c r="D804" s="78">
        <v>389.08328881970766</v>
      </c>
      <c r="E804" s="78">
        <v>3231410.6568133757</v>
      </c>
      <c r="F804" s="78" t="s">
        <v>804</v>
      </c>
      <c r="G804" s="25">
        <f t="shared" si="22"/>
        <v>5.8708903767363818E-3</v>
      </c>
      <c r="I804" s="78">
        <v>42.248000000000012</v>
      </c>
      <c r="J804" s="78">
        <v>42.471000000000004</v>
      </c>
      <c r="K804" s="78">
        <v>41.868010000000005</v>
      </c>
      <c r="L804" s="78">
        <v>42.293000000000006</v>
      </c>
      <c r="M804" s="78">
        <v>48722459.999999993</v>
      </c>
      <c r="N804" s="78" t="s">
        <v>804</v>
      </c>
      <c r="O804" s="25">
        <f t="shared" si="23"/>
        <v>-1.0640058638543559E-3</v>
      </c>
    </row>
    <row r="805" spans="1:15">
      <c r="A805" s="78">
        <v>389.94839356401053</v>
      </c>
      <c r="B805" s="78">
        <v>391.78552611090083</v>
      </c>
      <c r="C805" s="78">
        <v>389.46237966271684</v>
      </c>
      <c r="D805" s="78">
        <v>391.05650525896021</v>
      </c>
      <c r="E805" s="78">
        <v>3522062.8369752495</v>
      </c>
      <c r="F805" s="78" t="s">
        <v>805</v>
      </c>
      <c r="G805" s="25">
        <f t="shared" si="22"/>
        <v>-2.8336357535233558E-3</v>
      </c>
      <c r="I805" s="78">
        <v>42.445000000000007</v>
      </c>
      <c r="J805" s="78">
        <v>43.455000000000013</v>
      </c>
      <c r="K805" s="78">
        <v>42.254000000000012</v>
      </c>
      <c r="L805" s="78">
        <v>43.265000000000008</v>
      </c>
      <c r="M805" s="78">
        <v>51464409.999999993</v>
      </c>
      <c r="N805" s="78" t="s">
        <v>805</v>
      </c>
      <c r="O805" s="25">
        <f t="shared" si="23"/>
        <v>-1.8952964289841723E-2</v>
      </c>
    </row>
    <row r="806" spans="1:15">
      <c r="A806" s="78">
        <v>392.0965750077288</v>
      </c>
      <c r="B806" s="78">
        <v>393.01028114216103</v>
      </c>
      <c r="C806" s="78">
        <v>390.03587606624342</v>
      </c>
      <c r="D806" s="78">
        <v>392.20349806601342</v>
      </c>
      <c r="E806" s="78">
        <v>4369094.1644829009</v>
      </c>
      <c r="F806" s="78" t="s">
        <v>806</v>
      </c>
      <c r="G806" s="25">
        <f t="shared" si="22"/>
        <v>-2.7262137847283707E-4</v>
      </c>
      <c r="I806" s="78">
        <v>43.470000000000006</v>
      </c>
      <c r="J806" s="78">
        <v>44.000000000000007</v>
      </c>
      <c r="K806" s="78">
        <v>43.000000000000007</v>
      </c>
      <c r="L806" s="78">
        <v>43.018000000000008</v>
      </c>
      <c r="M806" s="78">
        <v>47623129.999999993</v>
      </c>
      <c r="N806" s="78" t="s">
        <v>806</v>
      </c>
      <c r="O806" s="25">
        <f t="shared" si="23"/>
        <v>1.0507229531823814E-2</v>
      </c>
    </row>
    <row r="807" spans="1:15">
      <c r="A807" s="78">
        <v>393.91426699856737</v>
      </c>
      <c r="B807" s="78">
        <v>397.32608458564931</v>
      </c>
      <c r="C807" s="78">
        <v>393.56433698963588</v>
      </c>
      <c r="D807" s="78">
        <v>397.25804263946821</v>
      </c>
      <c r="E807" s="78">
        <v>5289853.8357778713</v>
      </c>
      <c r="F807" s="78" t="s">
        <v>807</v>
      </c>
      <c r="G807" s="25">
        <f t="shared" si="22"/>
        <v>-8.4171376838190204E-3</v>
      </c>
      <c r="I807" s="78">
        <v>43.196000000000005</v>
      </c>
      <c r="J807" s="78">
        <v>44.751000000000005</v>
      </c>
      <c r="K807" s="78">
        <v>43.09</v>
      </c>
      <c r="L807" s="78">
        <v>44.615000000000009</v>
      </c>
      <c r="M807" s="78">
        <v>87537399.999999985</v>
      </c>
      <c r="N807" s="78" t="s">
        <v>807</v>
      </c>
      <c r="O807" s="25">
        <f t="shared" si="23"/>
        <v>-3.1805446598677678E-2</v>
      </c>
    </row>
    <row r="808" spans="1:15">
      <c r="A808" s="78">
        <v>395.37230870244855</v>
      </c>
      <c r="B808" s="78">
        <v>396.51930150950176</v>
      </c>
      <c r="C808" s="78">
        <v>389.67622577928603</v>
      </c>
      <c r="D808" s="78">
        <v>389.78314883757065</v>
      </c>
      <c r="E808" s="78">
        <v>5437070.8182747522</v>
      </c>
      <c r="F808" s="78" t="s">
        <v>808</v>
      </c>
      <c r="G808" s="25">
        <f t="shared" si="22"/>
        <v>1.4339152119700715E-2</v>
      </c>
      <c r="I808" s="78">
        <v>44.527000000000008</v>
      </c>
      <c r="J808" s="78">
        <v>44.865000000000009</v>
      </c>
      <c r="K808" s="78">
        <v>43.95000000000001</v>
      </c>
      <c r="L808" s="78">
        <v>44.410000000000011</v>
      </c>
      <c r="M808" s="78">
        <v>70999149.999999985</v>
      </c>
      <c r="N808" s="78" t="s">
        <v>808</v>
      </c>
      <c r="O808" s="25">
        <f t="shared" si="23"/>
        <v>2.6345417698716567E-3</v>
      </c>
    </row>
    <row r="809" spans="1:15">
      <c r="A809" s="78">
        <v>390.36636551912318</v>
      </c>
      <c r="B809" s="78">
        <v>392.1510085646737</v>
      </c>
      <c r="C809" s="78">
        <v>387.31419821899851</v>
      </c>
      <c r="D809" s="78">
        <v>390.37608579714902</v>
      </c>
      <c r="E809" s="78">
        <v>5309804.9111981187</v>
      </c>
      <c r="F809" s="78" t="s">
        <v>809</v>
      </c>
      <c r="G809" s="25">
        <f t="shared" si="22"/>
        <v>-2.4899778391929139E-5</v>
      </c>
      <c r="I809" s="78">
        <v>44.086000000000013</v>
      </c>
      <c r="J809" s="78">
        <v>44.733000000000004</v>
      </c>
      <c r="K809" s="78">
        <v>43.350000000000009</v>
      </c>
      <c r="L809" s="78">
        <v>43.499000000000009</v>
      </c>
      <c r="M809" s="78">
        <v>84130889.999999985</v>
      </c>
      <c r="N809" s="78" t="s">
        <v>809</v>
      </c>
      <c r="O809" s="25">
        <f t="shared" si="23"/>
        <v>1.3494563093404466E-2</v>
      </c>
    </row>
    <row r="810" spans="1:15">
      <c r="A810" s="78">
        <v>390.06503690032105</v>
      </c>
      <c r="B810" s="78">
        <v>390.60937246977005</v>
      </c>
      <c r="C810" s="78">
        <v>388.22790435343069</v>
      </c>
      <c r="D810" s="78">
        <v>388.82958956323239</v>
      </c>
      <c r="E810" s="78">
        <v>4025692.4643345485</v>
      </c>
      <c r="F810" s="78" t="s">
        <v>810</v>
      </c>
      <c r="G810" s="25">
        <f t="shared" si="22"/>
        <v>3.1773490759188228E-3</v>
      </c>
      <c r="I810" s="78">
        <v>43.573000000000008</v>
      </c>
      <c r="J810" s="78">
        <v>43.727000000000004</v>
      </c>
      <c r="K810" s="78">
        <v>42.84</v>
      </c>
      <c r="L810" s="78">
        <v>43.001000000000005</v>
      </c>
      <c r="M810" s="78">
        <v>78205349.999999985</v>
      </c>
      <c r="N810" s="78" t="s">
        <v>810</v>
      </c>
      <c r="O810" s="25">
        <f t="shared" si="23"/>
        <v>1.3302016232180636E-2</v>
      </c>
    </row>
    <row r="811" spans="1:15">
      <c r="A811" s="78">
        <v>387.50860377951602</v>
      </c>
      <c r="B811" s="78">
        <v>387.53290447458073</v>
      </c>
      <c r="C811" s="78">
        <v>384.24259036282217</v>
      </c>
      <c r="D811" s="78">
        <v>384.90356926858163</v>
      </c>
      <c r="E811" s="78">
        <v>3906518.9183807769</v>
      </c>
      <c r="F811" s="78" t="s">
        <v>811</v>
      </c>
      <c r="G811" s="25">
        <f t="shared" si="22"/>
        <v>6.7680185867973197E-3</v>
      </c>
      <c r="I811" s="78">
        <v>42.397000000000013</v>
      </c>
      <c r="J811" s="78">
        <v>42.470000000000006</v>
      </c>
      <c r="K811" s="78">
        <v>41.656690000000005</v>
      </c>
      <c r="L811" s="78">
        <v>41.88300000000001</v>
      </c>
      <c r="M811" s="78">
        <v>59677119.999999985</v>
      </c>
      <c r="N811" s="78" t="s">
        <v>811</v>
      </c>
      <c r="O811" s="25">
        <f t="shared" si="23"/>
        <v>1.2272282310245242E-2</v>
      </c>
    </row>
    <row r="812" spans="1:15">
      <c r="A812" s="78">
        <v>383.98014285612351</v>
      </c>
      <c r="B812" s="78">
        <v>385.8269956810397</v>
      </c>
      <c r="C812" s="78">
        <v>383.05671644366544</v>
      </c>
      <c r="D812" s="78">
        <v>383.9995834121753</v>
      </c>
      <c r="E812" s="78">
        <v>3151008.635603732</v>
      </c>
      <c r="F812" s="78" t="s">
        <v>812</v>
      </c>
      <c r="G812" s="25">
        <f t="shared" si="22"/>
        <v>-5.0626502974382426E-5</v>
      </c>
      <c r="I812" s="78">
        <v>42.00200000000001</v>
      </c>
      <c r="J812" s="78">
        <v>42.59</v>
      </c>
      <c r="K812" s="78">
        <v>41.476000000000006</v>
      </c>
      <c r="L812" s="78">
        <v>42.45000000000001</v>
      </c>
      <c r="M812" s="78">
        <v>123728269.99999997</v>
      </c>
      <c r="N812" s="78" t="s">
        <v>812</v>
      </c>
      <c r="O812" s="25">
        <f t="shared" si="23"/>
        <v>-1.0553592461719719E-2</v>
      </c>
    </row>
    <row r="813" spans="1:15">
      <c r="A813" s="78">
        <v>383.33860450641583</v>
      </c>
      <c r="B813" s="78">
        <v>383.68853451534733</v>
      </c>
      <c r="C813" s="78">
        <v>380.34475887444648</v>
      </c>
      <c r="D813" s="78">
        <v>380.99601750218005</v>
      </c>
      <c r="E813" s="78">
        <v>3559930.066597715</v>
      </c>
      <c r="F813" s="78" t="s">
        <v>813</v>
      </c>
      <c r="G813" s="25">
        <f t="shared" si="22"/>
        <v>6.1485865904684633E-3</v>
      </c>
      <c r="I813" s="78">
        <v>40.937000000000012</v>
      </c>
      <c r="J813" s="78">
        <v>40.954000000000008</v>
      </c>
      <c r="K813" s="78">
        <v>39.634000000000007</v>
      </c>
      <c r="L813" s="78">
        <v>39.977000000000004</v>
      </c>
      <c r="M813" s="78">
        <v>59910869.999999985</v>
      </c>
      <c r="N813" s="78" t="s">
        <v>813</v>
      </c>
      <c r="O813" s="25">
        <f t="shared" si="23"/>
        <v>2.4013807939565535E-2</v>
      </c>
    </row>
    <row r="814" spans="1:15">
      <c r="A814" s="78">
        <v>381.05433917033525</v>
      </c>
      <c r="B814" s="78">
        <v>383.7176953494249</v>
      </c>
      <c r="C814" s="78">
        <v>380.58776582509336</v>
      </c>
      <c r="D814" s="78">
        <v>382.65818504460464</v>
      </c>
      <c r="E814" s="78">
        <v>4056358.2538527637</v>
      </c>
      <c r="F814" s="78" t="s">
        <v>814</v>
      </c>
      <c r="G814" s="25">
        <f t="shared" si="22"/>
        <v>-4.1913277618311762E-3</v>
      </c>
      <c r="I814" s="78">
        <v>39.977000000000004</v>
      </c>
      <c r="J814" s="78">
        <v>41.89500000000001</v>
      </c>
      <c r="K814" s="78">
        <v>39.923000000000009</v>
      </c>
      <c r="L814" s="78">
        <v>41.043000000000006</v>
      </c>
      <c r="M814" s="78">
        <v>119323919.99999997</v>
      </c>
      <c r="N814" s="78" t="s">
        <v>814</v>
      </c>
      <c r="O814" s="25">
        <f t="shared" si="23"/>
        <v>-2.5972760275808304E-2</v>
      </c>
    </row>
    <row r="815" spans="1:15">
      <c r="A815" s="78">
        <v>382.30825503567314</v>
      </c>
      <c r="B815" s="78">
        <v>382.7748283809151</v>
      </c>
      <c r="C815" s="78">
        <v>380.46140221075694</v>
      </c>
      <c r="D815" s="78">
        <v>381.08350000441294</v>
      </c>
      <c r="E815" s="78">
        <v>2977963.1737843766</v>
      </c>
      <c r="F815" s="78" t="s">
        <v>815</v>
      </c>
      <c r="G815" s="25">
        <f t="shared" si="22"/>
        <v>3.2138757811503993E-3</v>
      </c>
      <c r="I815" s="78">
        <v>39.929000000000009</v>
      </c>
      <c r="J815" s="78">
        <v>40.512000000000008</v>
      </c>
      <c r="K815" s="78">
        <v>39.693000000000005</v>
      </c>
      <c r="L815" s="78">
        <v>40.500000000000007</v>
      </c>
      <c r="M815" s="78">
        <v>49915319.999999993</v>
      </c>
      <c r="N815" s="78" t="s">
        <v>815</v>
      </c>
      <c r="O815" s="25">
        <f t="shared" si="23"/>
        <v>-1.4098765432098759E-2</v>
      </c>
    </row>
    <row r="816" spans="1:15">
      <c r="A816" s="78">
        <v>381.52091251557727</v>
      </c>
      <c r="B816" s="78">
        <v>383.7274156274508</v>
      </c>
      <c r="C816" s="78">
        <v>380.83077277574017</v>
      </c>
      <c r="D816" s="78">
        <v>382.53182143026822</v>
      </c>
      <c r="E816" s="78">
        <v>4127225.568364379</v>
      </c>
      <c r="F816" s="78" t="s">
        <v>816</v>
      </c>
      <c r="G816" s="25">
        <f t="shared" si="22"/>
        <v>-2.642679270213999E-3</v>
      </c>
      <c r="I816" s="78">
        <v>40.354000000000013</v>
      </c>
      <c r="J816" s="78">
        <v>41.38600000000001</v>
      </c>
      <c r="K816" s="78">
        <v>40.015000000000008</v>
      </c>
      <c r="L816" s="78">
        <v>40.047000000000011</v>
      </c>
      <c r="M816" s="78">
        <v>72474129.999999985</v>
      </c>
      <c r="N816" s="78" t="s">
        <v>816</v>
      </c>
      <c r="O816" s="25">
        <f t="shared" si="23"/>
        <v>7.6659924588609041E-3</v>
      </c>
    </row>
    <row r="817" spans="1:15">
      <c r="A817" s="78">
        <v>382.25965364554372</v>
      </c>
      <c r="B817" s="78">
        <v>382.94007310735492</v>
      </c>
      <c r="C817" s="78">
        <v>378.64371021991843</v>
      </c>
      <c r="D817" s="78">
        <v>379.16860523331559</v>
      </c>
      <c r="E817" s="78">
        <v>7580958.055299025</v>
      </c>
      <c r="F817" s="78" t="s">
        <v>817</v>
      </c>
      <c r="G817" s="25">
        <f t="shared" si="22"/>
        <v>8.152173913043459E-3</v>
      </c>
      <c r="I817" s="78">
        <v>40.047000000000011</v>
      </c>
      <c r="J817" s="78">
        <v>40.658000000000008</v>
      </c>
      <c r="K817" s="78">
        <v>39.590000000000003</v>
      </c>
      <c r="L817" s="78">
        <v>40.289000000000009</v>
      </c>
      <c r="M817" s="78">
        <v>59023809.999999985</v>
      </c>
      <c r="N817" s="78" t="s">
        <v>817</v>
      </c>
      <c r="O817" s="25">
        <f t="shared" si="23"/>
        <v>-6.0066022983940037E-3</v>
      </c>
    </row>
    <row r="818" spans="1:15">
      <c r="A818" s="78">
        <v>376.72881544882108</v>
      </c>
      <c r="B818" s="78">
        <v>377.70084325140857</v>
      </c>
      <c r="C818" s="78">
        <v>372.25748755691882</v>
      </c>
      <c r="D818" s="78">
        <v>373.45308175410133</v>
      </c>
      <c r="E818" s="78">
        <v>3666103.9843861563</v>
      </c>
      <c r="F818" s="78" t="s">
        <v>818</v>
      </c>
      <c r="G818" s="25">
        <f t="shared" si="22"/>
        <v>8.7714731910464305E-3</v>
      </c>
      <c r="I818" s="78">
        <v>40.313000000000009</v>
      </c>
      <c r="J818" s="78">
        <v>40.75200000000001</v>
      </c>
      <c r="K818" s="78">
        <v>39.308000000000007</v>
      </c>
      <c r="L818" s="78">
        <v>39.741000000000007</v>
      </c>
      <c r="M818" s="78">
        <v>71601449.999999985</v>
      </c>
      <c r="N818" s="78" t="s">
        <v>818</v>
      </c>
      <c r="O818" s="25">
        <f t="shared" si="23"/>
        <v>1.4393195943735781E-2</v>
      </c>
    </row>
    <row r="819" spans="1:15">
      <c r="A819" s="78">
        <v>373.15175313529926</v>
      </c>
      <c r="B819" s="78">
        <v>374.38622844458536</v>
      </c>
      <c r="C819" s="78">
        <v>371.72287226549571</v>
      </c>
      <c r="D819" s="78">
        <v>373.56000481238601</v>
      </c>
      <c r="E819" s="78">
        <v>4326365.9627900664</v>
      </c>
      <c r="F819" s="78" t="s">
        <v>819</v>
      </c>
      <c r="G819" s="25">
        <f t="shared" si="22"/>
        <v>-1.0928677369832496E-3</v>
      </c>
      <c r="I819" s="78">
        <v>39.52300000000001</v>
      </c>
      <c r="J819" s="78">
        <v>39.626000000000005</v>
      </c>
      <c r="K819" s="78">
        <v>38.891000000000012</v>
      </c>
      <c r="L819" s="78">
        <v>39.189000000000007</v>
      </c>
      <c r="M819" s="78">
        <v>69880469.999999985</v>
      </c>
      <c r="N819" s="78" t="s">
        <v>819</v>
      </c>
      <c r="O819" s="25">
        <f t="shared" si="23"/>
        <v>8.5227997652403964E-3</v>
      </c>
    </row>
    <row r="820" spans="1:15">
      <c r="A820" s="78">
        <v>375.19301152073291</v>
      </c>
      <c r="B820" s="78">
        <v>377.39951463260644</v>
      </c>
      <c r="C820" s="78">
        <v>373.99741732355034</v>
      </c>
      <c r="D820" s="78">
        <v>376.91350073131269</v>
      </c>
      <c r="E820" s="78">
        <v>4082651.7404505406</v>
      </c>
      <c r="F820" s="78" t="s">
        <v>820</v>
      </c>
      <c r="G820" s="25">
        <f t="shared" si="22"/>
        <v>-4.5646791829997424E-3</v>
      </c>
      <c r="I820" s="78">
        <v>39.298000000000009</v>
      </c>
      <c r="J820" s="78">
        <v>40.51100000000001</v>
      </c>
      <c r="K820" s="78">
        <v>38.579000000000008</v>
      </c>
      <c r="L820" s="78">
        <v>39.748000000000012</v>
      </c>
      <c r="M820" s="78">
        <v>108649899.99999999</v>
      </c>
      <c r="N820" s="78" t="s">
        <v>820</v>
      </c>
      <c r="O820" s="25">
        <f t="shared" si="23"/>
        <v>-1.1321324343363304E-2</v>
      </c>
    </row>
    <row r="821" spans="1:15">
      <c r="A821" s="78">
        <v>375.07636818442245</v>
      </c>
      <c r="B821" s="78">
        <v>375.75678764623365</v>
      </c>
      <c r="C821" s="78">
        <v>370.86262766020582</v>
      </c>
      <c r="D821" s="78">
        <v>370.96469057947746</v>
      </c>
      <c r="E821" s="78">
        <v>3130354.9053847413</v>
      </c>
      <c r="F821" s="78" t="s">
        <v>821</v>
      </c>
      <c r="G821" s="25">
        <f t="shared" si="22"/>
        <v>1.1083743842364546E-2</v>
      </c>
      <c r="I821" s="78">
        <v>37.888000000000005</v>
      </c>
      <c r="J821" s="78">
        <v>38.376000000000005</v>
      </c>
      <c r="K821" s="78">
        <v>35.600000000000009</v>
      </c>
      <c r="L821" s="78">
        <v>36.110000000000007</v>
      </c>
      <c r="M821" s="78">
        <v>93604359.999999985</v>
      </c>
      <c r="N821" s="78" t="s">
        <v>821</v>
      </c>
      <c r="O821" s="25">
        <f t="shared" si="23"/>
        <v>4.9238438105787763E-2</v>
      </c>
    </row>
    <row r="822" spans="1:15">
      <c r="A822" s="78">
        <v>370.26483056161453</v>
      </c>
      <c r="B822" s="78">
        <v>371.5867883731334</v>
      </c>
      <c r="C822" s="78">
        <v>368.32077495643961</v>
      </c>
      <c r="D822" s="78">
        <v>370.33287250779563</v>
      </c>
      <c r="E822" s="78">
        <v>3411293.3716231384</v>
      </c>
      <c r="F822" s="78" t="s">
        <v>822</v>
      </c>
      <c r="G822" s="25">
        <f t="shared" si="22"/>
        <v>-1.8373185647913015E-4</v>
      </c>
      <c r="I822" s="78">
        <v>35.900000000000006</v>
      </c>
      <c r="J822" s="78">
        <v>36.744990000000008</v>
      </c>
      <c r="K822" s="78">
        <v>35.742000000000012</v>
      </c>
      <c r="L822" s="78">
        <v>35.961000000000006</v>
      </c>
      <c r="M822" s="78">
        <v>62631049.999999985</v>
      </c>
      <c r="N822" s="78" t="s">
        <v>822</v>
      </c>
      <c r="O822" s="25">
        <f t="shared" si="23"/>
        <v>-1.6962820833681391E-3</v>
      </c>
    </row>
    <row r="823" spans="1:15">
      <c r="A823" s="78">
        <v>367.06685909110178</v>
      </c>
      <c r="B823" s="78">
        <v>368.64154413129347</v>
      </c>
      <c r="C823" s="78">
        <v>366.03650962035908</v>
      </c>
      <c r="D823" s="78">
        <v>368.31105467841377</v>
      </c>
      <c r="E823" s="78">
        <v>3715523.3527129977</v>
      </c>
      <c r="F823" s="78" t="s">
        <v>823</v>
      </c>
      <c r="G823" s="25">
        <f t="shared" si="22"/>
        <v>-3.378110897046871E-3</v>
      </c>
      <c r="I823" s="78">
        <v>36.485000000000007</v>
      </c>
      <c r="J823" s="78">
        <v>36.715100000000007</v>
      </c>
      <c r="K823" s="78">
        <v>35.662500000000009</v>
      </c>
      <c r="L823" s="78">
        <v>35.693000000000005</v>
      </c>
      <c r="M823" s="78">
        <v>79733159.999999985</v>
      </c>
      <c r="N823" s="78" t="s">
        <v>823</v>
      </c>
      <c r="O823" s="25">
        <f t="shared" si="23"/>
        <v>2.2189224777967809E-2</v>
      </c>
    </row>
    <row r="824" spans="1:15">
      <c r="A824" s="78">
        <v>369.83713832847604</v>
      </c>
      <c r="B824" s="78">
        <v>373.3655992518685</v>
      </c>
      <c r="C824" s="78">
        <v>369.44832720744103</v>
      </c>
      <c r="D824" s="78">
        <v>372.47133367348806</v>
      </c>
      <c r="E824" s="78">
        <v>2970351.2515941835</v>
      </c>
      <c r="F824" s="78" t="s">
        <v>824</v>
      </c>
      <c r="G824" s="25">
        <f t="shared" si="22"/>
        <v>-7.0722096088102759E-3</v>
      </c>
      <c r="I824" s="78">
        <v>35.599000000000011</v>
      </c>
      <c r="J824" s="78">
        <v>36.417000000000009</v>
      </c>
      <c r="K824" s="78">
        <v>35.431000000000004</v>
      </c>
      <c r="L824" s="78">
        <v>36.024000000000008</v>
      </c>
      <c r="M824" s="78">
        <v>68660779.999999985</v>
      </c>
      <c r="N824" s="78" t="s">
        <v>824</v>
      </c>
      <c r="O824" s="25">
        <f t="shared" si="23"/>
        <v>-1.1797690428603125E-2</v>
      </c>
    </row>
    <row r="825" spans="1:15">
      <c r="A825" s="78">
        <v>374.01685787960207</v>
      </c>
      <c r="B825" s="78">
        <v>375.42629819335394</v>
      </c>
      <c r="C825" s="78">
        <v>372.74350145821256</v>
      </c>
      <c r="D825" s="78">
        <v>373.90021454329161</v>
      </c>
      <c r="E825" s="78">
        <v>2864127.9525021706</v>
      </c>
      <c r="F825" s="78" t="s">
        <v>825</v>
      </c>
      <c r="G825" s="25">
        <f t="shared" si="22"/>
        <v>3.1196381219777969E-4</v>
      </c>
      <c r="I825" s="78">
        <v>36.301000000000009</v>
      </c>
      <c r="J825" s="78">
        <v>37.201000000000008</v>
      </c>
      <c r="K825" s="78">
        <v>36.250000000000007</v>
      </c>
      <c r="L825" s="78">
        <v>36.536000000000008</v>
      </c>
      <c r="M825" s="78">
        <v>54064199.999999993</v>
      </c>
      <c r="N825" s="78" t="s">
        <v>825</v>
      </c>
      <c r="O825" s="25">
        <f t="shared" si="23"/>
        <v>-6.4320122618787279E-3</v>
      </c>
    </row>
    <row r="826" spans="1:15">
      <c r="A826" s="78">
        <v>373.81273204105872</v>
      </c>
      <c r="B826" s="78">
        <v>375.72762681215602</v>
      </c>
      <c r="C826" s="78">
        <v>372.71434062413488</v>
      </c>
      <c r="D826" s="78">
        <v>375.22217235481054</v>
      </c>
      <c r="E826" s="78">
        <v>3754052.0860478966</v>
      </c>
      <c r="F826" s="78" t="s">
        <v>826</v>
      </c>
      <c r="G826" s="25">
        <f t="shared" si="22"/>
        <v>-3.7562820579244427E-3</v>
      </c>
      <c r="I826" s="78">
        <v>36.536000000000008</v>
      </c>
      <c r="J826" s="78">
        <v>36.999000000000009</v>
      </c>
      <c r="K826" s="78">
        <v>36.381000000000007</v>
      </c>
      <c r="L826" s="78">
        <v>36.986000000000011</v>
      </c>
      <c r="M826" s="78">
        <v>78597029.999999985</v>
      </c>
      <c r="N826" s="78" t="s">
        <v>826</v>
      </c>
      <c r="O826" s="25">
        <f t="shared" si="23"/>
        <v>-1.2166765803277024E-2</v>
      </c>
    </row>
    <row r="827" spans="1:15">
      <c r="A827" s="78">
        <v>374.40566900063709</v>
      </c>
      <c r="B827" s="78">
        <v>374.78475984364616</v>
      </c>
      <c r="C827" s="78">
        <v>370.34259278582152</v>
      </c>
      <c r="D827" s="78">
        <v>370.59532001449423</v>
      </c>
      <c r="E827" s="78">
        <v>3436753.5487231379</v>
      </c>
      <c r="F827" s="78" t="s">
        <v>827</v>
      </c>
      <c r="G827" s="25">
        <f t="shared" ref="G827:G890" si="24">A827/D827-1</f>
        <v>1.0281697529245237E-2</v>
      </c>
      <c r="I827" s="78">
        <v>37.129000000000012</v>
      </c>
      <c r="J827" s="78">
        <v>37.58700000000001</v>
      </c>
      <c r="K827" s="78">
        <v>34.637000000000008</v>
      </c>
      <c r="L827" s="78">
        <v>34.725000000000009</v>
      </c>
      <c r="M827" s="78">
        <v>209252349.99999997</v>
      </c>
      <c r="N827" s="78" t="s">
        <v>827</v>
      </c>
      <c r="O827" s="25">
        <f t="shared" ref="O827:O890" si="25">I827/L827-1</f>
        <v>6.9229661627070005E-2</v>
      </c>
    </row>
    <row r="828" spans="1:15">
      <c r="A828" s="78">
        <v>370.78000529698585</v>
      </c>
      <c r="B828" s="78">
        <v>371.40210309064179</v>
      </c>
      <c r="C828" s="78">
        <v>366.72664936019612</v>
      </c>
      <c r="D828" s="78">
        <v>368.25273301025851</v>
      </c>
      <c r="E828" s="78">
        <v>3315383.5635375697</v>
      </c>
      <c r="F828" s="78" t="s">
        <v>828</v>
      </c>
      <c r="G828" s="25">
        <f t="shared" si="24"/>
        <v>6.8628744885836923E-3</v>
      </c>
      <c r="I828" s="78">
        <v>33.996000000000002</v>
      </c>
      <c r="J828" s="78">
        <v>34.138000000000005</v>
      </c>
      <c r="K828" s="78">
        <v>32.961500000000008</v>
      </c>
      <c r="L828" s="78">
        <v>33.176000000000009</v>
      </c>
      <c r="M828" s="78">
        <v>39588069.999999993</v>
      </c>
      <c r="N828" s="78" t="s">
        <v>828</v>
      </c>
      <c r="O828" s="25">
        <f t="shared" si="25"/>
        <v>2.4716662647696896E-2</v>
      </c>
    </row>
    <row r="829" spans="1:15">
      <c r="A829" s="78">
        <v>366.40588018534231</v>
      </c>
      <c r="B829" s="78">
        <v>368.67070496537104</v>
      </c>
      <c r="C829" s="78">
        <v>366.36699907323884</v>
      </c>
      <c r="D829" s="78">
        <v>367.80560022106823</v>
      </c>
      <c r="E829" s="78">
        <v>2343159.3149261507</v>
      </c>
      <c r="F829" s="78" t="s">
        <v>829</v>
      </c>
      <c r="G829" s="25">
        <f t="shared" si="24"/>
        <v>-3.8055973995083647E-3</v>
      </c>
      <c r="I829" s="78">
        <v>33.375000000000007</v>
      </c>
      <c r="J829" s="78">
        <v>33.51700000000001</v>
      </c>
      <c r="K829" s="78">
        <v>33.19100000000001</v>
      </c>
      <c r="L829" s="78">
        <v>33.400000000000006</v>
      </c>
      <c r="M829" s="78">
        <v>33348629.999999993</v>
      </c>
      <c r="N829" s="78" t="s">
        <v>829</v>
      </c>
      <c r="O829" s="25">
        <f t="shared" si="25"/>
        <v>-7.4850299401196807E-4</v>
      </c>
    </row>
    <row r="830" spans="1:15">
      <c r="A830" s="78">
        <v>368.84566996983682</v>
      </c>
      <c r="B830" s="78">
        <v>369.21504053482005</v>
      </c>
      <c r="C830" s="78">
        <v>366.36699907323884</v>
      </c>
      <c r="D830" s="78">
        <v>368.14580995197389</v>
      </c>
      <c r="E830" s="78">
        <v>3994290.0703713847</v>
      </c>
      <c r="F830" s="78" t="s">
        <v>830</v>
      </c>
      <c r="G830" s="25">
        <f t="shared" si="24"/>
        <v>1.9010402914927393E-3</v>
      </c>
      <c r="I830" s="78">
        <v>33.589000000000006</v>
      </c>
      <c r="J830" s="78">
        <v>34.190000000000005</v>
      </c>
      <c r="K830" s="78">
        <v>33.554000000000009</v>
      </c>
      <c r="L830" s="78">
        <v>34.062000000000005</v>
      </c>
      <c r="M830" s="78">
        <v>36529699.999999993</v>
      </c>
      <c r="N830" s="78" t="s">
        <v>830</v>
      </c>
      <c r="O830" s="25">
        <f t="shared" si="25"/>
        <v>-1.3886442369796193E-2</v>
      </c>
    </row>
    <row r="831" spans="1:15">
      <c r="A831" s="78">
        <v>367.57231354844726</v>
      </c>
      <c r="B831" s="78">
        <v>369.38028526125993</v>
      </c>
      <c r="C831" s="78">
        <v>365.32206918545728</v>
      </c>
      <c r="D831" s="78">
        <v>369.22476081284594</v>
      </c>
      <c r="E831" s="78">
        <v>2603850.4179228684</v>
      </c>
      <c r="F831" s="78" t="s">
        <v>831</v>
      </c>
      <c r="G831" s="25">
        <f t="shared" si="24"/>
        <v>-4.4754508358563205E-3</v>
      </c>
      <c r="I831" s="78">
        <v>33.989000000000004</v>
      </c>
      <c r="J831" s="78">
        <v>34.816640000000007</v>
      </c>
      <c r="K831" s="78">
        <v>33.736370000000008</v>
      </c>
      <c r="L831" s="78">
        <v>34.476000000000006</v>
      </c>
      <c r="M831" s="78">
        <v>60823599.999999985</v>
      </c>
      <c r="N831" s="78" t="s">
        <v>831</v>
      </c>
      <c r="O831" s="25">
        <f t="shared" si="25"/>
        <v>-1.4125768650655623E-2</v>
      </c>
    </row>
    <row r="832" spans="1:15">
      <c r="A832" s="78">
        <v>368.0680477277669</v>
      </c>
      <c r="B832" s="78">
        <v>368.28189384433608</v>
      </c>
      <c r="C832" s="78">
        <v>366.13371240061781</v>
      </c>
      <c r="D832" s="78">
        <v>367.88336244527528</v>
      </c>
      <c r="E832" s="78">
        <v>2753647.5735313874</v>
      </c>
      <c r="F832" s="78" t="s">
        <v>832</v>
      </c>
      <c r="G832" s="25">
        <f t="shared" si="24"/>
        <v>5.0202129627185954E-4</v>
      </c>
      <c r="I832" s="78">
        <v>34.476000000000006</v>
      </c>
      <c r="J832" s="78">
        <v>34.547000000000011</v>
      </c>
      <c r="K832" s="78">
        <v>33.184000000000005</v>
      </c>
      <c r="L832" s="78">
        <v>33.498000000000012</v>
      </c>
      <c r="M832" s="78">
        <v>80335309.999999985</v>
      </c>
      <c r="N832" s="78" t="s">
        <v>832</v>
      </c>
      <c r="O832" s="25">
        <f t="shared" si="25"/>
        <v>2.9195772881962956E-2</v>
      </c>
    </row>
    <row r="833" spans="1:15">
      <c r="A833" s="78">
        <v>368.58322246313821</v>
      </c>
      <c r="B833" s="78">
        <v>370.17734805938164</v>
      </c>
      <c r="C833" s="78">
        <v>365.13252376395269</v>
      </c>
      <c r="D833" s="78">
        <v>369.64273276795853</v>
      </c>
      <c r="E833" s="78">
        <v>3614039.6299867393</v>
      </c>
      <c r="F833" s="78" t="s">
        <v>833</v>
      </c>
      <c r="G833" s="25">
        <f t="shared" si="24"/>
        <v>-2.8663090354474896E-3</v>
      </c>
      <c r="I833" s="78">
        <v>33.542000000000009</v>
      </c>
      <c r="J833" s="78">
        <v>33.711000000000006</v>
      </c>
      <c r="K833" s="78">
        <v>32.951000000000008</v>
      </c>
      <c r="L833" s="78">
        <v>33.521000000000008</v>
      </c>
      <c r="M833" s="78">
        <v>42898969.999999993</v>
      </c>
      <c r="N833" s="78" t="s">
        <v>833</v>
      </c>
      <c r="O833" s="25">
        <f t="shared" si="25"/>
        <v>6.2647295725071217E-4</v>
      </c>
    </row>
    <row r="834" spans="1:15">
      <c r="A834" s="78">
        <v>366.97937658886894</v>
      </c>
      <c r="B834" s="78">
        <v>367.99028550355985</v>
      </c>
      <c r="C834" s="78">
        <v>366.77525075032554</v>
      </c>
      <c r="D834" s="78">
        <v>367.14462131530877</v>
      </c>
      <c r="E834" s="78">
        <v>2336403.3353312062</v>
      </c>
      <c r="F834" s="78" t="s">
        <v>834</v>
      </c>
      <c r="G834" s="25">
        <f t="shared" si="24"/>
        <v>-4.500807497814785E-4</v>
      </c>
      <c r="I834" s="78">
        <v>33.214000000000006</v>
      </c>
      <c r="J834" s="78">
        <v>33.632000000000005</v>
      </c>
      <c r="K834" s="78">
        <v>32.974010000000007</v>
      </c>
      <c r="L834" s="78">
        <v>33.067000000000007</v>
      </c>
      <c r="M834" s="78">
        <v>55448519.999999993</v>
      </c>
      <c r="N834" s="78" t="s">
        <v>834</v>
      </c>
      <c r="O834" s="25">
        <f t="shared" si="25"/>
        <v>4.4455197024222404E-3</v>
      </c>
    </row>
    <row r="835" spans="1:15">
      <c r="A835" s="78">
        <v>368.57350218511232</v>
      </c>
      <c r="B835" s="78">
        <v>369.0011944182508</v>
      </c>
      <c r="C835" s="78">
        <v>367.30986604174865</v>
      </c>
      <c r="D835" s="78">
        <v>368.79706857970746</v>
      </c>
      <c r="E835" s="78">
        <v>3042729.8397505339</v>
      </c>
      <c r="F835" s="78" t="s">
        <v>835</v>
      </c>
      <c r="G835" s="25">
        <f t="shared" si="24"/>
        <v>-6.0620436994285321E-4</v>
      </c>
      <c r="I835" s="78">
        <v>33.121000000000002</v>
      </c>
      <c r="J835" s="78">
        <v>33.256000000000007</v>
      </c>
      <c r="K835" s="78">
        <v>32.203000000000003</v>
      </c>
      <c r="L835" s="78">
        <v>32.299000000000007</v>
      </c>
      <c r="M835" s="78">
        <v>54885929.999999993</v>
      </c>
      <c r="N835" s="78" t="s">
        <v>835</v>
      </c>
      <c r="O835" s="25">
        <f t="shared" si="25"/>
        <v>2.5449704325211098E-2</v>
      </c>
    </row>
    <row r="836" spans="1:15">
      <c r="A836" s="78">
        <v>368.36937634656897</v>
      </c>
      <c r="B836" s="78">
        <v>369.45804748546692</v>
      </c>
      <c r="C836" s="78">
        <v>364.9283979254094</v>
      </c>
      <c r="D836" s="78">
        <v>365.22972654421147</v>
      </c>
      <c r="E836" s="78">
        <v>3229736.8363777162</v>
      </c>
      <c r="F836" s="78" t="s">
        <v>836</v>
      </c>
      <c r="G836" s="25">
        <f t="shared" si="24"/>
        <v>8.5963698302018443E-3</v>
      </c>
      <c r="I836" s="78">
        <v>32.276000000000003</v>
      </c>
      <c r="J836" s="78">
        <v>32.415000000000006</v>
      </c>
      <c r="K836" s="78">
        <v>31.944010000000002</v>
      </c>
      <c r="L836" s="78">
        <v>32.361000000000004</v>
      </c>
      <c r="M836" s="78">
        <v>39906369.999999993</v>
      </c>
      <c r="N836" s="78" t="s">
        <v>836</v>
      </c>
      <c r="O836" s="25">
        <f t="shared" si="25"/>
        <v>-2.6266184604926135E-3</v>
      </c>
    </row>
    <row r="837" spans="1:15">
      <c r="A837" s="78">
        <v>361.73042645489659</v>
      </c>
      <c r="B837" s="78">
        <v>363.64532122599394</v>
      </c>
      <c r="C837" s="78">
        <v>360.54455253573997</v>
      </c>
      <c r="D837" s="78">
        <v>363.38287371929528</v>
      </c>
      <c r="E837" s="78">
        <v>4548721.7425575415</v>
      </c>
      <c r="F837" s="78" t="s">
        <v>837</v>
      </c>
      <c r="G837" s="25">
        <f t="shared" si="24"/>
        <v>-4.5473999572009927E-3</v>
      </c>
      <c r="I837" s="78">
        <v>32.078000000000003</v>
      </c>
      <c r="J837" s="78">
        <v>32.361000000000004</v>
      </c>
      <c r="K837" s="78">
        <v>31.795000000000005</v>
      </c>
      <c r="L837" s="78">
        <v>31.901000000000007</v>
      </c>
      <c r="M837" s="78">
        <v>38796569.999999993</v>
      </c>
      <c r="N837" s="78" t="s">
        <v>837</v>
      </c>
      <c r="O837" s="25">
        <f t="shared" si="25"/>
        <v>5.5484154101750338E-3</v>
      </c>
    </row>
    <row r="838" spans="1:15">
      <c r="A838" s="78">
        <v>364.39378263398623</v>
      </c>
      <c r="B838" s="78">
        <v>369.56497054375154</v>
      </c>
      <c r="C838" s="78">
        <v>364.12161484926179</v>
      </c>
      <c r="D838" s="78">
        <v>367.33902687582628</v>
      </c>
      <c r="E838" s="78">
        <v>5671688.5929854512</v>
      </c>
      <c r="F838" s="78" t="s">
        <v>838</v>
      </c>
      <c r="G838" s="25">
        <f t="shared" si="24"/>
        <v>-8.0177820115902021E-3</v>
      </c>
      <c r="I838" s="78">
        <v>31.930000000000007</v>
      </c>
      <c r="J838" s="78">
        <v>32.462000000000003</v>
      </c>
      <c r="K838" s="78">
        <v>31.585000000000008</v>
      </c>
      <c r="L838" s="78">
        <v>31.755000000000006</v>
      </c>
      <c r="M838" s="78">
        <v>50640569.999999993</v>
      </c>
      <c r="N838" s="78" t="s">
        <v>838</v>
      </c>
      <c r="O838" s="25">
        <f t="shared" si="25"/>
        <v>5.5109431585578239E-3</v>
      </c>
    </row>
    <row r="839" spans="1:15">
      <c r="A839" s="78">
        <v>366.95021575479126</v>
      </c>
      <c r="B839" s="78">
        <v>370.44951584410614</v>
      </c>
      <c r="C839" s="78">
        <v>364.18965679544289</v>
      </c>
      <c r="D839" s="78">
        <v>370.40091445397678</v>
      </c>
      <c r="E839" s="78">
        <v>4435665.3055837518</v>
      </c>
      <c r="F839" s="78" t="s">
        <v>839</v>
      </c>
      <c r="G839" s="25">
        <f t="shared" si="24"/>
        <v>-9.3161181966096018E-3</v>
      </c>
      <c r="I839" s="78">
        <v>31.755000000000006</v>
      </c>
      <c r="J839" s="78">
        <v>32.607000000000006</v>
      </c>
      <c r="K839" s="78">
        <v>31.562000000000008</v>
      </c>
      <c r="L839" s="78">
        <v>32.500000000000007</v>
      </c>
      <c r="M839" s="78">
        <v>43186119.999999993</v>
      </c>
      <c r="N839" s="78" t="s">
        <v>839</v>
      </c>
      <c r="O839" s="25">
        <f t="shared" si="25"/>
        <v>-2.2923076923076935E-2</v>
      </c>
    </row>
    <row r="840" spans="1:15">
      <c r="A840" s="78">
        <v>371.11049474986561</v>
      </c>
      <c r="B840" s="78">
        <v>372.90874618465239</v>
      </c>
      <c r="C840" s="78">
        <v>370.84804724316695</v>
      </c>
      <c r="D840" s="78">
        <v>371.05217308171035</v>
      </c>
      <c r="E840" s="78">
        <v>3157622.6439509075</v>
      </c>
      <c r="F840" s="78" t="s">
        <v>840</v>
      </c>
      <c r="G840" s="25">
        <f t="shared" si="24"/>
        <v>1.5717915804369653E-4</v>
      </c>
      <c r="I840" s="78">
        <v>32.412000000000006</v>
      </c>
      <c r="J840" s="78">
        <v>33.123000000000012</v>
      </c>
      <c r="K840" s="78">
        <v>31.809000000000005</v>
      </c>
      <c r="L840" s="78">
        <v>32.943500000000007</v>
      </c>
      <c r="M840" s="78">
        <v>53414839.999999993</v>
      </c>
      <c r="N840" s="78" t="s">
        <v>840</v>
      </c>
      <c r="O840" s="25">
        <f t="shared" si="25"/>
        <v>-1.613368342768684E-2</v>
      </c>
    </row>
    <row r="841" spans="1:15">
      <c r="A841" s="78">
        <v>371.36322197853838</v>
      </c>
      <c r="B841" s="78">
        <v>371.43126392471947</v>
      </c>
      <c r="C841" s="78">
        <v>367.42650937805911</v>
      </c>
      <c r="D841" s="78">
        <v>367.46539049016263</v>
      </c>
      <c r="E841" s="78">
        <v>3484372.5570239169</v>
      </c>
      <c r="F841" s="78" t="s">
        <v>841</v>
      </c>
      <c r="G841" s="25">
        <f t="shared" si="24"/>
        <v>1.0607343138292258E-2</v>
      </c>
      <c r="I841" s="78">
        <v>32.993000000000009</v>
      </c>
      <c r="J841" s="78">
        <v>33.080770000000008</v>
      </c>
      <c r="K841" s="78">
        <v>32.400000000000006</v>
      </c>
      <c r="L841" s="78">
        <v>32.524000000000008</v>
      </c>
      <c r="M841" s="78">
        <v>42283739.999999993</v>
      </c>
      <c r="N841" s="78" t="s">
        <v>841</v>
      </c>
      <c r="O841" s="25">
        <f t="shared" si="25"/>
        <v>1.4420120526380531E-2</v>
      </c>
    </row>
    <row r="842" spans="1:15">
      <c r="A842" s="78">
        <v>368.21385189815499</v>
      </c>
      <c r="B842" s="78">
        <v>368.52490079498295</v>
      </c>
      <c r="C842" s="78">
        <v>363.21762899285545</v>
      </c>
      <c r="D842" s="78">
        <v>363.43147510942464</v>
      </c>
      <c r="E842" s="78">
        <v>4426187.1816294007</v>
      </c>
      <c r="F842" s="78" t="s">
        <v>842</v>
      </c>
      <c r="G842" s="25">
        <f t="shared" si="24"/>
        <v>1.315895049346083E-2</v>
      </c>
      <c r="I842" s="78">
        <v>32.585000000000008</v>
      </c>
      <c r="J842" s="78">
        <v>32.745000000000005</v>
      </c>
      <c r="K842" s="78">
        <v>31.744000000000007</v>
      </c>
      <c r="L842" s="78">
        <v>32.430000000000007</v>
      </c>
      <c r="M842" s="78">
        <v>56187679.999999993</v>
      </c>
      <c r="N842" s="78" t="s">
        <v>842</v>
      </c>
      <c r="O842" s="25">
        <f t="shared" si="25"/>
        <v>4.7795251310516207E-3</v>
      </c>
    </row>
    <row r="843" spans="1:15">
      <c r="A843" s="78">
        <v>361.05000699308539</v>
      </c>
      <c r="B843" s="78">
        <v>364.19937707346878</v>
      </c>
      <c r="C843" s="78">
        <v>360.60287420389517</v>
      </c>
      <c r="D843" s="78">
        <v>363.20790871482961</v>
      </c>
      <c r="E843" s="78">
        <v>3875296.5604202193</v>
      </c>
      <c r="F843" s="78" t="s">
        <v>843</v>
      </c>
      <c r="G843" s="25">
        <f t="shared" si="24"/>
        <v>-5.9412299951829839E-3</v>
      </c>
      <c r="I843" s="78">
        <v>32.115000000000002</v>
      </c>
      <c r="J843" s="78">
        <v>32.590000000000003</v>
      </c>
      <c r="K843" s="78">
        <v>32.047000000000011</v>
      </c>
      <c r="L843" s="78">
        <v>32.13600000000001</v>
      </c>
      <c r="M843" s="78">
        <v>46232379.999999993</v>
      </c>
      <c r="N843" s="78" t="s">
        <v>843</v>
      </c>
      <c r="O843" s="25">
        <f t="shared" si="25"/>
        <v>-6.5347274085159057E-4</v>
      </c>
    </row>
    <row r="844" spans="1:15">
      <c r="A844" s="78">
        <v>362.66357314538061</v>
      </c>
      <c r="B844" s="78">
        <v>367.13490103728287</v>
      </c>
      <c r="C844" s="78">
        <v>362.58581092117356</v>
      </c>
      <c r="D844" s="78">
        <v>366.62944657993745</v>
      </c>
      <c r="E844" s="78">
        <v>3904649.6302851452</v>
      </c>
      <c r="F844" s="78" t="s">
        <v>844</v>
      </c>
      <c r="G844" s="25">
        <f t="shared" si="24"/>
        <v>-1.081711649610273E-2</v>
      </c>
      <c r="I844" s="78">
        <v>32.25500000000001</v>
      </c>
      <c r="J844" s="78">
        <v>32.865500000000004</v>
      </c>
      <c r="K844" s="78">
        <v>32.110000000000007</v>
      </c>
      <c r="L844" s="78">
        <v>32.850000000000009</v>
      </c>
      <c r="M844" s="78">
        <v>54266419.999999993</v>
      </c>
      <c r="N844" s="78" t="s">
        <v>844</v>
      </c>
      <c r="O844" s="25">
        <f t="shared" si="25"/>
        <v>-1.8112633181126325E-2</v>
      </c>
    </row>
    <row r="845" spans="1:15">
      <c r="A845" s="78">
        <v>368.48601968287943</v>
      </c>
      <c r="B845" s="78">
        <v>368.85539024786272</v>
      </c>
      <c r="C845" s="78">
        <v>366.67804797006681</v>
      </c>
      <c r="D845" s="78">
        <v>367.89308272330112</v>
      </c>
      <c r="E845" s="78">
        <v>2376858.9682825711</v>
      </c>
      <c r="F845" s="78" t="s">
        <v>845</v>
      </c>
      <c r="G845" s="25">
        <f t="shared" si="24"/>
        <v>1.6117099978860683E-3</v>
      </c>
      <c r="I845" s="78">
        <v>32.902000000000001</v>
      </c>
      <c r="J845" s="78">
        <v>33.466000000000008</v>
      </c>
      <c r="K845" s="78">
        <v>32.675000000000004</v>
      </c>
      <c r="L845" s="78">
        <v>33.020000000000003</v>
      </c>
      <c r="M845" s="78">
        <v>55866269.999999993</v>
      </c>
      <c r="N845" s="78" t="s">
        <v>845</v>
      </c>
      <c r="O845" s="25">
        <f t="shared" si="25"/>
        <v>-3.5735917625682179E-3</v>
      </c>
    </row>
    <row r="846" spans="1:15">
      <c r="A846" s="78">
        <v>368.00000578158568</v>
      </c>
      <c r="B846" s="78">
        <v>368.49573996090538</v>
      </c>
      <c r="C846" s="78">
        <v>366.2795165710059</v>
      </c>
      <c r="D846" s="78">
        <v>368.08748828381863</v>
      </c>
      <c r="E846" s="78">
        <v>2841797.3155160467</v>
      </c>
      <c r="F846" s="78" t="s">
        <v>846</v>
      </c>
      <c r="G846" s="25">
        <f t="shared" si="24"/>
        <v>-2.376676877576811E-4</v>
      </c>
      <c r="I846" s="78">
        <v>32.798000000000009</v>
      </c>
      <c r="J846" s="78">
        <v>32.829000000000008</v>
      </c>
      <c r="K846" s="78">
        <v>31.950000000000006</v>
      </c>
      <c r="L846" s="78">
        <v>32.300000000000004</v>
      </c>
      <c r="M846" s="78">
        <v>63479999.999999985</v>
      </c>
      <c r="N846" s="78" t="s">
        <v>846</v>
      </c>
      <c r="O846" s="25">
        <f t="shared" si="25"/>
        <v>1.5417956656346821E-2</v>
      </c>
    </row>
    <row r="847" spans="1:15">
      <c r="A847" s="78">
        <v>367.7861596650165</v>
      </c>
      <c r="B847" s="78">
        <v>369.43860692941519</v>
      </c>
      <c r="C847" s="78">
        <v>366.39615990731642</v>
      </c>
      <c r="D847" s="78">
        <v>367.21266326148987</v>
      </c>
      <c r="E847" s="78">
        <v>3038156.9252843349</v>
      </c>
      <c r="F847" s="78" t="s">
        <v>847</v>
      </c>
      <c r="G847" s="25">
        <f t="shared" si="24"/>
        <v>1.5617555190852173E-3</v>
      </c>
      <c r="I847" s="78">
        <v>32.535000000000011</v>
      </c>
      <c r="J847" s="78">
        <v>33.142980000000009</v>
      </c>
      <c r="K847" s="78">
        <v>31.833000000000006</v>
      </c>
      <c r="L847" s="78">
        <v>32.039000000000001</v>
      </c>
      <c r="M847" s="78">
        <v>99477999.999999985</v>
      </c>
      <c r="N847" s="78" t="s">
        <v>847</v>
      </c>
      <c r="O847" s="25">
        <f t="shared" si="25"/>
        <v>1.5481132369924433E-2</v>
      </c>
    </row>
    <row r="848" spans="1:15">
      <c r="A848" s="78">
        <v>369.87601944057951</v>
      </c>
      <c r="B848" s="78">
        <v>370.66336196067533</v>
      </c>
      <c r="C848" s="78">
        <v>368.07776800579273</v>
      </c>
      <c r="D848" s="78">
        <v>368.13608967394799</v>
      </c>
      <c r="E848" s="78">
        <v>2748183.7380465763</v>
      </c>
      <c r="F848" s="78" t="s">
        <v>848</v>
      </c>
      <c r="G848" s="25">
        <f t="shared" si="24"/>
        <v>4.7263221820292856E-3</v>
      </c>
      <c r="I848" s="78">
        <v>32.312000000000005</v>
      </c>
      <c r="J848" s="78">
        <v>32.575000000000003</v>
      </c>
      <c r="K848" s="78">
        <v>31.61000000000001</v>
      </c>
      <c r="L848" s="78">
        <v>32.421000000000006</v>
      </c>
      <c r="M848" s="78">
        <v>221282669.99999997</v>
      </c>
      <c r="N848" s="78" t="s">
        <v>848</v>
      </c>
      <c r="O848" s="25">
        <f t="shared" si="25"/>
        <v>-3.3620184448351909E-3</v>
      </c>
    </row>
    <row r="849" spans="1:15">
      <c r="A849" s="78">
        <v>369.8954599966313</v>
      </c>
      <c r="B849" s="78">
        <v>371.23199822518905</v>
      </c>
      <c r="C849" s="78">
        <v>368.63182385326758</v>
      </c>
      <c r="D849" s="78">
        <v>371.15909613999497</v>
      </c>
      <c r="E849" s="78">
        <v>3106153.9515258279</v>
      </c>
      <c r="F849" s="78" t="s">
        <v>849</v>
      </c>
      <c r="G849" s="25">
        <f t="shared" si="24"/>
        <v>-3.4045673580556102E-3</v>
      </c>
      <c r="I849" s="78">
        <v>33.370000000000005</v>
      </c>
      <c r="J849" s="78">
        <v>33.719000000000008</v>
      </c>
      <c r="K849" s="78">
        <v>33.050000000000004</v>
      </c>
      <c r="L849" s="78">
        <v>33.500000000000007</v>
      </c>
      <c r="M849" s="78">
        <v>179444959.99999997</v>
      </c>
      <c r="N849" s="78" t="s">
        <v>849</v>
      </c>
      <c r="O849" s="25">
        <f t="shared" si="25"/>
        <v>-3.8805970149254909E-3</v>
      </c>
    </row>
    <row r="850" spans="1:15">
      <c r="A850" s="78">
        <v>369.64273276795853</v>
      </c>
      <c r="B850" s="78">
        <v>369.681613880062</v>
      </c>
      <c r="C850" s="78">
        <v>367.11546048123114</v>
      </c>
      <c r="D850" s="78">
        <v>368.24301273223256</v>
      </c>
      <c r="E850" s="78">
        <v>2799306.7613466522</v>
      </c>
      <c r="F850" s="78" t="s">
        <v>850</v>
      </c>
      <c r="G850" s="25">
        <f t="shared" si="24"/>
        <v>3.8010769718088699E-3</v>
      </c>
      <c r="I850" s="78">
        <v>33.272000000000013</v>
      </c>
      <c r="J850" s="78">
        <v>33.839000000000006</v>
      </c>
      <c r="K850" s="78">
        <v>32.750000000000007</v>
      </c>
      <c r="L850" s="78">
        <v>33.800000000000004</v>
      </c>
      <c r="M850" s="78">
        <v>61360469.999999985</v>
      </c>
      <c r="N850" s="78" t="s">
        <v>850</v>
      </c>
      <c r="O850" s="25">
        <f t="shared" si="25"/>
        <v>-1.5621301775147645E-2</v>
      </c>
    </row>
    <row r="851" spans="1:15">
      <c r="A851" s="78">
        <v>368.3888169026207</v>
      </c>
      <c r="B851" s="78">
        <v>370.66336196067533</v>
      </c>
      <c r="C851" s="78">
        <v>366.18231379074723</v>
      </c>
      <c r="D851" s="78">
        <v>368.66098468734521</v>
      </c>
      <c r="E851" s="78">
        <v>3067456.4987370577</v>
      </c>
      <c r="F851" s="78" t="s">
        <v>851</v>
      </c>
      <c r="G851" s="25">
        <f t="shared" si="24"/>
        <v>-7.3826034223645198E-4</v>
      </c>
      <c r="I851" s="78">
        <v>33.863000000000007</v>
      </c>
      <c r="J851" s="78">
        <v>34.485300000000009</v>
      </c>
      <c r="K851" s="78">
        <v>33.641000000000012</v>
      </c>
      <c r="L851" s="78">
        <v>34.294000000000004</v>
      </c>
      <c r="M851" s="78">
        <v>53505079.999999993</v>
      </c>
      <c r="N851" s="78" t="s">
        <v>851</v>
      </c>
      <c r="O851" s="25">
        <f t="shared" si="25"/>
        <v>-1.2567796115938612E-2</v>
      </c>
    </row>
    <row r="852" spans="1:15">
      <c r="A852" s="78">
        <v>369.14699858863889</v>
      </c>
      <c r="B852" s="78">
        <v>369.53580970967391</v>
      </c>
      <c r="C852" s="78">
        <v>364.94278393688762</v>
      </c>
      <c r="D852" s="78">
        <v>365.39497127065135</v>
      </c>
      <c r="E852" s="78">
        <v>2758017.8188975095</v>
      </c>
      <c r="F852" s="78" t="s">
        <v>852</v>
      </c>
      <c r="G852" s="25">
        <f t="shared" si="24"/>
        <v>1.0268415312175705E-2</v>
      </c>
      <c r="I852" s="78">
        <v>34.619000000000007</v>
      </c>
      <c r="J852" s="78">
        <v>34.643000000000008</v>
      </c>
      <c r="K852" s="78">
        <v>33.875000000000007</v>
      </c>
      <c r="L852" s="78">
        <v>33.999000000000009</v>
      </c>
      <c r="M852" s="78">
        <v>74064369.999999985</v>
      </c>
      <c r="N852" s="78" t="s">
        <v>852</v>
      </c>
      <c r="O852" s="25">
        <f t="shared" si="25"/>
        <v>1.8235830465601843E-2</v>
      </c>
    </row>
    <row r="853" spans="1:15">
      <c r="A853" s="78">
        <v>364.42294346806392</v>
      </c>
      <c r="B853" s="78">
        <v>368.02916661566337</v>
      </c>
      <c r="C853" s="78">
        <v>363.84944706453729</v>
      </c>
      <c r="D853" s="78">
        <v>367.81532049909407</v>
      </c>
      <c r="E853" s="78">
        <v>3728466.3981346516</v>
      </c>
      <c r="F853" s="78" t="s">
        <v>853</v>
      </c>
      <c r="G853" s="25">
        <f t="shared" si="24"/>
        <v>-9.2230443974627985E-3</v>
      </c>
      <c r="I853" s="78">
        <v>33.103000000000002</v>
      </c>
      <c r="J853" s="78">
        <v>34.280000000000008</v>
      </c>
      <c r="K853" s="78">
        <v>33.004000000000012</v>
      </c>
      <c r="L853" s="78">
        <v>34.08100000000001</v>
      </c>
      <c r="M853" s="78">
        <v>39654399.999999993</v>
      </c>
      <c r="N853" s="78" t="s">
        <v>853</v>
      </c>
      <c r="O853" s="25">
        <f t="shared" si="25"/>
        <v>-2.8696341069804565E-2</v>
      </c>
    </row>
    <row r="854" spans="1:15">
      <c r="A854" s="78">
        <v>365.8809851719451</v>
      </c>
      <c r="B854" s="78">
        <v>367.19322270543813</v>
      </c>
      <c r="C854" s="78">
        <v>365.18112515408211</v>
      </c>
      <c r="D854" s="78">
        <v>366.35727879521289</v>
      </c>
      <c r="E854" s="78">
        <v>3157318.1259122137</v>
      </c>
      <c r="F854" s="78" t="s">
        <v>854</v>
      </c>
      <c r="G854" s="25">
        <f t="shared" si="24"/>
        <v>-1.3000795967098577E-3</v>
      </c>
      <c r="I854" s="78">
        <v>33.821000000000005</v>
      </c>
      <c r="J854" s="78">
        <v>34.714000000000006</v>
      </c>
      <c r="K854" s="78">
        <v>33.763500000000008</v>
      </c>
      <c r="L854" s="78">
        <v>34.345000000000006</v>
      </c>
      <c r="M854" s="78">
        <v>40447779.999999993</v>
      </c>
      <c r="N854" s="78" t="s">
        <v>854</v>
      </c>
      <c r="O854" s="25">
        <f t="shared" si="25"/>
        <v>-1.5256951521327777E-2</v>
      </c>
    </row>
    <row r="855" spans="1:15">
      <c r="A855" s="78">
        <v>365.83238378181574</v>
      </c>
      <c r="B855" s="78">
        <v>365.86154461589331</v>
      </c>
      <c r="C855" s="78">
        <v>362.5274892530183</v>
      </c>
      <c r="D855" s="78">
        <v>363.10098565654494</v>
      </c>
      <c r="E855" s="78">
        <v>2747984.155277973</v>
      </c>
      <c r="F855" s="78" t="s">
        <v>855</v>
      </c>
      <c r="G855" s="25">
        <f t="shared" si="24"/>
        <v>7.5224200240933126E-3</v>
      </c>
      <c r="I855" s="78">
        <v>33.899000000000008</v>
      </c>
      <c r="J855" s="78">
        <v>33.988000000000007</v>
      </c>
      <c r="K855" s="78">
        <v>33.336000000000006</v>
      </c>
      <c r="L855" s="78">
        <v>33.527000000000008</v>
      </c>
      <c r="M855" s="78">
        <v>26578979.999999996</v>
      </c>
      <c r="N855" s="78" t="s">
        <v>855</v>
      </c>
      <c r="O855" s="25">
        <f t="shared" si="25"/>
        <v>1.1095534941987006E-2</v>
      </c>
    </row>
    <row r="856" spans="1:15">
      <c r="A856" s="78">
        <v>365.43385238275482</v>
      </c>
      <c r="B856" s="78">
        <v>365.66227891636288</v>
      </c>
      <c r="C856" s="78">
        <v>362.29420258039738</v>
      </c>
      <c r="D856" s="78">
        <v>363.21762899285545</v>
      </c>
      <c r="E856" s="78">
        <v>3164747.9545454849</v>
      </c>
      <c r="F856" s="78" t="s">
        <v>856</v>
      </c>
      <c r="G856" s="25">
        <f t="shared" si="24"/>
        <v>6.1016404849196793E-3</v>
      </c>
      <c r="I856" s="78">
        <v>33.933000000000007</v>
      </c>
      <c r="J856" s="78">
        <v>34.048000000000009</v>
      </c>
      <c r="K856" s="78">
        <v>33.263000000000005</v>
      </c>
      <c r="L856" s="78">
        <v>33.934000000000005</v>
      </c>
      <c r="M856" s="78">
        <v>46605419.999999993</v>
      </c>
      <c r="N856" s="78" t="s">
        <v>856</v>
      </c>
      <c r="O856" s="25">
        <f t="shared" si="25"/>
        <v>-2.9468969175439064E-5</v>
      </c>
    </row>
    <row r="857" spans="1:15">
      <c r="A857" s="78">
        <v>364.04385262505474</v>
      </c>
      <c r="B857" s="78">
        <v>364.9186776473835</v>
      </c>
      <c r="C857" s="78">
        <v>362.45944730683721</v>
      </c>
      <c r="D857" s="78">
        <v>364.22853790754635</v>
      </c>
      <c r="E857" s="78">
        <v>3320620.0392705179</v>
      </c>
      <c r="F857" s="78" t="s">
        <v>857</v>
      </c>
      <c r="G857" s="25">
        <f t="shared" si="24"/>
        <v>-5.0705879213253091E-4</v>
      </c>
      <c r="I857" s="78">
        <v>34.235000000000007</v>
      </c>
      <c r="J857" s="78">
        <v>34.543000000000006</v>
      </c>
      <c r="K857" s="78">
        <v>33.625260000000004</v>
      </c>
      <c r="L857" s="78">
        <v>34.530000000000008</v>
      </c>
      <c r="M857" s="78">
        <v>42055449.999999993</v>
      </c>
      <c r="N857" s="78" t="s">
        <v>857</v>
      </c>
      <c r="O857" s="25">
        <f t="shared" si="25"/>
        <v>-8.5432956849117447E-3</v>
      </c>
    </row>
    <row r="858" spans="1:15">
      <c r="A858" s="78">
        <v>364.9283979254094</v>
      </c>
      <c r="B858" s="78">
        <v>367.81532049909407</v>
      </c>
      <c r="C858" s="78">
        <v>363.66476178204567</v>
      </c>
      <c r="D858" s="78">
        <v>367.61119466055072</v>
      </c>
      <c r="E858" s="78">
        <v>2791358.4290258749</v>
      </c>
      <c r="F858" s="78" t="s">
        <v>858</v>
      </c>
      <c r="G858" s="25">
        <f t="shared" si="24"/>
        <v>-7.2979190354053314E-3</v>
      </c>
      <c r="I858" s="78">
        <v>34.675000000000004</v>
      </c>
      <c r="J858" s="78">
        <v>34.980000000000011</v>
      </c>
      <c r="K858" s="78">
        <v>34.395000000000003</v>
      </c>
      <c r="L858" s="78">
        <v>34.849000000000011</v>
      </c>
      <c r="M858" s="78">
        <v>32980719.999999993</v>
      </c>
      <c r="N858" s="78" t="s">
        <v>858</v>
      </c>
      <c r="O858" s="25">
        <f t="shared" si="25"/>
        <v>-4.9929696691441983E-3</v>
      </c>
    </row>
    <row r="859" spans="1:15">
      <c r="A859" s="78">
        <v>366.99881714492068</v>
      </c>
      <c r="B859" s="78">
        <v>367.33902687582628</v>
      </c>
      <c r="C859" s="78">
        <v>364.72427208686605</v>
      </c>
      <c r="D859" s="78">
        <v>365.09364265184928</v>
      </c>
      <c r="E859" s="78">
        <v>3626743.9991077953</v>
      </c>
      <c r="F859" s="78" t="s">
        <v>859</v>
      </c>
      <c r="G859" s="25">
        <f t="shared" si="24"/>
        <v>5.2183173588924436E-3</v>
      </c>
      <c r="I859" s="78">
        <v>34.828000000000003</v>
      </c>
      <c r="J859" s="78">
        <v>34.858000000000004</v>
      </c>
      <c r="K859" s="78">
        <v>34.040010000000009</v>
      </c>
      <c r="L859" s="78">
        <v>34.183000000000007</v>
      </c>
      <c r="M859" s="78">
        <v>44136499.999999993</v>
      </c>
      <c r="N859" s="78" t="s">
        <v>859</v>
      </c>
      <c r="O859" s="25">
        <f t="shared" si="25"/>
        <v>1.8869028464441273E-2</v>
      </c>
    </row>
    <row r="860" spans="1:15">
      <c r="A860" s="78">
        <v>365.55049571906534</v>
      </c>
      <c r="B860" s="78">
        <v>365.81294322576395</v>
      </c>
      <c r="C860" s="78">
        <v>361.25413283162874</v>
      </c>
      <c r="D860" s="78">
        <v>361.38049644596509</v>
      </c>
      <c r="E860" s="78">
        <v>4279552.4870038051</v>
      </c>
      <c r="F860" s="78" t="s">
        <v>860</v>
      </c>
      <c r="G860" s="25">
        <f t="shared" si="24"/>
        <v>1.1539082252945532E-2</v>
      </c>
      <c r="I860" s="78">
        <v>34.548000000000009</v>
      </c>
      <c r="J860" s="78">
        <v>34.584000000000003</v>
      </c>
      <c r="K860" s="78">
        <v>33.720010000000009</v>
      </c>
      <c r="L860" s="78">
        <v>34.00500000000001</v>
      </c>
      <c r="M860" s="78">
        <v>56101609.999999993</v>
      </c>
      <c r="N860" s="78" t="s">
        <v>860</v>
      </c>
      <c r="O860" s="25">
        <f t="shared" si="25"/>
        <v>1.5968239964710973E-2</v>
      </c>
    </row>
    <row r="861" spans="1:15">
      <c r="A861" s="78">
        <v>360.51539170166228</v>
      </c>
      <c r="B861" s="78">
        <v>361.08888810518891</v>
      </c>
      <c r="C861" s="78">
        <v>358.77740599063588</v>
      </c>
      <c r="D861" s="78">
        <v>360.84588115454204</v>
      </c>
      <c r="E861" s="78">
        <v>3412188.4077503812</v>
      </c>
      <c r="F861" s="78" t="s">
        <v>861</v>
      </c>
      <c r="G861" s="25">
        <f t="shared" si="24"/>
        <v>-9.1587425585226701E-4</v>
      </c>
      <c r="I861" s="78">
        <v>33.843000000000011</v>
      </c>
      <c r="J861" s="78">
        <v>34.329000000000008</v>
      </c>
      <c r="K861" s="78">
        <v>33.530000000000008</v>
      </c>
      <c r="L861" s="78">
        <v>34.026990000000005</v>
      </c>
      <c r="M861" s="78">
        <v>71314679.999999985</v>
      </c>
      <c r="N861" s="78" t="s">
        <v>861</v>
      </c>
      <c r="O861" s="25">
        <f t="shared" si="25"/>
        <v>-5.4071782429181425E-3</v>
      </c>
    </row>
    <row r="862" spans="1:15">
      <c r="A862" s="78">
        <v>358.3769305359699</v>
      </c>
      <c r="B862" s="78">
        <v>358.61993748661678</v>
      </c>
      <c r="C862" s="78">
        <v>356.04406380976002</v>
      </c>
      <c r="D862" s="78">
        <v>357.12301467063207</v>
      </c>
      <c r="E862" s="78">
        <v>3740704.7312032469</v>
      </c>
      <c r="F862" s="78" t="s">
        <v>862</v>
      </c>
      <c r="G862" s="25">
        <f t="shared" si="24"/>
        <v>3.5111594991834583E-3</v>
      </c>
      <c r="I862" s="78">
        <v>33.203000000000003</v>
      </c>
      <c r="J862" s="78">
        <v>33.285000000000011</v>
      </c>
      <c r="K862" s="78">
        <v>32.573000000000008</v>
      </c>
      <c r="L862" s="78">
        <v>32.629000000000005</v>
      </c>
      <c r="M862" s="78">
        <v>62873359.999999985</v>
      </c>
      <c r="N862" s="78" t="s">
        <v>862</v>
      </c>
      <c r="O862" s="25">
        <f t="shared" si="25"/>
        <v>1.7591712893438194E-2</v>
      </c>
    </row>
    <row r="863" spans="1:15">
      <c r="A863" s="78">
        <v>353.35154679659274</v>
      </c>
      <c r="B863" s="78">
        <v>354.01252570235221</v>
      </c>
      <c r="C863" s="78">
        <v>351.56495969543698</v>
      </c>
      <c r="D863" s="78">
        <v>353.37098735264453</v>
      </c>
      <c r="E863" s="78">
        <v>2483111.0731350011</v>
      </c>
      <c r="F863" s="78" t="s">
        <v>863</v>
      </c>
      <c r="G863" s="25">
        <f t="shared" si="24"/>
        <v>-5.5014578863477048E-5</v>
      </c>
      <c r="I863" s="78">
        <v>32.352000000000004</v>
      </c>
      <c r="J863" s="78">
        <v>33.332000000000008</v>
      </c>
      <c r="K863" s="78">
        <v>32.128</v>
      </c>
      <c r="L863" s="78">
        <v>32.606000000000009</v>
      </c>
      <c r="M863" s="78">
        <v>64893879.999999985</v>
      </c>
      <c r="N863" s="78" t="s">
        <v>863</v>
      </c>
      <c r="O863" s="25">
        <f t="shared" si="25"/>
        <v>-7.7899773047906962E-3</v>
      </c>
    </row>
    <row r="864" spans="1:15">
      <c r="A864" s="78">
        <v>353.97364459024874</v>
      </c>
      <c r="B864" s="78">
        <v>356.18014770212227</v>
      </c>
      <c r="C864" s="78">
        <v>353.23490346028223</v>
      </c>
      <c r="D864" s="78">
        <v>355.4948681012981</v>
      </c>
      <c r="E864" s="78">
        <v>4264070.4195568245</v>
      </c>
      <c r="F864" s="78" t="s">
        <v>864</v>
      </c>
      <c r="G864" s="25">
        <f t="shared" si="24"/>
        <v>-4.279171508647206E-3</v>
      </c>
      <c r="I864" s="78">
        <v>32.766000000000005</v>
      </c>
      <c r="J864" s="78">
        <v>33.644000000000005</v>
      </c>
      <c r="K864" s="78">
        <v>32.44100000000001</v>
      </c>
      <c r="L864" s="78">
        <v>32.75500000000001</v>
      </c>
      <c r="M864" s="78">
        <v>86257629.999999985</v>
      </c>
      <c r="N864" s="78" t="s">
        <v>864</v>
      </c>
      <c r="O864" s="25">
        <f t="shared" si="25"/>
        <v>3.3582659136000004E-4</v>
      </c>
    </row>
    <row r="865" spans="1:15">
      <c r="A865" s="78">
        <v>353.39042790869627</v>
      </c>
      <c r="B865" s="78">
        <v>353.45846985487736</v>
      </c>
      <c r="C865" s="78">
        <v>347.71378554158554</v>
      </c>
      <c r="D865" s="78">
        <v>349.91056837543317</v>
      </c>
      <c r="E865" s="78">
        <v>3848594.6492908155</v>
      </c>
      <c r="F865" s="78" t="s">
        <v>865</v>
      </c>
      <c r="G865" s="25">
        <f t="shared" si="24"/>
        <v>9.9449969442746422E-3</v>
      </c>
      <c r="I865" s="78">
        <v>32.839000000000006</v>
      </c>
      <c r="J865" s="78">
        <v>33.183000000000007</v>
      </c>
      <c r="K865" s="78">
        <v>32.063000000000002</v>
      </c>
      <c r="L865" s="78">
        <v>32.063000000000002</v>
      </c>
      <c r="M865" s="78">
        <v>130040849.99999997</v>
      </c>
      <c r="N865" s="78" t="s">
        <v>865</v>
      </c>
      <c r="O865" s="25">
        <f t="shared" si="25"/>
        <v>2.4202351620247642E-2</v>
      </c>
    </row>
    <row r="866" spans="1:15">
      <c r="A866" s="78">
        <v>351.0503681767471</v>
      </c>
      <c r="B866" s="78">
        <v>356.51592735037912</v>
      </c>
      <c r="C866" s="78">
        <v>348.61090499616745</v>
      </c>
      <c r="D866" s="78">
        <v>352.83156351494813</v>
      </c>
      <c r="E866" s="78">
        <v>4945238.139291577</v>
      </c>
      <c r="F866" s="78" t="s">
        <v>866</v>
      </c>
      <c r="G866" s="25">
        <f t="shared" si="24"/>
        <v>-5.0482879719052631E-3</v>
      </c>
      <c r="I866" s="78">
        <v>32.037000000000006</v>
      </c>
      <c r="J866" s="78">
        <v>32.278000000000006</v>
      </c>
      <c r="K866" s="78">
        <v>30.414000000000005</v>
      </c>
      <c r="L866" s="78">
        <v>30.468000000000007</v>
      </c>
      <c r="M866" s="78">
        <v>156533469.99999997</v>
      </c>
      <c r="N866" s="78" t="s">
        <v>866</v>
      </c>
      <c r="O866" s="25">
        <f t="shared" si="25"/>
        <v>5.1496652225285544E-2</v>
      </c>
    </row>
    <row r="867" spans="1:15">
      <c r="A867" s="78">
        <v>350.21785296432705</v>
      </c>
      <c r="B867" s="78">
        <v>359.3551914411093</v>
      </c>
      <c r="C867" s="78">
        <v>350.10168805096617</v>
      </c>
      <c r="D867" s="78">
        <v>356.02609863237382</v>
      </c>
      <c r="E867" s="78">
        <v>4230027.6889393684</v>
      </c>
      <c r="F867" s="78" t="s">
        <v>867</v>
      </c>
      <c r="G867" s="25">
        <f t="shared" si="24"/>
        <v>-1.631410082114304E-2</v>
      </c>
      <c r="I867" s="78">
        <v>29.390000000000004</v>
      </c>
      <c r="J867" s="78">
        <v>30.645000000000003</v>
      </c>
      <c r="K867" s="78">
        <v>29.354000000000006</v>
      </c>
      <c r="L867" s="78">
        <v>30.631000000000007</v>
      </c>
      <c r="M867" s="78">
        <v>58080349.999999985</v>
      </c>
      <c r="N867" s="78" t="s">
        <v>867</v>
      </c>
      <c r="O867" s="25">
        <f t="shared" si="25"/>
        <v>-4.0514511442656276E-2</v>
      </c>
    </row>
    <row r="868" spans="1:15">
      <c r="A868" s="78">
        <v>356.12290272684129</v>
      </c>
      <c r="B868" s="78">
        <v>356.63596442751879</v>
      </c>
      <c r="C868" s="78">
        <v>353.21877989281791</v>
      </c>
      <c r="D868" s="78">
        <v>354.70956294761658</v>
      </c>
      <c r="E868" s="78">
        <v>4253569.048553722</v>
      </c>
      <c r="F868" s="78" t="s">
        <v>868</v>
      </c>
      <c r="G868" s="25">
        <f t="shared" si="24"/>
        <v>3.9844986627366463E-3</v>
      </c>
      <c r="I868" s="78">
        <v>30.579000000000008</v>
      </c>
      <c r="J868" s="78">
        <v>30.792000000000009</v>
      </c>
      <c r="K868" s="78">
        <v>30.043000000000006</v>
      </c>
      <c r="L868" s="78">
        <v>30.632000000000005</v>
      </c>
      <c r="M868" s="78">
        <v>48862789.999999993</v>
      </c>
      <c r="N868" s="78" t="s">
        <v>868</v>
      </c>
      <c r="O868" s="25">
        <f t="shared" si="25"/>
        <v>-1.7302167667797574E-3</v>
      </c>
    </row>
    <row r="869" spans="1:15">
      <c r="A869" s="78">
        <v>351.52470823963756</v>
      </c>
      <c r="B869" s="78">
        <v>351.9603266647411</v>
      </c>
      <c r="C869" s="78">
        <v>348.32049271276509</v>
      </c>
      <c r="D869" s="78">
        <v>348.94971932680352</v>
      </c>
      <c r="E869" s="78">
        <v>3202088.7309083808</v>
      </c>
      <c r="F869" s="78" t="s">
        <v>869</v>
      </c>
      <c r="G869" s="25">
        <f t="shared" si="24"/>
        <v>7.3792548617082065E-3</v>
      </c>
      <c r="I869" s="78">
        <v>30.513000000000005</v>
      </c>
      <c r="J869" s="78">
        <v>30.750000000000007</v>
      </c>
      <c r="K869" s="78">
        <v>29.600000000000005</v>
      </c>
      <c r="L869" s="78">
        <v>29.979000000000006</v>
      </c>
      <c r="M869" s="78">
        <v>51134299.999999993</v>
      </c>
      <c r="N869" s="78" t="s">
        <v>869</v>
      </c>
      <c r="O869" s="25">
        <f t="shared" si="25"/>
        <v>1.7812468728109598E-2</v>
      </c>
    </row>
    <row r="870" spans="1:15">
      <c r="A870" s="78">
        <v>348.37857516944558</v>
      </c>
      <c r="B870" s="78">
        <v>352.16361526312278</v>
      </c>
      <c r="C870" s="78">
        <v>346.96533219431535</v>
      </c>
      <c r="D870" s="78">
        <v>351.16653309010803</v>
      </c>
      <c r="E870" s="78">
        <v>5361247.4023454525</v>
      </c>
      <c r="F870" s="78" t="s">
        <v>870</v>
      </c>
      <c r="G870" s="25">
        <f t="shared" si="24"/>
        <v>-7.9391333112801554E-3</v>
      </c>
      <c r="I870" s="78">
        <v>30.350000000000005</v>
      </c>
      <c r="J870" s="78">
        <v>31.076000000000004</v>
      </c>
      <c r="K870" s="78">
        <v>30.000000000000007</v>
      </c>
      <c r="L870" s="78">
        <v>31.006000000000007</v>
      </c>
      <c r="M870" s="78">
        <v>69187769.999999985</v>
      </c>
      <c r="N870" s="78" t="s">
        <v>870</v>
      </c>
      <c r="O870" s="25">
        <f t="shared" si="25"/>
        <v>-2.1157195381539151E-2</v>
      </c>
    </row>
    <row r="871" spans="1:15">
      <c r="A871" s="78">
        <v>352.23137812924995</v>
      </c>
      <c r="B871" s="78">
        <v>352.61859450711972</v>
      </c>
      <c r="C871" s="78">
        <v>343.64485494998746</v>
      </c>
      <c r="D871" s="78">
        <v>344.17727746955842</v>
      </c>
      <c r="E871" s="78">
        <v>5216558.2745037554</v>
      </c>
      <c r="F871" s="78" t="s">
        <v>871</v>
      </c>
      <c r="G871" s="25">
        <f t="shared" si="24"/>
        <v>2.3401023794791032E-2</v>
      </c>
      <c r="I871" s="78">
        <v>31.006000000000007</v>
      </c>
      <c r="J871" s="78">
        <v>31.660000000000007</v>
      </c>
      <c r="K871" s="78">
        <v>30.171000000000003</v>
      </c>
      <c r="L871" s="78">
        <v>30.475000000000005</v>
      </c>
      <c r="M871" s="78">
        <v>79123709.999999985</v>
      </c>
      <c r="N871" s="78" t="s">
        <v>871</v>
      </c>
      <c r="O871" s="25">
        <f t="shared" si="25"/>
        <v>1.7424118129614419E-2</v>
      </c>
    </row>
    <row r="872" spans="1:15">
      <c r="A872" s="78">
        <v>346.30696754784225</v>
      </c>
      <c r="B872" s="78">
        <v>346.44249328009664</v>
      </c>
      <c r="C872" s="78">
        <v>341.29735565915189</v>
      </c>
      <c r="D872" s="78">
        <v>343.13179324930996</v>
      </c>
      <c r="E872" s="78">
        <v>6828629.549572384</v>
      </c>
      <c r="F872" s="78" t="s">
        <v>872</v>
      </c>
      <c r="G872" s="25">
        <f t="shared" si="24"/>
        <v>9.2535123850365775E-3</v>
      </c>
      <c r="I872" s="78">
        <v>30.379000000000008</v>
      </c>
      <c r="J872" s="78">
        <v>30.631000000000007</v>
      </c>
      <c r="K872" s="78">
        <v>29.228000000000002</v>
      </c>
      <c r="L872" s="78">
        <v>29.251000000000005</v>
      </c>
      <c r="M872" s="78">
        <v>92153399.999999985</v>
      </c>
      <c r="N872" s="78" t="s">
        <v>872</v>
      </c>
      <c r="O872" s="25">
        <f t="shared" si="25"/>
        <v>3.856278417831871E-2</v>
      </c>
    </row>
    <row r="873" spans="1:15">
      <c r="A873" s="78">
        <v>348.45601844501954</v>
      </c>
      <c r="B873" s="78">
        <v>349.95648190926494</v>
      </c>
      <c r="C873" s="78">
        <v>344.2644011545791</v>
      </c>
      <c r="D873" s="78">
        <v>347.41053422477114</v>
      </c>
      <c r="E873" s="78">
        <v>4957239.6977627501</v>
      </c>
      <c r="F873" s="78" t="s">
        <v>873</v>
      </c>
      <c r="G873" s="25">
        <f t="shared" si="24"/>
        <v>3.0093624609897063E-3</v>
      </c>
      <c r="I873" s="78">
        <v>29.494000000000007</v>
      </c>
      <c r="J873" s="78">
        <v>29.745000000000005</v>
      </c>
      <c r="K873" s="78">
        <v>29.031000000000006</v>
      </c>
      <c r="L873" s="78">
        <v>29.597000000000008</v>
      </c>
      <c r="M873" s="78">
        <v>59566919.999999985</v>
      </c>
      <c r="N873" s="78" t="s">
        <v>873</v>
      </c>
      <c r="O873" s="25">
        <f t="shared" si="25"/>
        <v>-3.4800824407880127E-3</v>
      </c>
    </row>
    <row r="874" spans="1:15">
      <c r="A874" s="78">
        <v>342.76393769033371</v>
      </c>
      <c r="B874" s="78">
        <v>347.20724562638952</v>
      </c>
      <c r="C874" s="78">
        <v>338.58200080934</v>
      </c>
      <c r="D874" s="78">
        <v>339.5500417540145</v>
      </c>
      <c r="E874" s="78">
        <v>6692581.585150498</v>
      </c>
      <c r="F874" s="78" t="s">
        <v>874</v>
      </c>
      <c r="G874" s="25">
        <f t="shared" si="24"/>
        <v>9.4651613638954135E-3</v>
      </c>
      <c r="I874" s="78">
        <v>29.351000000000006</v>
      </c>
      <c r="J874" s="78">
        <v>29.924000000000007</v>
      </c>
      <c r="K874" s="78">
        <v>28.533010000000008</v>
      </c>
      <c r="L874" s="78">
        <v>28.734000000000002</v>
      </c>
      <c r="M874" s="78">
        <v>62923849.999999985</v>
      </c>
      <c r="N874" s="78" t="s">
        <v>874</v>
      </c>
      <c r="O874" s="25">
        <f t="shared" si="25"/>
        <v>2.1472819656156661E-2</v>
      </c>
    </row>
    <row r="875" spans="1:15">
      <c r="A875" s="78">
        <v>343.34476225713837</v>
      </c>
      <c r="B875" s="78">
        <v>349.69511085420288</v>
      </c>
      <c r="C875" s="78">
        <v>341.8539792023397</v>
      </c>
      <c r="D875" s="78">
        <v>347.84615264987463</v>
      </c>
      <c r="E875" s="78">
        <v>8636413.6207187772</v>
      </c>
      <c r="F875" s="78" t="s">
        <v>875</v>
      </c>
      <c r="G875" s="25">
        <f t="shared" si="24"/>
        <v>-1.2940750841844539E-2</v>
      </c>
      <c r="I875" s="78">
        <v>29.276000000000003</v>
      </c>
      <c r="J875" s="78">
        <v>29.879000000000008</v>
      </c>
      <c r="K875" s="78">
        <v>28.900000000000006</v>
      </c>
      <c r="L875" s="78">
        <v>29.790500000000002</v>
      </c>
      <c r="M875" s="78">
        <v>57593149.999999985</v>
      </c>
      <c r="N875" s="78" t="s">
        <v>875</v>
      </c>
      <c r="O875" s="25">
        <f t="shared" si="25"/>
        <v>-1.7270606401369459E-2</v>
      </c>
    </row>
    <row r="876" spans="1:15">
      <c r="A876" s="78">
        <v>348.3398535316586</v>
      </c>
      <c r="B876" s="78">
        <v>357.09094367151573</v>
      </c>
      <c r="C876" s="78">
        <v>347.38149299643089</v>
      </c>
      <c r="D876" s="78">
        <v>355.60984102616385</v>
      </c>
      <c r="E876" s="78">
        <v>4555209.1822757469</v>
      </c>
      <c r="F876" s="78" t="s">
        <v>876</v>
      </c>
      <c r="G876" s="25">
        <f t="shared" si="24"/>
        <v>-2.0443718524567944E-2</v>
      </c>
      <c r="I876" s="78">
        <v>29.778000000000002</v>
      </c>
      <c r="J876" s="78">
        <v>31.251000000000005</v>
      </c>
      <c r="K876" s="78">
        <v>29.488000000000007</v>
      </c>
      <c r="L876" s="78">
        <v>31.208000000000006</v>
      </c>
      <c r="M876" s="78">
        <v>74433499.999999985</v>
      </c>
      <c r="N876" s="78" t="s">
        <v>876</v>
      </c>
      <c r="O876" s="25">
        <f t="shared" si="25"/>
        <v>-4.5821584209177257E-2</v>
      </c>
    </row>
    <row r="877" spans="1:15">
      <c r="A877" s="78">
        <v>354.83540827042424</v>
      </c>
      <c r="B877" s="78">
        <v>355.56018052570204</v>
      </c>
      <c r="C877" s="78">
        <v>352.79284187716115</v>
      </c>
      <c r="D877" s="78">
        <v>354.40947025476748</v>
      </c>
      <c r="E877" s="78">
        <v>3002205.6566804931</v>
      </c>
      <c r="F877" s="78" t="s">
        <v>877</v>
      </c>
      <c r="G877" s="25">
        <f t="shared" si="24"/>
        <v>1.201824588238587E-3</v>
      </c>
      <c r="I877" s="78">
        <v>31.179000000000009</v>
      </c>
      <c r="J877" s="78">
        <v>31.183000000000003</v>
      </c>
      <c r="K877" s="78">
        <v>30.575000000000006</v>
      </c>
      <c r="L877" s="78">
        <v>30.929000000000009</v>
      </c>
      <c r="M877" s="78">
        <v>34794739.999999993</v>
      </c>
      <c r="N877" s="78" t="s">
        <v>877</v>
      </c>
      <c r="O877" s="25">
        <f t="shared" si="25"/>
        <v>8.0830288725790567E-3</v>
      </c>
    </row>
    <row r="878" spans="1:15">
      <c r="A878" s="78">
        <v>354.28362493195982</v>
      </c>
      <c r="B878" s="78">
        <v>360.00474691498584</v>
      </c>
      <c r="C878" s="78">
        <v>353.70764056987849</v>
      </c>
      <c r="D878" s="78">
        <v>359.75305626937052</v>
      </c>
      <c r="E878" s="78">
        <v>3663213.85423683</v>
      </c>
      <c r="F878" s="78" t="s">
        <v>878</v>
      </c>
      <c r="G878" s="25">
        <f t="shared" si="24"/>
        <v>-1.5203293598471501E-2</v>
      </c>
      <c r="I878" s="78">
        <v>30.847000000000008</v>
      </c>
      <c r="J878" s="78">
        <v>31.430000000000007</v>
      </c>
      <c r="K878" s="78">
        <v>30.662260000000003</v>
      </c>
      <c r="L878" s="78">
        <v>31.267500000000009</v>
      </c>
      <c r="M878" s="78">
        <v>45530819.999999993</v>
      </c>
      <c r="N878" s="78" t="s">
        <v>878</v>
      </c>
      <c r="O878" s="25">
        <f t="shared" si="25"/>
        <v>-1.3448468857439888E-2</v>
      </c>
    </row>
    <row r="879" spans="1:15">
      <c r="A879" s="78">
        <v>359.84986036383799</v>
      </c>
      <c r="B879" s="78">
        <v>362.47325132390574</v>
      </c>
      <c r="C879" s="78">
        <v>359.43360275762797</v>
      </c>
      <c r="D879" s="78">
        <v>360.36292206451543</v>
      </c>
      <c r="E879" s="78">
        <v>2725427.0746649345</v>
      </c>
      <c r="F879" s="78" t="s">
        <v>879</v>
      </c>
      <c r="G879" s="25">
        <f t="shared" si="24"/>
        <v>-1.4237360984257208E-3</v>
      </c>
      <c r="I879" s="78">
        <v>31.203000000000003</v>
      </c>
      <c r="J879" s="78">
        <v>32.330000000000005</v>
      </c>
      <c r="K879" s="78">
        <v>31.184120000000007</v>
      </c>
      <c r="L879" s="78">
        <v>31.700000000000006</v>
      </c>
      <c r="M879" s="78">
        <v>56607429.999999993</v>
      </c>
      <c r="N879" s="78" t="s">
        <v>879</v>
      </c>
      <c r="O879" s="25">
        <f t="shared" si="25"/>
        <v>-1.5678233438485956E-2</v>
      </c>
    </row>
    <row r="880" spans="1:15">
      <c r="A880" s="78">
        <v>359.41424193873445</v>
      </c>
      <c r="B880" s="78">
        <v>359.7917779071575</v>
      </c>
      <c r="C880" s="78">
        <v>354.98061441212542</v>
      </c>
      <c r="D880" s="78">
        <v>355.55175856948335</v>
      </c>
      <c r="E880" s="78">
        <v>5075817.3267685166</v>
      </c>
      <c r="F880" s="78" t="s">
        <v>880</v>
      </c>
      <c r="G880" s="25">
        <f t="shared" si="24"/>
        <v>1.0863350485992074E-2</v>
      </c>
      <c r="I880" s="78">
        <v>31.518000000000008</v>
      </c>
      <c r="J880" s="78">
        <v>31.749000000000006</v>
      </c>
      <c r="K880" s="78">
        <v>31.082000000000004</v>
      </c>
      <c r="L880" s="78">
        <v>31.545000000000005</v>
      </c>
      <c r="M880" s="78">
        <v>59533189.999999985</v>
      </c>
      <c r="N880" s="78" t="s">
        <v>880</v>
      </c>
      <c r="O880" s="25">
        <f t="shared" si="25"/>
        <v>-8.5592011412261026E-4</v>
      </c>
    </row>
    <row r="881" spans="1:15">
      <c r="A881" s="78">
        <v>353.8092848690693</v>
      </c>
      <c r="B881" s="78">
        <v>354.65148049093614</v>
      </c>
      <c r="C881" s="78">
        <v>349.00780178348396</v>
      </c>
      <c r="D881" s="78">
        <v>349.27885324799286</v>
      </c>
      <c r="E881" s="78">
        <v>2820969.5209930725</v>
      </c>
      <c r="F881" s="78" t="s">
        <v>881</v>
      </c>
      <c r="G881" s="25">
        <f t="shared" si="24"/>
        <v>1.297081566475411E-2</v>
      </c>
      <c r="I881" s="78">
        <v>31.188000000000006</v>
      </c>
      <c r="J881" s="78">
        <v>31.557000000000006</v>
      </c>
      <c r="K881" s="78">
        <v>31.038000000000004</v>
      </c>
      <c r="L881" s="78">
        <v>31.096000000000004</v>
      </c>
      <c r="M881" s="78">
        <v>49210529.999999993</v>
      </c>
      <c r="N881" s="78" t="s">
        <v>881</v>
      </c>
      <c r="O881" s="25">
        <f t="shared" si="25"/>
        <v>2.9585798816569309E-3</v>
      </c>
    </row>
    <row r="882" spans="1:15">
      <c r="A882" s="78">
        <v>351.18589390900149</v>
      </c>
      <c r="B882" s="78">
        <v>352.86060474328832</v>
      </c>
      <c r="C882" s="78">
        <v>349.8983994525845</v>
      </c>
      <c r="D882" s="78">
        <v>351.72799683801918</v>
      </c>
      <c r="E882" s="78">
        <v>3889013.1876250538</v>
      </c>
      <c r="F882" s="78" t="s">
        <v>882</v>
      </c>
      <c r="G882" s="25">
        <f t="shared" si="24"/>
        <v>-1.5412561237407862E-3</v>
      </c>
      <c r="I882" s="78">
        <v>31.34800000000001</v>
      </c>
      <c r="J882" s="78">
        <v>32.660000000000011</v>
      </c>
      <c r="K882" s="78">
        <v>31.236000000000008</v>
      </c>
      <c r="L882" s="78">
        <v>32.155000000000008</v>
      </c>
      <c r="M882" s="78">
        <v>49113109.999999993</v>
      </c>
      <c r="N882" s="78" t="s">
        <v>882</v>
      </c>
      <c r="O882" s="25">
        <f t="shared" si="25"/>
        <v>-2.5097185507697017E-2</v>
      </c>
    </row>
    <row r="883" spans="1:15">
      <c r="A883" s="78">
        <v>352.4733883654186</v>
      </c>
      <c r="B883" s="78">
        <v>355.13550096327333</v>
      </c>
      <c r="C883" s="78">
        <v>352.41530590873811</v>
      </c>
      <c r="D883" s="78">
        <v>353.34462521562557</v>
      </c>
      <c r="E883" s="78">
        <v>3121975.3840229558</v>
      </c>
      <c r="F883" s="78" t="s">
        <v>883</v>
      </c>
      <c r="G883" s="25">
        <f t="shared" si="24"/>
        <v>-2.4656858716197716E-3</v>
      </c>
      <c r="I883" s="78">
        <v>32.213000000000008</v>
      </c>
      <c r="J883" s="78">
        <v>32.762000000000008</v>
      </c>
      <c r="K883" s="78">
        <v>32.117000000000004</v>
      </c>
      <c r="L883" s="78">
        <v>32.370000000000005</v>
      </c>
      <c r="M883" s="78">
        <v>36760749.999999993</v>
      </c>
      <c r="N883" s="78" t="s">
        <v>883</v>
      </c>
      <c r="O883" s="25">
        <f t="shared" si="25"/>
        <v>-4.8501699104107621E-3</v>
      </c>
    </row>
    <row r="884" spans="1:15">
      <c r="A884" s="78">
        <v>353.8092848690693</v>
      </c>
      <c r="B884" s="78">
        <v>356.98445916760153</v>
      </c>
      <c r="C884" s="78">
        <v>352.94153296626314</v>
      </c>
      <c r="D884" s="78">
        <v>355.74536675841824</v>
      </c>
      <c r="E884" s="78">
        <v>3409099.602816686</v>
      </c>
      <c r="F884" s="78" t="s">
        <v>884</v>
      </c>
      <c r="G884" s="25">
        <f t="shared" si="24"/>
        <v>-5.4423249612234326E-3</v>
      </c>
      <c r="I884" s="78">
        <v>32.303000000000004</v>
      </c>
      <c r="J884" s="78">
        <v>33.000000000000007</v>
      </c>
      <c r="K884" s="78">
        <v>32.212100000000007</v>
      </c>
      <c r="L884" s="78">
        <v>32.387000000000008</v>
      </c>
      <c r="M884" s="78">
        <v>61425799.999999985</v>
      </c>
      <c r="N884" s="78" t="s">
        <v>884</v>
      </c>
      <c r="O884" s="25">
        <f t="shared" si="25"/>
        <v>-2.5936332479081781E-3</v>
      </c>
    </row>
    <row r="885" spans="1:15">
      <c r="A885" s="78">
        <v>352.58955327877953</v>
      </c>
      <c r="B885" s="78">
        <v>353.36398603451903</v>
      </c>
      <c r="C885" s="78">
        <v>350.16945091709334</v>
      </c>
      <c r="D885" s="78">
        <v>351.69895560967899</v>
      </c>
      <c r="E885" s="78">
        <v>4188879.6360402266</v>
      </c>
      <c r="F885" s="78" t="s">
        <v>885</v>
      </c>
      <c r="G885" s="25">
        <f t="shared" si="24"/>
        <v>2.5322727147616408E-3</v>
      </c>
      <c r="I885" s="78">
        <v>31.715000000000003</v>
      </c>
      <c r="J885" s="78">
        <v>32.150000000000006</v>
      </c>
      <c r="K885" s="78">
        <v>31.452000000000005</v>
      </c>
      <c r="L885" s="78">
        <v>31.930000000000007</v>
      </c>
      <c r="M885" s="78">
        <v>68306919.999999985</v>
      </c>
      <c r="N885" s="78" t="s">
        <v>885</v>
      </c>
      <c r="O885" s="25">
        <f t="shared" si="25"/>
        <v>-6.7334794863765923E-3</v>
      </c>
    </row>
    <row r="886" spans="1:15">
      <c r="A886" s="78">
        <v>356.40363460079692</v>
      </c>
      <c r="B886" s="78">
        <v>357.75889192334114</v>
      </c>
      <c r="C886" s="78">
        <v>352.49274918431206</v>
      </c>
      <c r="D886" s="78">
        <v>357.27487145100389</v>
      </c>
      <c r="E886" s="78">
        <v>2961850.9586536069</v>
      </c>
      <c r="F886" s="78" t="s">
        <v>886</v>
      </c>
      <c r="G886" s="25">
        <f t="shared" si="24"/>
        <v>-2.4385617904461032E-3</v>
      </c>
      <c r="I886" s="78">
        <v>32.365000000000002</v>
      </c>
      <c r="J886" s="78">
        <v>33.128000000000007</v>
      </c>
      <c r="K886" s="78">
        <v>31.430000000000007</v>
      </c>
      <c r="L886" s="78">
        <v>33.123000000000012</v>
      </c>
      <c r="M886" s="78">
        <v>132386729.99999997</v>
      </c>
      <c r="N886" s="78" t="s">
        <v>886</v>
      </c>
      <c r="O886" s="25">
        <f t="shared" si="25"/>
        <v>-2.2884400567581675E-2</v>
      </c>
    </row>
    <row r="887" spans="1:15">
      <c r="A887" s="78">
        <v>354.62243926259583</v>
      </c>
      <c r="B887" s="78">
        <v>356.81989220700694</v>
      </c>
      <c r="C887" s="78">
        <v>353.18005825503087</v>
      </c>
      <c r="D887" s="78">
        <v>355.44527406556915</v>
      </c>
      <c r="E887" s="78">
        <v>3999834.9463432003</v>
      </c>
      <c r="F887" s="78" t="s">
        <v>887</v>
      </c>
      <c r="G887" s="25">
        <f t="shared" si="24"/>
        <v>-2.3149409009205479E-3</v>
      </c>
      <c r="I887" s="78">
        <v>33.488000000000007</v>
      </c>
      <c r="J887" s="78">
        <v>34.19100000000001</v>
      </c>
      <c r="K887" s="78">
        <v>33.282000000000004</v>
      </c>
      <c r="L887" s="78">
        <v>33.750000000000007</v>
      </c>
      <c r="M887" s="78">
        <v>45462489.999999993</v>
      </c>
      <c r="N887" s="78" t="s">
        <v>887</v>
      </c>
      <c r="O887" s="25">
        <f t="shared" si="25"/>
        <v>-7.7629629629629715E-3</v>
      </c>
    </row>
    <row r="888" spans="1:15">
      <c r="A888" s="78">
        <v>355.06773809714616</v>
      </c>
      <c r="B888" s="78">
        <v>359.46748419069155</v>
      </c>
      <c r="C888" s="78">
        <v>354.76764540429707</v>
      </c>
      <c r="D888" s="78">
        <v>358.56236590742088</v>
      </c>
      <c r="E888" s="78">
        <v>3211822.8233058555</v>
      </c>
      <c r="F888" s="78" t="s">
        <v>888</v>
      </c>
      <c r="G888" s="25">
        <f t="shared" si="24"/>
        <v>-9.7462203023755967E-3</v>
      </c>
      <c r="I888" s="78">
        <v>33.750000000000007</v>
      </c>
      <c r="J888" s="78">
        <v>34.412530000000004</v>
      </c>
      <c r="K888" s="78">
        <v>33.641770000000008</v>
      </c>
      <c r="L888" s="78">
        <v>34.285000000000011</v>
      </c>
      <c r="M888" s="78">
        <v>57102919.999999993</v>
      </c>
      <c r="N888" s="78" t="s">
        <v>888</v>
      </c>
      <c r="O888" s="25">
        <f t="shared" si="25"/>
        <v>-1.5604491760245143E-2</v>
      </c>
    </row>
    <row r="889" spans="1:15">
      <c r="A889" s="78">
        <v>362.26028231607739</v>
      </c>
      <c r="B889" s="78">
        <v>362.48293173335247</v>
      </c>
      <c r="C889" s="78">
        <v>359.45296357652143</v>
      </c>
      <c r="D889" s="78">
        <v>361.25255169267126</v>
      </c>
      <c r="E889" s="78">
        <v>3393789.3000019803</v>
      </c>
      <c r="F889" s="78" t="s">
        <v>889</v>
      </c>
      <c r="G889" s="25">
        <f t="shared" si="24"/>
        <v>2.7895460355487067E-3</v>
      </c>
      <c r="I889" s="78">
        <v>34.796000000000006</v>
      </c>
      <c r="J889" s="78">
        <v>34.900000000000006</v>
      </c>
      <c r="K889" s="78">
        <v>34.244000000000007</v>
      </c>
      <c r="L889" s="78">
        <v>34.790500000000002</v>
      </c>
      <c r="M889" s="78">
        <v>52947269.999999993</v>
      </c>
      <c r="N889" s="78" t="s">
        <v>889</v>
      </c>
      <c r="O889" s="25">
        <f t="shared" si="25"/>
        <v>1.5808913352799436E-4</v>
      </c>
    </row>
    <row r="890" spans="1:15">
      <c r="A890" s="78">
        <v>363.19928203241159</v>
      </c>
      <c r="B890" s="78">
        <v>367.30377563783134</v>
      </c>
      <c r="C890" s="78">
        <v>363.10247793794412</v>
      </c>
      <c r="D890" s="78">
        <v>363.65426127640865</v>
      </c>
      <c r="E890" s="78">
        <v>3179102.099896112</v>
      </c>
      <c r="F890" s="78" t="s">
        <v>890</v>
      </c>
      <c r="G890" s="25">
        <f t="shared" si="24"/>
        <v>-1.2511313421712522E-3</v>
      </c>
      <c r="I890" s="78">
        <v>35.071000000000005</v>
      </c>
      <c r="J890" s="78">
        <v>36.150000000000006</v>
      </c>
      <c r="K890" s="78">
        <v>35.031000000000006</v>
      </c>
      <c r="L890" s="78">
        <v>35.500000000000007</v>
      </c>
      <c r="M890" s="78">
        <v>52157259.999999993</v>
      </c>
      <c r="N890" s="78" t="s">
        <v>890</v>
      </c>
      <c r="O890" s="25">
        <f t="shared" si="25"/>
        <v>-1.2084507042253612E-2</v>
      </c>
    </row>
    <row r="891" spans="1:15">
      <c r="A891" s="78">
        <v>368.32021862973954</v>
      </c>
      <c r="B891" s="78">
        <v>368.36862067697319</v>
      </c>
      <c r="C891" s="78">
        <v>364.30284870934048</v>
      </c>
      <c r="D891" s="78">
        <v>365.09664228397355</v>
      </c>
      <c r="E891" s="78">
        <v>2925104.579075662</v>
      </c>
      <c r="F891" s="78" t="s">
        <v>891</v>
      </c>
      <c r="G891" s="25">
        <f t="shared" ref="G891:G939" si="26">A891/D891-1</f>
        <v>8.8293782314730063E-3</v>
      </c>
      <c r="I891" s="78">
        <v>36.14200000000001</v>
      </c>
      <c r="J891" s="78">
        <v>36.288000000000004</v>
      </c>
      <c r="K891" s="78">
        <v>35.424000000000007</v>
      </c>
      <c r="L891" s="78">
        <v>35.663000000000004</v>
      </c>
      <c r="M891" s="78">
        <v>39699449.999999993</v>
      </c>
      <c r="N891" s="78" t="s">
        <v>891</v>
      </c>
      <c r="O891" s="25">
        <f t="shared" ref="O891:O938" si="27">I891/L891-1</f>
        <v>1.3431287328603991E-2</v>
      </c>
    </row>
    <row r="892" spans="1:15">
      <c r="A892" s="78">
        <v>367.09080663000293</v>
      </c>
      <c r="B892" s="78">
        <v>369.23017711773355</v>
      </c>
      <c r="C892" s="78">
        <v>363.45097267802697</v>
      </c>
      <c r="D892" s="78">
        <v>365.88075544915984</v>
      </c>
      <c r="E892" s="78">
        <v>4873799.0122789731</v>
      </c>
      <c r="F892" s="78" t="s">
        <v>892</v>
      </c>
      <c r="G892" s="25">
        <f t="shared" si="26"/>
        <v>3.3072282781247964E-3</v>
      </c>
      <c r="I892" s="78">
        <v>35.996000000000002</v>
      </c>
      <c r="J892" s="78">
        <v>36.375000000000007</v>
      </c>
      <c r="K892" s="78">
        <v>35.340000000000003</v>
      </c>
      <c r="L892" s="78">
        <v>35.75500000000001</v>
      </c>
      <c r="M892" s="78">
        <v>46247579.999999993</v>
      </c>
      <c r="N892" s="78" t="s">
        <v>892</v>
      </c>
      <c r="O892" s="25">
        <f t="shared" si="27"/>
        <v>6.7403160397145889E-3</v>
      </c>
    </row>
    <row r="893" spans="1:15">
      <c r="A893" s="78">
        <v>367.22633236225738</v>
      </c>
      <c r="B893" s="78">
        <v>367.31345604727807</v>
      </c>
      <c r="C893" s="78">
        <v>363.20896244185832</v>
      </c>
      <c r="D893" s="78">
        <v>363.6436128260172</v>
      </c>
      <c r="E893" s="78">
        <v>3079001.995109133</v>
      </c>
      <c r="F893" s="78" t="s">
        <v>893</v>
      </c>
      <c r="G893" s="25">
        <f t="shared" si="26"/>
        <v>9.852282316737071E-3</v>
      </c>
      <c r="I893" s="78">
        <v>35.857000000000006</v>
      </c>
      <c r="J893" s="78">
        <v>35.970340000000007</v>
      </c>
      <c r="K893" s="78">
        <v>34.425000000000004</v>
      </c>
      <c r="L893" s="78">
        <v>34.95000000000001</v>
      </c>
      <c r="M893" s="78">
        <v>71344449.999999985</v>
      </c>
      <c r="N893" s="78" t="s">
        <v>893</v>
      </c>
      <c r="O893" s="25">
        <f t="shared" si="27"/>
        <v>2.5951359084406267E-2</v>
      </c>
    </row>
    <row r="894" spans="1:15">
      <c r="A894" s="78">
        <v>363.03471507181695</v>
      </c>
      <c r="B894" s="78">
        <v>363.39289022134648</v>
      </c>
      <c r="C894" s="78">
        <v>360.30483960783494</v>
      </c>
      <c r="D894" s="78">
        <v>361.07927236357455</v>
      </c>
      <c r="E894" s="78">
        <v>3364222.3688122826</v>
      </c>
      <c r="F894" s="78" t="s">
        <v>894</v>
      </c>
      <c r="G894" s="25">
        <f t="shared" si="26"/>
        <v>5.4155495978551738E-3</v>
      </c>
      <c r="I894" s="78">
        <v>34.736000000000011</v>
      </c>
      <c r="J894" s="78">
        <v>36.214000000000006</v>
      </c>
      <c r="K894" s="78">
        <v>34.714000000000006</v>
      </c>
      <c r="L894" s="78">
        <v>35.916000000000011</v>
      </c>
      <c r="M894" s="78">
        <v>72910959.999999985</v>
      </c>
      <c r="N894" s="78" t="s">
        <v>894</v>
      </c>
      <c r="O894" s="25">
        <f t="shared" si="27"/>
        <v>-3.285443813342237E-2</v>
      </c>
    </row>
    <row r="895" spans="1:15">
      <c r="A895" s="78">
        <v>362.15379781216319</v>
      </c>
      <c r="B895" s="78">
        <v>368.82359992097025</v>
      </c>
      <c r="C895" s="78">
        <v>361.02951505901825</v>
      </c>
      <c r="D895" s="78">
        <v>368.79455869263001</v>
      </c>
      <c r="E895" s="78">
        <v>3437576.7040711897</v>
      </c>
      <c r="F895" s="78" t="s">
        <v>895</v>
      </c>
      <c r="G895" s="25">
        <f t="shared" si="26"/>
        <v>-1.8006667191642345E-2</v>
      </c>
      <c r="I895" s="78">
        <v>36.250000000000007</v>
      </c>
      <c r="J895" s="78">
        <v>37.383000000000003</v>
      </c>
      <c r="K895" s="78">
        <v>36.174440000000004</v>
      </c>
      <c r="L895" s="78">
        <v>37.241000000000007</v>
      </c>
      <c r="M895" s="78">
        <v>69010999.999999985</v>
      </c>
      <c r="N895" s="78" t="s">
        <v>895</v>
      </c>
      <c r="O895" s="25">
        <f t="shared" si="27"/>
        <v>-2.6610456217609602E-2</v>
      </c>
    </row>
    <row r="896" spans="1:15">
      <c r="A896" s="78">
        <v>365.28057006346165</v>
      </c>
      <c r="B896" s="78">
        <v>368.75583705484303</v>
      </c>
      <c r="C896" s="78">
        <v>364.69006508721031</v>
      </c>
      <c r="D896" s="78">
        <v>367.55546628344666</v>
      </c>
      <c r="E896" s="78">
        <v>3017953.9574975902</v>
      </c>
      <c r="F896" s="78" t="s">
        <v>896</v>
      </c>
      <c r="G896" s="25">
        <f t="shared" si="26"/>
        <v>-6.1892596591957005E-3</v>
      </c>
      <c r="I896" s="78">
        <v>36.683000000000007</v>
      </c>
      <c r="J896" s="78">
        <v>36.819300000000005</v>
      </c>
      <c r="K896" s="78">
        <v>35.83100000000001</v>
      </c>
      <c r="L896" s="78">
        <v>36.002000000000002</v>
      </c>
      <c r="M896" s="78">
        <v>62531789.999999985</v>
      </c>
      <c r="N896" s="78" t="s">
        <v>896</v>
      </c>
      <c r="O896" s="25">
        <f t="shared" si="27"/>
        <v>1.8915615799122376E-2</v>
      </c>
    </row>
    <row r="897" spans="1:15">
      <c r="A897" s="78">
        <v>369.32698121220096</v>
      </c>
      <c r="B897" s="78">
        <v>370.51457384312761</v>
      </c>
      <c r="C897" s="78">
        <v>362.64749869394717</v>
      </c>
      <c r="D897" s="78">
        <v>363.78010659921631</v>
      </c>
      <c r="E897" s="78">
        <v>4653349.6592076896</v>
      </c>
      <c r="F897" s="78" t="s">
        <v>897</v>
      </c>
      <c r="G897" s="25">
        <f t="shared" si="26"/>
        <v>1.5247877804092758E-2</v>
      </c>
      <c r="I897" s="78">
        <v>36.295000000000009</v>
      </c>
      <c r="J897" s="78">
        <v>36.417990000000003</v>
      </c>
      <c r="K897" s="78">
        <v>35.418000000000006</v>
      </c>
      <c r="L897" s="78">
        <v>35.851000000000006</v>
      </c>
      <c r="M897" s="78">
        <v>62893679.999999985</v>
      </c>
      <c r="N897" s="78" t="s">
        <v>897</v>
      </c>
      <c r="O897" s="25">
        <f t="shared" si="27"/>
        <v>1.2384591782656162E-2</v>
      </c>
    </row>
    <row r="898" spans="1:15">
      <c r="A898" s="78">
        <v>364.62230222108309</v>
      </c>
      <c r="B898" s="78">
        <v>365.85171422081964</v>
      </c>
      <c r="C898" s="78">
        <v>363.03471507181695</v>
      </c>
      <c r="D898" s="78">
        <v>364.54001874078574</v>
      </c>
      <c r="E898" s="78">
        <v>2975182.0063443012</v>
      </c>
      <c r="F898" s="78" t="s">
        <v>898</v>
      </c>
      <c r="G898" s="25">
        <f t="shared" si="26"/>
        <v>2.2571864834364241E-4</v>
      </c>
      <c r="I898" s="78">
        <v>36.14800000000001</v>
      </c>
      <c r="J898" s="78">
        <v>36.845000000000006</v>
      </c>
      <c r="K898" s="78">
        <v>36.068000000000005</v>
      </c>
      <c r="L898" s="78">
        <v>36.364200000000004</v>
      </c>
      <c r="M898" s="78">
        <v>49949419.999999993</v>
      </c>
      <c r="N898" s="78" t="s">
        <v>898</v>
      </c>
      <c r="O898" s="25">
        <f t="shared" si="27"/>
        <v>-5.9454078461782522E-3</v>
      </c>
    </row>
    <row r="899" spans="1:15">
      <c r="A899" s="78">
        <v>366.74231188992019</v>
      </c>
      <c r="B899" s="78">
        <v>370.95328999925403</v>
      </c>
      <c r="C899" s="78">
        <v>365.71618848856525</v>
      </c>
      <c r="D899" s="78">
        <v>366.14212650422201</v>
      </c>
      <c r="E899" s="78">
        <v>6686193.425606193</v>
      </c>
      <c r="F899" s="78" t="s">
        <v>899</v>
      </c>
      <c r="G899" s="25">
        <f t="shared" si="26"/>
        <v>1.6392142347250171E-3</v>
      </c>
      <c r="I899" s="78">
        <v>36.590000000000003</v>
      </c>
      <c r="J899" s="78">
        <v>37.943010000000008</v>
      </c>
      <c r="K899" s="78">
        <v>35.900000000000006</v>
      </c>
      <c r="L899" s="78">
        <v>35.908000000000008</v>
      </c>
      <c r="M899" s="78">
        <v>94020339.999999985</v>
      </c>
      <c r="N899" s="78" t="s">
        <v>899</v>
      </c>
      <c r="O899" s="25">
        <f t="shared" si="27"/>
        <v>1.8992982065277886E-2</v>
      </c>
    </row>
    <row r="900" spans="1:15">
      <c r="A900" s="78">
        <v>370.7015993536387</v>
      </c>
      <c r="B900" s="78">
        <v>372.1246195423102</v>
      </c>
      <c r="C900" s="78">
        <v>367.27473440949109</v>
      </c>
      <c r="D900" s="78">
        <v>369.06561015713885</v>
      </c>
      <c r="E900" s="78">
        <v>5379861.2844329085</v>
      </c>
      <c r="F900" s="78" t="s">
        <v>900</v>
      </c>
      <c r="G900" s="25">
        <f t="shared" si="26"/>
        <v>4.432786885245843E-3</v>
      </c>
      <c r="I900" s="78">
        <v>36.689000000000007</v>
      </c>
      <c r="J900" s="78">
        <v>36.832000000000008</v>
      </c>
      <c r="K900" s="78">
        <v>35.843000000000011</v>
      </c>
      <c r="L900" s="78">
        <v>36.516000000000012</v>
      </c>
      <c r="M900" s="78">
        <v>78569519.999999985</v>
      </c>
      <c r="N900" s="78" t="s">
        <v>900</v>
      </c>
      <c r="O900" s="25">
        <f t="shared" si="27"/>
        <v>4.7376492496438161E-3</v>
      </c>
    </row>
    <row r="901" spans="1:15">
      <c r="A901" s="78">
        <v>365.46449784294981</v>
      </c>
      <c r="B901" s="78">
        <v>368.01044552744372</v>
      </c>
      <c r="C901" s="78">
        <v>357.94281970282924</v>
      </c>
      <c r="D901" s="78">
        <v>360.53716943455686</v>
      </c>
      <c r="E901" s="78">
        <v>5104837.7934693824</v>
      </c>
      <c r="F901" s="78" t="s">
        <v>901</v>
      </c>
      <c r="G901" s="25">
        <f t="shared" si="26"/>
        <v>1.36666308667166E-2</v>
      </c>
      <c r="I901" s="78">
        <v>36.199000000000005</v>
      </c>
      <c r="J901" s="78">
        <v>36.538500000000006</v>
      </c>
      <c r="K901" s="78">
        <v>34.991000000000007</v>
      </c>
      <c r="L901" s="78">
        <v>35.38600000000001</v>
      </c>
      <c r="M901" s="78">
        <v>80051699.999999985</v>
      </c>
      <c r="N901" s="78" t="s">
        <v>901</v>
      </c>
      <c r="O901" s="25">
        <f t="shared" si="27"/>
        <v>2.2975187927428697E-2</v>
      </c>
    </row>
    <row r="902" spans="1:15">
      <c r="A902" s="78">
        <v>361.5052103792313</v>
      </c>
      <c r="B902" s="78">
        <v>361.60201447369877</v>
      </c>
      <c r="C902" s="78">
        <v>356.55852115194477</v>
      </c>
      <c r="D902" s="78">
        <v>356.82957261645367</v>
      </c>
      <c r="E902" s="78">
        <v>4319740.8363819132</v>
      </c>
      <c r="F902" s="78" t="s">
        <v>902</v>
      </c>
      <c r="G902" s="25">
        <f t="shared" si="26"/>
        <v>1.3103279889313812E-2</v>
      </c>
      <c r="I902" s="78">
        <v>35.38600000000001</v>
      </c>
      <c r="J902" s="78">
        <v>35.595000000000006</v>
      </c>
      <c r="K902" s="78">
        <v>34.871000000000002</v>
      </c>
      <c r="L902" s="78">
        <v>34.998000000000012</v>
      </c>
      <c r="M902" s="78">
        <v>56607379.999999993</v>
      </c>
      <c r="N902" s="78" t="s">
        <v>902</v>
      </c>
      <c r="O902" s="25">
        <f t="shared" si="27"/>
        <v>1.1086347791302353E-2</v>
      </c>
    </row>
    <row r="903" spans="1:15">
      <c r="A903" s="78">
        <v>356.44235623858384</v>
      </c>
      <c r="B903" s="78">
        <v>360.39196329285568</v>
      </c>
      <c r="C903" s="78">
        <v>356.10354190794783</v>
      </c>
      <c r="D903" s="78">
        <v>358.32035567125229</v>
      </c>
      <c r="E903" s="78">
        <v>3388900.0439988766</v>
      </c>
      <c r="F903" s="78" t="s">
        <v>903</v>
      </c>
      <c r="G903" s="25">
        <f t="shared" si="26"/>
        <v>-5.2411184654869158E-3</v>
      </c>
      <c r="I903" s="78">
        <v>35.311000000000007</v>
      </c>
      <c r="J903" s="78">
        <v>36.095000000000006</v>
      </c>
      <c r="K903" s="78">
        <v>35.285500000000006</v>
      </c>
      <c r="L903" s="78">
        <v>35.844000000000008</v>
      </c>
      <c r="M903" s="78">
        <v>51275929.999999993</v>
      </c>
      <c r="N903" s="78" t="s">
        <v>903</v>
      </c>
      <c r="O903" s="25">
        <f t="shared" si="27"/>
        <v>-1.4869992188371817E-2</v>
      </c>
    </row>
    <row r="904" spans="1:15">
      <c r="A904" s="78">
        <v>360.95342704076688</v>
      </c>
      <c r="B904" s="78">
        <v>363.09279752849739</v>
      </c>
      <c r="C904" s="78">
        <v>358.91086064750374</v>
      </c>
      <c r="D904" s="78">
        <v>359.0367059703114</v>
      </c>
      <c r="E904" s="78">
        <v>5732734.7882647878</v>
      </c>
      <c r="F904" s="78" t="s">
        <v>904</v>
      </c>
      <c r="G904" s="25">
        <f t="shared" si="26"/>
        <v>5.3385100703713384E-3</v>
      </c>
      <c r="I904" s="78">
        <v>36.077000000000005</v>
      </c>
      <c r="J904" s="78">
        <v>36.592000000000006</v>
      </c>
      <c r="K904" s="78">
        <v>36.059000000000005</v>
      </c>
      <c r="L904" s="78">
        <v>36.320000000000007</v>
      </c>
      <c r="M904" s="78">
        <v>67035479.999999985</v>
      </c>
      <c r="N904" s="78" t="s">
        <v>904</v>
      </c>
      <c r="O904" s="25">
        <f t="shared" si="27"/>
        <v>-6.6905286343612591E-3</v>
      </c>
    </row>
    <row r="905" spans="1:15">
      <c r="A905" s="78">
        <v>359.92730363941195</v>
      </c>
      <c r="B905" s="78">
        <v>360.16931387558054</v>
      </c>
      <c r="C905" s="78">
        <v>355.86153167177918</v>
      </c>
      <c r="D905" s="78">
        <v>358.62044836410138</v>
      </c>
      <c r="E905" s="78">
        <v>3575193.8169969241</v>
      </c>
      <c r="F905" s="78" t="s">
        <v>905</v>
      </c>
      <c r="G905" s="25">
        <f t="shared" si="26"/>
        <v>3.6441181234143638E-3</v>
      </c>
      <c r="I905" s="78">
        <v>36.487000000000009</v>
      </c>
      <c r="J905" s="78">
        <v>36.902000000000008</v>
      </c>
      <c r="K905" s="78">
        <v>36.170000000000009</v>
      </c>
      <c r="L905" s="78">
        <v>36.877000000000002</v>
      </c>
      <c r="M905" s="78">
        <v>82568439.999999985</v>
      </c>
      <c r="N905" s="78" t="s">
        <v>905</v>
      </c>
      <c r="O905" s="25">
        <f t="shared" si="27"/>
        <v>-1.0575697589283117E-2</v>
      </c>
    </row>
    <row r="906" spans="1:15">
      <c r="A906" s="78">
        <v>356.12290272684129</v>
      </c>
      <c r="B906" s="78">
        <v>356.39395419135013</v>
      </c>
      <c r="C906" s="78">
        <v>350.10168805096617</v>
      </c>
      <c r="D906" s="78">
        <v>352.15393485367593</v>
      </c>
      <c r="E906" s="78">
        <v>3162761.8819672936</v>
      </c>
      <c r="F906" s="78" t="s">
        <v>906</v>
      </c>
      <c r="G906" s="25">
        <f t="shared" si="26"/>
        <v>1.1270548133487379E-2</v>
      </c>
      <c r="I906" s="78">
        <v>36.796000000000006</v>
      </c>
      <c r="J906" s="78">
        <v>36.889990000000004</v>
      </c>
      <c r="K906" s="78">
        <v>35.850100000000005</v>
      </c>
      <c r="L906" s="78">
        <v>36.057000000000009</v>
      </c>
      <c r="M906" s="78">
        <v>77669069.999999985</v>
      </c>
      <c r="N906" s="78" t="s">
        <v>906</v>
      </c>
      <c r="O906" s="25">
        <f t="shared" si="27"/>
        <v>2.0495326843608552E-2</v>
      </c>
    </row>
    <row r="907" spans="1:15">
      <c r="A907" s="78">
        <v>355.99705740403363</v>
      </c>
      <c r="B907" s="78">
        <v>356.82957261645367</v>
      </c>
      <c r="C907" s="78">
        <v>353.74152200294213</v>
      </c>
      <c r="D907" s="78">
        <v>354.85476908931776</v>
      </c>
      <c r="E907" s="78">
        <v>2791596.796464812</v>
      </c>
      <c r="F907" s="78" t="s">
        <v>907</v>
      </c>
      <c r="G907" s="25">
        <f t="shared" si="26"/>
        <v>3.2190304716697149E-3</v>
      </c>
      <c r="I907" s="78">
        <v>36.383000000000003</v>
      </c>
      <c r="J907" s="78">
        <v>36.565000000000005</v>
      </c>
      <c r="K907" s="78">
        <v>35.514010000000006</v>
      </c>
      <c r="L907" s="78">
        <v>35.753000000000007</v>
      </c>
      <c r="M907" s="78">
        <v>117965279.99999997</v>
      </c>
      <c r="N907" s="78" t="s">
        <v>907</v>
      </c>
      <c r="O907" s="25">
        <f t="shared" si="27"/>
        <v>1.7620898945542862E-2</v>
      </c>
    </row>
    <row r="908" spans="1:15">
      <c r="A908" s="78">
        <v>356.37459337245662</v>
      </c>
      <c r="B908" s="78">
        <v>358.17514952955116</v>
      </c>
      <c r="C908" s="78">
        <v>352.02808953086827</v>
      </c>
      <c r="D908" s="78">
        <v>352.86060474328832</v>
      </c>
      <c r="E908" s="78">
        <v>3350357.2528026351</v>
      </c>
      <c r="F908" s="78" t="s">
        <v>908</v>
      </c>
      <c r="G908" s="25">
        <f t="shared" si="26"/>
        <v>9.9585745247043889E-3</v>
      </c>
      <c r="I908" s="78">
        <v>35.742000000000012</v>
      </c>
      <c r="J908" s="78">
        <v>36.224530000000009</v>
      </c>
      <c r="K908" s="78">
        <v>34.063290000000009</v>
      </c>
      <c r="L908" s="78">
        <v>34.171500000000002</v>
      </c>
      <c r="M908" s="78">
        <v>156468529.99999997</v>
      </c>
      <c r="N908" s="78" t="s">
        <v>908</v>
      </c>
      <c r="O908" s="25">
        <f t="shared" si="27"/>
        <v>4.5959352091655692E-2</v>
      </c>
    </row>
    <row r="909" spans="1:15">
      <c r="A909" s="78">
        <v>352.08617198754877</v>
      </c>
      <c r="B909" s="78">
        <v>352.27978017648371</v>
      </c>
      <c r="C909" s="78">
        <v>345.4744523354222</v>
      </c>
      <c r="D909" s="78">
        <v>346.99427661856112</v>
      </c>
      <c r="E909" s="78">
        <v>3372855.2681188406</v>
      </c>
      <c r="F909" s="78" t="s">
        <v>909</v>
      </c>
      <c r="G909" s="25">
        <f t="shared" si="26"/>
        <v>1.4674292090947061E-2</v>
      </c>
      <c r="I909" s="78">
        <v>34.250000000000007</v>
      </c>
      <c r="J909" s="78">
        <v>34.400000000000006</v>
      </c>
      <c r="K909" s="78">
        <v>33.26250000000001</v>
      </c>
      <c r="L909" s="78">
        <v>33.679000000000009</v>
      </c>
      <c r="M909" s="78">
        <v>284303389.99999994</v>
      </c>
      <c r="N909" s="78" t="s">
        <v>909</v>
      </c>
      <c r="O909" s="25">
        <f t="shared" si="27"/>
        <v>1.6954185100507724E-2</v>
      </c>
    </row>
    <row r="910" spans="1:15">
      <c r="A910" s="78">
        <v>345.72614298103753</v>
      </c>
      <c r="B910" s="78">
        <v>347.87035367349154</v>
      </c>
      <c r="C910" s="78">
        <v>344.47737016240751</v>
      </c>
      <c r="D910" s="78">
        <v>346.32632836673571</v>
      </c>
      <c r="E910" s="78">
        <v>3630917.699645442</v>
      </c>
      <c r="F910" s="78" t="s">
        <v>910</v>
      </c>
      <c r="G910" s="25">
        <f t="shared" si="26"/>
        <v>-1.7330053667263812E-3</v>
      </c>
      <c r="I910" s="78">
        <v>31.578000000000003</v>
      </c>
      <c r="J910" s="78">
        <v>32.489000000000004</v>
      </c>
      <c r="K910" s="78">
        <v>31.339000000000006</v>
      </c>
      <c r="L910" s="78">
        <v>32.257000000000005</v>
      </c>
      <c r="M910" s="78">
        <v>180081949.99999997</v>
      </c>
      <c r="N910" s="78" t="s">
        <v>910</v>
      </c>
      <c r="O910" s="25">
        <f t="shared" si="27"/>
        <v>-2.1049694639923122E-2</v>
      </c>
    </row>
    <row r="911" spans="1:15">
      <c r="A911" s="78">
        <v>348.23336902774446</v>
      </c>
      <c r="B911" s="78">
        <v>355.90993371901294</v>
      </c>
      <c r="C911" s="78">
        <v>348.08816288604322</v>
      </c>
      <c r="D911" s="78">
        <v>354.95157318378523</v>
      </c>
      <c r="E911" s="78">
        <v>4061608.1598926638</v>
      </c>
      <c r="F911" s="78" t="s">
        <v>911</v>
      </c>
      <c r="G911" s="25">
        <f t="shared" si="26"/>
        <v>-1.8927100662721297E-2</v>
      </c>
      <c r="I911" s="78">
        <v>32.633000000000003</v>
      </c>
      <c r="J911" s="78">
        <v>33.008000000000003</v>
      </c>
      <c r="K911" s="78">
        <v>32.125000000000007</v>
      </c>
      <c r="L911" s="78">
        <v>32.675000000000004</v>
      </c>
      <c r="M911" s="78">
        <v>78141149.999999985</v>
      </c>
      <c r="N911" s="78" t="s">
        <v>911</v>
      </c>
      <c r="O911" s="25">
        <f t="shared" si="27"/>
        <v>-1.2853863810252664E-3</v>
      </c>
    </row>
    <row r="912" spans="1:15">
      <c r="A912" s="78">
        <v>353.98353223911073</v>
      </c>
      <c r="B912" s="78">
        <v>355.96801617569338</v>
      </c>
      <c r="C912" s="78">
        <v>353.20909948337118</v>
      </c>
      <c r="D912" s="78">
        <v>354.48691353034144</v>
      </c>
      <c r="E912" s="78">
        <v>5105159.0608720798</v>
      </c>
      <c r="F912" s="78" t="s">
        <v>912</v>
      </c>
      <c r="G912" s="25">
        <f t="shared" si="26"/>
        <v>-1.4200278543925471E-3</v>
      </c>
      <c r="I912" s="78">
        <v>32.622000000000007</v>
      </c>
      <c r="J912" s="78">
        <v>33.250000000000007</v>
      </c>
      <c r="K912" s="78">
        <v>32.360000000000007</v>
      </c>
      <c r="L912" s="78">
        <v>33.108000000000004</v>
      </c>
      <c r="M912" s="78">
        <v>92469869.999999985</v>
      </c>
      <c r="N912" s="78" t="s">
        <v>912</v>
      </c>
      <c r="O912" s="25">
        <f t="shared" si="27"/>
        <v>-1.4679231605654097E-2</v>
      </c>
    </row>
    <row r="913" spans="1:15">
      <c r="A913" s="78">
        <v>354.52563516812842</v>
      </c>
      <c r="B913" s="78">
        <v>355.00936522818222</v>
      </c>
      <c r="C913" s="78">
        <v>349.91776027147802</v>
      </c>
      <c r="D913" s="78">
        <v>350.1217264985209</v>
      </c>
      <c r="E913" s="78">
        <v>3114702.9643606166</v>
      </c>
      <c r="F913" s="78" t="s">
        <v>913</v>
      </c>
      <c r="G913" s="25">
        <f t="shared" si="26"/>
        <v>1.257822161923472E-2</v>
      </c>
      <c r="I913" s="78">
        <v>33.282000000000004</v>
      </c>
      <c r="J913" s="78">
        <v>33.665000000000006</v>
      </c>
      <c r="K913" s="78">
        <v>32.888500000000008</v>
      </c>
      <c r="L913" s="78">
        <v>32.997000000000007</v>
      </c>
      <c r="M913" s="78">
        <v>82868159.999999985</v>
      </c>
      <c r="N913" s="78" t="s">
        <v>913</v>
      </c>
      <c r="O913" s="25">
        <f t="shared" si="27"/>
        <v>8.6371488317118494E-3</v>
      </c>
    </row>
    <row r="914" spans="1:15">
      <c r="A914" s="78">
        <v>353.15101702669068</v>
      </c>
      <c r="B914" s="78">
        <v>354.44819189255446</v>
      </c>
      <c r="C914" s="78">
        <v>349.07556464961124</v>
      </c>
      <c r="D914" s="78">
        <v>352.83156351494813</v>
      </c>
      <c r="E914" s="78">
        <v>4900061.3311817646</v>
      </c>
      <c r="F914" s="78" t="s">
        <v>914</v>
      </c>
      <c r="G914" s="25">
        <f t="shared" si="26"/>
        <v>9.0539947322199055E-4</v>
      </c>
      <c r="I914" s="78">
        <v>33.013000000000005</v>
      </c>
      <c r="J914" s="78">
        <v>33.295000000000009</v>
      </c>
      <c r="K914" s="78">
        <v>32.314000000000007</v>
      </c>
      <c r="L914" s="78">
        <v>33.250000000000007</v>
      </c>
      <c r="M914" s="78">
        <v>108562459.99999999</v>
      </c>
      <c r="N914" s="78" t="s">
        <v>914</v>
      </c>
      <c r="O914" s="25">
        <f t="shared" si="27"/>
        <v>-7.1278195488722051E-3</v>
      </c>
    </row>
    <row r="915" spans="1:15">
      <c r="A915" s="78">
        <v>351.83448134193338</v>
      </c>
      <c r="B915" s="78">
        <v>351.89256379861388</v>
      </c>
      <c r="C915" s="78">
        <v>348.16560616161723</v>
      </c>
      <c r="D915" s="78">
        <v>348.89163687012308</v>
      </c>
      <c r="E915" s="78">
        <v>5899060.3976160996</v>
      </c>
      <c r="F915" s="78" t="s">
        <v>915</v>
      </c>
      <c r="G915" s="25">
        <f t="shared" si="26"/>
        <v>8.4348381010515006E-3</v>
      </c>
      <c r="I915" s="78">
        <v>32.726000000000006</v>
      </c>
      <c r="J915" s="78">
        <v>32.888000000000005</v>
      </c>
      <c r="K915" s="78">
        <v>32.135000000000005</v>
      </c>
      <c r="L915" s="78">
        <v>32.650000000000006</v>
      </c>
      <c r="M915" s="78">
        <v>95796809.999999985</v>
      </c>
      <c r="N915" s="78" t="s">
        <v>915</v>
      </c>
      <c r="O915" s="25">
        <f t="shared" si="27"/>
        <v>2.3277182235834637E-3</v>
      </c>
    </row>
    <row r="916" spans="1:15">
      <c r="A916" s="78">
        <v>347.40085381532435</v>
      </c>
      <c r="B916" s="78">
        <v>347.47829709089831</v>
      </c>
      <c r="C916" s="78">
        <v>343.61581372164721</v>
      </c>
      <c r="D916" s="78">
        <v>344.46768975296072</v>
      </c>
      <c r="E916" s="78">
        <v>3611127.2144336384</v>
      </c>
      <c r="F916" s="78" t="s">
        <v>916</v>
      </c>
      <c r="G916" s="25">
        <f t="shared" si="26"/>
        <v>8.5150629496402175E-3</v>
      </c>
      <c r="I916" s="78">
        <v>32.754000000000005</v>
      </c>
      <c r="J916" s="78">
        <v>32.935000000000009</v>
      </c>
      <c r="K916" s="78">
        <v>31.107000000000006</v>
      </c>
      <c r="L916" s="78">
        <v>31.107000000000006</v>
      </c>
      <c r="M916" s="78">
        <v>130722859.99999997</v>
      </c>
      <c r="N916" s="78" t="s">
        <v>916</v>
      </c>
      <c r="O916" s="25">
        <f t="shared" si="27"/>
        <v>5.2946282187289029E-2</v>
      </c>
    </row>
    <row r="917" spans="1:15">
      <c r="A917" s="78">
        <v>344.94202981585124</v>
      </c>
      <c r="B917" s="78">
        <v>350.16945091709334</v>
      </c>
      <c r="C917" s="78">
        <v>344.83690056925963</v>
      </c>
      <c r="D917" s="78">
        <v>347.26532808306996</v>
      </c>
      <c r="E917" s="78">
        <v>3899961.0716565126</v>
      </c>
      <c r="F917" s="78" t="s">
        <v>917</v>
      </c>
      <c r="G917" s="25">
        <f t="shared" si="26"/>
        <v>-6.6902684470214746E-3</v>
      </c>
      <c r="I917" s="78">
        <v>31.517000000000007</v>
      </c>
      <c r="J917" s="78">
        <v>32.17</v>
      </c>
      <c r="K917" s="78">
        <v>31.32200000000001</v>
      </c>
      <c r="L917" s="78">
        <v>31.683000000000003</v>
      </c>
      <c r="M917" s="78">
        <v>67666279.999999985</v>
      </c>
      <c r="N917" s="78" t="s">
        <v>917</v>
      </c>
      <c r="O917" s="25">
        <f t="shared" si="27"/>
        <v>-5.2394028343274446E-3</v>
      </c>
    </row>
    <row r="918" spans="1:15">
      <c r="A918" s="78">
        <v>345.19372046146657</v>
      </c>
      <c r="B918" s="78">
        <v>346.23920468171502</v>
      </c>
      <c r="C918" s="78">
        <v>337.59450224167756</v>
      </c>
      <c r="D918" s="78">
        <v>340.35351573809425</v>
      </c>
      <c r="E918" s="78">
        <v>3579163.6904006698</v>
      </c>
      <c r="F918" s="78" t="s">
        <v>918</v>
      </c>
      <c r="G918" s="25">
        <f t="shared" si="26"/>
        <v>1.4221109815410138E-2</v>
      </c>
      <c r="I918" s="78">
        <v>31.555000000000007</v>
      </c>
      <c r="J918" s="78">
        <v>31.677000000000003</v>
      </c>
      <c r="K918" s="78">
        <v>30.369000000000007</v>
      </c>
      <c r="L918" s="78">
        <v>31.157000000000007</v>
      </c>
      <c r="M918" s="78">
        <v>89598389.999999985</v>
      </c>
      <c r="N918" s="78" t="s">
        <v>918</v>
      </c>
      <c r="O918" s="25">
        <f t="shared" si="27"/>
        <v>1.2774015470038869E-2</v>
      </c>
    </row>
    <row r="919" spans="1:15">
      <c r="A919" s="78">
        <v>337.51715577019814</v>
      </c>
      <c r="B919" s="78">
        <v>339.58876339180148</v>
      </c>
      <c r="C919" s="78">
        <v>336.93633120339342</v>
      </c>
      <c r="D919" s="78">
        <v>339.52100052567425</v>
      </c>
      <c r="E919" s="78">
        <v>3322729.2891848423</v>
      </c>
      <c r="F919" s="78" t="s">
        <v>919</v>
      </c>
      <c r="G919" s="25">
        <f t="shared" si="26"/>
        <v>-5.9019758788810828E-3</v>
      </c>
      <c r="I919" s="78">
        <v>30.970000000000006</v>
      </c>
      <c r="J919" s="78">
        <v>31.418000000000006</v>
      </c>
      <c r="K919" s="78">
        <v>30.454500000000007</v>
      </c>
      <c r="L919" s="78">
        <v>30.700000000000006</v>
      </c>
      <c r="M919" s="78">
        <v>83283899.999999985</v>
      </c>
      <c r="N919" s="78" t="s">
        <v>919</v>
      </c>
      <c r="O919" s="25">
        <f t="shared" si="27"/>
        <v>8.7947882736156835E-3</v>
      </c>
    </row>
    <row r="920" spans="1:15">
      <c r="A920" s="78">
        <v>341.24411340719479</v>
      </c>
      <c r="B920" s="78">
        <v>343.23198548708376</v>
      </c>
      <c r="C920" s="78">
        <v>338.03989788032231</v>
      </c>
      <c r="D920" s="78">
        <v>340.84721661987828</v>
      </c>
      <c r="E920" s="78">
        <v>3222061.0266117426</v>
      </c>
      <c r="F920" s="78" t="s">
        <v>920</v>
      </c>
      <c r="G920" s="25">
        <f t="shared" si="26"/>
        <v>1.1644419199090539E-3</v>
      </c>
      <c r="I920" s="78">
        <v>30.94100000000001</v>
      </c>
      <c r="J920" s="78">
        <v>31.113500000000005</v>
      </c>
      <c r="K920" s="78">
        <v>29.551000000000005</v>
      </c>
      <c r="L920" s="78">
        <v>29.824000000000005</v>
      </c>
      <c r="M920" s="78">
        <v>93450539.999999985</v>
      </c>
      <c r="N920" s="78" t="s">
        <v>920</v>
      </c>
      <c r="O920" s="25">
        <f t="shared" si="27"/>
        <v>3.745305793991438E-2</v>
      </c>
    </row>
    <row r="921" spans="1:15">
      <c r="A921" s="78">
        <v>338.80465022661514</v>
      </c>
      <c r="B921" s="78">
        <v>343.69548349139393</v>
      </c>
      <c r="C921" s="78">
        <v>336.09413558152664</v>
      </c>
      <c r="D921" s="78">
        <v>341.89366888107133</v>
      </c>
      <c r="E921" s="78">
        <v>5120996.2009066427</v>
      </c>
      <c r="F921" s="78" t="s">
        <v>921</v>
      </c>
      <c r="G921" s="25">
        <f t="shared" si="26"/>
        <v>-9.0350273655717128E-3</v>
      </c>
      <c r="I921" s="78">
        <v>29.495000000000005</v>
      </c>
      <c r="J921" s="78">
        <v>29.839000000000006</v>
      </c>
      <c r="K921" s="78">
        <v>28.870000000000005</v>
      </c>
      <c r="L921" s="78">
        <v>29.806000000000004</v>
      </c>
      <c r="M921" s="78">
        <v>67639639.999999985</v>
      </c>
      <c r="N921" s="78" t="s">
        <v>921</v>
      </c>
      <c r="O921" s="25">
        <f t="shared" si="27"/>
        <v>-1.0434140777024759E-2</v>
      </c>
    </row>
    <row r="922" spans="1:15">
      <c r="A922" s="78">
        <v>340.11150550192565</v>
      </c>
      <c r="B922" s="78">
        <v>340.25671164362683</v>
      </c>
      <c r="C922" s="78">
        <v>336.6493070632975</v>
      </c>
      <c r="D922" s="78">
        <v>338.61104203768025</v>
      </c>
      <c r="E922" s="78">
        <v>5501262.1411286136</v>
      </c>
      <c r="F922" s="78" t="s">
        <v>922</v>
      </c>
      <c r="G922" s="25">
        <f t="shared" si="26"/>
        <v>4.4312301666713516E-3</v>
      </c>
      <c r="I922" s="78">
        <v>29.488000000000007</v>
      </c>
      <c r="J922" s="78">
        <v>29.501000000000005</v>
      </c>
      <c r="K922" s="78">
        <v>28.32200000000001</v>
      </c>
      <c r="L922" s="78">
        <v>28.553000000000004</v>
      </c>
      <c r="M922" s="78">
        <v>75668919.999999985</v>
      </c>
      <c r="N922" s="78" t="s">
        <v>922</v>
      </c>
      <c r="O922" s="25">
        <f t="shared" si="27"/>
        <v>3.2746121248205196E-2</v>
      </c>
    </row>
    <row r="923" spans="1:15">
      <c r="A923" s="78">
        <v>341.0505052182599</v>
      </c>
      <c r="B923" s="78">
        <v>341.83945858816958</v>
      </c>
      <c r="C923" s="78">
        <v>337.33322799070999</v>
      </c>
      <c r="D923" s="78">
        <v>337.75916600636674</v>
      </c>
      <c r="E923" s="78">
        <v>4221489.8269352159</v>
      </c>
      <c r="F923" s="78" t="s">
        <v>923</v>
      </c>
      <c r="G923" s="25">
        <f t="shared" si="26"/>
        <v>9.7446332865207541E-3</v>
      </c>
      <c r="I923" s="78">
        <v>29.112000000000005</v>
      </c>
      <c r="J923" s="78">
        <v>29.549990000000008</v>
      </c>
      <c r="K923" s="78">
        <v>28.101000000000006</v>
      </c>
      <c r="L923" s="78">
        <v>28.318000000000005</v>
      </c>
      <c r="M923" s="78">
        <v>95885269.999999985</v>
      </c>
      <c r="N923" s="78" t="s">
        <v>923</v>
      </c>
      <c r="O923" s="25">
        <f t="shared" si="27"/>
        <v>2.8038703298255641E-2</v>
      </c>
    </row>
    <row r="924" spans="1:15">
      <c r="A924" s="78">
        <v>335.10673381795874</v>
      </c>
      <c r="B924" s="78">
        <v>340.9440207143457</v>
      </c>
      <c r="C924" s="78">
        <v>334.84536276289657</v>
      </c>
      <c r="D924" s="78">
        <v>339.22090783282516</v>
      </c>
      <c r="E924" s="78">
        <v>4612040.4561001211</v>
      </c>
      <c r="F924" s="78" t="s">
        <v>924</v>
      </c>
      <c r="G924" s="25">
        <f t="shared" si="26"/>
        <v>-1.2128303179042121E-2</v>
      </c>
      <c r="I924" s="78">
        <v>27.688000000000006</v>
      </c>
      <c r="J924" s="78">
        <v>28.519000000000005</v>
      </c>
      <c r="K924" s="78">
        <v>27.341000000000008</v>
      </c>
      <c r="L924" s="78">
        <v>28.192000000000007</v>
      </c>
      <c r="M924" s="78">
        <v>59643689.999999985</v>
      </c>
      <c r="N924" s="78" t="s">
        <v>924</v>
      </c>
      <c r="O924" s="25">
        <f t="shared" si="27"/>
        <v>-1.7877412031782058E-2</v>
      </c>
    </row>
    <row r="925" spans="1:15">
      <c r="A925" s="78">
        <v>339.26930988005893</v>
      </c>
      <c r="B925" s="78">
        <v>340.78913416319784</v>
      </c>
      <c r="C925" s="78">
        <v>337.7010835496863</v>
      </c>
      <c r="D925" s="78">
        <v>340.51808269868894</v>
      </c>
      <c r="E925" s="78">
        <v>4445282.0138172004</v>
      </c>
      <c r="F925" s="78" t="s">
        <v>925</v>
      </c>
      <c r="G925" s="25">
        <f t="shared" si="26"/>
        <v>-3.6672731407776382E-3</v>
      </c>
      <c r="I925" s="78">
        <v>28.417000000000009</v>
      </c>
      <c r="J925" s="78">
        <v>29.357000000000006</v>
      </c>
      <c r="K925" s="78">
        <v>28.213000000000005</v>
      </c>
      <c r="L925" s="78">
        <v>29.319000000000006</v>
      </c>
      <c r="M925" s="78">
        <v>57780979.999999985</v>
      </c>
      <c r="N925" s="78" t="s">
        <v>925</v>
      </c>
      <c r="O925" s="25">
        <f t="shared" si="27"/>
        <v>-3.0765032913810053E-2</v>
      </c>
    </row>
    <row r="926" spans="1:15">
      <c r="A926" s="78">
        <v>340.62456720260315</v>
      </c>
      <c r="B926" s="78">
        <v>340.69997759219331</v>
      </c>
      <c r="C926" s="78">
        <v>336.24902213267461</v>
      </c>
      <c r="D926" s="78">
        <v>337.7785268252602</v>
      </c>
      <c r="E926" s="78">
        <v>4722921.0966251921</v>
      </c>
      <c r="F926" s="78" t="s">
        <v>926</v>
      </c>
      <c r="G926" s="25">
        <f t="shared" si="26"/>
        <v>8.4257587481730845E-3</v>
      </c>
      <c r="I926" s="78">
        <v>29.496500000000005</v>
      </c>
      <c r="J926" s="78">
        <v>29.846140000000009</v>
      </c>
      <c r="K926" s="78">
        <v>29.19100000000001</v>
      </c>
      <c r="L926" s="78">
        <v>29.618000000000006</v>
      </c>
      <c r="M926" s="78">
        <v>42511079.999999993</v>
      </c>
      <c r="N926" s="78" t="s">
        <v>926</v>
      </c>
      <c r="O926" s="25">
        <f t="shared" si="27"/>
        <v>-4.102235127287468E-3</v>
      </c>
    </row>
    <row r="927" spans="1:15">
      <c r="A927" s="78">
        <v>338.72720695104124</v>
      </c>
      <c r="B927" s="78">
        <v>340.99242276157946</v>
      </c>
      <c r="C927" s="78">
        <v>333.33521888920438</v>
      </c>
      <c r="D927" s="78">
        <v>340.73105170651735</v>
      </c>
      <c r="E927" s="78">
        <v>6675578.1721331533</v>
      </c>
      <c r="F927" s="78" t="s">
        <v>927</v>
      </c>
      <c r="G927" s="25">
        <f t="shared" si="26"/>
        <v>-5.8810159668162276E-3</v>
      </c>
      <c r="I927" s="78">
        <v>29.775000000000006</v>
      </c>
      <c r="J927" s="78">
        <v>29.888000000000005</v>
      </c>
      <c r="K927" s="78">
        <v>29.081310000000009</v>
      </c>
      <c r="L927" s="78">
        <v>29.809000000000005</v>
      </c>
      <c r="M927" s="78">
        <v>78561919.999999985</v>
      </c>
      <c r="N927" s="78" t="s">
        <v>927</v>
      </c>
      <c r="O927" s="25">
        <f t="shared" si="27"/>
        <v>-1.1405951222784871E-3</v>
      </c>
    </row>
    <row r="928" spans="1:15">
      <c r="A928" s="78">
        <v>343.55773126496672</v>
      </c>
      <c r="B928" s="78">
        <v>344.57572312238642</v>
      </c>
      <c r="C928" s="78">
        <v>340.46000024200845</v>
      </c>
      <c r="D928" s="78">
        <v>340.9440207143457</v>
      </c>
      <c r="E928" s="78">
        <v>3958973.0383654321</v>
      </c>
      <c r="F928" s="78" t="s">
        <v>928</v>
      </c>
      <c r="G928" s="25">
        <f t="shared" si="26"/>
        <v>7.6660988074956915E-3</v>
      </c>
      <c r="I928" s="78">
        <v>29.796000000000003</v>
      </c>
      <c r="J928" s="78">
        <v>30.06600000000001</v>
      </c>
      <c r="K928" s="78">
        <v>28.650000000000006</v>
      </c>
      <c r="L928" s="78">
        <v>28.999000000000006</v>
      </c>
      <c r="M928" s="78">
        <v>63761729.999999985</v>
      </c>
      <c r="N928" s="78" t="s">
        <v>928</v>
      </c>
      <c r="O928" s="25">
        <f t="shared" si="27"/>
        <v>2.7483706334701097E-2</v>
      </c>
    </row>
    <row r="929" spans="1:15">
      <c r="A929" s="78">
        <v>338.49487712431932</v>
      </c>
      <c r="B929" s="78">
        <v>339.94209833660767</v>
      </c>
      <c r="C929" s="78">
        <v>336.11156031853085</v>
      </c>
      <c r="D929" s="78">
        <v>337.31386717181647</v>
      </c>
      <c r="E929" s="78">
        <v>5235532.6785318591</v>
      </c>
      <c r="F929" s="78" t="s">
        <v>929</v>
      </c>
      <c r="G929" s="25">
        <f t="shared" si="26"/>
        <v>3.5012196871861967E-3</v>
      </c>
      <c r="I929" s="78">
        <v>28.819000000000006</v>
      </c>
      <c r="J929" s="78">
        <v>28.928000000000004</v>
      </c>
      <c r="K929" s="78">
        <v>28.081000000000007</v>
      </c>
      <c r="L929" s="78">
        <v>28.124000000000006</v>
      </c>
      <c r="M929" s="78">
        <v>69181139.999999985</v>
      </c>
      <c r="N929" s="78" t="s">
        <v>929</v>
      </c>
      <c r="O929" s="25">
        <f t="shared" si="27"/>
        <v>2.4711989759635955E-2</v>
      </c>
    </row>
    <row r="930" spans="1:15">
      <c r="A930" s="78">
        <v>337.98016975403596</v>
      </c>
      <c r="B930" s="78">
        <v>341.38107052434395</v>
      </c>
      <c r="C930" s="78">
        <v>336.47722210483471</v>
      </c>
      <c r="D930" s="78">
        <v>341.17875064848994</v>
      </c>
      <c r="E930" s="78">
        <v>5748731.7303378517</v>
      </c>
      <c r="F930" s="78" t="s">
        <v>930</v>
      </c>
      <c r="G930" s="25">
        <f t="shared" si="26"/>
        <v>-9.3750882444300077E-3</v>
      </c>
      <c r="I930" s="78">
        <v>28.830000000000005</v>
      </c>
      <c r="J930" s="78">
        <v>29.225000000000005</v>
      </c>
      <c r="K930" s="78">
        <v>28.613000000000007</v>
      </c>
      <c r="L930" s="78">
        <v>28.973000000000006</v>
      </c>
      <c r="M930" s="78">
        <v>61636669.999999985</v>
      </c>
      <c r="N930" s="78" t="s">
        <v>930</v>
      </c>
      <c r="O930" s="25">
        <f t="shared" si="27"/>
        <v>-4.9356297242260094E-3</v>
      </c>
    </row>
    <row r="931" spans="1:15">
      <c r="A931" s="78">
        <v>340.91862509382048</v>
      </c>
      <c r="B931" s="78">
        <v>343.7800061951844</v>
      </c>
      <c r="C931" s="78">
        <v>338.92432917468807</v>
      </c>
      <c r="D931" s="78">
        <v>342.64219775050066</v>
      </c>
      <c r="E931" s="78">
        <v>4705150.8705297643</v>
      </c>
      <c r="F931" s="78" t="s">
        <v>931</v>
      </c>
      <c r="G931" s="25">
        <f t="shared" si="26"/>
        <v>-5.0302404899212894E-3</v>
      </c>
      <c r="I931" s="78">
        <v>29.071000000000005</v>
      </c>
      <c r="J931" s="78">
        <v>29.471990000000005</v>
      </c>
      <c r="K931" s="78">
        <v>28.870000000000005</v>
      </c>
      <c r="L931" s="78">
        <v>28.876000000000005</v>
      </c>
      <c r="M931" s="78">
        <v>140800449.99999997</v>
      </c>
      <c r="N931" s="78" t="s">
        <v>931</v>
      </c>
      <c r="O931" s="25">
        <f t="shared" si="27"/>
        <v>6.753012882670717E-3</v>
      </c>
    </row>
    <row r="932" spans="1:15">
      <c r="A932" s="78">
        <v>345.03246256951883</v>
      </c>
      <c r="B932" s="78">
        <v>349.95557954863324</v>
      </c>
      <c r="C932" s="78">
        <v>343.42353784248922</v>
      </c>
      <c r="D932" s="78">
        <v>349.2137400038352</v>
      </c>
      <c r="E932" s="78">
        <v>5321365.0683377795</v>
      </c>
      <c r="F932" s="78" t="s">
        <v>932</v>
      </c>
      <c r="G932" s="25">
        <f t="shared" si="26"/>
        <v>-1.1973404695561074E-2</v>
      </c>
      <c r="I932" s="78">
        <v>29.041000000000007</v>
      </c>
      <c r="J932" s="78">
        <v>30.339000000000006</v>
      </c>
      <c r="K932" s="78">
        <v>28.655000000000008</v>
      </c>
      <c r="L932" s="78">
        <v>30.212000000000007</v>
      </c>
      <c r="M932" s="78">
        <v>177245559.99999997</v>
      </c>
      <c r="N932" s="78" t="s">
        <v>932</v>
      </c>
      <c r="O932" s="25">
        <f t="shared" si="27"/>
        <v>-3.8759433337746563E-2</v>
      </c>
    </row>
    <row r="933" spans="1:15">
      <c r="A933" s="78">
        <v>353.73221723124158</v>
      </c>
      <c r="B933" s="78">
        <v>359.16595103989226</v>
      </c>
      <c r="C933" s="78">
        <v>350.92864180869304</v>
      </c>
      <c r="D933" s="78">
        <v>355.60126751294058</v>
      </c>
      <c r="E933" s="78">
        <v>4885798.5199301215</v>
      </c>
      <c r="F933" s="78" t="s">
        <v>933</v>
      </c>
      <c r="G933" s="25">
        <f t="shared" si="26"/>
        <v>-5.2560281766458328E-3</v>
      </c>
      <c r="I933" s="78">
        <v>31.783000000000005</v>
      </c>
      <c r="J933" s="78">
        <v>32.471000000000004</v>
      </c>
      <c r="K933" s="78">
        <v>31.442000000000007</v>
      </c>
      <c r="L933" s="78">
        <v>31.897000000000009</v>
      </c>
      <c r="M933" s="78">
        <v>75432909.999999985</v>
      </c>
      <c r="N933" s="78" t="s">
        <v>933</v>
      </c>
      <c r="O933" s="25">
        <f t="shared" si="27"/>
        <v>-3.5740038248112116E-3</v>
      </c>
    </row>
    <row r="934" spans="1:15">
      <c r="A934" s="78">
        <v>355.88066162721515</v>
      </c>
      <c r="B934" s="78">
        <v>363.39539987322149</v>
      </c>
      <c r="C934" s="78">
        <v>353.38634658632918</v>
      </c>
      <c r="D934" s="78">
        <v>363.31832563480089</v>
      </c>
      <c r="E934" s="78">
        <v>6395729.7548643742</v>
      </c>
      <c r="F934" s="78" t="s">
        <v>934</v>
      </c>
      <c r="G934" s="25">
        <f t="shared" si="26"/>
        <v>-2.0471480469889336E-2</v>
      </c>
      <c r="I934" s="78">
        <v>32.034000000000006</v>
      </c>
      <c r="J934" s="78">
        <v>33.272360000000006</v>
      </c>
      <c r="K934" s="78">
        <v>31.719900000000006</v>
      </c>
      <c r="L934" s="78">
        <v>32.800000000000004</v>
      </c>
      <c r="M934" s="78">
        <v>107564279.99999999</v>
      </c>
      <c r="N934" s="78" t="s">
        <v>934</v>
      </c>
      <c r="O934" s="25">
        <f t="shared" si="27"/>
        <v>-2.3353658536585331E-2</v>
      </c>
    </row>
    <row r="935" spans="1:15">
      <c r="A935" s="78">
        <v>353.2697718007181</v>
      </c>
      <c r="B935" s="78">
        <v>353.2697718007181</v>
      </c>
      <c r="C935" s="78">
        <v>348.35628910140622</v>
      </c>
      <c r="D935" s="78">
        <v>349.03068868758629</v>
      </c>
      <c r="E935" s="78">
        <v>3058055.2572423751</v>
      </c>
      <c r="F935" s="78" t="s">
        <v>935</v>
      </c>
      <c r="G935" s="25">
        <f t="shared" si="26"/>
        <v>1.2145301976371981E-2</v>
      </c>
      <c r="I935" s="78">
        <v>31.518000000000008</v>
      </c>
      <c r="J935" s="78">
        <v>32.318000000000005</v>
      </c>
      <c r="K935" s="78">
        <v>30.885000000000009</v>
      </c>
      <c r="L935" s="78">
        <v>32.000000000000007</v>
      </c>
      <c r="M935" s="78">
        <v>101486139.99999999</v>
      </c>
      <c r="N935" s="78" t="s">
        <v>935</v>
      </c>
      <c r="O935" s="25">
        <f t="shared" si="27"/>
        <v>-1.5062499999999979E-2</v>
      </c>
    </row>
    <row r="936" spans="1:15">
      <c r="A936" s="78">
        <v>348.29848342259078</v>
      </c>
      <c r="B936" s="78">
        <v>352.07531379079518</v>
      </c>
      <c r="C936" s="78">
        <v>348.1253554145386</v>
      </c>
      <c r="D936" s="78">
        <v>349.72435683337147</v>
      </c>
      <c r="E936" s="78">
        <v>4433496.9375288524</v>
      </c>
      <c r="F936" s="78" t="s">
        <v>936</v>
      </c>
      <c r="G936" s="25">
        <f t="shared" si="26"/>
        <v>-4.077134986225972E-3</v>
      </c>
      <c r="I936" s="78">
        <v>32.001000000000005</v>
      </c>
      <c r="J936" s="78">
        <v>32.900000000000006</v>
      </c>
      <c r="K936" s="78">
        <v>31.952000000000005</v>
      </c>
      <c r="L936" s="78">
        <v>32.145000000000003</v>
      </c>
      <c r="M936" s="78">
        <v>143640319.99999997</v>
      </c>
      <c r="N936" s="78" t="s">
        <v>936</v>
      </c>
      <c r="O936" s="25">
        <f t="shared" si="27"/>
        <v>-4.4797013532430485E-3</v>
      </c>
    </row>
    <row r="937" spans="1:15">
      <c r="A937" s="78">
        <v>350.86120185007502</v>
      </c>
      <c r="B937" s="78">
        <v>351.79572699092449</v>
      </c>
      <c r="C937" s="78">
        <v>348.37555766101138</v>
      </c>
      <c r="D937" s="78">
        <v>349.84960247080494</v>
      </c>
      <c r="E937" s="78">
        <v>3741344.5258644498</v>
      </c>
      <c r="F937" s="78" t="s">
        <v>937</v>
      </c>
      <c r="G937" s="25">
        <f t="shared" si="26"/>
        <v>2.8915264505824378E-3</v>
      </c>
      <c r="I937" s="78">
        <v>31.026000000000003</v>
      </c>
      <c r="J937" s="78">
        <v>31.238000000000007</v>
      </c>
      <c r="K937" s="78">
        <v>30.480980000000006</v>
      </c>
      <c r="L937" s="78">
        <v>30.911000000000008</v>
      </c>
      <c r="M937" s="78">
        <v>72053259.999999985</v>
      </c>
      <c r="N937" s="78" t="s">
        <v>937</v>
      </c>
      <c r="O937" s="25">
        <f t="shared" si="27"/>
        <v>3.7203584484486463E-3</v>
      </c>
    </row>
    <row r="938" spans="1:15">
      <c r="A938" s="78">
        <v>348.11543210634193</v>
      </c>
      <c r="B938" s="78">
        <v>350.31204790132841</v>
      </c>
      <c r="C938" s="78">
        <v>347.1327355664796</v>
      </c>
      <c r="D938" s="78">
        <v>347.84567227186994</v>
      </c>
      <c r="E938" s="78">
        <v>3464687.6241946043</v>
      </c>
      <c r="F938" s="78" t="s">
        <v>938</v>
      </c>
      <c r="G938" s="25">
        <f t="shared" si="26"/>
        <v>7.7551585652946287E-4</v>
      </c>
      <c r="I938" s="78">
        <v>30.842000000000006</v>
      </c>
      <c r="J938" s="78">
        <v>30.961000000000006</v>
      </c>
      <c r="K938" s="78">
        <v>30.210000000000008</v>
      </c>
      <c r="L938" s="78">
        <v>30.650000000000006</v>
      </c>
      <c r="M938" s="78">
        <v>78216339.999999985</v>
      </c>
      <c r="N938" s="78" t="s">
        <v>938</v>
      </c>
      <c r="O938" s="25">
        <f t="shared" si="27"/>
        <v>6.2642740619902604E-3</v>
      </c>
    </row>
    <row r="939" spans="1:15">
      <c r="A939" s="78">
        <v>348.78983169252194</v>
      </c>
      <c r="B939" s="78">
        <v>354.1657598223573</v>
      </c>
      <c r="C939" s="78">
        <v>346.76759636196209</v>
      </c>
      <c r="D939" s="78">
        <v>353.6647772726235</v>
      </c>
      <c r="E939" s="78">
        <v>4059504.2703200369</v>
      </c>
      <c r="F939" s="78" t="s">
        <v>939</v>
      </c>
      <c r="G939" s="25">
        <f t="shared" si="26"/>
        <v>-1.3784085646571742E-2</v>
      </c>
      <c r="I939" s="78">
        <v>30.556000000000004</v>
      </c>
      <c r="J939" s="78">
        <v>31.322310000000005</v>
      </c>
      <c r="K939" s="78">
        <v>30.313000000000006</v>
      </c>
      <c r="L939" s="78">
        <v>31.100000000000005</v>
      </c>
      <c r="M939" s="78">
        <v>71953949.999999985</v>
      </c>
      <c r="N939" s="78" t="s">
        <v>939</v>
      </c>
      <c r="O939" s="25">
        <f>I939/L939-1</f>
        <v>-1.7491961414791035E-2</v>
      </c>
    </row>
    <row r="940" spans="1:15">
      <c r="G940" s="25"/>
      <c r="O940" s="25"/>
    </row>
    <row r="941" spans="1:15">
      <c r="G941" s="25"/>
      <c r="O941" s="25"/>
    </row>
    <row r="942" spans="1:15">
      <c r="G942" s="25"/>
      <c r="O942" s="25"/>
    </row>
    <row r="943" spans="1:15">
      <c r="G943" s="25"/>
      <c r="O943" s="25"/>
    </row>
    <row r="944" spans="1:15">
      <c r="G944" s="25"/>
      <c r="O944" s="25"/>
    </row>
    <row r="945" spans="7:15">
      <c r="G945" s="25"/>
      <c r="O945" s="25"/>
    </row>
    <row r="946" spans="7:15">
      <c r="G946" s="25"/>
      <c r="O946" s="25"/>
    </row>
    <row r="947" spans="7:15">
      <c r="G947" s="25"/>
      <c r="O947" s="25"/>
    </row>
    <row r="948" spans="7:15">
      <c r="G948" s="25"/>
      <c r="O948" s="25"/>
    </row>
    <row r="949" spans="7:15">
      <c r="G949" s="25"/>
      <c r="O949" s="25"/>
    </row>
    <row r="950" spans="7:15">
      <c r="G950" s="25"/>
      <c r="O950" s="25"/>
    </row>
    <row r="951" spans="7:15">
      <c r="G951" s="25"/>
      <c r="O951" s="25"/>
    </row>
    <row r="952" spans="7:15">
      <c r="G952" s="25"/>
      <c r="O952" s="25"/>
    </row>
    <row r="953" spans="7:15">
      <c r="G953" s="25"/>
      <c r="O953" s="25"/>
    </row>
    <row r="954" spans="7:15">
      <c r="G954" s="25"/>
      <c r="O954" s="25"/>
    </row>
    <row r="955" spans="7:15">
      <c r="G955" s="25"/>
      <c r="O955" s="25"/>
    </row>
    <row r="956" spans="7:15">
      <c r="G956" s="25"/>
      <c r="O956" s="25"/>
    </row>
    <row r="957" spans="7:15">
      <c r="G957" s="25"/>
      <c r="O957" s="25"/>
    </row>
    <row r="958" spans="7:15">
      <c r="G958" s="25"/>
      <c r="O958" s="25"/>
    </row>
    <row r="959" spans="7:15">
      <c r="G959" s="25"/>
      <c r="O959" s="25"/>
    </row>
    <row r="960" spans="7:15">
      <c r="G960" s="25"/>
      <c r="O960" s="25"/>
    </row>
    <row r="961" spans="7:15">
      <c r="G961" s="25"/>
      <c r="O961" s="25"/>
    </row>
    <row r="962" spans="7:15">
      <c r="G962" s="25"/>
      <c r="O962" s="25"/>
    </row>
    <row r="963" spans="7:15">
      <c r="G963" s="25"/>
      <c r="O963" s="25"/>
    </row>
    <row r="964" spans="7:15">
      <c r="G964" s="25"/>
      <c r="O964" s="25"/>
    </row>
    <row r="965" spans="7:15">
      <c r="G965" s="25"/>
      <c r="O965" s="25"/>
    </row>
    <row r="966" spans="7:15">
      <c r="G966" s="25"/>
      <c r="O966" s="25"/>
    </row>
    <row r="967" spans="7:15">
      <c r="G967" s="25"/>
      <c r="O967" s="25"/>
    </row>
    <row r="968" spans="7:15">
      <c r="G968" s="25"/>
      <c r="O968" s="25"/>
    </row>
    <row r="969" spans="7:15">
      <c r="G969" s="25"/>
      <c r="O969" s="25"/>
    </row>
    <row r="970" spans="7:15">
      <c r="G970" s="25"/>
      <c r="O970" s="25"/>
    </row>
    <row r="971" spans="7:15">
      <c r="G971" s="25"/>
      <c r="O971" s="25"/>
    </row>
    <row r="972" spans="7:15">
      <c r="G972" s="25"/>
      <c r="O972" s="25"/>
    </row>
    <row r="973" spans="7:15">
      <c r="G973" s="25"/>
      <c r="O973" s="25"/>
    </row>
    <row r="974" spans="7:15">
      <c r="G974" s="25"/>
      <c r="O974" s="25"/>
    </row>
    <row r="975" spans="7:15">
      <c r="G975" s="25"/>
      <c r="O975" s="25"/>
    </row>
    <row r="976" spans="7:15">
      <c r="G976" s="25"/>
      <c r="O976" s="25"/>
    </row>
    <row r="977" spans="7:15">
      <c r="G977" s="25"/>
      <c r="O977" s="25"/>
    </row>
    <row r="978" spans="7:15">
      <c r="G978" s="25"/>
      <c r="O978" s="25"/>
    </row>
    <row r="979" spans="7:15">
      <c r="G979" s="25"/>
      <c r="O979" s="25"/>
    </row>
    <row r="980" spans="7:15">
      <c r="G980" s="25"/>
      <c r="O980" s="25"/>
    </row>
    <row r="981" spans="7:15">
      <c r="G981" s="25"/>
      <c r="O981" s="25"/>
    </row>
    <row r="982" spans="7:15">
      <c r="G982" s="25"/>
      <c r="O982" s="25"/>
    </row>
    <row r="983" spans="7:15">
      <c r="G983" s="25"/>
      <c r="O983" s="25"/>
    </row>
    <row r="984" spans="7:15">
      <c r="G984" s="25"/>
      <c r="O984" s="25"/>
    </row>
    <row r="985" spans="7:15">
      <c r="G985" s="25"/>
      <c r="O985" s="25"/>
    </row>
    <row r="986" spans="7:15">
      <c r="G986" s="25"/>
      <c r="O986" s="25"/>
    </row>
    <row r="987" spans="7:15">
      <c r="G987" s="25"/>
      <c r="O987" s="25"/>
    </row>
    <row r="988" spans="7:15">
      <c r="G988" s="25"/>
      <c r="O988" s="25"/>
    </row>
    <row r="989" spans="7:15">
      <c r="G989" s="25"/>
      <c r="O989" s="25"/>
    </row>
    <row r="990" spans="7:15">
      <c r="G990" s="25"/>
      <c r="O990" s="25"/>
    </row>
    <row r="991" spans="7:15">
      <c r="G991" s="25"/>
      <c r="O991" s="25"/>
    </row>
    <row r="992" spans="7:15">
      <c r="G992" s="25"/>
      <c r="O992" s="25"/>
    </row>
    <row r="993" spans="7:15">
      <c r="G993" s="25"/>
      <c r="O993" s="25"/>
    </row>
    <row r="994" spans="7:15">
      <c r="G994" s="25"/>
      <c r="O994" s="25"/>
    </row>
    <row r="995" spans="7:15">
      <c r="G995" s="25"/>
      <c r="O995" s="25"/>
    </row>
    <row r="996" spans="7:15">
      <c r="G996" s="25"/>
      <c r="O996" s="25"/>
    </row>
    <row r="997" spans="7:15">
      <c r="G997" s="25"/>
      <c r="O997" s="25"/>
    </row>
    <row r="998" spans="7:15">
      <c r="G998" s="25"/>
      <c r="O998" s="25"/>
    </row>
    <row r="999" spans="7:15">
      <c r="G999" s="25"/>
      <c r="O999" s="25"/>
    </row>
    <row r="1000" spans="7:15">
      <c r="G1000" s="25"/>
      <c r="O1000" s="25"/>
    </row>
    <row r="1001" spans="7:15">
      <c r="G1001" s="25"/>
      <c r="O1001" s="25"/>
    </row>
    <row r="1002" spans="7:15">
      <c r="G1002" s="25"/>
      <c r="O1002" s="25"/>
    </row>
    <row r="1003" spans="7:15">
      <c r="G1003" s="25"/>
      <c r="O1003" s="25"/>
    </row>
    <row r="1004" spans="7:15">
      <c r="G1004" s="25"/>
      <c r="O1004" s="25"/>
    </row>
    <row r="1005" spans="7:15">
      <c r="G1005" s="25"/>
      <c r="O1005" s="25"/>
    </row>
    <row r="1006" spans="7:15">
      <c r="G1006" s="25"/>
      <c r="O1006" s="25"/>
    </row>
    <row r="1007" spans="7:15">
      <c r="G1007" s="25"/>
      <c r="O1007" s="25"/>
    </row>
    <row r="1008" spans="7:15">
      <c r="G1008" s="25"/>
      <c r="O1008" s="25"/>
    </row>
    <row r="1009" spans="7:15">
      <c r="G1009" s="25"/>
      <c r="O1009" s="25"/>
    </row>
    <row r="1010" spans="7:15">
      <c r="G1010" s="25"/>
      <c r="O1010" s="25"/>
    </row>
    <row r="1011" spans="7:15">
      <c r="G1011" s="25"/>
      <c r="O1011" s="25"/>
    </row>
    <row r="1012" spans="7:15">
      <c r="G1012" s="25"/>
      <c r="O1012" s="25"/>
    </row>
    <row r="1013" spans="7:15">
      <c r="G1013" s="25"/>
      <c r="O1013" s="25"/>
    </row>
    <row r="1014" spans="7:15">
      <c r="G1014" s="25"/>
      <c r="O1014" s="25"/>
    </row>
    <row r="1015" spans="7:15">
      <c r="G1015" s="25"/>
      <c r="O1015" s="25"/>
    </row>
    <row r="1016" spans="7:15">
      <c r="G1016" s="25"/>
      <c r="O1016" s="25"/>
    </row>
    <row r="1017" spans="7:15">
      <c r="G1017" s="25"/>
      <c r="O1017" s="25"/>
    </row>
    <row r="1018" spans="7:15">
      <c r="G1018" s="25"/>
      <c r="O1018" s="25"/>
    </row>
    <row r="1019" spans="7:15">
      <c r="G1019" s="25"/>
      <c r="O1019" s="25"/>
    </row>
    <row r="1020" spans="7:15">
      <c r="G1020" s="25"/>
      <c r="O1020" s="25"/>
    </row>
    <row r="1021" spans="7:15">
      <c r="G1021" s="25"/>
      <c r="O1021" s="25"/>
    </row>
    <row r="1022" spans="7:15">
      <c r="G1022" s="25"/>
      <c r="O1022" s="25"/>
    </row>
    <row r="1023" spans="7:15">
      <c r="G1023" s="25"/>
      <c r="O1023" s="25"/>
    </row>
    <row r="1024" spans="7:15">
      <c r="G1024" s="25"/>
      <c r="O1024" s="25"/>
    </row>
    <row r="1025" spans="7:15">
      <c r="G1025" s="25"/>
      <c r="O1025" s="25"/>
    </row>
    <row r="1026" spans="7:15">
      <c r="G1026" s="25"/>
      <c r="O1026" s="25"/>
    </row>
    <row r="1027" spans="7:15">
      <c r="G1027" s="25"/>
      <c r="O1027" s="25"/>
    </row>
    <row r="1028" spans="7:15">
      <c r="G1028" s="25"/>
      <c r="O1028" s="25"/>
    </row>
    <row r="1029" spans="7:15">
      <c r="G1029" s="25"/>
      <c r="O1029" s="25"/>
    </row>
    <row r="1030" spans="7:15">
      <c r="G1030" s="25"/>
      <c r="O1030" s="25"/>
    </row>
    <row r="1031" spans="7:15">
      <c r="G1031" s="25"/>
      <c r="O1031" s="25"/>
    </row>
    <row r="1032" spans="7:15">
      <c r="G1032" s="25"/>
      <c r="O1032" s="25"/>
    </row>
    <row r="1033" spans="7:15">
      <c r="G1033" s="25"/>
      <c r="O1033" s="25"/>
    </row>
    <row r="1034" spans="7:15">
      <c r="G1034" s="25"/>
      <c r="O1034" s="25"/>
    </row>
    <row r="1035" spans="7:15">
      <c r="G1035" s="25"/>
      <c r="O1035" s="25"/>
    </row>
    <row r="1036" spans="7:15">
      <c r="G1036" s="25"/>
      <c r="O1036" s="25"/>
    </row>
    <row r="1037" spans="7:15">
      <c r="G1037" s="25"/>
      <c r="O1037" s="25"/>
    </row>
    <row r="1038" spans="7:15">
      <c r="G1038" s="25"/>
      <c r="O1038" s="25"/>
    </row>
    <row r="1039" spans="7:15">
      <c r="G1039" s="25"/>
      <c r="O1039" s="25"/>
    </row>
    <row r="1040" spans="7:15">
      <c r="G1040" s="25"/>
      <c r="O1040" s="25"/>
    </row>
    <row r="1041" spans="7:15">
      <c r="G1041" s="25"/>
      <c r="O1041" s="25"/>
    </row>
    <row r="1042" spans="7:15">
      <c r="G1042" s="25"/>
      <c r="O1042" s="25"/>
    </row>
    <row r="1043" spans="7:15">
      <c r="G1043" s="25"/>
      <c r="O1043" s="25"/>
    </row>
    <row r="1044" spans="7:15">
      <c r="G1044" s="25"/>
      <c r="O1044" s="25"/>
    </row>
    <row r="1045" spans="7:15">
      <c r="G1045" s="25"/>
      <c r="O1045" s="25"/>
    </row>
    <row r="1046" spans="7:15">
      <c r="G1046" s="25"/>
      <c r="O1046" s="25"/>
    </row>
    <row r="1047" spans="7:15">
      <c r="G1047" s="25"/>
      <c r="O1047" s="25"/>
    </row>
    <row r="1048" spans="7:15">
      <c r="G1048" s="25"/>
      <c r="O1048" s="25"/>
    </row>
    <row r="1049" spans="7:15">
      <c r="G1049" s="25"/>
      <c r="O1049" s="25"/>
    </row>
    <row r="1050" spans="7:15">
      <c r="G1050" s="25"/>
      <c r="O1050" s="25"/>
    </row>
    <row r="1051" spans="7:15">
      <c r="G1051" s="25"/>
      <c r="O1051" s="25"/>
    </row>
    <row r="1052" spans="7:15">
      <c r="G1052" s="25"/>
      <c r="O1052" s="25"/>
    </row>
    <row r="1053" spans="7:15">
      <c r="G1053" s="25"/>
      <c r="O1053" s="25"/>
    </row>
    <row r="1054" spans="7:15">
      <c r="G1054" s="25"/>
      <c r="O1054" s="25"/>
    </row>
    <row r="1055" spans="7:15">
      <c r="G1055" s="25"/>
      <c r="O1055" s="25"/>
    </row>
    <row r="1056" spans="7:15">
      <c r="G1056" s="25"/>
      <c r="O1056" s="25"/>
    </row>
    <row r="1057" spans="7:15">
      <c r="G1057" s="25"/>
      <c r="O1057" s="25"/>
    </row>
    <row r="1058" spans="7:15">
      <c r="G1058" s="25"/>
      <c r="O1058" s="25"/>
    </row>
    <row r="1059" spans="7:15">
      <c r="G1059" s="25"/>
      <c r="O1059" s="25"/>
    </row>
    <row r="1060" spans="7:15">
      <c r="G1060" s="25"/>
      <c r="O1060" s="25"/>
    </row>
    <row r="1061" spans="7:15">
      <c r="G1061" s="25"/>
      <c r="O1061" s="25"/>
    </row>
    <row r="1062" spans="7:15">
      <c r="G1062" s="25"/>
      <c r="O1062" s="25"/>
    </row>
    <row r="1063" spans="7:15">
      <c r="G1063" s="25"/>
      <c r="O1063" s="25"/>
    </row>
    <row r="1064" spans="7:15">
      <c r="G1064" s="25"/>
      <c r="O1064" s="25"/>
    </row>
    <row r="1065" spans="7:15">
      <c r="G1065" s="25"/>
      <c r="O1065" s="25"/>
    </row>
    <row r="1066" spans="7:15">
      <c r="G1066" s="25"/>
      <c r="O1066" s="25"/>
    </row>
    <row r="1067" spans="7:15">
      <c r="G1067" s="25"/>
      <c r="O1067" s="25"/>
    </row>
    <row r="1068" spans="7:15">
      <c r="G1068" s="25"/>
      <c r="O1068" s="25"/>
    </row>
    <row r="1069" spans="7:15">
      <c r="G1069" s="25"/>
      <c r="O1069" s="25"/>
    </row>
    <row r="1070" spans="7:15">
      <c r="G1070" s="25"/>
      <c r="O1070" s="25"/>
    </row>
    <row r="1071" spans="7:15">
      <c r="G1071" s="25"/>
      <c r="O1071" s="25"/>
    </row>
    <row r="1072" spans="7:15">
      <c r="G1072" s="25"/>
      <c r="O1072" s="25"/>
    </row>
    <row r="1073" spans="7:15">
      <c r="G1073" s="25"/>
      <c r="O1073" s="25"/>
    </row>
    <row r="1074" spans="7:15">
      <c r="G1074" s="25"/>
      <c r="O1074" s="25"/>
    </row>
    <row r="1075" spans="7:15">
      <c r="G1075" s="25"/>
      <c r="O1075" s="25"/>
    </row>
    <row r="1076" spans="7:15">
      <c r="G1076" s="25"/>
      <c r="O1076" s="25"/>
    </row>
    <row r="1077" spans="7:15">
      <c r="G1077" s="25"/>
      <c r="O1077" s="25"/>
    </row>
    <row r="1078" spans="7:15">
      <c r="G1078" s="25"/>
      <c r="O1078" s="25"/>
    </row>
    <row r="1079" spans="7:15">
      <c r="G1079" s="25"/>
      <c r="O1079" s="25"/>
    </row>
    <row r="1080" spans="7:15">
      <c r="G1080" s="25"/>
      <c r="O1080" s="25"/>
    </row>
    <row r="1081" spans="7:15">
      <c r="G1081" s="25"/>
      <c r="O1081" s="25"/>
    </row>
    <row r="1082" spans="7:15">
      <c r="G1082" s="25"/>
      <c r="O1082" s="25"/>
    </row>
    <row r="1083" spans="7:15">
      <c r="G1083" s="25"/>
      <c r="O1083" s="25"/>
    </row>
    <row r="1084" spans="7:15">
      <c r="G1084" s="25"/>
      <c r="O1084" s="25"/>
    </row>
    <row r="1085" spans="7:15">
      <c r="G1085" s="25"/>
      <c r="O1085" s="25"/>
    </row>
    <row r="1086" spans="7:15">
      <c r="G1086" s="25"/>
      <c r="O1086" s="25"/>
    </row>
    <row r="1087" spans="7:15">
      <c r="G1087" s="25"/>
      <c r="O1087" s="25"/>
    </row>
    <row r="1088" spans="7:15">
      <c r="G1088" s="25"/>
      <c r="O1088" s="25"/>
    </row>
    <row r="1089" spans="7:15">
      <c r="G1089" s="25"/>
      <c r="O1089" s="25"/>
    </row>
    <row r="1090" spans="7:15">
      <c r="G1090" s="25"/>
      <c r="O1090" s="25"/>
    </row>
    <row r="1091" spans="7:15">
      <c r="G1091" s="25"/>
      <c r="O1091" s="25"/>
    </row>
    <row r="1092" spans="7:15">
      <c r="G1092" s="25"/>
      <c r="O1092" s="25"/>
    </row>
    <row r="1093" spans="7:15">
      <c r="G1093" s="25"/>
      <c r="O1093" s="25"/>
    </row>
    <row r="1094" spans="7:15">
      <c r="G1094" s="25"/>
      <c r="O1094" s="25"/>
    </row>
    <row r="1095" spans="7:15">
      <c r="G1095" s="25"/>
      <c r="O1095" s="25"/>
    </row>
    <row r="1096" spans="7:15">
      <c r="G1096" s="25"/>
      <c r="O1096" s="25"/>
    </row>
    <row r="1097" spans="7:15">
      <c r="G1097" s="25"/>
      <c r="O1097" s="25"/>
    </row>
    <row r="1098" spans="7:15">
      <c r="G1098" s="25"/>
      <c r="O1098" s="25"/>
    </row>
    <row r="1099" spans="7:15">
      <c r="G1099" s="25"/>
      <c r="O1099" s="25"/>
    </row>
    <row r="1100" spans="7:15">
      <c r="G1100" s="25"/>
      <c r="O1100" s="25"/>
    </row>
    <row r="1101" spans="7:15">
      <c r="G1101" s="25"/>
      <c r="O1101" s="25"/>
    </row>
    <row r="1102" spans="7:15">
      <c r="G1102" s="25"/>
      <c r="O1102" s="25"/>
    </row>
    <row r="1103" spans="7:15">
      <c r="G1103" s="25"/>
      <c r="O1103" s="25"/>
    </row>
    <row r="1104" spans="7:15">
      <c r="G1104" s="25"/>
      <c r="O1104" s="25"/>
    </row>
    <row r="1105" spans="7:15">
      <c r="G1105" s="25"/>
      <c r="O1105" s="25"/>
    </row>
    <row r="1106" spans="7:15">
      <c r="G1106" s="25"/>
      <c r="O1106" s="25"/>
    </row>
    <row r="1107" spans="7:15">
      <c r="G1107" s="25"/>
      <c r="O1107" s="25"/>
    </row>
    <row r="1108" spans="7:15">
      <c r="G1108" s="25"/>
      <c r="O1108" s="25"/>
    </row>
    <row r="1109" spans="7:15">
      <c r="G1109" s="25"/>
      <c r="O1109" s="25"/>
    </row>
    <row r="1110" spans="7:15">
      <c r="G1110" s="25"/>
      <c r="O1110" s="25"/>
    </row>
    <row r="1111" spans="7:15">
      <c r="G1111" s="25"/>
      <c r="O1111" s="25"/>
    </row>
    <row r="1112" spans="7:15">
      <c r="G1112" s="25"/>
      <c r="O1112" s="25"/>
    </row>
    <row r="1113" spans="7:15">
      <c r="G1113" s="25"/>
      <c r="O1113" s="25"/>
    </row>
    <row r="1114" spans="7:15">
      <c r="G1114" s="25"/>
      <c r="O1114" s="25"/>
    </row>
    <row r="1115" spans="7:15">
      <c r="G1115" s="25"/>
      <c r="O1115" s="25"/>
    </row>
    <row r="1116" spans="7:15">
      <c r="G1116" s="25"/>
      <c r="O1116" s="25"/>
    </row>
    <row r="1117" spans="7:15">
      <c r="G1117" s="25"/>
      <c r="O1117" s="25"/>
    </row>
    <row r="1118" spans="7:15">
      <c r="G1118" s="25"/>
      <c r="O1118" s="25"/>
    </row>
    <row r="1119" spans="7:15">
      <c r="G1119" s="25"/>
      <c r="O1119" s="25"/>
    </row>
    <row r="1120" spans="7:15">
      <c r="G1120" s="25"/>
      <c r="O1120" s="25"/>
    </row>
    <row r="1121" spans="7:15">
      <c r="G1121" s="25"/>
      <c r="O1121" s="25"/>
    </row>
    <row r="1122" spans="7:15">
      <c r="G1122" s="25"/>
      <c r="O1122" s="25"/>
    </row>
    <row r="1123" spans="7:15">
      <c r="G1123" s="25"/>
      <c r="O1123" s="25"/>
    </row>
    <row r="1124" spans="7:15">
      <c r="G1124" s="25"/>
      <c r="O1124" s="25"/>
    </row>
    <row r="1125" spans="7:15">
      <c r="G1125" s="25"/>
      <c r="O1125" s="25"/>
    </row>
    <row r="1126" spans="7:15">
      <c r="G1126" s="25"/>
      <c r="O1126" s="25"/>
    </row>
    <row r="1127" spans="7:15">
      <c r="G1127" s="25"/>
      <c r="O1127" s="25"/>
    </row>
    <row r="1128" spans="7:15">
      <c r="G1128" s="25"/>
      <c r="O1128" s="25"/>
    </row>
    <row r="1129" spans="7:15">
      <c r="G1129" s="25"/>
      <c r="O1129" s="25"/>
    </row>
    <row r="1130" spans="7:15">
      <c r="G1130" s="25"/>
      <c r="O1130" s="25"/>
    </row>
    <row r="1131" spans="7:15">
      <c r="G1131" s="25"/>
      <c r="O1131" s="25"/>
    </row>
    <row r="1132" spans="7:15">
      <c r="G1132" s="25"/>
      <c r="O1132" s="25"/>
    </row>
    <row r="1133" spans="7:15">
      <c r="G1133" s="25"/>
      <c r="O1133" s="25"/>
    </row>
    <row r="1134" spans="7:15">
      <c r="G1134" s="25"/>
      <c r="O1134" s="25"/>
    </row>
    <row r="1135" spans="7:15">
      <c r="G1135" s="25"/>
      <c r="O1135" s="25"/>
    </row>
    <row r="1136" spans="7:15">
      <c r="G1136" s="25"/>
      <c r="O1136" s="25"/>
    </row>
    <row r="1137" spans="7:15">
      <c r="G1137" s="25"/>
      <c r="O1137" s="25"/>
    </row>
    <row r="1138" spans="7:15">
      <c r="G1138" s="25"/>
      <c r="O1138" s="25"/>
    </row>
    <row r="1139" spans="7:15">
      <c r="G1139" s="25"/>
      <c r="O1139" s="25"/>
    </row>
    <row r="1140" spans="7:15">
      <c r="G1140" s="25"/>
      <c r="O1140" s="25"/>
    </row>
    <row r="1141" spans="7:15">
      <c r="G1141" s="25"/>
      <c r="O1141" s="25"/>
    </row>
    <row r="1142" spans="7:15">
      <c r="G1142" s="25"/>
      <c r="O1142" s="25"/>
    </row>
    <row r="1143" spans="7:15">
      <c r="G1143" s="25"/>
      <c r="O1143" s="25"/>
    </row>
    <row r="1144" spans="7:15">
      <c r="G1144" s="25"/>
      <c r="O1144" s="25"/>
    </row>
    <row r="1145" spans="7:15">
      <c r="G1145" s="25"/>
      <c r="O1145" s="25"/>
    </row>
    <row r="1146" spans="7:15">
      <c r="G1146" s="25"/>
      <c r="O1146" s="25"/>
    </row>
    <row r="1147" spans="7:15">
      <c r="G1147" s="25"/>
      <c r="O1147" s="25"/>
    </row>
    <row r="1148" spans="7:15">
      <c r="G1148" s="25"/>
      <c r="O1148" s="25"/>
    </row>
    <row r="1149" spans="7:15">
      <c r="G1149" s="25"/>
      <c r="O1149" s="25"/>
    </row>
    <row r="1150" spans="7:15">
      <c r="G1150" s="25"/>
      <c r="O1150" s="25"/>
    </row>
    <row r="1151" spans="7:15">
      <c r="G1151" s="25"/>
      <c r="O1151" s="25"/>
    </row>
    <row r="1152" spans="7:15">
      <c r="G1152" s="25"/>
      <c r="O1152" s="25"/>
    </row>
    <row r="1153" spans="7:15">
      <c r="G1153" s="25"/>
      <c r="O1153" s="25"/>
    </row>
    <row r="1154" spans="7:15">
      <c r="G1154" s="25"/>
      <c r="O1154" s="25"/>
    </row>
    <row r="1155" spans="7:15">
      <c r="G1155" s="25"/>
      <c r="O1155" s="25"/>
    </row>
    <row r="1156" spans="7:15">
      <c r="G1156" s="25"/>
      <c r="O1156" s="25"/>
    </row>
    <row r="1157" spans="7:15">
      <c r="G1157" s="25"/>
      <c r="O1157" s="25"/>
    </row>
    <row r="1158" spans="7:15">
      <c r="G1158" s="25"/>
      <c r="O1158" s="25"/>
    </row>
    <row r="1159" spans="7:15">
      <c r="G1159" s="25"/>
      <c r="O1159" s="25"/>
    </row>
    <row r="1160" spans="7:15">
      <c r="G1160" s="25"/>
      <c r="O1160" s="25"/>
    </row>
    <row r="1161" spans="7:15">
      <c r="G1161" s="25"/>
      <c r="O1161" s="25"/>
    </row>
    <row r="1162" spans="7:15">
      <c r="G1162" s="25"/>
      <c r="O1162" s="25"/>
    </row>
    <row r="1163" spans="7:15">
      <c r="G1163" s="25"/>
      <c r="O1163" s="25"/>
    </row>
    <row r="1164" spans="7:15">
      <c r="G1164" s="25"/>
      <c r="O1164" s="25"/>
    </row>
    <row r="1165" spans="7:15">
      <c r="G1165" s="25"/>
      <c r="O1165" s="25"/>
    </row>
    <row r="1166" spans="7:15">
      <c r="G1166" s="25"/>
      <c r="O1166" s="25"/>
    </row>
    <row r="1167" spans="7:15">
      <c r="G1167" s="25"/>
      <c r="O1167" s="25"/>
    </row>
    <row r="1168" spans="7:15">
      <c r="G1168" s="25"/>
      <c r="O1168" s="25"/>
    </row>
    <row r="1169" spans="7:15">
      <c r="G1169" s="25"/>
      <c r="O1169" s="25"/>
    </row>
    <row r="1170" spans="7:15">
      <c r="G1170" s="25"/>
      <c r="O1170" s="25"/>
    </row>
    <row r="1171" spans="7:15">
      <c r="G1171" s="25"/>
      <c r="O1171" s="25"/>
    </row>
    <row r="1172" spans="7:15">
      <c r="G1172" s="25"/>
      <c r="O1172" s="25"/>
    </row>
    <row r="1173" spans="7:15">
      <c r="G1173" s="25"/>
      <c r="O1173" s="25"/>
    </row>
    <row r="1174" spans="7:15">
      <c r="G1174" s="25"/>
      <c r="O1174" s="25"/>
    </row>
    <row r="1175" spans="7:15">
      <c r="G1175" s="25"/>
      <c r="O1175" s="25"/>
    </row>
    <row r="1176" spans="7:15">
      <c r="G1176" s="25"/>
      <c r="O1176" s="25"/>
    </row>
    <row r="1177" spans="7:15">
      <c r="G1177" s="25"/>
      <c r="O1177" s="25"/>
    </row>
    <row r="1178" spans="7:15">
      <c r="G1178" s="25"/>
      <c r="O1178" s="25"/>
    </row>
    <row r="1179" spans="7:15">
      <c r="G1179" s="25"/>
      <c r="O1179" s="25"/>
    </row>
    <row r="1180" spans="7:15">
      <c r="G1180" s="25"/>
      <c r="O1180" s="25"/>
    </row>
    <row r="1181" spans="7:15">
      <c r="G1181" s="25"/>
      <c r="O1181" s="25"/>
    </row>
    <row r="1182" spans="7:15">
      <c r="G1182" s="25"/>
      <c r="O1182" s="25"/>
    </row>
    <row r="1183" spans="7:15">
      <c r="G1183" s="25"/>
      <c r="O1183" s="25"/>
    </row>
    <row r="1184" spans="7:15">
      <c r="G1184" s="25"/>
      <c r="O1184" s="25"/>
    </row>
    <row r="1185" spans="7:15">
      <c r="G1185" s="25"/>
      <c r="O1185" s="25"/>
    </row>
    <row r="1186" spans="7:15">
      <c r="G1186" s="25"/>
      <c r="O1186" s="25"/>
    </row>
    <row r="1187" spans="7:15">
      <c r="G1187" s="25"/>
      <c r="O1187" s="25"/>
    </row>
    <row r="1188" spans="7:15">
      <c r="G1188" s="25"/>
      <c r="O1188" s="25"/>
    </row>
    <row r="1189" spans="7:15">
      <c r="G1189" s="25"/>
      <c r="O1189" s="25"/>
    </row>
    <row r="1190" spans="7:15">
      <c r="G1190" s="25"/>
      <c r="O1190" s="25"/>
    </row>
    <row r="1191" spans="7:15">
      <c r="G1191" s="25"/>
      <c r="O1191" s="25"/>
    </row>
    <row r="1192" spans="7:15">
      <c r="G1192" s="25"/>
      <c r="O1192" s="25"/>
    </row>
    <row r="1193" spans="7:15">
      <c r="G1193" s="25"/>
      <c r="O1193" s="25"/>
    </row>
    <row r="1194" spans="7:15">
      <c r="G1194" s="25"/>
      <c r="O1194" s="25"/>
    </row>
    <row r="1195" spans="7:15">
      <c r="G1195" s="25"/>
      <c r="O1195" s="25"/>
    </row>
    <row r="1196" spans="7:15">
      <c r="G1196" s="25"/>
      <c r="O1196" s="25"/>
    </row>
    <row r="1197" spans="7:15">
      <c r="G1197" s="25"/>
      <c r="O1197" s="25"/>
    </row>
    <row r="1198" spans="7:15">
      <c r="G1198" s="25"/>
      <c r="O1198" s="25"/>
    </row>
    <row r="1199" spans="7:15">
      <c r="G1199" s="25"/>
      <c r="O1199" s="25"/>
    </row>
    <row r="1200" spans="7:15">
      <c r="G1200" s="25"/>
      <c r="O1200" s="25"/>
    </row>
    <row r="1201" spans="7:15">
      <c r="G1201" s="25"/>
      <c r="O1201" s="25"/>
    </row>
    <row r="1202" spans="7:15">
      <c r="G1202" s="25"/>
      <c r="O1202" s="25"/>
    </row>
    <row r="1203" spans="7:15">
      <c r="G1203" s="25"/>
      <c r="O1203" s="25"/>
    </row>
    <row r="1204" spans="7:15">
      <c r="G1204" s="25"/>
      <c r="O1204" s="25"/>
    </row>
    <row r="1205" spans="7:15">
      <c r="G1205" s="25"/>
      <c r="O1205" s="25"/>
    </row>
    <row r="1206" spans="7:15">
      <c r="G1206" s="25"/>
      <c r="O1206" s="25"/>
    </row>
    <row r="1207" spans="7:15">
      <c r="G1207" s="25"/>
      <c r="O1207" s="25"/>
    </row>
    <row r="1208" spans="7:15">
      <c r="G1208" s="25"/>
      <c r="O1208" s="25"/>
    </row>
    <row r="1209" spans="7:15">
      <c r="G1209" s="25"/>
      <c r="O1209" s="25"/>
    </row>
    <row r="1210" spans="7:15">
      <c r="G1210" s="25"/>
      <c r="O1210" s="25"/>
    </row>
    <row r="1211" spans="7:15">
      <c r="G1211" s="25"/>
      <c r="O1211" s="25"/>
    </row>
    <row r="1212" spans="7:15">
      <c r="G1212" s="25"/>
      <c r="O1212" s="25"/>
    </row>
    <row r="1213" spans="7:15">
      <c r="G1213" s="25"/>
      <c r="O1213" s="25"/>
    </row>
    <row r="1214" spans="7:15">
      <c r="G1214" s="25"/>
      <c r="O1214" s="25"/>
    </row>
    <row r="1215" spans="7:15">
      <c r="G1215" s="25"/>
      <c r="O1215" s="25"/>
    </row>
    <row r="1216" spans="7:15">
      <c r="G1216" s="25"/>
      <c r="O1216" s="25"/>
    </row>
    <row r="1217" spans="7:15">
      <c r="G1217" s="25"/>
      <c r="O1217" s="25"/>
    </row>
    <row r="1218" spans="7:15">
      <c r="G1218" s="25"/>
      <c r="O1218" s="25"/>
    </row>
    <row r="1219" spans="7:15">
      <c r="G1219" s="25"/>
      <c r="O1219" s="25"/>
    </row>
    <row r="1220" spans="7:15">
      <c r="G1220" s="25"/>
      <c r="O1220" s="25"/>
    </row>
    <row r="1221" spans="7:15">
      <c r="G1221" s="25"/>
      <c r="O1221" s="25"/>
    </row>
    <row r="1222" spans="7:15">
      <c r="G1222" s="25"/>
      <c r="O1222" s="25"/>
    </row>
    <row r="1223" spans="7:15">
      <c r="G1223" s="25"/>
      <c r="O1223" s="25"/>
    </row>
    <row r="1224" spans="7:15">
      <c r="G1224" s="25"/>
      <c r="O1224" s="25"/>
    </row>
    <row r="1225" spans="7:15">
      <c r="G1225" s="25"/>
      <c r="O1225" s="25"/>
    </row>
    <row r="1226" spans="7:15">
      <c r="G1226" s="25"/>
      <c r="O1226" s="25"/>
    </row>
    <row r="1227" spans="7:15">
      <c r="G1227" s="25"/>
      <c r="O1227" s="25"/>
    </row>
    <row r="1228" spans="7:15">
      <c r="G1228" s="25"/>
      <c r="O1228" s="25"/>
    </row>
    <row r="1229" spans="7:15">
      <c r="G1229" s="25"/>
      <c r="O1229" s="25"/>
    </row>
    <row r="1230" spans="7:15">
      <c r="G1230" s="25"/>
      <c r="O1230" s="25"/>
    </row>
    <row r="1231" spans="7:15">
      <c r="G1231" s="25"/>
      <c r="O1231" s="25"/>
    </row>
    <row r="1232" spans="7:15">
      <c r="G1232" s="25"/>
      <c r="O1232" s="25"/>
    </row>
    <row r="1233" spans="7:15">
      <c r="G1233" s="25"/>
      <c r="O1233" s="25"/>
    </row>
    <row r="1234" spans="7:15">
      <c r="G1234" s="25"/>
      <c r="O1234" s="25"/>
    </row>
    <row r="1235" spans="7:15">
      <c r="G1235" s="25"/>
      <c r="O1235" s="25"/>
    </row>
    <row r="1236" spans="7:15">
      <c r="G1236" s="25"/>
      <c r="O1236" s="25"/>
    </row>
    <row r="1237" spans="7:15">
      <c r="G1237" s="25"/>
      <c r="O1237" s="25"/>
    </row>
    <row r="1238" spans="7:15">
      <c r="G1238" s="25"/>
      <c r="O1238" s="25"/>
    </row>
    <row r="1239" spans="7:15">
      <c r="G1239" s="25"/>
      <c r="O1239" s="25"/>
    </row>
    <row r="1240" spans="7:15">
      <c r="G1240" s="25"/>
      <c r="O1240" s="25"/>
    </row>
    <row r="1241" spans="7:15">
      <c r="G1241" s="25"/>
      <c r="O1241" s="25"/>
    </row>
    <row r="1242" spans="7:15">
      <c r="G1242" s="25"/>
      <c r="O1242" s="25"/>
    </row>
    <row r="1243" spans="7:15">
      <c r="G1243" s="25"/>
      <c r="O1243" s="25"/>
    </row>
    <row r="1244" spans="7:15">
      <c r="G1244" s="25"/>
      <c r="O1244" s="25"/>
    </row>
    <row r="1245" spans="7:15">
      <c r="G1245" s="25"/>
      <c r="O1245" s="25"/>
    </row>
    <row r="1246" spans="7:15">
      <c r="G1246" s="25"/>
      <c r="O1246" s="25"/>
    </row>
    <row r="1247" spans="7:15">
      <c r="G1247" s="25"/>
      <c r="O1247" s="25"/>
    </row>
    <row r="1248" spans="7:15">
      <c r="G1248" s="25"/>
      <c r="O1248" s="25"/>
    </row>
    <row r="1249" spans="7:15">
      <c r="G1249" s="25"/>
      <c r="O1249" s="25"/>
    </row>
    <row r="1250" spans="7:15">
      <c r="G1250" s="25"/>
      <c r="O1250" s="25"/>
    </row>
    <row r="1251" spans="7:15">
      <c r="G1251" s="25"/>
      <c r="O1251" s="25"/>
    </row>
    <row r="1252" spans="7:15">
      <c r="G1252" s="25"/>
      <c r="O1252" s="25"/>
    </row>
    <row r="1253" spans="7:15">
      <c r="G1253" s="25"/>
      <c r="O1253" s="25"/>
    </row>
    <row r="1254" spans="7:15">
      <c r="G1254" s="25"/>
      <c r="O1254" s="25"/>
    </row>
    <row r="1255" spans="7:15">
      <c r="G1255" s="25"/>
      <c r="O1255" s="25"/>
    </row>
    <row r="1256" spans="7:15">
      <c r="G1256" s="25"/>
      <c r="O1256" s="25"/>
    </row>
    <row r="1257" spans="7:15">
      <c r="G1257" s="25"/>
      <c r="O1257" s="25"/>
    </row>
    <row r="1258" spans="7:15">
      <c r="G1258" s="25"/>
      <c r="O1258" s="25"/>
    </row>
    <row r="1259" spans="7:15">
      <c r="G1259" s="25"/>
      <c r="O1259" s="25"/>
    </row>
    <row r="1260" spans="7:15">
      <c r="G1260" s="25"/>
      <c r="O1260" s="25"/>
    </row>
    <row r="1261" spans="7:15">
      <c r="G1261" s="25"/>
      <c r="O1261" s="25"/>
    </row>
    <row r="1262" spans="7:15">
      <c r="G1262" s="25"/>
      <c r="O1262" s="25"/>
    </row>
    <row r="1263" spans="7:15">
      <c r="G1263" s="25"/>
      <c r="O1263" s="25"/>
    </row>
    <row r="1264" spans="7:15">
      <c r="G1264" s="25"/>
      <c r="O1264" s="25"/>
    </row>
    <row r="1265" spans="7:15">
      <c r="G1265" s="25"/>
      <c r="O1265" s="25"/>
    </row>
    <row r="1266" spans="7:15">
      <c r="G1266" s="25"/>
      <c r="O1266" s="25"/>
    </row>
    <row r="1267" spans="7:15">
      <c r="G1267" s="25"/>
      <c r="O1267" s="25"/>
    </row>
    <row r="1268" spans="7:15">
      <c r="G1268" s="25"/>
      <c r="O1268" s="25"/>
    </row>
    <row r="1269" spans="7:15">
      <c r="G1269" s="25"/>
      <c r="O1269" s="25"/>
    </row>
    <row r="1270" spans="7:15">
      <c r="G1270" s="25"/>
      <c r="O1270" s="25"/>
    </row>
    <row r="1271" spans="7:15">
      <c r="G1271" s="25"/>
      <c r="O1271" s="25"/>
    </row>
    <row r="1272" spans="7:15">
      <c r="G1272" s="25"/>
      <c r="O1272" s="25"/>
    </row>
    <row r="1273" spans="7:15">
      <c r="G1273" s="25"/>
      <c r="O1273" s="25"/>
    </row>
    <row r="1274" spans="7:15">
      <c r="G1274" s="25"/>
      <c r="O1274" s="25"/>
    </row>
    <row r="1275" spans="7:15">
      <c r="G1275" s="25"/>
      <c r="O1275" s="25"/>
    </row>
    <row r="1276" spans="7:15">
      <c r="G1276" s="25"/>
      <c r="O1276" s="25"/>
    </row>
    <row r="1277" spans="7:15">
      <c r="G1277" s="25"/>
      <c r="O1277" s="25"/>
    </row>
    <row r="1278" spans="7:15">
      <c r="G1278" s="25"/>
      <c r="O1278" s="25"/>
    </row>
    <row r="1279" spans="7:15">
      <c r="G1279" s="25"/>
      <c r="O1279" s="25"/>
    </row>
    <row r="1280" spans="7:15">
      <c r="G1280" s="25"/>
      <c r="O1280" s="25"/>
    </row>
    <row r="1281" spans="7:15">
      <c r="G1281" s="25"/>
      <c r="O1281" s="25"/>
    </row>
    <row r="1282" spans="7:15">
      <c r="G1282" s="25"/>
      <c r="O1282" s="25"/>
    </row>
    <row r="1283" spans="7:15">
      <c r="G1283" s="25"/>
      <c r="O1283" s="25"/>
    </row>
    <row r="1284" spans="7:15">
      <c r="G1284" s="25"/>
      <c r="O1284" s="25"/>
    </row>
    <row r="1285" spans="7:15">
      <c r="G1285" s="25"/>
      <c r="O1285" s="25"/>
    </row>
    <row r="1286" spans="7:15">
      <c r="G1286" s="25"/>
      <c r="O1286" s="25"/>
    </row>
    <row r="1287" spans="7:15">
      <c r="G1287" s="25"/>
      <c r="O1287" s="25"/>
    </row>
    <row r="1288" spans="7:15">
      <c r="G1288" s="25"/>
      <c r="O1288" s="25"/>
    </row>
    <row r="1289" spans="7:15">
      <c r="G1289" s="25"/>
      <c r="O1289" s="25"/>
    </row>
    <row r="1290" spans="7:15">
      <c r="G1290" s="25"/>
      <c r="O1290" s="25"/>
    </row>
    <row r="1291" spans="7:15">
      <c r="G1291" s="25"/>
      <c r="O1291" s="25"/>
    </row>
    <row r="1292" spans="7:15">
      <c r="G1292" s="25"/>
      <c r="O1292" s="25"/>
    </row>
    <row r="1293" spans="7:15">
      <c r="G1293" s="25"/>
      <c r="O1293" s="25"/>
    </row>
    <row r="1294" spans="7:15">
      <c r="G1294" s="25"/>
      <c r="O1294" s="25"/>
    </row>
    <row r="1295" spans="7:15">
      <c r="G1295" s="25"/>
      <c r="O1295" s="25"/>
    </row>
    <row r="1296" spans="7:15">
      <c r="G1296" s="25"/>
      <c r="O1296" s="25"/>
    </row>
    <row r="1297" spans="7:15">
      <c r="G1297" s="25"/>
      <c r="O1297" s="25"/>
    </row>
    <row r="1298" spans="7:15">
      <c r="G1298" s="25"/>
      <c r="O1298" s="25"/>
    </row>
    <row r="1299" spans="7:15">
      <c r="G1299" s="25"/>
      <c r="O1299" s="25"/>
    </row>
    <row r="1300" spans="7:15">
      <c r="G1300" s="25"/>
      <c r="O1300" s="25"/>
    </row>
    <row r="1301" spans="7:15">
      <c r="G1301" s="25"/>
      <c r="O1301" s="25"/>
    </row>
    <row r="1302" spans="7:15">
      <c r="G1302" s="25"/>
      <c r="O1302" s="25"/>
    </row>
    <row r="1303" spans="7:15">
      <c r="G1303" s="25"/>
      <c r="O1303" s="25"/>
    </row>
    <row r="1304" spans="7:15">
      <c r="G1304" s="25"/>
      <c r="O1304" s="25"/>
    </row>
    <row r="1305" spans="7:15">
      <c r="G1305" s="25"/>
      <c r="O1305" s="25"/>
    </row>
    <row r="1306" spans="7:15">
      <c r="G1306" s="25"/>
      <c r="O1306" s="25"/>
    </row>
    <row r="1307" spans="7:15">
      <c r="G1307" s="25"/>
      <c r="O1307" s="25"/>
    </row>
    <row r="1308" spans="7:15">
      <c r="G1308" s="25"/>
      <c r="O1308" s="25"/>
    </row>
    <row r="1309" spans="7:15">
      <c r="G1309" s="25"/>
      <c r="O1309" s="25"/>
    </row>
    <row r="1310" spans="7:15">
      <c r="G1310" s="25"/>
      <c r="O1310" s="25"/>
    </row>
    <row r="1311" spans="7:15">
      <c r="G1311" s="25"/>
      <c r="O1311" s="25"/>
    </row>
    <row r="1312" spans="7:15">
      <c r="G1312" s="25"/>
      <c r="O1312" s="25"/>
    </row>
    <row r="1313" spans="7:15">
      <c r="G1313" s="25"/>
      <c r="O1313" s="25"/>
    </row>
    <row r="1314" spans="7:15">
      <c r="G1314" s="25"/>
      <c r="O1314" s="25"/>
    </row>
    <row r="1315" spans="7:15">
      <c r="G1315" s="25"/>
      <c r="O1315" s="25"/>
    </row>
    <row r="1316" spans="7:15">
      <c r="G1316" s="25"/>
      <c r="O1316" s="25"/>
    </row>
    <row r="1317" spans="7:15">
      <c r="G1317" s="25"/>
      <c r="O1317" s="25"/>
    </row>
    <row r="1318" spans="7:15">
      <c r="G1318" s="25"/>
      <c r="O1318" s="25"/>
    </row>
    <row r="1319" spans="7:15">
      <c r="G1319" s="25"/>
      <c r="O1319" s="25"/>
    </row>
    <row r="1320" spans="7:15">
      <c r="G1320" s="25"/>
      <c r="O1320" s="25"/>
    </row>
    <row r="1321" spans="7:15">
      <c r="G1321" s="25"/>
      <c r="O1321" s="25"/>
    </row>
    <row r="1322" spans="7:15">
      <c r="G1322" s="25"/>
      <c r="O1322" s="25"/>
    </row>
    <row r="1323" spans="7:15">
      <c r="G1323" s="25"/>
      <c r="O1323" s="25"/>
    </row>
    <row r="1324" spans="7:15">
      <c r="G1324" s="25"/>
      <c r="O1324" s="25"/>
    </row>
    <row r="1325" spans="7:15">
      <c r="G1325" s="25"/>
      <c r="O1325" s="25"/>
    </row>
    <row r="1326" spans="7:15">
      <c r="G1326" s="25"/>
      <c r="O1326" s="25"/>
    </row>
    <row r="1327" spans="7:15">
      <c r="G1327" s="25"/>
      <c r="O1327" s="25"/>
    </row>
    <row r="1328" spans="7:15">
      <c r="G1328" s="25"/>
      <c r="O1328" s="25"/>
    </row>
    <row r="1329" spans="7:15">
      <c r="G1329" s="25"/>
      <c r="O1329" s="25"/>
    </row>
    <row r="1330" spans="7:15">
      <c r="G1330" s="25"/>
      <c r="O1330" s="25"/>
    </row>
    <row r="1331" spans="7:15">
      <c r="G1331" s="25"/>
      <c r="O1331" s="25"/>
    </row>
    <row r="1332" spans="7:15">
      <c r="G1332" s="25"/>
      <c r="O1332" s="25"/>
    </row>
    <row r="1333" spans="7:15">
      <c r="G1333" s="25"/>
      <c r="O1333" s="25"/>
    </row>
    <row r="1334" spans="7:15">
      <c r="G1334" s="25"/>
      <c r="O1334" s="25"/>
    </row>
    <row r="1335" spans="7:15">
      <c r="G1335" s="25"/>
      <c r="O1335" s="25"/>
    </row>
    <row r="1336" spans="7:15">
      <c r="G1336" s="25"/>
      <c r="O1336" s="25"/>
    </row>
    <row r="1337" spans="7:15">
      <c r="G1337" s="25"/>
      <c r="O1337" s="25"/>
    </row>
    <row r="1338" spans="7:15">
      <c r="G1338" s="25"/>
      <c r="O1338" s="25"/>
    </row>
    <row r="1339" spans="7:15">
      <c r="G1339" s="25"/>
      <c r="O1339" s="25"/>
    </row>
    <row r="1340" spans="7:15">
      <c r="G1340" s="25"/>
      <c r="O1340" s="25"/>
    </row>
    <row r="1341" spans="7:15">
      <c r="G1341" s="25"/>
      <c r="O1341" s="25"/>
    </row>
    <row r="1342" spans="7:15">
      <c r="G1342" s="25"/>
      <c r="O1342" s="25"/>
    </row>
    <row r="1343" spans="7:15">
      <c r="G1343" s="25"/>
      <c r="O1343" s="25"/>
    </row>
    <row r="1344" spans="7:15">
      <c r="G1344" s="25"/>
      <c r="O1344" s="25"/>
    </row>
    <row r="1345" spans="7:15">
      <c r="G1345" s="25"/>
      <c r="O1345" s="25"/>
    </row>
    <row r="1346" spans="7:15">
      <c r="G1346" s="25"/>
      <c r="O1346" s="25"/>
    </row>
    <row r="1347" spans="7:15">
      <c r="G1347" s="25"/>
      <c r="O1347" s="25"/>
    </row>
    <row r="1348" spans="7:15">
      <c r="G1348" s="25"/>
      <c r="O1348" s="25"/>
    </row>
    <row r="1349" spans="7:15">
      <c r="G1349" s="25"/>
      <c r="O1349" s="25"/>
    </row>
    <row r="1350" spans="7:15">
      <c r="G1350" s="25"/>
      <c r="O1350" s="25"/>
    </row>
    <row r="1351" spans="7:15">
      <c r="G1351" s="25"/>
      <c r="O1351" s="25"/>
    </row>
    <row r="1352" spans="7:15">
      <c r="G1352" s="25"/>
      <c r="O1352" s="25"/>
    </row>
    <row r="1353" spans="7:15">
      <c r="G1353" s="25"/>
      <c r="O1353" s="25"/>
    </row>
    <row r="1354" spans="7:15">
      <c r="G1354" s="25"/>
      <c r="O1354" s="25"/>
    </row>
    <row r="1355" spans="7:15">
      <c r="G1355" s="25"/>
      <c r="O1355" s="25"/>
    </row>
    <row r="1356" spans="7:15">
      <c r="G1356" s="25"/>
      <c r="O1356" s="25"/>
    </row>
    <row r="1357" spans="7:15">
      <c r="G1357" s="25"/>
      <c r="O1357" s="25"/>
    </row>
    <row r="1358" spans="7:15">
      <c r="G1358" s="25"/>
      <c r="O1358" s="25"/>
    </row>
    <row r="1359" spans="7:15">
      <c r="G1359" s="25"/>
      <c r="O1359" s="25"/>
    </row>
    <row r="1360" spans="7:15">
      <c r="G1360" s="25"/>
      <c r="O1360" s="25"/>
    </row>
    <row r="1361" spans="7:15">
      <c r="G1361" s="25"/>
      <c r="O1361" s="25"/>
    </row>
    <row r="1362" spans="7:15">
      <c r="G1362" s="25"/>
      <c r="O1362" s="25"/>
    </row>
    <row r="1363" spans="7:15">
      <c r="G1363" s="25"/>
      <c r="O1363" s="25"/>
    </row>
    <row r="1364" spans="7:15">
      <c r="G1364" s="25"/>
      <c r="O1364" s="25"/>
    </row>
    <row r="1365" spans="7:15">
      <c r="G1365" s="25"/>
      <c r="O1365" s="25"/>
    </row>
    <row r="1366" spans="7:15">
      <c r="G1366" s="25"/>
      <c r="O1366" s="25"/>
    </row>
    <row r="1367" spans="7:15">
      <c r="G1367" s="25"/>
      <c r="O1367" s="25"/>
    </row>
    <row r="1368" spans="7:15">
      <c r="G1368" s="25"/>
      <c r="O1368" s="25"/>
    </row>
    <row r="1369" spans="7:15">
      <c r="G1369" s="25"/>
      <c r="O1369" s="25"/>
    </row>
    <row r="1370" spans="7:15">
      <c r="G1370" s="25"/>
      <c r="O1370" s="25"/>
    </row>
    <row r="1371" spans="7:15">
      <c r="G1371" s="25"/>
      <c r="O1371" s="25"/>
    </row>
    <row r="1372" spans="7:15">
      <c r="G1372" s="25"/>
      <c r="O1372" s="25"/>
    </row>
    <row r="1373" spans="7:15">
      <c r="G1373" s="25"/>
      <c r="O1373" s="25"/>
    </row>
    <row r="1374" spans="7:15">
      <c r="G1374" s="25"/>
      <c r="O1374" s="25"/>
    </row>
    <row r="1375" spans="7:15">
      <c r="G1375" s="25"/>
      <c r="O1375" s="25"/>
    </row>
    <row r="1376" spans="7:15">
      <c r="G1376" s="25"/>
      <c r="O1376" s="25"/>
    </row>
    <row r="1377" spans="7:15">
      <c r="G1377" s="25"/>
      <c r="O1377" s="25"/>
    </row>
    <row r="1378" spans="7:15">
      <c r="G1378" s="25"/>
      <c r="O1378" s="25"/>
    </row>
    <row r="1379" spans="7:15">
      <c r="G1379" s="25"/>
      <c r="O1379" s="25"/>
    </row>
    <row r="1380" spans="7:15">
      <c r="G1380" s="25"/>
      <c r="O1380" s="25"/>
    </row>
    <row r="1381" spans="7:15">
      <c r="G1381" s="25"/>
      <c r="O1381" s="25"/>
    </row>
    <row r="1382" spans="7:15">
      <c r="G1382" s="25"/>
      <c r="O1382" s="25"/>
    </row>
    <row r="1383" spans="7:15">
      <c r="G1383" s="25"/>
      <c r="O1383" s="25"/>
    </row>
    <row r="1384" spans="7:15">
      <c r="G1384" s="25"/>
      <c r="O1384" s="25"/>
    </row>
    <row r="1385" spans="7:15">
      <c r="G1385" s="25"/>
      <c r="O1385" s="25"/>
    </row>
    <row r="1386" spans="7:15">
      <c r="G1386" s="25"/>
      <c r="O1386" s="25"/>
    </row>
    <row r="1387" spans="7:15">
      <c r="G1387" s="25"/>
      <c r="O1387" s="25"/>
    </row>
    <row r="1388" spans="7:15">
      <c r="G1388" s="25"/>
      <c r="O1388" s="25"/>
    </row>
    <row r="1389" spans="7:15">
      <c r="G1389" s="25"/>
      <c r="O1389" s="25"/>
    </row>
    <row r="1390" spans="7:15">
      <c r="G1390" s="25"/>
      <c r="O1390" s="25"/>
    </row>
    <row r="1391" spans="7:15">
      <c r="G1391" s="25"/>
      <c r="O1391" s="25"/>
    </row>
    <row r="1392" spans="7:15">
      <c r="G1392" s="25"/>
      <c r="O1392" s="25"/>
    </row>
    <row r="1393" spans="7:15">
      <c r="G1393" s="25"/>
      <c r="O1393" s="25"/>
    </row>
    <row r="1394" spans="7:15">
      <c r="G1394" s="25"/>
      <c r="O1394" s="25"/>
    </row>
    <row r="1395" spans="7:15">
      <c r="G1395" s="25"/>
      <c r="O1395" s="25"/>
    </row>
    <row r="1396" spans="7:15">
      <c r="G1396" s="25"/>
      <c r="O1396" s="25"/>
    </row>
    <row r="1397" spans="7:15">
      <c r="G1397" s="25"/>
      <c r="O1397" s="25"/>
    </row>
    <row r="1398" spans="7:15">
      <c r="G1398" s="25"/>
      <c r="O1398" s="25"/>
    </row>
    <row r="1399" spans="7:15">
      <c r="G1399" s="25"/>
      <c r="O1399" s="25"/>
    </row>
    <row r="1400" spans="7:15">
      <c r="G1400" s="25"/>
      <c r="O1400" s="25"/>
    </row>
    <row r="1401" spans="7:15">
      <c r="G1401" s="25"/>
      <c r="O1401" s="25"/>
    </row>
    <row r="1402" spans="7:15">
      <c r="G1402" s="25"/>
      <c r="O1402" s="25"/>
    </row>
    <row r="1403" spans="7:15">
      <c r="G1403" s="25"/>
      <c r="O1403" s="25"/>
    </row>
    <row r="1404" spans="7:15">
      <c r="G1404" s="25"/>
      <c r="O1404" s="25"/>
    </row>
    <row r="1405" spans="7:15">
      <c r="G1405" s="25"/>
      <c r="O1405" s="25"/>
    </row>
    <row r="1406" spans="7:15">
      <c r="G1406" s="25"/>
      <c r="O1406" s="25"/>
    </row>
    <row r="1407" spans="7:15">
      <c r="G1407" s="25"/>
      <c r="O1407" s="25"/>
    </row>
    <row r="1408" spans="7:15">
      <c r="G1408" s="25"/>
      <c r="O1408" s="25"/>
    </row>
    <row r="1409" spans="7:15">
      <c r="G1409" s="25"/>
      <c r="O1409" s="25"/>
    </row>
    <row r="1410" spans="7:15">
      <c r="G1410" s="25"/>
      <c r="O1410" s="25"/>
    </row>
    <row r="1411" spans="7:15">
      <c r="G1411" s="25"/>
      <c r="O1411" s="25"/>
    </row>
    <row r="1412" spans="7:15">
      <c r="G1412" s="25"/>
      <c r="O1412" s="25"/>
    </row>
    <row r="1413" spans="7:15">
      <c r="G1413" s="25"/>
      <c r="O1413" s="25"/>
    </row>
    <row r="1414" spans="7:15">
      <c r="G1414" s="25"/>
      <c r="O1414" s="25"/>
    </row>
    <row r="1415" spans="7:15">
      <c r="G1415" s="25"/>
      <c r="O1415" s="25"/>
    </row>
    <row r="1416" spans="7:15">
      <c r="G1416" s="25"/>
      <c r="O1416" s="25"/>
    </row>
    <row r="1417" spans="7:15">
      <c r="G1417" s="25"/>
      <c r="O1417" s="25"/>
    </row>
    <row r="1418" spans="7:15">
      <c r="G1418" s="25"/>
      <c r="O1418" s="25"/>
    </row>
    <row r="1419" spans="7:15">
      <c r="G1419" s="25"/>
      <c r="O1419" s="25"/>
    </row>
    <row r="1420" spans="7:15">
      <c r="G1420" s="25"/>
      <c r="O1420" s="25"/>
    </row>
    <row r="1421" spans="7:15">
      <c r="G1421" s="25"/>
      <c r="O1421" s="25"/>
    </row>
    <row r="1422" spans="7:15">
      <c r="G1422" s="25"/>
      <c r="O1422" s="25"/>
    </row>
    <row r="1423" spans="7:15">
      <c r="G1423" s="25"/>
      <c r="O1423" s="25"/>
    </row>
    <row r="1424" spans="7:15">
      <c r="G1424" s="25"/>
      <c r="O1424" s="25"/>
    </row>
    <row r="1425" spans="7:15">
      <c r="G1425" s="25"/>
      <c r="O1425" s="25"/>
    </row>
    <row r="1426" spans="7:15">
      <c r="G1426" s="25"/>
      <c r="O1426" s="25"/>
    </row>
    <row r="1427" spans="7:15">
      <c r="G1427" s="25"/>
      <c r="O1427" s="25"/>
    </row>
    <row r="1428" spans="7:15">
      <c r="G1428" s="25"/>
      <c r="O1428" s="25"/>
    </row>
    <row r="1429" spans="7:15">
      <c r="G1429" s="25"/>
      <c r="O1429" s="25"/>
    </row>
    <row r="1430" spans="7:15">
      <c r="G1430" s="25"/>
      <c r="O1430" s="25"/>
    </row>
    <row r="1431" spans="7:15">
      <c r="G1431" s="25"/>
      <c r="O1431" s="25"/>
    </row>
    <row r="1432" spans="7:15">
      <c r="G1432" s="25"/>
      <c r="O1432" s="25"/>
    </row>
    <row r="1433" spans="7:15">
      <c r="G1433" s="25"/>
      <c r="O1433" s="25"/>
    </row>
    <row r="1434" spans="7:15">
      <c r="G1434" s="25"/>
      <c r="O1434" s="25"/>
    </row>
    <row r="1435" spans="7:15">
      <c r="G1435" s="25"/>
      <c r="O1435" s="25"/>
    </row>
    <row r="1436" spans="7:15">
      <c r="G1436" s="25"/>
      <c r="O1436" s="25"/>
    </row>
    <row r="1437" spans="7:15">
      <c r="G1437" s="25"/>
      <c r="O1437" s="25"/>
    </row>
    <row r="1438" spans="7:15">
      <c r="G1438" s="25"/>
      <c r="O1438" s="25"/>
    </row>
    <row r="1439" spans="7:15">
      <c r="G1439" s="25"/>
      <c r="O1439" s="25"/>
    </row>
    <row r="1440" spans="7:15">
      <c r="G1440" s="25"/>
      <c r="O1440" s="25"/>
    </row>
    <row r="1441" spans="7:15">
      <c r="G1441" s="25"/>
      <c r="O1441" s="25"/>
    </row>
    <row r="1442" spans="7:15">
      <c r="G1442" s="25"/>
      <c r="O1442" s="25"/>
    </row>
    <row r="1443" spans="7:15">
      <c r="G1443" s="25"/>
      <c r="O1443" s="25"/>
    </row>
    <row r="1444" spans="7:15">
      <c r="G1444" s="25"/>
      <c r="O1444" s="25"/>
    </row>
    <row r="1445" spans="7:15">
      <c r="G1445" s="25"/>
      <c r="O1445" s="25"/>
    </row>
    <row r="1446" spans="7:15">
      <c r="G1446" s="25"/>
      <c r="O1446" s="25"/>
    </row>
    <row r="1447" spans="7:15">
      <c r="G1447" s="25"/>
      <c r="O1447" s="25"/>
    </row>
    <row r="1448" spans="7:15">
      <c r="G1448" s="25"/>
      <c r="O1448" s="25"/>
    </row>
    <row r="1449" spans="7:15">
      <c r="G1449" s="25"/>
      <c r="O1449" s="25"/>
    </row>
    <row r="1450" spans="7:15">
      <c r="G1450" s="25"/>
      <c r="O1450" s="25"/>
    </row>
    <row r="1451" spans="7:15">
      <c r="G1451" s="25"/>
      <c r="O1451" s="25"/>
    </row>
    <row r="1452" spans="7:15">
      <c r="G1452" s="25"/>
      <c r="O1452" s="25"/>
    </row>
    <row r="1453" spans="7:15">
      <c r="G1453" s="25"/>
      <c r="O1453" s="25"/>
    </row>
    <row r="1454" spans="7:15">
      <c r="G1454" s="25"/>
      <c r="O1454" s="25"/>
    </row>
    <row r="1455" spans="7:15">
      <c r="G1455" s="25"/>
      <c r="O1455" s="25"/>
    </row>
    <row r="1456" spans="7:15">
      <c r="G1456" s="25"/>
      <c r="O1456" s="25"/>
    </row>
    <row r="1457" spans="7:15">
      <c r="G1457" s="25"/>
      <c r="O1457" s="25"/>
    </row>
    <row r="1458" spans="7:15">
      <c r="G1458" s="25"/>
      <c r="O1458" s="25"/>
    </row>
    <row r="1459" spans="7:15">
      <c r="G1459" s="25"/>
      <c r="O1459" s="25"/>
    </row>
    <row r="1460" spans="7:15">
      <c r="G1460" s="25"/>
      <c r="O1460" s="25"/>
    </row>
    <row r="1461" spans="7:15">
      <c r="G1461" s="25"/>
      <c r="O1461" s="25"/>
    </row>
    <row r="1462" spans="7:15">
      <c r="G1462" s="25"/>
      <c r="O1462" s="25"/>
    </row>
    <row r="1463" spans="7:15">
      <c r="G1463" s="25"/>
      <c r="O1463" s="25"/>
    </row>
    <row r="1464" spans="7:15">
      <c r="G1464" s="25"/>
      <c r="O1464" s="25"/>
    </row>
    <row r="1465" spans="7:15">
      <c r="G1465" s="25"/>
      <c r="O1465" s="25"/>
    </row>
    <row r="1466" spans="7:15">
      <c r="G1466" s="25"/>
      <c r="O1466" s="25"/>
    </row>
    <row r="1467" spans="7:15">
      <c r="G1467" s="25"/>
      <c r="O1467" s="25"/>
    </row>
    <row r="1468" spans="7:15">
      <c r="G1468" s="25"/>
      <c r="O1468" s="25"/>
    </row>
    <row r="1469" spans="7:15">
      <c r="G1469" s="25"/>
      <c r="O1469" s="25"/>
    </row>
    <row r="1470" spans="7:15">
      <c r="G1470" s="25"/>
      <c r="O1470" s="25"/>
    </row>
    <row r="1471" spans="7:15">
      <c r="G1471" s="25"/>
      <c r="O1471" s="25"/>
    </row>
    <row r="1472" spans="7:15">
      <c r="G1472" s="25"/>
      <c r="O1472" s="25"/>
    </row>
    <row r="1473" spans="7:15">
      <c r="G1473" s="25"/>
      <c r="O1473" s="25"/>
    </row>
    <row r="1474" spans="7:15">
      <c r="G1474" s="25"/>
      <c r="O1474" s="25"/>
    </row>
    <row r="1475" spans="7:15">
      <c r="G1475" s="25"/>
      <c r="O1475" s="25"/>
    </row>
    <row r="1476" spans="7:15">
      <c r="G1476" s="25"/>
      <c r="O1476" s="25"/>
    </row>
    <row r="1477" spans="7:15">
      <c r="G1477" s="25"/>
      <c r="O1477" s="25"/>
    </row>
    <row r="1478" spans="7:15">
      <c r="G1478" s="25"/>
      <c r="O1478" s="25"/>
    </row>
    <row r="1479" spans="7:15">
      <c r="G1479" s="25"/>
      <c r="O1479" s="25"/>
    </row>
    <row r="1480" spans="7:15">
      <c r="G1480" s="25"/>
      <c r="O1480" s="25"/>
    </row>
    <row r="1481" spans="7:15">
      <c r="G1481" s="25"/>
      <c r="O1481" s="25"/>
    </row>
    <row r="1482" spans="7:15">
      <c r="G1482" s="25"/>
      <c r="O1482" s="25"/>
    </row>
    <row r="1483" spans="7:15">
      <c r="G1483" s="25"/>
      <c r="O1483" s="25"/>
    </row>
    <row r="1484" spans="7:15">
      <c r="G1484" s="25"/>
      <c r="O1484" s="25"/>
    </row>
    <row r="1485" spans="7:15">
      <c r="G1485" s="25"/>
      <c r="O1485" s="25"/>
    </row>
    <row r="1486" spans="7:15">
      <c r="G1486" s="25"/>
      <c r="O1486" s="25"/>
    </row>
    <row r="1487" spans="7:15">
      <c r="G1487" s="25"/>
      <c r="O1487" s="25"/>
    </row>
    <row r="1488" spans="7:15">
      <c r="G1488" s="25"/>
      <c r="O1488" s="25"/>
    </row>
    <row r="1489" spans="7:15">
      <c r="G1489" s="25"/>
      <c r="O1489" s="25"/>
    </row>
    <row r="1490" spans="7:15">
      <c r="G1490" s="25"/>
      <c r="O1490" s="25"/>
    </row>
    <row r="1491" spans="7:15">
      <c r="G1491" s="25"/>
      <c r="O1491" s="25"/>
    </row>
    <row r="1492" spans="7:15">
      <c r="G1492" s="25"/>
      <c r="O1492" s="25"/>
    </row>
    <row r="1493" spans="7:15">
      <c r="G1493" s="25"/>
      <c r="O1493" s="25"/>
    </row>
    <row r="1494" spans="7:15">
      <c r="G1494" s="25"/>
      <c r="O1494" s="25"/>
    </row>
    <row r="1495" spans="7:15">
      <c r="G1495" s="25"/>
      <c r="O1495" s="25"/>
    </row>
    <row r="1496" spans="7:15">
      <c r="G1496" s="25"/>
      <c r="O1496" s="25"/>
    </row>
    <row r="1497" spans="7:15">
      <c r="G1497" s="25"/>
      <c r="O1497" s="25"/>
    </row>
    <row r="1498" spans="7:15">
      <c r="G1498" s="25"/>
      <c r="O1498" s="25"/>
    </row>
    <row r="1499" spans="7:15">
      <c r="G1499" s="25"/>
      <c r="O1499" s="25"/>
    </row>
    <row r="1500" spans="7:15">
      <c r="G1500" s="25"/>
      <c r="O1500" s="25"/>
    </row>
    <row r="1501" spans="7:15">
      <c r="G1501" s="25"/>
      <c r="O1501" s="25"/>
    </row>
    <row r="1502" spans="7:15">
      <c r="G1502" s="25"/>
      <c r="O1502" s="25"/>
    </row>
    <row r="1503" spans="7:15">
      <c r="G1503" s="25"/>
      <c r="O1503" s="25"/>
    </row>
    <row r="1504" spans="7:15">
      <c r="G1504" s="25"/>
      <c r="O1504" s="25"/>
    </row>
    <row r="1505" spans="7:15">
      <c r="G1505" s="25"/>
      <c r="O1505" s="25"/>
    </row>
    <row r="1506" spans="7:15">
      <c r="G1506" s="25"/>
      <c r="O1506" s="25"/>
    </row>
    <row r="1507" spans="7:15">
      <c r="G1507" s="25"/>
      <c r="O1507" s="25"/>
    </row>
    <row r="1508" spans="7:15">
      <c r="G1508" s="25"/>
      <c r="O1508" s="25"/>
    </row>
    <row r="1509" spans="7:15">
      <c r="G1509" s="25"/>
      <c r="O1509" s="25"/>
    </row>
    <row r="1510" spans="7:15">
      <c r="G1510" s="25"/>
      <c r="O1510" s="25"/>
    </row>
    <row r="1511" spans="7:15">
      <c r="G1511" s="25"/>
      <c r="O1511" s="25"/>
    </row>
    <row r="1512" spans="7:15">
      <c r="G1512" s="25"/>
      <c r="O1512" s="25"/>
    </row>
    <row r="1513" spans="7:15">
      <c r="G1513" s="25"/>
      <c r="O1513" s="25"/>
    </row>
    <row r="1514" spans="7:15">
      <c r="G1514" s="25"/>
      <c r="O1514" s="25"/>
    </row>
    <row r="1515" spans="7:15">
      <c r="G1515" s="25"/>
      <c r="O1515" s="25"/>
    </row>
    <row r="1516" spans="7:15">
      <c r="G1516" s="25"/>
      <c r="O1516" s="25"/>
    </row>
    <row r="1517" spans="7:15">
      <c r="G1517" s="25"/>
      <c r="O1517" s="25"/>
    </row>
    <row r="1518" spans="7:15">
      <c r="G1518" s="25"/>
      <c r="O1518" s="25"/>
    </row>
    <row r="1519" spans="7:15">
      <c r="G1519" s="25"/>
      <c r="O1519" s="25"/>
    </row>
    <row r="1520" spans="7:15">
      <c r="G1520" s="25"/>
      <c r="O1520" s="25"/>
    </row>
    <row r="1521" spans="7:15">
      <c r="G1521" s="25"/>
      <c r="O1521" s="25"/>
    </row>
    <row r="1522" spans="7:15">
      <c r="G1522" s="25"/>
      <c r="O1522" s="25"/>
    </row>
    <row r="1523" spans="7:15">
      <c r="G1523" s="25"/>
      <c r="O1523" s="25"/>
    </row>
    <row r="1524" spans="7:15">
      <c r="G1524" s="25"/>
      <c r="O1524" s="25"/>
    </row>
    <row r="1525" spans="7:15">
      <c r="G1525" s="25"/>
      <c r="O1525" s="25"/>
    </row>
    <row r="1526" spans="7:15">
      <c r="G1526" s="25"/>
      <c r="O1526" s="25"/>
    </row>
    <row r="1527" spans="7:15">
      <c r="G1527" s="25"/>
      <c r="O1527" s="25"/>
    </row>
    <row r="1528" spans="7:15">
      <c r="G1528" s="25"/>
      <c r="O1528" s="25"/>
    </row>
    <row r="1529" spans="7:15">
      <c r="G1529" s="25"/>
      <c r="O1529" s="25"/>
    </row>
    <row r="1530" spans="7:15">
      <c r="G1530" s="25"/>
      <c r="O1530" s="25"/>
    </row>
    <row r="1531" spans="7:15">
      <c r="G1531" s="25"/>
      <c r="O1531" s="25"/>
    </row>
    <row r="1532" spans="7:15">
      <c r="G1532" s="25"/>
      <c r="O1532" s="25"/>
    </row>
    <row r="1533" spans="7:15">
      <c r="G1533" s="25"/>
      <c r="O1533" s="25"/>
    </row>
    <row r="1534" spans="7:15">
      <c r="G1534" s="25"/>
      <c r="O1534" s="25"/>
    </row>
    <row r="1535" spans="7:15">
      <c r="G1535" s="25"/>
      <c r="O1535" s="25"/>
    </row>
    <row r="1536" spans="7:15">
      <c r="G1536" s="25"/>
      <c r="O1536" s="25"/>
    </row>
    <row r="1537" spans="7:15">
      <c r="G1537" s="25"/>
      <c r="O1537" s="25"/>
    </row>
    <row r="1538" spans="7:15">
      <c r="G1538" s="25"/>
      <c r="O1538" s="25"/>
    </row>
    <row r="1539" spans="7:15">
      <c r="G1539" s="25"/>
      <c r="O1539" s="25"/>
    </row>
    <row r="1540" spans="7:15">
      <c r="G1540" s="25"/>
      <c r="O1540" s="25"/>
    </row>
    <row r="1541" spans="7:15">
      <c r="G1541" s="25"/>
      <c r="O1541" s="25"/>
    </row>
    <row r="1542" spans="7:15">
      <c r="G1542" s="25"/>
      <c r="O1542" s="25"/>
    </row>
    <row r="1543" spans="7:15">
      <c r="G1543" s="25"/>
      <c r="O1543" s="25"/>
    </row>
    <row r="1544" spans="7:15">
      <c r="G1544" s="25"/>
      <c r="O1544" s="25"/>
    </row>
    <row r="1545" spans="7:15">
      <c r="G1545" s="25"/>
      <c r="O1545" s="25"/>
    </row>
    <row r="1546" spans="7:15">
      <c r="G1546" s="25"/>
      <c r="O1546" s="25"/>
    </row>
    <row r="1547" spans="7:15">
      <c r="G1547" s="25"/>
      <c r="O1547" s="25"/>
    </row>
    <row r="1548" spans="7:15">
      <c r="G1548" s="25"/>
      <c r="O1548" s="25"/>
    </row>
    <row r="1549" spans="7:15">
      <c r="G1549" s="25"/>
      <c r="O1549" s="25"/>
    </row>
    <row r="1550" spans="7:15">
      <c r="G1550" s="25"/>
      <c r="O1550" s="25"/>
    </row>
    <row r="1551" spans="7:15">
      <c r="G1551" s="25"/>
      <c r="O1551" s="25"/>
    </row>
    <row r="1552" spans="7:15">
      <c r="G1552" s="25"/>
      <c r="O1552" s="25"/>
    </row>
    <row r="1553" spans="7:15">
      <c r="G1553" s="25"/>
      <c r="O1553" s="25"/>
    </row>
    <row r="1554" spans="7:15">
      <c r="G1554" s="25"/>
      <c r="O1554" s="25"/>
    </row>
    <row r="1555" spans="7:15">
      <c r="G1555" s="25"/>
      <c r="O1555" s="25"/>
    </row>
    <row r="1556" spans="7:15">
      <c r="G1556" s="25"/>
      <c r="O1556" s="25"/>
    </row>
    <row r="1557" spans="7:15">
      <c r="G1557" s="25"/>
      <c r="O1557" s="25"/>
    </row>
  </sheetData>
  <sortState xmlns:xlrd2="http://schemas.microsoft.com/office/spreadsheetml/2017/richdata2" ref="Q215:Q261">
    <sortCondition ref="Q215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3948-7FD9-4D33-AAA7-BDE5D55568DA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36E60-677E-467E-9C59-7853ADE8E695}">
  <dimension ref="A1"/>
  <sheetViews>
    <sheetView workbookViewId="0">
      <selection sqref="A1:XFD1048576"/>
    </sheetView>
  </sheetViews>
  <sheetFormatPr defaultColWidth="9.140625" defaultRowHeight="14.25"/>
  <cols>
    <col min="1" max="1" width="3" style="1" customWidth="1"/>
    <col min="2" max="16384" width="9.140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C31F-8910-447E-89B3-28B6120F3B0A}">
  <dimension ref="B2:Z8"/>
  <sheetViews>
    <sheetView workbookViewId="0">
      <selection activeCell="D15" sqref="D15"/>
    </sheetView>
  </sheetViews>
  <sheetFormatPr defaultColWidth="9.140625" defaultRowHeight="14.25"/>
  <cols>
    <col min="1" max="1" width="3.140625" style="1" customWidth="1"/>
    <col min="2" max="16384" width="9.140625" style="1"/>
  </cols>
  <sheetData>
    <row r="2" spans="2:26" ht="15">
      <c r="B2" s="3" t="s">
        <v>10</v>
      </c>
      <c r="C2" s="4"/>
      <c r="D2" s="4"/>
      <c r="E2" s="4"/>
      <c r="F2" s="4"/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ht="15">
      <c r="B3" s="7" t="s">
        <v>11</v>
      </c>
      <c r="C3" s="8"/>
      <c r="D3" s="8"/>
      <c r="E3" s="8"/>
      <c r="F3" s="9"/>
      <c r="G3" s="10" t="s">
        <v>12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2:26" ht="15">
      <c r="B4" s="12" t="s">
        <v>11</v>
      </c>
      <c r="C4" s="13"/>
      <c r="D4" s="13"/>
      <c r="E4" s="13"/>
      <c r="F4" s="14"/>
      <c r="G4" s="15" t="s">
        <v>13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6"/>
    </row>
    <row r="5" spans="2:26" ht="15">
      <c r="B5" s="12" t="s">
        <v>11</v>
      </c>
      <c r="C5" s="13"/>
      <c r="D5" s="13"/>
      <c r="E5" s="13"/>
      <c r="F5" s="14"/>
      <c r="G5" s="17" t="s">
        <v>12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8"/>
    </row>
    <row r="6" spans="2:26" ht="15">
      <c r="B6" s="12" t="s">
        <v>11</v>
      </c>
      <c r="C6" s="13"/>
      <c r="D6" s="13"/>
      <c r="E6" s="13"/>
      <c r="F6" s="14"/>
      <c r="G6" s="15" t="s">
        <v>13</v>
      </c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6"/>
    </row>
    <row r="7" spans="2:26" ht="15">
      <c r="B7" s="12" t="s">
        <v>11</v>
      </c>
      <c r="C7" s="13"/>
      <c r="D7" s="13"/>
      <c r="E7" s="13"/>
      <c r="F7" s="14"/>
      <c r="G7" s="17" t="s">
        <v>12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8"/>
    </row>
    <row r="8" spans="2:26" ht="15">
      <c r="B8" s="19" t="s">
        <v>11</v>
      </c>
      <c r="C8" s="20"/>
      <c r="D8" s="20"/>
      <c r="E8" s="20"/>
      <c r="F8" s="21"/>
      <c r="G8" s="22" t="s">
        <v>13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</vt:lpstr>
      <vt:lpstr>Model</vt:lpstr>
      <vt:lpstr>Notes | Quant Analysis</vt:lpstr>
      <vt:lpstr>Product Lines</vt:lpstr>
      <vt:lpstr>Management</vt:lpstr>
      <vt:lpstr>Table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Herrick</cp:lastModifiedBy>
  <dcterms:created xsi:type="dcterms:W3CDTF">2015-06-05T18:17:20Z</dcterms:created>
  <dcterms:modified xsi:type="dcterms:W3CDTF">2026-02-27T10:41:59Z</dcterms:modified>
</cp:coreProperties>
</file>