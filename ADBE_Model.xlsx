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F37FFD19-0125-4075-BDD1-DA8756428555}" xr6:coauthVersionLast="47" xr6:coauthVersionMax="47" xr10:uidLastSave="{00000000-0000-0000-0000-000000000000}"/>
  <bookViews>
    <workbookView xWindow="33390" yWindow="1470" windowWidth="21600" windowHeight="13185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3" i="3" l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21" i="3"/>
  <c r="L320" i="3" l="1"/>
  <c r="L319" i="3" s="1"/>
  <c r="L318" i="3" s="1"/>
  <c r="L317" i="3" s="1"/>
  <c r="L316" i="3" s="1"/>
  <c r="L315" i="3" s="1"/>
  <c r="L314" i="3" s="1"/>
  <c r="L313" i="3" s="1"/>
  <c r="L312" i="3" s="1"/>
  <c r="L311" i="3" s="1"/>
  <c r="L310" i="3" s="1"/>
  <c r="L309" i="3" s="1"/>
  <c r="L308" i="3" s="1"/>
  <c r="L307" i="3" s="1"/>
  <c r="L306" i="3" s="1"/>
  <c r="L305" i="3" s="1"/>
  <c r="L304" i="3" s="1"/>
  <c r="L303" i="3" s="1"/>
  <c r="L302" i="3" s="1"/>
  <c r="L301" i="3" s="1"/>
  <c r="L300" i="3" s="1"/>
  <c r="L299" i="3" s="1"/>
  <c r="L298" i="3" s="1"/>
  <c r="L297" i="3" s="1"/>
  <c r="L296" i="3" s="1"/>
  <c r="L295" i="3" s="1"/>
  <c r="L294" i="3" s="1"/>
  <c r="L293" i="3" s="1"/>
  <c r="L292" i="3" s="1"/>
  <c r="L291" i="3" s="1"/>
  <c r="L290" i="3" s="1"/>
  <c r="L289" i="3" s="1"/>
  <c r="L288" i="3" s="1"/>
  <c r="L287" i="3" s="1"/>
  <c r="L286" i="3" s="1"/>
  <c r="L285" i="3" s="1"/>
  <c r="L284" i="3" s="1"/>
  <c r="L283" i="3" s="1"/>
  <c r="L282" i="3" s="1"/>
  <c r="L281" i="3" s="1"/>
  <c r="L280" i="3" s="1"/>
  <c r="L279" i="3" s="1"/>
  <c r="L278" i="3" s="1"/>
  <c r="L277" i="3" s="1"/>
  <c r="L276" i="3" s="1"/>
  <c r="L275" i="3" s="1"/>
  <c r="L274" i="3" s="1"/>
  <c r="L273" i="3" s="1"/>
  <c r="L272" i="3" s="1"/>
  <c r="L271" i="3" s="1"/>
  <c r="L270" i="3" s="1"/>
  <c r="L269" i="3" s="1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K260" i="3" s="1"/>
  <c r="G1499" i="3"/>
  <c r="K258" i="3" l="1"/>
  <c r="K259" i="3"/>
  <c r="K261" i="3"/>
  <c r="K262" i="3"/>
  <c r="M322" i="3" s="1"/>
  <c r="M269" i="3" l="1"/>
  <c r="M293" i="3"/>
  <c r="M307" i="3"/>
  <c r="M359" i="3"/>
  <c r="M354" i="3"/>
  <c r="M349" i="3"/>
  <c r="M342" i="3"/>
  <c r="M351" i="3"/>
  <c r="M301" i="3"/>
  <c r="M289" i="3"/>
  <c r="M298" i="3"/>
  <c r="M309" i="3"/>
  <c r="M338" i="3"/>
  <c r="M310" i="3"/>
  <c r="M282" i="3"/>
  <c r="M356" i="3"/>
  <c r="M340" i="3"/>
  <c r="M353" i="3"/>
  <c r="M316" i="3"/>
  <c r="M343" i="3"/>
  <c r="M300" i="3"/>
  <c r="M296" i="3"/>
  <c r="M277" i="3"/>
  <c r="M291" i="3"/>
  <c r="M313" i="3"/>
  <c r="M365" i="3"/>
  <c r="M326" i="3"/>
  <c r="M281" i="3"/>
  <c r="M305" i="3"/>
  <c r="M358" i="3"/>
  <c r="M276" i="3"/>
  <c r="M288" i="3"/>
  <c r="M284" i="3"/>
  <c r="M302" i="3"/>
  <c r="M274" i="3"/>
  <c r="M374" i="3"/>
  <c r="M275" i="3"/>
  <c r="M327" i="3"/>
  <c r="M375" i="3"/>
  <c r="M332" i="3"/>
  <c r="M318" i="3"/>
  <c r="M352" i="3"/>
  <c r="M328" i="3"/>
  <c r="M360" i="3"/>
  <c r="M292" i="3"/>
  <c r="M279" i="3"/>
  <c r="M273" i="3"/>
  <c r="M366" i="3"/>
  <c r="M373" i="3"/>
  <c r="M311" i="3"/>
  <c r="M339" i="3"/>
  <c r="M336" i="3"/>
  <c r="M334" i="3"/>
  <c r="M306" i="3"/>
  <c r="M319" i="3"/>
  <c r="M361" i="3"/>
  <c r="M337" i="3"/>
  <c r="M369" i="3"/>
  <c r="M297" i="3"/>
  <c r="M278" i="3"/>
  <c r="M272" i="3"/>
  <c r="M303" i="3"/>
  <c r="M331" i="3"/>
  <c r="M308" i="3"/>
  <c r="M372" i="3"/>
  <c r="M345" i="3"/>
  <c r="M271" i="3"/>
  <c r="M299" i="3"/>
  <c r="M362" i="3"/>
  <c r="M364" i="3"/>
  <c r="M290" i="3"/>
  <c r="M341" i="3"/>
  <c r="M287" i="3"/>
  <c r="M270" i="3"/>
  <c r="M367" i="3"/>
  <c r="M348" i="3"/>
  <c r="M320" i="3"/>
  <c r="M324" i="3"/>
  <c r="M355" i="3"/>
  <c r="M335" i="3"/>
  <c r="M363" i="3"/>
  <c r="M370" i="3"/>
  <c r="M314" i="3"/>
  <c r="M357" i="3"/>
  <c r="M315" i="3"/>
  <c r="M312" i="3"/>
  <c r="M317" i="3"/>
  <c r="M346" i="3"/>
  <c r="M294" i="3"/>
  <c r="M325" i="3"/>
  <c r="M280" i="3"/>
  <c r="M285" i="3"/>
  <c r="M283" i="3"/>
  <c r="M371" i="3"/>
  <c r="M286" i="3"/>
  <c r="M321" i="3"/>
  <c r="M330" i="3"/>
  <c r="M304" i="3"/>
  <c r="M329" i="3"/>
  <c r="M323" i="3"/>
  <c r="M368" i="3"/>
  <c r="M344" i="3"/>
  <c r="M295" i="3"/>
  <c r="M347" i="3"/>
  <c r="M333" i="3"/>
  <c r="M350" i="3"/>
  <c r="C7" i="1" l="1"/>
  <c r="C6" i="1"/>
  <c r="DI80" i="2" l="1"/>
  <c r="DI86" i="2"/>
  <c r="DI84" i="2"/>
  <c r="DI79" i="2"/>
  <c r="DF78" i="2"/>
  <c r="DD78" i="2"/>
  <c r="DC78" i="2"/>
  <c r="DA78" i="2"/>
  <c r="DA79" i="2" s="1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S48" i="2"/>
  <c r="BR46" i="2"/>
  <c r="BQ46" i="2"/>
  <c r="CY46" i="2" s="1"/>
  <c r="BP46" i="2"/>
  <c r="BO46" i="2"/>
  <c r="BN46" i="2"/>
  <c r="BM46" i="2"/>
  <c r="BL46" i="2"/>
  <c r="BK46" i="2"/>
  <c r="BJ46" i="2"/>
  <c r="BI46" i="2"/>
  <c r="CW46" i="2" s="1"/>
  <c r="BH46" i="2"/>
  <c r="BG46" i="2"/>
  <c r="BF46" i="2"/>
  <c r="BE46" i="2"/>
  <c r="BD46" i="2"/>
  <c r="BC46" i="2"/>
  <c r="CV46" i="2" s="1"/>
  <c r="BB46" i="2"/>
  <c r="BA46" i="2"/>
  <c r="CU46" i="2" s="1"/>
  <c r="AZ46" i="2"/>
  <c r="AY46" i="2"/>
  <c r="BS4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DI26" i="2"/>
  <c r="DH26" i="2"/>
  <c r="DG26" i="2"/>
  <c r="DF26" i="2"/>
  <c r="DE26" i="2"/>
  <c r="DD26" i="2"/>
  <c r="DC26" i="2"/>
  <c r="DB26" i="2"/>
  <c r="DA26" i="2"/>
  <c r="CZ26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X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Y13" i="2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Y12" i="2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Y11" i="2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Y10" i="2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Y9" i="2"/>
  <c r="CZ9" i="2" s="1"/>
  <c r="DA9" i="2" s="1"/>
  <c r="DB9" i="2" s="1"/>
  <c r="DC9" i="2" s="1"/>
  <c r="DD9" i="2" s="1"/>
  <c r="DE9" i="2" s="1"/>
  <c r="DF9" i="2" s="1"/>
  <c r="DG9" i="2" s="1"/>
  <c r="DH9" i="2" s="1"/>
  <c r="DI9" i="2" s="1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Y8" i="2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Y7" i="2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Y5" i="2"/>
  <c r="CZ5" i="2" s="1"/>
  <c r="DA5" i="2" s="1"/>
  <c r="DB5" i="2" s="1"/>
  <c r="DC5" i="2" s="1"/>
  <c r="DD5" i="2" s="1"/>
  <c r="DE5" i="2" s="1"/>
  <c r="DF5" i="2" s="1"/>
  <c r="DG5" i="2" s="1"/>
  <c r="DH5" i="2" s="1"/>
  <c r="DI5" i="2" s="1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V4" i="2"/>
  <c r="CX4" i="2"/>
  <c r="CY4" i="2"/>
  <c r="CZ4" i="2" s="1"/>
  <c r="DA4" i="2" s="1"/>
  <c r="DB4" i="2" s="1"/>
  <c r="DC4" i="2" s="1"/>
  <c r="DD4" i="2" s="1"/>
  <c r="DE4" i="2" s="1"/>
  <c r="DF4" i="2" s="1"/>
  <c r="DG4" i="2" s="1"/>
  <c r="DH4" i="2" s="1"/>
  <c r="DI4" i="2" s="1"/>
  <c r="CW4" i="2"/>
  <c r="CU4" i="2"/>
  <c r="CU16" i="2" s="1"/>
  <c r="CT4" i="2"/>
  <c r="CS4" i="2"/>
  <c r="CR4" i="2"/>
  <c r="CQ4" i="2"/>
  <c r="CP4" i="2"/>
  <c r="CO4" i="2"/>
  <c r="CN4" i="2"/>
  <c r="CM4" i="2"/>
  <c r="CM16" i="2" s="1"/>
  <c r="CL4" i="2"/>
  <c r="CK4" i="2"/>
  <c r="CJ4" i="2"/>
  <c r="CK16" i="2" s="1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K263" i="3"/>
  <c r="C5" i="1"/>
  <c r="C8" i="1" s="1"/>
  <c r="DI81" i="2" l="1"/>
  <c r="DI83" i="2" s="1"/>
  <c r="DI85" i="2" s="1"/>
  <c r="DI87" i="2" s="1"/>
  <c r="DJ87" i="2" s="1"/>
  <c r="CN16" i="2"/>
  <c r="CQ16" i="2"/>
  <c r="CV16" i="2"/>
  <c r="CL16" i="2"/>
  <c r="CT16" i="2"/>
  <c r="CR16" i="2"/>
  <c r="CS16" i="2"/>
  <c r="CJ16" i="2"/>
  <c r="CW16" i="2"/>
  <c r="CO16" i="2"/>
  <c r="CP16" i="2"/>
  <c r="CX16" i="2"/>
  <c r="CZ6" i="2"/>
  <c r="DA6" i="2" s="1"/>
  <c r="DB6" i="2" s="1"/>
  <c r="DC6" i="2" s="1"/>
  <c r="DD6" i="2" s="1"/>
  <c r="DE6" i="2" s="1"/>
  <c r="DF6" i="2" s="1"/>
  <c r="DG6" i="2" s="1"/>
  <c r="DH6" i="2" s="1"/>
  <c r="DI6" i="2" s="1"/>
  <c r="DI14" i="2" s="1"/>
  <c r="CY16" i="2"/>
  <c r="CY28" i="2"/>
  <c r="P280" i="3"/>
  <c r="DH88" i="2" l="1" a="1"/>
  <c r="DH88" i="2" s="1"/>
  <c r="DE14" i="2"/>
  <c r="DF14" i="2"/>
  <c r="DH14" i="2"/>
  <c r="CZ14" i="2"/>
  <c r="DB14" i="2"/>
  <c r="DG14" i="2"/>
  <c r="DC14" i="2"/>
  <c r="DA14" i="2"/>
  <c r="DD14" i="2"/>
  <c r="P270" i="3"/>
  <c r="P269" i="3"/>
  <c r="P272" i="3"/>
  <c r="P279" i="3"/>
  <c r="P271" i="3"/>
  <c r="P282" i="3"/>
  <c r="P278" i="3"/>
  <c r="P274" i="3"/>
  <c r="P277" i="3"/>
  <c r="P281" i="3"/>
  <c r="P276" i="3"/>
  <c r="P273" i="3"/>
  <c r="P27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<sst xmlns="http://schemas.openxmlformats.org/spreadsheetml/2006/main" count="1573" uniqueCount="1536">
  <si>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</si>
  <si>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</si>
  <si>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</si>
  <si>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</si>
  <si>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</si>
  <si>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</si>
  <si>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</si>
  <si>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</si>
  <si>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</si>
  <si>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</si>
  <si>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</si>
  <si>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</si>
  <si>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</si>
  <si>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</si>
  <si>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[Company] Major Acquisitions (1990s - Present)</t>
  </si>
  <si>
    <t>19--'s</t>
  </si>
  <si>
    <t>2000s</t>
  </si>
  <si>
    <t>2010s</t>
  </si>
  <si>
    <t>2020s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</si>
  <si>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</si>
  <si>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</si>
  <si>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</si>
  <si>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</si>
  <si>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</si>
  <si>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</si>
  <si>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</si>
  <si>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</si>
  <si>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</si>
  <si>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</si>
  <si>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</si>
  <si>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</si>
  <si>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</si>
  <si>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</si>
  <si>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</si>
  <si>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</si>
  <si>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</si>
  <si>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</si>
  <si>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</si>
  <si>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</si>
  <si>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</si>
  <si>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</si>
  <si>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</si>
  <si>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</si>
  <si>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</si>
  <si>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</si>
  <si>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</si>
  <si>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</si>
  <si>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</si>
  <si>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</si>
  <si>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</si>
  <si>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</si>
  <si>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</si>
  <si>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</si>
  <si>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</si>
  <si>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</si>
  <si>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</si>
  <si>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</si>
  <si>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</si>
  <si>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</si>
  <si>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</si>
  <si>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</si>
  <si>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</si>
  <si>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</si>
  <si>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</si>
  <si>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</si>
  <si>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</si>
  <si>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</si>
  <si>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</si>
  <si>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</si>
  <si>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</si>
  <si>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</si>
  <si>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</si>
  <si>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</si>
  <si>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</si>
  <si>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</si>
  <si>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</si>
  <si>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</si>
  <si>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</si>
  <si>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</si>
  <si>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</si>
  <si>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</si>
  <si>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</si>
  <si>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</si>
  <si>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</si>
  <si>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</si>
  <si>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</si>
  <si>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</si>
  <si>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</si>
  <si>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</si>
  <si>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</si>
  <si>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</si>
  <si>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</si>
  <si>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</si>
  <si>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</si>
  <si>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</si>
  <si>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</si>
  <si>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</si>
  <si>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</si>
  <si>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</si>
  <si>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</si>
  <si>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</si>
  <si>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</si>
  <si>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</si>
  <si>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</si>
  <si>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</si>
  <si>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</si>
  <si>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</si>
  <si>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</si>
  <si>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</si>
  <si>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</si>
  <si>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</si>
  <si>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</si>
  <si>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</si>
  <si>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</si>
  <si>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</si>
  <si>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</si>
  <si>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</si>
  <si>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</si>
  <si>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</si>
  <si>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</si>
  <si>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</si>
  <si>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</si>
  <si>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</si>
  <si>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</si>
  <si>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</si>
  <si>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</si>
  <si>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</si>
  <si>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</si>
  <si>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</si>
  <si>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</si>
  <si>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</si>
  <si>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</si>
  <si>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</si>
  <si>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</si>
  <si>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</si>
  <si>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</si>
  <si>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</si>
  <si>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</si>
  <si>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</si>
  <si>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</si>
  <si>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</si>
  <si>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</si>
  <si>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</si>
  <si>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</si>
  <si>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</si>
  <si>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</si>
  <si>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</si>
  <si>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</si>
  <si>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</si>
  <si>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</si>
  <si>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</si>
  <si>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</si>
  <si>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</si>
  <si>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</si>
  <si>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</si>
  <si>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</si>
  <si>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</si>
  <si>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</si>
  <si>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</si>
  <si>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</si>
  <si>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</si>
  <si>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</si>
  <si>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</si>
  <si>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</si>
  <si>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</si>
  <si>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</si>
  <si>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</si>
  <si>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</si>
  <si>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</si>
  <si>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</si>
  <si>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</si>
  <si>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</si>
  <si>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</si>
  <si>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</si>
  <si>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</si>
  <si>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</si>
  <si>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</si>
  <si>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</si>
  <si>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</si>
  <si>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</si>
  <si>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</si>
  <si>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</si>
  <si>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</si>
  <si>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</si>
  <si>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</si>
  <si>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</si>
  <si>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</si>
  <si>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</si>
  <si>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</si>
  <si>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</si>
  <si>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</si>
  <si>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</si>
  <si>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</si>
  <si>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</si>
  <si>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</si>
  <si>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</si>
  <si>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</si>
  <si>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</si>
  <si>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</si>
  <si>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</si>
  <si>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</si>
  <si>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</si>
  <si>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</si>
  <si>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</si>
  <si>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</si>
  <si>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</si>
  <si>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</si>
  <si>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</si>
  <si>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</si>
  <si>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</si>
  <si>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</si>
  <si>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</si>
  <si>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</si>
  <si>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</si>
  <si>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</si>
  <si>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</si>
  <si>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</si>
  <si>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</si>
  <si>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</si>
  <si>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</si>
  <si>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</si>
  <si>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</si>
  <si>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</si>
  <si>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</si>
  <si>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</si>
  <si>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</si>
  <si>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</si>
  <si>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</si>
  <si>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</si>
  <si>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</si>
  <si>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</si>
  <si>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</si>
  <si>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</si>
  <si>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</si>
  <si>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ADBE</t>
  </si>
  <si>
    <t>Adobe Inc. (ADBE)</t>
  </si>
  <si>
    <t>9/21/25</t>
  </si>
  <si>
    <t>Founder(s): John Warnock and Charles Geschke</t>
  </si>
  <si>
    <t>Founded: 1982</t>
  </si>
  <si>
    <t>Headquarters: San Jose, CA</t>
  </si>
  <si>
    <t>Current CEO: Shantanu Narayen</t>
  </si>
  <si>
    <t>Employees: 30,700</t>
  </si>
  <si>
    <t>Industry: Software - Applications</t>
  </si>
  <si>
    <t>Sector:  Technology</t>
  </si>
  <si>
    <t>IPO: Aug 20, 1986</t>
  </si>
  <si>
    <t>Registered Exchange: NASDAQ</t>
  </si>
  <si>
    <t>Address: 345 Park Avenue, San Jose, CA 95110 US</t>
  </si>
  <si>
    <t>(408) 536 - 6000</t>
  </si>
  <si>
    <t>Fiscal Year: [January - December]</t>
  </si>
  <si>
    <t>https://www.sec.gov/edgar/browse/?CIK=796343&amp;owner=exclude</t>
  </si>
  <si>
    <t>https://www.adobe.com/</t>
  </si>
  <si>
    <t>https://www.adobe.com/investor-relations.html</t>
  </si>
  <si>
    <t>https://seekingalpha.com/symbol/ADBE/earnings/transcripts</t>
  </si>
  <si>
    <t>https://stockanalysis.com/stocks/adbe/company/</t>
  </si>
  <si>
    <t>https://www.macrotrends.net/stocks/charts/ADBE/adobe/income-statement?freq=A</t>
  </si>
  <si>
    <t>https://www.gurufocus.com/term/wacc/ADBE</t>
  </si>
  <si>
    <t>Founded in 1982 and headquartered in San Jose, California, Adobe Inc. is a leading global technology company focused on digital media, digital experience, and publishing solutions</t>
  </si>
  <si>
    <t>Digital Media (Approx. 74% of revenue)</t>
  </si>
  <si>
    <t>Core segment encompassing Creative Cloud and Document Cloud products</t>
  </si>
  <si>
    <t>Creative Cloud: Subscription-based service offering apps like Photoshop, Illustrator, Lightroom, Premiere Pro, Adobe Acrobat, Adobe Firefly (AI-powered creative tools), Adobe Express, and more for individuals, teams, and enterprises</t>
  </si>
  <si>
    <t>Document Cloud: Cloud-based document services platform integrating PDFs with Acrobat, Acrobat Sign (e-signatures), and workflow digitization</t>
  </si>
  <si>
    <t>Catered to photographers, designers, video editors, game developers, marketers, students, and consumers</t>
  </si>
  <si>
    <t>Digital Experience (Approx. 25% of revenue)</t>
  </si>
  <si>
    <t>Adobe Experience Cloud powers this segment with a comprehensive customer experience management platform</t>
  </si>
  <si>
    <t>Includes Adobe Analytics, Adobe Target, Adobe Experience Manager, Adobe Commerce, Adobe Audience Manager, and other marketing tools</t>
  </si>
  <si>
    <t>Enables brands to create, manage, optimize, and monetize customer experiences with real-time data analytics and AI-driven personalization</t>
  </si>
  <si>
    <t>Serves marketers, advertisers, agencies, merchants, data scientists, developers, and C-suite executives</t>
  </si>
  <si>
    <t>Focus on digital transformation for enterprises through end-to-end experience automation and content supply chain solutions</t>
  </si>
  <si>
    <t>Publishing and Advertising (Approx. 1-2% of revenue)</t>
  </si>
  <si>
    <t>Legacy products including e-learning, technical publishing, web conferencing, document and forms platforms, and Adobe Advertising</t>
  </si>
  <si>
    <t>Consulting, training, customer management, and support services</t>
  </si>
  <si>
    <t>Includes high-end printing technologies and Adobe PostScript/PDF standards licensing</t>
  </si>
  <si>
    <t>Dominant market share in creative software, backed by proprietary, industry-standard tools like Photoshop and Acrobat</t>
  </si>
  <si>
    <r>
      <t xml:space="preserve">Essentially a </t>
    </r>
    <r>
      <rPr>
        <b/>
        <sz val="11"/>
        <color theme="1"/>
        <rFont val="Calibre"/>
      </rPr>
      <t xml:space="preserve">monopoly in </t>
    </r>
    <r>
      <rPr>
        <sz val="11"/>
        <color theme="1"/>
        <rFont val="Calibre"/>
      </rPr>
      <t xml:space="preserve">the </t>
    </r>
    <r>
      <rPr>
        <b/>
        <sz val="11"/>
        <color theme="1"/>
        <rFont val="Calibre"/>
      </rPr>
      <t>enterprise graphic design</t>
    </r>
    <r>
      <rPr>
        <sz val="11"/>
        <color theme="1"/>
        <rFont val="Calibre"/>
      </rPr>
      <t xml:space="preserve"> market … </t>
    </r>
    <r>
      <rPr>
        <b/>
        <sz val="11"/>
        <color theme="1"/>
        <rFont val="Calibre"/>
      </rPr>
      <t>Figma is a legitemate competitor though</t>
    </r>
    <r>
      <rPr>
        <sz val="11"/>
        <color theme="1"/>
        <rFont val="Calibre"/>
      </rPr>
      <t xml:space="preserve"> … follow closely</t>
    </r>
  </si>
  <si>
    <t>Large, diversified global customer base including individuals, SMEs, large enterprises, and governments</t>
  </si>
  <si>
    <t>Strong competitive moat created by vast content ecosystems and entrenched user bases</t>
  </si>
  <si>
    <r>
      <t xml:space="preserve">Recurring subscription revenue model … Standard SAAS model </t>
    </r>
    <r>
      <rPr>
        <sz val="11"/>
        <color theme="1"/>
        <rFont val="Calibre"/>
      </rPr>
      <t xml:space="preserve">although ADBE is </t>
    </r>
    <r>
      <rPr>
        <b/>
        <sz val="11"/>
        <color theme="1"/>
        <rFont val="Calibre"/>
      </rPr>
      <t xml:space="preserve">known for particularly aggressive exit barrier </t>
    </r>
    <r>
      <rPr>
        <sz val="11"/>
        <color theme="1"/>
        <rFont val="Calibre"/>
      </rPr>
      <t>for consumers (retail and industry alike)</t>
    </r>
  </si>
  <si>
    <r>
      <t xml:space="preserve">The Company operates primarily through </t>
    </r>
    <r>
      <rPr>
        <b/>
        <sz val="11"/>
        <color theme="1"/>
        <rFont val="Calibre"/>
      </rPr>
      <t xml:space="preserve">three business segments: Digital Media, Digital Experience, </t>
    </r>
    <r>
      <rPr>
        <sz val="11"/>
        <color theme="1"/>
        <rFont val="Calibre"/>
      </rPr>
      <t>and</t>
    </r>
    <r>
      <rPr>
        <b/>
        <sz val="11"/>
        <color theme="1"/>
        <rFont val="Calibre"/>
      </rPr>
      <t xml:space="preserve"> Publishing &amp; Advertising</t>
    </r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</si>
  <si>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</si>
  <si>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</si>
  <si>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</si>
  <si>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</si>
  <si>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</si>
  <si>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</si>
  <si>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</si>
  <si>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</si>
  <si>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</si>
  <si>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</si>
  <si>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</si>
  <si>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</si>
  <si>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</si>
  <si>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</si>
  <si>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</si>
  <si>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</si>
  <si>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</si>
  <si>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</si>
  <si>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</si>
  <si>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</si>
  <si>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</si>
  <si>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</si>
  <si>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</si>
  <si>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</si>
  <si>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</si>
  <si>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</si>
  <si>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</si>
  <si>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</si>
  <si>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</si>
  <si>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</si>
  <si>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</si>
  <si>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</si>
  <si>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</si>
  <si>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</si>
  <si>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</si>
  <si>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</si>
  <si>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</si>
  <si>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</si>
  <si>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</si>
  <si>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</si>
  <si>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</si>
  <si>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</si>
  <si>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</si>
  <si>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</si>
  <si>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</si>
  <si>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</si>
  <si>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</si>
  <si>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</si>
  <si>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</si>
  <si>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</si>
  <si>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</si>
  <si>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</si>
  <si>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</si>
  <si>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</si>
  <si>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</si>
  <si>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</si>
  <si>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</si>
  <si>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</si>
  <si>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</si>
  <si>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</si>
  <si>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</si>
  <si>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</si>
  <si>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</si>
  <si>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</si>
  <si>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</si>
  <si>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</si>
  <si>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</si>
  <si>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</si>
  <si>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</si>
  <si>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</si>
  <si>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</si>
  <si>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</si>
  <si>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</si>
  <si>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</si>
  <si>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</si>
  <si>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</si>
  <si>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</si>
  <si>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</si>
  <si>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</si>
  <si>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</si>
  <si>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</si>
  <si>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</si>
  <si>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</si>
  <si>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</si>
  <si>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</si>
  <si>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</si>
  <si>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</si>
  <si>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</si>
  <si>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</si>
  <si>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</si>
  <si>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</si>
  <si>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</si>
  <si>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</si>
  <si>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</si>
  <si>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</si>
  <si>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</si>
  <si>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</si>
  <si>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</si>
  <si>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</si>
  <si>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</si>
  <si>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</si>
  <si>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</si>
  <si>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</si>
  <si>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</si>
  <si>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</si>
  <si>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</si>
  <si>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</si>
  <si>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</si>
  <si>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</si>
  <si>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</si>
  <si>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</si>
  <si>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</si>
  <si>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</si>
  <si>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</si>
  <si>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</si>
  <si>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</si>
  <si>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</si>
  <si>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</si>
  <si>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</si>
  <si>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</si>
  <si>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</si>
  <si>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</si>
  <si>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</si>
  <si>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</si>
  <si>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</si>
  <si>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</si>
  <si>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</si>
  <si>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</si>
  <si>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</si>
  <si>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</si>
  <si>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</si>
  <si>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</si>
  <si>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</si>
  <si>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</si>
  <si>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</si>
  <si>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</si>
  <si>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</si>
  <si>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</si>
  <si>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</si>
  <si>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</si>
  <si>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</si>
  <si>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</si>
  <si>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</si>
  <si>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</si>
  <si>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</si>
  <si>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</si>
  <si>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</si>
  <si>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</si>
  <si>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</si>
  <si>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</si>
  <si>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</si>
  <si>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</si>
  <si>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</si>
  <si>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</si>
  <si>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</si>
  <si>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</si>
  <si>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</si>
  <si>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</si>
  <si>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</si>
  <si>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</si>
  <si>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</si>
  <si>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</si>
  <si>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</si>
  <si>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</si>
  <si>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</si>
  <si>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</si>
  <si>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</si>
  <si>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</si>
  <si>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</si>
  <si>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</si>
  <si>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</si>
  <si>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</si>
  <si>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</si>
  <si>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</si>
  <si>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</si>
  <si>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</si>
  <si>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</si>
  <si>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</si>
  <si>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</si>
  <si>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</si>
  <si>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</si>
  <si>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</si>
  <si>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</si>
  <si>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</si>
  <si>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</si>
  <si>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</si>
  <si>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</si>
  <si>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</si>
  <si>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</si>
  <si>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</si>
  <si>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</si>
  <si>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</si>
  <si>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</si>
  <si>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</si>
  <si>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</si>
  <si>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</si>
  <si>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</si>
  <si>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</si>
  <si>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</si>
  <si>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</si>
  <si>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</si>
  <si>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</si>
  <si>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</si>
  <si>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</si>
  <si>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</si>
  <si>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</si>
  <si>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</si>
  <si>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</si>
  <si>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</si>
  <si>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</si>
  <si>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</si>
  <si>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</si>
  <si>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</si>
  <si>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</si>
  <si>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</si>
  <si>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</si>
  <si>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</si>
  <si>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</si>
  <si>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</si>
  <si>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</si>
  <si>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</si>
  <si>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</si>
  <si>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</si>
  <si>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</si>
  <si>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</si>
  <si>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</si>
  <si>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</si>
  <si>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</si>
  <si>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</si>
  <si>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</si>
  <si>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</si>
  <si>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</si>
  <si>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</si>
  <si>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</si>
  <si>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</si>
  <si>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</si>
  <si>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</si>
  <si>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</si>
  <si>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</si>
  <si>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</si>
  <si>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</si>
  <si>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</si>
  <si>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</si>
  <si>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</si>
  <si>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</si>
  <si>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</si>
  <si>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</si>
  <si>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</si>
  <si>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</si>
  <si>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</si>
  <si>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</si>
  <si>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</si>
  <si>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</si>
  <si>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</si>
  <si>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</si>
  <si>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</si>
  <si>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</si>
  <si>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</si>
  <si>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</si>
  <si>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</si>
  <si>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</si>
  <si>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</si>
  <si>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</si>
  <si>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</si>
  <si>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</si>
  <si>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</si>
  <si>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</si>
  <si>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</si>
  <si>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</si>
  <si>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</si>
  <si>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</si>
  <si>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</si>
  <si>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</si>
  <si>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</si>
  <si>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</si>
  <si>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</si>
  <si>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</si>
  <si>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</si>
  <si>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</si>
  <si>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</si>
  <si>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</si>
  <si>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</si>
  <si>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</si>
  <si>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</si>
  <si>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</si>
  <si>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</si>
  <si>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</si>
  <si>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</si>
  <si>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</si>
  <si>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</si>
  <si>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</si>
  <si>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</si>
  <si>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</si>
  <si>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</si>
  <si>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</si>
  <si>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</si>
  <si>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</si>
  <si>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</si>
  <si>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</si>
  <si>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</si>
  <si>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</si>
  <si>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</si>
  <si>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</si>
  <si>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</si>
  <si>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</si>
  <si>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</si>
  <si>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</si>
  <si>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</si>
  <si>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</si>
  <si>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</si>
  <si>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</si>
  <si>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</si>
  <si>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</si>
  <si>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</si>
  <si>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</si>
  <si>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</si>
  <si>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</si>
  <si>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</si>
  <si>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</si>
  <si>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</si>
  <si>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</si>
  <si>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</si>
  <si>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</si>
  <si>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</si>
  <si>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</si>
  <si>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</si>
  <si>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</si>
  <si>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</si>
  <si>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</si>
  <si>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</si>
  <si>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</si>
  <si>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</si>
  <si>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</si>
  <si>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</si>
  <si>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</si>
  <si>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</si>
  <si>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</si>
  <si>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</si>
  <si>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</si>
  <si>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</si>
  <si>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</si>
  <si>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</si>
  <si>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</si>
  <si>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</si>
  <si>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</si>
  <si>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</si>
  <si>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</si>
  <si>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</si>
  <si>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</si>
  <si>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</si>
  <si>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</si>
  <si>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</si>
  <si>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</si>
  <si>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</si>
  <si>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</si>
  <si>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</si>
  <si>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</si>
  <si>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</si>
  <si>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</si>
  <si>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</si>
  <si>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</si>
  <si>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</si>
  <si>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</si>
  <si>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</si>
  <si>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</si>
  <si>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</si>
  <si>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</si>
  <si>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</si>
  <si>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</si>
  <si>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</si>
  <si>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</si>
  <si>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</si>
  <si>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</si>
  <si>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</si>
  <si>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</si>
  <si>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</si>
  <si>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</si>
  <si>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</si>
  <si>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</si>
  <si>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</si>
  <si>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</si>
  <si>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</si>
  <si>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</si>
  <si>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</si>
  <si>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</si>
  <si>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</si>
  <si>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</si>
  <si>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</si>
  <si>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</si>
  <si>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</si>
  <si>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</si>
  <si>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</si>
  <si>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</si>
  <si>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</si>
  <si>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</si>
  <si>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</si>
  <si>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</si>
  <si>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</si>
  <si>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</si>
  <si>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</si>
  <si>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</si>
  <si>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</si>
  <si>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</si>
  <si>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</si>
  <si>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</si>
  <si>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</si>
  <si>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</si>
  <si>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</si>
  <si>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</si>
  <si>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</si>
  <si>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</si>
  <si>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</si>
  <si>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</si>
  <si>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</si>
  <si>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</si>
  <si>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</si>
  <si>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</si>
  <si>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</si>
  <si>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</si>
  <si>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</si>
  <si>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</si>
  <si>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</si>
  <si>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</si>
  <si>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</si>
  <si>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</si>
  <si>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</si>
  <si>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</si>
  <si>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</si>
  <si>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</si>
  <si>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</si>
  <si>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</si>
  <si>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</si>
  <si>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</si>
  <si>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</si>
  <si>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</si>
  <si>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</si>
  <si>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</si>
  <si>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</si>
  <si>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</si>
  <si>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</si>
  <si>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</si>
  <si>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</si>
  <si>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</si>
  <si>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</si>
  <si>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</si>
  <si>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</si>
  <si>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</si>
  <si>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</si>
  <si>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</si>
  <si>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</si>
  <si>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</si>
  <si>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</si>
  <si>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</si>
  <si>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</si>
  <si>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</si>
  <si>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</si>
  <si>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</si>
  <si>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</si>
  <si>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</si>
  <si>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</si>
  <si>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</si>
  <si>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</si>
  <si>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</si>
  <si>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</si>
  <si>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</si>
  <si>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</si>
  <si>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</si>
  <si>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</si>
  <si>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</si>
  <si>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</si>
  <si>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</si>
  <si>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</si>
  <si>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</si>
  <si>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</si>
  <si>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</si>
  <si>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</si>
  <si>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</si>
  <si>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</si>
  <si>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</si>
  <si>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</si>
  <si>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</si>
  <si>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</si>
  <si>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</si>
  <si>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</si>
  <si>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</si>
  <si>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</si>
  <si>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</si>
  <si>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</si>
  <si>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</si>
  <si>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</si>
  <si>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</si>
  <si>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</si>
  <si>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</si>
  <si>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</si>
  <si>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</si>
  <si>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</si>
  <si>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</si>
  <si>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</si>
  <si>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</si>
  <si>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</si>
  <si>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</si>
  <si>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</si>
  <si>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</si>
  <si>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</si>
  <si>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</si>
  <si>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</si>
  <si>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</si>
  <si>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</si>
  <si>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</si>
  <si>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</si>
  <si>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</si>
  <si>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</si>
  <si>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</si>
  <si>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</si>
  <si>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</si>
  <si>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</si>
  <si>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</si>
  <si>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</si>
  <si>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</si>
  <si>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</si>
  <si>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</si>
  <si>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</si>
  <si>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</si>
  <si>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</si>
  <si>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</si>
  <si>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</si>
  <si>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</si>
  <si>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</si>
  <si>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</si>
  <si>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</si>
  <si>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</si>
  <si>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</si>
  <si>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</si>
  <si>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</si>
  <si>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</si>
  <si>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</si>
  <si>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</si>
  <si>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</si>
  <si>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</si>
  <si>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</si>
  <si>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</si>
  <si>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</si>
  <si>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</si>
  <si>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</si>
  <si>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</si>
  <si>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</si>
  <si>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</si>
  <si>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</si>
  <si>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</si>
  <si>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</si>
  <si>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</si>
  <si>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</si>
  <si>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</si>
  <si>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</si>
  <si>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</si>
  <si>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</si>
  <si>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</si>
  <si>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</si>
  <si>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</si>
  <si>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</si>
  <si>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</si>
  <si>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</si>
  <si>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</si>
  <si>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</si>
  <si>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</si>
  <si>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</si>
  <si>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</si>
  <si>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</si>
  <si>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</si>
  <si>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</si>
  <si>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</si>
  <si>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</si>
  <si>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</si>
  <si>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</si>
  <si>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</si>
  <si>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</si>
  <si>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</si>
  <si>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</si>
  <si>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</si>
  <si>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</si>
  <si>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</si>
  <si>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</si>
  <si>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</si>
  <si>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</si>
  <si>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</si>
  <si>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</si>
  <si>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</si>
  <si>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</si>
  <si>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</si>
  <si>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</si>
  <si>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</si>
  <si>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</si>
  <si>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</si>
  <si>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</si>
  <si>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</si>
  <si>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</si>
  <si>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</si>
  <si>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</si>
  <si>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</si>
  <si>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</si>
  <si>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</si>
  <si>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</si>
  <si>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</si>
  <si>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</si>
  <si>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</si>
  <si>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</si>
  <si>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</si>
  <si>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</si>
  <si>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</si>
  <si>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</si>
  <si>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</si>
  <si>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</si>
  <si>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</si>
  <si>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</si>
  <si>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</si>
  <si>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</si>
  <si>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</si>
  <si>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</si>
  <si>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</si>
  <si>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</si>
  <si>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</si>
  <si>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</si>
  <si>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</si>
  <si>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</si>
  <si>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</si>
  <si>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</si>
  <si>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</si>
  <si>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</si>
  <si>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</si>
  <si>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</si>
  <si>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</si>
  <si>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</si>
  <si>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</si>
  <si>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</si>
  <si>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</si>
  <si>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</si>
  <si>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</si>
  <si>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</si>
  <si>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</si>
  <si>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</si>
  <si>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</si>
  <si>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</si>
  <si>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</si>
  <si>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</si>
  <si>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</si>
  <si>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</si>
  <si>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</si>
  <si>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</si>
  <si>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</si>
  <si>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</si>
  <si>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</si>
  <si>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</si>
  <si>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</si>
  <si>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</si>
  <si>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</si>
  <si>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</si>
  <si>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</si>
  <si>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</si>
  <si>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</si>
  <si>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</si>
  <si>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</si>
  <si>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</si>
  <si>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</si>
  <si>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</si>
  <si>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</si>
  <si>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</si>
  <si>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</si>
  <si>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</si>
  <si>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</si>
  <si>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</si>
  <si>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</si>
  <si>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</si>
  <si>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</si>
  <si>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</si>
  <si>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</si>
  <si>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</si>
  <si>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</si>
  <si>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</si>
  <si>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</si>
  <si>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</si>
  <si>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</si>
  <si>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</si>
  <si>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</si>
  <si>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</si>
  <si>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</si>
  <si>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</si>
  <si>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</si>
  <si>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</si>
  <si>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</si>
  <si>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</si>
  <si>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</si>
  <si>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</si>
  <si>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</si>
  <si>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</si>
  <si>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</si>
  <si>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</si>
  <si>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</si>
  <si>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</si>
  <si>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</si>
  <si>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</si>
  <si>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</si>
  <si>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</si>
  <si>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</si>
  <si>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</si>
  <si>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</si>
  <si>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</si>
  <si>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</si>
  <si>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</si>
  <si>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</si>
  <si>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</si>
  <si>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</si>
  <si>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</si>
  <si>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</si>
  <si>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</si>
  <si>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</si>
  <si>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</si>
  <si>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</si>
  <si>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</si>
  <si>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</si>
  <si>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</si>
  <si>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</si>
  <si>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</si>
  <si>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</si>
  <si>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</si>
  <si>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</si>
  <si>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</si>
  <si>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</si>
  <si>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</si>
  <si>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</si>
  <si>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</si>
  <si>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</si>
  <si>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</si>
  <si>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</si>
  <si>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</si>
  <si>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</si>
  <si>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</si>
  <si>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</si>
  <si>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</si>
  <si>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</si>
  <si>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</si>
  <si>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</si>
  <si>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</si>
  <si>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</si>
  <si>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</si>
  <si>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</si>
  <si>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</si>
  <si>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</si>
  <si>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</si>
  <si>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</si>
  <si>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</si>
  <si>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</si>
  <si>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</si>
  <si>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</si>
  <si>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</si>
  <si>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</si>
  <si>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</si>
  <si>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</si>
  <si>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</si>
  <si>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</si>
  <si>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</si>
  <si>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</si>
  <si>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</si>
  <si>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</si>
  <si>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</si>
  <si>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</si>
  <si>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</si>
  <si>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</si>
  <si>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</si>
  <si>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</si>
  <si>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</si>
  <si>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</si>
  <si>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</si>
  <si>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</si>
  <si>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</si>
  <si>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</si>
  <si>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</si>
  <si>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</si>
  <si>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</si>
  <si>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</si>
  <si>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</si>
  <si>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</si>
  <si>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</si>
  <si>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</si>
  <si>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</si>
  <si>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</si>
  <si>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</si>
  <si>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</si>
  <si>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</si>
  <si>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</si>
  <si>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</si>
  <si>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</si>
  <si>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</si>
  <si>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</si>
  <si>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</si>
  <si>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</si>
  <si>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</si>
  <si>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</si>
  <si>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</si>
  <si>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</si>
  <si>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</si>
  <si>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</si>
  <si>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</si>
  <si>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</si>
  <si>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</si>
  <si>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</si>
  <si>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</si>
  <si>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</si>
  <si>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</si>
  <si>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</si>
  <si>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</si>
  <si>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</si>
  <si>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</si>
  <si>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</si>
  <si>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</si>
  <si>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</si>
  <si>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</si>
  <si>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</si>
  <si>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</si>
  <si>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</si>
  <si>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</si>
  <si>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</si>
  <si>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</si>
  <si>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</si>
  <si>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</si>
  <si>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</si>
  <si>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</si>
  <si>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</si>
  <si>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</si>
  <si>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</si>
  <si>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</si>
  <si>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</si>
  <si>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</si>
  <si>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</si>
  <si>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</si>
  <si>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</si>
  <si>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</si>
  <si>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</si>
  <si>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</si>
  <si>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</si>
  <si>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</si>
  <si>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</si>
  <si>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</si>
  <si>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</si>
  <si>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</si>
  <si>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</si>
  <si>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</si>
  <si>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</si>
  <si>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</si>
  <si>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</si>
  <si>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</si>
  <si>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</si>
  <si>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</si>
  <si>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</si>
  <si>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</si>
  <si>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</si>
  <si>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</si>
  <si>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</si>
  <si>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</si>
  <si>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</si>
  <si>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</si>
  <si>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</si>
  <si>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</si>
  <si>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</si>
  <si>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</si>
  <si>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</si>
  <si>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</si>
  <si>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</si>
  <si>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</si>
  <si>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</si>
  <si>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</si>
  <si>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</si>
  <si>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</si>
  <si>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</si>
  <si>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</si>
  <si>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</si>
  <si>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</si>
  <si>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</si>
  <si>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</si>
  <si>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</si>
  <si>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</si>
  <si>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</si>
  <si>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</si>
  <si>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</si>
  <si>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</si>
  <si>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</si>
  <si>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</si>
  <si>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</si>
  <si>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</si>
  <si>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</si>
  <si>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</si>
  <si>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</si>
  <si>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</si>
  <si>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</si>
  <si>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</si>
  <si>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</si>
  <si>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</si>
  <si>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</si>
  <si>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</si>
  <si>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</si>
  <si>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</si>
  <si>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</si>
  <si>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</si>
  <si>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</si>
  <si>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</si>
  <si>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</si>
  <si>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</si>
  <si>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</si>
  <si>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</si>
  <si>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</si>
  <si>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</si>
  <si>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</si>
  <si>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</si>
  <si>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</si>
  <si>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</si>
  <si>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</si>
  <si>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</si>
  <si>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</si>
  <si>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</si>
  <si>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</si>
  <si>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</si>
  <si>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</si>
  <si>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</si>
  <si>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</si>
  <si>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</si>
  <si>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</si>
  <si>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</si>
  <si>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</si>
  <si>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</si>
  <si>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</si>
  <si>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</si>
  <si>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</si>
  <si>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</si>
  <si>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</si>
  <si>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</si>
  <si>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</si>
  <si>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</si>
  <si>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</si>
  <si>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</si>
  <si>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</si>
  <si>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</si>
  <si>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</si>
  <si>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</si>
  <si>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</si>
  <si>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</si>
  <si>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</si>
  <si>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</si>
  <si>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</si>
  <si>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</si>
  <si>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</si>
  <si>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</si>
  <si>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</si>
  <si>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</si>
  <si>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</si>
  <si>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</si>
  <si>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</si>
  <si>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</si>
  <si>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</si>
  <si>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</si>
  <si>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</si>
  <si>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</si>
  <si>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</si>
  <si>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</si>
  <si>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</si>
  <si>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</si>
  <si>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</si>
  <si>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</si>
  <si>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</si>
  <si>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</si>
  <si>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</si>
  <si>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</si>
  <si>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</si>
  <si>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</si>
  <si>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</si>
  <si>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</si>
  <si>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</si>
  <si>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</si>
  <si>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</si>
  <si>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</si>
  <si>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</si>
  <si>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</si>
  <si>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</si>
  <si>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</si>
  <si>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</si>
  <si>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</si>
  <si>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</si>
  <si>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</si>
  <si>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</si>
  <si>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</si>
  <si>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</si>
  <si>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</si>
  <si>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</si>
  <si>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</si>
  <si>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</si>
  <si>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</si>
  <si>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</si>
  <si>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</si>
  <si>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</si>
  <si>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</si>
  <si>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</si>
  <si>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</si>
  <si>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</si>
  <si>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</si>
  <si>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</si>
  <si>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</si>
  <si>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</si>
  <si>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</si>
  <si>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</si>
  <si>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</si>
  <si>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</si>
  <si>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</si>
  <si>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</si>
  <si>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</si>
  <si>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</si>
  <si>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</si>
  <si>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</si>
  <si>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</si>
  <si>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</si>
  <si>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</si>
  <si>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</si>
  <si>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</si>
  <si>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</si>
  <si>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</si>
  <si>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</si>
  <si>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</si>
  <si>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</si>
  <si>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</si>
  <si>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</si>
  <si>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</si>
  <si>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</si>
  <si>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</si>
  <si>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</si>
  <si>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</si>
  <si>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</si>
  <si>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</si>
  <si>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</si>
  <si>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</si>
  <si>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</si>
  <si>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</si>
  <si>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</si>
  <si>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</si>
  <si>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</si>
  <si>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</si>
  <si>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</si>
  <si>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</si>
  <si>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</si>
  <si>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</si>
  <si>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</si>
  <si>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</si>
  <si>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</si>
  <si>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</si>
  <si>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</si>
  <si>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</si>
  <si>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</si>
  <si>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</si>
  <si>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</si>
  <si>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</si>
  <si>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</si>
  <si>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</si>
  <si>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</si>
  <si>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</si>
  <si>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</si>
  <si>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</si>
  <si>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</si>
  <si>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</si>
  <si>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</si>
  <si>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</si>
  <si>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</si>
  <si>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</si>
  <si>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</si>
  <si>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</si>
  <si>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</si>
  <si>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</si>
  <si>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</si>
  <si>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</si>
  <si>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</si>
  <si>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</si>
  <si>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</si>
  <si>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</si>
  <si>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</si>
  <si>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</si>
  <si>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</si>
  <si>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</si>
  <si>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</si>
  <si>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</si>
  <si>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</si>
  <si>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</si>
  <si>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</si>
  <si>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</si>
  <si>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</si>
  <si>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</si>
  <si>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</si>
  <si>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</si>
  <si>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</si>
  <si>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</si>
  <si>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</si>
  <si>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</si>
  <si>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</si>
  <si>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</si>
  <si>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</si>
  <si>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</si>
  <si>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</si>
  <si>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</si>
  <si>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</si>
  <si>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</si>
  <si>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</si>
  <si>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</si>
  <si>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</si>
  <si>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</si>
  <si>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</si>
  <si>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</si>
  <si>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</si>
  <si>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</si>
  <si>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</si>
  <si>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</si>
  <si>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</si>
  <si>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</si>
  <si>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</si>
  <si>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</si>
  <si>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</si>
  <si>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</si>
  <si>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</si>
  <si>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</si>
  <si>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</si>
  <si>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</si>
  <si>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</si>
  <si>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</si>
  <si>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</si>
  <si>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</si>
  <si>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</si>
  <si>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</si>
  <si>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</si>
  <si>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</si>
  <si>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</si>
  <si>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</si>
  <si>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</si>
  <si>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</si>
  <si>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</si>
  <si>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</si>
  <si>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</si>
  <si>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</si>
  <si>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</si>
  <si>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</si>
  <si>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</si>
  <si>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</si>
  <si>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</si>
  <si>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</si>
  <si>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</si>
  <si>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</si>
  <si>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</si>
  <si>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</si>
  <si>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</si>
  <si>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</si>
  <si>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</si>
  <si>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</si>
  <si>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</si>
  <si>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</si>
  <si>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</si>
  <si>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</si>
  <si>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</si>
  <si>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</si>
  <si>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</si>
  <si>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</si>
  <si>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</si>
  <si>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</si>
  <si>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</si>
  <si>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</si>
  <si>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</si>
  <si>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</si>
  <si>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</si>
  <si>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</si>
  <si>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</si>
  <si>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</si>
  <si>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</si>
  <si>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</si>
  <si>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</si>
  <si>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</si>
  <si>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</si>
  <si>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</si>
  <si>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</si>
  <si>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</si>
  <si>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</si>
  <si>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</si>
  <si>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</si>
  <si>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</si>
  <si>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</si>
  <si>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</si>
  <si>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</si>
  <si>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</si>
  <si>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</si>
  <si>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</si>
  <si>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</si>
  <si>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</si>
  <si>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</si>
  <si>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</si>
  <si>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</si>
  <si>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</si>
  <si>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</si>
  <si>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</si>
  <si>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</si>
  <si>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</si>
  <si>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</si>
  <si>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</si>
  <si>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</si>
  <si>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</si>
  <si>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</si>
  <si>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</si>
  <si>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</si>
  <si>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</si>
  <si>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</si>
  <si>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</si>
  <si>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</si>
  <si>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</si>
  <si>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</si>
  <si>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</si>
  <si>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</si>
  <si>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</si>
  <si>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</si>
  <si>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</si>
  <si>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</si>
  <si>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</si>
  <si>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</si>
  <si>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</si>
  <si>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</si>
  <si>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</si>
  <si>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</si>
  <si>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</si>
  <si>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</si>
  <si>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</si>
  <si>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</si>
  <si>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</si>
  <si>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</si>
  <si>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</si>
  <si>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</si>
  <si>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</si>
  <si>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</si>
  <si>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</si>
  <si>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</si>
  <si>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</si>
  <si>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</si>
  <si>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</si>
  <si>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</si>
  <si>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</si>
  <si>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</si>
  <si>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</si>
  <si>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</si>
  <si>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</si>
  <si>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</si>
  <si>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</si>
  <si>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</si>
  <si>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</si>
  <si>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</si>
  <si>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</si>
  <si>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</si>
  <si>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</si>
  <si>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</si>
  <si>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r>
      <t xml:space="preserve">1256 Trading Days? (From: </t>
    </r>
    <r>
      <rPr>
        <i/>
        <sz val="11"/>
        <color theme="1"/>
        <rFont val="Calibre"/>
      </rPr>
      <t>9/21/2020 - 9/21/2025</t>
    </r>
    <r>
      <rPr>
        <sz val="11"/>
        <color theme="1"/>
        <rFont val="Calibre"/>
      </rPr>
      <t>)</t>
    </r>
  </si>
  <si>
    <t>More</t>
  </si>
  <si>
    <t xml:space="preserve">Financial Stmts. Notes/Observations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</si>
</sst>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u/>
      <sz val="11"/>
      <color rgb="FF00B0F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164" fontId="2" fillId="0" borderId="0" xfId="0" applyNumberFormat="1" applyFont="1" applyAlignment="1">
      <alignment horizontal="right" indent="1"/>
    </xf>
    <xf numFmtId="0" fontId="16" fillId="0" borderId="0" xfId="3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64" fontId="2" fillId="0" borderId="0" xfId="2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8" fillId="0" borderId="0" xfId="3" applyFont="1"/>
    <xf numFmtId="0" fontId="19" fillId="0" borderId="0" xfId="0" applyFont="1"/>
    <xf numFmtId="10" fontId="2" fillId="0" borderId="0" xfId="1" applyNumberFormat="1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7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(ADBE)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(ADBE)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(ADBE)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Analysis'!$I$267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Analysis'!$I$269:$I$373</c:f>
              <c:numCache>
                <c:formatCode>0.00%</c:formatCode>
                <c:ptCount val="105"/>
                <c:pt idx="0">
                  <c:v>-5.2000000000000039E-2</c:v>
                </c:pt>
                <c:pt idx="1">
                  <c:v>-5.1000000000000038E-2</c:v>
                </c:pt>
                <c:pt idx="2">
                  <c:v>-5.0000000000000037E-2</c:v>
                </c:pt>
                <c:pt idx="3">
                  <c:v>-4.9000000000000037E-2</c:v>
                </c:pt>
                <c:pt idx="4">
                  <c:v>-4.8000000000000036E-2</c:v>
                </c:pt>
                <c:pt idx="5">
                  <c:v>-4.7000000000000035E-2</c:v>
                </c:pt>
                <c:pt idx="6">
                  <c:v>-4.6000000000000034E-2</c:v>
                </c:pt>
                <c:pt idx="7">
                  <c:v>-4.5000000000000033E-2</c:v>
                </c:pt>
                <c:pt idx="8">
                  <c:v>-4.4000000000000032E-2</c:v>
                </c:pt>
                <c:pt idx="9">
                  <c:v>-4.3000000000000031E-2</c:v>
                </c:pt>
                <c:pt idx="10">
                  <c:v>-4.200000000000003E-2</c:v>
                </c:pt>
                <c:pt idx="11">
                  <c:v>-4.1000000000000029E-2</c:v>
                </c:pt>
                <c:pt idx="12">
                  <c:v>-4.0000000000000029E-2</c:v>
                </c:pt>
                <c:pt idx="13">
                  <c:v>-3.9000000000000028E-2</c:v>
                </c:pt>
                <c:pt idx="14">
                  <c:v>-3.8000000000000027E-2</c:v>
                </c:pt>
                <c:pt idx="15">
                  <c:v>-3.7000000000000026E-2</c:v>
                </c:pt>
                <c:pt idx="16">
                  <c:v>-3.6000000000000025E-2</c:v>
                </c:pt>
                <c:pt idx="17">
                  <c:v>-3.5000000000000024E-2</c:v>
                </c:pt>
                <c:pt idx="18">
                  <c:v>-3.4000000000000023E-2</c:v>
                </c:pt>
                <c:pt idx="19">
                  <c:v>-3.3000000000000022E-2</c:v>
                </c:pt>
                <c:pt idx="20">
                  <c:v>-3.2000000000000021E-2</c:v>
                </c:pt>
                <c:pt idx="21">
                  <c:v>-3.1000000000000021E-2</c:v>
                </c:pt>
                <c:pt idx="22">
                  <c:v>-3.000000000000002E-2</c:v>
                </c:pt>
                <c:pt idx="23">
                  <c:v>-2.9000000000000019E-2</c:v>
                </c:pt>
                <c:pt idx="24">
                  <c:v>-2.8000000000000018E-2</c:v>
                </c:pt>
                <c:pt idx="25">
                  <c:v>-2.7000000000000017E-2</c:v>
                </c:pt>
                <c:pt idx="26">
                  <c:v>-2.6000000000000016E-2</c:v>
                </c:pt>
                <c:pt idx="27">
                  <c:v>-2.5000000000000015E-2</c:v>
                </c:pt>
                <c:pt idx="28">
                  <c:v>-2.4000000000000014E-2</c:v>
                </c:pt>
                <c:pt idx="29">
                  <c:v>-2.3000000000000013E-2</c:v>
                </c:pt>
                <c:pt idx="30">
                  <c:v>-2.2000000000000013E-2</c:v>
                </c:pt>
                <c:pt idx="31">
                  <c:v>-2.1000000000000012E-2</c:v>
                </c:pt>
                <c:pt idx="32">
                  <c:v>-2.0000000000000011E-2</c:v>
                </c:pt>
                <c:pt idx="33">
                  <c:v>-1.900000000000001E-2</c:v>
                </c:pt>
                <c:pt idx="34">
                  <c:v>-1.8000000000000009E-2</c:v>
                </c:pt>
                <c:pt idx="35">
                  <c:v>-1.7000000000000008E-2</c:v>
                </c:pt>
                <c:pt idx="36">
                  <c:v>-1.6000000000000007E-2</c:v>
                </c:pt>
                <c:pt idx="37">
                  <c:v>-1.5000000000000006E-2</c:v>
                </c:pt>
                <c:pt idx="38">
                  <c:v>-1.4000000000000005E-2</c:v>
                </c:pt>
                <c:pt idx="39">
                  <c:v>-1.3000000000000005E-2</c:v>
                </c:pt>
                <c:pt idx="40">
                  <c:v>-1.2000000000000004E-2</c:v>
                </c:pt>
                <c:pt idx="41">
                  <c:v>-1.1000000000000003E-2</c:v>
                </c:pt>
                <c:pt idx="42">
                  <c:v>-1.0000000000000002E-2</c:v>
                </c:pt>
                <c:pt idx="43">
                  <c:v>-9.0000000000000011E-3</c:v>
                </c:pt>
                <c:pt idx="44">
                  <c:v>-8.0000000000000002E-3</c:v>
                </c:pt>
                <c:pt idx="45">
                  <c:v>-7.0000000000000001E-3</c:v>
                </c:pt>
                <c:pt idx="46">
                  <c:v>-6.0000000000000001E-3</c:v>
                </c:pt>
                <c:pt idx="47">
                  <c:v>-5.0000000000000001E-3</c:v>
                </c:pt>
                <c:pt idx="48">
                  <c:v>-4.0000000000000001E-3</c:v>
                </c:pt>
                <c:pt idx="49">
                  <c:v>-3.0000000000000001E-3</c:v>
                </c:pt>
                <c:pt idx="50">
                  <c:v>-2E-3</c:v>
                </c:pt>
                <c:pt idx="51">
                  <c:v>-1E-3</c:v>
                </c:pt>
                <c:pt idx="52">
                  <c:v>0</c:v>
                </c:pt>
                <c:pt idx="53">
                  <c:v>1E-3</c:v>
                </c:pt>
                <c:pt idx="54">
                  <c:v>2E-3</c:v>
                </c:pt>
                <c:pt idx="55">
                  <c:v>3.0000000000000001E-3</c:v>
                </c:pt>
                <c:pt idx="56">
                  <c:v>4.0000000000000001E-3</c:v>
                </c:pt>
                <c:pt idx="57">
                  <c:v>5.0000000000000001E-3</c:v>
                </c:pt>
                <c:pt idx="58">
                  <c:v>6.0000000000000001E-3</c:v>
                </c:pt>
                <c:pt idx="59">
                  <c:v>7.0000000000000001E-3</c:v>
                </c:pt>
                <c:pt idx="60">
                  <c:v>8.0000000000000002E-3</c:v>
                </c:pt>
                <c:pt idx="61">
                  <c:v>9.0000000000000011E-3</c:v>
                </c:pt>
                <c:pt idx="62">
                  <c:v>1.0000000000000002E-2</c:v>
                </c:pt>
                <c:pt idx="63">
                  <c:v>1.1000000000000003E-2</c:v>
                </c:pt>
                <c:pt idx="64">
                  <c:v>1.2000000000000004E-2</c:v>
                </c:pt>
                <c:pt idx="65">
                  <c:v>1.3000000000000005E-2</c:v>
                </c:pt>
                <c:pt idx="66">
                  <c:v>1.4000000000000005E-2</c:v>
                </c:pt>
                <c:pt idx="67">
                  <c:v>1.5000000000000006E-2</c:v>
                </c:pt>
                <c:pt idx="68">
                  <c:v>1.6000000000000007E-2</c:v>
                </c:pt>
                <c:pt idx="69">
                  <c:v>1.7000000000000008E-2</c:v>
                </c:pt>
                <c:pt idx="70">
                  <c:v>1.8000000000000009E-2</c:v>
                </c:pt>
                <c:pt idx="71">
                  <c:v>1.900000000000001E-2</c:v>
                </c:pt>
                <c:pt idx="72">
                  <c:v>2.0000000000000011E-2</c:v>
                </c:pt>
                <c:pt idx="73">
                  <c:v>2.1000000000000012E-2</c:v>
                </c:pt>
                <c:pt idx="74">
                  <c:v>2.2000000000000013E-2</c:v>
                </c:pt>
                <c:pt idx="75">
                  <c:v>2.3000000000000013E-2</c:v>
                </c:pt>
                <c:pt idx="76">
                  <c:v>2.4000000000000014E-2</c:v>
                </c:pt>
                <c:pt idx="77">
                  <c:v>2.5000000000000015E-2</c:v>
                </c:pt>
                <c:pt idx="78">
                  <c:v>2.6000000000000016E-2</c:v>
                </c:pt>
                <c:pt idx="79">
                  <c:v>2.7000000000000017E-2</c:v>
                </c:pt>
                <c:pt idx="80">
                  <c:v>2.8000000000000018E-2</c:v>
                </c:pt>
                <c:pt idx="81">
                  <c:v>2.9000000000000019E-2</c:v>
                </c:pt>
                <c:pt idx="82">
                  <c:v>3.000000000000002E-2</c:v>
                </c:pt>
                <c:pt idx="83">
                  <c:v>3.1000000000000021E-2</c:v>
                </c:pt>
                <c:pt idx="84">
                  <c:v>3.2000000000000021E-2</c:v>
                </c:pt>
                <c:pt idx="85">
                  <c:v>3.3000000000000022E-2</c:v>
                </c:pt>
                <c:pt idx="86">
                  <c:v>3.4000000000000023E-2</c:v>
                </c:pt>
                <c:pt idx="87">
                  <c:v>3.5000000000000024E-2</c:v>
                </c:pt>
                <c:pt idx="88">
                  <c:v>3.6000000000000025E-2</c:v>
                </c:pt>
                <c:pt idx="89">
                  <c:v>3.7000000000000026E-2</c:v>
                </c:pt>
                <c:pt idx="90">
                  <c:v>3.8000000000000027E-2</c:v>
                </c:pt>
                <c:pt idx="91">
                  <c:v>3.9000000000000028E-2</c:v>
                </c:pt>
                <c:pt idx="92">
                  <c:v>4.0000000000000029E-2</c:v>
                </c:pt>
                <c:pt idx="93">
                  <c:v>4.1000000000000029E-2</c:v>
                </c:pt>
                <c:pt idx="94">
                  <c:v>4.200000000000003E-2</c:v>
                </c:pt>
                <c:pt idx="95">
                  <c:v>4.3000000000000031E-2</c:v>
                </c:pt>
                <c:pt idx="96">
                  <c:v>4.4000000000000032E-2</c:v>
                </c:pt>
                <c:pt idx="97">
                  <c:v>4.5000000000000033E-2</c:v>
                </c:pt>
                <c:pt idx="98">
                  <c:v>4.6000000000000034E-2</c:v>
                </c:pt>
                <c:pt idx="99">
                  <c:v>4.7000000000000035E-2</c:v>
                </c:pt>
                <c:pt idx="100">
                  <c:v>4.8000000000000036E-2</c:v>
                </c:pt>
                <c:pt idx="101">
                  <c:v>4.9000000000000037E-2</c:v>
                </c:pt>
                <c:pt idx="102">
                  <c:v>5.0000000000000037E-2</c:v>
                </c:pt>
                <c:pt idx="103">
                  <c:v>5.1000000000000038E-2</c:v>
                </c:pt>
                <c:pt idx="104">
                  <c:v>5.2000000000000039E-2</c:v>
                </c:pt>
              </c:numCache>
            </c:numRef>
          </c:xVal>
          <c:yVal>
            <c:numRef>
              <c:f>'Notes | Quant Analysis'!$J$269:$J$373</c:f>
              <c:numCache>
                <c:formatCode>General</c:formatCode>
                <c:ptCount val="10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7</c:v>
                </c:pt>
                <c:pt idx="18">
                  <c:v>1</c:v>
                </c:pt>
                <c:pt idx="19">
                  <c:v>3</c:v>
                </c:pt>
                <c:pt idx="20">
                  <c:v>7</c:v>
                </c:pt>
                <c:pt idx="21">
                  <c:v>6</c:v>
                </c:pt>
                <c:pt idx="22">
                  <c:v>1</c:v>
                </c:pt>
                <c:pt idx="23">
                  <c:v>8</c:v>
                </c:pt>
                <c:pt idx="24">
                  <c:v>9</c:v>
                </c:pt>
                <c:pt idx="25">
                  <c:v>4</c:v>
                </c:pt>
                <c:pt idx="26">
                  <c:v>9</c:v>
                </c:pt>
                <c:pt idx="27">
                  <c:v>8</c:v>
                </c:pt>
                <c:pt idx="28">
                  <c:v>7</c:v>
                </c:pt>
                <c:pt idx="29">
                  <c:v>13</c:v>
                </c:pt>
                <c:pt idx="30">
                  <c:v>9</c:v>
                </c:pt>
                <c:pt idx="31">
                  <c:v>6</c:v>
                </c:pt>
                <c:pt idx="32">
                  <c:v>9</c:v>
                </c:pt>
                <c:pt idx="33">
                  <c:v>13</c:v>
                </c:pt>
                <c:pt idx="34">
                  <c:v>14</c:v>
                </c:pt>
                <c:pt idx="35">
                  <c:v>14</c:v>
                </c:pt>
                <c:pt idx="36">
                  <c:v>20</c:v>
                </c:pt>
                <c:pt idx="37">
                  <c:v>15</c:v>
                </c:pt>
                <c:pt idx="38">
                  <c:v>15</c:v>
                </c:pt>
                <c:pt idx="39">
                  <c:v>26</c:v>
                </c:pt>
                <c:pt idx="40">
                  <c:v>24</c:v>
                </c:pt>
                <c:pt idx="41">
                  <c:v>18</c:v>
                </c:pt>
                <c:pt idx="42">
                  <c:v>23</c:v>
                </c:pt>
                <c:pt idx="43">
                  <c:v>25</c:v>
                </c:pt>
                <c:pt idx="44">
                  <c:v>27</c:v>
                </c:pt>
                <c:pt idx="45">
                  <c:v>28</c:v>
                </c:pt>
                <c:pt idx="46">
                  <c:v>34</c:v>
                </c:pt>
                <c:pt idx="47">
                  <c:v>19</c:v>
                </c:pt>
                <c:pt idx="48">
                  <c:v>23</c:v>
                </c:pt>
                <c:pt idx="49">
                  <c:v>28</c:v>
                </c:pt>
                <c:pt idx="50">
                  <c:v>36</c:v>
                </c:pt>
                <c:pt idx="51">
                  <c:v>36</c:v>
                </c:pt>
                <c:pt idx="52">
                  <c:v>32</c:v>
                </c:pt>
                <c:pt idx="53">
                  <c:v>46</c:v>
                </c:pt>
                <c:pt idx="54">
                  <c:v>37</c:v>
                </c:pt>
                <c:pt idx="55">
                  <c:v>28</c:v>
                </c:pt>
                <c:pt idx="56">
                  <c:v>31</c:v>
                </c:pt>
                <c:pt idx="57">
                  <c:v>38</c:v>
                </c:pt>
                <c:pt idx="58">
                  <c:v>28</c:v>
                </c:pt>
                <c:pt idx="59">
                  <c:v>27</c:v>
                </c:pt>
                <c:pt idx="60">
                  <c:v>39</c:v>
                </c:pt>
                <c:pt idx="61">
                  <c:v>27</c:v>
                </c:pt>
                <c:pt idx="62">
                  <c:v>21</c:v>
                </c:pt>
                <c:pt idx="63">
                  <c:v>34</c:v>
                </c:pt>
                <c:pt idx="64">
                  <c:v>28</c:v>
                </c:pt>
                <c:pt idx="65">
                  <c:v>20</c:v>
                </c:pt>
                <c:pt idx="66">
                  <c:v>29</c:v>
                </c:pt>
                <c:pt idx="67">
                  <c:v>19</c:v>
                </c:pt>
                <c:pt idx="68">
                  <c:v>23</c:v>
                </c:pt>
                <c:pt idx="69">
                  <c:v>15</c:v>
                </c:pt>
                <c:pt idx="70">
                  <c:v>15</c:v>
                </c:pt>
                <c:pt idx="71">
                  <c:v>13</c:v>
                </c:pt>
                <c:pt idx="72">
                  <c:v>17</c:v>
                </c:pt>
                <c:pt idx="73">
                  <c:v>8</c:v>
                </c:pt>
                <c:pt idx="74">
                  <c:v>10</c:v>
                </c:pt>
                <c:pt idx="75">
                  <c:v>16</c:v>
                </c:pt>
                <c:pt idx="76">
                  <c:v>5</c:v>
                </c:pt>
                <c:pt idx="77">
                  <c:v>9</c:v>
                </c:pt>
                <c:pt idx="78">
                  <c:v>10</c:v>
                </c:pt>
                <c:pt idx="79">
                  <c:v>7</c:v>
                </c:pt>
                <c:pt idx="80">
                  <c:v>4</c:v>
                </c:pt>
                <c:pt idx="81">
                  <c:v>6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6</c:v>
                </c:pt>
                <c:pt idx="86">
                  <c:v>2</c:v>
                </c:pt>
                <c:pt idx="87">
                  <c:v>2</c:v>
                </c:pt>
                <c:pt idx="88">
                  <c:v>4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Analysis'!$L$267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Analysis'!$L$269:$L$375</c:f>
              <c:numCache>
                <c:formatCode>0.00%</c:formatCode>
                <c:ptCount val="107"/>
                <c:pt idx="0">
                  <c:v>-5.300000000000004E-2</c:v>
                </c:pt>
                <c:pt idx="1">
                  <c:v>-5.2000000000000039E-2</c:v>
                </c:pt>
                <c:pt idx="2">
                  <c:v>-5.1000000000000038E-2</c:v>
                </c:pt>
                <c:pt idx="3">
                  <c:v>-5.0000000000000037E-2</c:v>
                </c:pt>
                <c:pt idx="4">
                  <c:v>-4.9000000000000037E-2</c:v>
                </c:pt>
                <c:pt idx="5">
                  <c:v>-4.8000000000000036E-2</c:v>
                </c:pt>
                <c:pt idx="6">
                  <c:v>-4.7000000000000035E-2</c:v>
                </c:pt>
                <c:pt idx="7">
                  <c:v>-4.6000000000000034E-2</c:v>
                </c:pt>
                <c:pt idx="8">
                  <c:v>-4.5000000000000033E-2</c:v>
                </c:pt>
                <c:pt idx="9">
                  <c:v>-4.4000000000000032E-2</c:v>
                </c:pt>
                <c:pt idx="10">
                  <c:v>-4.3000000000000031E-2</c:v>
                </c:pt>
                <c:pt idx="11">
                  <c:v>-4.200000000000003E-2</c:v>
                </c:pt>
                <c:pt idx="12">
                  <c:v>-4.1000000000000029E-2</c:v>
                </c:pt>
                <c:pt idx="13">
                  <c:v>-4.0000000000000029E-2</c:v>
                </c:pt>
                <c:pt idx="14">
                  <c:v>-3.9000000000000028E-2</c:v>
                </c:pt>
                <c:pt idx="15">
                  <c:v>-3.8000000000000027E-2</c:v>
                </c:pt>
                <c:pt idx="16">
                  <c:v>-3.7000000000000026E-2</c:v>
                </c:pt>
                <c:pt idx="17">
                  <c:v>-3.6000000000000025E-2</c:v>
                </c:pt>
                <c:pt idx="18">
                  <c:v>-3.5000000000000024E-2</c:v>
                </c:pt>
                <c:pt idx="19">
                  <c:v>-3.4000000000000023E-2</c:v>
                </c:pt>
                <c:pt idx="20">
                  <c:v>-3.3000000000000022E-2</c:v>
                </c:pt>
                <c:pt idx="21">
                  <c:v>-3.2000000000000021E-2</c:v>
                </c:pt>
                <c:pt idx="22">
                  <c:v>-3.1000000000000021E-2</c:v>
                </c:pt>
                <c:pt idx="23">
                  <c:v>-3.000000000000002E-2</c:v>
                </c:pt>
                <c:pt idx="24">
                  <c:v>-2.9000000000000019E-2</c:v>
                </c:pt>
                <c:pt idx="25">
                  <c:v>-2.8000000000000018E-2</c:v>
                </c:pt>
                <c:pt idx="26">
                  <c:v>-2.7000000000000017E-2</c:v>
                </c:pt>
                <c:pt idx="27">
                  <c:v>-2.6000000000000016E-2</c:v>
                </c:pt>
                <c:pt idx="28">
                  <c:v>-2.5000000000000015E-2</c:v>
                </c:pt>
                <c:pt idx="29">
                  <c:v>-2.4000000000000014E-2</c:v>
                </c:pt>
                <c:pt idx="30">
                  <c:v>-2.3000000000000013E-2</c:v>
                </c:pt>
                <c:pt idx="31">
                  <c:v>-2.2000000000000013E-2</c:v>
                </c:pt>
                <c:pt idx="32">
                  <c:v>-2.1000000000000012E-2</c:v>
                </c:pt>
                <c:pt idx="33">
                  <c:v>-2.0000000000000011E-2</c:v>
                </c:pt>
                <c:pt idx="34">
                  <c:v>-1.900000000000001E-2</c:v>
                </c:pt>
                <c:pt idx="35">
                  <c:v>-1.8000000000000009E-2</c:v>
                </c:pt>
                <c:pt idx="36">
                  <c:v>-1.7000000000000008E-2</c:v>
                </c:pt>
                <c:pt idx="37">
                  <c:v>-1.6000000000000007E-2</c:v>
                </c:pt>
                <c:pt idx="38">
                  <c:v>-1.5000000000000006E-2</c:v>
                </c:pt>
                <c:pt idx="39">
                  <c:v>-1.4000000000000005E-2</c:v>
                </c:pt>
                <c:pt idx="40">
                  <c:v>-1.3000000000000005E-2</c:v>
                </c:pt>
                <c:pt idx="41">
                  <c:v>-1.2000000000000004E-2</c:v>
                </c:pt>
                <c:pt idx="42">
                  <c:v>-1.1000000000000003E-2</c:v>
                </c:pt>
                <c:pt idx="43">
                  <c:v>-1.0000000000000002E-2</c:v>
                </c:pt>
                <c:pt idx="44">
                  <c:v>-9.0000000000000011E-3</c:v>
                </c:pt>
                <c:pt idx="45">
                  <c:v>-8.0000000000000002E-3</c:v>
                </c:pt>
                <c:pt idx="46">
                  <c:v>-7.0000000000000001E-3</c:v>
                </c:pt>
                <c:pt idx="47">
                  <c:v>-6.0000000000000001E-3</c:v>
                </c:pt>
                <c:pt idx="48">
                  <c:v>-5.0000000000000001E-3</c:v>
                </c:pt>
                <c:pt idx="49">
                  <c:v>-4.0000000000000001E-3</c:v>
                </c:pt>
                <c:pt idx="50">
                  <c:v>-3.0000000000000001E-3</c:v>
                </c:pt>
                <c:pt idx="51">
                  <c:v>-2E-3</c:v>
                </c:pt>
                <c:pt idx="52">
                  <c:v>-1E-3</c:v>
                </c:pt>
                <c:pt idx="53">
                  <c:v>0</c:v>
                </c:pt>
                <c:pt idx="54">
                  <c:v>1E-3</c:v>
                </c:pt>
                <c:pt idx="55">
                  <c:v>2E-3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9.0000000000000011E-3</c:v>
                </c:pt>
                <c:pt idx="63">
                  <c:v>1.0000000000000002E-2</c:v>
                </c:pt>
                <c:pt idx="64">
                  <c:v>1.1000000000000003E-2</c:v>
                </c:pt>
                <c:pt idx="65">
                  <c:v>1.2000000000000004E-2</c:v>
                </c:pt>
                <c:pt idx="66">
                  <c:v>1.3000000000000005E-2</c:v>
                </c:pt>
                <c:pt idx="67">
                  <c:v>1.4000000000000005E-2</c:v>
                </c:pt>
                <c:pt idx="68">
                  <c:v>1.5000000000000006E-2</c:v>
                </c:pt>
                <c:pt idx="69">
                  <c:v>1.6000000000000007E-2</c:v>
                </c:pt>
                <c:pt idx="70">
                  <c:v>1.7000000000000008E-2</c:v>
                </c:pt>
                <c:pt idx="71">
                  <c:v>1.8000000000000009E-2</c:v>
                </c:pt>
                <c:pt idx="72">
                  <c:v>1.900000000000001E-2</c:v>
                </c:pt>
                <c:pt idx="73">
                  <c:v>2.0000000000000011E-2</c:v>
                </c:pt>
                <c:pt idx="74">
                  <c:v>2.1000000000000012E-2</c:v>
                </c:pt>
                <c:pt idx="75">
                  <c:v>2.2000000000000013E-2</c:v>
                </c:pt>
                <c:pt idx="76">
                  <c:v>2.3000000000000013E-2</c:v>
                </c:pt>
                <c:pt idx="77">
                  <c:v>2.4000000000000014E-2</c:v>
                </c:pt>
                <c:pt idx="78">
                  <c:v>2.5000000000000015E-2</c:v>
                </c:pt>
                <c:pt idx="79">
                  <c:v>2.6000000000000016E-2</c:v>
                </c:pt>
                <c:pt idx="80">
                  <c:v>2.7000000000000017E-2</c:v>
                </c:pt>
                <c:pt idx="81">
                  <c:v>2.8000000000000018E-2</c:v>
                </c:pt>
                <c:pt idx="82">
                  <c:v>2.9000000000000019E-2</c:v>
                </c:pt>
                <c:pt idx="83">
                  <c:v>3.000000000000002E-2</c:v>
                </c:pt>
                <c:pt idx="84">
                  <c:v>3.1000000000000021E-2</c:v>
                </c:pt>
                <c:pt idx="85">
                  <c:v>3.2000000000000021E-2</c:v>
                </c:pt>
                <c:pt idx="86">
                  <c:v>3.3000000000000022E-2</c:v>
                </c:pt>
                <c:pt idx="87">
                  <c:v>3.4000000000000023E-2</c:v>
                </c:pt>
                <c:pt idx="88">
                  <c:v>3.5000000000000024E-2</c:v>
                </c:pt>
                <c:pt idx="89">
                  <c:v>3.6000000000000025E-2</c:v>
                </c:pt>
                <c:pt idx="90">
                  <c:v>3.7000000000000026E-2</c:v>
                </c:pt>
                <c:pt idx="91">
                  <c:v>3.8000000000000027E-2</c:v>
                </c:pt>
                <c:pt idx="92">
                  <c:v>3.9000000000000028E-2</c:v>
                </c:pt>
                <c:pt idx="93">
                  <c:v>4.0000000000000029E-2</c:v>
                </c:pt>
                <c:pt idx="94">
                  <c:v>4.1000000000000029E-2</c:v>
                </c:pt>
                <c:pt idx="95">
                  <c:v>4.200000000000003E-2</c:v>
                </c:pt>
                <c:pt idx="96">
                  <c:v>4.3000000000000031E-2</c:v>
                </c:pt>
                <c:pt idx="97">
                  <c:v>4.4000000000000032E-2</c:v>
                </c:pt>
                <c:pt idx="98">
                  <c:v>4.5000000000000033E-2</c:v>
                </c:pt>
                <c:pt idx="99">
                  <c:v>4.6000000000000034E-2</c:v>
                </c:pt>
                <c:pt idx="100">
                  <c:v>4.7000000000000035E-2</c:v>
                </c:pt>
                <c:pt idx="101">
                  <c:v>4.8000000000000036E-2</c:v>
                </c:pt>
                <c:pt idx="102">
                  <c:v>4.9000000000000037E-2</c:v>
                </c:pt>
                <c:pt idx="103">
                  <c:v>5.0000000000000037E-2</c:v>
                </c:pt>
                <c:pt idx="104">
                  <c:v>5.1000000000000038E-2</c:v>
                </c:pt>
                <c:pt idx="105">
                  <c:v>5.2000000000000039E-2</c:v>
                </c:pt>
                <c:pt idx="106">
                  <c:v>5.300000000000004E-2</c:v>
                </c:pt>
              </c:numCache>
            </c:numRef>
          </c:xVal>
          <c:yVal>
            <c:numRef>
              <c:f>'Notes | Quant Analysis'!$M$269:$M$375</c:f>
              <c:numCache>
                <c:formatCode>General</c:formatCode>
                <c:ptCount val="107"/>
                <c:pt idx="0">
                  <c:v>0.18154679152773484</c:v>
                </c:pt>
                <c:pt idx="1">
                  <c:v>0.21776832607137736</c:v>
                </c:pt>
                <c:pt idx="2">
                  <c:v>0.26031234889371885</c:v>
                </c:pt>
                <c:pt idx="3">
                  <c:v>0.31009070793492566</c:v>
                </c:pt>
                <c:pt idx="4">
                  <c:v>0.3681091878858509</c:v>
                </c:pt>
                <c:pt idx="5">
                  <c:v>0.43547024501902709</c:v>
                </c:pt>
                <c:pt idx="6">
                  <c:v>0.51337443438246189</c:v>
                </c:pt>
                <c:pt idx="7">
                  <c:v>0.60312025288777404</c:v>
                </c:pt>
                <c:pt idx="8">
                  <c:v>0.70610211250062282</c:v>
                </c:pt>
                <c:pt idx="9">
                  <c:v>0.82380615530589207</c:v>
                </c:pt>
                <c:pt idx="10">
                  <c:v>0.9578036279976494</c:v>
                </c:pt>
                <c:pt idx="11">
                  <c:v>1.1097415485883357</c:v>
                </c:pt>
                <c:pt idx="12">
                  <c:v>1.2813304239610215</c:v>
                </c:pt>
                <c:pt idx="13">
                  <c:v>1.4743288142165225</c:v>
                </c:pt>
                <c:pt idx="14">
                  <c:v>1.6905245892303415</c:v>
                </c:pt>
                <c:pt idx="15">
                  <c:v>1.9317127847215994</c:v>
                </c:pt>
                <c:pt idx="16">
                  <c:v>2.1996700393204072</c:v>
                </c:pt>
                <c:pt idx="17">
                  <c:v>2.4961256799993241</c:v>
                </c:pt>
                <c:pt idx="18">
                  <c:v>2.8227296196831295</c:v>
                </c:pt>
                <c:pt idx="19">
                  <c:v>3.1810173361892287</c:v>
                </c:pt>
                <c:pt idx="20">
                  <c:v>3.572372313631365</c:v>
                </c:pt>
                <c:pt idx="21">
                  <c:v>3.9979864432402175</c:v>
                </c:pt>
                <c:pt idx="22">
                  <c:v>4.4588189968959364</c:v>
                </c:pt>
                <c:pt idx="23">
                  <c:v>4.9555548997584067</c:v>
                </c:pt>
                <c:pt idx="24">
                  <c:v>5.4885631340905432</c:v>
                </c:pt>
                <c:pt idx="25">
                  <c:v>6.0578562003318437</c:v>
                </c:pt>
                <c:pt idx="26">
                  <c:v>6.6630516392363335</c:v>
                </c:pt>
                <c:pt idx="27">
                  <c:v>7.3033366760621581</c:v>
                </c:pt>
                <c:pt idx="28">
                  <c:v>7.9774370802721322</c:v>
                </c:pt>
                <c:pt idx="29">
                  <c:v>8.6835913383127874</c:v>
                </c:pt>
                <c:pt idx="30">
                  <c:v>9.4195312097707866</c:v>
                </c:pt>
                <c:pt idx="31">
                  <c:v>10.182469676379844</c:v>
                </c:pt>
                <c:pt idx="32">
                  <c:v>10.969097197792113</c:v>
                </c:pt>
                <c:pt idx="33">
                  <c:v>11.775587057701626</c:v>
                </c:pt>
                <c:pt idx="34">
                  <c:v>12.59761042002717</c:v>
                </c:pt>
                <c:pt idx="35">
                  <c:v>13.430361519949992</c:v>
                </c:pt>
                <c:pt idx="36">
                  <c:v>14.268593192494007</c:v>
                </c:pt>
                <c:pt idx="37">
                  <c:v>15.106662697139294</c:v>
                </c:pt>
                <c:pt idx="38">
                  <c:v>15.938587536941949</c:v>
                </c:pt>
                <c:pt idx="39">
                  <c:v>16.758110702064272</c:v>
                </c:pt>
                <c:pt idx="40">
                  <c:v>17.558774498551752</c:v>
                </c:pt>
                <c:pt idx="41">
                  <c:v>18.334001862198654</c:v>
                </c:pt>
                <c:pt idx="42">
                  <c:v>19.077183813209849</c:v>
                </c:pt>
                <c:pt idx="43">
                  <c:v>19.781771488764914</c:v>
                </c:pt>
                <c:pt idx="44">
                  <c:v>20.441371005737345</c:v>
                </c:pt>
                <c:pt idx="45">
                  <c:v>21.049839262131176</c:v>
                </c:pt>
                <c:pt idx="46">
                  <c:v>21.601378689562438</c:v>
                </c:pt>
                <c:pt idx="47">
                  <c:v>22.090628925210783</c:v>
                </c:pt>
                <c:pt idx="48">
                  <c:v>22.512753383318021</c:v>
                </c:pt>
                <c:pt idx="49">
                  <c:v>22.863518774895844</c:v>
                </c:pt>
                <c:pt idx="50">
                  <c:v>23.139365749255813</c:v>
                </c:pt>
                <c:pt idx="51">
                  <c:v>23.337469009737372</c:v>
                </c:pt>
                <c:pt idx="52">
                  <c:v>23.455785484099025</c:v>
                </c:pt>
                <c:pt idx="53">
                  <c:v>23.493089401165893</c:v>
                </c:pt>
                <c:pt idx="54">
                  <c:v>23.448993431613061</c:v>
                </c:pt>
                <c:pt idx="55">
                  <c:v>23.323955383014201</c:v>
                </c:pt>
                <c:pt idx="56">
                  <c:v>23.119270287327346</c:v>
                </c:pt>
                <c:pt idx="57">
                  <c:v>22.837048072055314</c:v>
                </c:pt>
                <c:pt idx="58">
                  <c:v>22.480177353448255</c:v>
                </c:pt>
                <c:pt idx="59">
                  <c:v>22.05227622057582</c:v>
                </c:pt>
                <c:pt idx="60">
                  <c:v>21.557631182782234</c:v>
                </c:pt>
                <c:pt idx="61">
                  <c:v>21.001125720852677</c:v>
                </c:pt>
                <c:pt idx="62">
                  <c:v>20.388160106406055</c:v>
                </c:pt>
                <c:pt idx="63">
                  <c:v>19.724564328443876</c:v>
                </c:pt>
                <c:pt idx="64">
                  <c:v>19.016506086298669</c:v>
                </c:pt>
                <c:pt idx="65">
                  <c:v>18.270395872050678</c:v>
                </c:pt>
                <c:pt idx="66">
                  <c:v>17.492791172414396</c:v>
                </c:pt>
                <c:pt idx="67">
                  <c:v>16.690301771676413</c:v>
                </c:pt>
                <c:pt idx="68">
                  <c:v>15.869498036859961</c:v>
                </c:pt>
                <c:pt idx="69">
                  <c:v>15.036823918905267</c:v>
                </c:pt>
                <c:pt idx="70">
                  <c:v>14.198516215685975</c:v>
                </c:pt>
                <c:pt idx="71">
                  <c:v>13.360531421625078</c:v>
                </c:pt>
                <c:pt idx="72">
                  <c:v>12.528481242795868</c:v>
                </c:pt>
                <c:pt idx="73">
                  <c:v>11.707577594389171</c:v>
                </c:pt>
                <c:pt idx="74">
                  <c:v>10.902587628079326</c:v>
                </c:pt>
                <c:pt idx="75">
                  <c:v>10.11779906866758</c:v>
                </c:pt>
                <c:pt idx="76">
                  <c:v>9.3569958804194755</c:v>
                </c:pt>
                <c:pt idx="77">
                  <c:v>8.6234440409356736</c:v>
                </c:pt>
                <c:pt idx="78">
                  <c:v>7.9198869803809639</c:v>
                </c:pt>
                <c:pt idx="79">
                  <c:v>7.2485500514468466</c:v>
                </c:pt>
                <c:pt idx="80">
                  <c:v>6.6111532342667614</c:v>
                </c:pt>
                <c:pt idx="81">
                  <c:v>6.0089311530516634</c:v>
                </c:pt>
                <c:pt idx="82">
                  <c:v>5.4426593885727863</c:v>
                </c:pt>
                <c:pt idx="83">
                  <c:v>4.9126860126553034</c:v>
                </c:pt>
                <c:pt idx="84">
                  <c:v>4.418967246294212</c:v>
                </c:pt>
                <c:pt idx="85">
                  <c:v>3.9611061496063553</c:v>
                </c:pt>
                <c:pt idx="86">
                  <c:v>3.5383932865152006</c:v>
                </c:pt>
                <c:pt idx="87">
                  <c:v>3.1498483661194148</c:v>
                </c:pt>
                <c:pt idx="88">
                  <c:v>2.7942619419765089</c:v>
                </c:pt>
                <c:pt idx="89">
                  <c:v>2.4702363456460583</c:v>
                </c:pt>
                <c:pt idx="90">
                  <c:v>2.1762251373278008</c:v>
                </c:pt>
                <c:pt idx="91">
                  <c:v>1.9105704699458923</c:v>
                </c:pt>
                <c:pt idx="92">
                  <c:v>1.6715378794672247</c:v>
                </c:pt>
                <c:pt idx="93">
                  <c:v>1.4573481298621944</c:v>
                </c:pt>
                <c:pt idx="94">
                  <c:v>1.2662058526416271</c:v>
                </c:pt>
                <c:pt idx="95">
                  <c:v>1.0963248255774289</c:v>
                </c:pt>
                <c:pt idx="96">
                  <c:v>0.94594983083695883</c:v>
                </c:pt>
                <c:pt idx="97">
                  <c:v>0.81337511769922832</c:v>
                </c:pt>
                <c:pt idx="98">
                  <c:v>0.6969595681944416</c:v>
                </c:pt>
                <c:pt idx="99">
                  <c:v>0.59513872485673447</c:v>
                </c:pt>
                <c:pt idx="100">
                  <c:v>0.50643388821341495</c:v>
                </c:pt>
                <c:pt idx="101">
                  <c:v>0.42945852797295314</c:v>
                </c:pt>
                <c:pt idx="102">
                  <c:v>0.36292227678116162</c:v>
                </c:pt>
                <c:pt idx="103">
                  <c:v>0.30563278982371894</c:v>
                </c:pt>
                <c:pt idx="104">
                  <c:v>0.25649575859547102</c:v>
                </c:pt>
                <c:pt idx="105">
                  <c:v>0.21451336409496241</c:v>
                </c:pt>
                <c:pt idx="106">
                  <c:v>0.17878144486458861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Analysis'!$O$269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3.4184539776510661E-2"/>
                  <c:y val="-2.7103113698860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72054886521233"/>
                      <c:h val="7.7448366460932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Analysis'!$P$269:$P$270</c:f>
              <c:numCache>
                <c:formatCode>0.00%</c:formatCode>
                <c:ptCount val="2"/>
                <c:pt idx="0">
                  <c:v>-4.1756220857390642E-5</c:v>
                </c:pt>
                <c:pt idx="1">
                  <c:v>-4.1756220857390642E-5</c:v>
                </c:pt>
              </c:numCache>
            </c:numRef>
          </c:xVal>
          <c:yVal>
            <c:numRef>
              <c:f>'Notes | Quant Analysis'!$Q$269:$Q$270</c:f>
              <c:numCache>
                <c:formatCode>General</c:formatCode>
                <c:ptCount val="2"/>
                <c:pt idx="0">
                  <c:v>0</c:v>
                </c:pt>
                <c:pt idx="1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Analysis'!$O$271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2.9685799917239242E-2"/>
                  <c:y val="-3.44364357445418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Analysis'!$P$271:$P$272</c:f>
              <c:numCache>
                <c:formatCode>0.00%</c:formatCode>
                <c:ptCount val="2"/>
                <c:pt idx="0">
                  <c:v>-5.0985384896390165E-2</c:v>
                </c:pt>
                <c:pt idx="1">
                  <c:v>-5.0985384896390165E-2</c:v>
                </c:pt>
              </c:numCache>
            </c:numRef>
          </c:xVal>
          <c:yVal>
            <c:numRef>
              <c:f>'Notes | Quant Analysis'!$Q$271:$Q$272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Analysis'!$O$273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6.8180135563731772E-2"/>
                  <c:y val="-5.1066932125687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Analysis'!$P$273:$P$274</c:f>
              <c:numCache>
                <c:formatCode>0.00%</c:formatCode>
                <c:ptCount val="2"/>
                <c:pt idx="0">
                  <c:v>-3.4004175337879243E-2</c:v>
                </c:pt>
                <c:pt idx="1">
                  <c:v>-3.4004175337879243E-2</c:v>
                </c:pt>
              </c:numCache>
            </c:numRef>
          </c:xVal>
          <c:yVal>
            <c:numRef>
              <c:f>'Notes | Quant Analysis'!$Q$273:$Q$274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Analysis'!$O$275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8.3089964661414578E-2"/>
                  <c:y val="-4.51150195160187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Analysis'!$P$275:$P$276</c:f>
              <c:numCache>
                <c:formatCode>0.00%</c:formatCode>
                <c:ptCount val="2"/>
                <c:pt idx="0">
                  <c:v>-1.7022965779368317E-2</c:v>
                </c:pt>
                <c:pt idx="1">
                  <c:v>-1.7022965779368317E-2</c:v>
                </c:pt>
              </c:numCache>
            </c:numRef>
          </c:xVal>
          <c:yVal>
            <c:numRef>
              <c:f>'Notes | Quant Analysis'!$Q$275:$Q$276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Analysis'!$O$277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3.5564877526836756E-2"/>
                  <c:y val="-5.017454362196201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Analysis'!$P$277:$P$278</c:f>
              <c:numCache>
                <c:formatCode>0.00%</c:formatCode>
                <c:ptCount val="2"/>
                <c:pt idx="0">
                  <c:v>1.6939453337653534E-2</c:v>
                </c:pt>
                <c:pt idx="1">
                  <c:v>1.6939453337653534E-2</c:v>
                </c:pt>
              </c:numCache>
            </c:numRef>
          </c:xVal>
          <c:yVal>
            <c:numRef>
              <c:f>'Notes | Quant Analysis'!$Q$277:$Q$278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Analysis'!$O$279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8030293615654319E-2"/>
                  <c:y val="-4.615461228408630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Analysis'!$P$279:$P$280</c:f>
              <c:numCache>
                <c:formatCode>0.00%</c:formatCode>
                <c:ptCount val="2"/>
                <c:pt idx="0">
                  <c:v>3.3920662896164459E-2</c:v>
                </c:pt>
                <c:pt idx="1">
                  <c:v>3.3920662896164459E-2</c:v>
                </c:pt>
              </c:numCache>
            </c:numRef>
          </c:xVal>
          <c:yVal>
            <c:numRef>
              <c:f>'Notes | Quant Analysis'!$Q$279:$Q$280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Analysis'!$O$281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4.0062295329040279E-2"/>
                  <c:y val="-3.171724032839100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Analysis'!$P$281:$P$282</c:f>
              <c:numCache>
                <c:formatCode>0.00%</c:formatCode>
                <c:ptCount val="2"/>
                <c:pt idx="0">
                  <c:v>5.0901872454675381E-2</c:v>
                </c:pt>
                <c:pt idx="1">
                  <c:v>5.0901872454675381E-2</c:v>
                </c:pt>
              </c:numCache>
            </c:numRef>
          </c:xVal>
          <c:yVal>
            <c:numRef>
              <c:f>'Notes | Quant Analysis'!$Q$281:$Q$282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6.0000000000000012E-2"/>
          <c:min val="-6.0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(ADBE)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9525</xdr:rowOff>
    </xdr:from>
    <xdr:to>
      <xdr:col>9</xdr:col>
      <xdr:colOff>0</xdr:colOff>
      <xdr:row>8</xdr:row>
      <xdr:rowOff>3154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2B834-8567-D4D4-F205-C99601E1C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" y="381000"/>
          <a:ext cx="1819275" cy="1079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126</xdr:row>
      <xdr:rowOff>190499</xdr:rowOff>
    </xdr:from>
    <xdr:to>
      <xdr:col>23</xdr:col>
      <xdr:colOff>0</xdr:colOff>
      <xdr:row>157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163</xdr:row>
      <xdr:rowOff>0</xdr:rowOff>
    </xdr:from>
    <xdr:to>
      <xdr:col>23</xdr:col>
      <xdr:colOff>0</xdr:colOff>
      <xdr:row>191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228</xdr:row>
      <xdr:rowOff>0</xdr:rowOff>
    </xdr:from>
    <xdr:to>
      <xdr:col>23</xdr:col>
      <xdr:colOff>0</xdr:colOff>
      <xdr:row>256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196</xdr:row>
      <xdr:rowOff>0</xdr:rowOff>
    </xdr:from>
    <xdr:to>
      <xdr:col>23</xdr:col>
      <xdr:colOff>0</xdr:colOff>
      <xdr:row>224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11206</xdr:colOff>
      <xdr:row>34</xdr:row>
      <xdr:rowOff>11206</xdr:rowOff>
    </xdr:from>
    <xdr:to>
      <xdr:col>17</xdr:col>
      <xdr:colOff>6812</xdr:colOff>
      <xdr:row>61</xdr:row>
      <xdr:rowOff>11206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43427-0C2B-47CB-A29C-9E68CFD1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118" y="6129618"/>
          <a:ext cx="5441665" cy="4840941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2</xdr:row>
      <xdr:rowOff>11206</xdr:rowOff>
    </xdr:from>
    <xdr:to>
      <xdr:col>17</xdr:col>
      <xdr:colOff>11204</xdr:colOff>
      <xdr:row>29</xdr:row>
      <xdr:rowOff>2108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6439B3-957B-2583-5F4C-000D235B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118" y="381000"/>
          <a:ext cx="5446057" cy="4831843"/>
        </a:xfrm>
        <a:prstGeom prst="rect">
          <a:avLst/>
        </a:prstGeom>
      </xdr:spPr>
    </xdr:pic>
    <xdr:clientData/>
  </xdr:twoCellAnchor>
  <xdr:twoCellAnchor editAs="oneCell">
    <xdr:from>
      <xdr:col>17</xdr:col>
      <xdr:colOff>11207</xdr:colOff>
      <xdr:row>2</xdr:row>
      <xdr:rowOff>11206</xdr:rowOff>
    </xdr:from>
    <xdr:to>
      <xdr:col>27</xdr:col>
      <xdr:colOff>1</xdr:colOff>
      <xdr:row>29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644BA96-76EF-711B-442D-863B6831C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70178" y="381000"/>
          <a:ext cx="6039970" cy="4829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adobe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7"/>
  <sheetViews>
    <sheetView topLeftCell="A18" workbookViewId="0">
      <selection activeCell="D3" sqref="D3:D7"/>
    </sheetView>
  </sheetViews>
  <sheetFormatPr defaultColWidth="9.140625" defaultRowHeight="14.25"/>
  <cols>
    <col min="1" max="1" width="3.285156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7" ht="15">
      <c r="B2" s="2" t="s">
        <v>234</v>
      </c>
    </row>
    <row r="3" spans="2:17">
      <c r="B3" s="1" t="s">
        <v>0</v>
      </c>
      <c r="C3" s="44">
        <v>365.9</v>
      </c>
      <c r="D3" s="43" t="s">
        <v>236</v>
      </c>
    </row>
    <row r="4" spans="2:17">
      <c r="B4" s="1" t="s">
        <v>1</v>
      </c>
      <c r="C4" s="45">
        <v>424.2</v>
      </c>
      <c r="D4" s="1" t="s">
        <v>230</v>
      </c>
    </row>
    <row r="5" spans="2:17">
      <c r="B5" s="1" t="s">
        <v>2</v>
      </c>
      <c r="C5" s="64">
        <f>C3*C4</f>
        <v>155214.78</v>
      </c>
    </row>
    <row r="6" spans="2:17">
      <c r="B6" s="1" t="s">
        <v>3</v>
      </c>
      <c r="C6" s="46">
        <f>4931+782</f>
        <v>5713</v>
      </c>
      <c r="D6" s="1" t="s">
        <v>230</v>
      </c>
    </row>
    <row r="7" spans="2:17">
      <c r="B7" s="1" t="s">
        <v>4</v>
      </c>
      <c r="C7" s="46">
        <f>6166</f>
        <v>6166</v>
      </c>
      <c r="D7" s="1" t="s">
        <v>230</v>
      </c>
    </row>
    <row r="8" spans="2:17">
      <c r="B8" s="1" t="s">
        <v>5</v>
      </c>
      <c r="C8" s="65">
        <f>C5-C6+C7</f>
        <v>155667.78</v>
      </c>
    </row>
    <row r="10" spans="2:17" ht="15">
      <c r="B10" s="2" t="s">
        <v>235</v>
      </c>
    </row>
    <row r="12" spans="2:17" ht="15">
      <c r="B12" s="1" t="s">
        <v>237</v>
      </c>
      <c r="G12" s="1" t="s">
        <v>245</v>
      </c>
      <c r="M12" s="1" t="s">
        <v>210</v>
      </c>
      <c r="P12" s="2"/>
    </row>
    <row r="13" spans="2:17">
      <c r="B13" s="1" t="s">
        <v>238</v>
      </c>
      <c r="G13" s="1" t="s">
        <v>246</v>
      </c>
      <c r="M13" s="1" t="s">
        <v>7</v>
      </c>
      <c r="P13" s="47" t="s">
        <v>249</v>
      </c>
    </row>
    <row r="14" spans="2:17" ht="15">
      <c r="B14" s="1" t="s">
        <v>239</v>
      </c>
      <c r="G14" s="1" t="s">
        <v>6</v>
      </c>
      <c r="M14" s="1" t="s">
        <v>215</v>
      </c>
      <c r="P14" s="66" t="s">
        <v>250</v>
      </c>
    </row>
    <row r="15" spans="2:17">
      <c r="B15" s="1" t="s">
        <v>240</v>
      </c>
      <c r="G15" s="1" t="s">
        <v>206</v>
      </c>
      <c r="N15" s="1" t="s">
        <v>214</v>
      </c>
      <c r="Q15" s="47" t="s">
        <v>251</v>
      </c>
    </row>
    <row r="16" spans="2:17">
      <c r="B16" s="1" t="s">
        <v>241</v>
      </c>
      <c r="G16" s="1" t="s">
        <v>199</v>
      </c>
      <c r="H16" s="1" t="s">
        <v>247</v>
      </c>
      <c r="J16" s="1" t="s">
        <v>200</v>
      </c>
      <c r="M16" s="1" t="s">
        <v>203</v>
      </c>
      <c r="P16" s="47" t="s">
        <v>252</v>
      </c>
    </row>
    <row r="17" spans="1:16">
      <c r="B17" s="1" t="s">
        <v>242</v>
      </c>
      <c r="M17" s="1" t="s">
        <v>204</v>
      </c>
      <c r="P17" s="47" t="s">
        <v>253</v>
      </c>
    </row>
    <row r="18" spans="1:16">
      <c r="B18" s="1" t="s">
        <v>243</v>
      </c>
      <c r="M18" s="1" t="s">
        <v>216</v>
      </c>
      <c r="P18" s="47" t="s">
        <v>254</v>
      </c>
    </row>
    <row r="19" spans="1:16">
      <c r="B19" s="1" t="s">
        <v>244</v>
      </c>
      <c r="M19" s="1" t="s">
        <v>217</v>
      </c>
      <c r="P19" s="47" t="s">
        <v>255</v>
      </c>
    </row>
    <row r="20" spans="1:16">
      <c r="B20" s="1" t="s">
        <v>248</v>
      </c>
      <c r="M20" s="1" t="s">
        <v>8</v>
      </c>
      <c r="P20" s="47" t="s">
        <v>205</v>
      </c>
    </row>
    <row r="22" spans="1:16" ht="15">
      <c r="A22" s="2" t="s">
        <v>9</v>
      </c>
    </row>
    <row r="23" spans="1:16">
      <c r="B23" s="1" t="s">
        <v>256</v>
      </c>
    </row>
    <row r="24" spans="1:16" ht="15">
      <c r="C24" s="1" t="s">
        <v>277</v>
      </c>
    </row>
    <row r="25" spans="1:16" ht="15">
      <c r="B25" s="2" t="s">
        <v>257</v>
      </c>
    </row>
    <row r="26" spans="1:16">
      <c r="C26" s="1" t="s">
        <v>258</v>
      </c>
    </row>
    <row r="27" spans="1:16">
      <c r="D27" s="1" t="s">
        <v>259</v>
      </c>
    </row>
    <row r="28" spans="1:16">
      <c r="D28" s="1" t="s">
        <v>260</v>
      </c>
    </row>
    <row r="29" spans="1:16">
      <c r="C29" s="1" t="s">
        <v>261</v>
      </c>
    </row>
    <row r="30" spans="1:16" ht="15">
      <c r="B30" s="2" t="s">
        <v>262</v>
      </c>
    </row>
    <row r="31" spans="1:16">
      <c r="C31" s="1" t="s">
        <v>263</v>
      </c>
    </row>
    <row r="32" spans="1:16">
      <c r="D32" s="1" t="s">
        <v>264</v>
      </c>
    </row>
    <row r="33" spans="1:4">
      <c r="D33" s="1" t="s">
        <v>265</v>
      </c>
    </row>
    <row r="34" spans="1:4">
      <c r="C34" s="1" t="s">
        <v>266</v>
      </c>
    </row>
    <row r="35" spans="1:4">
      <c r="C35" s="1" t="s">
        <v>267</v>
      </c>
    </row>
    <row r="36" spans="1:4" ht="15">
      <c r="B36" s="2" t="s">
        <v>268</v>
      </c>
    </row>
    <row r="37" spans="1:4">
      <c r="C37" s="1" t="s">
        <v>269</v>
      </c>
    </row>
    <row r="38" spans="1:4">
      <c r="D38" s="1" t="s">
        <v>270</v>
      </c>
    </row>
    <row r="39" spans="1:4">
      <c r="C39" s="1" t="s">
        <v>271</v>
      </c>
    </row>
    <row r="40" spans="1:4">
      <c r="B40" s="1" t="s">
        <v>272</v>
      </c>
    </row>
    <row r="41" spans="1:4" ht="15">
      <c r="C41" s="1" t="s">
        <v>273</v>
      </c>
    </row>
    <row r="42" spans="1:4" ht="15">
      <c r="B42" s="2" t="s">
        <v>276</v>
      </c>
    </row>
    <row r="43" spans="1:4">
      <c r="C43" s="1" t="s">
        <v>274</v>
      </c>
    </row>
    <row r="44" spans="1:4">
      <c r="C44" s="1" t="s">
        <v>275</v>
      </c>
    </row>
    <row r="46" spans="1:4" ht="15">
      <c r="A46" s="2" t="s">
        <v>207</v>
      </c>
    </row>
    <row r="47" spans="1:4">
      <c r="B47" s="1" t="s">
        <v>208</v>
      </c>
    </row>
  </sheetData>
  <hyperlinks>
    <hyperlink ref="P20" r:id="rId1" xr:uid="{14375537-5C3D-4253-9650-337AB6789785}"/>
    <hyperlink ref="P14" r:id="rId2" xr:uid="{9FC83D3A-A703-472C-AC57-A7E495A2FAE3}"/>
  </hyperlinks>
  <pageMargins left="0.7" right="0.7" top="0.75" bottom="0.75" header="0.3" footer="0.3"/>
  <ignoredErrors>
    <ignoredError sqref="D3" twoDigitTextYea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122"/>
  <sheetViews>
    <sheetView tabSelected="1" zoomScale="85" zoomScaleNormal="85" workbookViewId="0">
      <pane xSplit="2" ySplit="3" topLeftCell="BS4" activePane="bottomRight" state="frozen"/>
      <selection pane="topRight" activeCell="C1" sqref="C1"/>
      <selection pane="bottomLeft" activeCell="A4" sqref="A4"/>
      <selection pane="bottomRight" activeCell="CP10" sqref="CP10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5"/>
    <col min="79" max="103" width="9.140625" style="1"/>
    <col min="104" max="165" width="9.140625" style="35"/>
    <col min="166" max="16384" width="9.140625" style="1"/>
  </cols>
  <sheetData>
    <row r="1" spans="2:166" ht="15">
      <c r="B1" s="1" t="s">
        <v>123</v>
      </c>
      <c r="AY1" s="33" t="s">
        <v>95</v>
      </c>
      <c r="BC1" s="33" t="s">
        <v>99</v>
      </c>
      <c r="BG1" s="33" t="s">
        <v>103</v>
      </c>
      <c r="BK1" s="33" t="s">
        <v>107</v>
      </c>
      <c r="BO1" s="33" t="s">
        <v>111</v>
      </c>
      <c r="BS1" s="33" t="s">
        <v>115</v>
      </c>
    </row>
    <row r="2" spans="2:166">
      <c r="B2" s="1" t="s">
        <v>124</v>
      </c>
    </row>
    <row r="3" spans="2:166" ht="15">
      <c r="B3" s="2" t="s">
        <v>125</v>
      </c>
      <c r="C3" s="2" t="s">
        <v>127</v>
      </c>
      <c r="D3" s="33" t="s">
        <v>49</v>
      </c>
      <c r="E3" s="33" t="s">
        <v>50</v>
      </c>
      <c r="F3" s="33" t="s">
        <v>128</v>
      </c>
      <c r="G3" s="33" t="s">
        <v>51</v>
      </c>
      <c r="H3" s="33" t="s">
        <v>52</v>
      </c>
      <c r="I3" s="33" t="s">
        <v>53</v>
      </c>
      <c r="J3" s="33" t="s">
        <v>54</v>
      </c>
      <c r="K3" s="33" t="s">
        <v>55</v>
      </c>
      <c r="L3" s="33" t="s">
        <v>56</v>
      </c>
      <c r="M3" s="33" t="s">
        <v>57</v>
      </c>
      <c r="N3" s="33" t="s">
        <v>58</v>
      </c>
      <c r="O3" s="33" t="s">
        <v>59</v>
      </c>
      <c r="P3" s="33" t="s">
        <v>60</v>
      </c>
      <c r="Q3" s="33" t="s">
        <v>61</v>
      </c>
      <c r="R3" s="33" t="s">
        <v>62</v>
      </c>
      <c r="S3" s="33" t="s">
        <v>63</v>
      </c>
      <c r="T3" s="33" t="s">
        <v>64</v>
      </c>
      <c r="U3" s="33" t="s">
        <v>65</v>
      </c>
      <c r="V3" s="33" t="s">
        <v>66</v>
      </c>
      <c r="W3" s="33" t="s">
        <v>67</v>
      </c>
      <c r="X3" s="33" t="s">
        <v>68</v>
      </c>
      <c r="Y3" s="33" t="s">
        <v>69</v>
      </c>
      <c r="Z3" s="33" t="s">
        <v>70</v>
      </c>
      <c r="AA3" s="33" t="s">
        <v>71</v>
      </c>
      <c r="AB3" s="33" t="s">
        <v>72</v>
      </c>
      <c r="AC3" s="33" t="s">
        <v>73</v>
      </c>
      <c r="AD3" s="33" t="s">
        <v>74</v>
      </c>
      <c r="AE3" s="33" t="s">
        <v>75</v>
      </c>
      <c r="AF3" s="33" t="s">
        <v>76</v>
      </c>
      <c r="AG3" s="33" t="s">
        <v>77</v>
      </c>
      <c r="AH3" s="33" t="s">
        <v>78</v>
      </c>
      <c r="AI3" s="33" t="s">
        <v>79</v>
      </c>
      <c r="AJ3" s="33" t="s">
        <v>80</v>
      </c>
      <c r="AK3" s="33" t="s">
        <v>81</v>
      </c>
      <c r="AL3" s="33" t="s">
        <v>82</v>
      </c>
      <c r="AM3" s="33" t="s">
        <v>83</v>
      </c>
      <c r="AN3" s="33" t="s">
        <v>84</v>
      </c>
      <c r="AO3" s="33" t="s">
        <v>85</v>
      </c>
      <c r="AP3" s="33" t="s">
        <v>86</v>
      </c>
      <c r="AQ3" s="33" t="s">
        <v>87</v>
      </c>
      <c r="AR3" s="33" t="s">
        <v>88</v>
      </c>
      <c r="AS3" s="33" t="s">
        <v>89</v>
      </c>
      <c r="AT3" s="33" t="s">
        <v>90</v>
      </c>
      <c r="AU3" s="33" t="s">
        <v>91</v>
      </c>
      <c r="AV3" s="33" t="s">
        <v>92</v>
      </c>
      <c r="AW3" s="33" t="s">
        <v>93</v>
      </c>
      <c r="AX3" s="33" t="s">
        <v>94</v>
      </c>
      <c r="AY3" s="33" t="s">
        <v>95</v>
      </c>
      <c r="AZ3" s="33" t="s">
        <v>96</v>
      </c>
      <c r="BA3" s="33" t="s">
        <v>97</v>
      </c>
      <c r="BB3" s="33" t="s">
        <v>98</v>
      </c>
      <c r="BC3" s="33" t="s">
        <v>99</v>
      </c>
      <c r="BD3" s="33" t="s">
        <v>100</v>
      </c>
      <c r="BE3" s="33" t="s">
        <v>101</v>
      </c>
      <c r="BF3" s="33" t="s">
        <v>102</v>
      </c>
      <c r="BG3" s="33" t="s">
        <v>103</v>
      </c>
      <c r="BH3" s="33" t="s">
        <v>104</v>
      </c>
      <c r="BI3" s="33" t="s">
        <v>105</v>
      </c>
      <c r="BJ3" s="33" t="s">
        <v>106</v>
      </c>
      <c r="BK3" s="33" t="s">
        <v>107</v>
      </c>
      <c r="BL3" s="33" t="s">
        <v>108</v>
      </c>
      <c r="BM3" s="33" t="s">
        <v>109</v>
      </c>
      <c r="BN3" s="33" t="s">
        <v>110</v>
      </c>
      <c r="BO3" s="33" t="s">
        <v>111</v>
      </c>
      <c r="BP3" s="33" t="s">
        <v>112</v>
      </c>
      <c r="BQ3" s="33" t="s">
        <v>113</v>
      </c>
      <c r="BR3" s="33" t="s">
        <v>114</v>
      </c>
      <c r="BS3" s="33" t="s">
        <v>115</v>
      </c>
      <c r="BT3" s="34" t="s">
        <v>116</v>
      </c>
      <c r="BU3" s="34" t="s">
        <v>117</v>
      </c>
      <c r="BV3" s="34" t="s">
        <v>118</v>
      </c>
      <c r="BW3" s="34" t="s">
        <v>119</v>
      </c>
      <c r="BX3" s="34" t="s">
        <v>120</v>
      </c>
      <c r="BY3" s="34" t="s">
        <v>121</v>
      </c>
      <c r="BZ3" s="34" t="s">
        <v>122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34">
        <f t="shared" si="0"/>
        <v>2025</v>
      </c>
      <c r="DA3" s="34">
        <f t="shared" si="0"/>
        <v>2026</v>
      </c>
      <c r="DB3" s="34">
        <f t="shared" si="0"/>
        <v>2027</v>
      </c>
      <c r="DC3" s="34">
        <f t="shared" si="0"/>
        <v>2028</v>
      </c>
      <c r="DD3" s="34">
        <f t="shared" si="0"/>
        <v>2029</v>
      </c>
      <c r="DE3" s="34">
        <f t="shared" si="0"/>
        <v>2030</v>
      </c>
      <c r="DF3" s="34">
        <f t="shared" si="0"/>
        <v>2031</v>
      </c>
      <c r="DG3" s="34">
        <f t="shared" si="0"/>
        <v>2032</v>
      </c>
      <c r="DH3" s="34">
        <f t="shared" si="0"/>
        <v>2033</v>
      </c>
      <c r="DI3" s="34">
        <f t="shared" si="0"/>
        <v>2034</v>
      </c>
      <c r="DJ3" s="34">
        <f t="shared" si="0"/>
        <v>2035</v>
      </c>
      <c r="DK3" s="34">
        <f t="shared" si="0"/>
        <v>2036</v>
      </c>
      <c r="DL3" s="34">
        <f t="shared" si="0"/>
        <v>2037</v>
      </c>
      <c r="DM3" s="34">
        <f t="shared" si="0"/>
        <v>2038</v>
      </c>
      <c r="DN3" s="34">
        <f t="shared" si="0"/>
        <v>2039</v>
      </c>
      <c r="DO3" s="34">
        <f t="shared" si="0"/>
        <v>2040</v>
      </c>
      <c r="DP3" s="34">
        <f t="shared" si="0"/>
        <v>2041</v>
      </c>
      <c r="DQ3" s="34">
        <f t="shared" si="0"/>
        <v>2042</v>
      </c>
      <c r="DR3" s="34">
        <f t="shared" si="0"/>
        <v>2043</v>
      </c>
      <c r="DS3" s="34">
        <f t="shared" si="0"/>
        <v>2044</v>
      </c>
      <c r="DT3" s="34">
        <f t="shared" si="0"/>
        <v>2045</v>
      </c>
      <c r="DU3" s="34">
        <f t="shared" si="0"/>
        <v>2046</v>
      </c>
      <c r="DV3" s="34">
        <f t="shared" si="0"/>
        <v>2047</v>
      </c>
      <c r="DW3" s="34">
        <f t="shared" si="0"/>
        <v>2048</v>
      </c>
      <c r="DX3" s="34">
        <f t="shared" si="0"/>
        <v>2049</v>
      </c>
      <c r="DY3" s="34">
        <f t="shared" si="0"/>
        <v>2050</v>
      </c>
      <c r="DZ3" s="34">
        <f t="shared" si="0"/>
        <v>2051</v>
      </c>
      <c r="EA3" s="34">
        <f t="shared" si="0"/>
        <v>2052</v>
      </c>
      <c r="EB3" s="34">
        <f t="shared" si="0"/>
        <v>2053</v>
      </c>
      <c r="EC3" s="34">
        <f t="shared" si="0"/>
        <v>2054</v>
      </c>
      <c r="ED3" s="34">
        <f t="shared" si="0"/>
        <v>2055</v>
      </c>
      <c r="EE3" s="34">
        <f t="shared" si="0"/>
        <v>2056</v>
      </c>
      <c r="EF3" s="34">
        <f t="shared" si="0"/>
        <v>2057</v>
      </c>
      <c r="EG3" s="34">
        <f t="shared" si="0"/>
        <v>2058</v>
      </c>
      <c r="EH3" s="34">
        <f t="shared" si="0"/>
        <v>2059</v>
      </c>
      <c r="EI3" s="34">
        <f t="shared" si="0"/>
        <v>2060</v>
      </c>
      <c r="EJ3" s="34">
        <f t="shared" si="0"/>
        <v>2061</v>
      </c>
      <c r="EK3" s="34">
        <f t="shared" si="0"/>
        <v>2062</v>
      </c>
      <c r="EL3" s="34">
        <f t="shared" si="0"/>
        <v>2063</v>
      </c>
      <c r="EM3" s="34">
        <f t="shared" si="0"/>
        <v>2064</v>
      </c>
      <c r="EN3" s="34">
        <f t="shared" si="0"/>
        <v>2065</v>
      </c>
      <c r="EO3" s="34">
        <f t="shared" si="0"/>
        <v>2066</v>
      </c>
      <c r="EP3" s="34">
        <f t="shared" si="0"/>
        <v>2067</v>
      </c>
      <c r="EQ3" s="34">
        <f t="shared" si="0"/>
        <v>2068</v>
      </c>
      <c r="ER3" s="34">
        <f t="shared" si="0"/>
        <v>2069</v>
      </c>
      <c r="ES3" s="34">
        <f t="shared" si="0"/>
        <v>2070</v>
      </c>
      <c r="ET3" s="34">
        <f t="shared" si="0"/>
        <v>2071</v>
      </c>
      <c r="EU3" s="34">
        <f t="shared" si="0"/>
        <v>2072</v>
      </c>
      <c r="EV3" s="34">
        <f t="shared" si="0"/>
        <v>2073</v>
      </c>
      <c r="EW3" s="34">
        <f t="shared" ref="EW3:FG3" si="1">EV3+1</f>
        <v>2074</v>
      </c>
      <c r="EX3" s="34">
        <f t="shared" si="1"/>
        <v>2075</v>
      </c>
      <c r="EY3" s="34">
        <f t="shared" si="1"/>
        <v>2076</v>
      </c>
      <c r="EZ3" s="34">
        <f t="shared" si="1"/>
        <v>2077</v>
      </c>
      <c r="FA3" s="34">
        <f t="shared" si="1"/>
        <v>2078</v>
      </c>
      <c r="FB3" s="34">
        <f t="shared" si="1"/>
        <v>2079</v>
      </c>
      <c r="FC3" s="34">
        <f t="shared" si="1"/>
        <v>2080</v>
      </c>
      <c r="FD3" s="34">
        <f t="shared" si="1"/>
        <v>2081</v>
      </c>
      <c r="FE3" s="34">
        <f t="shared" si="1"/>
        <v>2082</v>
      </c>
      <c r="FF3" s="34">
        <f t="shared" si="1"/>
        <v>2083</v>
      </c>
      <c r="FG3" s="34">
        <f t="shared" si="1"/>
        <v>2084</v>
      </c>
      <c r="FH3" s="34"/>
      <c r="FI3" s="34"/>
      <c r="FJ3" s="2"/>
    </row>
    <row r="4" spans="2:166">
      <c r="B4" s="36" t="s">
        <v>130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35">
        <f t="shared" ref="CZ4:DI4" si="2">CY4*(1+CZ16)</f>
        <v>0</v>
      </c>
      <c r="DA4" s="35">
        <f t="shared" si="2"/>
        <v>0</v>
      </c>
      <c r="DB4" s="35">
        <f t="shared" si="2"/>
        <v>0</v>
      </c>
      <c r="DC4" s="35">
        <f t="shared" si="2"/>
        <v>0</v>
      </c>
      <c r="DD4" s="35">
        <f t="shared" si="2"/>
        <v>0</v>
      </c>
      <c r="DE4" s="35">
        <f t="shared" si="2"/>
        <v>0</v>
      </c>
      <c r="DF4" s="35">
        <f t="shared" si="2"/>
        <v>0</v>
      </c>
      <c r="DG4" s="35">
        <f t="shared" si="2"/>
        <v>0</v>
      </c>
      <c r="DH4" s="35">
        <f t="shared" si="2"/>
        <v>0</v>
      </c>
      <c r="DI4" s="35">
        <f t="shared" si="2"/>
        <v>0</v>
      </c>
    </row>
    <row r="5" spans="2:166">
      <c r="B5" s="36" t="s">
        <v>131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Y14" si="19">SUM(BO5:BR5)</f>
        <v>0</v>
      </c>
      <c r="CZ5" s="35">
        <f t="shared" ref="CZ5:DI5" si="20">CY5*(1+CZ17)</f>
        <v>0</v>
      </c>
      <c r="DA5" s="35">
        <f t="shared" si="20"/>
        <v>0</v>
      </c>
      <c r="DB5" s="35">
        <f t="shared" si="20"/>
        <v>0</v>
      </c>
      <c r="DC5" s="35">
        <f t="shared" si="20"/>
        <v>0</v>
      </c>
      <c r="DD5" s="35">
        <f t="shared" si="20"/>
        <v>0</v>
      </c>
      <c r="DE5" s="35">
        <f t="shared" si="20"/>
        <v>0</v>
      </c>
      <c r="DF5" s="35">
        <f t="shared" si="20"/>
        <v>0</v>
      </c>
      <c r="DG5" s="35">
        <f t="shared" si="20"/>
        <v>0</v>
      </c>
      <c r="DH5" s="35">
        <f t="shared" si="20"/>
        <v>0</v>
      </c>
      <c r="DI5" s="35">
        <f t="shared" si="20"/>
        <v>0</v>
      </c>
    </row>
    <row r="6" spans="2:166">
      <c r="B6" s="36" t="s">
        <v>132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35">
        <f t="shared" ref="CZ6:DI6" si="21">CY6*(1+CZ18)</f>
        <v>0</v>
      </c>
      <c r="DA6" s="35">
        <f t="shared" si="21"/>
        <v>0</v>
      </c>
      <c r="DB6" s="35">
        <f t="shared" si="21"/>
        <v>0</v>
      </c>
      <c r="DC6" s="35">
        <f t="shared" si="21"/>
        <v>0</v>
      </c>
      <c r="DD6" s="35">
        <f t="shared" si="21"/>
        <v>0</v>
      </c>
      <c r="DE6" s="35">
        <f t="shared" si="21"/>
        <v>0</v>
      </c>
      <c r="DF6" s="35">
        <f t="shared" si="21"/>
        <v>0</v>
      </c>
      <c r="DG6" s="35">
        <f t="shared" si="21"/>
        <v>0</v>
      </c>
      <c r="DH6" s="35">
        <f t="shared" si="21"/>
        <v>0</v>
      </c>
      <c r="DI6" s="35">
        <f t="shared" si="21"/>
        <v>0</v>
      </c>
    </row>
    <row r="7" spans="2:166">
      <c r="B7" s="36" t="s">
        <v>129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35">
        <f t="shared" ref="CZ7:DI7" si="22">CY7*(1+CZ19)</f>
        <v>0</v>
      </c>
      <c r="DA7" s="35">
        <f t="shared" si="22"/>
        <v>0</v>
      </c>
      <c r="DB7" s="35">
        <f t="shared" si="22"/>
        <v>0</v>
      </c>
      <c r="DC7" s="35">
        <f t="shared" si="22"/>
        <v>0</v>
      </c>
      <c r="DD7" s="35">
        <f t="shared" si="22"/>
        <v>0</v>
      </c>
      <c r="DE7" s="35">
        <f t="shared" si="22"/>
        <v>0</v>
      </c>
      <c r="DF7" s="35">
        <f t="shared" si="22"/>
        <v>0</v>
      </c>
      <c r="DG7" s="35">
        <f t="shared" si="22"/>
        <v>0</v>
      </c>
      <c r="DH7" s="35">
        <f t="shared" si="22"/>
        <v>0</v>
      </c>
      <c r="DI7" s="35">
        <f t="shared" si="22"/>
        <v>0</v>
      </c>
    </row>
    <row r="8" spans="2:166">
      <c r="B8" s="36" t="s">
        <v>133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35">
        <f t="shared" ref="CZ8:DI8" si="23">CY8*(1+CZ20)</f>
        <v>0</v>
      </c>
      <c r="DA8" s="35">
        <f t="shared" si="23"/>
        <v>0</v>
      </c>
      <c r="DB8" s="35">
        <f t="shared" si="23"/>
        <v>0</v>
      </c>
      <c r="DC8" s="35">
        <f t="shared" si="23"/>
        <v>0</v>
      </c>
      <c r="DD8" s="35">
        <f t="shared" si="23"/>
        <v>0</v>
      </c>
      <c r="DE8" s="35">
        <f t="shared" si="23"/>
        <v>0</v>
      </c>
      <c r="DF8" s="35">
        <f t="shared" si="23"/>
        <v>0</v>
      </c>
      <c r="DG8" s="35">
        <f t="shared" si="23"/>
        <v>0</v>
      </c>
      <c r="DH8" s="35">
        <f t="shared" si="23"/>
        <v>0</v>
      </c>
      <c r="DI8" s="35">
        <f t="shared" si="23"/>
        <v>0</v>
      </c>
    </row>
    <row r="9" spans="2:166">
      <c r="B9" s="36" t="s">
        <v>134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35">
        <f t="shared" ref="CZ9:DI9" si="24">CY9*(1+CZ21)</f>
        <v>0</v>
      </c>
      <c r="DA9" s="35">
        <f t="shared" si="24"/>
        <v>0</v>
      </c>
      <c r="DB9" s="35">
        <f t="shared" si="24"/>
        <v>0</v>
      </c>
      <c r="DC9" s="35">
        <f t="shared" si="24"/>
        <v>0</v>
      </c>
      <c r="DD9" s="35">
        <f t="shared" si="24"/>
        <v>0</v>
      </c>
      <c r="DE9" s="35">
        <f t="shared" si="24"/>
        <v>0</v>
      </c>
      <c r="DF9" s="35">
        <f t="shared" si="24"/>
        <v>0</v>
      </c>
      <c r="DG9" s="35">
        <f t="shared" si="24"/>
        <v>0</v>
      </c>
      <c r="DH9" s="35">
        <f t="shared" si="24"/>
        <v>0</v>
      </c>
      <c r="DI9" s="35">
        <f t="shared" si="24"/>
        <v>0</v>
      </c>
    </row>
    <row r="10" spans="2:166">
      <c r="B10" s="36" t="s">
        <v>135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35">
        <f t="shared" ref="CZ10:DI10" si="25">CY10*(1+CZ22)</f>
        <v>0</v>
      </c>
      <c r="DA10" s="35">
        <f t="shared" si="25"/>
        <v>0</v>
      </c>
      <c r="DB10" s="35">
        <f t="shared" si="25"/>
        <v>0</v>
      </c>
      <c r="DC10" s="35">
        <f t="shared" si="25"/>
        <v>0</v>
      </c>
      <c r="DD10" s="35">
        <f t="shared" si="25"/>
        <v>0</v>
      </c>
      <c r="DE10" s="35">
        <f t="shared" si="25"/>
        <v>0</v>
      </c>
      <c r="DF10" s="35">
        <f t="shared" si="25"/>
        <v>0</v>
      </c>
      <c r="DG10" s="35">
        <f t="shared" si="25"/>
        <v>0</v>
      </c>
      <c r="DH10" s="35">
        <f t="shared" si="25"/>
        <v>0</v>
      </c>
      <c r="DI10" s="35">
        <f t="shared" si="25"/>
        <v>0</v>
      </c>
    </row>
    <row r="11" spans="2:166">
      <c r="B11" s="36" t="s">
        <v>136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35">
        <f t="shared" ref="CZ11:DI11" si="26">CY11*(1+CZ23)</f>
        <v>0</v>
      </c>
      <c r="DA11" s="35">
        <f t="shared" si="26"/>
        <v>0</v>
      </c>
      <c r="DB11" s="35">
        <f t="shared" si="26"/>
        <v>0</v>
      </c>
      <c r="DC11" s="35">
        <f t="shared" si="26"/>
        <v>0</v>
      </c>
      <c r="DD11" s="35">
        <f t="shared" si="26"/>
        <v>0</v>
      </c>
      <c r="DE11" s="35">
        <f t="shared" si="26"/>
        <v>0</v>
      </c>
      <c r="DF11" s="35">
        <f t="shared" si="26"/>
        <v>0</v>
      </c>
      <c r="DG11" s="35">
        <f t="shared" si="26"/>
        <v>0</v>
      </c>
      <c r="DH11" s="35">
        <f t="shared" si="26"/>
        <v>0</v>
      </c>
      <c r="DI11" s="35">
        <f t="shared" si="26"/>
        <v>0</v>
      </c>
    </row>
    <row r="12" spans="2:166">
      <c r="B12" s="36" t="s">
        <v>137</v>
      </c>
      <c r="C12" s="36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35">
        <f t="shared" ref="CZ12:DI12" si="27">CY12*(1+CZ24)</f>
        <v>0</v>
      </c>
      <c r="DA12" s="35">
        <f t="shared" si="27"/>
        <v>0</v>
      </c>
      <c r="DB12" s="35">
        <f t="shared" si="27"/>
        <v>0</v>
      </c>
      <c r="DC12" s="35">
        <f t="shared" si="27"/>
        <v>0</v>
      </c>
      <c r="DD12" s="35">
        <f t="shared" si="27"/>
        <v>0</v>
      </c>
      <c r="DE12" s="35">
        <f t="shared" si="27"/>
        <v>0</v>
      </c>
      <c r="DF12" s="35">
        <f t="shared" si="27"/>
        <v>0</v>
      </c>
      <c r="DG12" s="35">
        <f t="shared" si="27"/>
        <v>0</v>
      </c>
      <c r="DH12" s="35">
        <f t="shared" si="27"/>
        <v>0</v>
      </c>
      <c r="DI12" s="35">
        <f t="shared" si="27"/>
        <v>0</v>
      </c>
    </row>
    <row r="13" spans="2:166">
      <c r="B13" s="36" t="s">
        <v>138</v>
      </c>
      <c r="C13" s="36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35">
        <f t="shared" ref="CZ13:DI13" si="28">CY13*(1+CZ25)</f>
        <v>0</v>
      </c>
      <c r="DA13" s="35">
        <f t="shared" si="28"/>
        <v>0</v>
      </c>
      <c r="DB13" s="35">
        <f t="shared" si="28"/>
        <v>0</v>
      </c>
      <c r="DC13" s="35">
        <f t="shared" si="28"/>
        <v>0</v>
      </c>
      <c r="DD13" s="35">
        <f t="shared" si="28"/>
        <v>0</v>
      </c>
      <c r="DE13" s="35">
        <f t="shared" si="28"/>
        <v>0</v>
      </c>
      <c r="DF13" s="35">
        <f t="shared" si="28"/>
        <v>0</v>
      </c>
      <c r="DG13" s="35">
        <f t="shared" si="28"/>
        <v>0</v>
      </c>
      <c r="DH13" s="35">
        <f t="shared" si="28"/>
        <v>0</v>
      </c>
      <c r="DI13" s="35">
        <f t="shared" si="28"/>
        <v>0</v>
      </c>
    </row>
    <row r="14" spans="2:166" s="2" customFormat="1" ht="15">
      <c r="B14" s="33" t="s">
        <v>126</v>
      </c>
      <c r="C14" s="49"/>
      <c r="BT14" s="34"/>
      <c r="BU14" s="34"/>
      <c r="BV14" s="34"/>
      <c r="BW14" s="34"/>
      <c r="BX14" s="34"/>
      <c r="BY14" s="34"/>
      <c r="BZ14" s="34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34">
        <f>SUM(CZ4:CZ13)</f>
        <v>0</v>
      </c>
      <c r="DA14" s="34">
        <f t="shared" ref="DA14:DI14" si="29">SUM(DA4:DA13)</f>
        <v>0</v>
      </c>
      <c r="DB14" s="34">
        <f t="shared" si="29"/>
        <v>0</v>
      </c>
      <c r="DC14" s="34">
        <f t="shared" si="29"/>
        <v>0</v>
      </c>
      <c r="DD14" s="34">
        <f t="shared" si="29"/>
        <v>0</v>
      </c>
      <c r="DE14" s="34">
        <f t="shared" si="29"/>
        <v>0</v>
      </c>
      <c r="DF14" s="34">
        <f t="shared" si="29"/>
        <v>0</v>
      </c>
      <c r="DG14" s="34">
        <f t="shared" si="29"/>
        <v>0</v>
      </c>
      <c r="DH14" s="34">
        <f t="shared" si="29"/>
        <v>0</v>
      </c>
      <c r="DI14" s="34">
        <f t="shared" si="29"/>
        <v>0</v>
      </c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</row>
    <row r="15" spans="2:166">
      <c r="B15" s="36"/>
      <c r="C15" s="36"/>
    </row>
    <row r="16" spans="2:166">
      <c r="B16" s="37" t="s">
        <v>141</v>
      </c>
      <c r="CJ16" s="1" t="e">
        <f t="shared" ref="CJ16:CY16" si="30">CJ4/CI4-1</f>
        <v>#DIV/0!</v>
      </c>
      <c r="CK16" s="1" t="e">
        <f t="shared" si="30"/>
        <v>#DIV/0!</v>
      </c>
      <c r="CL16" s="1" t="e">
        <f t="shared" si="30"/>
        <v>#DIV/0!</v>
      </c>
      <c r="CM16" s="1" t="e">
        <f t="shared" si="30"/>
        <v>#DIV/0!</v>
      </c>
      <c r="CN16" s="1" t="e">
        <f t="shared" si="30"/>
        <v>#DIV/0!</v>
      </c>
      <c r="CO16" s="1" t="e">
        <f t="shared" si="30"/>
        <v>#DIV/0!</v>
      </c>
      <c r="CP16" s="1" t="e">
        <f t="shared" si="30"/>
        <v>#DIV/0!</v>
      </c>
      <c r="CQ16" s="1" t="e">
        <f t="shared" si="30"/>
        <v>#DIV/0!</v>
      </c>
      <c r="CR16" s="1" t="e">
        <f t="shared" si="30"/>
        <v>#DIV/0!</v>
      </c>
      <c r="CS16" s="1" t="e">
        <f t="shared" si="30"/>
        <v>#DIV/0!</v>
      </c>
      <c r="CT16" s="1" t="e">
        <f t="shared" si="30"/>
        <v>#DIV/0!</v>
      </c>
      <c r="CU16" s="1" t="e">
        <f t="shared" si="30"/>
        <v>#DIV/0!</v>
      </c>
      <c r="CV16" s="1" t="e">
        <f t="shared" si="30"/>
        <v>#DIV/0!</v>
      </c>
      <c r="CW16" s="1" t="e">
        <f t="shared" si="30"/>
        <v>#DIV/0!</v>
      </c>
      <c r="CX16" s="1" t="e">
        <f t="shared" si="30"/>
        <v>#DIV/0!</v>
      </c>
      <c r="CY16" s="1" t="e">
        <f t="shared" si="30"/>
        <v>#DIV/0!</v>
      </c>
      <c r="CZ16" s="48">
        <v>1</v>
      </c>
      <c r="DA16" s="48">
        <v>1</v>
      </c>
      <c r="DB16" s="48">
        <v>1</v>
      </c>
      <c r="DC16" s="48">
        <v>1</v>
      </c>
      <c r="DD16" s="48">
        <v>1</v>
      </c>
      <c r="DE16" s="48">
        <v>1</v>
      </c>
      <c r="DF16" s="48">
        <v>1</v>
      </c>
      <c r="DG16" s="48">
        <v>1</v>
      </c>
      <c r="DH16" s="48">
        <v>1</v>
      </c>
      <c r="DI16" s="48">
        <v>1</v>
      </c>
    </row>
    <row r="17" spans="2:165">
      <c r="B17" s="37" t="s">
        <v>142</v>
      </c>
      <c r="CJ17" s="1" t="e">
        <f t="shared" ref="CJ17:CY17" si="31">CJ5/CI5-1</f>
        <v>#DIV/0!</v>
      </c>
      <c r="CK17" s="1" t="e">
        <f t="shared" si="31"/>
        <v>#DIV/0!</v>
      </c>
      <c r="CL17" s="1" t="e">
        <f t="shared" si="31"/>
        <v>#DIV/0!</v>
      </c>
      <c r="CM17" s="1" t="e">
        <f t="shared" si="31"/>
        <v>#DIV/0!</v>
      </c>
      <c r="CN17" s="1" t="e">
        <f t="shared" si="31"/>
        <v>#DIV/0!</v>
      </c>
      <c r="CO17" s="1" t="e">
        <f t="shared" si="31"/>
        <v>#DIV/0!</v>
      </c>
      <c r="CP17" s="1" t="e">
        <f t="shared" si="31"/>
        <v>#DIV/0!</v>
      </c>
      <c r="CQ17" s="1" t="e">
        <f t="shared" si="31"/>
        <v>#DIV/0!</v>
      </c>
      <c r="CR17" s="1" t="e">
        <f t="shared" si="31"/>
        <v>#DIV/0!</v>
      </c>
      <c r="CS17" s="1" t="e">
        <f t="shared" si="31"/>
        <v>#DIV/0!</v>
      </c>
      <c r="CT17" s="1" t="e">
        <f t="shared" si="31"/>
        <v>#DIV/0!</v>
      </c>
      <c r="CU17" s="1" t="e">
        <f t="shared" si="31"/>
        <v>#DIV/0!</v>
      </c>
      <c r="CV17" s="1" t="e">
        <f t="shared" si="31"/>
        <v>#DIV/0!</v>
      </c>
      <c r="CW17" s="1" t="e">
        <f t="shared" si="31"/>
        <v>#DIV/0!</v>
      </c>
      <c r="CX17" s="1" t="e">
        <f t="shared" si="31"/>
        <v>#DIV/0!</v>
      </c>
      <c r="CY17" s="1" t="e">
        <f t="shared" si="31"/>
        <v>#DIV/0!</v>
      </c>
      <c r="CZ17" s="48">
        <v>1</v>
      </c>
      <c r="DA17" s="48">
        <v>1</v>
      </c>
      <c r="DB17" s="48">
        <v>1</v>
      </c>
      <c r="DC17" s="48">
        <v>1</v>
      </c>
      <c r="DD17" s="48">
        <v>1</v>
      </c>
      <c r="DE17" s="48">
        <v>1</v>
      </c>
      <c r="DF17" s="48">
        <v>1</v>
      </c>
      <c r="DG17" s="48">
        <v>1</v>
      </c>
      <c r="DH17" s="48">
        <v>1</v>
      </c>
      <c r="DI17" s="48">
        <v>1</v>
      </c>
    </row>
    <row r="18" spans="2:165">
      <c r="B18" s="37" t="s">
        <v>143</v>
      </c>
      <c r="CJ18" s="1" t="e">
        <f t="shared" ref="CJ18:CY18" si="32">CJ6/CI6-1</f>
        <v>#DIV/0!</v>
      </c>
      <c r="CK18" s="1" t="e">
        <f t="shared" si="32"/>
        <v>#DIV/0!</v>
      </c>
      <c r="CL18" s="1" t="e">
        <f t="shared" si="32"/>
        <v>#DIV/0!</v>
      </c>
      <c r="CM18" s="1" t="e">
        <f t="shared" si="32"/>
        <v>#DIV/0!</v>
      </c>
      <c r="CN18" s="1" t="e">
        <f t="shared" si="32"/>
        <v>#DIV/0!</v>
      </c>
      <c r="CO18" s="1" t="e">
        <f t="shared" si="32"/>
        <v>#DIV/0!</v>
      </c>
      <c r="CP18" s="1" t="e">
        <f t="shared" si="32"/>
        <v>#DIV/0!</v>
      </c>
      <c r="CQ18" s="1" t="e">
        <f t="shared" si="32"/>
        <v>#DIV/0!</v>
      </c>
      <c r="CR18" s="1" t="e">
        <f t="shared" si="32"/>
        <v>#DIV/0!</v>
      </c>
      <c r="CS18" s="1" t="e">
        <f t="shared" si="32"/>
        <v>#DIV/0!</v>
      </c>
      <c r="CT18" s="1" t="e">
        <f t="shared" si="32"/>
        <v>#DIV/0!</v>
      </c>
      <c r="CU18" s="1" t="e">
        <f t="shared" si="32"/>
        <v>#DIV/0!</v>
      </c>
      <c r="CV18" s="1" t="e">
        <f t="shared" si="32"/>
        <v>#DIV/0!</v>
      </c>
      <c r="CW18" s="1" t="e">
        <f t="shared" si="32"/>
        <v>#DIV/0!</v>
      </c>
      <c r="CX18" s="1" t="e">
        <f t="shared" si="32"/>
        <v>#DIV/0!</v>
      </c>
      <c r="CY18" s="1" t="e">
        <f t="shared" si="32"/>
        <v>#DIV/0!</v>
      </c>
      <c r="CZ18" s="48">
        <v>1</v>
      </c>
      <c r="DA18" s="48">
        <v>1</v>
      </c>
      <c r="DB18" s="48">
        <v>1</v>
      </c>
      <c r="DC18" s="48">
        <v>1</v>
      </c>
      <c r="DD18" s="48">
        <v>1</v>
      </c>
      <c r="DE18" s="48">
        <v>1</v>
      </c>
      <c r="DF18" s="48">
        <v>1</v>
      </c>
      <c r="DG18" s="48">
        <v>1</v>
      </c>
      <c r="DH18" s="48">
        <v>1</v>
      </c>
      <c r="DI18" s="48">
        <v>1</v>
      </c>
    </row>
    <row r="19" spans="2:165">
      <c r="B19" s="37" t="s">
        <v>144</v>
      </c>
      <c r="CJ19" s="1" t="e">
        <f t="shared" ref="CJ19:CY19" si="33">CJ7/CI7-1</f>
        <v>#DIV/0!</v>
      </c>
      <c r="CK19" s="1" t="e">
        <f t="shared" si="33"/>
        <v>#DIV/0!</v>
      </c>
      <c r="CL19" s="1" t="e">
        <f t="shared" si="33"/>
        <v>#DIV/0!</v>
      </c>
      <c r="CM19" s="1" t="e">
        <f t="shared" si="33"/>
        <v>#DIV/0!</v>
      </c>
      <c r="CN19" s="1" t="e">
        <f t="shared" si="33"/>
        <v>#DIV/0!</v>
      </c>
      <c r="CO19" s="1" t="e">
        <f t="shared" si="33"/>
        <v>#DIV/0!</v>
      </c>
      <c r="CP19" s="1" t="e">
        <f t="shared" si="33"/>
        <v>#DIV/0!</v>
      </c>
      <c r="CQ19" s="1" t="e">
        <f t="shared" si="33"/>
        <v>#DIV/0!</v>
      </c>
      <c r="CR19" s="1" t="e">
        <f t="shared" si="33"/>
        <v>#DIV/0!</v>
      </c>
      <c r="CS19" s="1" t="e">
        <f t="shared" si="33"/>
        <v>#DIV/0!</v>
      </c>
      <c r="CT19" s="1" t="e">
        <f t="shared" si="33"/>
        <v>#DIV/0!</v>
      </c>
      <c r="CU19" s="1" t="e">
        <f t="shared" si="33"/>
        <v>#DIV/0!</v>
      </c>
      <c r="CV19" s="1" t="e">
        <f t="shared" si="33"/>
        <v>#DIV/0!</v>
      </c>
      <c r="CW19" s="1" t="e">
        <f t="shared" si="33"/>
        <v>#DIV/0!</v>
      </c>
      <c r="CX19" s="1" t="e">
        <f t="shared" si="33"/>
        <v>#DIV/0!</v>
      </c>
      <c r="CY19" s="1" t="e">
        <f t="shared" si="33"/>
        <v>#DIV/0!</v>
      </c>
      <c r="CZ19" s="48">
        <v>1</v>
      </c>
      <c r="DA19" s="48">
        <v>1</v>
      </c>
      <c r="DB19" s="48">
        <v>1</v>
      </c>
      <c r="DC19" s="48">
        <v>1</v>
      </c>
      <c r="DD19" s="48">
        <v>1</v>
      </c>
      <c r="DE19" s="48">
        <v>1</v>
      </c>
      <c r="DF19" s="48">
        <v>1</v>
      </c>
      <c r="DG19" s="48">
        <v>1</v>
      </c>
      <c r="DH19" s="48">
        <v>1</v>
      </c>
      <c r="DI19" s="48">
        <v>1</v>
      </c>
    </row>
    <row r="20" spans="2:165">
      <c r="B20" s="37" t="s">
        <v>145</v>
      </c>
      <c r="CJ20" s="1" t="e">
        <f t="shared" ref="CJ20:CY20" si="34">CJ8/CI8-1</f>
        <v>#DIV/0!</v>
      </c>
      <c r="CK20" s="1" t="e">
        <f t="shared" si="34"/>
        <v>#DIV/0!</v>
      </c>
      <c r="CL20" s="1" t="e">
        <f t="shared" si="34"/>
        <v>#DIV/0!</v>
      </c>
      <c r="CM20" s="1" t="e">
        <f t="shared" si="34"/>
        <v>#DIV/0!</v>
      </c>
      <c r="CN20" s="1" t="e">
        <f t="shared" si="34"/>
        <v>#DIV/0!</v>
      </c>
      <c r="CO20" s="1" t="e">
        <f t="shared" si="34"/>
        <v>#DIV/0!</v>
      </c>
      <c r="CP20" s="1" t="e">
        <f t="shared" si="34"/>
        <v>#DIV/0!</v>
      </c>
      <c r="CQ20" s="1" t="e">
        <f t="shared" si="34"/>
        <v>#DIV/0!</v>
      </c>
      <c r="CR20" s="1" t="e">
        <f t="shared" si="34"/>
        <v>#DIV/0!</v>
      </c>
      <c r="CS20" s="1" t="e">
        <f t="shared" si="34"/>
        <v>#DIV/0!</v>
      </c>
      <c r="CT20" s="1" t="e">
        <f t="shared" si="34"/>
        <v>#DIV/0!</v>
      </c>
      <c r="CU20" s="1" t="e">
        <f t="shared" si="34"/>
        <v>#DIV/0!</v>
      </c>
      <c r="CV20" s="1" t="e">
        <f t="shared" si="34"/>
        <v>#DIV/0!</v>
      </c>
      <c r="CW20" s="1" t="e">
        <f t="shared" si="34"/>
        <v>#DIV/0!</v>
      </c>
      <c r="CX20" s="1" t="e">
        <f t="shared" si="34"/>
        <v>#DIV/0!</v>
      </c>
      <c r="CY20" s="1" t="e">
        <f t="shared" si="34"/>
        <v>#DIV/0!</v>
      </c>
      <c r="CZ20" s="48">
        <v>1</v>
      </c>
      <c r="DA20" s="48">
        <v>1</v>
      </c>
      <c r="DB20" s="48">
        <v>1</v>
      </c>
      <c r="DC20" s="48">
        <v>1</v>
      </c>
      <c r="DD20" s="48">
        <v>1</v>
      </c>
      <c r="DE20" s="48">
        <v>1</v>
      </c>
      <c r="DF20" s="48">
        <v>1</v>
      </c>
      <c r="DG20" s="48">
        <v>1</v>
      </c>
      <c r="DH20" s="48">
        <v>1</v>
      </c>
      <c r="DI20" s="48">
        <v>1</v>
      </c>
    </row>
    <row r="21" spans="2:165">
      <c r="B21" s="37" t="s">
        <v>146</v>
      </c>
      <c r="CJ21" s="1" t="e">
        <f t="shared" ref="CJ21:CY21" si="35">CJ9/CI9-1</f>
        <v>#DIV/0!</v>
      </c>
      <c r="CK21" s="1" t="e">
        <f t="shared" si="35"/>
        <v>#DIV/0!</v>
      </c>
      <c r="CL21" s="1" t="e">
        <f t="shared" si="35"/>
        <v>#DIV/0!</v>
      </c>
      <c r="CM21" s="1" t="e">
        <f t="shared" si="35"/>
        <v>#DIV/0!</v>
      </c>
      <c r="CN21" s="1" t="e">
        <f t="shared" si="35"/>
        <v>#DIV/0!</v>
      </c>
      <c r="CO21" s="1" t="e">
        <f t="shared" si="35"/>
        <v>#DIV/0!</v>
      </c>
      <c r="CP21" s="1" t="e">
        <f t="shared" si="35"/>
        <v>#DIV/0!</v>
      </c>
      <c r="CQ21" s="1" t="e">
        <f t="shared" si="35"/>
        <v>#DIV/0!</v>
      </c>
      <c r="CR21" s="1" t="e">
        <f t="shared" si="35"/>
        <v>#DIV/0!</v>
      </c>
      <c r="CS21" s="1" t="e">
        <f t="shared" si="35"/>
        <v>#DIV/0!</v>
      </c>
      <c r="CT21" s="1" t="e">
        <f t="shared" si="35"/>
        <v>#DIV/0!</v>
      </c>
      <c r="CU21" s="1" t="e">
        <f t="shared" si="35"/>
        <v>#DIV/0!</v>
      </c>
      <c r="CV21" s="1" t="e">
        <f t="shared" si="35"/>
        <v>#DIV/0!</v>
      </c>
      <c r="CW21" s="1" t="e">
        <f t="shared" si="35"/>
        <v>#DIV/0!</v>
      </c>
      <c r="CX21" s="1" t="e">
        <f t="shared" si="35"/>
        <v>#DIV/0!</v>
      </c>
      <c r="CY21" s="1" t="e">
        <f t="shared" si="35"/>
        <v>#DIV/0!</v>
      </c>
      <c r="CZ21" s="48">
        <v>1</v>
      </c>
      <c r="DA21" s="48">
        <v>1</v>
      </c>
      <c r="DB21" s="48">
        <v>1</v>
      </c>
      <c r="DC21" s="48">
        <v>1</v>
      </c>
      <c r="DD21" s="48">
        <v>1</v>
      </c>
      <c r="DE21" s="48">
        <v>1</v>
      </c>
      <c r="DF21" s="48">
        <v>1</v>
      </c>
      <c r="DG21" s="48">
        <v>1</v>
      </c>
      <c r="DH21" s="48">
        <v>1</v>
      </c>
      <c r="DI21" s="48">
        <v>1</v>
      </c>
    </row>
    <row r="22" spans="2:165">
      <c r="B22" s="37" t="s">
        <v>149</v>
      </c>
      <c r="CJ22" s="1" t="e">
        <f t="shared" ref="CJ22:CY22" si="36">CJ10/CI10-1</f>
        <v>#DIV/0!</v>
      </c>
      <c r="CK22" s="1" t="e">
        <f t="shared" si="36"/>
        <v>#DIV/0!</v>
      </c>
      <c r="CL22" s="1" t="e">
        <f t="shared" si="36"/>
        <v>#DIV/0!</v>
      </c>
      <c r="CM22" s="1" t="e">
        <f t="shared" si="36"/>
        <v>#DIV/0!</v>
      </c>
      <c r="CN22" s="1" t="e">
        <f t="shared" si="36"/>
        <v>#DIV/0!</v>
      </c>
      <c r="CO22" s="1" t="e">
        <f t="shared" si="36"/>
        <v>#DIV/0!</v>
      </c>
      <c r="CP22" s="1" t="e">
        <f t="shared" si="36"/>
        <v>#DIV/0!</v>
      </c>
      <c r="CQ22" s="1" t="e">
        <f t="shared" si="36"/>
        <v>#DIV/0!</v>
      </c>
      <c r="CR22" s="1" t="e">
        <f t="shared" si="36"/>
        <v>#DIV/0!</v>
      </c>
      <c r="CS22" s="1" t="e">
        <f t="shared" si="36"/>
        <v>#DIV/0!</v>
      </c>
      <c r="CT22" s="1" t="e">
        <f t="shared" si="36"/>
        <v>#DIV/0!</v>
      </c>
      <c r="CU22" s="1" t="e">
        <f t="shared" si="36"/>
        <v>#DIV/0!</v>
      </c>
      <c r="CV22" s="1" t="e">
        <f t="shared" si="36"/>
        <v>#DIV/0!</v>
      </c>
      <c r="CW22" s="1" t="e">
        <f t="shared" si="36"/>
        <v>#DIV/0!</v>
      </c>
      <c r="CX22" s="1" t="e">
        <f t="shared" si="36"/>
        <v>#DIV/0!</v>
      </c>
      <c r="CY22" s="1" t="e">
        <f t="shared" si="36"/>
        <v>#DIV/0!</v>
      </c>
      <c r="CZ22" s="48">
        <v>1</v>
      </c>
      <c r="DA22" s="48">
        <v>1</v>
      </c>
      <c r="DB22" s="48">
        <v>1</v>
      </c>
      <c r="DC22" s="48">
        <v>1</v>
      </c>
      <c r="DD22" s="48">
        <v>1</v>
      </c>
      <c r="DE22" s="48">
        <v>1</v>
      </c>
      <c r="DF22" s="48">
        <v>1</v>
      </c>
      <c r="DG22" s="48">
        <v>1</v>
      </c>
      <c r="DH22" s="48">
        <v>1</v>
      </c>
      <c r="DI22" s="48">
        <v>1</v>
      </c>
    </row>
    <row r="23" spans="2:165">
      <c r="B23" s="37" t="s">
        <v>148</v>
      </c>
      <c r="CJ23" s="1" t="e">
        <f t="shared" ref="CJ23:CY23" si="37">CJ11/CI11-1</f>
        <v>#DIV/0!</v>
      </c>
      <c r="CK23" s="1" t="e">
        <f t="shared" si="37"/>
        <v>#DIV/0!</v>
      </c>
      <c r="CL23" s="1" t="e">
        <f t="shared" si="37"/>
        <v>#DIV/0!</v>
      </c>
      <c r="CM23" s="1" t="e">
        <f t="shared" si="37"/>
        <v>#DIV/0!</v>
      </c>
      <c r="CN23" s="1" t="e">
        <f t="shared" si="37"/>
        <v>#DIV/0!</v>
      </c>
      <c r="CO23" s="1" t="e">
        <f t="shared" si="37"/>
        <v>#DIV/0!</v>
      </c>
      <c r="CP23" s="1" t="e">
        <f t="shared" si="37"/>
        <v>#DIV/0!</v>
      </c>
      <c r="CQ23" s="1" t="e">
        <f t="shared" si="37"/>
        <v>#DIV/0!</v>
      </c>
      <c r="CR23" s="1" t="e">
        <f t="shared" si="37"/>
        <v>#DIV/0!</v>
      </c>
      <c r="CS23" s="1" t="e">
        <f t="shared" si="37"/>
        <v>#DIV/0!</v>
      </c>
      <c r="CT23" s="1" t="e">
        <f t="shared" si="37"/>
        <v>#DIV/0!</v>
      </c>
      <c r="CU23" s="1" t="e">
        <f t="shared" si="37"/>
        <v>#DIV/0!</v>
      </c>
      <c r="CV23" s="1" t="e">
        <f t="shared" si="37"/>
        <v>#DIV/0!</v>
      </c>
      <c r="CW23" s="1" t="e">
        <f t="shared" si="37"/>
        <v>#DIV/0!</v>
      </c>
      <c r="CX23" s="1" t="e">
        <f t="shared" si="37"/>
        <v>#DIV/0!</v>
      </c>
      <c r="CY23" s="1" t="e">
        <f t="shared" si="37"/>
        <v>#DIV/0!</v>
      </c>
      <c r="CZ23" s="48">
        <v>1</v>
      </c>
      <c r="DA23" s="48">
        <v>1</v>
      </c>
      <c r="DB23" s="48">
        <v>1</v>
      </c>
      <c r="DC23" s="48">
        <v>1</v>
      </c>
      <c r="DD23" s="48">
        <v>1</v>
      </c>
      <c r="DE23" s="48">
        <v>1</v>
      </c>
      <c r="DF23" s="48">
        <v>1</v>
      </c>
      <c r="DG23" s="48">
        <v>1</v>
      </c>
      <c r="DH23" s="48">
        <v>1</v>
      </c>
      <c r="DI23" s="48">
        <v>1</v>
      </c>
    </row>
    <row r="24" spans="2:165">
      <c r="B24" s="37" t="s">
        <v>150</v>
      </c>
      <c r="CJ24" s="1" t="e">
        <f t="shared" ref="CJ24:CY24" si="38">CJ12/CI12-1</f>
        <v>#DIV/0!</v>
      </c>
      <c r="CK24" s="1" t="e">
        <f t="shared" si="38"/>
        <v>#DIV/0!</v>
      </c>
      <c r="CL24" s="1" t="e">
        <f t="shared" si="38"/>
        <v>#DIV/0!</v>
      </c>
      <c r="CM24" s="1" t="e">
        <f t="shared" si="38"/>
        <v>#DIV/0!</v>
      </c>
      <c r="CN24" s="1" t="e">
        <f t="shared" si="38"/>
        <v>#DIV/0!</v>
      </c>
      <c r="CO24" s="1" t="e">
        <f t="shared" si="38"/>
        <v>#DIV/0!</v>
      </c>
      <c r="CP24" s="1" t="e">
        <f t="shared" si="38"/>
        <v>#DIV/0!</v>
      </c>
      <c r="CQ24" s="1" t="e">
        <f t="shared" si="38"/>
        <v>#DIV/0!</v>
      </c>
      <c r="CR24" s="1" t="e">
        <f t="shared" si="38"/>
        <v>#DIV/0!</v>
      </c>
      <c r="CS24" s="1" t="e">
        <f t="shared" si="38"/>
        <v>#DIV/0!</v>
      </c>
      <c r="CT24" s="1" t="e">
        <f t="shared" si="38"/>
        <v>#DIV/0!</v>
      </c>
      <c r="CU24" s="1" t="e">
        <f t="shared" si="38"/>
        <v>#DIV/0!</v>
      </c>
      <c r="CV24" s="1" t="e">
        <f t="shared" si="38"/>
        <v>#DIV/0!</v>
      </c>
      <c r="CW24" s="1" t="e">
        <f t="shared" si="38"/>
        <v>#DIV/0!</v>
      </c>
      <c r="CX24" s="1" t="e">
        <f t="shared" si="38"/>
        <v>#DIV/0!</v>
      </c>
      <c r="CY24" s="1" t="e">
        <f t="shared" si="38"/>
        <v>#DIV/0!</v>
      </c>
      <c r="CZ24" s="48">
        <v>1</v>
      </c>
      <c r="DA24" s="48">
        <v>1</v>
      </c>
      <c r="DB24" s="48">
        <v>1</v>
      </c>
      <c r="DC24" s="48">
        <v>1</v>
      </c>
      <c r="DD24" s="48">
        <v>1</v>
      </c>
      <c r="DE24" s="48">
        <v>1</v>
      </c>
      <c r="DF24" s="48">
        <v>1</v>
      </c>
      <c r="DG24" s="48">
        <v>1</v>
      </c>
      <c r="DH24" s="48">
        <v>1</v>
      </c>
      <c r="DI24" s="48">
        <v>1</v>
      </c>
    </row>
    <row r="25" spans="2:165">
      <c r="B25" s="37" t="s">
        <v>147</v>
      </c>
      <c r="CJ25" s="1" t="e">
        <f t="shared" ref="CJ25:CY25" si="39">CJ13/CI13-1</f>
        <v>#DIV/0!</v>
      </c>
      <c r="CK25" s="1" t="e">
        <f t="shared" si="39"/>
        <v>#DIV/0!</v>
      </c>
      <c r="CL25" s="1" t="e">
        <f t="shared" si="39"/>
        <v>#DIV/0!</v>
      </c>
      <c r="CM25" s="1" t="e">
        <f t="shared" si="39"/>
        <v>#DIV/0!</v>
      </c>
      <c r="CN25" s="1" t="e">
        <f t="shared" si="39"/>
        <v>#DIV/0!</v>
      </c>
      <c r="CO25" s="1" t="e">
        <f t="shared" si="39"/>
        <v>#DIV/0!</v>
      </c>
      <c r="CP25" s="1" t="e">
        <f t="shared" si="39"/>
        <v>#DIV/0!</v>
      </c>
      <c r="CQ25" s="1" t="e">
        <f t="shared" si="39"/>
        <v>#DIV/0!</v>
      </c>
      <c r="CR25" s="1" t="e">
        <f t="shared" si="39"/>
        <v>#DIV/0!</v>
      </c>
      <c r="CS25" s="1" t="e">
        <f t="shared" si="39"/>
        <v>#DIV/0!</v>
      </c>
      <c r="CT25" s="1" t="e">
        <f t="shared" si="39"/>
        <v>#DIV/0!</v>
      </c>
      <c r="CU25" s="1" t="e">
        <f t="shared" si="39"/>
        <v>#DIV/0!</v>
      </c>
      <c r="CV25" s="1" t="e">
        <f t="shared" si="39"/>
        <v>#DIV/0!</v>
      </c>
      <c r="CW25" s="1" t="e">
        <f t="shared" si="39"/>
        <v>#DIV/0!</v>
      </c>
      <c r="CX25" s="1" t="e">
        <f t="shared" si="39"/>
        <v>#DIV/0!</v>
      </c>
      <c r="CY25" s="1" t="e">
        <f t="shared" si="39"/>
        <v>#DIV/0!</v>
      </c>
      <c r="CZ25" s="48">
        <v>1</v>
      </c>
      <c r="DA25" s="48">
        <v>1</v>
      </c>
      <c r="DB25" s="48">
        <v>1</v>
      </c>
      <c r="DC25" s="48">
        <v>1</v>
      </c>
      <c r="DD25" s="48">
        <v>1</v>
      </c>
      <c r="DE25" s="48">
        <v>1</v>
      </c>
      <c r="DF25" s="48">
        <v>1</v>
      </c>
      <c r="DG25" s="48">
        <v>1</v>
      </c>
      <c r="DH25" s="48">
        <v>1</v>
      </c>
      <c r="DI25" s="48">
        <v>1</v>
      </c>
    </row>
    <row r="26" spans="2:165" s="2" customFormat="1" ht="15">
      <c r="B26" s="33" t="s">
        <v>218</v>
      </c>
      <c r="BT26" s="34"/>
      <c r="BU26" s="34"/>
      <c r="BV26" s="34"/>
      <c r="BW26" s="34"/>
      <c r="BX26" s="34"/>
      <c r="BY26" s="34"/>
      <c r="BZ26" s="34"/>
      <c r="CJ26" s="2" t="e">
        <f t="shared" ref="CJ26:CY26" si="40">CJ14/CI14-1</f>
        <v>#DIV/0!</v>
      </c>
      <c r="CK26" s="2" t="e">
        <f t="shared" si="40"/>
        <v>#DIV/0!</v>
      </c>
      <c r="CL26" s="2" t="e">
        <f t="shared" si="40"/>
        <v>#DIV/0!</v>
      </c>
      <c r="CM26" s="2" t="e">
        <f t="shared" si="40"/>
        <v>#DIV/0!</v>
      </c>
      <c r="CN26" s="2" t="e">
        <f t="shared" si="40"/>
        <v>#DIV/0!</v>
      </c>
      <c r="CO26" s="2" t="e">
        <f t="shared" si="40"/>
        <v>#DIV/0!</v>
      </c>
      <c r="CP26" s="2" t="e">
        <f t="shared" si="40"/>
        <v>#DIV/0!</v>
      </c>
      <c r="CQ26" s="2" t="e">
        <f t="shared" si="40"/>
        <v>#DIV/0!</v>
      </c>
      <c r="CR26" s="2" t="e">
        <f t="shared" si="40"/>
        <v>#DIV/0!</v>
      </c>
      <c r="CS26" s="2" t="e">
        <f t="shared" si="40"/>
        <v>#DIV/0!</v>
      </c>
      <c r="CT26" s="2" t="e">
        <f t="shared" si="40"/>
        <v>#DIV/0!</v>
      </c>
      <c r="CU26" s="2" t="e">
        <f t="shared" si="40"/>
        <v>#DIV/0!</v>
      </c>
      <c r="CV26" s="2" t="e">
        <f t="shared" si="40"/>
        <v>#DIV/0!</v>
      </c>
      <c r="CW26" s="2" t="e">
        <f t="shared" si="40"/>
        <v>#DIV/0!</v>
      </c>
      <c r="CX26" s="2" t="e">
        <f t="shared" si="40"/>
        <v>#DIV/0!</v>
      </c>
      <c r="CY26" s="2" t="e">
        <f t="shared" si="40"/>
        <v>#DIV/0!</v>
      </c>
      <c r="CZ26" s="50" t="e">
        <f>CZ14/CY14-1</f>
        <v>#DIV/0!</v>
      </c>
      <c r="DA26" s="50" t="e">
        <f t="shared" ref="DA26:DI26" si="41">DA14/CZ14-1</f>
        <v>#DIV/0!</v>
      </c>
      <c r="DB26" s="50" t="e">
        <f t="shared" si="41"/>
        <v>#DIV/0!</v>
      </c>
      <c r="DC26" s="50" t="e">
        <f t="shared" si="41"/>
        <v>#DIV/0!</v>
      </c>
      <c r="DD26" s="50" t="e">
        <f t="shared" si="41"/>
        <v>#DIV/0!</v>
      </c>
      <c r="DE26" s="50" t="e">
        <f t="shared" si="41"/>
        <v>#DIV/0!</v>
      </c>
      <c r="DF26" s="50" t="e">
        <f t="shared" si="41"/>
        <v>#DIV/0!</v>
      </c>
      <c r="DG26" s="50" t="e">
        <f t="shared" si="41"/>
        <v>#DIV/0!</v>
      </c>
      <c r="DH26" s="50" t="e">
        <f t="shared" si="41"/>
        <v>#DIV/0!</v>
      </c>
      <c r="DI26" s="50" t="e">
        <f t="shared" si="41"/>
        <v>#DIV/0!</v>
      </c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</row>
    <row r="28" spans="2:165" ht="15">
      <c r="B28" s="33" t="s">
        <v>139</v>
      </c>
      <c r="CY28" s="1" t="e">
        <f>CY4/CY14</f>
        <v>#DIV/0!</v>
      </c>
    </row>
    <row r="29" spans="2:165" ht="15">
      <c r="B29" s="33" t="s">
        <v>140</v>
      </c>
    </row>
    <row r="31" spans="2:165">
      <c r="B31" s="1" t="s">
        <v>151</v>
      </c>
      <c r="CI31" s="1">
        <f t="shared" ref="CI31:CI34" si="42">SUM(C31:F31)</f>
        <v>0</v>
      </c>
      <c r="CJ31" s="1">
        <f t="shared" ref="CJ31:CJ34" si="43">SUM(G31:J31)</f>
        <v>0</v>
      </c>
      <c r="CK31" s="1">
        <f t="shared" ref="CK31:CK34" si="44">SUM(K31:N31)</f>
        <v>0</v>
      </c>
      <c r="CL31" s="1">
        <f t="shared" ref="CL31:CL34" si="45">SUM(O31:R31)</f>
        <v>0</v>
      </c>
      <c r="CM31" s="1">
        <f t="shared" ref="CM31:CM34" si="46">SUM(S31:V31)</f>
        <v>0</v>
      </c>
      <c r="CN31" s="1">
        <f t="shared" ref="CN31:CN34" si="47">SUM(W31:Z31)</f>
        <v>0</v>
      </c>
      <c r="CO31" s="1">
        <f t="shared" ref="CO31:CO34" si="48">SUM(AA31:AD31)</f>
        <v>0</v>
      </c>
      <c r="CP31" s="1">
        <f t="shared" ref="CP31:CP34" si="49">SUM(AE31:AH31)</f>
        <v>0</v>
      </c>
      <c r="CQ31" s="1">
        <f t="shared" ref="CQ31:CQ34" si="50">SUM(AI31:AL31)</f>
        <v>0</v>
      </c>
      <c r="CR31" s="1">
        <f t="shared" ref="CR31:CR34" si="51">SUM(AM31:AP31)</f>
        <v>0</v>
      </c>
      <c r="CS31" s="1">
        <f t="shared" ref="CS31:CS34" si="52">SUM(AQ31:AT31)</f>
        <v>0</v>
      </c>
      <c r="CT31" s="1">
        <f t="shared" ref="CT31:CT34" si="53">SUM(AU31:AX31)</f>
        <v>0</v>
      </c>
      <c r="CU31" s="1">
        <f t="shared" ref="CU31:CU34" si="54">SUM(AY31:BB31)</f>
        <v>0</v>
      </c>
      <c r="CV31" s="1">
        <f t="shared" ref="CV31:CV34" si="55">SUM(BC31:BF31)</f>
        <v>0</v>
      </c>
      <c r="CW31" s="1">
        <f t="shared" ref="CW31:CW34" si="56">SUM(BG31:BJ31)</f>
        <v>0</v>
      </c>
      <c r="CX31" s="1">
        <f t="shared" ref="CX31:CX34" si="57">SUM(BK31:BN31)</f>
        <v>0</v>
      </c>
      <c r="CY31" s="1">
        <f t="shared" ref="CY31:CY34" si="58">SUM(BO31:BR31)</f>
        <v>0</v>
      </c>
    </row>
    <row r="32" spans="2:165">
      <c r="B32" s="1" t="s">
        <v>154</v>
      </c>
      <c r="CI32" s="1">
        <f t="shared" si="42"/>
        <v>0</v>
      </c>
      <c r="CJ32" s="1">
        <f t="shared" si="43"/>
        <v>0</v>
      </c>
      <c r="CK32" s="1">
        <f t="shared" si="44"/>
        <v>0</v>
      </c>
      <c r="CL32" s="1">
        <f t="shared" si="45"/>
        <v>0</v>
      </c>
      <c r="CM32" s="1">
        <f t="shared" si="46"/>
        <v>0</v>
      </c>
      <c r="CN32" s="1">
        <f t="shared" si="47"/>
        <v>0</v>
      </c>
      <c r="CO32" s="1">
        <f t="shared" si="48"/>
        <v>0</v>
      </c>
      <c r="CP32" s="1">
        <f t="shared" si="49"/>
        <v>0</v>
      </c>
      <c r="CQ32" s="1">
        <f t="shared" si="50"/>
        <v>0</v>
      </c>
      <c r="CR32" s="1">
        <f t="shared" si="51"/>
        <v>0</v>
      </c>
      <c r="CS32" s="1">
        <f t="shared" si="52"/>
        <v>0</v>
      </c>
      <c r="CT32" s="1">
        <f t="shared" si="53"/>
        <v>0</v>
      </c>
      <c r="CU32" s="1">
        <f t="shared" si="54"/>
        <v>0</v>
      </c>
      <c r="CV32" s="1">
        <f t="shared" si="55"/>
        <v>0</v>
      </c>
      <c r="CW32" s="1">
        <f t="shared" si="56"/>
        <v>0</v>
      </c>
      <c r="CX32" s="1">
        <f t="shared" si="57"/>
        <v>0</v>
      </c>
      <c r="CY32" s="1">
        <f t="shared" si="58"/>
        <v>0</v>
      </c>
    </row>
    <row r="33" spans="2:165">
      <c r="B33" s="1" t="s">
        <v>153</v>
      </c>
      <c r="CI33" s="1">
        <f t="shared" si="42"/>
        <v>0</v>
      </c>
      <c r="CJ33" s="1">
        <f t="shared" si="43"/>
        <v>0</v>
      </c>
      <c r="CK33" s="1">
        <f t="shared" si="44"/>
        <v>0</v>
      </c>
      <c r="CL33" s="1">
        <f t="shared" si="45"/>
        <v>0</v>
      </c>
      <c r="CM33" s="1">
        <f t="shared" si="46"/>
        <v>0</v>
      </c>
      <c r="CN33" s="1">
        <f t="shared" si="47"/>
        <v>0</v>
      </c>
      <c r="CO33" s="1">
        <f t="shared" si="48"/>
        <v>0</v>
      </c>
      <c r="CP33" s="1">
        <f t="shared" si="49"/>
        <v>0</v>
      </c>
      <c r="CQ33" s="1">
        <f t="shared" si="50"/>
        <v>0</v>
      </c>
      <c r="CR33" s="1">
        <f t="shared" si="51"/>
        <v>0</v>
      </c>
      <c r="CS33" s="1">
        <f t="shared" si="52"/>
        <v>0</v>
      </c>
      <c r="CT33" s="1">
        <f t="shared" si="53"/>
        <v>0</v>
      </c>
      <c r="CU33" s="1">
        <f t="shared" si="54"/>
        <v>0</v>
      </c>
      <c r="CV33" s="1">
        <f t="shared" si="55"/>
        <v>0</v>
      </c>
      <c r="CW33" s="1">
        <f t="shared" si="56"/>
        <v>0</v>
      </c>
      <c r="CX33" s="1">
        <f t="shared" si="57"/>
        <v>0</v>
      </c>
      <c r="CY33" s="1">
        <f t="shared" si="58"/>
        <v>0</v>
      </c>
    </row>
    <row r="34" spans="2:165">
      <c r="B34" s="1" t="s">
        <v>152</v>
      </c>
      <c r="CI34" s="1">
        <f t="shared" si="42"/>
        <v>0</v>
      </c>
      <c r="CJ34" s="1">
        <f t="shared" si="43"/>
        <v>0</v>
      </c>
      <c r="CK34" s="1">
        <f t="shared" si="44"/>
        <v>0</v>
      </c>
      <c r="CL34" s="1">
        <f t="shared" si="45"/>
        <v>0</v>
      </c>
      <c r="CM34" s="1">
        <f t="shared" si="46"/>
        <v>0</v>
      </c>
      <c r="CN34" s="1">
        <f t="shared" si="47"/>
        <v>0</v>
      </c>
      <c r="CO34" s="1">
        <f t="shared" si="48"/>
        <v>0</v>
      </c>
      <c r="CP34" s="1">
        <f t="shared" si="49"/>
        <v>0</v>
      </c>
      <c r="CQ34" s="1">
        <f t="shared" si="50"/>
        <v>0</v>
      </c>
      <c r="CR34" s="1">
        <f t="shared" si="51"/>
        <v>0</v>
      </c>
      <c r="CS34" s="1">
        <f t="shared" si="52"/>
        <v>0</v>
      </c>
      <c r="CT34" s="1">
        <f t="shared" si="53"/>
        <v>0</v>
      </c>
      <c r="CU34" s="1">
        <f t="shared" si="54"/>
        <v>0</v>
      </c>
      <c r="CV34" s="1">
        <f t="shared" si="55"/>
        <v>0</v>
      </c>
      <c r="CW34" s="1">
        <f t="shared" si="56"/>
        <v>0</v>
      </c>
      <c r="CX34" s="1">
        <f t="shared" si="57"/>
        <v>0</v>
      </c>
      <c r="CY34" s="1">
        <f t="shared" si="58"/>
        <v>0</v>
      </c>
    </row>
    <row r="36" spans="2:165">
      <c r="B36" s="1" t="s">
        <v>161</v>
      </c>
    </row>
    <row r="37" spans="2:165">
      <c r="B37" s="1" t="s">
        <v>159</v>
      </c>
    </row>
    <row r="38" spans="2:165">
      <c r="B38" s="1" t="s">
        <v>160</v>
      </c>
    </row>
    <row r="39" spans="2:165">
      <c r="B39" s="1" t="s">
        <v>162</v>
      </c>
    </row>
    <row r="41" spans="2:165">
      <c r="B41" s="38" t="s">
        <v>155</v>
      </c>
    </row>
    <row r="42" spans="2:165">
      <c r="B42" s="1" t="s">
        <v>156</v>
      </c>
    </row>
    <row r="43" spans="2:165">
      <c r="B43" s="1" t="s">
        <v>157</v>
      </c>
    </row>
    <row r="44" spans="2:165">
      <c r="B44" s="1" t="s">
        <v>158</v>
      </c>
    </row>
    <row r="46" spans="2:165" s="2" customFormat="1" ht="15">
      <c r="B46" s="2" t="s">
        <v>125</v>
      </c>
      <c r="AY46" s="2">
        <f t="shared" ref="AY46:BR46" si="59">AY14</f>
        <v>0</v>
      </c>
      <c r="AZ46" s="2">
        <f t="shared" si="59"/>
        <v>0</v>
      </c>
      <c r="BA46" s="2">
        <f t="shared" si="59"/>
        <v>0</v>
      </c>
      <c r="BB46" s="2">
        <f t="shared" si="59"/>
        <v>0</v>
      </c>
      <c r="BC46" s="2">
        <f t="shared" si="59"/>
        <v>0</v>
      </c>
      <c r="BD46" s="2">
        <f t="shared" si="59"/>
        <v>0</v>
      </c>
      <c r="BE46" s="2">
        <f t="shared" si="59"/>
        <v>0</v>
      </c>
      <c r="BF46" s="2">
        <f t="shared" si="59"/>
        <v>0</v>
      </c>
      <c r="BG46" s="2">
        <f t="shared" si="59"/>
        <v>0</v>
      </c>
      <c r="BH46" s="2">
        <f t="shared" si="59"/>
        <v>0</v>
      </c>
      <c r="BI46" s="2">
        <f t="shared" si="59"/>
        <v>0</v>
      </c>
      <c r="BJ46" s="2">
        <f t="shared" si="59"/>
        <v>0</v>
      </c>
      <c r="BK46" s="2">
        <f t="shared" si="59"/>
        <v>0</v>
      </c>
      <c r="BL46" s="2">
        <f t="shared" si="59"/>
        <v>0</v>
      </c>
      <c r="BM46" s="2">
        <f t="shared" si="59"/>
        <v>0</v>
      </c>
      <c r="BN46" s="2">
        <f t="shared" si="59"/>
        <v>0</v>
      </c>
      <c r="BO46" s="2">
        <f t="shared" si="59"/>
        <v>0</v>
      </c>
      <c r="BP46" s="2">
        <f t="shared" si="59"/>
        <v>0</v>
      </c>
      <c r="BQ46" s="2">
        <f t="shared" si="59"/>
        <v>0</v>
      </c>
      <c r="BR46" s="2">
        <f t="shared" si="59"/>
        <v>0</v>
      </c>
      <c r="BS46" s="2">
        <f>BS14</f>
        <v>0</v>
      </c>
      <c r="BT46" s="34"/>
      <c r="BU46" s="34"/>
      <c r="BV46" s="34"/>
      <c r="BW46" s="34"/>
      <c r="BX46" s="34"/>
      <c r="BY46" s="34"/>
      <c r="BZ46" s="34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</row>
    <row r="47" spans="2:165">
      <c r="B47" s="1" t="s">
        <v>163</v>
      </c>
    </row>
    <row r="48" spans="2:165">
      <c r="B48" s="1" t="s">
        <v>164</v>
      </c>
      <c r="AY48" s="1">
        <f t="shared" ref="AY48:BR48" si="60">AY46-AY47</f>
        <v>0</v>
      </c>
      <c r="AZ48" s="1">
        <f t="shared" si="60"/>
        <v>0</v>
      </c>
      <c r="BA48" s="1">
        <f t="shared" si="60"/>
        <v>0</v>
      </c>
      <c r="BB48" s="1">
        <f t="shared" si="60"/>
        <v>0</v>
      </c>
      <c r="BC48" s="1">
        <f t="shared" si="60"/>
        <v>0</v>
      </c>
      <c r="BD48" s="1">
        <f t="shared" si="60"/>
        <v>0</v>
      </c>
      <c r="BE48" s="1">
        <f t="shared" si="60"/>
        <v>0</v>
      </c>
      <c r="BF48" s="1">
        <f t="shared" si="60"/>
        <v>0</v>
      </c>
      <c r="BG48" s="1">
        <f t="shared" si="60"/>
        <v>0</v>
      </c>
      <c r="BH48" s="1">
        <f t="shared" si="60"/>
        <v>0</v>
      </c>
      <c r="BI48" s="1">
        <f t="shared" si="60"/>
        <v>0</v>
      </c>
      <c r="BJ48" s="1">
        <f t="shared" si="60"/>
        <v>0</v>
      </c>
      <c r="BK48" s="1">
        <f t="shared" si="60"/>
        <v>0</v>
      </c>
      <c r="BL48" s="1">
        <f t="shared" si="60"/>
        <v>0</v>
      </c>
      <c r="BM48" s="1">
        <f t="shared" si="60"/>
        <v>0</v>
      </c>
      <c r="BN48" s="1">
        <f t="shared" si="60"/>
        <v>0</v>
      </c>
      <c r="BO48" s="1">
        <f t="shared" si="60"/>
        <v>0</v>
      </c>
      <c r="BP48" s="1">
        <f t="shared" si="60"/>
        <v>0</v>
      </c>
      <c r="BQ48" s="1">
        <f t="shared" si="60"/>
        <v>0</v>
      </c>
      <c r="BR48" s="1">
        <f t="shared" si="60"/>
        <v>0</v>
      </c>
      <c r="BS48" s="1">
        <f>BS46-BS47</f>
        <v>0</v>
      </c>
    </row>
    <row r="66" spans="2:114">
      <c r="B66" s="37" t="s">
        <v>165</v>
      </c>
    </row>
    <row r="67" spans="2:114">
      <c r="B67" s="37" t="s">
        <v>166</v>
      </c>
    </row>
    <row r="68" spans="2:114">
      <c r="B68" s="37" t="s">
        <v>167</v>
      </c>
    </row>
    <row r="69" spans="2:114">
      <c r="B69" s="37" t="s">
        <v>168</v>
      </c>
    </row>
    <row r="70" spans="2:114">
      <c r="B70" s="37" t="s">
        <v>169</v>
      </c>
    </row>
    <row r="71" spans="2:114">
      <c r="B71" s="37" t="s">
        <v>170</v>
      </c>
    </row>
    <row r="72" spans="2:114">
      <c r="B72" s="37" t="s">
        <v>201</v>
      </c>
    </row>
    <row r="74" spans="2:114">
      <c r="B74" s="1" t="s">
        <v>171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</row>
    <row r="75" spans="2:114">
      <c r="B75" s="1" t="s">
        <v>172</v>
      </c>
    </row>
    <row r="76" spans="2:114">
      <c r="B76" s="1" t="s">
        <v>173</v>
      </c>
      <c r="DA76" s="51" t="s">
        <v>219</v>
      </c>
      <c r="DB76" s="52"/>
      <c r="DC76" s="52"/>
      <c r="DD76" s="51" t="s">
        <v>220</v>
      </c>
      <c r="DE76" s="52"/>
      <c r="DF76" s="53" t="s">
        <v>221</v>
      </c>
      <c r="DG76" s="52"/>
      <c r="DH76" s="54" t="s">
        <v>222</v>
      </c>
      <c r="DI76" s="55">
        <v>0.06</v>
      </c>
      <c r="DJ76" s="52"/>
    </row>
    <row r="77" spans="2:114" ht="13.5" customHeight="1">
      <c r="DA77" s="52">
        <v>2025</v>
      </c>
      <c r="DB77" s="52"/>
      <c r="DC77" s="52">
        <v>2023</v>
      </c>
      <c r="DD77" s="52">
        <v>2024</v>
      </c>
      <c r="DE77" s="52"/>
      <c r="DF77" s="53" t="s">
        <v>223</v>
      </c>
      <c r="DG77" s="52"/>
      <c r="DH77" s="54" t="s">
        <v>224</v>
      </c>
      <c r="DI77" s="55">
        <v>2.5000000000000001E-2</v>
      </c>
      <c r="DJ77" s="52"/>
    </row>
    <row r="78" spans="2:114" ht="13.5" customHeight="1">
      <c r="DA78" s="56" t="e">
        <f>AVERAGE(CZ56)*(1-CZ70)</f>
        <v>#DIV/0!</v>
      </c>
      <c r="DB78" s="52"/>
      <c r="DC78" s="57">
        <f>SUM(CX73:CX78)-CX89+CX79+CX82+CX81</f>
        <v>0</v>
      </c>
      <c r="DD78" s="57">
        <f>SUM(CY73:CY78)-CY89+CY79+CY82+CY81</f>
        <v>0</v>
      </c>
      <c r="DE78" s="52"/>
      <c r="DF78" s="57">
        <f>AVERAGE(DC78:DD78)</f>
        <v>0</v>
      </c>
      <c r="DG78" s="52"/>
      <c r="DH78" s="54" t="s">
        <v>225</v>
      </c>
      <c r="DI78" s="55">
        <v>4.3400000000000001E-2</v>
      </c>
      <c r="DJ78" s="52"/>
    </row>
    <row r="79" spans="2:114" ht="13.5" customHeight="1">
      <c r="DA79" s="58" t="e">
        <f>DA78/DF78</f>
        <v>#DIV/0!</v>
      </c>
      <c r="DB79" s="52"/>
      <c r="DC79" s="52"/>
      <c r="DD79" s="52"/>
      <c r="DE79" s="52"/>
      <c r="DF79" s="52"/>
      <c r="DG79" s="52"/>
      <c r="DH79" s="54" t="s">
        <v>226</v>
      </c>
      <c r="DI79" s="55">
        <f>13.4%-DI78</f>
        <v>9.0600000000000014E-2</v>
      </c>
      <c r="DJ79" s="52"/>
    </row>
    <row r="80" spans="2:114" ht="13.5" customHeight="1">
      <c r="DA80" s="52"/>
      <c r="DB80" s="52"/>
      <c r="DC80" s="52"/>
      <c r="DD80" s="52"/>
      <c r="DE80" s="52"/>
      <c r="DF80" s="52"/>
      <c r="DG80" s="52"/>
      <c r="DH80" s="54" t="s">
        <v>227</v>
      </c>
      <c r="DI80" s="52">
        <f>'Notes | Quant Analysis'!K264</f>
        <v>1.49</v>
      </c>
      <c r="DJ80" s="52"/>
    </row>
    <row r="81" spans="105:114" ht="13.5" customHeight="1">
      <c r="DA81" s="52"/>
      <c r="DB81" s="52"/>
      <c r="DC81" s="52"/>
      <c r="DD81" s="52"/>
      <c r="DE81" s="52"/>
      <c r="DF81" s="52"/>
      <c r="DG81" s="52"/>
      <c r="DH81" s="54" t="s">
        <v>228</v>
      </c>
      <c r="DI81" s="55">
        <f>+DI78+(DI79*DI80)</f>
        <v>0.17839400000000002</v>
      </c>
      <c r="DJ81" s="59"/>
    </row>
    <row r="82" spans="105:114" ht="13.5" customHeight="1">
      <c r="DA82" s="59"/>
      <c r="DB82" s="59"/>
      <c r="DC82" s="59"/>
      <c r="DD82" s="59"/>
      <c r="DE82" s="59"/>
      <c r="DF82" s="59"/>
      <c r="DG82" s="59"/>
      <c r="DH82" s="54"/>
      <c r="DI82" s="52"/>
      <c r="DJ82" s="52"/>
    </row>
    <row r="83" spans="105:114" ht="13.5" customHeight="1">
      <c r="DA83" s="52"/>
      <c r="DB83" s="52"/>
      <c r="DC83" s="52"/>
      <c r="DD83" s="52"/>
      <c r="DE83" s="52"/>
      <c r="DF83" s="52"/>
      <c r="DG83" s="52"/>
      <c r="DH83" s="54" t="s">
        <v>229</v>
      </c>
      <c r="DI83" s="57">
        <f>NPV(DI81,CZ62:EW62)</f>
        <v>0</v>
      </c>
      <c r="DJ83" s="52"/>
    </row>
    <row r="84" spans="105:114" ht="13.5" customHeight="1">
      <c r="DA84" s="52"/>
      <c r="DB84" s="52"/>
      <c r="DC84" s="52"/>
      <c r="DD84" s="52"/>
      <c r="DE84" s="52"/>
      <c r="DF84" s="52"/>
      <c r="DG84" s="52"/>
      <c r="DH84" s="54" t="s">
        <v>185</v>
      </c>
      <c r="DI84" s="57">
        <f>Main!C4</f>
        <v>424.2</v>
      </c>
      <c r="DJ84" s="60" t="s">
        <v>230</v>
      </c>
    </row>
    <row r="85" spans="105:114" ht="13.5" customHeight="1">
      <c r="DA85" s="52"/>
      <c r="DB85" s="52"/>
      <c r="DC85" s="52"/>
      <c r="DD85" s="52"/>
      <c r="DE85" s="52"/>
      <c r="DF85" s="52"/>
      <c r="DG85" s="52"/>
      <c r="DH85" s="54" t="s">
        <v>231</v>
      </c>
      <c r="DI85" s="61">
        <f>DI83/DI84</f>
        <v>0</v>
      </c>
      <c r="DJ85" s="51"/>
    </row>
    <row r="86" spans="105:114" ht="13.5" customHeight="1">
      <c r="DA86" s="52"/>
      <c r="DB86" s="52"/>
      <c r="DC86" s="52"/>
      <c r="DD86" s="52"/>
      <c r="DE86" s="52"/>
      <c r="DF86" s="52"/>
      <c r="DG86" s="52"/>
      <c r="DH86" s="54" t="s">
        <v>232</v>
      </c>
      <c r="DI86" s="61">
        <f>Main!C3</f>
        <v>365.9</v>
      </c>
      <c r="DJ86" s="62"/>
    </row>
    <row r="87" spans="105:114" ht="13.5" customHeight="1">
      <c r="DA87" s="59"/>
      <c r="DB87" s="59"/>
      <c r="DC87" s="59"/>
      <c r="DD87" s="59"/>
      <c r="DE87" s="59"/>
      <c r="DF87" s="59"/>
      <c r="DG87" s="59"/>
      <c r="DH87" s="54" t="s">
        <v>233</v>
      </c>
      <c r="DI87" s="55">
        <f>DI85/DI86-1</f>
        <v>-1</v>
      </c>
      <c r="DJ87" s="63" t="str">
        <f>IF(DI87&gt;0,"Upside","Downside")</f>
        <v>Downside</v>
      </c>
    </row>
    <row r="88" spans="105:114" ht="13.5" customHeight="1">
      <c r="DH88" s="72" t="str" cm="1">
        <f t="array" ref="DH88">_xlfn.IFS(DI87&gt;=25%,"Strong Buy",DI87&gt;=10.00001%,"Buy",AND(DI87&lt;=10%,DI87&gt;=-4.9999%),"Hold",AND(DI87&lt;=-5%,DI87&gt;=-14.999999%),"Sell",DI87&lt;=-15%,"Strong Sell")</f>
        <v>Strong Sell</v>
      </c>
      <c r="DI88" s="72"/>
    </row>
    <row r="89" spans="105:114" ht="13.5" customHeight="1"/>
    <row r="90" spans="105:114" ht="13.5" customHeight="1"/>
    <row r="91" spans="105:114" ht="13.5" customHeight="1"/>
    <row r="92" spans="105:114" ht="13.5" customHeight="1"/>
    <row r="93" spans="105:114" ht="13.5" customHeight="1"/>
    <row r="108" spans="2:2">
      <c r="B108" s="1" t="s">
        <v>174</v>
      </c>
    </row>
    <row r="109" spans="2:2">
      <c r="B109" s="1" t="s">
        <v>175</v>
      </c>
    </row>
    <row r="110" spans="2:2">
      <c r="B110" s="1" t="s">
        <v>176</v>
      </c>
    </row>
    <row r="111" spans="2:2">
      <c r="B111" s="1" t="s">
        <v>177</v>
      </c>
    </row>
    <row r="112" spans="2:2">
      <c r="B112" s="1" t="s">
        <v>178</v>
      </c>
    </row>
    <row r="113" spans="2:2">
      <c r="B113" s="1" t="s">
        <v>179</v>
      </c>
    </row>
    <row r="114" spans="2:2">
      <c r="B114" s="1" t="s">
        <v>180</v>
      </c>
    </row>
    <row r="117" spans="2:2">
      <c r="B117" s="1" t="s">
        <v>181</v>
      </c>
    </row>
    <row r="118" spans="2:2">
      <c r="B118" s="1" t="s">
        <v>182</v>
      </c>
    </row>
    <row r="119" spans="2:2">
      <c r="B119" s="1" t="s">
        <v>183</v>
      </c>
    </row>
    <row r="120" spans="2:2">
      <c r="B120" s="1" t="s">
        <v>184</v>
      </c>
    </row>
    <row r="121" spans="2:2">
      <c r="B121" s="1" t="s">
        <v>185</v>
      </c>
    </row>
    <row r="122" spans="2:2">
      <c r="B122" s="1" t="s">
        <v>186</v>
      </c>
    </row>
  </sheetData>
  <mergeCells count="1">
    <mergeCell ref="DH88:DI88"/>
  </mergeCells>
  <conditionalFormatting sqref="DH8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Sell",DH88)))</formula>
    </cfRule>
    <cfRule type="containsText" dxfId="3" priority="3" operator="containsText" text="Sell">
      <formula>NOT(ISERROR(SEARCH("Sell",DH88)))</formula>
    </cfRule>
    <cfRule type="containsText" dxfId="2" priority="4" operator="containsText" text="Hold">
      <formula>NOT(ISERROR(SEARCH("Hold",DH88)))</formula>
    </cfRule>
    <cfRule type="beginsWith" dxfId="1" priority="5" operator="beginsWith" text="Buy">
      <formula>LEFT(DH88,LEN("Buy"))="Buy"</formula>
    </cfRule>
    <cfRule type="beginsWith" dxfId="0" priority="6" operator="beginsWith" text="Strong">
      <formula>LEFT(DH88,LEN("Strong"))="Strong"</formula>
    </cfRule>
  </conditionalFormatting>
  <pageMargins left="0.7" right="0.7" top="0.75" bottom="0.75" header="0.3" footer="0.3"/>
  <ignoredErrors>
    <ignoredError sqref="CZ26:DI26 CJ16:CY16 CJ17:CY28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615"/>
  <sheetViews>
    <sheetView topLeftCell="H135" zoomScale="55" zoomScaleNormal="55" workbookViewId="0">
      <selection activeCell="G229" sqref="A1:G1048576"/>
    </sheetView>
  </sheetViews>
  <sheetFormatPr defaultColWidth="9.140625" defaultRowHeight="14.25"/>
  <cols>
    <col min="1" max="7" width="9.140625" style="1" hidden="1" customWidth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209</v>
      </c>
      <c r="AD2" s="2" t="s">
        <v>187</v>
      </c>
    </row>
    <row r="30" spans="9:10">
      <c r="I30" s="1" t="s">
        <v>20</v>
      </c>
      <c r="J30" s="1" t="s">
        <v>21</v>
      </c>
    </row>
    <row r="31" spans="9:10">
      <c r="J31" s="1" t="s">
        <v>22</v>
      </c>
    </row>
    <row r="32" spans="9:10">
      <c r="J32" s="1" t="s">
        <v>23</v>
      </c>
    </row>
    <row r="33" spans="8:30" ht="15">
      <c r="AD33" s="2" t="s">
        <v>1535</v>
      </c>
    </row>
    <row r="34" spans="8:30" ht="15">
      <c r="H34" s="2" t="s">
        <v>213</v>
      </c>
      <c r="AD34" s="2" t="s">
        <v>188</v>
      </c>
    </row>
    <row r="62" spans="9:10">
      <c r="I62" s="1" t="s">
        <v>20</v>
      </c>
      <c r="J62" s="1" t="s">
        <v>21</v>
      </c>
    </row>
    <row r="63" spans="9:10">
      <c r="J63" s="1" t="s">
        <v>22</v>
      </c>
    </row>
    <row r="64" spans="9:10">
      <c r="J64" s="1" t="s">
        <v>23</v>
      </c>
    </row>
    <row r="66" spans="8:9" ht="15">
      <c r="H66" s="2" t="s">
        <v>14</v>
      </c>
    </row>
    <row r="67" spans="8:9">
      <c r="I67" s="1" t="s">
        <v>15</v>
      </c>
    </row>
    <row r="73" spans="8:9">
      <c r="I73" s="1" t="s">
        <v>16</v>
      </c>
    </row>
    <row r="89" spans="9:9">
      <c r="I89" s="1" t="s">
        <v>17</v>
      </c>
    </row>
    <row r="106" spans="9:9">
      <c r="I106" s="1" t="s">
        <v>18</v>
      </c>
    </row>
    <row r="127" spans="8:30" ht="15">
      <c r="H127" s="2" t="s">
        <v>19</v>
      </c>
      <c r="AD127" s="2" t="s">
        <v>189</v>
      </c>
    </row>
    <row r="159" spans="9:10">
      <c r="I159" s="1" t="s">
        <v>20</v>
      </c>
      <c r="J159" s="1" t="s">
        <v>21</v>
      </c>
    </row>
    <row r="160" spans="9:10">
      <c r="J160" s="1" t="s">
        <v>22</v>
      </c>
    </row>
    <row r="161" spans="8:10">
      <c r="J161" s="1" t="s">
        <v>23</v>
      </c>
    </row>
    <row r="163" spans="8:10" ht="15">
      <c r="H163" s="2" t="s">
        <v>212</v>
      </c>
    </row>
    <row r="192" spans="9:10">
      <c r="I192" s="1" t="s">
        <v>20</v>
      </c>
      <c r="J192" s="1" t="s">
        <v>21</v>
      </c>
    </row>
    <row r="193" spans="8:30">
      <c r="J193" s="1" t="s">
        <v>22</v>
      </c>
    </row>
    <row r="194" spans="8:30">
      <c r="J194" s="1" t="s">
        <v>23</v>
      </c>
    </row>
    <row r="196" spans="8:30" ht="15">
      <c r="H196" s="2" t="s">
        <v>211</v>
      </c>
      <c r="AD196" s="2" t="s">
        <v>190</v>
      </c>
    </row>
    <row r="212" ht="15" customHeight="1"/>
    <row r="225" spans="9:30">
      <c r="I225" s="1" t="s">
        <v>20</v>
      </c>
      <c r="J225" s="1" t="s">
        <v>21</v>
      </c>
    </row>
    <row r="226" spans="9:30">
      <c r="J226" s="1" t="s">
        <v>22</v>
      </c>
    </row>
    <row r="227" spans="9:30">
      <c r="J227" s="1" t="s">
        <v>23</v>
      </c>
    </row>
    <row r="228" spans="9:30" ht="15">
      <c r="AD228" s="2" t="s">
        <v>191</v>
      </c>
    </row>
    <row r="243" spans="1:7">
      <c r="A243" s="1" t="s">
        <v>1533</v>
      </c>
    </row>
    <row r="244" spans="1:7">
      <c r="A244" s="24" t="s">
        <v>24</v>
      </c>
      <c r="B244" s="24" t="s">
        <v>25</v>
      </c>
      <c r="C244" s="24" t="s">
        <v>26</v>
      </c>
      <c r="D244" s="24" t="s">
        <v>27</v>
      </c>
      <c r="E244" s="24" t="s">
        <v>28</v>
      </c>
      <c r="F244" s="24" t="s">
        <v>29</v>
      </c>
      <c r="G244" s="24" t="s">
        <v>30</v>
      </c>
    </row>
    <row r="245" spans="1:7">
      <c r="A245" s="67">
        <v>365.9</v>
      </c>
      <c r="B245" s="67">
        <v>370.31</v>
      </c>
      <c r="C245" s="67">
        <v>362.54</v>
      </c>
      <c r="D245" s="67">
        <v>368.94</v>
      </c>
      <c r="E245" s="67">
        <v>7693030</v>
      </c>
      <c r="F245" s="67" t="s">
        <v>278</v>
      </c>
      <c r="G245" s="25">
        <f t="shared" ref="G245:G308" si="0">A245/D245-1</f>
        <v>-8.239822193310653E-3</v>
      </c>
    </row>
    <row r="246" spans="1:7">
      <c r="A246" s="67">
        <v>367.46</v>
      </c>
      <c r="B246" s="67">
        <v>370.86</v>
      </c>
      <c r="C246" s="67">
        <v>365.85</v>
      </c>
      <c r="D246" s="67">
        <v>366.86</v>
      </c>
      <c r="E246" s="67">
        <v>4705617</v>
      </c>
      <c r="F246" s="67" t="s">
        <v>279</v>
      </c>
      <c r="G246" s="25">
        <f t="shared" si="0"/>
        <v>1.6355012811426484E-3</v>
      </c>
    </row>
    <row r="247" spans="1:7">
      <c r="A247" s="67">
        <v>362.07</v>
      </c>
      <c r="B247" s="67">
        <v>365</v>
      </c>
      <c r="C247" s="67">
        <v>353.18</v>
      </c>
      <c r="D247" s="67">
        <v>353.18</v>
      </c>
      <c r="E247" s="67">
        <v>6449922</v>
      </c>
      <c r="F247" s="67" t="s">
        <v>280</v>
      </c>
      <c r="G247" s="25">
        <f t="shared" si="0"/>
        <v>2.51713007531571E-2</v>
      </c>
    </row>
    <row r="248" spans="1:7">
      <c r="A248" s="67">
        <v>352.73</v>
      </c>
      <c r="B248" s="67">
        <v>356.94</v>
      </c>
      <c r="C248" s="67">
        <v>348.31729999999999</v>
      </c>
      <c r="D248" s="67">
        <v>350.15499999999997</v>
      </c>
      <c r="E248" s="67">
        <v>6680831</v>
      </c>
      <c r="F248" s="67" t="s">
        <v>281</v>
      </c>
      <c r="G248" s="25">
        <f t="shared" si="0"/>
        <v>7.3538861361397423E-3</v>
      </c>
    </row>
    <row r="249" spans="1:7">
      <c r="A249" s="67">
        <v>347.1</v>
      </c>
      <c r="B249" s="67">
        <v>358</v>
      </c>
      <c r="C249" s="67">
        <v>345.05</v>
      </c>
      <c r="D249" s="67">
        <v>350.5</v>
      </c>
      <c r="E249" s="67">
        <v>6724570</v>
      </c>
      <c r="F249" s="67" t="s">
        <v>282</v>
      </c>
      <c r="G249" s="25">
        <f t="shared" si="0"/>
        <v>-9.7004279600569898E-3</v>
      </c>
    </row>
    <row r="250" spans="1:7">
      <c r="A250" s="67">
        <v>349.36</v>
      </c>
      <c r="B250" s="67">
        <v>366.5</v>
      </c>
      <c r="C250" s="67">
        <v>341.61</v>
      </c>
      <c r="D250" s="67">
        <v>361.1</v>
      </c>
      <c r="E250" s="67">
        <v>14082475</v>
      </c>
      <c r="F250" s="67" t="s">
        <v>283</v>
      </c>
      <c r="G250" s="25">
        <f t="shared" si="0"/>
        <v>-3.2511769592910578E-2</v>
      </c>
    </row>
    <row r="251" spans="1:7">
      <c r="A251" s="67">
        <v>350.55</v>
      </c>
      <c r="B251" s="67">
        <v>355.25</v>
      </c>
      <c r="C251" s="67">
        <v>347.16</v>
      </c>
      <c r="D251" s="67">
        <v>354.685</v>
      </c>
      <c r="E251" s="67">
        <v>10429434</v>
      </c>
      <c r="F251" s="67" t="s">
        <v>284</v>
      </c>
      <c r="G251" s="25">
        <f t="shared" si="0"/>
        <v>-1.165823195229565E-2</v>
      </c>
    </row>
    <row r="252" spans="1:7">
      <c r="A252" s="67">
        <v>350.16</v>
      </c>
      <c r="B252" s="67">
        <v>359.19</v>
      </c>
      <c r="C252" s="67">
        <v>348.12</v>
      </c>
      <c r="D252" s="67">
        <v>356.29</v>
      </c>
      <c r="E252" s="67">
        <v>4469951</v>
      </c>
      <c r="F252" s="67" t="s">
        <v>285</v>
      </c>
      <c r="G252" s="25">
        <f t="shared" si="0"/>
        <v>-1.720508574475843E-2</v>
      </c>
    </row>
    <row r="253" spans="1:7">
      <c r="A253" s="67">
        <v>354.06</v>
      </c>
      <c r="B253" s="67">
        <v>362.75</v>
      </c>
      <c r="C253" s="67">
        <v>353.03</v>
      </c>
      <c r="D253" s="67">
        <v>362.75</v>
      </c>
      <c r="E253" s="67">
        <v>4291673</v>
      </c>
      <c r="F253" s="67" t="s">
        <v>286</v>
      </c>
      <c r="G253" s="25">
        <f t="shared" si="0"/>
        <v>-2.395589248793939E-2</v>
      </c>
    </row>
    <row r="254" spans="1:7">
      <c r="A254" s="67">
        <v>358.66</v>
      </c>
      <c r="B254" s="67">
        <v>358.82</v>
      </c>
      <c r="C254" s="67">
        <v>343.59</v>
      </c>
      <c r="D254" s="67">
        <v>348.85500000000002</v>
      </c>
      <c r="E254" s="67">
        <v>4852876</v>
      </c>
      <c r="F254" s="67" t="s">
        <v>287</v>
      </c>
      <c r="G254" s="25">
        <f t="shared" si="0"/>
        <v>2.8106233248770929E-2</v>
      </c>
    </row>
    <row r="255" spans="1:7">
      <c r="A255" s="67">
        <v>348.97</v>
      </c>
      <c r="B255" s="67">
        <v>354.67</v>
      </c>
      <c r="C255" s="67">
        <v>345.10129999999998</v>
      </c>
      <c r="D255" s="67">
        <v>345.80500000000001</v>
      </c>
      <c r="E255" s="67">
        <v>4653552</v>
      </c>
      <c r="F255" s="67" t="s">
        <v>288</v>
      </c>
      <c r="G255" s="25">
        <f t="shared" si="0"/>
        <v>9.1525570769654951E-3</v>
      </c>
    </row>
    <row r="256" spans="1:7">
      <c r="A256" s="67">
        <v>344.31</v>
      </c>
      <c r="B256" s="67">
        <v>344.40499999999997</v>
      </c>
      <c r="C256" s="67">
        <v>331.5</v>
      </c>
      <c r="D256" s="67">
        <v>342.24</v>
      </c>
      <c r="E256" s="67">
        <v>4907749</v>
      </c>
      <c r="F256" s="67" t="s">
        <v>289</v>
      </c>
      <c r="G256" s="25">
        <f t="shared" si="0"/>
        <v>6.0483870967742437E-3</v>
      </c>
    </row>
    <row r="257" spans="1:17">
      <c r="A257" s="67">
        <v>348.5</v>
      </c>
      <c r="B257" s="67">
        <v>348.51</v>
      </c>
      <c r="C257" s="67">
        <v>343.36</v>
      </c>
      <c r="D257" s="67">
        <v>345.72</v>
      </c>
      <c r="E257" s="67">
        <v>3003594</v>
      </c>
      <c r="F257" s="67" t="s">
        <v>290</v>
      </c>
      <c r="G257" s="25">
        <f t="shared" si="0"/>
        <v>8.0411894018279639E-3</v>
      </c>
    </row>
    <row r="258" spans="1:17">
      <c r="A258" s="67">
        <v>345.63</v>
      </c>
      <c r="B258" s="67">
        <v>352.7131</v>
      </c>
      <c r="C258" s="67">
        <v>341.28</v>
      </c>
      <c r="D258" s="67">
        <v>350.24</v>
      </c>
      <c r="E258" s="67">
        <v>4197318</v>
      </c>
      <c r="F258" s="67" t="s">
        <v>291</v>
      </c>
      <c r="G258" s="25">
        <f t="shared" si="0"/>
        <v>-1.3162402923709515E-2</v>
      </c>
      <c r="I258" s="26"/>
      <c r="J258" s="26" t="s">
        <v>31</v>
      </c>
      <c r="K258" s="27">
        <f>MIN(G245:G1499)</f>
        <v>-7.3300559416850319E-2</v>
      </c>
    </row>
    <row r="259" spans="1:17">
      <c r="A259" s="67">
        <v>356.7</v>
      </c>
      <c r="B259" s="67">
        <v>357.25</v>
      </c>
      <c r="C259" s="67">
        <v>352.45499999999998</v>
      </c>
      <c r="D259" s="67">
        <v>353.995</v>
      </c>
      <c r="E259" s="67">
        <v>2631184</v>
      </c>
      <c r="F259" s="67" t="s">
        <v>292</v>
      </c>
      <c r="G259" s="25">
        <f t="shared" si="0"/>
        <v>7.6413508665376106E-3</v>
      </c>
      <c r="I259" s="26"/>
      <c r="J259" s="26" t="s">
        <v>32</v>
      </c>
      <c r="K259" s="27">
        <f>MAX(G245:G1499)</f>
        <v>0.10805322630736525</v>
      </c>
    </row>
    <row r="260" spans="1:17">
      <c r="A260" s="67">
        <v>353.96</v>
      </c>
      <c r="B260" s="67">
        <v>358.26</v>
      </c>
      <c r="C260" s="67">
        <v>349.11</v>
      </c>
      <c r="D260" s="67">
        <v>357.63</v>
      </c>
      <c r="E260" s="67">
        <v>3780381</v>
      </c>
      <c r="F260" s="67" t="s">
        <v>293</v>
      </c>
      <c r="G260" s="25">
        <f t="shared" si="0"/>
        <v>-1.0262002628414923E-2</v>
      </c>
      <c r="I260" s="26"/>
      <c r="J260" s="26" t="s">
        <v>33</v>
      </c>
      <c r="K260" s="27">
        <f>AVERAGE(G245:G1499)</f>
        <v>-4.1756220857390642E-5</v>
      </c>
    </row>
    <row r="261" spans="1:17">
      <c r="A261" s="67">
        <v>356.35</v>
      </c>
      <c r="B261" s="67">
        <v>360.37</v>
      </c>
      <c r="C261" s="67">
        <v>355.16</v>
      </c>
      <c r="D261" s="67">
        <v>355.98</v>
      </c>
      <c r="E261" s="67">
        <v>2332949</v>
      </c>
      <c r="F261" s="67" t="s">
        <v>294</v>
      </c>
      <c r="G261" s="25">
        <f t="shared" si="0"/>
        <v>1.0393842350693294E-3</v>
      </c>
      <c r="I261" s="26"/>
      <c r="J261" s="26" t="s">
        <v>34</v>
      </c>
      <c r="K261" s="27">
        <f>MEDIAN(G245:G1499)</f>
        <v>6.182973370574274E-4</v>
      </c>
    </row>
    <row r="262" spans="1:17" ht="15">
      <c r="A262" s="67">
        <v>354.91</v>
      </c>
      <c r="B262" s="67">
        <v>363.23</v>
      </c>
      <c r="C262" s="67">
        <v>353.69499999999999</v>
      </c>
      <c r="D262" s="67">
        <v>363.03</v>
      </c>
      <c r="E262" s="67">
        <v>4036368</v>
      </c>
      <c r="F262" s="67" t="s">
        <v>295</v>
      </c>
      <c r="G262" s="25">
        <f t="shared" si="0"/>
        <v>-2.2367297468528613E-2</v>
      </c>
      <c r="I262" s="26"/>
      <c r="J262" s="26" t="s">
        <v>35</v>
      </c>
      <c r="K262" s="27">
        <f>_xlfn.STDEV.P(G245:G1499)</f>
        <v>1.6981209558510926E-2</v>
      </c>
      <c r="M262" s="2"/>
    </row>
    <row r="263" spans="1:17" ht="15">
      <c r="A263" s="67">
        <v>363.21</v>
      </c>
      <c r="B263" s="67">
        <v>364.65</v>
      </c>
      <c r="C263" s="67">
        <v>361.4</v>
      </c>
      <c r="D263" s="67">
        <v>362.56</v>
      </c>
      <c r="E263" s="67">
        <v>2259516</v>
      </c>
      <c r="F263" s="67" t="s">
        <v>296</v>
      </c>
      <c r="G263" s="25">
        <f t="shared" si="0"/>
        <v>1.792806707855199E-3</v>
      </c>
      <c r="I263" s="26"/>
      <c r="J263" s="28" t="s">
        <v>36</v>
      </c>
      <c r="K263" s="27">
        <f>3*K262</f>
        <v>5.0943628675532773E-2</v>
      </c>
      <c r="L263" s="26"/>
      <c r="M263" s="2" t="s">
        <v>202</v>
      </c>
    </row>
    <row r="264" spans="1:17" ht="15">
      <c r="A264" s="67">
        <v>362.09</v>
      </c>
      <c r="B264" s="67">
        <v>362.65</v>
      </c>
      <c r="C264" s="67">
        <v>354</v>
      </c>
      <c r="D264" s="67">
        <v>355.8</v>
      </c>
      <c r="E264" s="67">
        <v>2971195</v>
      </c>
      <c r="F264" s="67" t="s">
        <v>297</v>
      </c>
      <c r="G264" s="25">
        <f t="shared" si="0"/>
        <v>1.7678471051152167E-2</v>
      </c>
      <c r="I264" s="26"/>
      <c r="J264" s="28" t="s">
        <v>37</v>
      </c>
      <c r="K264" s="26">
        <v>1.49</v>
      </c>
      <c r="L264" s="26"/>
      <c r="M264" s="2" t="s">
        <v>38</v>
      </c>
    </row>
    <row r="265" spans="1:17">
      <c r="A265" s="67">
        <v>353.43</v>
      </c>
      <c r="B265" s="67">
        <v>353.82</v>
      </c>
      <c r="C265" s="67">
        <v>347</v>
      </c>
      <c r="D265" s="67">
        <v>349.91</v>
      </c>
      <c r="E265" s="67">
        <v>2363230</v>
      </c>
      <c r="F265" s="67" t="s">
        <v>298</v>
      </c>
      <c r="G265" s="25">
        <f t="shared" si="0"/>
        <v>1.0059729644765758E-2</v>
      </c>
    </row>
    <row r="266" spans="1:17">
      <c r="A266" s="67">
        <v>353.43</v>
      </c>
      <c r="B266" s="67">
        <v>363</v>
      </c>
      <c r="C266" s="67">
        <v>353.2</v>
      </c>
      <c r="D266" s="67">
        <v>361.68</v>
      </c>
      <c r="E266" s="67">
        <v>3711429</v>
      </c>
      <c r="F266" s="67" t="s">
        <v>299</v>
      </c>
      <c r="G266" s="25">
        <f t="shared" si="0"/>
        <v>-2.2810218978102204E-2</v>
      </c>
      <c r="I266" s="29" t="s">
        <v>39</v>
      </c>
      <c r="J266" s="30">
        <v>1256</v>
      </c>
    </row>
    <row r="267" spans="1:17" ht="15" thickBot="1">
      <c r="A267" s="67">
        <v>361.03</v>
      </c>
      <c r="B267" s="67">
        <v>364.24</v>
      </c>
      <c r="C267" s="67">
        <v>358.12</v>
      </c>
      <c r="D267" s="67">
        <v>359.21499999999997</v>
      </c>
      <c r="E267" s="67">
        <v>2773472</v>
      </c>
      <c r="F267" s="67" t="s">
        <v>300</v>
      </c>
      <c r="G267" s="25">
        <f t="shared" si="0"/>
        <v>5.0526843255431775E-3</v>
      </c>
      <c r="I267" s="1" t="s">
        <v>40</v>
      </c>
      <c r="L267" s="1" t="s">
        <v>41</v>
      </c>
      <c r="P267" s="1" t="s">
        <v>42</v>
      </c>
    </row>
    <row r="268" spans="1:17" ht="15" customHeight="1">
      <c r="A268" s="67">
        <v>357.24</v>
      </c>
      <c r="B268" s="67">
        <v>358.39</v>
      </c>
      <c r="C268" s="67">
        <v>353</v>
      </c>
      <c r="D268" s="67">
        <v>355.68</v>
      </c>
      <c r="E268" s="67">
        <v>2922973</v>
      </c>
      <c r="F268" s="67" t="s">
        <v>301</v>
      </c>
      <c r="G268" s="25">
        <f t="shared" si="0"/>
        <v>4.3859649122806044E-3</v>
      </c>
      <c r="I268" s="71" t="s">
        <v>43</v>
      </c>
      <c r="J268" s="71" t="s">
        <v>44</v>
      </c>
      <c r="L268" s="31" t="s">
        <v>45</v>
      </c>
      <c r="M268" s="32" t="s">
        <v>46</v>
      </c>
      <c r="P268" s="31" t="s">
        <v>47</v>
      </c>
      <c r="Q268" s="32" t="s">
        <v>48</v>
      </c>
    </row>
    <row r="269" spans="1:17" ht="15">
      <c r="A269" s="67">
        <v>354.85</v>
      </c>
      <c r="B269" s="67">
        <v>357.29</v>
      </c>
      <c r="C269" s="67">
        <v>348</v>
      </c>
      <c r="D269" s="67">
        <v>348.33</v>
      </c>
      <c r="E269" s="67">
        <v>3718652</v>
      </c>
      <c r="F269" s="67" t="s">
        <v>302</v>
      </c>
      <c r="G269" s="25">
        <f t="shared" si="0"/>
        <v>1.8717882467774949E-2</v>
      </c>
      <c r="I269" s="69">
        <v>-5.2000000000000039E-2</v>
      </c>
      <c r="J269">
        <v>3</v>
      </c>
      <c r="L269" s="68">
        <f t="shared" ref="L269:L319" si="1">L270-0.001</f>
        <v>-5.300000000000004E-2</v>
      </c>
      <c r="M269" s="1">
        <f>_xlfn.NORM.DIST(L269,$K$260,$K$262,FALSE)</f>
        <v>0.18154679152773484</v>
      </c>
      <c r="O269" s="1" t="s">
        <v>192</v>
      </c>
      <c r="P269" s="68">
        <f>K260</f>
        <v>-4.1756220857390642E-5</v>
      </c>
      <c r="Q269" s="1">
        <v>0</v>
      </c>
    </row>
    <row r="270" spans="1:17" ht="15">
      <c r="A270" s="67">
        <v>348.58</v>
      </c>
      <c r="B270" s="67">
        <v>351.55990000000003</v>
      </c>
      <c r="C270" s="67">
        <v>346.1</v>
      </c>
      <c r="D270" s="67">
        <v>349.5</v>
      </c>
      <c r="E270" s="67">
        <v>3745646</v>
      </c>
      <c r="F270" s="67" t="s">
        <v>303</v>
      </c>
      <c r="G270" s="25">
        <f t="shared" si="0"/>
        <v>-2.6323319027181658E-3</v>
      </c>
      <c r="I270" s="69">
        <v>-5.1000000000000038E-2</v>
      </c>
      <c r="J270">
        <v>0</v>
      </c>
      <c r="L270" s="68">
        <f t="shared" si="1"/>
        <v>-5.2000000000000039E-2</v>
      </c>
      <c r="M270" s="1">
        <f t="shared" ref="M270:M333" si="2">_xlfn.NORM.DIST(L270,$K$260,$K$262,FALSE)</f>
        <v>0.21776832607137736</v>
      </c>
      <c r="P270" s="68">
        <f>K260</f>
        <v>-4.1756220857390642E-5</v>
      </c>
      <c r="Q270" s="1">
        <v>24</v>
      </c>
    </row>
    <row r="271" spans="1:17" ht="15">
      <c r="A271" s="67">
        <v>351.07</v>
      </c>
      <c r="B271" s="67">
        <v>351.76</v>
      </c>
      <c r="C271" s="67">
        <v>337.55</v>
      </c>
      <c r="D271" s="67">
        <v>339.54</v>
      </c>
      <c r="E271" s="67">
        <v>4375105</v>
      </c>
      <c r="F271" s="67" t="s">
        <v>304</v>
      </c>
      <c r="G271" s="25">
        <f t="shared" si="0"/>
        <v>3.3957707486599542E-2</v>
      </c>
      <c r="I271" s="69">
        <v>-5.0000000000000037E-2</v>
      </c>
      <c r="J271">
        <v>1</v>
      </c>
      <c r="L271" s="68">
        <f t="shared" si="1"/>
        <v>-5.1000000000000038E-2</v>
      </c>
      <c r="M271" s="1">
        <f t="shared" si="2"/>
        <v>0.26031234889371885</v>
      </c>
      <c r="O271" s="39" t="s">
        <v>193</v>
      </c>
      <c r="P271" s="68">
        <f>($K$262*-3)+$K$260</f>
        <v>-5.0985384896390165E-2</v>
      </c>
      <c r="Q271" s="1">
        <v>0</v>
      </c>
    </row>
    <row r="272" spans="1:17" ht="15">
      <c r="A272" s="67">
        <v>338.43</v>
      </c>
      <c r="B272" s="67">
        <v>338.76</v>
      </c>
      <c r="C272" s="67">
        <v>330.04</v>
      </c>
      <c r="D272" s="67">
        <v>333.52</v>
      </c>
      <c r="E272" s="67">
        <v>3572414</v>
      </c>
      <c r="F272" s="67" t="s">
        <v>305</v>
      </c>
      <c r="G272" s="25">
        <f t="shared" si="0"/>
        <v>1.4721755816742732E-2</v>
      </c>
      <c r="I272" s="69">
        <v>-4.9000000000000037E-2</v>
      </c>
      <c r="J272">
        <v>1</v>
      </c>
      <c r="L272" s="68">
        <f t="shared" si="1"/>
        <v>-5.0000000000000037E-2</v>
      </c>
      <c r="M272" s="1">
        <f t="shared" si="2"/>
        <v>0.31009070793492566</v>
      </c>
      <c r="O272" s="40"/>
      <c r="P272" s="68">
        <f>($K$262*-3)+$K$260</f>
        <v>-5.0985384896390165E-2</v>
      </c>
      <c r="Q272" s="1">
        <v>2</v>
      </c>
    </row>
    <row r="273" spans="1:17" ht="15">
      <c r="A273" s="67">
        <v>333.65</v>
      </c>
      <c r="B273" s="67">
        <v>343.40350000000001</v>
      </c>
      <c r="C273" s="67">
        <v>332.46499999999997</v>
      </c>
      <c r="D273" s="67">
        <v>334.53</v>
      </c>
      <c r="E273" s="67">
        <v>4366242</v>
      </c>
      <c r="F273" s="67" t="s">
        <v>306</v>
      </c>
      <c r="G273" s="25">
        <f t="shared" si="0"/>
        <v>-2.6305563028726775E-3</v>
      </c>
      <c r="I273" s="69">
        <v>-4.8000000000000036E-2</v>
      </c>
      <c r="J273">
        <v>1</v>
      </c>
      <c r="L273" s="68">
        <f t="shared" si="1"/>
        <v>-4.9000000000000037E-2</v>
      </c>
      <c r="M273" s="1">
        <f t="shared" si="2"/>
        <v>0.3681091878858509</v>
      </c>
      <c r="O273" s="39" t="s">
        <v>194</v>
      </c>
      <c r="P273" s="68">
        <f>($K$262*-2)+$K$260</f>
        <v>-3.4004175337879243E-2</v>
      </c>
      <c r="Q273" s="1">
        <v>0</v>
      </c>
    </row>
    <row r="274" spans="1:17" ht="15">
      <c r="A274" s="67">
        <v>341.05</v>
      </c>
      <c r="B274" s="67">
        <v>341.5684</v>
      </c>
      <c r="C274" s="67">
        <v>336.37</v>
      </c>
      <c r="D274" s="67">
        <v>338.67500000000001</v>
      </c>
      <c r="E274" s="67">
        <v>3507764</v>
      </c>
      <c r="F274" s="67" t="s">
        <v>307</v>
      </c>
      <c r="G274" s="25">
        <f t="shared" si="0"/>
        <v>7.0126227208975322E-3</v>
      </c>
      <c r="I274" s="69">
        <v>-4.7000000000000035E-2</v>
      </c>
      <c r="J274">
        <v>1</v>
      </c>
      <c r="L274" s="68">
        <f t="shared" si="1"/>
        <v>-4.8000000000000036E-2</v>
      </c>
      <c r="M274" s="1">
        <f t="shared" si="2"/>
        <v>0.43547024501902709</v>
      </c>
      <c r="O274" s="40"/>
      <c r="P274" s="68">
        <f>($K$262*-2)+$K$260</f>
        <v>-3.4004175337879243E-2</v>
      </c>
      <c r="Q274" s="1">
        <v>5</v>
      </c>
    </row>
    <row r="275" spans="1:17" ht="15">
      <c r="A275" s="67">
        <v>338.27</v>
      </c>
      <c r="B275" s="67">
        <v>347.38</v>
      </c>
      <c r="C275" s="67">
        <v>332.65</v>
      </c>
      <c r="D275" s="67">
        <v>344.04</v>
      </c>
      <c r="E275" s="67">
        <v>4661824</v>
      </c>
      <c r="F275" s="67" t="s">
        <v>308</v>
      </c>
      <c r="G275" s="25">
        <f t="shared" si="0"/>
        <v>-1.6771305662132474E-2</v>
      </c>
      <c r="I275" s="69">
        <v>-4.6000000000000034E-2</v>
      </c>
      <c r="J275">
        <v>1</v>
      </c>
      <c r="L275" s="68">
        <f t="shared" si="1"/>
        <v>-4.7000000000000035E-2</v>
      </c>
      <c r="M275" s="1">
        <f t="shared" si="2"/>
        <v>0.51337443438246189</v>
      </c>
      <c r="O275" s="41" t="s">
        <v>195</v>
      </c>
      <c r="P275" s="68">
        <f>($K$262*-1)+$K$260</f>
        <v>-1.7022965779368317E-2</v>
      </c>
      <c r="Q275" s="1">
        <v>0</v>
      </c>
    </row>
    <row r="276" spans="1:17" ht="15">
      <c r="A276" s="67">
        <v>345.62</v>
      </c>
      <c r="B276" s="67">
        <v>345.66</v>
      </c>
      <c r="C276" s="67">
        <v>339.19</v>
      </c>
      <c r="D276" s="67">
        <v>341.65</v>
      </c>
      <c r="E276" s="67">
        <v>3347165</v>
      </c>
      <c r="F276" s="67" t="s">
        <v>309</v>
      </c>
      <c r="G276" s="25">
        <f t="shared" si="0"/>
        <v>1.1620079028245467E-2</v>
      </c>
      <c r="I276" s="69">
        <v>-4.5000000000000033E-2</v>
      </c>
      <c r="J276">
        <v>0</v>
      </c>
      <c r="L276" s="68">
        <f t="shared" si="1"/>
        <v>-4.6000000000000034E-2</v>
      </c>
      <c r="M276" s="1">
        <f t="shared" si="2"/>
        <v>0.60312025288777404</v>
      </c>
      <c r="P276" s="68">
        <f>($K$262*-1)+$K$260</f>
        <v>-1.7022965779368317E-2</v>
      </c>
      <c r="Q276" s="1">
        <v>15</v>
      </c>
    </row>
    <row r="277" spans="1:17" ht="15">
      <c r="A277" s="67">
        <v>338.74</v>
      </c>
      <c r="B277" s="67">
        <v>342.73500000000001</v>
      </c>
      <c r="C277" s="67">
        <v>337.35</v>
      </c>
      <c r="D277" s="67">
        <v>339.30500000000001</v>
      </c>
      <c r="E277" s="67">
        <v>3908970</v>
      </c>
      <c r="F277" s="67" t="s">
        <v>310</v>
      </c>
      <c r="G277" s="25">
        <f t="shared" si="0"/>
        <v>-1.6651685062112342E-3</v>
      </c>
      <c r="I277" s="69">
        <v>-4.4000000000000032E-2</v>
      </c>
      <c r="J277">
        <v>1</v>
      </c>
      <c r="L277" s="68">
        <f t="shared" si="1"/>
        <v>-4.5000000000000033E-2</v>
      </c>
      <c r="M277" s="1">
        <f t="shared" si="2"/>
        <v>0.70610211250062282</v>
      </c>
      <c r="O277" s="1" t="s">
        <v>196</v>
      </c>
      <c r="P277" s="68">
        <f>($K$262*1)+$K$260</f>
        <v>1.6939453337653534E-2</v>
      </c>
      <c r="Q277" s="1">
        <v>0</v>
      </c>
    </row>
    <row r="278" spans="1:17" ht="15">
      <c r="A278" s="67">
        <v>338.85</v>
      </c>
      <c r="B278" s="67">
        <v>351.21</v>
      </c>
      <c r="C278" s="67">
        <v>338.04</v>
      </c>
      <c r="D278" s="67">
        <v>351.16</v>
      </c>
      <c r="E278" s="67">
        <v>6449344</v>
      </c>
      <c r="F278" s="67" t="s">
        <v>311</v>
      </c>
      <c r="G278" s="25">
        <f t="shared" si="0"/>
        <v>-3.5055245472149443E-2</v>
      </c>
      <c r="I278" s="69">
        <v>-4.3000000000000031E-2</v>
      </c>
      <c r="J278">
        <v>1</v>
      </c>
      <c r="L278" s="68">
        <f t="shared" si="1"/>
        <v>-4.4000000000000032E-2</v>
      </c>
      <c r="M278" s="1">
        <f t="shared" si="2"/>
        <v>0.82380615530589207</v>
      </c>
      <c r="P278" s="68">
        <f>($K$262*1)+$K$260</f>
        <v>1.6939453337653534E-2</v>
      </c>
      <c r="Q278" s="1">
        <v>15</v>
      </c>
    </row>
    <row r="279" spans="1:17" ht="15">
      <c r="A279" s="67">
        <v>347.8</v>
      </c>
      <c r="B279" s="67">
        <v>356.29</v>
      </c>
      <c r="C279" s="67">
        <v>347.46</v>
      </c>
      <c r="D279" s="67">
        <v>355.95</v>
      </c>
      <c r="E279" s="67">
        <v>4270820</v>
      </c>
      <c r="F279" s="67" t="s">
        <v>312</v>
      </c>
      <c r="G279" s="25">
        <f t="shared" si="0"/>
        <v>-2.2896474223907837E-2</v>
      </c>
      <c r="I279" s="69">
        <v>-4.200000000000003E-2</v>
      </c>
      <c r="J279">
        <v>1</v>
      </c>
      <c r="L279" s="68">
        <f t="shared" si="1"/>
        <v>-4.3000000000000031E-2</v>
      </c>
      <c r="M279" s="1">
        <f t="shared" si="2"/>
        <v>0.9578036279976494</v>
      </c>
      <c r="O279" s="42" t="s">
        <v>197</v>
      </c>
      <c r="P279" s="68">
        <f>($K$262*2)+$K$260</f>
        <v>3.3920662896164459E-2</v>
      </c>
      <c r="Q279" s="1">
        <v>0</v>
      </c>
    </row>
    <row r="280" spans="1:17" ht="15">
      <c r="A280" s="67">
        <v>357.69</v>
      </c>
      <c r="B280" s="67">
        <v>362.5</v>
      </c>
      <c r="C280" s="67">
        <v>354.27</v>
      </c>
      <c r="D280" s="67">
        <v>362.26</v>
      </c>
      <c r="E280" s="67">
        <v>4489912</v>
      </c>
      <c r="F280" s="67" t="s">
        <v>313</v>
      </c>
      <c r="G280" s="25">
        <f t="shared" si="0"/>
        <v>-1.2615248716391525E-2</v>
      </c>
      <c r="I280" s="69">
        <v>-4.1000000000000029E-2</v>
      </c>
      <c r="J280">
        <v>0</v>
      </c>
      <c r="L280" s="68">
        <f t="shared" si="1"/>
        <v>-4.200000000000003E-2</v>
      </c>
      <c r="M280" s="1">
        <f t="shared" si="2"/>
        <v>1.1097415485883357</v>
      </c>
      <c r="P280" s="68">
        <f>($K$262*2)+$K$260</f>
        <v>3.3920662896164459E-2</v>
      </c>
      <c r="Q280" s="1">
        <v>5</v>
      </c>
    </row>
    <row r="281" spans="1:17" ht="15">
      <c r="A281" s="67">
        <v>364</v>
      </c>
      <c r="B281" s="67">
        <v>370.72</v>
      </c>
      <c r="C281" s="67">
        <v>363.48</v>
      </c>
      <c r="D281" s="67">
        <v>370.68</v>
      </c>
      <c r="E281" s="67">
        <v>3206766</v>
      </c>
      <c r="F281" s="67" t="s">
        <v>314</v>
      </c>
      <c r="G281" s="25">
        <f t="shared" si="0"/>
        <v>-1.8020934498759078E-2</v>
      </c>
      <c r="I281" s="69">
        <v>-4.0000000000000029E-2</v>
      </c>
      <c r="J281">
        <v>4</v>
      </c>
      <c r="L281" s="68">
        <f t="shared" si="1"/>
        <v>-4.1000000000000029E-2</v>
      </c>
      <c r="M281" s="1">
        <f t="shared" si="2"/>
        <v>1.2813304239610215</v>
      </c>
      <c r="O281" s="42" t="s">
        <v>198</v>
      </c>
      <c r="P281" s="68">
        <f>($K$262*3)+$K$260</f>
        <v>5.0901872454675381E-2</v>
      </c>
      <c r="Q281" s="1">
        <v>0</v>
      </c>
    </row>
    <row r="282" spans="1:17" ht="15">
      <c r="A282" s="67">
        <v>370.7</v>
      </c>
      <c r="B282" s="67">
        <v>376.16</v>
      </c>
      <c r="C282" s="67">
        <v>369.71010000000001</v>
      </c>
      <c r="D282" s="67">
        <v>370.45</v>
      </c>
      <c r="E282" s="67">
        <v>4227104</v>
      </c>
      <c r="F282" s="67" t="s">
        <v>315</v>
      </c>
      <c r="G282" s="25">
        <f t="shared" si="0"/>
        <v>6.7485490619523247E-4</v>
      </c>
      <c r="I282" s="69">
        <v>-3.9000000000000028E-2</v>
      </c>
      <c r="J282">
        <v>1</v>
      </c>
      <c r="L282" s="68">
        <f t="shared" si="1"/>
        <v>-4.0000000000000029E-2</v>
      </c>
      <c r="M282" s="1">
        <f t="shared" si="2"/>
        <v>1.4743288142165225</v>
      </c>
      <c r="O282" s="42"/>
      <c r="P282" s="68">
        <f>($K$262*3)+$K$260</f>
        <v>5.0901872454675381E-2</v>
      </c>
      <c r="Q282" s="1">
        <v>2</v>
      </c>
    </row>
    <row r="283" spans="1:17" ht="15">
      <c r="A283" s="67">
        <v>369.47</v>
      </c>
      <c r="B283" s="67">
        <v>372.59</v>
      </c>
      <c r="C283" s="67">
        <v>368.72</v>
      </c>
      <c r="D283" s="67">
        <v>371.03</v>
      </c>
      <c r="E283" s="67">
        <v>2980328</v>
      </c>
      <c r="F283" s="67" t="s">
        <v>316</v>
      </c>
      <c r="G283" s="25">
        <f t="shared" si="0"/>
        <v>-4.2045117645471697E-3</v>
      </c>
      <c r="I283" s="69">
        <v>-3.8000000000000027E-2</v>
      </c>
      <c r="J283">
        <v>1</v>
      </c>
      <c r="L283" s="68">
        <f t="shared" si="1"/>
        <v>-3.9000000000000028E-2</v>
      </c>
      <c r="M283" s="1">
        <f t="shared" si="2"/>
        <v>1.6905245892303415</v>
      </c>
    </row>
    <row r="284" spans="1:17" ht="15">
      <c r="A284" s="67">
        <v>370.74</v>
      </c>
      <c r="B284" s="67">
        <v>372.40499999999997</v>
      </c>
      <c r="C284" s="67">
        <v>369.51</v>
      </c>
      <c r="D284" s="67">
        <v>372.31</v>
      </c>
      <c r="E284" s="67">
        <v>2042730</v>
      </c>
      <c r="F284" s="67" t="s">
        <v>317</v>
      </c>
      <c r="G284" s="25">
        <f t="shared" si="0"/>
        <v>-4.2169160108511683E-3</v>
      </c>
      <c r="I284" s="69">
        <v>-3.7000000000000026E-2</v>
      </c>
      <c r="J284">
        <v>3</v>
      </c>
      <c r="L284" s="68">
        <f t="shared" si="1"/>
        <v>-3.8000000000000027E-2</v>
      </c>
      <c r="M284" s="1">
        <f t="shared" si="2"/>
        <v>1.9317127847215994</v>
      </c>
    </row>
    <row r="285" spans="1:17" ht="15">
      <c r="A285" s="67">
        <v>371.69</v>
      </c>
      <c r="B285" s="67">
        <v>375.99740000000003</v>
      </c>
      <c r="C285" s="67">
        <v>370.61</v>
      </c>
      <c r="D285" s="67">
        <v>371.9</v>
      </c>
      <c r="E285" s="67">
        <v>2692132</v>
      </c>
      <c r="F285" s="67" t="s">
        <v>318</v>
      </c>
      <c r="G285" s="25">
        <f t="shared" si="0"/>
        <v>-5.6466792148424094E-4</v>
      </c>
      <c r="I285" s="69">
        <v>-3.6000000000000025E-2</v>
      </c>
      <c r="J285">
        <v>3</v>
      </c>
      <c r="L285" s="68">
        <f t="shared" si="1"/>
        <v>-3.7000000000000026E-2</v>
      </c>
      <c r="M285" s="1">
        <f t="shared" si="2"/>
        <v>2.1996700393204072</v>
      </c>
    </row>
    <row r="286" spans="1:17" ht="15">
      <c r="A286" s="67">
        <v>372.46</v>
      </c>
      <c r="B286" s="67">
        <v>373.99</v>
      </c>
      <c r="C286" s="67">
        <v>369.26</v>
      </c>
      <c r="D286" s="67">
        <v>373.49</v>
      </c>
      <c r="E286" s="67">
        <v>1994599</v>
      </c>
      <c r="F286" s="67" t="s">
        <v>319</v>
      </c>
      <c r="G286" s="25">
        <f t="shared" si="0"/>
        <v>-2.7577712924041764E-3</v>
      </c>
      <c r="I286" s="69">
        <v>-3.5000000000000024E-2</v>
      </c>
      <c r="J286">
        <v>7</v>
      </c>
      <c r="L286" s="68">
        <f t="shared" si="1"/>
        <v>-3.6000000000000025E-2</v>
      </c>
      <c r="M286" s="1">
        <f t="shared" si="2"/>
        <v>2.4961256799993241</v>
      </c>
    </row>
    <row r="287" spans="1:17" ht="15">
      <c r="A287" s="67">
        <v>372.87</v>
      </c>
      <c r="B287" s="67">
        <v>374.5</v>
      </c>
      <c r="C287" s="67">
        <v>368</v>
      </c>
      <c r="D287" s="67">
        <v>368</v>
      </c>
      <c r="E287" s="67">
        <v>2443664</v>
      </c>
      <c r="F287" s="67" t="s">
        <v>320</v>
      </c>
      <c r="G287" s="25">
        <f t="shared" si="0"/>
        <v>1.3233695652173916E-2</v>
      </c>
      <c r="I287" s="69">
        <v>-3.4000000000000023E-2</v>
      </c>
      <c r="J287">
        <v>1</v>
      </c>
      <c r="L287" s="68">
        <f t="shared" si="1"/>
        <v>-3.5000000000000024E-2</v>
      </c>
      <c r="M287" s="1">
        <f t="shared" si="2"/>
        <v>2.8227296196831295</v>
      </c>
    </row>
    <row r="288" spans="1:17" ht="15">
      <c r="A288" s="67">
        <v>367.68</v>
      </c>
      <c r="B288" s="67">
        <v>368.28</v>
      </c>
      <c r="C288" s="67">
        <v>363.13</v>
      </c>
      <c r="D288" s="67">
        <v>366.49</v>
      </c>
      <c r="E288" s="67">
        <v>2759081</v>
      </c>
      <c r="F288" s="67" t="s">
        <v>321</v>
      </c>
      <c r="G288" s="25">
        <f t="shared" si="0"/>
        <v>3.2470190182543046E-3</v>
      </c>
      <c r="I288" s="69">
        <v>-3.3000000000000022E-2</v>
      </c>
      <c r="J288">
        <v>3</v>
      </c>
      <c r="L288" s="68">
        <f t="shared" si="1"/>
        <v>-3.4000000000000023E-2</v>
      </c>
      <c r="M288" s="1">
        <f t="shared" si="2"/>
        <v>3.1810173361892287</v>
      </c>
    </row>
    <row r="289" spans="1:13" ht="15">
      <c r="A289" s="67">
        <v>365.79</v>
      </c>
      <c r="B289" s="67">
        <v>367.79</v>
      </c>
      <c r="C289" s="67">
        <v>364</v>
      </c>
      <c r="D289" s="67">
        <v>367.065</v>
      </c>
      <c r="E289" s="67">
        <v>2432851</v>
      </c>
      <c r="F289" s="67" t="s">
        <v>322</v>
      </c>
      <c r="G289" s="25">
        <f t="shared" si="0"/>
        <v>-3.4734992440030865E-3</v>
      </c>
      <c r="I289" s="69">
        <v>-3.2000000000000021E-2</v>
      </c>
      <c r="J289">
        <v>7</v>
      </c>
      <c r="L289" s="68">
        <f t="shared" si="1"/>
        <v>-3.3000000000000022E-2</v>
      </c>
      <c r="M289" s="1">
        <f t="shared" si="2"/>
        <v>3.572372313631365</v>
      </c>
    </row>
    <row r="290" spans="1:13" ht="15">
      <c r="A290" s="67">
        <v>366.45</v>
      </c>
      <c r="B290" s="67">
        <v>366.96</v>
      </c>
      <c r="C290" s="67">
        <v>359.28</v>
      </c>
      <c r="D290" s="67">
        <v>360.6</v>
      </c>
      <c r="E290" s="67">
        <v>3334547</v>
      </c>
      <c r="F290" s="67" t="s">
        <v>323</v>
      </c>
      <c r="G290" s="25">
        <f t="shared" si="0"/>
        <v>1.6222961730449237E-2</v>
      </c>
      <c r="I290" s="69">
        <v>-3.1000000000000021E-2</v>
      </c>
      <c r="J290">
        <v>6</v>
      </c>
      <c r="L290" s="68">
        <f t="shared" si="1"/>
        <v>-3.2000000000000021E-2</v>
      </c>
      <c r="M290" s="1">
        <f t="shared" si="2"/>
        <v>3.9979864432402175</v>
      </c>
    </row>
    <row r="291" spans="1:13" ht="15">
      <c r="A291" s="67">
        <v>361.77</v>
      </c>
      <c r="B291" s="67">
        <v>365.55239999999998</v>
      </c>
      <c r="C291" s="67">
        <v>358.71</v>
      </c>
      <c r="D291" s="67">
        <v>364.58499999999998</v>
      </c>
      <c r="E291" s="67">
        <v>3585745</v>
      </c>
      <c r="F291" s="67" t="s">
        <v>324</v>
      </c>
      <c r="G291" s="25">
        <f t="shared" si="0"/>
        <v>-7.7211075606511415E-3</v>
      </c>
      <c r="I291" s="69">
        <v>-3.000000000000002E-2</v>
      </c>
      <c r="J291">
        <v>1</v>
      </c>
      <c r="L291" s="68">
        <f t="shared" si="1"/>
        <v>-3.1000000000000021E-2</v>
      </c>
      <c r="M291" s="1">
        <f t="shared" si="2"/>
        <v>4.4588189968959364</v>
      </c>
    </row>
    <row r="292" spans="1:13" ht="15">
      <c r="A292" s="67">
        <v>364.18</v>
      </c>
      <c r="B292" s="67">
        <v>368.32</v>
      </c>
      <c r="C292" s="67">
        <v>363.88</v>
      </c>
      <c r="D292" s="67">
        <v>367</v>
      </c>
      <c r="E292" s="67">
        <v>2525664</v>
      </c>
      <c r="F292" s="67" t="s">
        <v>325</v>
      </c>
      <c r="G292" s="25">
        <f t="shared" si="0"/>
        <v>-7.6839237057220178E-3</v>
      </c>
      <c r="I292" s="69">
        <v>-2.9000000000000019E-2</v>
      </c>
      <c r="J292">
        <v>8</v>
      </c>
      <c r="L292" s="68">
        <f t="shared" si="1"/>
        <v>-3.000000000000002E-2</v>
      </c>
      <c r="M292" s="1">
        <f t="shared" si="2"/>
        <v>4.9555548997584067</v>
      </c>
    </row>
    <row r="293" spans="1:13" ht="15">
      <c r="A293" s="67">
        <v>366.99</v>
      </c>
      <c r="B293" s="67">
        <v>367.68</v>
      </c>
      <c r="C293" s="67">
        <v>360.18</v>
      </c>
      <c r="D293" s="67">
        <v>363.185</v>
      </c>
      <c r="E293" s="67">
        <v>2883811</v>
      </c>
      <c r="F293" s="67" t="s">
        <v>326</v>
      </c>
      <c r="G293" s="25">
        <f t="shared" si="0"/>
        <v>1.0476754271239175E-2</v>
      </c>
      <c r="I293" s="69">
        <v>-2.8000000000000018E-2</v>
      </c>
      <c r="J293">
        <v>9</v>
      </c>
      <c r="L293" s="68">
        <f t="shared" si="1"/>
        <v>-2.9000000000000019E-2</v>
      </c>
      <c r="M293" s="1">
        <f t="shared" si="2"/>
        <v>5.4885631340905432</v>
      </c>
    </row>
    <row r="294" spans="1:13" ht="15">
      <c r="A294" s="67">
        <v>363.35</v>
      </c>
      <c r="B294" s="67">
        <v>371.15</v>
      </c>
      <c r="C294" s="67">
        <v>362.7</v>
      </c>
      <c r="D294" s="67">
        <v>368</v>
      </c>
      <c r="E294" s="67">
        <v>3451437</v>
      </c>
      <c r="F294" s="67" t="s">
        <v>327</v>
      </c>
      <c r="G294" s="25">
        <f t="shared" si="0"/>
        <v>-1.2635869565217339E-2</v>
      </c>
      <c r="I294" s="69">
        <v>-2.7000000000000017E-2</v>
      </c>
      <c r="J294">
        <v>4</v>
      </c>
      <c r="L294" s="68">
        <f t="shared" si="1"/>
        <v>-2.8000000000000018E-2</v>
      </c>
      <c r="M294" s="1">
        <f t="shared" si="2"/>
        <v>6.0578562003318437</v>
      </c>
    </row>
    <row r="295" spans="1:13" ht="15">
      <c r="A295" s="67">
        <v>371.43</v>
      </c>
      <c r="B295" s="67">
        <v>373.5</v>
      </c>
      <c r="C295" s="67">
        <v>365.51</v>
      </c>
      <c r="D295" s="67">
        <v>371.99</v>
      </c>
      <c r="E295" s="67">
        <v>4015062</v>
      </c>
      <c r="F295" s="67" t="s">
        <v>328</v>
      </c>
      <c r="G295" s="25">
        <f t="shared" si="0"/>
        <v>-1.5054168122798917E-3</v>
      </c>
      <c r="I295" s="69">
        <v>-2.6000000000000016E-2</v>
      </c>
      <c r="J295">
        <v>9</v>
      </c>
      <c r="L295" s="68">
        <f t="shared" si="1"/>
        <v>-2.7000000000000017E-2</v>
      </c>
      <c r="M295" s="1">
        <f t="shared" si="2"/>
        <v>6.6630516392363335</v>
      </c>
    </row>
    <row r="296" spans="1:13" ht="15">
      <c r="A296" s="67">
        <v>373.38</v>
      </c>
      <c r="B296" s="67">
        <v>384.74509999999998</v>
      </c>
      <c r="C296" s="67">
        <v>370.91</v>
      </c>
      <c r="D296" s="67">
        <v>383.5</v>
      </c>
      <c r="E296" s="67">
        <v>4708248</v>
      </c>
      <c r="F296" s="67" t="s">
        <v>329</v>
      </c>
      <c r="G296" s="25">
        <f t="shared" si="0"/>
        <v>-2.6388526727509798E-2</v>
      </c>
      <c r="I296" s="69">
        <v>-2.5000000000000015E-2</v>
      </c>
      <c r="J296">
        <v>8</v>
      </c>
      <c r="L296" s="68">
        <f t="shared" si="1"/>
        <v>-2.6000000000000016E-2</v>
      </c>
      <c r="M296" s="1">
        <f t="shared" si="2"/>
        <v>7.3033366760621581</v>
      </c>
    </row>
    <row r="297" spans="1:13" ht="15">
      <c r="A297" s="67">
        <v>382.24</v>
      </c>
      <c r="B297" s="67">
        <v>386.60109999999997</v>
      </c>
      <c r="C297" s="67">
        <v>377.18</v>
      </c>
      <c r="D297" s="67">
        <v>378.5</v>
      </c>
      <c r="E297" s="67">
        <v>3705404</v>
      </c>
      <c r="F297" s="67" t="s">
        <v>330</v>
      </c>
      <c r="G297" s="25">
        <f t="shared" si="0"/>
        <v>9.8811096433288892E-3</v>
      </c>
      <c r="I297" s="69">
        <v>-2.4000000000000014E-2</v>
      </c>
      <c r="J297">
        <v>7</v>
      </c>
      <c r="L297" s="68">
        <f t="shared" si="1"/>
        <v>-2.5000000000000015E-2</v>
      </c>
      <c r="M297" s="1">
        <f t="shared" si="2"/>
        <v>7.9774370802721322</v>
      </c>
    </row>
    <row r="298" spans="1:13" ht="15">
      <c r="A298" s="67">
        <v>376.93</v>
      </c>
      <c r="B298" s="67">
        <v>382.22</v>
      </c>
      <c r="C298" s="67">
        <v>375.52</v>
      </c>
      <c r="D298" s="67">
        <v>378.9</v>
      </c>
      <c r="E298" s="67">
        <v>3540660</v>
      </c>
      <c r="F298" s="67" t="s">
        <v>331</v>
      </c>
      <c r="G298" s="25">
        <f t="shared" si="0"/>
        <v>-5.1992610187383548E-3</v>
      </c>
      <c r="I298" s="69">
        <v>-2.3000000000000013E-2</v>
      </c>
      <c r="J298">
        <v>13</v>
      </c>
      <c r="L298" s="68">
        <f t="shared" si="1"/>
        <v>-2.4000000000000014E-2</v>
      </c>
      <c r="M298" s="1">
        <f t="shared" si="2"/>
        <v>8.6835913383127874</v>
      </c>
    </row>
    <row r="299" spans="1:13" ht="15">
      <c r="A299" s="67">
        <v>379.31</v>
      </c>
      <c r="B299" s="67">
        <v>383.2</v>
      </c>
      <c r="C299" s="67">
        <v>377.8</v>
      </c>
      <c r="D299" s="67">
        <v>378</v>
      </c>
      <c r="E299" s="67">
        <v>2862388</v>
      </c>
      <c r="F299" s="67" t="s">
        <v>332</v>
      </c>
      <c r="G299" s="25">
        <f t="shared" si="0"/>
        <v>3.4656084656083941E-3</v>
      </c>
      <c r="I299" s="69">
        <v>-2.2000000000000013E-2</v>
      </c>
      <c r="J299">
        <v>9</v>
      </c>
      <c r="L299" s="68">
        <f t="shared" si="1"/>
        <v>-2.3000000000000013E-2</v>
      </c>
      <c r="M299" s="1">
        <f t="shared" si="2"/>
        <v>9.4195312097707866</v>
      </c>
    </row>
    <row r="300" spans="1:13" ht="15">
      <c r="A300" s="67">
        <v>378.47</v>
      </c>
      <c r="B300" s="67">
        <v>386.88</v>
      </c>
      <c r="C300" s="67">
        <v>372.73</v>
      </c>
      <c r="D300" s="67">
        <v>384.64</v>
      </c>
      <c r="E300" s="67">
        <v>6900180</v>
      </c>
      <c r="F300" s="67" t="s">
        <v>333</v>
      </c>
      <c r="G300" s="25">
        <f t="shared" si="0"/>
        <v>-1.6040973377703716E-2</v>
      </c>
      <c r="I300" s="69">
        <v>-2.1000000000000012E-2</v>
      </c>
      <c r="J300">
        <v>6</v>
      </c>
      <c r="L300" s="68">
        <f t="shared" si="1"/>
        <v>-2.2000000000000013E-2</v>
      </c>
      <c r="M300" s="1">
        <f t="shared" si="2"/>
        <v>10.182469676379844</v>
      </c>
    </row>
    <row r="301" spans="1:13" ht="15">
      <c r="A301" s="67">
        <v>392.1</v>
      </c>
      <c r="B301" s="67">
        <v>392.58</v>
      </c>
      <c r="C301" s="67">
        <v>381.5172</v>
      </c>
      <c r="D301" s="67">
        <v>385.1</v>
      </c>
      <c r="E301" s="67">
        <v>4504287</v>
      </c>
      <c r="F301" s="67" t="s">
        <v>334</v>
      </c>
      <c r="G301" s="25">
        <f t="shared" si="0"/>
        <v>1.8177096857958874E-2</v>
      </c>
      <c r="I301" s="69">
        <v>-2.0000000000000011E-2</v>
      </c>
      <c r="J301">
        <v>9</v>
      </c>
      <c r="L301" s="68">
        <f t="shared" si="1"/>
        <v>-2.1000000000000012E-2</v>
      </c>
      <c r="M301" s="1">
        <f t="shared" si="2"/>
        <v>10.969097197792113</v>
      </c>
    </row>
    <row r="302" spans="1:13" ht="15">
      <c r="A302" s="67">
        <v>386.88</v>
      </c>
      <c r="B302" s="67">
        <v>390.98</v>
      </c>
      <c r="C302" s="67">
        <v>384.63</v>
      </c>
      <c r="D302" s="67">
        <v>387.3</v>
      </c>
      <c r="E302" s="67">
        <v>4628993</v>
      </c>
      <c r="F302" s="67" t="s">
        <v>335</v>
      </c>
      <c r="G302" s="25">
        <f t="shared" si="0"/>
        <v>-1.0844306738962972E-3</v>
      </c>
      <c r="I302" s="69">
        <v>-1.900000000000001E-2</v>
      </c>
      <c r="J302">
        <v>13</v>
      </c>
      <c r="L302" s="68">
        <f t="shared" si="1"/>
        <v>-2.0000000000000011E-2</v>
      </c>
      <c r="M302" s="1">
        <f t="shared" si="2"/>
        <v>11.775587057701626</v>
      </c>
    </row>
    <row r="303" spans="1:13" ht="15">
      <c r="A303" s="67">
        <v>385.83</v>
      </c>
      <c r="B303" s="67">
        <v>390.31</v>
      </c>
      <c r="C303" s="67">
        <v>384.40499999999997</v>
      </c>
      <c r="D303" s="67">
        <v>385.44</v>
      </c>
      <c r="E303" s="67">
        <v>5083803</v>
      </c>
      <c r="F303" s="67" t="s">
        <v>336</v>
      </c>
      <c r="G303" s="25">
        <f t="shared" si="0"/>
        <v>1.0118306351183382E-3</v>
      </c>
      <c r="I303" s="69">
        <v>-1.8000000000000009E-2</v>
      </c>
      <c r="J303">
        <v>14</v>
      </c>
      <c r="L303" s="68">
        <f t="shared" si="1"/>
        <v>-1.900000000000001E-2</v>
      </c>
      <c r="M303" s="1">
        <f t="shared" si="2"/>
        <v>12.59761042002717</v>
      </c>
    </row>
    <row r="304" spans="1:13" ht="15">
      <c r="A304" s="67">
        <v>384.95</v>
      </c>
      <c r="B304" s="67">
        <v>389.98500000000001</v>
      </c>
      <c r="C304" s="67">
        <v>382.87</v>
      </c>
      <c r="D304" s="67">
        <v>387.2</v>
      </c>
      <c r="E304" s="67">
        <v>3139666</v>
      </c>
      <c r="F304" s="67" t="s">
        <v>337</v>
      </c>
      <c r="G304" s="25">
        <f t="shared" si="0"/>
        <v>-5.8109504132231038E-3</v>
      </c>
      <c r="I304" s="69">
        <v>-1.7000000000000008E-2</v>
      </c>
      <c r="J304">
        <v>14</v>
      </c>
      <c r="L304" s="68">
        <f t="shared" si="1"/>
        <v>-1.8000000000000009E-2</v>
      </c>
      <c r="M304" s="1">
        <f t="shared" si="2"/>
        <v>13.430361519949992</v>
      </c>
    </row>
    <row r="305" spans="1:13" ht="15">
      <c r="A305" s="67">
        <v>387.55</v>
      </c>
      <c r="B305" s="67">
        <v>388.05</v>
      </c>
      <c r="C305" s="67">
        <v>382</v>
      </c>
      <c r="D305" s="67">
        <v>383.6</v>
      </c>
      <c r="E305" s="67">
        <v>3718763</v>
      </c>
      <c r="F305" s="67" t="s">
        <v>338</v>
      </c>
      <c r="G305" s="25">
        <f t="shared" si="0"/>
        <v>1.0297184567257478E-2</v>
      </c>
      <c r="I305" s="69">
        <v>-1.6000000000000007E-2</v>
      </c>
      <c r="J305">
        <v>20</v>
      </c>
      <c r="L305" s="68">
        <f t="shared" si="1"/>
        <v>-1.7000000000000008E-2</v>
      </c>
      <c r="M305" s="1">
        <f t="shared" si="2"/>
        <v>14.268593192494007</v>
      </c>
    </row>
    <row r="306" spans="1:13" ht="15">
      <c r="A306" s="67">
        <v>382.34</v>
      </c>
      <c r="B306" s="67">
        <v>385</v>
      </c>
      <c r="C306" s="67">
        <v>378.51</v>
      </c>
      <c r="D306" s="67">
        <v>384.96</v>
      </c>
      <c r="E306" s="67">
        <v>4797074</v>
      </c>
      <c r="F306" s="67" t="s">
        <v>339</v>
      </c>
      <c r="G306" s="25">
        <f t="shared" si="0"/>
        <v>-6.8059019118870134E-3</v>
      </c>
      <c r="I306" s="69">
        <v>-1.5000000000000006E-2</v>
      </c>
      <c r="J306">
        <v>15</v>
      </c>
      <c r="L306" s="68">
        <f t="shared" si="1"/>
        <v>-1.6000000000000007E-2</v>
      </c>
      <c r="M306" s="1">
        <f t="shared" si="2"/>
        <v>15.106662697139294</v>
      </c>
    </row>
    <row r="307" spans="1:13" ht="15">
      <c r="A307" s="67">
        <v>380.12</v>
      </c>
      <c r="B307" s="67">
        <v>380.21</v>
      </c>
      <c r="C307" s="67">
        <v>374.24</v>
      </c>
      <c r="D307" s="67">
        <v>377.59</v>
      </c>
      <c r="E307" s="67">
        <v>3667682</v>
      </c>
      <c r="F307" s="67" t="s">
        <v>340</v>
      </c>
      <c r="G307" s="25">
        <f t="shared" si="0"/>
        <v>6.700389311157684E-3</v>
      </c>
      <c r="I307" s="69">
        <v>-1.4000000000000005E-2</v>
      </c>
      <c r="J307">
        <v>15</v>
      </c>
      <c r="L307" s="68">
        <f t="shared" si="1"/>
        <v>-1.5000000000000006E-2</v>
      </c>
      <c r="M307" s="1">
        <f t="shared" si="2"/>
        <v>15.938587536941949</v>
      </c>
    </row>
    <row r="308" spans="1:13" ht="15">
      <c r="A308" s="67">
        <v>376.92</v>
      </c>
      <c r="B308" s="67">
        <v>382.29</v>
      </c>
      <c r="C308" s="67">
        <v>373.76</v>
      </c>
      <c r="D308" s="67">
        <v>380.48</v>
      </c>
      <c r="E308" s="67">
        <v>8071881</v>
      </c>
      <c r="F308" s="67" t="s">
        <v>341</v>
      </c>
      <c r="G308" s="25">
        <f t="shared" si="0"/>
        <v>-9.3566021867115268E-3</v>
      </c>
      <c r="I308" s="69">
        <v>-1.3000000000000005E-2</v>
      </c>
      <c r="J308">
        <v>26</v>
      </c>
      <c r="L308" s="68">
        <f t="shared" si="1"/>
        <v>-1.4000000000000005E-2</v>
      </c>
      <c r="M308" s="1">
        <f t="shared" si="2"/>
        <v>16.758110702064272</v>
      </c>
    </row>
    <row r="309" spans="1:13" ht="15">
      <c r="A309" s="67">
        <v>378.04</v>
      </c>
      <c r="B309" s="67">
        <v>385.27289999999999</v>
      </c>
      <c r="C309" s="67">
        <v>377.54</v>
      </c>
      <c r="D309" s="67">
        <v>383.98500000000001</v>
      </c>
      <c r="E309" s="67">
        <v>4808869</v>
      </c>
      <c r="F309" s="67" t="s">
        <v>342</v>
      </c>
      <c r="G309" s="25">
        <f t="shared" ref="G309:G372" si="3">A309/D309-1</f>
        <v>-1.548237561363075E-2</v>
      </c>
      <c r="I309" s="69">
        <v>-1.2000000000000004E-2</v>
      </c>
      <c r="J309">
        <v>24</v>
      </c>
      <c r="L309" s="68">
        <f t="shared" si="1"/>
        <v>-1.3000000000000005E-2</v>
      </c>
      <c r="M309" s="1">
        <f t="shared" si="2"/>
        <v>17.558774498551752</v>
      </c>
    </row>
    <row r="310" spans="1:13" ht="15">
      <c r="A310" s="67">
        <v>382.68</v>
      </c>
      <c r="B310" s="67">
        <v>399.67</v>
      </c>
      <c r="C310" s="67">
        <v>381.8</v>
      </c>
      <c r="D310" s="67">
        <v>397.27499999999998</v>
      </c>
      <c r="E310" s="67">
        <v>6866253</v>
      </c>
      <c r="F310" s="67" t="s">
        <v>343</v>
      </c>
      <c r="G310" s="25">
        <f t="shared" si="3"/>
        <v>-3.6737776099678987E-2</v>
      </c>
      <c r="I310" s="69">
        <v>-1.1000000000000003E-2</v>
      </c>
      <c r="J310">
        <v>18</v>
      </c>
      <c r="L310" s="68">
        <f t="shared" si="1"/>
        <v>-1.2000000000000004E-2</v>
      </c>
      <c r="M310" s="1">
        <f t="shared" si="2"/>
        <v>18.334001862198654</v>
      </c>
    </row>
    <row r="311" spans="1:13" ht="15">
      <c r="A311" s="67">
        <v>401.73</v>
      </c>
      <c r="B311" s="67">
        <v>405</v>
      </c>
      <c r="C311" s="67">
        <v>391.11</v>
      </c>
      <c r="D311" s="67">
        <v>392.98500000000001</v>
      </c>
      <c r="E311" s="67">
        <v>6798251</v>
      </c>
      <c r="F311" s="67" t="s">
        <v>344</v>
      </c>
      <c r="G311" s="25">
        <f t="shared" si="3"/>
        <v>2.2252757738844942E-2</v>
      </c>
      <c r="I311" s="69">
        <v>-1.0000000000000002E-2</v>
      </c>
      <c r="J311">
        <v>23</v>
      </c>
      <c r="L311" s="68">
        <f t="shared" si="1"/>
        <v>-1.1000000000000003E-2</v>
      </c>
      <c r="M311" s="1">
        <f t="shared" si="2"/>
        <v>19.077183813209849</v>
      </c>
    </row>
    <row r="312" spans="1:13" ht="15">
      <c r="A312" s="67">
        <v>391.68</v>
      </c>
      <c r="B312" s="67">
        <v>399.85</v>
      </c>
      <c r="C312" s="67">
        <v>383.75</v>
      </c>
      <c r="D312" s="67">
        <v>392.5</v>
      </c>
      <c r="E312" s="67">
        <v>10604003</v>
      </c>
      <c r="F312" s="67" t="s">
        <v>345</v>
      </c>
      <c r="G312" s="25">
        <f t="shared" si="3"/>
        <v>-2.089171974522297E-3</v>
      </c>
      <c r="I312" s="69">
        <v>-9.0000000000000011E-3</v>
      </c>
      <c r="J312">
        <v>25</v>
      </c>
      <c r="L312" s="68">
        <f t="shared" si="1"/>
        <v>-1.0000000000000002E-2</v>
      </c>
      <c r="M312" s="1">
        <f t="shared" si="2"/>
        <v>19.781771488764914</v>
      </c>
    </row>
    <row r="313" spans="1:13" ht="15">
      <c r="A313" s="67">
        <v>413.68</v>
      </c>
      <c r="B313" s="67">
        <v>416.39</v>
      </c>
      <c r="C313" s="67">
        <v>410.77</v>
      </c>
      <c r="D313" s="67">
        <v>411.43</v>
      </c>
      <c r="E313" s="67">
        <v>6313316</v>
      </c>
      <c r="F313" s="67" t="s">
        <v>346</v>
      </c>
      <c r="G313" s="25">
        <f t="shared" si="3"/>
        <v>5.4687310113505916E-3</v>
      </c>
      <c r="I313" s="69">
        <v>-8.0000000000000002E-3</v>
      </c>
      <c r="J313">
        <v>27</v>
      </c>
      <c r="L313" s="68">
        <f t="shared" si="1"/>
        <v>-9.0000000000000011E-3</v>
      </c>
      <c r="M313" s="1">
        <f t="shared" si="2"/>
        <v>20.441371005737345</v>
      </c>
    </row>
    <row r="314" spans="1:13" ht="15">
      <c r="A314" s="67">
        <v>412.84</v>
      </c>
      <c r="B314" s="67">
        <v>416.04320000000001</v>
      </c>
      <c r="C314" s="67">
        <v>410.42</v>
      </c>
      <c r="D314" s="67">
        <v>415.2</v>
      </c>
      <c r="E314" s="67">
        <v>3385416</v>
      </c>
      <c r="F314" s="67" t="s">
        <v>347</v>
      </c>
      <c r="G314" s="25">
        <f t="shared" si="3"/>
        <v>-5.6840077071291795E-3</v>
      </c>
      <c r="I314" s="69">
        <v>-7.0000000000000001E-3</v>
      </c>
      <c r="J314">
        <v>28</v>
      </c>
      <c r="L314" s="68">
        <f t="shared" si="1"/>
        <v>-8.0000000000000002E-3</v>
      </c>
      <c r="M314" s="1">
        <f t="shared" si="2"/>
        <v>21.049839262131176</v>
      </c>
    </row>
    <row r="315" spans="1:13" ht="15">
      <c r="A315" s="67">
        <v>416.06</v>
      </c>
      <c r="B315" s="67">
        <v>419.82</v>
      </c>
      <c r="C315" s="67">
        <v>414.42</v>
      </c>
      <c r="D315" s="67">
        <v>416.60500000000002</v>
      </c>
      <c r="E315" s="67">
        <v>2569858</v>
      </c>
      <c r="F315" s="67" t="s">
        <v>348</v>
      </c>
      <c r="G315" s="25">
        <f t="shared" si="3"/>
        <v>-1.3081936126546623E-3</v>
      </c>
      <c r="I315" s="69">
        <v>-6.0000000000000001E-3</v>
      </c>
      <c r="J315">
        <v>34</v>
      </c>
      <c r="L315" s="68">
        <f t="shared" si="1"/>
        <v>-7.0000000000000001E-3</v>
      </c>
      <c r="M315" s="1">
        <f t="shared" si="2"/>
        <v>21.601378689562438</v>
      </c>
    </row>
    <row r="316" spans="1:13" ht="15">
      <c r="A316" s="67">
        <v>416.26</v>
      </c>
      <c r="B316" s="67">
        <v>419</v>
      </c>
      <c r="C316" s="67">
        <v>415.15</v>
      </c>
      <c r="D316" s="67">
        <v>417.29500000000002</v>
      </c>
      <c r="E316" s="67">
        <v>2955949</v>
      </c>
      <c r="F316" s="67" t="s">
        <v>349</v>
      </c>
      <c r="G316" s="25">
        <f t="shared" si="3"/>
        <v>-2.4802597682694882E-3</v>
      </c>
      <c r="I316" s="69">
        <v>-5.0000000000000001E-3</v>
      </c>
      <c r="J316">
        <v>19</v>
      </c>
      <c r="L316" s="68">
        <f t="shared" si="1"/>
        <v>-6.0000000000000001E-3</v>
      </c>
      <c r="M316" s="1">
        <f t="shared" si="2"/>
        <v>22.090628925210783</v>
      </c>
    </row>
    <row r="317" spans="1:13" ht="15">
      <c r="A317" s="67">
        <v>416.92</v>
      </c>
      <c r="B317" s="67">
        <v>419.64499999999998</v>
      </c>
      <c r="C317" s="67">
        <v>415.28</v>
      </c>
      <c r="D317" s="67">
        <v>417.54</v>
      </c>
      <c r="E317" s="67">
        <v>2141761</v>
      </c>
      <c r="F317" s="67" t="s">
        <v>350</v>
      </c>
      <c r="G317" s="25">
        <f t="shared" si="3"/>
        <v>-1.4848876754323115E-3</v>
      </c>
      <c r="I317" s="69">
        <v>-4.0000000000000001E-3</v>
      </c>
      <c r="J317">
        <v>23</v>
      </c>
      <c r="L317" s="68">
        <f t="shared" si="1"/>
        <v>-5.0000000000000001E-3</v>
      </c>
      <c r="M317" s="1">
        <f t="shared" si="2"/>
        <v>22.512753383318021</v>
      </c>
    </row>
    <row r="318" spans="1:13" ht="15">
      <c r="A318" s="67">
        <v>415.2</v>
      </c>
      <c r="B318" s="67">
        <v>421.48</v>
      </c>
      <c r="C318" s="67">
        <v>413.98</v>
      </c>
      <c r="D318" s="67">
        <v>415</v>
      </c>
      <c r="E318" s="67">
        <v>2265678</v>
      </c>
      <c r="F318" s="67" t="s">
        <v>351</v>
      </c>
      <c r="G318" s="25">
        <f t="shared" si="3"/>
        <v>4.8192771084343278E-4</v>
      </c>
      <c r="I318" s="69">
        <v>-3.0000000000000001E-3</v>
      </c>
      <c r="J318">
        <v>28</v>
      </c>
      <c r="L318" s="68">
        <f t="shared" si="1"/>
        <v>-4.0000000000000001E-3</v>
      </c>
      <c r="M318" s="1">
        <f t="shared" si="2"/>
        <v>22.863518774895844</v>
      </c>
    </row>
    <row r="319" spans="1:13" ht="15">
      <c r="A319" s="67">
        <v>413.91</v>
      </c>
      <c r="B319" s="67">
        <v>415.94</v>
      </c>
      <c r="C319" s="67">
        <v>410.08</v>
      </c>
      <c r="D319" s="67">
        <v>411.54</v>
      </c>
      <c r="E319" s="67">
        <v>1840500</v>
      </c>
      <c r="F319" s="67" t="s">
        <v>352</v>
      </c>
      <c r="G319" s="25">
        <f t="shared" si="3"/>
        <v>5.7588569762356823E-3</v>
      </c>
      <c r="I319" s="69">
        <v>-2E-3</v>
      </c>
      <c r="J319">
        <v>36</v>
      </c>
      <c r="L319" s="68">
        <f t="shared" si="1"/>
        <v>-3.0000000000000001E-3</v>
      </c>
      <c r="M319" s="1">
        <f t="shared" si="2"/>
        <v>23.139365749255813</v>
      </c>
    </row>
    <row r="320" spans="1:13" ht="15">
      <c r="A320" s="67">
        <v>412.49</v>
      </c>
      <c r="B320" s="67">
        <v>412.64</v>
      </c>
      <c r="C320" s="67">
        <v>402.476</v>
      </c>
      <c r="D320" s="67">
        <v>403.45499999999998</v>
      </c>
      <c r="E320" s="67">
        <v>2679769</v>
      </c>
      <c r="F320" s="67" t="s">
        <v>353</v>
      </c>
      <c r="G320" s="25">
        <f t="shared" si="3"/>
        <v>2.2394071209924427E-2</v>
      </c>
      <c r="I320" s="69">
        <v>-1E-3</v>
      </c>
      <c r="J320">
        <v>36</v>
      </c>
      <c r="L320" s="68">
        <f>L321-0.001</f>
        <v>-2E-3</v>
      </c>
      <c r="M320" s="1">
        <f t="shared" si="2"/>
        <v>23.337469009737372</v>
      </c>
    </row>
    <row r="321" spans="1:13" ht="15">
      <c r="A321" s="67">
        <v>403.4</v>
      </c>
      <c r="B321" s="67">
        <v>410</v>
      </c>
      <c r="C321" s="67">
        <v>396.73</v>
      </c>
      <c r="D321" s="67">
        <v>408.88</v>
      </c>
      <c r="E321" s="67">
        <v>4148635</v>
      </c>
      <c r="F321" s="67" t="s">
        <v>354</v>
      </c>
      <c r="G321" s="25">
        <f t="shared" si="3"/>
        <v>-1.340246527098421E-2</v>
      </c>
      <c r="I321" s="69">
        <v>0</v>
      </c>
      <c r="J321">
        <v>32</v>
      </c>
      <c r="L321" s="68">
        <f>L322-0.001</f>
        <v>-1E-3</v>
      </c>
      <c r="M321" s="1">
        <f t="shared" si="2"/>
        <v>23.455785484099025</v>
      </c>
    </row>
    <row r="322" spans="1:13" ht="15">
      <c r="A322" s="67">
        <v>415.09</v>
      </c>
      <c r="B322" s="67">
        <v>417.86</v>
      </c>
      <c r="C322" s="67">
        <v>411.53</v>
      </c>
      <c r="D322" s="67">
        <v>414.14</v>
      </c>
      <c r="E322" s="67">
        <v>4218452</v>
      </c>
      <c r="F322" s="67" t="s">
        <v>355</v>
      </c>
      <c r="G322" s="25">
        <f t="shared" si="3"/>
        <v>2.2939102718886328E-3</v>
      </c>
      <c r="I322" s="69">
        <v>1E-3</v>
      </c>
      <c r="J322">
        <v>46</v>
      </c>
      <c r="L322" s="68">
        <v>0</v>
      </c>
      <c r="M322" s="1">
        <f t="shared" si="2"/>
        <v>23.493089401165893</v>
      </c>
    </row>
    <row r="323" spans="1:13" ht="15">
      <c r="A323" s="67">
        <v>413.36</v>
      </c>
      <c r="B323" s="67">
        <v>415.4203</v>
      </c>
      <c r="C323" s="67">
        <v>410.47</v>
      </c>
      <c r="D323" s="67">
        <v>414</v>
      </c>
      <c r="E323" s="67">
        <v>1781393</v>
      </c>
      <c r="F323" s="67" t="s">
        <v>356</v>
      </c>
      <c r="G323" s="25">
        <f t="shared" si="3"/>
        <v>-1.5458937198067346E-3</v>
      </c>
      <c r="I323" s="69">
        <v>2E-3</v>
      </c>
      <c r="J323">
        <v>37</v>
      </c>
      <c r="L323" s="25">
        <f>L322+0.001</f>
        <v>1E-3</v>
      </c>
      <c r="M323" s="1">
        <f t="shared" si="2"/>
        <v>23.448993431613061</v>
      </c>
    </row>
    <row r="324" spans="1:13" ht="15">
      <c r="A324" s="67">
        <v>412.23</v>
      </c>
      <c r="B324" s="67">
        <v>416.37</v>
      </c>
      <c r="C324" s="67">
        <v>411.42</v>
      </c>
      <c r="D324" s="67">
        <v>413.81</v>
      </c>
      <c r="E324" s="67">
        <v>2221880</v>
      </c>
      <c r="F324" s="67" t="s">
        <v>357</v>
      </c>
      <c r="G324" s="25">
        <f t="shared" si="3"/>
        <v>-3.8181774244218092E-3</v>
      </c>
      <c r="I324" s="69">
        <v>3.0000000000000001E-3</v>
      </c>
      <c r="J324">
        <v>28</v>
      </c>
      <c r="L324" s="25">
        <f>L323+0.001</f>
        <v>2E-3</v>
      </c>
      <c r="M324" s="1">
        <f t="shared" si="2"/>
        <v>23.323955383014201</v>
      </c>
    </row>
    <row r="325" spans="1:13" ht="15">
      <c r="A325" s="67">
        <v>413.1</v>
      </c>
      <c r="B325" s="67">
        <v>414.95</v>
      </c>
      <c r="C325" s="67">
        <v>411.6</v>
      </c>
      <c r="D325" s="67">
        <v>412.76</v>
      </c>
      <c r="E325" s="67">
        <v>2605951</v>
      </c>
      <c r="F325" s="67" t="s">
        <v>358</v>
      </c>
      <c r="G325" s="25">
        <f t="shared" si="3"/>
        <v>8.237232289951546E-4</v>
      </c>
      <c r="I325" s="69">
        <v>4.0000000000000001E-3</v>
      </c>
      <c r="J325">
        <v>31</v>
      </c>
      <c r="L325" s="25">
        <f>L324+0.001</f>
        <v>3.0000000000000001E-3</v>
      </c>
      <c r="M325" s="1">
        <f t="shared" si="2"/>
        <v>23.119270287327346</v>
      </c>
    </row>
    <row r="326" spans="1:13" ht="15">
      <c r="A326" s="67">
        <v>407.69</v>
      </c>
      <c r="B326" s="67">
        <v>411.45</v>
      </c>
      <c r="C326" s="67">
        <v>407.15</v>
      </c>
      <c r="D326" s="67">
        <v>409.11</v>
      </c>
      <c r="E326" s="67">
        <v>2087674</v>
      </c>
      <c r="F326" s="67" t="s">
        <v>359</v>
      </c>
      <c r="G326" s="25">
        <f t="shared" si="3"/>
        <v>-3.4709491334848908E-3</v>
      </c>
      <c r="I326" s="69">
        <v>5.0000000000000001E-3</v>
      </c>
      <c r="J326">
        <v>38</v>
      </c>
      <c r="L326" s="25">
        <f t="shared" ref="L326:L375" si="4">L325+0.001</f>
        <v>4.0000000000000001E-3</v>
      </c>
      <c r="M326" s="1">
        <f t="shared" si="2"/>
        <v>22.837048072055314</v>
      </c>
    </row>
    <row r="327" spans="1:13" ht="15">
      <c r="A327" s="67">
        <v>414.33</v>
      </c>
      <c r="B327" s="67">
        <v>417.89839999999998</v>
      </c>
      <c r="C327" s="67">
        <v>412.51</v>
      </c>
      <c r="D327" s="67">
        <v>412.51</v>
      </c>
      <c r="E327" s="67">
        <v>1889487</v>
      </c>
      <c r="F327" s="67" t="s">
        <v>360</v>
      </c>
      <c r="G327" s="25">
        <f t="shared" si="3"/>
        <v>4.412014254199903E-3</v>
      </c>
      <c r="I327" s="69">
        <v>6.0000000000000001E-3</v>
      </c>
      <c r="J327">
        <v>28</v>
      </c>
      <c r="L327" s="25">
        <f t="shared" si="4"/>
        <v>5.0000000000000001E-3</v>
      </c>
      <c r="M327" s="1">
        <f t="shared" si="2"/>
        <v>22.480177353448255</v>
      </c>
    </row>
    <row r="328" spans="1:13" ht="15">
      <c r="A328" s="67">
        <v>414.03</v>
      </c>
      <c r="B328" s="67">
        <v>422.95</v>
      </c>
      <c r="C328" s="67">
        <v>412.59</v>
      </c>
      <c r="D328" s="67">
        <v>414.85500000000002</v>
      </c>
      <c r="E328" s="67">
        <v>2495783</v>
      </c>
      <c r="F328" s="67" t="s">
        <v>361</v>
      </c>
      <c r="G328" s="25">
        <f t="shared" si="3"/>
        <v>-1.9886466355715227E-3</v>
      </c>
      <c r="I328" s="69">
        <v>7.0000000000000001E-3</v>
      </c>
      <c r="J328">
        <v>27</v>
      </c>
      <c r="L328" s="25">
        <f t="shared" si="4"/>
        <v>6.0000000000000001E-3</v>
      </c>
      <c r="M328" s="1">
        <f t="shared" si="2"/>
        <v>22.05227622057582</v>
      </c>
    </row>
    <row r="329" spans="1:13" ht="15">
      <c r="A329" s="67">
        <v>417.61</v>
      </c>
      <c r="B329" s="67">
        <v>419.13</v>
      </c>
      <c r="C329" s="67">
        <v>414.29</v>
      </c>
      <c r="D329" s="67">
        <v>417.87</v>
      </c>
      <c r="E329" s="67">
        <v>2453377</v>
      </c>
      <c r="F329" s="67" t="s">
        <v>362</v>
      </c>
      <c r="G329" s="25">
        <f t="shared" si="3"/>
        <v>-6.222030775121512E-4</v>
      </c>
      <c r="I329" s="69">
        <v>8.0000000000000002E-3</v>
      </c>
      <c r="J329">
        <v>39</v>
      </c>
      <c r="L329" s="25">
        <f t="shared" si="4"/>
        <v>7.0000000000000001E-3</v>
      </c>
      <c r="M329" s="1">
        <f t="shared" si="2"/>
        <v>21.557631182782234</v>
      </c>
    </row>
    <row r="330" spans="1:13" ht="15">
      <c r="A330" s="67">
        <v>420.68</v>
      </c>
      <c r="B330" s="67">
        <v>421.27</v>
      </c>
      <c r="C330" s="67">
        <v>413.19929999999999</v>
      </c>
      <c r="D330" s="67">
        <v>413.53</v>
      </c>
      <c r="E330" s="67">
        <v>3007984</v>
      </c>
      <c r="F330" s="67" t="s">
        <v>363</v>
      </c>
      <c r="G330" s="25">
        <f t="shared" si="3"/>
        <v>1.7290160326941306E-2</v>
      </c>
      <c r="I330" s="69">
        <v>9.0000000000000011E-3</v>
      </c>
      <c r="J330">
        <v>27</v>
      </c>
      <c r="L330" s="25">
        <f t="shared" si="4"/>
        <v>8.0000000000000002E-3</v>
      </c>
      <c r="M330" s="1">
        <f t="shared" si="2"/>
        <v>21.001125720852677</v>
      </c>
    </row>
    <row r="331" spans="1:13" ht="15">
      <c r="A331" s="67">
        <v>417.125</v>
      </c>
      <c r="B331" s="67">
        <v>421.76499999999999</v>
      </c>
      <c r="C331" s="67">
        <v>412.06</v>
      </c>
      <c r="D331" s="67">
        <v>414.62</v>
      </c>
      <c r="E331" s="67">
        <v>5391532</v>
      </c>
      <c r="F331" s="67" t="s">
        <v>364</v>
      </c>
      <c r="G331" s="25">
        <f t="shared" si="3"/>
        <v>6.0416767160291762E-3</v>
      </c>
      <c r="I331" s="69">
        <v>1.0000000000000002E-2</v>
      </c>
      <c r="J331">
        <v>21</v>
      </c>
      <c r="L331" s="25">
        <f t="shared" si="4"/>
        <v>9.0000000000000011E-3</v>
      </c>
      <c r="M331" s="1">
        <f t="shared" si="2"/>
        <v>20.388160106406055</v>
      </c>
    </row>
    <row r="332" spans="1:13" ht="15">
      <c r="A332" s="67">
        <v>404.69</v>
      </c>
      <c r="B332" s="67">
        <v>404.85</v>
      </c>
      <c r="C332" s="67">
        <v>399.35</v>
      </c>
      <c r="D332" s="67">
        <v>399.35</v>
      </c>
      <c r="E332" s="67">
        <v>2763813</v>
      </c>
      <c r="F332" s="67" t="s">
        <v>365</v>
      </c>
      <c r="G332" s="25">
        <f t="shared" si="3"/>
        <v>1.3371729059721948E-2</v>
      </c>
      <c r="I332" s="69">
        <v>1.1000000000000003E-2</v>
      </c>
      <c r="J332">
        <v>34</v>
      </c>
      <c r="L332" s="25">
        <f t="shared" si="4"/>
        <v>1.0000000000000002E-2</v>
      </c>
      <c r="M332" s="1">
        <f t="shared" si="2"/>
        <v>19.724564328443876</v>
      </c>
    </row>
    <row r="333" spans="1:13" ht="15">
      <c r="A333" s="67">
        <v>399.47</v>
      </c>
      <c r="B333" s="67">
        <v>400.12</v>
      </c>
      <c r="C333" s="67">
        <v>396.42</v>
      </c>
      <c r="D333" s="67">
        <v>396.85</v>
      </c>
      <c r="E333" s="67">
        <v>2409217</v>
      </c>
      <c r="F333" s="67" t="s">
        <v>366</v>
      </c>
      <c r="G333" s="25">
        <f t="shared" si="3"/>
        <v>6.6019906765779623E-3</v>
      </c>
      <c r="I333" s="69">
        <v>1.2000000000000004E-2</v>
      </c>
      <c r="J333">
        <v>28</v>
      </c>
      <c r="L333" s="25">
        <f t="shared" si="4"/>
        <v>1.1000000000000003E-2</v>
      </c>
      <c r="M333" s="1">
        <f t="shared" si="2"/>
        <v>19.016506086298669</v>
      </c>
    </row>
    <row r="334" spans="1:13" ht="15">
      <c r="A334" s="67">
        <v>397.4</v>
      </c>
      <c r="B334" s="67">
        <v>399.67</v>
      </c>
      <c r="C334" s="67">
        <v>394.71</v>
      </c>
      <c r="D334" s="67">
        <v>395.9</v>
      </c>
      <c r="E334" s="67">
        <v>2664142</v>
      </c>
      <c r="F334" s="67" t="s">
        <v>367</v>
      </c>
      <c r="G334" s="25">
        <f t="shared" si="3"/>
        <v>3.7888355645365746E-3</v>
      </c>
      <c r="I334" s="69">
        <v>1.3000000000000005E-2</v>
      </c>
      <c r="J334">
        <v>20</v>
      </c>
      <c r="L334" s="25">
        <f t="shared" si="4"/>
        <v>1.2000000000000004E-2</v>
      </c>
      <c r="M334" s="1">
        <f t="shared" ref="M334:M375" si="5">_xlfn.NORM.DIST(L334,$K$260,$K$262,FALSE)</f>
        <v>18.270395872050678</v>
      </c>
    </row>
    <row r="335" spans="1:13" ht="15">
      <c r="A335" s="67">
        <v>395.94</v>
      </c>
      <c r="B335" s="67">
        <v>397.82</v>
      </c>
      <c r="C335" s="67">
        <v>392.755</v>
      </c>
      <c r="D335" s="67">
        <v>394.33</v>
      </c>
      <c r="E335" s="67">
        <v>3157670</v>
      </c>
      <c r="F335" s="67" t="s">
        <v>368</v>
      </c>
      <c r="G335" s="25">
        <f t="shared" si="3"/>
        <v>4.0828747495753603E-3</v>
      </c>
      <c r="I335" s="69">
        <v>1.4000000000000005E-2</v>
      </c>
      <c r="J335">
        <v>29</v>
      </c>
      <c r="L335" s="25">
        <f t="shared" si="4"/>
        <v>1.3000000000000005E-2</v>
      </c>
      <c r="M335" s="1">
        <f t="shared" si="5"/>
        <v>17.492791172414396</v>
      </c>
    </row>
    <row r="336" spans="1:13" ht="15">
      <c r="A336" s="67">
        <v>383.28</v>
      </c>
      <c r="B336" s="67">
        <v>388.77</v>
      </c>
      <c r="C336" s="67">
        <v>382.33</v>
      </c>
      <c r="D336" s="67">
        <v>386.18</v>
      </c>
      <c r="E336" s="67">
        <v>2031324</v>
      </c>
      <c r="F336" s="67" t="s">
        <v>369</v>
      </c>
      <c r="G336" s="25">
        <f t="shared" si="3"/>
        <v>-7.5094515510902848E-3</v>
      </c>
      <c r="I336" s="69">
        <v>1.5000000000000006E-2</v>
      </c>
      <c r="J336">
        <v>19</v>
      </c>
      <c r="L336" s="25">
        <f t="shared" si="4"/>
        <v>1.4000000000000005E-2</v>
      </c>
      <c r="M336" s="1">
        <f t="shared" si="5"/>
        <v>16.690301771676413</v>
      </c>
    </row>
    <row r="337" spans="1:13" ht="15">
      <c r="A337" s="67">
        <v>383.99</v>
      </c>
      <c r="B337" s="67">
        <v>388.73099999999999</v>
      </c>
      <c r="C337" s="67">
        <v>383.4</v>
      </c>
      <c r="D337" s="67">
        <v>388.3</v>
      </c>
      <c r="E337" s="67">
        <v>3383867</v>
      </c>
      <c r="F337" s="67" t="s">
        <v>370</v>
      </c>
      <c r="G337" s="25">
        <f t="shared" si="3"/>
        <v>-1.109966520731398E-2</v>
      </c>
      <c r="I337" s="69">
        <v>1.6000000000000007E-2</v>
      </c>
      <c r="J337">
        <v>23</v>
      </c>
      <c r="L337" s="25">
        <f t="shared" si="4"/>
        <v>1.5000000000000006E-2</v>
      </c>
      <c r="M337" s="1">
        <f t="shared" si="5"/>
        <v>15.869498036859961</v>
      </c>
    </row>
    <row r="338" spans="1:13" ht="15">
      <c r="A338" s="67">
        <v>384.97</v>
      </c>
      <c r="B338" s="67">
        <v>387.83</v>
      </c>
      <c r="C338" s="67">
        <v>380.94499999999999</v>
      </c>
      <c r="D338" s="67">
        <v>384.7</v>
      </c>
      <c r="E338" s="67">
        <v>2153771</v>
      </c>
      <c r="F338" s="67" t="s">
        <v>371</v>
      </c>
      <c r="G338" s="25">
        <f t="shared" si="3"/>
        <v>7.0184559396935242E-4</v>
      </c>
      <c r="I338" s="69">
        <v>1.7000000000000008E-2</v>
      </c>
      <c r="J338">
        <v>15</v>
      </c>
      <c r="L338" s="25">
        <f t="shared" si="4"/>
        <v>1.6000000000000007E-2</v>
      </c>
      <c r="M338" s="1">
        <f t="shared" si="5"/>
        <v>15.036823918905267</v>
      </c>
    </row>
    <row r="339" spans="1:13" ht="15">
      <c r="A339" s="67">
        <v>382.98</v>
      </c>
      <c r="B339" s="67">
        <v>386.52</v>
      </c>
      <c r="C339" s="67">
        <v>375.05</v>
      </c>
      <c r="D339" s="67">
        <v>376.565</v>
      </c>
      <c r="E339" s="67">
        <v>2970086</v>
      </c>
      <c r="F339" s="67" t="s">
        <v>372</v>
      </c>
      <c r="G339" s="25">
        <f t="shared" si="3"/>
        <v>1.7035571548072781E-2</v>
      </c>
      <c r="I339" s="69">
        <v>1.8000000000000009E-2</v>
      </c>
      <c r="J339">
        <v>15</v>
      </c>
      <c r="L339" s="25">
        <f t="shared" si="4"/>
        <v>1.7000000000000008E-2</v>
      </c>
      <c r="M339" s="1">
        <f t="shared" si="5"/>
        <v>14.198516215685975</v>
      </c>
    </row>
    <row r="340" spans="1:13" ht="15">
      <c r="A340" s="67">
        <v>381.06</v>
      </c>
      <c r="B340" s="67">
        <v>384.54</v>
      </c>
      <c r="C340" s="67">
        <v>378.4</v>
      </c>
      <c r="D340" s="67">
        <v>379.29</v>
      </c>
      <c r="E340" s="67">
        <v>2095559</v>
      </c>
      <c r="F340" s="67" t="s">
        <v>373</v>
      </c>
      <c r="G340" s="25">
        <f t="shared" si="3"/>
        <v>4.6666139365656445E-3</v>
      </c>
      <c r="I340" s="69">
        <v>1.900000000000001E-2</v>
      </c>
      <c r="J340">
        <v>13</v>
      </c>
      <c r="L340" s="25">
        <f t="shared" si="4"/>
        <v>1.8000000000000009E-2</v>
      </c>
      <c r="M340" s="1">
        <f t="shared" si="5"/>
        <v>13.360531421625078</v>
      </c>
    </row>
    <row r="341" spans="1:13" ht="15">
      <c r="A341" s="67">
        <v>380.87</v>
      </c>
      <c r="B341" s="67">
        <v>383.56150000000002</v>
      </c>
      <c r="C341" s="67">
        <v>379.19</v>
      </c>
      <c r="D341" s="67">
        <v>380.09</v>
      </c>
      <c r="E341" s="67">
        <v>2340739</v>
      </c>
      <c r="F341" s="67" t="s">
        <v>374</v>
      </c>
      <c r="G341" s="25">
        <f t="shared" si="3"/>
        <v>2.0521455444764136E-3</v>
      </c>
      <c r="I341" s="69">
        <v>2.0000000000000011E-2</v>
      </c>
      <c r="J341">
        <v>17</v>
      </c>
      <c r="L341" s="25">
        <f t="shared" si="4"/>
        <v>1.900000000000001E-2</v>
      </c>
      <c r="M341" s="1">
        <f t="shared" si="5"/>
        <v>12.528481242795868</v>
      </c>
    </row>
    <row r="342" spans="1:13" ht="15">
      <c r="A342" s="67">
        <v>374.63</v>
      </c>
      <c r="B342" s="67">
        <v>380.44</v>
      </c>
      <c r="C342" s="67">
        <v>374.07</v>
      </c>
      <c r="D342" s="67">
        <v>378.3</v>
      </c>
      <c r="E342" s="67">
        <v>2848778</v>
      </c>
      <c r="F342" s="67" t="s">
        <v>375</v>
      </c>
      <c r="G342" s="25">
        <f t="shared" si="3"/>
        <v>-9.7012952683056541E-3</v>
      </c>
      <c r="I342" s="69">
        <v>2.1000000000000012E-2</v>
      </c>
      <c r="J342">
        <v>8</v>
      </c>
      <c r="L342" s="25">
        <f t="shared" si="4"/>
        <v>2.0000000000000011E-2</v>
      </c>
      <c r="M342" s="1">
        <f t="shared" si="5"/>
        <v>11.707577594389171</v>
      </c>
    </row>
    <row r="343" spans="1:13" ht="15">
      <c r="A343" s="67">
        <v>374.98</v>
      </c>
      <c r="B343" s="67">
        <v>376</v>
      </c>
      <c r="C343" s="67">
        <v>363.56</v>
      </c>
      <c r="D343" s="67">
        <v>366.87</v>
      </c>
      <c r="E343" s="67">
        <v>3305481</v>
      </c>
      <c r="F343" s="67" t="s">
        <v>376</v>
      </c>
      <c r="G343" s="25">
        <f t="shared" si="3"/>
        <v>2.2105923079019929E-2</v>
      </c>
      <c r="I343" s="69">
        <v>2.2000000000000013E-2</v>
      </c>
      <c r="J343">
        <v>10</v>
      </c>
      <c r="L343" s="25">
        <f t="shared" si="4"/>
        <v>2.1000000000000012E-2</v>
      </c>
      <c r="M343" s="1">
        <f t="shared" si="5"/>
        <v>10.902587628079326</v>
      </c>
    </row>
    <row r="344" spans="1:13" ht="15">
      <c r="A344" s="67">
        <v>370.98</v>
      </c>
      <c r="B344" s="67">
        <v>373.88</v>
      </c>
      <c r="C344" s="67">
        <v>366.88</v>
      </c>
      <c r="D344" s="67">
        <v>367.21</v>
      </c>
      <c r="E344" s="67">
        <v>2198291</v>
      </c>
      <c r="F344" s="67" t="s">
        <v>377</v>
      </c>
      <c r="G344" s="25">
        <f t="shared" si="3"/>
        <v>1.0266604939952684E-2</v>
      </c>
      <c r="I344" s="69">
        <v>2.3000000000000013E-2</v>
      </c>
      <c r="J344">
        <v>16</v>
      </c>
      <c r="L344" s="25">
        <f t="shared" si="4"/>
        <v>2.2000000000000013E-2</v>
      </c>
      <c r="M344" s="1">
        <f t="shared" si="5"/>
        <v>10.11779906866758</v>
      </c>
    </row>
    <row r="345" spans="1:13" ht="15">
      <c r="A345" s="67">
        <v>368.62</v>
      </c>
      <c r="B345" s="67">
        <v>370.99</v>
      </c>
      <c r="C345" s="67">
        <v>364.58</v>
      </c>
      <c r="D345" s="67">
        <v>368.05</v>
      </c>
      <c r="E345" s="67">
        <v>3163425</v>
      </c>
      <c r="F345" s="67" t="s">
        <v>378</v>
      </c>
      <c r="G345" s="25">
        <f t="shared" si="3"/>
        <v>1.5487026219263011E-3</v>
      </c>
      <c r="I345" s="69">
        <v>2.4000000000000014E-2</v>
      </c>
      <c r="J345">
        <v>5</v>
      </c>
      <c r="L345" s="25">
        <f t="shared" si="4"/>
        <v>2.3000000000000013E-2</v>
      </c>
      <c r="M345" s="1">
        <f t="shared" si="5"/>
        <v>9.3569958804194755</v>
      </c>
    </row>
    <row r="346" spans="1:13" ht="15">
      <c r="A346" s="67">
        <v>367.72</v>
      </c>
      <c r="B346" s="67">
        <v>369.31</v>
      </c>
      <c r="C346" s="67">
        <v>359.99</v>
      </c>
      <c r="D346" s="67">
        <v>361.69499999999999</v>
      </c>
      <c r="E346" s="67">
        <v>3499345</v>
      </c>
      <c r="F346" s="67" t="s">
        <v>379</v>
      </c>
      <c r="G346" s="25">
        <f t="shared" si="3"/>
        <v>1.6657681195482388E-2</v>
      </c>
      <c r="I346" s="69">
        <v>2.5000000000000015E-2</v>
      </c>
      <c r="J346">
        <v>9</v>
      </c>
      <c r="L346" s="25">
        <f t="shared" si="4"/>
        <v>2.4000000000000014E-2</v>
      </c>
      <c r="M346" s="1">
        <f t="shared" si="5"/>
        <v>8.6234440409356736</v>
      </c>
    </row>
    <row r="347" spans="1:13" ht="15">
      <c r="A347" s="67">
        <v>360.91</v>
      </c>
      <c r="B347" s="67">
        <v>361.12</v>
      </c>
      <c r="C347" s="67">
        <v>353.245</v>
      </c>
      <c r="D347" s="67">
        <v>353.59</v>
      </c>
      <c r="E347" s="67">
        <v>3085149</v>
      </c>
      <c r="F347" s="67" t="s">
        <v>380</v>
      </c>
      <c r="G347" s="25">
        <f t="shared" si="3"/>
        <v>2.070194292825045E-2</v>
      </c>
      <c r="I347" s="69">
        <v>2.6000000000000016E-2</v>
      </c>
      <c r="J347">
        <v>10</v>
      </c>
      <c r="L347" s="25">
        <f t="shared" si="4"/>
        <v>2.5000000000000015E-2</v>
      </c>
      <c r="M347" s="1">
        <f t="shared" si="5"/>
        <v>7.9198869803809639</v>
      </c>
    </row>
    <row r="348" spans="1:13" ht="15">
      <c r="A348" s="67">
        <v>351.96</v>
      </c>
      <c r="B348" s="67">
        <v>363</v>
      </c>
      <c r="C348" s="67">
        <v>349.8</v>
      </c>
      <c r="D348" s="67">
        <v>358.12</v>
      </c>
      <c r="E348" s="67">
        <v>3167958</v>
      </c>
      <c r="F348" s="67" t="s">
        <v>381</v>
      </c>
      <c r="G348" s="25">
        <f t="shared" si="3"/>
        <v>-1.7200938232994623E-2</v>
      </c>
      <c r="I348" s="69">
        <v>2.7000000000000017E-2</v>
      </c>
      <c r="J348">
        <v>7</v>
      </c>
      <c r="L348" s="25">
        <f t="shared" si="4"/>
        <v>2.6000000000000016E-2</v>
      </c>
      <c r="M348" s="1">
        <f t="shared" si="5"/>
        <v>7.2485500514468466</v>
      </c>
    </row>
    <row r="349" spans="1:13" ht="15">
      <c r="A349" s="67">
        <v>349.91</v>
      </c>
      <c r="B349" s="67">
        <v>352.08</v>
      </c>
      <c r="C349" s="67">
        <v>344.36869999999999</v>
      </c>
      <c r="D349" s="67">
        <v>349.14</v>
      </c>
      <c r="E349" s="67">
        <v>3250424</v>
      </c>
      <c r="F349" s="67" t="s">
        <v>382</v>
      </c>
      <c r="G349" s="25">
        <f t="shared" si="3"/>
        <v>2.205419029615685E-3</v>
      </c>
      <c r="I349" s="69">
        <v>2.8000000000000018E-2</v>
      </c>
      <c r="J349">
        <v>4</v>
      </c>
      <c r="L349" s="25">
        <f t="shared" si="4"/>
        <v>2.7000000000000017E-2</v>
      </c>
      <c r="M349" s="1">
        <f t="shared" si="5"/>
        <v>6.6111532342667614</v>
      </c>
    </row>
    <row r="350" spans="1:13" ht="15">
      <c r="A350" s="67">
        <v>343.22</v>
      </c>
      <c r="B350" s="67">
        <v>346.68</v>
      </c>
      <c r="C350" s="67">
        <v>338.64</v>
      </c>
      <c r="D350" s="67">
        <v>344.565</v>
      </c>
      <c r="E350" s="67">
        <v>3691241</v>
      </c>
      <c r="F350" s="67" t="s">
        <v>383</v>
      </c>
      <c r="G350" s="25">
        <f t="shared" si="3"/>
        <v>-3.9034724943043386E-3</v>
      </c>
      <c r="I350" s="69">
        <v>2.9000000000000019E-2</v>
      </c>
      <c r="J350">
        <v>6</v>
      </c>
      <c r="L350" s="25">
        <f t="shared" si="4"/>
        <v>2.8000000000000018E-2</v>
      </c>
      <c r="M350" s="1">
        <f t="shared" si="5"/>
        <v>6.0089311530516634</v>
      </c>
    </row>
    <row r="351" spans="1:13" ht="15">
      <c r="A351" s="67">
        <v>348.8</v>
      </c>
      <c r="B351" s="67">
        <v>351.875</v>
      </c>
      <c r="C351" s="67">
        <v>345.09</v>
      </c>
      <c r="D351" s="67">
        <v>349.75</v>
      </c>
      <c r="E351" s="67">
        <v>5229675</v>
      </c>
      <c r="F351" s="67" t="s">
        <v>384</v>
      </c>
      <c r="G351" s="25">
        <f t="shared" si="3"/>
        <v>-2.7162258756253665E-3</v>
      </c>
      <c r="I351" s="69">
        <v>3.000000000000002E-2</v>
      </c>
      <c r="J351">
        <v>3</v>
      </c>
      <c r="L351" s="25">
        <f t="shared" si="4"/>
        <v>2.9000000000000019E-2</v>
      </c>
      <c r="M351" s="1">
        <f t="shared" si="5"/>
        <v>5.4426593885727863</v>
      </c>
    </row>
    <row r="352" spans="1:13" ht="15">
      <c r="A352" s="67">
        <v>344.19</v>
      </c>
      <c r="B352" s="67">
        <v>350.38</v>
      </c>
      <c r="C352" s="67">
        <v>341.31009999999998</v>
      </c>
      <c r="D352" s="67">
        <v>345</v>
      </c>
      <c r="E352" s="67">
        <v>3687874</v>
      </c>
      <c r="F352" s="67" t="s">
        <v>385</v>
      </c>
      <c r="G352" s="25">
        <f t="shared" si="3"/>
        <v>-2.3478260869564949E-3</v>
      </c>
      <c r="I352" s="69">
        <v>3.1000000000000021E-2</v>
      </c>
      <c r="J352">
        <v>2</v>
      </c>
      <c r="L352" s="25">
        <f t="shared" si="4"/>
        <v>3.000000000000002E-2</v>
      </c>
      <c r="M352" s="1">
        <f t="shared" si="5"/>
        <v>4.9126860126553034</v>
      </c>
    </row>
    <row r="353" spans="1:13" ht="15">
      <c r="A353" s="67">
        <v>350.38</v>
      </c>
      <c r="B353" s="67">
        <v>356.49</v>
      </c>
      <c r="C353" s="67">
        <v>349.185</v>
      </c>
      <c r="D353" s="67">
        <v>351.05</v>
      </c>
      <c r="E353" s="67">
        <v>3030407</v>
      </c>
      <c r="F353" s="67" t="s">
        <v>386</v>
      </c>
      <c r="G353" s="25">
        <f t="shared" si="3"/>
        <v>-1.9085600341831599E-3</v>
      </c>
      <c r="I353" s="69">
        <v>3.2000000000000021E-2</v>
      </c>
      <c r="J353">
        <v>2</v>
      </c>
      <c r="L353" s="25">
        <f t="shared" si="4"/>
        <v>3.1000000000000021E-2</v>
      </c>
      <c r="M353" s="1">
        <f t="shared" si="5"/>
        <v>4.418967246294212</v>
      </c>
    </row>
    <row r="354" spans="1:13" ht="15">
      <c r="A354" s="67">
        <v>350.91</v>
      </c>
      <c r="B354" s="67">
        <v>362.05</v>
      </c>
      <c r="C354" s="67">
        <v>348.5</v>
      </c>
      <c r="D354" s="67">
        <v>359.51</v>
      </c>
      <c r="E354" s="67">
        <v>3285950</v>
      </c>
      <c r="F354" s="67" t="s">
        <v>387</v>
      </c>
      <c r="G354" s="25">
        <f t="shared" si="3"/>
        <v>-2.3921448638424381E-2</v>
      </c>
      <c r="I354" s="69">
        <v>3.3000000000000022E-2</v>
      </c>
      <c r="J354">
        <v>6</v>
      </c>
      <c r="L354" s="25">
        <f t="shared" si="4"/>
        <v>3.2000000000000021E-2</v>
      </c>
      <c r="M354" s="1">
        <f t="shared" si="5"/>
        <v>3.9611061496063553</v>
      </c>
    </row>
    <row r="355" spans="1:13" ht="15">
      <c r="A355" s="67">
        <v>352.47</v>
      </c>
      <c r="B355" s="67">
        <v>353.1</v>
      </c>
      <c r="C355" s="67">
        <v>342.35</v>
      </c>
      <c r="D355" s="67">
        <v>351.44</v>
      </c>
      <c r="E355" s="67">
        <v>3941817</v>
      </c>
      <c r="F355" s="67" t="s">
        <v>388</v>
      </c>
      <c r="G355" s="25">
        <f t="shared" si="3"/>
        <v>2.9307989984066474E-3</v>
      </c>
      <c r="I355" s="69">
        <v>3.4000000000000023E-2</v>
      </c>
      <c r="J355">
        <v>2</v>
      </c>
      <c r="L355" s="25">
        <f t="shared" si="4"/>
        <v>3.3000000000000022E-2</v>
      </c>
      <c r="M355" s="1">
        <f t="shared" si="5"/>
        <v>3.5383932865152006</v>
      </c>
    </row>
    <row r="356" spans="1:13" ht="15">
      <c r="A356" s="67">
        <v>350.05</v>
      </c>
      <c r="B356" s="67">
        <v>362.5</v>
      </c>
      <c r="C356" s="67">
        <v>341.52</v>
      </c>
      <c r="D356" s="67">
        <v>360.97</v>
      </c>
      <c r="E356" s="67">
        <v>5694976</v>
      </c>
      <c r="F356" s="67" t="s">
        <v>389</v>
      </c>
      <c r="G356" s="25">
        <f t="shared" si="3"/>
        <v>-3.0251821481009578E-2</v>
      </c>
      <c r="I356" s="69">
        <v>3.5000000000000024E-2</v>
      </c>
      <c r="J356">
        <v>2</v>
      </c>
      <c r="L356" s="25">
        <f t="shared" si="4"/>
        <v>3.4000000000000023E-2</v>
      </c>
      <c r="M356" s="1">
        <f t="shared" si="5"/>
        <v>3.1498483661194148</v>
      </c>
    </row>
    <row r="357" spans="1:13" ht="15">
      <c r="A357" s="67">
        <v>364.64</v>
      </c>
      <c r="B357" s="67">
        <v>365.72</v>
      </c>
      <c r="C357" s="67">
        <v>333.43</v>
      </c>
      <c r="D357" s="67">
        <v>338.74</v>
      </c>
      <c r="E357" s="67">
        <v>7186274</v>
      </c>
      <c r="F357" s="67" t="s">
        <v>390</v>
      </c>
      <c r="G357" s="25">
        <f t="shared" si="3"/>
        <v>7.6459821692153263E-2</v>
      </c>
      <c r="I357" s="69">
        <v>3.6000000000000025E-2</v>
      </c>
      <c r="J357">
        <v>4</v>
      </c>
      <c r="L357" s="25">
        <f t="shared" si="4"/>
        <v>3.5000000000000024E-2</v>
      </c>
      <c r="M357" s="1">
        <f t="shared" si="5"/>
        <v>2.7942619419765089</v>
      </c>
    </row>
    <row r="358" spans="1:13" ht="15">
      <c r="A358" s="67">
        <v>340</v>
      </c>
      <c r="B358" s="67">
        <v>350.74</v>
      </c>
      <c r="C358" s="67">
        <v>333.83</v>
      </c>
      <c r="D358" s="67">
        <v>350.1</v>
      </c>
      <c r="E358" s="67">
        <v>6650815</v>
      </c>
      <c r="F358" s="67" t="s">
        <v>391</v>
      </c>
      <c r="G358" s="25">
        <f t="shared" si="3"/>
        <v>-2.8848900314195958E-2</v>
      </c>
      <c r="I358" s="69">
        <v>3.7000000000000026E-2</v>
      </c>
      <c r="J358">
        <v>2</v>
      </c>
      <c r="L358" s="25">
        <f t="shared" si="4"/>
        <v>3.6000000000000025E-2</v>
      </c>
      <c r="M358" s="1">
        <f t="shared" si="5"/>
        <v>2.4702363456460583</v>
      </c>
    </row>
    <row r="359" spans="1:13" ht="15">
      <c r="A359" s="67">
        <v>340.7</v>
      </c>
      <c r="B359" s="67">
        <v>358.36</v>
      </c>
      <c r="C359" s="67">
        <v>332.01</v>
      </c>
      <c r="D359" s="67">
        <v>335.54</v>
      </c>
      <c r="E359" s="67">
        <v>7690909</v>
      </c>
      <c r="F359" s="67" t="s">
        <v>392</v>
      </c>
      <c r="G359" s="25">
        <f t="shared" si="3"/>
        <v>1.5378196340227523E-2</v>
      </c>
      <c r="I359" s="69">
        <v>3.8000000000000027E-2</v>
      </c>
      <c r="J359">
        <v>1</v>
      </c>
      <c r="L359" s="25">
        <f t="shared" si="4"/>
        <v>3.7000000000000026E-2</v>
      </c>
      <c r="M359" s="1">
        <f t="shared" si="5"/>
        <v>2.1762251373278008</v>
      </c>
    </row>
    <row r="360" spans="1:13" ht="15">
      <c r="A360" s="67">
        <v>349.07</v>
      </c>
      <c r="B360" s="67">
        <v>361.73</v>
      </c>
      <c r="C360" s="67">
        <v>348.8</v>
      </c>
      <c r="D360" s="67">
        <v>359</v>
      </c>
      <c r="E360" s="67">
        <v>5867564</v>
      </c>
      <c r="F360" s="67" t="s">
        <v>393</v>
      </c>
      <c r="G360" s="25">
        <f t="shared" si="3"/>
        <v>-2.7660167130919233E-2</v>
      </c>
      <c r="I360" s="69">
        <v>3.9000000000000028E-2</v>
      </c>
      <c r="J360">
        <v>2</v>
      </c>
      <c r="L360" s="25">
        <f t="shared" si="4"/>
        <v>3.8000000000000027E-2</v>
      </c>
      <c r="M360" s="1">
        <f t="shared" si="5"/>
        <v>1.9105704699458923</v>
      </c>
    </row>
    <row r="361" spans="1:13" ht="15">
      <c r="A361" s="67">
        <v>367.25</v>
      </c>
      <c r="B361" s="67">
        <v>376.01</v>
      </c>
      <c r="C361" s="67">
        <v>366.29</v>
      </c>
      <c r="D361" s="67">
        <v>371.875</v>
      </c>
      <c r="E361" s="67">
        <v>5324421</v>
      </c>
      <c r="F361" s="67" t="s">
        <v>394</v>
      </c>
      <c r="G361" s="25">
        <f t="shared" si="3"/>
        <v>-1.2436974789916011E-2</v>
      </c>
      <c r="I361" s="69">
        <v>4.0000000000000029E-2</v>
      </c>
      <c r="J361">
        <v>2</v>
      </c>
      <c r="L361" s="25">
        <f t="shared" si="4"/>
        <v>3.9000000000000028E-2</v>
      </c>
      <c r="M361" s="1">
        <f t="shared" si="5"/>
        <v>1.6715378794672247</v>
      </c>
    </row>
    <row r="362" spans="1:13" ht="15">
      <c r="A362" s="67">
        <v>385.78</v>
      </c>
      <c r="B362" s="67">
        <v>388</v>
      </c>
      <c r="C362" s="67">
        <v>376.54</v>
      </c>
      <c r="D362" s="67">
        <v>378.28</v>
      </c>
      <c r="E362" s="67">
        <v>2859064</v>
      </c>
      <c r="F362" s="67" t="s">
        <v>395</v>
      </c>
      <c r="G362" s="25">
        <f t="shared" si="3"/>
        <v>1.9826583483134153E-2</v>
      </c>
      <c r="I362" s="69">
        <v>4.1000000000000029E-2</v>
      </c>
      <c r="J362">
        <v>1</v>
      </c>
      <c r="L362" s="25">
        <f t="shared" si="4"/>
        <v>4.0000000000000029E-2</v>
      </c>
      <c r="M362" s="1">
        <f t="shared" si="5"/>
        <v>1.4573481298621944</v>
      </c>
    </row>
    <row r="363" spans="1:13" ht="15">
      <c r="A363" s="67">
        <v>383.2</v>
      </c>
      <c r="B363" s="67">
        <v>384</v>
      </c>
      <c r="C363" s="67">
        <v>375.53</v>
      </c>
      <c r="D363" s="67">
        <v>381.13</v>
      </c>
      <c r="E363" s="67">
        <v>3847766</v>
      </c>
      <c r="F363" s="67" t="s">
        <v>396</v>
      </c>
      <c r="G363" s="25">
        <f t="shared" si="3"/>
        <v>5.4312176947497459E-3</v>
      </c>
      <c r="I363" s="69">
        <v>4.200000000000003E-2</v>
      </c>
      <c r="J363">
        <v>2</v>
      </c>
      <c r="L363" s="25">
        <f t="shared" si="4"/>
        <v>4.1000000000000029E-2</v>
      </c>
      <c r="M363" s="1">
        <f t="shared" si="5"/>
        <v>1.2662058526416271</v>
      </c>
    </row>
    <row r="364" spans="1:13" ht="15">
      <c r="A364" s="67">
        <v>383.53</v>
      </c>
      <c r="B364" s="67">
        <v>384.8</v>
      </c>
      <c r="C364" s="67">
        <v>374.67</v>
      </c>
      <c r="D364" s="67">
        <v>380</v>
      </c>
      <c r="E364" s="67">
        <v>3960737</v>
      </c>
      <c r="F364" s="67" t="s">
        <v>397</v>
      </c>
      <c r="G364" s="25">
        <f t="shared" si="3"/>
        <v>9.2894736842104031E-3</v>
      </c>
      <c r="I364" s="69">
        <v>4.3000000000000031E-2</v>
      </c>
      <c r="J364">
        <v>0</v>
      </c>
      <c r="L364" s="25">
        <f t="shared" si="4"/>
        <v>4.200000000000003E-2</v>
      </c>
      <c r="M364" s="1">
        <f t="shared" si="5"/>
        <v>1.0963248255774289</v>
      </c>
    </row>
    <row r="365" spans="1:13" ht="15">
      <c r="A365" s="67">
        <v>385.71</v>
      </c>
      <c r="B365" s="67">
        <v>396.92</v>
      </c>
      <c r="C365" s="67">
        <v>384.755</v>
      </c>
      <c r="D365" s="67">
        <v>393.89</v>
      </c>
      <c r="E365" s="67">
        <v>3830307</v>
      </c>
      <c r="F365" s="67" t="s">
        <v>398</v>
      </c>
      <c r="G365" s="25">
        <f t="shared" si="3"/>
        <v>-2.0767219274416715E-2</v>
      </c>
      <c r="I365" s="69">
        <v>4.4000000000000032E-2</v>
      </c>
      <c r="J365">
        <v>1</v>
      </c>
      <c r="L365" s="25">
        <f t="shared" si="4"/>
        <v>4.3000000000000031E-2</v>
      </c>
      <c r="M365" s="1">
        <f t="shared" si="5"/>
        <v>0.94594983083695883</v>
      </c>
    </row>
    <row r="366" spans="1:13" ht="15">
      <c r="A366" s="67">
        <v>396.15</v>
      </c>
      <c r="B366" s="67">
        <v>401.47629999999998</v>
      </c>
      <c r="C366" s="67">
        <v>392.51</v>
      </c>
      <c r="D366" s="67">
        <v>397.44</v>
      </c>
      <c r="E366" s="67">
        <v>2729696</v>
      </c>
      <c r="F366" s="67" t="s">
        <v>399</v>
      </c>
      <c r="G366" s="25">
        <f t="shared" si="3"/>
        <v>-3.2457729468599039E-3</v>
      </c>
      <c r="I366" s="69">
        <v>4.5000000000000033E-2</v>
      </c>
      <c r="J366">
        <v>1</v>
      </c>
      <c r="L366" s="25">
        <f t="shared" si="4"/>
        <v>4.4000000000000032E-2</v>
      </c>
      <c r="M366" s="1">
        <f t="shared" si="5"/>
        <v>0.81337511769922832</v>
      </c>
    </row>
    <row r="367" spans="1:13" ht="15">
      <c r="A367" s="67">
        <v>397.81</v>
      </c>
      <c r="B367" s="67">
        <v>404.5</v>
      </c>
      <c r="C367" s="67">
        <v>397.01</v>
      </c>
      <c r="D367" s="67">
        <v>403</v>
      </c>
      <c r="E367" s="67">
        <v>3426315</v>
      </c>
      <c r="F367" s="67" t="s">
        <v>400</v>
      </c>
      <c r="G367" s="25">
        <f t="shared" si="3"/>
        <v>-1.2878411910669962E-2</v>
      </c>
      <c r="I367" s="69">
        <v>4.6000000000000034E-2</v>
      </c>
      <c r="J367">
        <v>0</v>
      </c>
      <c r="L367" s="25">
        <f t="shared" si="4"/>
        <v>4.5000000000000033E-2</v>
      </c>
      <c r="M367" s="1">
        <f t="shared" si="5"/>
        <v>0.6969595681944416</v>
      </c>
    </row>
    <row r="368" spans="1:13" ht="15">
      <c r="A368" s="67">
        <v>403.64</v>
      </c>
      <c r="B368" s="67">
        <v>404.32</v>
      </c>
      <c r="C368" s="67">
        <v>392.99</v>
      </c>
      <c r="D368" s="67">
        <v>393.57</v>
      </c>
      <c r="E368" s="67">
        <v>3648552</v>
      </c>
      <c r="F368" s="67" t="s">
        <v>401</v>
      </c>
      <c r="G368" s="25">
        <f t="shared" si="3"/>
        <v>2.5586299768783238E-2</v>
      </c>
      <c r="I368" s="69">
        <v>4.7000000000000035E-2</v>
      </c>
      <c r="J368">
        <v>0</v>
      </c>
      <c r="L368" s="25">
        <f t="shared" si="4"/>
        <v>4.6000000000000034E-2</v>
      </c>
      <c r="M368" s="1">
        <f t="shared" si="5"/>
        <v>0.59513872485673447</v>
      </c>
    </row>
    <row r="369" spans="1:13" ht="15">
      <c r="A369" s="67">
        <v>394.47</v>
      </c>
      <c r="B369" s="67">
        <v>396.86</v>
      </c>
      <c r="C369" s="67">
        <v>391.38010000000003</v>
      </c>
      <c r="D369" s="67">
        <v>392.47</v>
      </c>
      <c r="E369" s="67">
        <v>5223006</v>
      </c>
      <c r="F369" s="67" t="s">
        <v>402</v>
      </c>
      <c r="G369" s="25">
        <f t="shared" si="3"/>
        <v>5.0959308991769259E-3</v>
      </c>
      <c r="I369" s="69">
        <v>4.8000000000000036E-2</v>
      </c>
      <c r="J369">
        <v>1</v>
      </c>
      <c r="L369" s="25">
        <f t="shared" si="4"/>
        <v>4.7000000000000035E-2</v>
      </c>
      <c r="M369" s="1">
        <f t="shared" si="5"/>
        <v>0.50643388821341495</v>
      </c>
    </row>
    <row r="370" spans="1:13" ht="15">
      <c r="A370" s="67">
        <v>387.26</v>
      </c>
      <c r="B370" s="67">
        <v>389.85</v>
      </c>
      <c r="C370" s="67">
        <v>382.45</v>
      </c>
      <c r="D370" s="67">
        <v>384.13</v>
      </c>
      <c r="E370" s="67">
        <v>7607266</v>
      </c>
      <c r="F370" s="67" t="s">
        <v>403</v>
      </c>
      <c r="G370" s="25">
        <f t="shared" si="3"/>
        <v>8.1482831333141714E-3</v>
      </c>
      <c r="I370" s="69">
        <v>4.9000000000000037E-2</v>
      </c>
      <c r="J370">
        <v>1</v>
      </c>
      <c r="L370" s="25">
        <f t="shared" si="4"/>
        <v>4.8000000000000036E-2</v>
      </c>
      <c r="M370" s="1">
        <f t="shared" si="5"/>
        <v>0.42945852797295314</v>
      </c>
    </row>
    <row r="371" spans="1:13" ht="15">
      <c r="A371" s="67">
        <v>389.61</v>
      </c>
      <c r="B371" s="67">
        <v>397.82</v>
      </c>
      <c r="C371" s="67">
        <v>385.80250000000001</v>
      </c>
      <c r="D371" s="67">
        <v>386.89499999999998</v>
      </c>
      <c r="E371" s="67">
        <v>4009500</v>
      </c>
      <c r="F371" s="67" t="s">
        <v>404</v>
      </c>
      <c r="G371" s="25">
        <f t="shared" si="3"/>
        <v>7.0174078238283144E-3</v>
      </c>
      <c r="I371" s="69">
        <v>5.0000000000000037E-2</v>
      </c>
      <c r="J371">
        <v>0</v>
      </c>
      <c r="L371" s="25">
        <f t="shared" si="4"/>
        <v>4.9000000000000037E-2</v>
      </c>
      <c r="M371" s="1">
        <f t="shared" si="5"/>
        <v>0.36292227678116162</v>
      </c>
    </row>
    <row r="372" spans="1:13" ht="15">
      <c r="A372" s="67">
        <v>387.89</v>
      </c>
      <c r="B372" s="67">
        <v>395.26</v>
      </c>
      <c r="C372" s="67">
        <v>387</v>
      </c>
      <c r="D372" s="67">
        <v>394.1</v>
      </c>
      <c r="E372" s="67">
        <v>4349931</v>
      </c>
      <c r="F372" s="67" t="s">
        <v>405</v>
      </c>
      <c r="G372" s="25">
        <f t="shared" si="3"/>
        <v>-1.5757421974118335E-2</v>
      </c>
      <c r="I372" s="69">
        <v>5.1000000000000038E-2</v>
      </c>
      <c r="J372">
        <v>0</v>
      </c>
      <c r="L372" s="25">
        <f t="shared" si="4"/>
        <v>5.0000000000000037E-2</v>
      </c>
      <c r="M372" s="1">
        <f t="shared" si="5"/>
        <v>0.30563278982371894</v>
      </c>
    </row>
    <row r="373" spans="1:13" ht="15">
      <c r="A373" s="67">
        <v>391.37</v>
      </c>
      <c r="B373" s="67">
        <v>395.95</v>
      </c>
      <c r="C373" s="67">
        <v>384.57</v>
      </c>
      <c r="D373" s="67">
        <v>395.36</v>
      </c>
      <c r="E373" s="67">
        <v>4297269</v>
      </c>
      <c r="F373" s="67" t="s">
        <v>406</v>
      </c>
      <c r="G373" s="25">
        <f t="shared" ref="G373:G436" si="6">A373/D373-1</f>
        <v>-1.0092067988668574E-2</v>
      </c>
      <c r="I373" s="69">
        <v>5.2000000000000039E-2</v>
      </c>
      <c r="J373">
        <v>1</v>
      </c>
      <c r="L373" s="25">
        <f t="shared" si="4"/>
        <v>5.1000000000000038E-2</v>
      </c>
      <c r="M373" s="1">
        <f t="shared" si="5"/>
        <v>0.25649575859547102</v>
      </c>
    </row>
    <row r="374" spans="1:13" ht="15.75" thickBot="1">
      <c r="A374" s="67">
        <v>399.34</v>
      </c>
      <c r="B374" s="67">
        <v>399.94</v>
      </c>
      <c r="C374" s="67">
        <v>387.13</v>
      </c>
      <c r="D374" s="67">
        <v>394.11500000000001</v>
      </c>
      <c r="E374" s="67">
        <v>4258533</v>
      </c>
      <c r="F374" s="67" t="s">
        <v>407</v>
      </c>
      <c r="G374" s="25">
        <f t="shared" si="6"/>
        <v>1.3257551729825012E-2</v>
      </c>
      <c r="I374" s="70" t="s">
        <v>1534</v>
      </c>
      <c r="J374" s="70">
        <v>9</v>
      </c>
      <c r="L374" s="25">
        <f t="shared" si="4"/>
        <v>5.2000000000000039E-2</v>
      </c>
      <c r="M374" s="1">
        <f t="shared" si="5"/>
        <v>0.21451336409496241</v>
      </c>
    </row>
    <row r="375" spans="1:13">
      <c r="A375" s="67">
        <v>394.74</v>
      </c>
      <c r="B375" s="67">
        <v>396.36</v>
      </c>
      <c r="C375" s="67">
        <v>377.8</v>
      </c>
      <c r="D375" s="67">
        <v>379.745</v>
      </c>
      <c r="E375" s="67">
        <v>6134775</v>
      </c>
      <c r="F375" s="67" t="s">
        <v>408</v>
      </c>
      <c r="G375" s="25">
        <f t="shared" si="6"/>
        <v>3.9487024187283559E-2</v>
      </c>
      <c r="L375" s="25">
        <f t="shared" si="4"/>
        <v>5.300000000000004E-2</v>
      </c>
      <c r="M375" s="1">
        <f t="shared" si="5"/>
        <v>0.17878144486458861</v>
      </c>
    </row>
    <row r="376" spans="1:13">
      <c r="A376" s="67">
        <v>377.84</v>
      </c>
      <c r="B376" s="67">
        <v>405.77</v>
      </c>
      <c r="C376" s="67">
        <v>374.5</v>
      </c>
      <c r="D376" s="67">
        <v>405.27</v>
      </c>
      <c r="E376" s="67">
        <v>14386637</v>
      </c>
      <c r="F376" s="67" t="s">
        <v>409</v>
      </c>
      <c r="G376" s="25">
        <f t="shared" si="6"/>
        <v>-6.7683272879808576E-2</v>
      </c>
    </row>
    <row r="377" spans="1:13">
      <c r="A377" s="67">
        <v>438.6</v>
      </c>
      <c r="B377" s="67">
        <v>443.9</v>
      </c>
      <c r="C377" s="67">
        <v>435.5</v>
      </c>
      <c r="D377" s="67">
        <v>436.69</v>
      </c>
      <c r="E377" s="67">
        <v>5515858</v>
      </c>
      <c r="F377" s="67" t="s">
        <v>410</v>
      </c>
      <c r="G377" s="25">
        <f t="shared" si="6"/>
        <v>4.3738120863772156E-3</v>
      </c>
    </row>
    <row r="378" spans="1:13">
      <c r="A378" s="67">
        <v>433.66</v>
      </c>
      <c r="B378" s="67">
        <v>441.33</v>
      </c>
      <c r="C378" s="67">
        <v>431</v>
      </c>
      <c r="D378" s="67">
        <v>432.88</v>
      </c>
      <c r="E378" s="67">
        <v>3145227</v>
      </c>
      <c r="F378" s="67" t="s">
        <v>411</v>
      </c>
      <c r="G378" s="25">
        <f t="shared" si="6"/>
        <v>1.8018850489742722E-3</v>
      </c>
    </row>
    <row r="379" spans="1:13">
      <c r="A379" s="67">
        <v>435.08</v>
      </c>
      <c r="B379" s="67">
        <v>444.54</v>
      </c>
      <c r="C379" s="67">
        <v>433.23</v>
      </c>
      <c r="D379" s="67">
        <v>443.10500000000002</v>
      </c>
      <c r="E379" s="67">
        <v>4001634</v>
      </c>
      <c r="F379" s="67" t="s">
        <v>412</v>
      </c>
      <c r="G379" s="25">
        <f t="shared" si="6"/>
        <v>-1.8110831518488912E-2</v>
      </c>
    </row>
    <row r="380" spans="1:13">
      <c r="A380" s="67">
        <v>449.4</v>
      </c>
      <c r="B380" s="67">
        <v>452.51</v>
      </c>
      <c r="C380" s="67">
        <v>440.99</v>
      </c>
      <c r="D380" s="67">
        <v>442</v>
      </c>
      <c r="E380" s="67">
        <v>3039466</v>
      </c>
      <c r="F380" s="67" t="s">
        <v>413</v>
      </c>
      <c r="G380" s="25">
        <f t="shared" si="6"/>
        <v>1.6742081447963741E-2</v>
      </c>
    </row>
    <row r="381" spans="1:13">
      <c r="A381" s="67">
        <v>444.78</v>
      </c>
      <c r="B381" s="67">
        <v>452.19</v>
      </c>
      <c r="C381" s="67">
        <v>441.18610000000001</v>
      </c>
      <c r="D381" s="67">
        <v>444.73</v>
      </c>
      <c r="E381" s="67">
        <v>2732076</v>
      </c>
      <c r="F381" s="67" t="s">
        <v>414</v>
      </c>
      <c r="G381" s="25">
        <f t="shared" si="6"/>
        <v>1.124277651607386E-4</v>
      </c>
    </row>
    <row r="382" spans="1:13">
      <c r="A382" s="67">
        <v>451.24</v>
      </c>
      <c r="B382" s="67">
        <v>453.26</v>
      </c>
      <c r="C382" s="67">
        <v>443.11</v>
      </c>
      <c r="D382" s="67">
        <v>443.65</v>
      </c>
      <c r="E382" s="67">
        <v>2406219</v>
      </c>
      <c r="F382" s="67" t="s">
        <v>415</v>
      </c>
      <c r="G382" s="25">
        <f t="shared" si="6"/>
        <v>1.7108080694240968E-2</v>
      </c>
    </row>
    <row r="383" spans="1:13">
      <c r="A383" s="67">
        <v>446.03</v>
      </c>
      <c r="B383" s="67">
        <v>448.8159</v>
      </c>
      <c r="C383" s="67">
        <v>434.7</v>
      </c>
      <c r="D383" s="67">
        <v>439.25</v>
      </c>
      <c r="E383" s="67">
        <v>2942168</v>
      </c>
      <c r="F383" s="67" t="s">
        <v>416</v>
      </c>
      <c r="G383" s="25">
        <f t="shared" si="6"/>
        <v>1.5435401252134273E-2</v>
      </c>
    </row>
    <row r="384" spans="1:13">
      <c r="A384" s="67">
        <v>440.72</v>
      </c>
      <c r="B384" s="67">
        <v>448.09</v>
      </c>
      <c r="C384" s="67">
        <v>438.21</v>
      </c>
      <c r="D384" s="67">
        <v>440.65</v>
      </c>
      <c r="E384" s="67">
        <v>2607694</v>
      </c>
      <c r="F384" s="67" t="s">
        <v>417</v>
      </c>
      <c r="G384" s="25">
        <f t="shared" si="6"/>
        <v>1.5885623510736302E-4</v>
      </c>
    </row>
    <row r="385" spans="1:7">
      <c r="A385" s="67">
        <v>438.56</v>
      </c>
      <c r="B385" s="67">
        <v>440.37</v>
      </c>
      <c r="C385" s="67">
        <v>432.10300000000001</v>
      </c>
      <c r="D385" s="67">
        <v>438.16</v>
      </c>
      <c r="E385" s="67">
        <v>3936914</v>
      </c>
      <c r="F385" s="67" t="s">
        <v>418</v>
      </c>
      <c r="G385" s="25">
        <f t="shared" si="6"/>
        <v>9.1290852656555899E-4</v>
      </c>
    </row>
    <row r="386" spans="1:7">
      <c r="A386" s="67">
        <v>437.19</v>
      </c>
      <c r="B386" s="67">
        <v>444.57</v>
      </c>
      <c r="C386" s="67">
        <v>436.82</v>
      </c>
      <c r="D386" s="67">
        <v>441.79</v>
      </c>
      <c r="E386" s="67">
        <v>2340232</v>
      </c>
      <c r="F386" s="67" t="s">
        <v>419</v>
      </c>
      <c r="G386" s="25">
        <f t="shared" si="6"/>
        <v>-1.0412186785576871E-2</v>
      </c>
    </row>
    <row r="387" spans="1:7">
      <c r="A387" s="67">
        <v>441.5</v>
      </c>
      <c r="B387" s="67">
        <v>447.65</v>
      </c>
      <c r="C387" s="67">
        <v>438.4</v>
      </c>
      <c r="D387" s="67">
        <v>443.8</v>
      </c>
      <c r="E387" s="67">
        <v>1947626</v>
      </c>
      <c r="F387" s="67" t="s">
        <v>420</v>
      </c>
      <c r="G387" s="25">
        <f t="shared" si="6"/>
        <v>-5.1825146462370908E-3</v>
      </c>
    </row>
    <row r="388" spans="1:7">
      <c r="A388" s="67">
        <v>443.41</v>
      </c>
      <c r="B388" s="67">
        <v>447.49</v>
      </c>
      <c r="C388" s="67">
        <v>439.17380000000003</v>
      </c>
      <c r="D388" s="67">
        <v>443.47</v>
      </c>
      <c r="E388" s="67">
        <v>2612652</v>
      </c>
      <c r="F388" s="67" t="s">
        <v>421</v>
      </c>
      <c r="G388" s="25">
        <f t="shared" si="6"/>
        <v>-1.3529663787859025E-4</v>
      </c>
    </row>
    <row r="389" spans="1:7">
      <c r="A389" s="67">
        <v>444.42</v>
      </c>
      <c r="B389" s="67">
        <v>446.28</v>
      </c>
      <c r="C389" s="67">
        <v>440.91</v>
      </c>
      <c r="D389" s="67">
        <v>445.11</v>
      </c>
      <c r="E389" s="67">
        <v>2807937</v>
      </c>
      <c r="F389" s="67" t="s">
        <v>422</v>
      </c>
      <c r="G389" s="25">
        <f t="shared" si="6"/>
        <v>-1.5501786075352575E-3</v>
      </c>
    </row>
    <row r="390" spans="1:7">
      <c r="A390" s="67">
        <v>444.32</v>
      </c>
      <c r="B390" s="67">
        <v>453.75</v>
      </c>
      <c r="C390" s="67">
        <v>440.69</v>
      </c>
      <c r="D390" s="67">
        <v>453.27499999999998</v>
      </c>
      <c r="E390" s="67">
        <v>3375996</v>
      </c>
      <c r="F390" s="67" t="s">
        <v>423</v>
      </c>
      <c r="G390" s="25">
        <f t="shared" si="6"/>
        <v>-1.9756218631073796E-2</v>
      </c>
    </row>
    <row r="391" spans="1:7">
      <c r="A391" s="67">
        <v>454.69</v>
      </c>
      <c r="B391" s="67">
        <v>461</v>
      </c>
      <c r="C391" s="67">
        <v>451.57</v>
      </c>
      <c r="D391" s="67">
        <v>457.44</v>
      </c>
      <c r="E391" s="67">
        <v>2337598</v>
      </c>
      <c r="F391" s="67" t="s">
        <v>424</v>
      </c>
      <c r="G391" s="25">
        <f t="shared" si="6"/>
        <v>-6.0117173837005433E-3</v>
      </c>
    </row>
    <row r="392" spans="1:7">
      <c r="A392" s="67">
        <v>456.99</v>
      </c>
      <c r="B392" s="67">
        <v>463.61</v>
      </c>
      <c r="C392" s="67">
        <v>455.32</v>
      </c>
      <c r="D392" s="67">
        <v>463.61</v>
      </c>
      <c r="E392" s="67">
        <v>2965546</v>
      </c>
      <c r="F392" s="67" t="s">
        <v>425</v>
      </c>
      <c r="G392" s="25">
        <f t="shared" si="6"/>
        <v>-1.4279243329522684E-2</v>
      </c>
    </row>
    <row r="393" spans="1:7">
      <c r="A393" s="67">
        <v>464.11</v>
      </c>
      <c r="B393" s="67">
        <v>464.33</v>
      </c>
      <c r="C393" s="67">
        <v>453.07</v>
      </c>
      <c r="D393" s="67">
        <v>462.65</v>
      </c>
      <c r="E393" s="67">
        <v>2973775</v>
      </c>
      <c r="F393" s="67" t="s">
        <v>426</v>
      </c>
      <c r="G393" s="25">
        <f t="shared" si="6"/>
        <v>3.1557332756944056E-3</v>
      </c>
    </row>
    <row r="394" spans="1:7">
      <c r="A394" s="67">
        <v>460.16</v>
      </c>
      <c r="B394" s="67">
        <v>464.99</v>
      </c>
      <c r="C394" s="67">
        <v>458</v>
      </c>
      <c r="D394" s="67">
        <v>463.35</v>
      </c>
      <c r="E394" s="67">
        <v>2622973</v>
      </c>
      <c r="F394" s="67" t="s">
        <v>427</v>
      </c>
      <c r="G394" s="25">
        <f t="shared" si="6"/>
        <v>-6.8846444372504534E-3</v>
      </c>
    </row>
    <row r="395" spans="1:7">
      <c r="A395" s="67">
        <v>459.22</v>
      </c>
      <c r="B395" s="67">
        <v>465.69990000000001</v>
      </c>
      <c r="C395" s="67">
        <v>457.03</v>
      </c>
      <c r="D395" s="67">
        <v>465.21</v>
      </c>
      <c r="E395" s="67">
        <v>2794395</v>
      </c>
      <c r="F395" s="67" t="s">
        <v>428</v>
      </c>
      <c r="G395" s="25">
        <f t="shared" si="6"/>
        <v>-1.2875905505040586E-2</v>
      </c>
    </row>
    <row r="396" spans="1:7">
      <c r="A396" s="67">
        <v>462.76</v>
      </c>
      <c r="B396" s="67">
        <v>463</v>
      </c>
      <c r="C396" s="67">
        <v>451.3</v>
      </c>
      <c r="D396" s="67">
        <v>458</v>
      </c>
      <c r="E396" s="67">
        <v>3308534</v>
      </c>
      <c r="F396" s="67" t="s">
        <v>429</v>
      </c>
      <c r="G396" s="25">
        <f t="shared" si="6"/>
        <v>1.039301310043661E-2</v>
      </c>
    </row>
    <row r="397" spans="1:7">
      <c r="A397" s="67">
        <v>458.82</v>
      </c>
      <c r="B397" s="67">
        <v>461.54899999999998</v>
      </c>
      <c r="C397" s="67">
        <v>448.29</v>
      </c>
      <c r="D397" s="67">
        <v>449</v>
      </c>
      <c r="E397" s="67">
        <v>3256999</v>
      </c>
      <c r="F397" s="67" t="s">
        <v>430</v>
      </c>
      <c r="G397" s="25">
        <f t="shared" si="6"/>
        <v>2.1870824053452198E-2</v>
      </c>
    </row>
    <row r="398" spans="1:7">
      <c r="A398" s="67">
        <v>451.1</v>
      </c>
      <c r="B398" s="67">
        <v>453.37</v>
      </c>
      <c r="C398" s="67">
        <v>439</v>
      </c>
      <c r="D398" s="67">
        <v>439.25</v>
      </c>
      <c r="E398" s="67">
        <v>3946729</v>
      </c>
      <c r="F398" s="67" t="s">
        <v>431</v>
      </c>
      <c r="G398" s="25">
        <f t="shared" si="6"/>
        <v>2.6977803073420681E-2</v>
      </c>
    </row>
    <row r="399" spans="1:7">
      <c r="A399" s="67">
        <v>433.07</v>
      </c>
      <c r="B399" s="67">
        <v>441</v>
      </c>
      <c r="C399" s="67">
        <v>432.41</v>
      </c>
      <c r="D399" s="67">
        <v>436.24</v>
      </c>
      <c r="E399" s="67">
        <v>2693470</v>
      </c>
      <c r="F399" s="67" t="s">
        <v>432</v>
      </c>
      <c r="G399" s="25">
        <f t="shared" si="6"/>
        <v>-7.2666422152943833E-3</v>
      </c>
    </row>
    <row r="400" spans="1:7">
      <c r="A400" s="67">
        <v>435.4</v>
      </c>
      <c r="B400" s="67">
        <v>439.96</v>
      </c>
      <c r="C400" s="67">
        <v>434.35</v>
      </c>
      <c r="D400" s="67">
        <v>437.63</v>
      </c>
      <c r="E400" s="67">
        <v>2568120</v>
      </c>
      <c r="F400" s="67" t="s">
        <v>433</v>
      </c>
      <c r="G400" s="25">
        <f t="shared" si="6"/>
        <v>-5.0956287274638301E-3</v>
      </c>
    </row>
    <row r="401" spans="1:7">
      <c r="A401" s="67">
        <v>437.63</v>
      </c>
      <c r="B401" s="67">
        <v>444.95</v>
      </c>
      <c r="C401" s="67">
        <v>436.27</v>
      </c>
      <c r="D401" s="67">
        <v>440.75</v>
      </c>
      <c r="E401" s="67">
        <v>2938540</v>
      </c>
      <c r="F401" s="67" t="s">
        <v>434</v>
      </c>
      <c r="G401" s="25">
        <f t="shared" si="6"/>
        <v>-7.0788428814521076E-3</v>
      </c>
    </row>
    <row r="402" spans="1:7">
      <c r="A402" s="67">
        <v>440.23</v>
      </c>
      <c r="B402" s="67">
        <v>443.58</v>
      </c>
      <c r="C402" s="67">
        <v>434.26</v>
      </c>
      <c r="D402" s="67">
        <v>435.43</v>
      </c>
      <c r="E402" s="67">
        <v>2647701</v>
      </c>
      <c r="F402" s="67" t="s">
        <v>435</v>
      </c>
      <c r="G402" s="25">
        <f t="shared" si="6"/>
        <v>1.1023585880623799E-2</v>
      </c>
    </row>
    <row r="403" spans="1:7">
      <c r="A403" s="67">
        <v>438.6</v>
      </c>
      <c r="B403" s="67">
        <v>442.74</v>
      </c>
      <c r="C403" s="67">
        <v>430.88</v>
      </c>
      <c r="D403" s="67">
        <v>437.8</v>
      </c>
      <c r="E403" s="67">
        <v>3348717</v>
      </c>
      <c r="F403" s="67" t="s">
        <v>436</v>
      </c>
      <c r="G403" s="25">
        <f t="shared" si="6"/>
        <v>1.8273184102330919E-3</v>
      </c>
    </row>
    <row r="404" spans="1:7">
      <c r="A404" s="67">
        <v>437.45</v>
      </c>
      <c r="B404" s="67">
        <v>447.0095</v>
      </c>
      <c r="C404" s="67">
        <v>435.83</v>
      </c>
      <c r="D404" s="67">
        <v>446.97500000000002</v>
      </c>
      <c r="E404" s="67">
        <v>4689083</v>
      </c>
      <c r="F404" s="67" t="s">
        <v>437</v>
      </c>
      <c r="G404" s="25">
        <f t="shared" si="6"/>
        <v>-2.1309916662005768E-2</v>
      </c>
    </row>
    <row r="405" spans="1:7">
      <c r="A405" s="67">
        <v>446</v>
      </c>
      <c r="B405" s="67">
        <v>448.42</v>
      </c>
      <c r="C405" s="67">
        <v>439.23</v>
      </c>
      <c r="D405" s="67">
        <v>439.67</v>
      </c>
      <c r="E405" s="67">
        <v>3290128</v>
      </c>
      <c r="F405" s="67" t="s">
        <v>438</v>
      </c>
      <c r="G405" s="25">
        <f t="shared" si="6"/>
        <v>1.439716150749426E-2</v>
      </c>
    </row>
    <row r="406" spans="1:7">
      <c r="A406" s="67">
        <v>441.68</v>
      </c>
      <c r="B406" s="67">
        <v>444.36</v>
      </c>
      <c r="C406" s="67">
        <v>438.82499999999999</v>
      </c>
      <c r="D406" s="67">
        <v>439.92</v>
      </c>
      <c r="E406" s="67">
        <v>2997604</v>
      </c>
      <c r="F406" s="67" t="s">
        <v>439</v>
      </c>
      <c r="G406" s="25">
        <f t="shared" si="6"/>
        <v>4.0007274049826957E-3</v>
      </c>
    </row>
    <row r="407" spans="1:7">
      <c r="A407" s="67">
        <v>442.84</v>
      </c>
      <c r="B407" s="67">
        <v>445.80500000000001</v>
      </c>
      <c r="C407" s="67">
        <v>431.64</v>
      </c>
      <c r="D407" s="67">
        <v>436.27</v>
      </c>
      <c r="E407" s="67">
        <v>5376392</v>
      </c>
      <c r="F407" s="67" t="s">
        <v>440</v>
      </c>
      <c r="G407" s="25">
        <f t="shared" si="6"/>
        <v>1.5059481513741479E-2</v>
      </c>
    </row>
    <row r="408" spans="1:7">
      <c r="A408" s="67">
        <v>438.6</v>
      </c>
      <c r="B408" s="67">
        <v>445.44990000000001</v>
      </c>
      <c r="C408" s="67">
        <v>430.12</v>
      </c>
      <c r="D408" s="67">
        <v>430.23</v>
      </c>
      <c r="E408" s="67">
        <v>5086254</v>
      </c>
      <c r="F408" s="67" t="s">
        <v>441</v>
      </c>
      <c r="G408" s="25">
        <f t="shared" si="6"/>
        <v>1.9454710271250342E-2</v>
      </c>
    </row>
    <row r="409" spans="1:7">
      <c r="A409" s="67">
        <v>435.38</v>
      </c>
      <c r="B409" s="67">
        <v>441.87990000000002</v>
      </c>
      <c r="C409" s="67">
        <v>434.73</v>
      </c>
      <c r="D409" s="67">
        <v>437.28</v>
      </c>
      <c r="E409" s="67">
        <v>2631804</v>
      </c>
      <c r="F409" s="67" t="s">
        <v>442</v>
      </c>
      <c r="G409" s="25">
        <f t="shared" si="6"/>
        <v>-4.3450420783022192E-3</v>
      </c>
    </row>
    <row r="410" spans="1:7">
      <c r="A410" s="67">
        <v>437.28</v>
      </c>
      <c r="B410" s="67">
        <v>437.73</v>
      </c>
      <c r="C410" s="67">
        <v>432.49</v>
      </c>
      <c r="D410" s="67">
        <v>435.88</v>
      </c>
      <c r="E410" s="67">
        <v>2716742</v>
      </c>
      <c r="F410" s="67" t="s">
        <v>443</v>
      </c>
      <c r="G410" s="25">
        <f t="shared" si="6"/>
        <v>3.2118931816096374E-3</v>
      </c>
    </row>
    <row r="411" spans="1:7">
      <c r="A411" s="67">
        <v>437.32</v>
      </c>
      <c r="B411" s="67">
        <v>439.73</v>
      </c>
      <c r="C411" s="67">
        <v>433.43</v>
      </c>
      <c r="D411" s="67">
        <v>438</v>
      </c>
      <c r="E411" s="67">
        <v>3391642</v>
      </c>
      <c r="F411" s="67" t="s">
        <v>444</v>
      </c>
      <c r="G411" s="25">
        <f t="shared" si="6"/>
        <v>-1.5525114155251485E-3</v>
      </c>
    </row>
    <row r="412" spans="1:7">
      <c r="A412" s="67">
        <v>436.36</v>
      </c>
      <c r="B412" s="67">
        <v>439.98</v>
      </c>
      <c r="C412" s="67">
        <v>431.5</v>
      </c>
      <c r="D412" s="67">
        <v>433.26</v>
      </c>
      <c r="E412" s="67">
        <v>3833294</v>
      </c>
      <c r="F412" s="67" t="s">
        <v>445</v>
      </c>
      <c r="G412" s="25">
        <f t="shared" si="6"/>
        <v>7.1550570096479138E-3</v>
      </c>
    </row>
    <row r="413" spans="1:7">
      <c r="A413" s="67">
        <v>429.99</v>
      </c>
      <c r="B413" s="67">
        <v>435.99</v>
      </c>
      <c r="C413" s="67">
        <v>425.7</v>
      </c>
      <c r="D413" s="67">
        <v>434.34500000000003</v>
      </c>
      <c r="E413" s="67">
        <v>4012745</v>
      </c>
      <c r="F413" s="67" t="s">
        <v>446</v>
      </c>
      <c r="G413" s="25">
        <f t="shared" si="6"/>
        <v>-1.002659176461107E-2</v>
      </c>
    </row>
    <row r="414" spans="1:7">
      <c r="A414" s="67">
        <v>426.93</v>
      </c>
      <c r="B414" s="67">
        <v>428.89</v>
      </c>
      <c r="C414" s="67">
        <v>418</v>
      </c>
      <c r="D414" s="67">
        <v>418.21</v>
      </c>
      <c r="E414" s="67">
        <v>4185552</v>
      </c>
      <c r="F414" s="67" t="s">
        <v>447</v>
      </c>
      <c r="G414" s="25">
        <f t="shared" si="6"/>
        <v>2.0850768752540549E-2</v>
      </c>
    </row>
    <row r="415" spans="1:7">
      <c r="A415" s="67">
        <v>417.28</v>
      </c>
      <c r="B415" s="67">
        <v>423.97</v>
      </c>
      <c r="C415" s="67">
        <v>415.66</v>
      </c>
      <c r="D415" s="67">
        <v>421.7</v>
      </c>
      <c r="E415" s="67">
        <v>4345781</v>
      </c>
      <c r="F415" s="67" t="s">
        <v>448</v>
      </c>
      <c r="G415" s="25">
        <f t="shared" si="6"/>
        <v>-1.0481384870761223E-2</v>
      </c>
    </row>
    <row r="416" spans="1:7">
      <c r="A416" s="67">
        <v>412.71</v>
      </c>
      <c r="B416" s="67">
        <v>412.75</v>
      </c>
      <c r="C416" s="67">
        <v>405.07010000000002</v>
      </c>
      <c r="D416" s="67">
        <v>407.25</v>
      </c>
      <c r="E416" s="67">
        <v>3577116</v>
      </c>
      <c r="F416" s="67" t="s">
        <v>449</v>
      </c>
      <c r="G416" s="25">
        <f t="shared" si="6"/>
        <v>1.3406998158379313E-2</v>
      </c>
    </row>
    <row r="417" spans="1:7">
      <c r="A417" s="67">
        <v>408.5</v>
      </c>
      <c r="B417" s="67">
        <v>409.96</v>
      </c>
      <c r="C417" s="67">
        <v>403.75</v>
      </c>
      <c r="D417" s="67">
        <v>404.27</v>
      </c>
      <c r="E417" s="67">
        <v>4558780</v>
      </c>
      <c r="F417" s="67" t="s">
        <v>450</v>
      </c>
      <c r="G417" s="25">
        <f t="shared" si="6"/>
        <v>1.0463304227372738E-2</v>
      </c>
    </row>
    <row r="418" spans="1:7">
      <c r="A418" s="67">
        <v>405.92</v>
      </c>
      <c r="B418" s="67">
        <v>413.1</v>
      </c>
      <c r="C418" s="67">
        <v>405.32</v>
      </c>
      <c r="D418" s="67">
        <v>410</v>
      </c>
      <c r="E418" s="67">
        <v>5564262</v>
      </c>
      <c r="F418" s="67" t="s">
        <v>451</v>
      </c>
      <c r="G418" s="25">
        <f t="shared" si="6"/>
        <v>-9.9512195121951308E-3</v>
      </c>
    </row>
    <row r="419" spans="1:7">
      <c r="A419" s="67">
        <v>419.58</v>
      </c>
      <c r="B419" s="67">
        <v>422.66</v>
      </c>
      <c r="C419" s="67">
        <v>415.51</v>
      </c>
      <c r="D419" s="67">
        <v>417.34</v>
      </c>
      <c r="E419" s="67">
        <v>3508786</v>
      </c>
      <c r="F419" s="67" t="s">
        <v>452</v>
      </c>
      <c r="G419" s="25">
        <f t="shared" si="6"/>
        <v>5.3673264005367205E-3</v>
      </c>
    </row>
    <row r="420" spans="1:7">
      <c r="A420" s="67">
        <v>422.63</v>
      </c>
      <c r="B420" s="67">
        <v>435.18</v>
      </c>
      <c r="C420" s="67">
        <v>420.51</v>
      </c>
      <c r="D420" s="67">
        <v>431.37</v>
      </c>
      <c r="E420" s="67">
        <v>4181405</v>
      </c>
      <c r="F420" s="67" t="s">
        <v>453</v>
      </c>
      <c r="G420" s="25">
        <f t="shared" si="6"/>
        <v>-2.0261028815170334E-2</v>
      </c>
    </row>
    <row r="421" spans="1:7">
      <c r="A421" s="67">
        <v>431.18</v>
      </c>
      <c r="B421" s="67">
        <v>436.40820000000002</v>
      </c>
      <c r="C421" s="67">
        <v>427.79</v>
      </c>
      <c r="D421" s="67">
        <v>431.88</v>
      </c>
      <c r="E421" s="67">
        <v>3994400</v>
      </c>
      <c r="F421" s="67" t="s">
        <v>454</v>
      </c>
      <c r="G421" s="25">
        <f t="shared" si="6"/>
        <v>-1.6208205983143653E-3</v>
      </c>
    </row>
    <row r="422" spans="1:7">
      <c r="A422" s="67">
        <v>430.57</v>
      </c>
      <c r="B422" s="67">
        <v>433.29820000000001</v>
      </c>
      <c r="C422" s="67">
        <v>425.32</v>
      </c>
      <c r="D422" s="67">
        <v>429.44499999999999</v>
      </c>
      <c r="E422" s="67">
        <v>5619372</v>
      </c>
      <c r="F422" s="67" t="s">
        <v>455</v>
      </c>
      <c r="G422" s="25">
        <f t="shared" si="6"/>
        <v>2.6196602591717078E-3</v>
      </c>
    </row>
    <row r="423" spans="1:7">
      <c r="A423" s="67">
        <v>441</v>
      </c>
      <c r="B423" s="67">
        <v>450.12</v>
      </c>
      <c r="C423" s="67">
        <v>440.56</v>
      </c>
      <c r="D423" s="67">
        <v>447.76</v>
      </c>
      <c r="E423" s="67">
        <v>2507887</v>
      </c>
      <c r="F423" s="67" t="s">
        <v>456</v>
      </c>
      <c r="G423" s="25">
        <f t="shared" si="6"/>
        <v>-1.5097373592996233E-2</v>
      </c>
    </row>
    <row r="424" spans="1:7">
      <c r="A424" s="67">
        <v>444.68</v>
      </c>
      <c r="B424" s="67">
        <v>448.49990000000003</v>
      </c>
      <c r="C424" s="67">
        <v>442.81</v>
      </c>
      <c r="D424" s="67">
        <v>446.35</v>
      </c>
      <c r="E424" s="67">
        <v>2285132</v>
      </c>
      <c r="F424" s="67" t="s">
        <v>457</v>
      </c>
      <c r="G424" s="25">
        <f t="shared" si="6"/>
        <v>-3.7414584966954934E-3</v>
      </c>
    </row>
    <row r="425" spans="1:7">
      <c r="A425" s="67">
        <v>445.8</v>
      </c>
      <c r="B425" s="67">
        <v>447.6</v>
      </c>
      <c r="C425" s="67">
        <v>438.57</v>
      </c>
      <c r="D425" s="67">
        <v>442.94</v>
      </c>
      <c r="E425" s="67">
        <v>3473172</v>
      </c>
      <c r="F425" s="67" t="s">
        <v>458</v>
      </c>
      <c r="G425" s="25">
        <f t="shared" si="6"/>
        <v>6.4568564591140909E-3</v>
      </c>
    </row>
    <row r="426" spans="1:7">
      <c r="A426" s="67">
        <v>446.48</v>
      </c>
      <c r="B426" s="67">
        <v>449.91</v>
      </c>
      <c r="C426" s="67">
        <v>441.10500000000002</v>
      </c>
      <c r="D426" s="67">
        <v>446.88</v>
      </c>
      <c r="E426" s="67">
        <v>2947179</v>
      </c>
      <c r="F426" s="67" t="s">
        <v>459</v>
      </c>
      <c r="G426" s="25">
        <f t="shared" si="6"/>
        <v>-8.9509488005723448E-4</v>
      </c>
    </row>
    <row r="427" spans="1:7">
      <c r="A427" s="67">
        <v>450.16</v>
      </c>
      <c r="B427" s="67">
        <v>452.34</v>
      </c>
      <c r="C427" s="67">
        <v>444.68</v>
      </c>
      <c r="D427" s="67">
        <v>445.85</v>
      </c>
      <c r="E427" s="67">
        <v>2134310</v>
      </c>
      <c r="F427" s="67" t="s">
        <v>460</v>
      </c>
      <c r="G427" s="25">
        <f t="shared" si="6"/>
        <v>9.6669283391275229E-3</v>
      </c>
    </row>
    <row r="428" spans="1:7">
      <c r="A428" s="67">
        <v>447.94</v>
      </c>
      <c r="B428" s="67">
        <v>448.86529999999999</v>
      </c>
      <c r="C428" s="67">
        <v>442.57010000000002</v>
      </c>
      <c r="D428" s="67">
        <v>446.5</v>
      </c>
      <c r="E428" s="67">
        <v>1685003</v>
      </c>
      <c r="F428" s="67" t="s">
        <v>461</v>
      </c>
      <c r="G428" s="25">
        <f t="shared" si="6"/>
        <v>3.2250839865621828E-3</v>
      </c>
    </row>
    <row r="429" spans="1:7">
      <c r="A429" s="67">
        <v>446.74</v>
      </c>
      <c r="B429" s="67">
        <v>451.42989999999998</v>
      </c>
      <c r="C429" s="67">
        <v>443.42009999999999</v>
      </c>
      <c r="D429" s="67">
        <v>447</v>
      </c>
      <c r="E429" s="67">
        <v>3781194</v>
      </c>
      <c r="F429" s="67" t="s">
        <v>462</v>
      </c>
      <c r="G429" s="25">
        <f t="shared" si="6"/>
        <v>-5.8165548098432218E-4</v>
      </c>
    </row>
    <row r="430" spans="1:7">
      <c r="A430" s="67">
        <v>447.17</v>
      </c>
      <c r="B430" s="67">
        <v>451.42</v>
      </c>
      <c r="C430" s="67">
        <v>432.47</v>
      </c>
      <c r="D430" s="67">
        <v>433.01499999999999</v>
      </c>
      <c r="E430" s="67">
        <v>8220033</v>
      </c>
      <c r="F430" s="67" t="s">
        <v>463</v>
      </c>
      <c r="G430" s="25">
        <f t="shared" si="6"/>
        <v>3.2689398750620713E-2</v>
      </c>
    </row>
    <row r="431" spans="1:7">
      <c r="A431" s="67">
        <v>437.39</v>
      </c>
      <c r="B431" s="67">
        <v>449</v>
      </c>
      <c r="C431" s="67">
        <v>437.11</v>
      </c>
      <c r="D431" s="67">
        <v>443.41</v>
      </c>
      <c r="E431" s="67">
        <v>6479517</v>
      </c>
      <c r="F431" s="67" t="s">
        <v>464</v>
      </c>
      <c r="G431" s="25">
        <f t="shared" si="6"/>
        <v>-1.3576599535418787E-2</v>
      </c>
    </row>
    <row r="432" spans="1:7">
      <c r="A432" s="67">
        <v>441.31</v>
      </c>
      <c r="B432" s="67">
        <v>455.25</v>
      </c>
      <c r="C432" s="67">
        <v>441.1</v>
      </c>
      <c r="D432" s="67">
        <v>453.24</v>
      </c>
      <c r="E432" s="67">
        <v>6511105</v>
      </c>
      <c r="F432" s="67" t="s">
        <v>465</v>
      </c>
      <c r="G432" s="25">
        <f t="shared" si="6"/>
        <v>-2.6321595622628258E-2</v>
      </c>
    </row>
    <row r="433" spans="1:7">
      <c r="A433" s="67">
        <v>455.23</v>
      </c>
      <c r="B433" s="67">
        <v>465.85599999999999</v>
      </c>
      <c r="C433" s="67">
        <v>452.48</v>
      </c>
      <c r="D433" s="67">
        <v>460.59</v>
      </c>
      <c r="E433" s="67">
        <v>7514489</v>
      </c>
      <c r="F433" s="67" t="s">
        <v>466</v>
      </c>
      <c r="G433" s="25">
        <f t="shared" si="6"/>
        <v>-1.1637247877721912E-2</v>
      </c>
    </row>
    <row r="434" spans="1:7">
      <c r="A434" s="67">
        <v>461.53</v>
      </c>
      <c r="B434" s="67">
        <v>473.62</v>
      </c>
      <c r="C434" s="67">
        <v>461.2</v>
      </c>
      <c r="D434" s="67">
        <v>467.19</v>
      </c>
      <c r="E434" s="67">
        <v>5807021</v>
      </c>
      <c r="F434" s="67" t="s">
        <v>467</v>
      </c>
      <c r="G434" s="25">
        <f t="shared" si="6"/>
        <v>-1.2114985337871143E-2</v>
      </c>
    </row>
    <row r="435" spans="1:7">
      <c r="A435" s="67">
        <v>465.69</v>
      </c>
      <c r="B435" s="67">
        <v>474.91</v>
      </c>
      <c r="C435" s="67">
        <v>456.8</v>
      </c>
      <c r="D435" s="67">
        <v>473.98</v>
      </c>
      <c r="E435" s="67">
        <v>11395512</v>
      </c>
      <c r="F435" s="67" t="s">
        <v>468</v>
      </c>
      <c r="G435" s="25">
        <f t="shared" si="6"/>
        <v>-1.7490189459470895E-2</v>
      </c>
    </row>
    <row r="436" spans="1:7">
      <c r="A436" s="67">
        <v>474.63</v>
      </c>
      <c r="B436" s="67">
        <v>494</v>
      </c>
      <c r="C436" s="67">
        <v>470.90010000000001</v>
      </c>
      <c r="D436" s="67">
        <v>487.5</v>
      </c>
      <c r="E436" s="67">
        <v>17344864</v>
      </c>
      <c r="F436" s="67" t="s">
        <v>469</v>
      </c>
      <c r="G436" s="25">
        <f t="shared" si="6"/>
        <v>-2.6399999999999979E-2</v>
      </c>
    </row>
    <row r="437" spans="1:7">
      <c r="A437" s="67">
        <v>549.92999999999995</v>
      </c>
      <c r="B437" s="67">
        <v>552.29999999999995</v>
      </c>
      <c r="C437" s="67">
        <v>541.74</v>
      </c>
      <c r="D437" s="67">
        <v>547.04999999999995</v>
      </c>
      <c r="E437" s="67">
        <v>6690565</v>
      </c>
      <c r="F437" s="67" t="s">
        <v>470</v>
      </c>
      <c r="G437" s="25">
        <f t="shared" ref="G437:G500" si="7">A437/D437-1</f>
        <v>5.2646010419523659E-3</v>
      </c>
    </row>
    <row r="438" spans="1:7">
      <c r="A438" s="67">
        <v>547.04999999999995</v>
      </c>
      <c r="B438" s="67">
        <v>552.83000000000004</v>
      </c>
      <c r="C438" s="67">
        <v>544.22</v>
      </c>
      <c r="D438" s="67">
        <v>547.35</v>
      </c>
      <c r="E438" s="67">
        <v>2762875</v>
      </c>
      <c r="F438" s="67" t="s">
        <v>471</v>
      </c>
      <c r="G438" s="25">
        <f t="shared" si="7"/>
        <v>-5.4809536859423691E-4</v>
      </c>
    </row>
    <row r="439" spans="1:7">
      <c r="A439" s="67">
        <v>547.92999999999995</v>
      </c>
      <c r="B439" s="67">
        <v>557.8999</v>
      </c>
      <c r="C439" s="67">
        <v>546.11009999999999</v>
      </c>
      <c r="D439" s="67">
        <v>556.1</v>
      </c>
      <c r="E439" s="67">
        <v>3588653</v>
      </c>
      <c r="F439" s="67" t="s">
        <v>472</v>
      </c>
      <c r="G439" s="25">
        <f t="shared" si="7"/>
        <v>-1.4691602229814915E-2</v>
      </c>
    </row>
    <row r="440" spans="1:7">
      <c r="A440" s="67">
        <v>552.96</v>
      </c>
      <c r="B440" s="67">
        <v>554.37</v>
      </c>
      <c r="C440" s="67">
        <v>542.9</v>
      </c>
      <c r="D440" s="67">
        <v>544.15</v>
      </c>
      <c r="E440" s="67">
        <v>2964064</v>
      </c>
      <c r="F440" s="67" t="s">
        <v>473</v>
      </c>
      <c r="G440" s="25">
        <f t="shared" si="7"/>
        <v>1.6190388679592216E-2</v>
      </c>
    </row>
    <row r="441" spans="1:7">
      <c r="A441" s="67">
        <v>538.22</v>
      </c>
      <c r="B441" s="67">
        <v>540.11</v>
      </c>
      <c r="C441" s="67">
        <v>529.79</v>
      </c>
      <c r="D441" s="67">
        <v>534.41999999999996</v>
      </c>
      <c r="E441" s="67">
        <v>2629119</v>
      </c>
      <c r="F441" s="67" t="s">
        <v>474</v>
      </c>
      <c r="G441" s="25">
        <f t="shared" si="7"/>
        <v>7.1105123311254737E-3</v>
      </c>
    </row>
    <row r="442" spans="1:7">
      <c r="A442" s="67">
        <v>536.49</v>
      </c>
      <c r="B442" s="67">
        <v>541.77</v>
      </c>
      <c r="C442" s="67">
        <v>521.005</v>
      </c>
      <c r="D442" s="67">
        <v>523.02</v>
      </c>
      <c r="E442" s="67">
        <v>3307041</v>
      </c>
      <c r="F442" s="67" t="s">
        <v>475</v>
      </c>
      <c r="G442" s="25">
        <f t="shared" si="7"/>
        <v>2.5754273259148919E-2</v>
      </c>
    </row>
    <row r="443" spans="1:7">
      <c r="A443" s="67">
        <v>516.26</v>
      </c>
      <c r="B443" s="67">
        <v>516.78</v>
      </c>
      <c r="C443" s="67">
        <v>504.505</v>
      </c>
      <c r="D443" s="67">
        <v>511.04</v>
      </c>
      <c r="E443" s="67">
        <v>2119254</v>
      </c>
      <c r="F443" s="67" t="s">
        <v>476</v>
      </c>
      <c r="G443" s="25">
        <f t="shared" si="7"/>
        <v>1.0214464621164598E-2</v>
      </c>
    </row>
    <row r="444" spans="1:7">
      <c r="A444" s="67">
        <v>516.20000000000005</v>
      </c>
      <c r="B444" s="67">
        <v>518.77</v>
      </c>
      <c r="C444" s="67">
        <v>511.53</v>
      </c>
      <c r="D444" s="67">
        <v>512.85</v>
      </c>
      <c r="E444" s="67">
        <v>2007213</v>
      </c>
      <c r="F444" s="67" t="s">
        <v>477</v>
      </c>
      <c r="G444" s="25">
        <f t="shared" si="7"/>
        <v>6.532124402846895E-3</v>
      </c>
    </row>
    <row r="445" spans="1:7">
      <c r="A445" s="67">
        <v>515.92999999999995</v>
      </c>
      <c r="B445" s="67">
        <v>517.65</v>
      </c>
      <c r="C445" s="67">
        <v>513.58000000000004</v>
      </c>
      <c r="D445" s="67">
        <v>517.65</v>
      </c>
      <c r="E445" s="67">
        <v>1450247</v>
      </c>
      <c r="F445" s="67" t="s">
        <v>478</v>
      </c>
      <c r="G445" s="25">
        <f t="shared" si="7"/>
        <v>-3.3227083937024116E-3</v>
      </c>
    </row>
    <row r="446" spans="1:7">
      <c r="A446" s="67">
        <v>513.67999999999995</v>
      </c>
      <c r="B446" s="67">
        <v>525.88</v>
      </c>
      <c r="C446" s="67">
        <v>508.71609999999998</v>
      </c>
      <c r="D446" s="67">
        <v>523.21</v>
      </c>
      <c r="E446" s="67">
        <v>2324217</v>
      </c>
      <c r="F446" s="67" t="s">
        <v>479</v>
      </c>
      <c r="G446" s="25">
        <f t="shared" si="7"/>
        <v>-1.8214483668125725E-2</v>
      </c>
    </row>
    <row r="447" spans="1:7">
      <c r="A447" s="67">
        <v>525.29999999999995</v>
      </c>
      <c r="B447" s="67">
        <v>525.76</v>
      </c>
      <c r="C447" s="67">
        <v>516.36009999999999</v>
      </c>
      <c r="D447" s="67">
        <v>519.95000000000005</v>
      </c>
      <c r="E447" s="67">
        <v>2415735</v>
      </c>
      <c r="F447" s="67" t="s">
        <v>480</v>
      </c>
      <c r="G447" s="25">
        <f t="shared" si="7"/>
        <v>1.0289450908741005E-2</v>
      </c>
    </row>
    <row r="448" spans="1:7">
      <c r="A448" s="67">
        <v>518.73</v>
      </c>
      <c r="B448" s="67">
        <v>523.20989999999995</v>
      </c>
      <c r="C448" s="67">
        <v>513.19349999999997</v>
      </c>
      <c r="D448" s="67">
        <v>519.09</v>
      </c>
      <c r="E448" s="67">
        <v>3319992</v>
      </c>
      <c r="F448" s="67" t="s">
        <v>481</v>
      </c>
      <c r="G448" s="25">
        <f t="shared" si="7"/>
        <v>-6.935213546783725E-4</v>
      </c>
    </row>
    <row r="449" spans="1:7">
      <c r="A449" s="67">
        <v>512.15</v>
      </c>
      <c r="B449" s="67">
        <v>513.37</v>
      </c>
      <c r="C449" s="67">
        <v>502.5</v>
      </c>
      <c r="D449" s="67">
        <v>502.5</v>
      </c>
      <c r="E449" s="67">
        <v>2287614</v>
      </c>
      <c r="F449" s="67" t="s">
        <v>482</v>
      </c>
      <c r="G449" s="25">
        <f t="shared" si="7"/>
        <v>1.9203980099502527E-2</v>
      </c>
    </row>
    <row r="450" spans="1:7">
      <c r="A450" s="67">
        <v>504.44</v>
      </c>
      <c r="B450" s="67">
        <v>508.57</v>
      </c>
      <c r="C450" s="67">
        <v>493.1</v>
      </c>
      <c r="D450" s="67">
        <v>502.1</v>
      </c>
      <c r="E450" s="67">
        <v>2002094</v>
      </c>
      <c r="F450" s="67" t="s">
        <v>483</v>
      </c>
      <c r="G450" s="25">
        <f t="shared" si="7"/>
        <v>4.6604262099183558E-3</v>
      </c>
    </row>
    <row r="451" spans="1:7">
      <c r="A451" s="67">
        <v>499.5</v>
      </c>
      <c r="B451" s="67">
        <v>506.36</v>
      </c>
      <c r="C451" s="67">
        <v>494.61</v>
      </c>
      <c r="D451" s="67">
        <v>505.41</v>
      </c>
      <c r="E451" s="67">
        <v>1874910</v>
      </c>
      <c r="F451" s="67" t="s">
        <v>484</v>
      </c>
      <c r="G451" s="25">
        <f t="shared" si="7"/>
        <v>-1.1693476583368057E-2</v>
      </c>
    </row>
    <row r="452" spans="1:7">
      <c r="A452" s="67">
        <v>499.61</v>
      </c>
      <c r="B452" s="67">
        <v>502.41</v>
      </c>
      <c r="C452" s="67">
        <v>495.46</v>
      </c>
      <c r="D452" s="67">
        <v>496</v>
      </c>
      <c r="E452" s="67">
        <v>1961731</v>
      </c>
      <c r="F452" s="67" t="s">
        <v>485</v>
      </c>
      <c r="G452" s="25">
        <f t="shared" si="7"/>
        <v>7.2782258064516547E-3</v>
      </c>
    </row>
    <row r="453" spans="1:7">
      <c r="A453" s="67">
        <v>499.51</v>
      </c>
      <c r="B453" s="67">
        <v>505.51</v>
      </c>
      <c r="C453" s="67">
        <v>497.69</v>
      </c>
      <c r="D453" s="67">
        <v>505</v>
      </c>
      <c r="E453" s="67">
        <v>2259651</v>
      </c>
      <c r="F453" s="67" t="s">
        <v>486</v>
      </c>
      <c r="G453" s="25">
        <f t="shared" si="7"/>
        <v>-1.0871287128712881E-2</v>
      </c>
    </row>
    <row r="454" spans="1:7">
      <c r="A454" s="67">
        <v>503.37</v>
      </c>
      <c r="B454" s="67">
        <v>524.49990000000003</v>
      </c>
      <c r="C454" s="67">
        <v>498.81</v>
      </c>
      <c r="D454" s="67">
        <v>520.29999999999995</v>
      </c>
      <c r="E454" s="67">
        <v>4612417</v>
      </c>
      <c r="F454" s="67" t="s">
        <v>487</v>
      </c>
      <c r="G454" s="25">
        <f t="shared" si="7"/>
        <v>-3.2538919853930315E-2</v>
      </c>
    </row>
    <row r="455" spans="1:7">
      <c r="A455" s="67">
        <v>529.87</v>
      </c>
      <c r="B455" s="67">
        <v>534.63990000000001</v>
      </c>
      <c r="C455" s="67">
        <v>523.46</v>
      </c>
      <c r="D455" s="67">
        <v>530.54999999999995</v>
      </c>
      <c r="E455" s="67">
        <v>3098800</v>
      </c>
      <c r="F455" s="67" t="s">
        <v>488</v>
      </c>
      <c r="G455" s="25">
        <f t="shared" si="7"/>
        <v>-1.2816888134953297E-3</v>
      </c>
    </row>
    <row r="456" spans="1:7">
      <c r="A456" s="67">
        <v>532.5</v>
      </c>
      <c r="B456" s="67">
        <v>539.91999999999996</v>
      </c>
      <c r="C456" s="67">
        <v>520.59</v>
      </c>
      <c r="D456" s="67">
        <v>523.79</v>
      </c>
      <c r="E456" s="67">
        <v>3470174</v>
      </c>
      <c r="F456" s="67" t="s">
        <v>489</v>
      </c>
      <c r="G456" s="25">
        <f t="shared" si="7"/>
        <v>1.6628801618969513E-2</v>
      </c>
    </row>
    <row r="457" spans="1:7">
      <c r="A457" s="67">
        <v>526.41999999999996</v>
      </c>
      <c r="B457" s="67">
        <v>528.91</v>
      </c>
      <c r="C457" s="67">
        <v>504.27</v>
      </c>
      <c r="D457" s="67">
        <v>504.39</v>
      </c>
      <c r="E457" s="67">
        <v>4125288</v>
      </c>
      <c r="F457" s="67" t="s">
        <v>490</v>
      </c>
      <c r="G457" s="25">
        <f t="shared" si="7"/>
        <v>4.3676520153056009E-2</v>
      </c>
    </row>
    <row r="458" spans="1:7">
      <c r="A458" s="67">
        <v>504.48</v>
      </c>
      <c r="B458" s="67">
        <v>507.72</v>
      </c>
      <c r="C458" s="67">
        <v>493.6</v>
      </c>
      <c r="D458" s="67">
        <v>493.6</v>
      </c>
      <c r="E458" s="67">
        <v>3536599</v>
      </c>
      <c r="F458" s="67" t="s">
        <v>491</v>
      </c>
      <c r="G458" s="25">
        <f t="shared" si="7"/>
        <v>2.2042139384116588E-2</v>
      </c>
    </row>
    <row r="459" spans="1:7">
      <c r="A459" s="67">
        <v>494.68</v>
      </c>
      <c r="B459" s="67">
        <v>505</v>
      </c>
      <c r="C459" s="67">
        <v>493.69</v>
      </c>
      <c r="D459" s="67">
        <v>503.83</v>
      </c>
      <c r="E459" s="67">
        <v>2856859</v>
      </c>
      <c r="F459" s="67" t="s">
        <v>492</v>
      </c>
      <c r="G459" s="25">
        <f t="shared" si="7"/>
        <v>-1.816088760097645E-2</v>
      </c>
    </row>
    <row r="460" spans="1:7">
      <c r="A460" s="67">
        <v>500.92</v>
      </c>
      <c r="B460" s="67">
        <v>510.65499999999997</v>
      </c>
      <c r="C460" s="67">
        <v>495.3</v>
      </c>
      <c r="D460" s="67">
        <v>510.65499999999997</v>
      </c>
      <c r="E460" s="67">
        <v>2640295</v>
      </c>
      <c r="F460" s="67" t="s">
        <v>493</v>
      </c>
      <c r="G460" s="25">
        <f t="shared" si="7"/>
        <v>-1.9063751456462663E-2</v>
      </c>
    </row>
    <row r="461" spans="1:7">
      <c r="A461" s="67">
        <v>504.83</v>
      </c>
      <c r="B461" s="67">
        <v>506.21</v>
      </c>
      <c r="C461" s="67">
        <v>492.93</v>
      </c>
      <c r="D461" s="67">
        <v>492.93</v>
      </c>
      <c r="E461" s="67">
        <v>2969855</v>
      </c>
      <c r="F461" s="67" t="s">
        <v>494</v>
      </c>
      <c r="G461" s="25">
        <f t="shared" si="7"/>
        <v>2.4141358813624558E-2</v>
      </c>
    </row>
    <row r="462" spans="1:7">
      <c r="A462" s="67">
        <v>486.42</v>
      </c>
      <c r="B462" s="67">
        <v>486.65899999999999</v>
      </c>
      <c r="C462" s="67">
        <v>480.47</v>
      </c>
      <c r="D462" s="67">
        <v>483.09</v>
      </c>
      <c r="E462" s="67">
        <v>1588149</v>
      </c>
      <c r="F462" s="67" t="s">
        <v>495</v>
      </c>
      <c r="G462" s="25">
        <f t="shared" si="7"/>
        <v>6.8931255045645567E-3</v>
      </c>
    </row>
    <row r="463" spans="1:7">
      <c r="A463" s="67">
        <v>481.35</v>
      </c>
      <c r="B463" s="67">
        <v>483.76</v>
      </c>
      <c r="C463" s="67">
        <v>477.37</v>
      </c>
      <c r="D463" s="67">
        <v>479.03</v>
      </c>
      <c r="E463" s="67">
        <v>1955249</v>
      </c>
      <c r="F463" s="67" t="s">
        <v>496</v>
      </c>
      <c r="G463" s="25">
        <f t="shared" si="7"/>
        <v>4.8431204726218091E-3</v>
      </c>
    </row>
    <row r="464" spans="1:7">
      <c r="A464" s="67">
        <v>482.8</v>
      </c>
      <c r="B464" s="67">
        <v>485.16</v>
      </c>
      <c r="C464" s="67">
        <v>475.05</v>
      </c>
      <c r="D464" s="67">
        <v>475.41</v>
      </c>
      <c r="E464" s="67">
        <v>2852008</v>
      </c>
      <c r="F464" s="67" t="s">
        <v>497</v>
      </c>
      <c r="G464" s="25">
        <f t="shared" si="7"/>
        <v>1.5544477398456102E-2</v>
      </c>
    </row>
    <row r="465" spans="1:7">
      <c r="A465" s="67">
        <v>478.08</v>
      </c>
      <c r="B465" s="67">
        <v>486.05</v>
      </c>
      <c r="C465" s="67">
        <v>477.38</v>
      </c>
      <c r="D465" s="67">
        <v>486</v>
      </c>
      <c r="E465" s="67">
        <v>2978688</v>
      </c>
      <c r="F465" s="67" t="s">
        <v>498</v>
      </c>
      <c r="G465" s="25">
        <f t="shared" si="7"/>
        <v>-1.6296296296296364E-2</v>
      </c>
    </row>
    <row r="466" spans="1:7">
      <c r="A466" s="67">
        <v>486.68</v>
      </c>
      <c r="B466" s="67">
        <v>492.2</v>
      </c>
      <c r="C466" s="67">
        <v>482.24</v>
      </c>
      <c r="D466" s="67">
        <v>482.24</v>
      </c>
      <c r="E466" s="67">
        <v>2728573</v>
      </c>
      <c r="F466" s="67" t="s">
        <v>499</v>
      </c>
      <c r="G466" s="25">
        <f t="shared" si="7"/>
        <v>9.2070338420704445E-3</v>
      </c>
    </row>
    <row r="467" spans="1:7">
      <c r="A467" s="67">
        <v>485.39</v>
      </c>
      <c r="B467" s="67">
        <v>487.56</v>
      </c>
      <c r="C467" s="67">
        <v>479.33</v>
      </c>
      <c r="D467" s="67">
        <v>481.92</v>
      </c>
      <c r="E467" s="67">
        <v>2089505</v>
      </c>
      <c r="F467" s="67" t="s">
        <v>500</v>
      </c>
      <c r="G467" s="25">
        <f t="shared" si="7"/>
        <v>7.2003652058432177E-3</v>
      </c>
    </row>
    <row r="468" spans="1:7">
      <c r="A468" s="67">
        <v>481.04</v>
      </c>
      <c r="B468" s="67">
        <v>488.49</v>
      </c>
      <c r="C468" s="67">
        <v>480.48</v>
      </c>
      <c r="D468" s="67">
        <v>487.65</v>
      </c>
      <c r="E468" s="67">
        <v>2302255</v>
      </c>
      <c r="F468" s="67" t="s">
        <v>501</v>
      </c>
      <c r="G468" s="25">
        <f t="shared" si="7"/>
        <v>-1.355480365015882E-2</v>
      </c>
    </row>
    <row r="469" spans="1:7">
      <c r="A469" s="67">
        <v>483.72</v>
      </c>
      <c r="B469" s="67">
        <v>488.34</v>
      </c>
      <c r="C469" s="67">
        <v>482.52</v>
      </c>
      <c r="D469" s="67">
        <v>483.42</v>
      </c>
      <c r="E469" s="67">
        <v>2426769</v>
      </c>
      <c r="F469" s="67" t="s">
        <v>502</v>
      </c>
      <c r="G469" s="25">
        <f t="shared" si="7"/>
        <v>6.2057837904938573E-4</v>
      </c>
    </row>
    <row r="470" spans="1:7">
      <c r="A470" s="67">
        <v>482.87</v>
      </c>
      <c r="B470" s="67">
        <v>488.47</v>
      </c>
      <c r="C470" s="67">
        <v>480.06</v>
      </c>
      <c r="D470" s="67">
        <v>486.63</v>
      </c>
      <c r="E470" s="67">
        <v>2100308</v>
      </c>
      <c r="F470" s="67" t="s">
        <v>503</v>
      </c>
      <c r="G470" s="25">
        <f t="shared" si="7"/>
        <v>-7.7266095390748912E-3</v>
      </c>
    </row>
    <row r="471" spans="1:7">
      <c r="A471" s="67">
        <v>485.03</v>
      </c>
      <c r="B471" s="67">
        <v>493.83</v>
      </c>
      <c r="C471" s="67">
        <v>483.39100000000002</v>
      </c>
      <c r="D471" s="67">
        <v>492</v>
      </c>
      <c r="E471" s="67">
        <v>2021316</v>
      </c>
      <c r="F471" s="67" t="s">
        <v>504</v>
      </c>
      <c r="G471" s="25">
        <f t="shared" si="7"/>
        <v>-1.4166666666666772E-2</v>
      </c>
    </row>
    <row r="472" spans="1:7">
      <c r="A472" s="67">
        <v>493.11</v>
      </c>
      <c r="B472" s="67">
        <v>497.34</v>
      </c>
      <c r="C472" s="67">
        <v>488.36</v>
      </c>
      <c r="D472" s="67">
        <v>496.43</v>
      </c>
      <c r="E472" s="67">
        <v>2388721</v>
      </c>
      <c r="F472" s="67" t="s">
        <v>505</v>
      </c>
      <c r="G472" s="25">
        <f t="shared" si="7"/>
        <v>-6.6877505388474034E-3</v>
      </c>
    </row>
    <row r="473" spans="1:7">
      <c r="A473" s="67">
        <v>497.71</v>
      </c>
      <c r="B473" s="67">
        <v>500.6499</v>
      </c>
      <c r="C473" s="67">
        <v>492.96</v>
      </c>
      <c r="D473" s="67">
        <v>494.6</v>
      </c>
      <c r="E473" s="67">
        <v>1679657</v>
      </c>
      <c r="F473" s="67" t="s">
        <v>506</v>
      </c>
      <c r="G473" s="25">
        <f t="shared" si="7"/>
        <v>6.2879094217549447E-3</v>
      </c>
    </row>
    <row r="474" spans="1:7">
      <c r="A474" s="67">
        <v>494.9</v>
      </c>
      <c r="B474" s="67">
        <v>499</v>
      </c>
      <c r="C474" s="67">
        <v>491.05009999999999</v>
      </c>
      <c r="D474" s="67">
        <v>491.29</v>
      </c>
      <c r="E474" s="67">
        <v>2011121</v>
      </c>
      <c r="F474" s="67" t="s">
        <v>507</v>
      </c>
      <c r="G474" s="25">
        <f t="shared" si="7"/>
        <v>7.3480021982941235E-3</v>
      </c>
    </row>
    <row r="475" spans="1:7">
      <c r="A475" s="67">
        <v>496.83</v>
      </c>
      <c r="B475" s="67">
        <v>507.5</v>
      </c>
      <c r="C475" s="67">
        <v>495.23</v>
      </c>
      <c r="D475" s="67">
        <v>506.51</v>
      </c>
      <c r="E475" s="67">
        <v>2769241</v>
      </c>
      <c r="F475" s="67" t="s">
        <v>508</v>
      </c>
      <c r="G475" s="25">
        <f t="shared" si="7"/>
        <v>-1.9111172533612386E-2</v>
      </c>
    </row>
    <row r="476" spans="1:7">
      <c r="A476" s="67">
        <v>502.54</v>
      </c>
      <c r="B476" s="67">
        <v>506.84</v>
      </c>
      <c r="C476" s="67">
        <v>500.25</v>
      </c>
      <c r="D476" s="67">
        <v>506.39</v>
      </c>
      <c r="E476" s="67">
        <v>1859116</v>
      </c>
      <c r="F476" s="67" t="s">
        <v>509</v>
      </c>
      <c r="G476" s="25">
        <f t="shared" si="7"/>
        <v>-7.6028357589998929E-3</v>
      </c>
    </row>
    <row r="477" spans="1:7">
      <c r="A477" s="67">
        <v>508.03</v>
      </c>
      <c r="B477" s="67">
        <v>517.77200000000005</v>
      </c>
      <c r="C477" s="67">
        <v>506.8</v>
      </c>
      <c r="D477" s="67">
        <v>513.82000000000005</v>
      </c>
      <c r="E477" s="67">
        <v>3605675</v>
      </c>
      <c r="F477" s="67" t="s">
        <v>510</v>
      </c>
      <c r="G477" s="25">
        <f t="shared" si="7"/>
        <v>-1.1268537620178432E-2</v>
      </c>
    </row>
    <row r="478" spans="1:7">
      <c r="A478" s="67">
        <v>509.65</v>
      </c>
      <c r="B478" s="67">
        <v>514.26</v>
      </c>
      <c r="C478" s="67">
        <v>500.41</v>
      </c>
      <c r="D478" s="67">
        <v>501.8</v>
      </c>
      <c r="E478" s="67">
        <v>3411497</v>
      </c>
      <c r="F478" s="67" t="s">
        <v>511</v>
      </c>
      <c r="G478" s="25">
        <f t="shared" si="7"/>
        <v>1.564368274212824E-2</v>
      </c>
    </row>
    <row r="479" spans="1:7">
      <c r="A479" s="67">
        <v>495.42</v>
      </c>
      <c r="B479" s="67">
        <v>507.97989999999999</v>
      </c>
      <c r="C479" s="67">
        <v>494.9</v>
      </c>
      <c r="D479" s="67">
        <v>504.78</v>
      </c>
      <c r="E479" s="67">
        <v>2992409</v>
      </c>
      <c r="F479" s="67" t="s">
        <v>512</v>
      </c>
      <c r="G479" s="25">
        <f t="shared" si="7"/>
        <v>-1.8542731486984376E-2</v>
      </c>
    </row>
    <row r="480" spans="1:7">
      <c r="A480" s="67">
        <v>503.57</v>
      </c>
      <c r="B480" s="67">
        <v>506.45</v>
      </c>
      <c r="C480" s="67">
        <v>489.35</v>
      </c>
      <c r="D480" s="67">
        <v>490.54</v>
      </c>
      <c r="E480" s="67">
        <v>2775102</v>
      </c>
      <c r="F480" s="67" t="s">
        <v>513</v>
      </c>
      <c r="G480" s="25">
        <f t="shared" si="7"/>
        <v>2.6562563705304409E-2</v>
      </c>
    </row>
    <row r="481" spans="1:7">
      <c r="A481" s="67">
        <v>494.08</v>
      </c>
      <c r="B481" s="67">
        <v>495.88</v>
      </c>
      <c r="C481" s="67">
        <v>492.32</v>
      </c>
      <c r="D481" s="67">
        <v>495.88</v>
      </c>
      <c r="E481" s="67">
        <v>2869417</v>
      </c>
      <c r="F481" s="67" t="s">
        <v>514</v>
      </c>
      <c r="G481" s="25">
        <f t="shared" si="7"/>
        <v>-3.6299104622086187E-3</v>
      </c>
    </row>
    <row r="482" spans="1:7">
      <c r="A482" s="67">
        <v>496.24</v>
      </c>
      <c r="B482" s="67">
        <v>500</v>
      </c>
      <c r="C482" s="67">
        <v>486.4</v>
      </c>
      <c r="D482" s="67">
        <v>492.45</v>
      </c>
      <c r="E482" s="67">
        <v>3551609</v>
      </c>
      <c r="F482" s="67" t="s">
        <v>515</v>
      </c>
      <c r="G482" s="25">
        <f t="shared" si="7"/>
        <v>7.6962128134836494E-3</v>
      </c>
    </row>
    <row r="483" spans="1:7">
      <c r="A483" s="67">
        <v>487.3</v>
      </c>
      <c r="B483" s="67">
        <v>504.87</v>
      </c>
      <c r="C483" s="67">
        <v>486.4</v>
      </c>
      <c r="D483" s="67">
        <v>503.96</v>
      </c>
      <c r="E483" s="67">
        <v>4870534</v>
      </c>
      <c r="F483" s="67" t="s">
        <v>516</v>
      </c>
      <c r="G483" s="25">
        <f t="shared" si="7"/>
        <v>-3.305817922057297E-2</v>
      </c>
    </row>
    <row r="484" spans="1:7">
      <c r="A484" s="67">
        <v>507.22</v>
      </c>
      <c r="B484" s="67">
        <v>508.56</v>
      </c>
      <c r="C484" s="67">
        <v>503.59010000000001</v>
      </c>
      <c r="D484" s="67">
        <v>507.29</v>
      </c>
      <c r="E484" s="67">
        <v>1949994</v>
      </c>
      <c r="F484" s="67" t="s">
        <v>517</v>
      </c>
      <c r="G484" s="25">
        <f t="shared" si="7"/>
        <v>-1.3798813302057233E-4</v>
      </c>
    </row>
    <row r="485" spans="1:7">
      <c r="A485" s="67">
        <v>503.8</v>
      </c>
      <c r="B485" s="67">
        <v>509.81</v>
      </c>
      <c r="C485" s="67">
        <v>498.59</v>
      </c>
      <c r="D485" s="67">
        <v>501.02</v>
      </c>
      <c r="E485" s="67">
        <v>1921604</v>
      </c>
      <c r="F485" s="67" t="s">
        <v>518</v>
      </c>
      <c r="G485" s="25">
        <f t="shared" si="7"/>
        <v>5.5486806913895848E-3</v>
      </c>
    </row>
    <row r="486" spans="1:7">
      <c r="A486" s="67">
        <v>505.81</v>
      </c>
      <c r="B486" s="67">
        <v>510.19</v>
      </c>
      <c r="C486" s="67">
        <v>502.82010000000002</v>
      </c>
      <c r="D486" s="67">
        <v>503.87</v>
      </c>
      <c r="E486" s="67">
        <v>1981848</v>
      </c>
      <c r="F486" s="67" t="s">
        <v>519</v>
      </c>
      <c r="G486" s="25">
        <f t="shared" si="7"/>
        <v>3.8501994562090136E-3</v>
      </c>
    </row>
    <row r="487" spans="1:7">
      <c r="A487" s="67">
        <v>502.8</v>
      </c>
      <c r="B487" s="67">
        <v>519</v>
      </c>
      <c r="C487" s="67">
        <v>502.5</v>
      </c>
      <c r="D487" s="67">
        <v>517.45000000000005</v>
      </c>
      <c r="E487" s="67">
        <v>3730026</v>
      </c>
      <c r="F487" s="67" t="s">
        <v>520</v>
      </c>
      <c r="G487" s="25">
        <f t="shared" si="7"/>
        <v>-2.8311914194608212E-2</v>
      </c>
    </row>
    <row r="488" spans="1:7">
      <c r="A488" s="67">
        <v>517.78</v>
      </c>
      <c r="B488" s="67">
        <v>518.47</v>
      </c>
      <c r="C488" s="67">
        <v>511.74</v>
      </c>
      <c r="D488" s="67">
        <v>513.83000000000004</v>
      </c>
      <c r="E488" s="67">
        <v>2588151</v>
      </c>
      <c r="F488" s="67" t="s">
        <v>521</v>
      </c>
      <c r="G488" s="25">
        <f t="shared" si="7"/>
        <v>7.6873674172390771E-3</v>
      </c>
    </row>
    <row r="489" spans="1:7">
      <c r="A489" s="67">
        <v>515.48</v>
      </c>
      <c r="B489" s="67">
        <v>516.67989999999998</v>
      </c>
      <c r="C489" s="67">
        <v>512.29999999999995</v>
      </c>
      <c r="D489" s="67">
        <v>516.52</v>
      </c>
      <c r="E489" s="67">
        <v>2718323</v>
      </c>
      <c r="F489" s="67" t="s">
        <v>522</v>
      </c>
      <c r="G489" s="25">
        <f t="shared" si="7"/>
        <v>-2.0134747928443053E-3</v>
      </c>
    </row>
    <row r="490" spans="1:7">
      <c r="A490" s="67">
        <v>515.38</v>
      </c>
      <c r="B490" s="67">
        <v>521.35500000000002</v>
      </c>
      <c r="C490" s="67">
        <v>512.11</v>
      </c>
      <c r="D490" s="67">
        <v>520.51</v>
      </c>
      <c r="E490" s="67">
        <v>3282437</v>
      </c>
      <c r="F490" s="67" t="s">
        <v>523</v>
      </c>
      <c r="G490" s="25">
        <f t="shared" si="7"/>
        <v>-9.8557184300013256E-3</v>
      </c>
    </row>
    <row r="491" spans="1:7">
      <c r="A491" s="67">
        <v>517.9</v>
      </c>
      <c r="B491" s="67">
        <v>526.17999999999995</v>
      </c>
      <c r="C491" s="67">
        <v>516.24</v>
      </c>
      <c r="D491" s="67">
        <v>526.02</v>
      </c>
      <c r="E491" s="67">
        <v>3211612</v>
      </c>
      <c r="F491" s="67" t="s">
        <v>524</v>
      </c>
      <c r="G491" s="25">
        <f t="shared" si="7"/>
        <v>-1.5436675411581335E-2</v>
      </c>
    </row>
    <row r="492" spans="1:7">
      <c r="A492" s="67">
        <v>524.07000000000005</v>
      </c>
      <c r="B492" s="67">
        <v>530.29989999999998</v>
      </c>
      <c r="C492" s="67">
        <v>521.71</v>
      </c>
      <c r="D492" s="67">
        <v>527.72</v>
      </c>
      <c r="E492" s="67">
        <v>2842054</v>
      </c>
      <c r="F492" s="67" t="s">
        <v>525</v>
      </c>
      <c r="G492" s="25">
        <f t="shared" si="7"/>
        <v>-6.916546653528366E-3</v>
      </c>
    </row>
    <row r="493" spans="1:7">
      <c r="A493" s="67">
        <v>527.87</v>
      </c>
      <c r="B493" s="67">
        <v>532</v>
      </c>
      <c r="C493" s="67">
        <v>524.95500000000004</v>
      </c>
      <c r="D493" s="67">
        <v>525.71</v>
      </c>
      <c r="E493" s="67">
        <v>2106995</v>
      </c>
      <c r="F493" s="67" t="s">
        <v>526</v>
      </c>
      <c r="G493" s="25">
        <f t="shared" si="7"/>
        <v>4.1087291472483578E-3</v>
      </c>
    </row>
    <row r="494" spans="1:7">
      <c r="A494" s="67">
        <v>522.29999999999995</v>
      </c>
      <c r="B494" s="67">
        <v>528.625</v>
      </c>
      <c r="C494" s="67">
        <v>515.72</v>
      </c>
      <c r="D494" s="67">
        <v>526.44000000000005</v>
      </c>
      <c r="E494" s="67">
        <v>6100685</v>
      </c>
      <c r="F494" s="67" t="s">
        <v>527</v>
      </c>
      <c r="G494" s="25">
        <f t="shared" si="7"/>
        <v>-7.8641440620015324E-3</v>
      </c>
    </row>
    <row r="495" spans="1:7">
      <c r="A495" s="67">
        <v>526.44000000000005</v>
      </c>
      <c r="B495" s="67">
        <v>527.48</v>
      </c>
      <c r="C495" s="67">
        <v>518.02</v>
      </c>
      <c r="D495" s="67">
        <v>518.80999999999995</v>
      </c>
      <c r="E495" s="67">
        <v>3582532</v>
      </c>
      <c r="F495" s="67" t="s">
        <v>528</v>
      </c>
      <c r="G495" s="25">
        <f t="shared" si="7"/>
        <v>1.4706732715252357E-2</v>
      </c>
    </row>
    <row r="496" spans="1:7">
      <c r="A496" s="67">
        <v>508.13</v>
      </c>
      <c r="B496" s="67">
        <v>517.58000000000004</v>
      </c>
      <c r="C496" s="67">
        <v>506.49009999999998</v>
      </c>
      <c r="D496" s="67">
        <v>517.01</v>
      </c>
      <c r="E496" s="67">
        <v>3997267</v>
      </c>
      <c r="F496" s="67" t="s">
        <v>529</v>
      </c>
      <c r="G496" s="25">
        <f t="shared" si="7"/>
        <v>-1.7175683255643004E-2</v>
      </c>
    </row>
    <row r="497" spans="1:7">
      <c r="A497" s="67">
        <v>515.03</v>
      </c>
      <c r="B497" s="67">
        <v>527.09990000000005</v>
      </c>
      <c r="C497" s="67">
        <v>514.58000000000004</v>
      </c>
      <c r="D497" s="67">
        <v>524.29</v>
      </c>
      <c r="E497" s="67">
        <v>5164089</v>
      </c>
      <c r="F497" s="67" t="s">
        <v>530</v>
      </c>
      <c r="G497" s="25">
        <f t="shared" si="7"/>
        <v>-1.7661980964733259E-2</v>
      </c>
    </row>
    <row r="498" spans="1:7">
      <c r="A498" s="67">
        <v>521.5</v>
      </c>
      <c r="B498" s="67">
        <v>537.69000000000005</v>
      </c>
      <c r="C498" s="67">
        <v>521.26</v>
      </c>
      <c r="D498" s="67">
        <v>537.4</v>
      </c>
      <c r="E498" s="67">
        <v>5248205</v>
      </c>
      <c r="F498" s="67" t="s">
        <v>531</v>
      </c>
      <c r="G498" s="25">
        <f t="shared" si="7"/>
        <v>-2.9586899888351281E-2</v>
      </c>
    </row>
    <row r="499" spans="1:7">
      <c r="A499" s="67">
        <v>536.87</v>
      </c>
      <c r="B499" s="67">
        <v>540.27</v>
      </c>
      <c r="C499" s="67">
        <v>526.6</v>
      </c>
      <c r="D499" s="67">
        <v>532.56500000000005</v>
      </c>
      <c r="E499" s="67">
        <v>10423510</v>
      </c>
      <c r="F499" s="67" t="s">
        <v>532</v>
      </c>
      <c r="G499" s="25">
        <f t="shared" si="7"/>
        <v>8.0835203214630891E-3</v>
      </c>
    </row>
    <row r="500" spans="1:7">
      <c r="A500" s="67">
        <v>586.54999999999995</v>
      </c>
      <c r="B500" s="67">
        <v>587.75</v>
      </c>
      <c r="C500" s="67">
        <v>572.98</v>
      </c>
      <c r="D500" s="67">
        <v>581.44500000000005</v>
      </c>
      <c r="E500" s="67">
        <v>5605338</v>
      </c>
      <c r="F500" s="67" t="s">
        <v>533</v>
      </c>
      <c r="G500" s="25">
        <f t="shared" si="7"/>
        <v>8.7798502007927492E-3</v>
      </c>
    </row>
    <row r="501" spans="1:7">
      <c r="A501" s="67">
        <v>580.38</v>
      </c>
      <c r="B501" s="67">
        <v>581.24</v>
      </c>
      <c r="C501" s="67">
        <v>559.35</v>
      </c>
      <c r="D501" s="67">
        <v>573.01</v>
      </c>
      <c r="E501" s="67">
        <v>2680977</v>
      </c>
      <c r="F501" s="67" t="s">
        <v>534</v>
      </c>
      <c r="G501" s="25">
        <f t="shared" ref="G501:G564" si="8">A501/D501-1</f>
        <v>1.2861904678801439E-2</v>
      </c>
    </row>
    <row r="502" spans="1:7">
      <c r="A502" s="67">
        <v>574.48</v>
      </c>
      <c r="B502" s="67">
        <v>577.79999999999995</v>
      </c>
      <c r="C502" s="67">
        <v>567.14</v>
      </c>
      <c r="D502" s="67">
        <v>576.75</v>
      </c>
      <c r="E502" s="67">
        <v>2030076</v>
      </c>
      <c r="F502" s="67" t="s">
        <v>535</v>
      </c>
      <c r="G502" s="25">
        <f t="shared" si="8"/>
        <v>-3.9358474208929239E-3</v>
      </c>
    </row>
    <row r="503" spans="1:7">
      <c r="A503" s="67">
        <v>569.88</v>
      </c>
      <c r="B503" s="67">
        <v>574.57000000000005</v>
      </c>
      <c r="C503" s="67">
        <v>564.44000000000005</v>
      </c>
      <c r="D503" s="67">
        <v>567.69000000000005</v>
      </c>
      <c r="E503" s="67">
        <v>1997121</v>
      </c>
      <c r="F503" s="67" t="s">
        <v>536</v>
      </c>
      <c r="G503" s="25">
        <f t="shared" si="8"/>
        <v>3.8577392591025994E-3</v>
      </c>
    </row>
    <row r="504" spans="1:7">
      <c r="A504" s="67">
        <v>563.41</v>
      </c>
      <c r="B504" s="67">
        <v>573.30999999999995</v>
      </c>
      <c r="C504" s="67">
        <v>558</v>
      </c>
      <c r="D504" s="67">
        <v>570.9</v>
      </c>
      <c r="E504" s="67">
        <v>2096790</v>
      </c>
      <c r="F504" s="67" t="s">
        <v>537</v>
      </c>
      <c r="G504" s="25">
        <f t="shared" si="8"/>
        <v>-1.3119635662988238E-2</v>
      </c>
    </row>
    <row r="505" spans="1:7">
      <c r="A505" s="67">
        <v>567.92999999999995</v>
      </c>
      <c r="B505" s="67">
        <v>573.39</v>
      </c>
      <c r="C505" s="67">
        <v>562.53</v>
      </c>
      <c r="D505" s="67">
        <v>570.75</v>
      </c>
      <c r="E505" s="67">
        <v>1573571</v>
      </c>
      <c r="F505" s="67" t="s">
        <v>538</v>
      </c>
      <c r="G505" s="25">
        <f t="shared" si="8"/>
        <v>-4.940867279894956E-3</v>
      </c>
    </row>
    <row r="506" spans="1:7">
      <c r="A506" s="67">
        <v>575.25</v>
      </c>
      <c r="B506" s="67">
        <v>578.86</v>
      </c>
      <c r="C506" s="67">
        <v>565.76</v>
      </c>
      <c r="D506" s="67">
        <v>568.87</v>
      </c>
      <c r="E506" s="67">
        <v>1615787</v>
      </c>
      <c r="F506" s="67" t="s">
        <v>539</v>
      </c>
      <c r="G506" s="25">
        <f t="shared" si="8"/>
        <v>1.1215216130223027E-2</v>
      </c>
    </row>
    <row r="507" spans="1:7">
      <c r="A507" s="67">
        <v>571.04</v>
      </c>
      <c r="B507" s="67">
        <v>586.69500000000005</v>
      </c>
      <c r="C507" s="67">
        <v>566.79</v>
      </c>
      <c r="D507" s="67">
        <v>576.29999999999995</v>
      </c>
      <c r="E507" s="67">
        <v>2757929</v>
      </c>
      <c r="F507" s="67" t="s">
        <v>540</v>
      </c>
      <c r="G507" s="25">
        <f t="shared" si="8"/>
        <v>-9.1271906992885787E-3</v>
      </c>
    </row>
    <row r="508" spans="1:7">
      <c r="A508" s="67">
        <v>574.41</v>
      </c>
      <c r="B508" s="67">
        <v>575.65</v>
      </c>
      <c r="C508" s="67">
        <v>568.28650000000005</v>
      </c>
      <c r="D508" s="67">
        <v>572.20000000000005</v>
      </c>
      <c r="E508" s="67">
        <v>1982970</v>
      </c>
      <c r="F508" s="67" t="s">
        <v>541</v>
      </c>
      <c r="G508" s="25">
        <f t="shared" si="8"/>
        <v>3.8622859140160504E-3</v>
      </c>
    </row>
    <row r="509" spans="1:7">
      <c r="A509" s="67">
        <v>569.63</v>
      </c>
      <c r="B509" s="67">
        <v>578.4</v>
      </c>
      <c r="C509" s="67">
        <v>567.04999999999995</v>
      </c>
      <c r="D509" s="67">
        <v>567.04999999999995</v>
      </c>
      <c r="E509" s="67">
        <v>1955588</v>
      </c>
      <c r="F509" s="67" t="s">
        <v>542</v>
      </c>
      <c r="G509" s="25">
        <f t="shared" si="8"/>
        <v>4.5498633277489819E-3</v>
      </c>
    </row>
    <row r="510" spans="1:7">
      <c r="A510" s="67">
        <v>560.54</v>
      </c>
      <c r="B510" s="67">
        <v>569.59</v>
      </c>
      <c r="C510" s="67">
        <v>557.66999999999996</v>
      </c>
      <c r="D510" s="67">
        <v>568.22</v>
      </c>
      <c r="E510" s="67">
        <v>1289699</v>
      </c>
      <c r="F510" s="67" t="s">
        <v>543</v>
      </c>
      <c r="G510" s="25">
        <f t="shared" si="8"/>
        <v>-1.351589173207568E-2</v>
      </c>
    </row>
    <row r="511" spans="1:7">
      <c r="A511" s="67">
        <v>567.82000000000005</v>
      </c>
      <c r="B511" s="67">
        <v>569.52</v>
      </c>
      <c r="C511" s="67">
        <v>554.34389999999996</v>
      </c>
      <c r="D511" s="67">
        <v>554.4</v>
      </c>
      <c r="E511" s="67">
        <v>1404415</v>
      </c>
      <c r="F511" s="67" t="s">
        <v>544</v>
      </c>
      <c r="G511" s="25">
        <f t="shared" si="8"/>
        <v>2.4206349206349342E-2</v>
      </c>
    </row>
    <row r="512" spans="1:7">
      <c r="A512" s="67">
        <v>559.44000000000005</v>
      </c>
      <c r="B512" s="67">
        <v>560.26</v>
      </c>
      <c r="C512" s="67">
        <v>555.03</v>
      </c>
      <c r="D512" s="67">
        <v>555.03</v>
      </c>
      <c r="E512" s="67">
        <v>1387479</v>
      </c>
      <c r="F512" s="67" t="s">
        <v>545</v>
      </c>
      <c r="G512" s="25">
        <f t="shared" si="8"/>
        <v>7.9455164585700011E-3</v>
      </c>
    </row>
    <row r="513" spans="1:7">
      <c r="A513" s="67">
        <v>558.29999999999995</v>
      </c>
      <c r="B513" s="67">
        <v>566.52</v>
      </c>
      <c r="C513" s="67">
        <v>552.5</v>
      </c>
      <c r="D513" s="67">
        <v>565.45000000000005</v>
      </c>
      <c r="E513" s="67">
        <v>2023465</v>
      </c>
      <c r="F513" s="67" t="s">
        <v>546</v>
      </c>
      <c r="G513" s="25">
        <f t="shared" si="8"/>
        <v>-1.2644796180033779E-2</v>
      </c>
    </row>
    <row r="514" spans="1:7">
      <c r="A514" s="67">
        <v>557.44000000000005</v>
      </c>
      <c r="B514" s="67">
        <v>572</v>
      </c>
      <c r="C514" s="67">
        <v>555.65</v>
      </c>
      <c r="D514" s="67">
        <v>567.07000000000005</v>
      </c>
      <c r="E514" s="67">
        <v>1627658</v>
      </c>
      <c r="F514" s="67" t="s">
        <v>547</v>
      </c>
      <c r="G514" s="25">
        <f t="shared" si="8"/>
        <v>-1.6982030437159401E-2</v>
      </c>
    </row>
    <row r="515" spans="1:7">
      <c r="A515" s="67">
        <v>565.79</v>
      </c>
      <c r="B515" s="67">
        <v>566.6</v>
      </c>
      <c r="C515" s="67">
        <v>557.91</v>
      </c>
      <c r="D515" s="67">
        <v>562.13</v>
      </c>
      <c r="E515" s="67">
        <v>1401708</v>
      </c>
      <c r="F515" s="67" t="s">
        <v>548</v>
      </c>
      <c r="G515" s="25">
        <f t="shared" si="8"/>
        <v>6.5109494245103594E-3</v>
      </c>
    </row>
    <row r="516" spans="1:7">
      <c r="A516" s="67">
        <v>562.25</v>
      </c>
      <c r="B516" s="67">
        <v>568.17999999999995</v>
      </c>
      <c r="C516" s="67">
        <v>559.61</v>
      </c>
      <c r="D516" s="67">
        <v>564.48</v>
      </c>
      <c r="E516" s="67">
        <v>1219609</v>
      </c>
      <c r="F516" s="67" t="s">
        <v>549</v>
      </c>
      <c r="G516" s="25">
        <f t="shared" si="8"/>
        <v>-3.9505385487528244E-3</v>
      </c>
    </row>
    <row r="517" spans="1:7">
      <c r="A517" s="67">
        <v>563.12</v>
      </c>
      <c r="B517" s="67">
        <v>563.77</v>
      </c>
      <c r="C517" s="67">
        <v>550.59</v>
      </c>
      <c r="D517" s="67">
        <v>550.59</v>
      </c>
      <c r="E517" s="67">
        <v>1423293</v>
      </c>
      <c r="F517" s="67" t="s">
        <v>550</v>
      </c>
      <c r="G517" s="25">
        <f t="shared" si="8"/>
        <v>2.2757405692075627E-2</v>
      </c>
    </row>
    <row r="518" spans="1:7">
      <c r="A518" s="67">
        <v>553.46</v>
      </c>
      <c r="B518" s="67">
        <v>554.76</v>
      </c>
      <c r="C518" s="67">
        <v>547.79999999999995</v>
      </c>
      <c r="D518" s="67">
        <v>552.35</v>
      </c>
      <c r="E518" s="67">
        <v>1541726</v>
      </c>
      <c r="F518" s="67" t="s">
        <v>551</v>
      </c>
      <c r="G518" s="25">
        <f t="shared" si="8"/>
        <v>2.0095953652574661E-3</v>
      </c>
    </row>
    <row r="519" spans="1:7">
      <c r="A519" s="67">
        <v>554.16</v>
      </c>
      <c r="B519" s="67">
        <v>557.22</v>
      </c>
      <c r="C519" s="67">
        <v>545.01</v>
      </c>
      <c r="D519" s="67">
        <v>545.19000000000005</v>
      </c>
      <c r="E519" s="67">
        <v>2182382</v>
      </c>
      <c r="F519" s="67" t="s">
        <v>552</v>
      </c>
      <c r="G519" s="25">
        <f t="shared" si="8"/>
        <v>1.6452979695152026E-2</v>
      </c>
    </row>
    <row r="520" spans="1:7">
      <c r="A520" s="67">
        <v>539.79</v>
      </c>
      <c r="B520" s="67">
        <v>542.92049999999995</v>
      </c>
      <c r="C520" s="67">
        <v>533.20000000000005</v>
      </c>
      <c r="D520" s="67">
        <v>536.62</v>
      </c>
      <c r="E520" s="67">
        <v>1915589</v>
      </c>
      <c r="F520" s="67" t="s">
        <v>553</v>
      </c>
      <c r="G520" s="25">
        <f t="shared" si="8"/>
        <v>5.9073459803957729E-3</v>
      </c>
    </row>
    <row r="521" spans="1:7">
      <c r="A521" s="67">
        <v>535.22</v>
      </c>
      <c r="B521" s="67">
        <v>537.72</v>
      </c>
      <c r="C521" s="67">
        <v>527.9</v>
      </c>
      <c r="D521" s="67">
        <v>530.92999999999995</v>
      </c>
      <c r="E521" s="67">
        <v>3063918</v>
      </c>
      <c r="F521" s="67" t="s">
        <v>554</v>
      </c>
      <c r="G521" s="25">
        <f t="shared" si="8"/>
        <v>8.080161226527105E-3</v>
      </c>
    </row>
    <row r="522" spans="1:7">
      <c r="A522" s="67">
        <v>530.92999999999995</v>
      </c>
      <c r="B522" s="67">
        <v>538.08000000000004</v>
      </c>
      <c r="C522" s="67">
        <v>525.77</v>
      </c>
      <c r="D522" s="67">
        <v>536.04</v>
      </c>
      <c r="E522" s="67">
        <v>1450410</v>
      </c>
      <c r="F522" s="67" t="s">
        <v>555</v>
      </c>
      <c r="G522" s="25">
        <f t="shared" si="8"/>
        <v>-9.5328706812924935E-3</v>
      </c>
    </row>
    <row r="523" spans="1:7">
      <c r="A523" s="67">
        <v>536.29999999999995</v>
      </c>
      <c r="B523" s="67">
        <v>537.28</v>
      </c>
      <c r="C523" s="67">
        <v>528.02</v>
      </c>
      <c r="D523" s="67">
        <v>528.02</v>
      </c>
      <c r="E523" s="67">
        <v>1272635</v>
      </c>
      <c r="F523" s="67" t="s">
        <v>556</v>
      </c>
      <c r="G523" s="25">
        <f t="shared" si="8"/>
        <v>1.5681224196053112E-2</v>
      </c>
    </row>
    <row r="524" spans="1:7">
      <c r="A524" s="67">
        <v>530.24</v>
      </c>
      <c r="B524" s="67">
        <v>531.07000000000005</v>
      </c>
      <c r="C524" s="67">
        <v>519.55999999999995</v>
      </c>
      <c r="D524" s="67">
        <v>520.59</v>
      </c>
      <c r="E524" s="67">
        <v>2155115</v>
      </c>
      <c r="F524" s="67" t="s">
        <v>557</v>
      </c>
      <c r="G524" s="25">
        <f t="shared" si="8"/>
        <v>1.8536660327705068E-2</v>
      </c>
    </row>
    <row r="525" spans="1:7">
      <c r="A525" s="67">
        <v>513.62</v>
      </c>
      <c r="B525" s="67">
        <v>531.005</v>
      </c>
      <c r="C525" s="67">
        <v>512.86</v>
      </c>
      <c r="D525" s="67">
        <v>520.95000000000005</v>
      </c>
      <c r="E525" s="67">
        <v>1663682</v>
      </c>
      <c r="F525" s="67" t="s">
        <v>558</v>
      </c>
      <c r="G525" s="25">
        <f t="shared" si="8"/>
        <v>-1.4070448219598908E-2</v>
      </c>
    </row>
    <row r="526" spans="1:7">
      <c r="A526" s="67">
        <v>514.20000000000005</v>
      </c>
      <c r="B526" s="67">
        <v>519.16</v>
      </c>
      <c r="C526" s="67">
        <v>509.01</v>
      </c>
      <c r="D526" s="67">
        <v>513.69000000000005</v>
      </c>
      <c r="E526" s="67">
        <v>2076327</v>
      </c>
      <c r="F526" s="67" t="s">
        <v>559</v>
      </c>
      <c r="G526" s="25">
        <f t="shared" si="8"/>
        <v>9.9281667932027418E-4</v>
      </c>
    </row>
    <row r="527" spans="1:7">
      <c r="A527" s="67">
        <v>509.32</v>
      </c>
      <c r="B527" s="67">
        <v>515.9</v>
      </c>
      <c r="C527" s="67">
        <v>500</v>
      </c>
      <c r="D527" s="67">
        <v>504.23</v>
      </c>
      <c r="E527" s="67">
        <v>3432155</v>
      </c>
      <c r="F527" s="67" t="s">
        <v>560</v>
      </c>
      <c r="G527" s="25">
        <f t="shared" si="8"/>
        <v>1.0094599686650829E-2</v>
      </c>
    </row>
    <row r="528" spans="1:7">
      <c r="A528" s="67">
        <v>526.16999999999996</v>
      </c>
      <c r="B528" s="67">
        <v>536.84</v>
      </c>
      <c r="C528" s="67">
        <v>519.67999999999995</v>
      </c>
      <c r="D528" s="67">
        <v>535.78</v>
      </c>
      <c r="E528" s="67">
        <v>2729113</v>
      </c>
      <c r="F528" s="67" t="s">
        <v>561</v>
      </c>
      <c r="G528" s="25">
        <f t="shared" si="8"/>
        <v>-1.7936466460114264E-2</v>
      </c>
    </row>
    <row r="529" spans="1:7">
      <c r="A529" s="67">
        <v>546.41</v>
      </c>
      <c r="B529" s="67">
        <v>561.98</v>
      </c>
      <c r="C529" s="67">
        <v>540.24</v>
      </c>
      <c r="D529" s="67">
        <v>549.99</v>
      </c>
      <c r="E529" s="67">
        <v>2075410</v>
      </c>
      <c r="F529" s="67" t="s">
        <v>562</v>
      </c>
      <c r="G529" s="25">
        <f t="shared" si="8"/>
        <v>-6.5092092583501904E-3</v>
      </c>
    </row>
    <row r="530" spans="1:7">
      <c r="A530" s="67">
        <v>551.65</v>
      </c>
      <c r="B530" s="67">
        <v>555.54999999999995</v>
      </c>
      <c r="C530" s="67">
        <v>543.77</v>
      </c>
      <c r="D530" s="67">
        <v>547.04999999999995</v>
      </c>
      <c r="E530" s="67">
        <v>2776002</v>
      </c>
      <c r="F530" s="67" t="s">
        <v>563</v>
      </c>
      <c r="G530" s="25">
        <f t="shared" si="8"/>
        <v>8.408737775340569E-3</v>
      </c>
    </row>
    <row r="531" spans="1:7">
      <c r="A531" s="67">
        <v>538.71</v>
      </c>
      <c r="B531" s="67">
        <v>543.66999999999996</v>
      </c>
      <c r="C531" s="67">
        <v>530.95010000000002</v>
      </c>
      <c r="D531" s="67">
        <v>541.85</v>
      </c>
      <c r="E531" s="67">
        <v>1566875</v>
      </c>
      <c r="F531" s="67" t="s">
        <v>564</v>
      </c>
      <c r="G531" s="25">
        <f t="shared" si="8"/>
        <v>-5.7949617052689417E-3</v>
      </c>
    </row>
    <row r="532" spans="1:7">
      <c r="A532" s="67">
        <v>536.61</v>
      </c>
      <c r="B532" s="67">
        <v>544.29999999999995</v>
      </c>
      <c r="C532" s="67">
        <v>535.19000000000005</v>
      </c>
      <c r="D532" s="67">
        <v>544.29999999999995</v>
      </c>
      <c r="E532" s="67">
        <v>1590551</v>
      </c>
      <c r="F532" s="67" t="s">
        <v>565</v>
      </c>
      <c r="G532" s="25">
        <f t="shared" si="8"/>
        <v>-1.4128238103986668E-2</v>
      </c>
    </row>
    <row r="533" spans="1:7">
      <c r="A533" s="67">
        <v>542.44000000000005</v>
      </c>
      <c r="B533" s="67">
        <v>545.49990000000003</v>
      </c>
      <c r="C533" s="67">
        <v>533.33000000000004</v>
      </c>
      <c r="D533" s="67">
        <v>535.35</v>
      </c>
      <c r="E533" s="67">
        <v>2090007</v>
      </c>
      <c r="F533" s="67" t="s">
        <v>566</v>
      </c>
      <c r="G533" s="25">
        <f t="shared" si="8"/>
        <v>1.3243672363874248E-2</v>
      </c>
    </row>
    <row r="534" spans="1:7">
      <c r="A534" s="67">
        <v>532.15</v>
      </c>
      <c r="B534" s="67">
        <v>542.28</v>
      </c>
      <c r="C534" s="67">
        <v>527.59</v>
      </c>
      <c r="D534" s="67">
        <v>536.79999999999995</v>
      </c>
      <c r="E534" s="67">
        <v>2136496</v>
      </c>
      <c r="F534" s="67" t="s">
        <v>567</v>
      </c>
      <c r="G534" s="25">
        <f t="shared" si="8"/>
        <v>-8.6624441132637786E-3</v>
      </c>
    </row>
    <row r="535" spans="1:7">
      <c r="A535" s="67">
        <v>531.04</v>
      </c>
      <c r="B535" s="67">
        <v>544.71</v>
      </c>
      <c r="C535" s="67">
        <v>530.35</v>
      </c>
      <c r="D535" s="67">
        <v>543.79999999999995</v>
      </c>
      <c r="E535" s="67">
        <v>2630081</v>
      </c>
      <c r="F535" s="67" t="s">
        <v>568</v>
      </c>
      <c r="G535" s="25">
        <f t="shared" si="8"/>
        <v>-2.3464509010665657E-2</v>
      </c>
    </row>
    <row r="536" spans="1:7">
      <c r="A536" s="67">
        <v>546.01</v>
      </c>
      <c r="B536" s="67">
        <v>557.24900000000002</v>
      </c>
      <c r="C536" s="67">
        <v>544.44000000000005</v>
      </c>
      <c r="D536" s="67">
        <v>556.49</v>
      </c>
      <c r="E536" s="67">
        <v>2363881</v>
      </c>
      <c r="F536" s="67" t="s">
        <v>569</v>
      </c>
      <c r="G536" s="25">
        <f t="shared" si="8"/>
        <v>-1.8832324030979897E-2</v>
      </c>
    </row>
    <row r="537" spans="1:7">
      <c r="A537" s="67">
        <v>554.82000000000005</v>
      </c>
      <c r="B537" s="67">
        <v>560.19000000000005</v>
      </c>
      <c r="C537" s="67">
        <v>552.70740000000001</v>
      </c>
      <c r="D537" s="67">
        <v>558.65</v>
      </c>
      <c r="E537" s="67">
        <v>2391696</v>
      </c>
      <c r="F537" s="67" t="s">
        <v>570</v>
      </c>
      <c r="G537" s="25">
        <f t="shared" si="8"/>
        <v>-6.8558131209163209E-3</v>
      </c>
    </row>
    <row r="538" spans="1:7">
      <c r="A538" s="67">
        <v>551</v>
      </c>
      <c r="B538" s="67">
        <v>561.09</v>
      </c>
      <c r="C538" s="67">
        <v>548.96</v>
      </c>
      <c r="D538" s="67">
        <v>557.04999999999995</v>
      </c>
      <c r="E538" s="67">
        <v>2601942</v>
      </c>
      <c r="F538" s="67" t="s">
        <v>571</v>
      </c>
      <c r="G538" s="25">
        <f t="shared" si="8"/>
        <v>-1.0860784489722608E-2</v>
      </c>
    </row>
    <row r="539" spans="1:7">
      <c r="A539" s="67">
        <v>556.85</v>
      </c>
      <c r="B539" s="67">
        <v>564.26</v>
      </c>
      <c r="C539" s="67">
        <v>556.07000000000005</v>
      </c>
      <c r="D539" s="67">
        <v>564.17999999999995</v>
      </c>
      <c r="E539" s="67">
        <v>2184657</v>
      </c>
      <c r="F539" s="67" t="s">
        <v>572</v>
      </c>
      <c r="G539" s="25">
        <f t="shared" si="8"/>
        <v>-1.2992307419617766E-2</v>
      </c>
    </row>
    <row r="540" spans="1:7">
      <c r="A540" s="67">
        <v>563.09</v>
      </c>
      <c r="B540" s="67">
        <v>565</v>
      </c>
      <c r="C540" s="67">
        <v>556.46</v>
      </c>
      <c r="D540" s="67">
        <v>563.92999999999995</v>
      </c>
      <c r="E540" s="67">
        <v>2316265</v>
      </c>
      <c r="F540" s="67" t="s">
        <v>573</v>
      </c>
      <c r="G540" s="25">
        <f t="shared" si="8"/>
        <v>-1.4895465749293901E-3</v>
      </c>
    </row>
    <row r="541" spans="1:7">
      <c r="A541" s="67">
        <v>566.54</v>
      </c>
      <c r="B541" s="67">
        <v>570.1</v>
      </c>
      <c r="C541" s="67">
        <v>562.08000000000004</v>
      </c>
      <c r="D541" s="67">
        <v>564.6</v>
      </c>
      <c r="E541" s="67">
        <v>1539875</v>
      </c>
      <c r="F541" s="67" t="s">
        <v>574</v>
      </c>
      <c r="G541" s="25">
        <f t="shared" si="8"/>
        <v>3.4360609280905674E-3</v>
      </c>
    </row>
    <row r="542" spans="1:7">
      <c r="A542" s="67">
        <v>565.71</v>
      </c>
      <c r="B542" s="67">
        <v>568.23</v>
      </c>
      <c r="C542" s="67">
        <v>560.23</v>
      </c>
      <c r="D542" s="67">
        <v>560.23</v>
      </c>
      <c r="E542" s="67">
        <v>1887763</v>
      </c>
      <c r="F542" s="67" t="s">
        <v>575</v>
      </c>
      <c r="G542" s="25">
        <f t="shared" si="8"/>
        <v>9.7816968030988161E-3</v>
      </c>
    </row>
    <row r="543" spans="1:7">
      <c r="A543" s="67">
        <v>559.04999999999995</v>
      </c>
      <c r="B543" s="67">
        <v>562.49</v>
      </c>
      <c r="C543" s="67">
        <v>552.31500000000005</v>
      </c>
      <c r="D543" s="67">
        <v>555.1</v>
      </c>
      <c r="E543" s="67">
        <v>2013985</v>
      </c>
      <c r="F543" s="67" t="s">
        <v>576</v>
      </c>
      <c r="G543" s="25">
        <f t="shared" si="8"/>
        <v>7.1158349846873747E-3</v>
      </c>
    </row>
    <row r="544" spans="1:7">
      <c r="A544" s="67">
        <v>557.63</v>
      </c>
      <c r="B544" s="67">
        <v>572.62</v>
      </c>
      <c r="C544" s="67">
        <v>557.09</v>
      </c>
      <c r="D544" s="67">
        <v>564</v>
      </c>
      <c r="E544" s="67">
        <v>3191358</v>
      </c>
      <c r="F544" s="67" t="s">
        <v>577</v>
      </c>
      <c r="G544" s="25">
        <f t="shared" si="8"/>
        <v>-1.12943262411348E-2</v>
      </c>
    </row>
    <row r="545" spans="1:7">
      <c r="A545" s="67">
        <v>564.54999999999995</v>
      </c>
      <c r="B545" s="67">
        <v>566.92999999999995</v>
      </c>
      <c r="C545" s="67">
        <v>558.21</v>
      </c>
      <c r="D545" s="67">
        <v>564.71</v>
      </c>
      <c r="E545" s="67">
        <v>2368443</v>
      </c>
      <c r="F545" s="67" t="s">
        <v>578</v>
      </c>
      <c r="G545" s="25">
        <f t="shared" si="8"/>
        <v>-2.8333126737634107E-4</v>
      </c>
    </row>
    <row r="546" spans="1:7">
      <c r="A546" s="67">
        <v>566.02</v>
      </c>
      <c r="B546" s="67">
        <v>575.01</v>
      </c>
      <c r="C546" s="67">
        <v>562.46</v>
      </c>
      <c r="D546" s="67">
        <v>573.04999999999995</v>
      </c>
      <c r="E546" s="67">
        <v>2169020</v>
      </c>
      <c r="F546" s="67" t="s">
        <v>579</v>
      </c>
      <c r="G546" s="25">
        <f t="shared" si="8"/>
        <v>-1.2267690428409361E-2</v>
      </c>
    </row>
    <row r="547" spans="1:7">
      <c r="A547" s="67">
        <v>575.4</v>
      </c>
      <c r="B547" s="67">
        <v>576.745</v>
      </c>
      <c r="C547" s="67">
        <v>563.91999999999996</v>
      </c>
      <c r="D547" s="67">
        <v>573.17999999999995</v>
      </c>
      <c r="E547" s="67">
        <v>3007422</v>
      </c>
      <c r="F547" s="67" t="s">
        <v>580</v>
      </c>
      <c r="G547" s="25">
        <f t="shared" si="8"/>
        <v>3.8731288600439839E-3</v>
      </c>
    </row>
    <row r="548" spans="1:7">
      <c r="A548" s="67">
        <v>578.34</v>
      </c>
      <c r="B548" s="67">
        <v>580.54999999999995</v>
      </c>
      <c r="C548" s="67">
        <v>568.91999999999996</v>
      </c>
      <c r="D548" s="67">
        <v>570.91</v>
      </c>
      <c r="E548" s="67">
        <v>2808635</v>
      </c>
      <c r="F548" s="67" t="s">
        <v>581</v>
      </c>
      <c r="G548" s="25">
        <f t="shared" si="8"/>
        <v>1.3014310486766822E-2</v>
      </c>
    </row>
    <row r="549" spans="1:7">
      <c r="A549" s="67">
        <v>570.15</v>
      </c>
      <c r="B549" s="67">
        <v>571.83000000000004</v>
      </c>
      <c r="C549" s="67">
        <v>564.00009999999997</v>
      </c>
      <c r="D549" s="67">
        <v>564.29200000000003</v>
      </c>
      <c r="E549" s="67">
        <v>1664373</v>
      </c>
      <c r="F549" s="67" t="s">
        <v>582</v>
      </c>
      <c r="G549" s="25">
        <f t="shared" si="8"/>
        <v>1.0381150184656018E-2</v>
      </c>
    </row>
    <row r="550" spans="1:7">
      <c r="A550" s="67">
        <v>567.71</v>
      </c>
      <c r="B550" s="67">
        <v>570.14</v>
      </c>
      <c r="C550" s="67">
        <v>560</v>
      </c>
      <c r="D550" s="67">
        <v>560</v>
      </c>
      <c r="E550" s="67">
        <v>3054491</v>
      </c>
      <c r="F550" s="67" t="s">
        <v>583</v>
      </c>
      <c r="G550" s="25">
        <f t="shared" si="8"/>
        <v>1.3767857142857221E-2</v>
      </c>
    </row>
    <row r="551" spans="1:7">
      <c r="A551" s="67">
        <v>560.01</v>
      </c>
      <c r="B551" s="67">
        <v>561.21</v>
      </c>
      <c r="C551" s="67">
        <v>549.73</v>
      </c>
      <c r="D551" s="67">
        <v>551.37</v>
      </c>
      <c r="E551" s="67">
        <v>3070159</v>
      </c>
      <c r="F551" s="67" t="s">
        <v>584</v>
      </c>
      <c r="G551" s="25">
        <f t="shared" si="8"/>
        <v>1.567005821861911E-2</v>
      </c>
    </row>
    <row r="552" spans="1:7">
      <c r="A552" s="67">
        <v>555.54</v>
      </c>
      <c r="B552" s="67">
        <v>558.48</v>
      </c>
      <c r="C552" s="67">
        <v>548.01</v>
      </c>
      <c r="D552" s="67">
        <v>549.70000000000005</v>
      </c>
      <c r="E552" s="67">
        <v>5084543</v>
      </c>
      <c r="F552" s="67" t="s">
        <v>585</v>
      </c>
      <c r="G552" s="25">
        <f t="shared" si="8"/>
        <v>1.0623976714571493E-2</v>
      </c>
    </row>
    <row r="553" spans="1:7">
      <c r="A553" s="67">
        <v>546.76</v>
      </c>
      <c r="B553" s="67">
        <v>549.16</v>
      </c>
      <c r="C553" s="67">
        <v>532.1</v>
      </c>
      <c r="D553" s="67">
        <v>533.21</v>
      </c>
      <c r="E553" s="67">
        <v>4734063</v>
      </c>
      <c r="F553" s="67" t="s">
        <v>586</v>
      </c>
      <c r="G553" s="25">
        <f t="shared" si="8"/>
        <v>2.5412126554265502E-2</v>
      </c>
    </row>
    <row r="554" spans="1:7">
      <c r="A554" s="67">
        <v>528.66</v>
      </c>
      <c r="B554" s="67">
        <v>530.66</v>
      </c>
      <c r="C554" s="67">
        <v>526.01</v>
      </c>
      <c r="D554" s="67">
        <v>528.58000000000004</v>
      </c>
      <c r="E554" s="67">
        <v>2931667</v>
      </c>
      <c r="F554" s="67" t="s">
        <v>587</v>
      </c>
      <c r="G554" s="25">
        <f t="shared" si="8"/>
        <v>1.5134889704482291E-4</v>
      </c>
    </row>
    <row r="555" spans="1:7">
      <c r="A555" s="67">
        <v>526.88</v>
      </c>
      <c r="B555" s="67">
        <v>529.67999999999995</v>
      </c>
      <c r="C555" s="67">
        <v>522.24</v>
      </c>
      <c r="D555" s="67">
        <v>526.20000000000005</v>
      </c>
      <c r="E555" s="67">
        <v>3144202</v>
      </c>
      <c r="F555" s="67" t="s">
        <v>588</v>
      </c>
      <c r="G555" s="25">
        <f t="shared" si="8"/>
        <v>1.2922843025464648E-3</v>
      </c>
    </row>
    <row r="556" spans="1:7">
      <c r="A556" s="67">
        <v>524.16999999999996</v>
      </c>
      <c r="B556" s="67">
        <v>534.58000000000004</v>
      </c>
      <c r="C556" s="67">
        <v>523.48</v>
      </c>
      <c r="D556" s="67">
        <v>532.1</v>
      </c>
      <c r="E556" s="67">
        <v>3067824</v>
      </c>
      <c r="F556" s="67" t="s">
        <v>589</v>
      </c>
      <c r="G556" s="25">
        <f t="shared" si="8"/>
        <v>-1.4903213681638938E-2</v>
      </c>
    </row>
    <row r="557" spans="1:7">
      <c r="A557" s="67">
        <v>533.44000000000005</v>
      </c>
      <c r="B557" s="67">
        <v>535</v>
      </c>
      <c r="C557" s="67">
        <v>524.71500000000003</v>
      </c>
      <c r="D557" s="67">
        <v>530.30999999999995</v>
      </c>
      <c r="E557" s="67">
        <v>6614086</v>
      </c>
      <c r="F557" s="67" t="s">
        <v>590</v>
      </c>
      <c r="G557" s="25">
        <f t="shared" si="8"/>
        <v>5.9022081424073836E-3</v>
      </c>
    </row>
    <row r="558" spans="1:7">
      <c r="A558" s="67">
        <v>522.95000000000005</v>
      </c>
      <c r="B558" s="67">
        <v>533.23</v>
      </c>
      <c r="C558" s="67">
        <v>520.4</v>
      </c>
      <c r="D558" s="67">
        <v>527.66499999999996</v>
      </c>
      <c r="E558" s="67">
        <v>5752373</v>
      </c>
      <c r="F558" s="67" t="s">
        <v>591</v>
      </c>
      <c r="G558" s="25">
        <f t="shared" si="8"/>
        <v>-8.9355936057914365E-3</v>
      </c>
    </row>
    <row r="559" spans="1:7">
      <c r="A559" s="67">
        <v>522.25</v>
      </c>
      <c r="B559" s="67">
        <v>530.37</v>
      </c>
      <c r="C559" s="67">
        <v>513.13</v>
      </c>
      <c r="D559" s="67">
        <v>514.71</v>
      </c>
      <c r="E559" s="67">
        <v>4225943</v>
      </c>
      <c r="F559" s="67" t="s">
        <v>592</v>
      </c>
      <c r="G559" s="25">
        <f t="shared" si="8"/>
        <v>1.4649025664937421E-2</v>
      </c>
    </row>
    <row r="560" spans="1:7">
      <c r="A560" s="67">
        <v>518.74</v>
      </c>
      <c r="B560" s="67">
        <v>525.94000000000005</v>
      </c>
      <c r="C560" s="67">
        <v>505.38</v>
      </c>
      <c r="D560" s="67">
        <v>525.51</v>
      </c>
      <c r="E560" s="67">
        <v>7163820</v>
      </c>
      <c r="F560" s="67" t="s">
        <v>593</v>
      </c>
      <c r="G560" s="25">
        <f t="shared" si="8"/>
        <v>-1.2882723449601285E-2</v>
      </c>
    </row>
    <row r="561" spans="1:7">
      <c r="A561" s="67">
        <v>525.30999999999995</v>
      </c>
      <c r="B561" s="67">
        <v>534.45000000000005</v>
      </c>
      <c r="C561" s="67">
        <v>521.88</v>
      </c>
      <c r="D561" s="67">
        <v>530.25</v>
      </c>
      <c r="E561" s="67">
        <v>14846614</v>
      </c>
      <c r="F561" s="67" t="s">
        <v>594</v>
      </c>
      <c r="G561" s="25">
        <f t="shared" si="8"/>
        <v>-9.3163602074494145E-3</v>
      </c>
    </row>
    <row r="562" spans="1:7">
      <c r="A562" s="67">
        <v>458.74</v>
      </c>
      <c r="B562" s="67">
        <v>462.38990000000001</v>
      </c>
      <c r="C562" s="67">
        <v>453.5</v>
      </c>
      <c r="D562" s="67">
        <v>457.87</v>
      </c>
      <c r="E562" s="67">
        <v>8557963</v>
      </c>
      <c r="F562" s="67" t="s">
        <v>595</v>
      </c>
      <c r="G562" s="25">
        <f t="shared" si="8"/>
        <v>1.9001026492235784E-3</v>
      </c>
    </row>
    <row r="563" spans="1:7">
      <c r="A563" s="67">
        <v>459.87</v>
      </c>
      <c r="B563" s="67">
        <v>471.12</v>
      </c>
      <c r="C563" s="67">
        <v>459.16</v>
      </c>
      <c r="D563" s="67">
        <v>470</v>
      </c>
      <c r="E563" s="67">
        <v>3647447</v>
      </c>
      <c r="F563" s="67" t="s">
        <v>596</v>
      </c>
      <c r="G563" s="25">
        <f t="shared" si="8"/>
        <v>-2.1553191489361745E-2</v>
      </c>
    </row>
    <row r="564" spans="1:7">
      <c r="A564" s="67">
        <v>462.69</v>
      </c>
      <c r="B564" s="67">
        <v>462.74</v>
      </c>
      <c r="C564" s="67">
        <v>455.5</v>
      </c>
      <c r="D564" s="67">
        <v>456.91</v>
      </c>
      <c r="E564" s="67">
        <v>2723659</v>
      </c>
      <c r="F564" s="67" t="s">
        <v>597</v>
      </c>
      <c r="G564" s="25">
        <f t="shared" si="8"/>
        <v>1.2650193692411937E-2</v>
      </c>
    </row>
    <row r="565" spans="1:7">
      <c r="A565" s="67">
        <v>459.94</v>
      </c>
      <c r="B565" s="67">
        <v>462.23</v>
      </c>
      <c r="C565" s="67">
        <v>451.51</v>
      </c>
      <c r="D565" s="67">
        <v>453.84</v>
      </c>
      <c r="E565" s="67">
        <v>3212350</v>
      </c>
      <c r="F565" s="67" t="s">
        <v>598</v>
      </c>
      <c r="G565" s="25">
        <f t="shared" ref="G565:G628" si="9">A565/D565-1</f>
        <v>1.3440860215053752E-2</v>
      </c>
    </row>
    <row r="566" spans="1:7">
      <c r="A566" s="67">
        <v>465.43</v>
      </c>
      <c r="B566" s="67">
        <v>468.93</v>
      </c>
      <c r="C566" s="67">
        <v>458.13</v>
      </c>
      <c r="D566" s="67">
        <v>458.13</v>
      </c>
      <c r="E566" s="67">
        <v>2684170</v>
      </c>
      <c r="F566" s="67" t="s">
        <v>599</v>
      </c>
      <c r="G566" s="25">
        <f t="shared" si="9"/>
        <v>1.5934341780717398E-2</v>
      </c>
    </row>
    <row r="567" spans="1:7">
      <c r="A567" s="67">
        <v>458.13</v>
      </c>
      <c r="B567" s="67">
        <v>467.85149999999999</v>
      </c>
      <c r="C567" s="67">
        <v>456.87</v>
      </c>
      <c r="D567" s="67">
        <v>457.7</v>
      </c>
      <c r="E567" s="67">
        <v>3234970</v>
      </c>
      <c r="F567" s="67" t="s">
        <v>600</v>
      </c>
      <c r="G567" s="25">
        <f t="shared" si="9"/>
        <v>9.3948000873944615E-4</v>
      </c>
    </row>
    <row r="568" spans="1:7">
      <c r="A568" s="67">
        <v>455.8</v>
      </c>
      <c r="B568" s="67">
        <v>458.6</v>
      </c>
      <c r="C568" s="67">
        <v>448.37</v>
      </c>
      <c r="D568" s="67">
        <v>449.19</v>
      </c>
      <c r="E568" s="67">
        <v>3295029</v>
      </c>
      <c r="F568" s="67" t="s">
        <v>601</v>
      </c>
      <c r="G568" s="25">
        <f t="shared" si="9"/>
        <v>1.471537656670896E-2</v>
      </c>
    </row>
    <row r="569" spans="1:7">
      <c r="A569" s="67">
        <v>448.37</v>
      </c>
      <c r="B569" s="67">
        <v>450.12</v>
      </c>
      <c r="C569" s="67">
        <v>441.59</v>
      </c>
      <c r="D569" s="67">
        <v>442.82</v>
      </c>
      <c r="E569" s="67">
        <v>3183594</v>
      </c>
      <c r="F569" s="67" t="s">
        <v>602</v>
      </c>
      <c r="G569" s="25">
        <f t="shared" si="9"/>
        <v>1.2533309245291502E-2</v>
      </c>
    </row>
    <row r="570" spans="1:7">
      <c r="A570" s="67">
        <v>439.02</v>
      </c>
      <c r="B570" s="67">
        <v>449.84</v>
      </c>
      <c r="C570" s="67">
        <v>436.58</v>
      </c>
      <c r="D570" s="67">
        <v>447.58</v>
      </c>
      <c r="E570" s="67">
        <v>3967669</v>
      </c>
      <c r="F570" s="67" t="s">
        <v>603</v>
      </c>
      <c r="G570" s="25">
        <f t="shared" si="9"/>
        <v>-1.9125072612717231E-2</v>
      </c>
    </row>
    <row r="571" spans="1:7">
      <c r="A571" s="67">
        <v>444.76</v>
      </c>
      <c r="B571" s="67">
        <v>448.23</v>
      </c>
      <c r="C571" s="67">
        <v>433.97</v>
      </c>
      <c r="D571" s="67">
        <v>447.72</v>
      </c>
      <c r="E571" s="67">
        <v>7487507</v>
      </c>
      <c r="F571" s="67" t="s">
        <v>604</v>
      </c>
      <c r="G571" s="25">
        <f t="shared" si="9"/>
        <v>-6.6112749039579644E-3</v>
      </c>
    </row>
    <row r="572" spans="1:7">
      <c r="A572" s="67">
        <v>445.87</v>
      </c>
      <c r="B572" s="67">
        <v>466.82</v>
      </c>
      <c r="C572" s="67">
        <v>444.84</v>
      </c>
      <c r="D572" s="67">
        <v>464.9</v>
      </c>
      <c r="E572" s="67">
        <v>5606896</v>
      </c>
      <c r="F572" s="67" t="s">
        <v>605</v>
      </c>
      <c r="G572" s="25">
        <f t="shared" si="9"/>
        <v>-4.0933534093353319E-2</v>
      </c>
    </row>
    <row r="573" spans="1:7">
      <c r="A573" s="67">
        <v>477.6</v>
      </c>
      <c r="B573" s="67">
        <v>482.79</v>
      </c>
      <c r="C573" s="67">
        <v>472.59500000000003</v>
      </c>
      <c r="D573" s="67">
        <v>472.78</v>
      </c>
      <c r="E573" s="67">
        <v>2214810</v>
      </c>
      <c r="F573" s="67" t="s">
        <v>606</v>
      </c>
      <c r="G573" s="25">
        <f t="shared" si="9"/>
        <v>1.0195016709674709E-2</v>
      </c>
    </row>
    <row r="574" spans="1:7">
      <c r="A574" s="67">
        <v>478.43</v>
      </c>
      <c r="B574" s="67">
        <v>478.67</v>
      </c>
      <c r="C574" s="67">
        <v>469.6</v>
      </c>
      <c r="D574" s="67">
        <v>473.01</v>
      </c>
      <c r="E574" s="67">
        <v>2575270</v>
      </c>
      <c r="F574" s="67" t="s">
        <v>607</v>
      </c>
      <c r="G574" s="25">
        <f t="shared" si="9"/>
        <v>1.1458531532102967E-2</v>
      </c>
    </row>
    <row r="575" spans="1:7">
      <c r="A575" s="67">
        <v>475.43</v>
      </c>
      <c r="B575" s="67">
        <v>485.38</v>
      </c>
      <c r="C575" s="67">
        <v>473.9</v>
      </c>
      <c r="D575" s="67">
        <v>481.25</v>
      </c>
      <c r="E575" s="67">
        <v>3085605</v>
      </c>
      <c r="F575" s="67" t="s">
        <v>608</v>
      </c>
      <c r="G575" s="25">
        <f t="shared" si="9"/>
        <v>-1.209350649350649E-2</v>
      </c>
    </row>
    <row r="576" spans="1:7">
      <c r="A576" s="67">
        <v>483.31</v>
      </c>
      <c r="B576" s="67">
        <v>491.68</v>
      </c>
      <c r="C576" s="67">
        <v>478.69</v>
      </c>
      <c r="D576" s="67">
        <v>488.38</v>
      </c>
      <c r="E576" s="67">
        <v>2219854</v>
      </c>
      <c r="F576" s="67" t="s">
        <v>609</v>
      </c>
      <c r="G576" s="25">
        <f t="shared" si="9"/>
        <v>-1.0381260493877664E-2</v>
      </c>
    </row>
    <row r="577" spans="1:7">
      <c r="A577" s="67">
        <v>483.93</v>
      </c>
      <c r="B577" s="67">
        <v>485.66500000000002</v>
      </c>
      <c r="C577" s="67">
        <v>479.14</v>
      </c>
      <c r="D577" s="67">
        <v>483.97</v>
      </c>
      <c r="E577" s="67">
        <v>1875835</v>
      </c>
      <c r="F577" s="67" t="s">
        <v>610</v>
      </c>
      <c r="G577" s="25">
        <f t="shared" si="9"/>
        <v>-8.2649751017682682E-5</v>
      </c>
    </row>
    <row r="578" spans="1:7">
      <c r="A578" s="67">
        <v>481.85</v>
      </c>
      <c r="B578" s="67">
        <v>487.5</v>
      </c>
      <c r="C578" s="67">
        <v>477.12</v>
      </c>
      <c r="D578" s="67">
        <v>481.19</v>
      </c>
      <c r="E578" s="67">
        <v>1915797</v>
      </c>
      <c r="F578" s="67" t="s">
        <v>611</v>
      </c>
      <c r="G578" s="25">
        <f t="shared" si="9"/>
        <v>1.3715995760510413E-3</v>
      </c>
    </row>
    <row r="579" spans="1:7">
      <c r="A579" s="67">
        <v>484.69</v>
      </c>
      <c r="B579" s="67">
        <v>485.37</v>
      </c>
      <c r="C579" s="67">
        <v>478.32</v>
      </c>
      <c r="D579" s="67">
        <v>483</v>
      </c>
      <c r="E579" s="67">
        <v>1881117</v>
      </c>
      <c r="F579" s="67" t="s">
        <v>612</v>
      </c>
      <c r="G579" s="25">
        <f t="shared" si="9"/>
        <v>3.4989648033125764E-3</v>
      </c>
    </row>
    <row r="580" spans="1:7">
      <c r="A580" s="67">
        <v>483.43</v>
      </c>
      <c r="B580" s="67">
        <v>485.88</v>
      </c>
      <c r="C580" s="67">
        <v>481.52</v>
      </c>
      <c r="D580" s="67">
        <v>483.32</v>
      </c>
      <c r="E580" s="67">
        <v>2261147</v>
      </c>
      <c r="F580" s="67" t="s">
        <v>613</v>
      </c>
      <c r="G580" s="25">
        <f t="shared" si="9"/>
        <v>2.2759248530990206E-4</v>
      </c>
    </row>
    <row r="581" spans="1:7">
      <c r="A581" s="67">
        <v>482.88</v>
      </c>
      <c r="B581" s="67">
        <v>486.23</v>
      </c>
      <c r="C581" s="67">
        <v>481.38499999999999</v>
      </c>
      <c r="D581" s="67">
        <v>484.7</v>
      </c>
      <c r="E581" s="67">
        <v>2562865</v>
      </c>
      <c r="F581" s="67" t="s">
        <v>614</v>
      </c>
      <c r="G581" s="25">
        <f t="shared" si="9"/>
        <v>-3.754899938106071E-3</v>
      </c>
    </row>
    <row r="582" spans="1:7">
      <c r="A582" s="67">
        <v>485.35</v>
      </c>
      <c r="B582" s="67">
        <v>489.61</v>
      </c>
      <c r="C582" s="67">
        <v>476.61</v>
      </c>
      <c r="D582" s="67">
        <v>480.76</v>
      </c>
      <c r="E582" s="67">
        <v>3491638</v>
      </c>
      <c r="F582" s="67" t="s">
        <v>615</v>
      </c>
      <c r="G582" s="25">
        <f t="shared" si="9"/>
        <v>9.5473833097596827E-3</v>
      </c>
    </row>
    <row r="583" spans="1:7">
      <c r="A583" s="67">
        <v>475.95</v>
      </c>
      <c r="B583" s="67">
        <v>481.8</v>
      </c>
      <c r="C583" s="67">
        <v>466.48</v>
      </c>
      <c r="D583" s="67">
        <v>480.41</v>
      </c>
      <c r="E583" s="67">
        <v>4287846</v>
      </c>
      <c r="F583" s="67" t="s">
        <v>616</v>
      </c>
      <c r="G583" s="25">
        <f t="shared" si="9"/>
        <v>-9.2837368081430949E-3</v>
      </c>
    </row>
    <row r="584" spans="1:7">
      <c r="A584" s="67">
        <v>483.11</v>
      </c>
      <c r="B584" s="67">
        <v>490.15989999999999</v>
      </c>
      <c r="C584" s="67">
        <v>481.71</v>
      </c>
      <c r="D584" s="67">
        <v>486.24</v>
      </c>
      <c r="E584" s="67">
        <v>2458192</v>
      </c>
      <c r="F584" s="67" t="s">
        <v>617</v>
      </c>
      <c r="G584" s="25">
        <f t="shared" si="9"/>
        <v>-6.4371503784139694E-3</v>
      </c>
    </row>
    <row r="585" spans="1:7">
      <c r="A585" s="67">
        <v>482.29</v>
      </c>
      <c r="B585" s="67">
        <v>489.48</v>
      </c>
      <c r="C585" s="67">
        <v>480.3</v>
      </c>
      <c r="D585" s="67">
        <v>483.5</v>
      </c>
      <c r="E585" s="67">
        <v>2741116</v>
      </c>
      <c r="F585" s="67" t="s">
        <v>618</v>
      </c>
      <c r="G585" s="25">
        <f t="shared" si="9"/>
        <v>-2.5025853154084787E-3</v>
      </c>
    </row>
    <row r="586" spans="1:7">
      <c r="A586" s="67">
        <v>482.65</v>
      </c>
      <c r="B586" s="67">
        <v>490.43639999999999</v>
      </c>
      <c r="C586" s="67">
        <v>481.65</v>
      </c>
      <c r="D586" s="67">
        <v>489.41</v>
      </c>
      <c r="E586" s="67">
        <v>2301635</v>
      </c>
      <c r="F586" s="67" t="s">
        <v>619</v>
      </c>
      <c r="G586" s="25">
        <f t="shared" si="9"/>
        <v>-1.3812549804867236E-2</v>
      </c>
    </row>
    <row r="587" spans="1:7">
      <c r="A587" s="67">
        <v>488.1</v>
      </c>
      <c r="B587" s="67">
        <v>495.81</v>
      </c>
      <c r="C587" s="67">
        <v>486.92</v>
      </c>
      <c r="D587" s="67">
        <v>489.97</v>
      </c>
      <c r="E587" s="67">
        <v>2165021</v>
      </c>
      <c r="F587" s="67" t="s">
        <v>620</v>
      </c>
      <c r="G587" s="25">
        <f t="shared" si="9"/>
        <v>-3.8165601975631569E-3</v>
      </c>
    </row>
    <row r="588" spans="1:7">
      <c r="A588" s="67">
        <v>492.27</v>
      </c>
      <c r="B588" s="67">
        <v>496.755</v>
      </c>
      <c r="C588" s="67">
        <v>489.14</v>
      </c>
      <c r="D588" s="67">
        <v>492.51</v>
      </c>
      <c r="E588" s="67">
        <v>2518346</v>
      </c>
      <c r="F588" s="67" t="s">
        <v>621</v>
      </c>
      <c r="G588" s="25">
        <f t="shared" si="9"/>
        <v>-4.8729975025885164E-4</v>
      </c>
    </row>
    <row r="589" spans="1:7">
      <c r="A589" s="67">
        <v>493.59</v>
      </c>
      <c r="B589" s="67">
        <v>495.44</v>
      </c>
      <c r="C589" s="67">
        <v>488</v>
      </c>
      <c r="D589" s="67">
        <v>490.1</v>
      </c>
      <c r="E589" s="67">
        <v>2104030</v>
      </c>
      <c r="F589" s="67" t="s">
        <v>622</v>
      </c>
      <c r="G589" s="25">
        <f t="shared" si="9"/>
        <v>7.1209957151601166E-3</v>
      </c>
    </row>
    <row r="590" spans="1:7">
      <c r="A590" s="67">
        <v>486.18</v>
      </c>
      <c r="B590" s="67">
        <v>487.49</v>
      </c>
      <c r="C590" s="67">
        <v>477.565</v>
      </c>
      <c r="D590" s="67">
        <v>482.27</v>
      </c>
      <c r="E590" s="67">
        <v>2833186</v>
      </c>
      <c r="F590" s="67" t="s">
        <v>623</v>
      </c>
      <c r="G590" s="25">
        <f t="shared" si="9"/>
        <v>8.1074916540526676E-3</v>
      </c>
    </row>
    <row r="591" spans="1:7">
      <c r="A591" s="67">
        <v>476.57</v>
      </c>
      <c r="B591" s="67">
        <v>477.15499999999997</v>
      </c>
      <c r="C591" s="67">
        <v>468.29939999999999</v>
      </c>
      <c r="D591" s="67">
        <v>474.3</v>
      </c>
      <c r="E591" s="67">
        <v>2516422</v>
      </c>
      <c r="F591" s="67" t="s">
        <v>624</v>
      </c>
      <c r="G591" s="25">
        <f t="shared" si="9"/>
        <v>4.786000421673986E-3</v>
      </c>
    </row>
    <row r="592" spans="1:7">
      <c r="A592" s="67">
        <v>469.39</v>
      </c>
      <c r="B592" s="67">
        <v>477.76</v>
      </c>
      <c r="C592" s="67">
        <v>460.36</v>
      </c>
      <c r="D592" s="67">
        <v>461.12</v>
      </c>
      <c r="E592" s="67">
        <v>2490171</v>
      </c>
      <c r="F592" s="67" t="s">
        <v>625</v>
      </c>
      <c r="G592" s="25">
        <f t="shared" si="9"/>
        <v>1.7934594031922213E-2</v>
      </c>
    </row>
    <row r="593" spans="1:7">
      <c r="A593" s="67">
        <v>462.83</v>
      </c>
      <c r="B593" s="67">
        <v>475.42</v>
      </c>
      <c r="C593" s="67">
        <v>462.46</v>
      </c>
      <c r="D593" s="67">
        <v>472</v>
      </c>
      <c r="E593" s="67">
        <v>3222618</v>
      </c>
      <c r="F593" s="67" t="s">
        <v>626</v>
      </c>
      <c r="G593" s="25">
        <f t="shared" si="9"/>
        <v>-1.9427966101694949E-2</v>
      </c>
    </row>
    <row r="594" spans="1:7">
      <c r="A594" s="67">
        <v>473.07</v>
      </c>
      <c r="B594" s="67">
        <v>481.67700000000002</v>
      </c>
      <c r="C594" s="67">
        <v>471.07</v>
      </c>
      <c r="D594" s="67">
        <v>478.04</v>
      </c>
      <c r="E594" s="67">
        <v>2954736</v>
      </c>
      <c r="F594" s="67" t="s">
        <v>627</v>
      </c>
      <c r="G594" s="25">
        <f t="shared" si="9"/>
        <v>-1.0396619529746576E-2</v>
      </c>
    </row>
    <row r="595" spans="1:7">
      <c r="A595" s="67">
        <v>477.56</v>
      </c>
      <c r="B595" s="67">
        <v>482.79</v>
      </c>
      <c r="C595" s="67">
        <v>471.685</v>
      </c>
      <c r="D595" s="67">
        <v>472.31</v>
      </c>
      <c r="E595" s="67">
        <v>2460261</v>
      </c>
      <c r="F595" s="67" t="s">
        <v>628</v>
      </c>
      <c r="G595" s="25">
        <f t="shared" si="9"/>
        <v>1.1115580868497288E-2</v>
      </c>
    </row>
    <row r="596" spans="1:7">
      <c r="A596" s="67">
        <v>473.44</v>
      </c>
      <c r="B596" s="67">
        <v>474.50420000000003</v>
      </c>
      <c r="C596" s="67">
        <v>465.78</v>
      </c>
      <c r="D596" s="67">
        <v>468.41</v>
      </c>
      <c r="E596" s="67">
        <v>2250913</v>
      </c>
      <c r="F596" s="67" t="s">
        <v>629</v>
      </c>
      <c r="G596" s="25">
        <f t="shared" si="9"/>
        <v>1.0738455626481125E-2</v>
      </c>
    </row>
    <row r="597" spans="1:7">
      <c r="A597" s="67">
        <v>477.12</v>
      </c>
      <c r="B597" s="67">
        <v>478.57</v>
      </c>
      <c r="C597" s="67">
        <v>471.72829999999999</v>
      </c>
      <c r="D597" s="67">
        <v>472.94</v>
      </c>
      <c r="E597" s="67">
        <v>2338044</v>
      </c>
      <c r="F597" s="67" t="s">
        <v>630</v>
      </c>
      <c r="G597" s="25">
        <f t="shared" si="9"/>
        <v>8.8383304436081556E-3</v>
      </c>
    </row>
    <row r="598" spans="1:7">
      <c r="A598" s="67">
        <v>472.9</v>
      </c>
      <c r="B598" s="67">
        <v>474.81</v>
      </c>
      <c r="C598" s="67">
        <v>467.83</v>
      </c>
      <c r="D598" s="67">
        <v>469.72</v>
      </c>
      <c r="E598" s="67">
        <v>2205836</v>
      </c>
      <c r="F598" s="67" t="s">
        <v>631</v>
      </c>
      <c r="G598" s="25">
        <f t="shared" si="9"/>
        <v>6.7699906327172155E-3</v>
      </c>
    </row>
    <row r="599" spans="1:7">
      <c r="A599" s="67">
        <v>466.89</v>
      </c>
      <c r="B599" s="67">
        <v>471.5</v>
      </c>
      <c r="C599" s="67">
        <v>462.28</v>
      </c>
      <c r="D599" s="67">
        <v>470.21499999999997</v>
      </c>
      <c r="E599" s="67">
        <v>2604256</v>
      </c>
      <c r="F599" s="67" t="s">
        <v>632</v>
      </c>
      <c r="G599" s="25">
        <f t="shared" si="9"/>
        <v>-7.0712333719681331E-3</v>
      </c>
    </row>
    <row r="600" spans="1:7">
      <c r="A600" s="67">
        <v>465.02</v>
      </c>
      <c r="B600" s="67">
        <v>476.58</v>
      </c>
      <c r="C600" s="67">
        <v>463.09010000000001</v>
      </c>
      <c r="D600" s="67">
        <v>476.54</v>
      </c>
      <c r="E600" s="67">
        <v>3282142</v>
      </c>
      <c r="F600" s="67" t="s">
        <v>633</v>
      </c>
      <c r="G600" s="25">
        <f t="shared" si="9"/>
        <v>-2.4174256096025637E-2</v>
      </c>
    </row>
    <row r="601" spans="1:7">
      <c r="A601" s="67">
        <v>473.18</v>
      </c>
      <c r="B601" s="67">
        <v>477.60500000000002</v>
      </c>
      <c r="C601" s="67">
        <v>471.82499999999999</v>
      </c>
      <c r="D601" s="67">
        <v>476.76</v>
      </c>
      <c r="E601" s="67">
        <v>2389742</v>
      </c>
      <c r="F601" s="67" t="s">
        <v>634</v>
      </c>
      <c r="G601" s="25">
        <f t="shared" si="9"/>
        <v>-7.5090192130211619E-3</v>
      </c>
    </row>
    <row r="602" spans="1:7">
      <c r="A602" s="67">
        <v>474.45</v>
      </c>
      <c r="B602" s="67">
        <v>481.02</v>
      </c>
      <c r="C602" s="67">
        <v>472.685</v>
      </c>
      <c r="D602" s="67">
        <v>477.31</v>
      </c>
      <c r="E602" s="67">
        <v>2034793</v>
      </c>
      <c r="F602" s="67" t="s">
        <v>635</v>
      </c>
      <c r="G602" s="25">
        <f t="shared" si="9"/>
        <v>-5.9919130125076769E-3</v>
      </c>
    </row>
    <row r="603" spans="1:7">
      <c r="A603" s="67">
        <v>476.22</v>
      </c>
      <c r="B603" s="67">
        <v>478.98</v>
      </c>
      <c r="C603" s="67">
        <v>468.49</v>
      </c>
      <c r="D603" s="67">
        <v>470</v>
      </c>
      <c r="E603" s="67">
        <v>2660097</v>
      </c>
      <c r="F603" s="67" t="s">
        <v>636</v>
      </c>
      <c r="G603" s="25">
        <f t="shared" si="9"/>
        <v>1.3234042553191605E-2</v>
      </c>
    </row>
    <row r="604" spans="1:7">
      <c r="A604" s="67">
        <v>470.1</v>
      </c>
      <c r="B604" s="67">
        <v>478.52</v>
      </c>
      <c r="C604" s="67">
        <v>468.35</v>
      </c>
      <c r="D604" s="67">
        <v>477.02</v>
      </c>
      <c r="E604" s="67">
        <v>3353225</v>
      </c>
      <c r="F604" s="67" t="s">
        <v>637</v>
      </c>
      <c r="G604" s="25">
        <f t="shared" si="9"/>
        <v>-1.4506729277598329E-2</v>
      </c>
    </row>
    <row r="605" spans="1:7">
      <c r="A605" s="67">
        <v>474.09</v>
      </c>
      <c r="B605" s="67">
        <v>478.78</v>
      </c>
      <c r="C605" s="67">
        <v>468.6</v>
      </c>
      <c r="D605" s="67">
        <v>477.95</v>
      </c>
      <c r="E605" s="67">
        <v>5621945</v>
      </c>
      <c r="F605" s="67" t="s">
        <v>638</v>
      </c>
      <c r="G605" s="25">
        <f t="shared" si="9"/>
        <v>-8.0761585939952418E-3</v>
      </c>
    </row>
    <row r="606" spans="1:7">
      <c r="A606" s="67">
        <v>484.28</v>
      </c>
      <c r="B606" s="67">
        <v>488.67</v>
      </c>
      <c r="C606" s="67">
        <v>479.74</v>
      </c>
      <c r="D606" s="67">
        <v>487.36</v>
      </c>
      <c r="E606" s="67">
        <v>2978539</v>
      </c>
      <c r="F606" s="67" t="s">
        <v>639</v>
      </c>
      <c r="G606" s="25">
        <f t="shared" si="9"/>
        <v>-6.3197636244255451E-3</v>
      </c>
    </row>
    <row r="607" spans="1:7">
      <c r="A607" s="67">
        <v>487.22</v>
      </c>
      <c r="B607" s="67">
        <v>491.76499999999999</v>
      </c>
      <c r="C607" s="67">
        <v>480.28</v>
      </c>
      <c r="D607" s="67">
        <v>489.39</v>
      </c>
      <c r="E607" s="67">
        <v>2487870</v>
      </c>
      <c r="F607" s="67" t="s">
        <v>640</v>
      </c>
      <c r="G607" s="25">
        <f t="shared" si="9"/>
        <v>-4.4340914199308967E-3</v>
      </c>
    </row>
    <row r="608" spans="1:7">
      <c r="A608" s="67">
        <v>492.55</v>
      </c>
      <c r="B608" s="67">
        <v>493.31</v>
      </c>
      <c r="C608" s="67">
        <v>483.31</v>
      </c>
      <c r="D608" s="67">
        <v>486</v>
      </c>
      <c r="E608" s="67">
        <v>2548566</v>
      </c>
      <c r="F608" s="67" t="s">
        <v>641</v>
      </c>
      <c r="G608" s="25">
        <f t="shared" si="9"/>
        <v>1.3477366255143952E-2</v>
      </c>
    </row>
    <row r="609" spans="1:7">
      <c r="A609" s="67">
        <v>484.28</v>
      </c>
      <c r="B609" s="67">
        <v>486.98</v>
      </c>
      <c r="C609" s="67">
        <v>477.23</v>
      </c>
      <c r="D609" s="67">
        <v>484.78</v>
      </c>
      <c r="E609" s="67">
        <v>3439211</v>
      </c>
      <c r="F609" s="67" t="s">
        <v>642</v>
      </c>
      <c r="G609" s="25">
        <f t="shared" si="9"/>
        <v>-1.0313956846405015E-3</v>
      </c>
    </row>
    <row r="610" spans="1:7">
      <c r="A610" s="67">
        <v>485.12</v>
      </c>
      <c r="B610" s="67">
        <v>490.09</v>
      </c>
      <c r="C610" s="67">
        <v>481.28</v>
      </c>
      <c r="D610" s="67">
        <v>488.84</v>
      </c>
      <c r="E610" s="67">
        <v>4972655</v>
      </c>
      <c r="F610" s="67" t="s">
        <v>643</v>
      </c>
      <c r="G610" s="25">
        <f t="shared" si="9"/>
        <v>-7.6098518942803173E-3</v>
      </c>
    </row>
    <row r="611" spans="1:7">
      <c r="A611" s="67">
        <v>487.11</v>
      </c>
      <c r="B611" s="67">
        <v>504.11</v>
      </c>
      <c r="C611" s="67">
        <v>486.7</v>
      </c>
      <c r="D611" s="67">
        <v>503.56</v>
      </c>
      <c r="E611" s="67">
        <v>3403327</v>
      </c>
      <c r="F611" s="67" t="s">
        <v>644</v>
      </c>
      <c r="G611" s="25">
        <f t="shared" si="9"/>
        <v>-3.2667408054650848E-2</v>
      </c>
    </row>
    <row r="612" spans="1:7">
      <c r="A612" s="67">
        <v>497.01</v>
      </c>
      <c r="B612" s="67">
        <v>498.86</v>
      </c>
      <c r="C612" s="67">
        <v>494.71</v>
      </c>
      <c r="D612" s="67">
        <v>497.36</v>
      </c>
      <c r="E612" s="67">
        <v>2604428</v>
      </c>
      <c r="F612" s="67" t="s">
        <v>645</v>
      </c>
      <c r="G612" s="25">
        <f t="shared" si="9"/>
        <v>-7.0371561846549469E-4</v>
      </c>
    </row>
    <row r="613" spans="1:7">
      <c r="A613" s="67">
        <v>499.21</v>
      </c>
      <c r="B613" s="67">
        <v>500.75</v>
      </c>
      <c r="C613" s="67">
        <v>491.34</v>
      </c>
      <c r="D613" s="67">
        <v>494.40300000000002</v>
      </c>
      <c r="E613" s="67">
        <v>3083273</v>
      </c>
      <c r="F613" s="67" t="s">
        <v>646</v>
      </c>
      <c r="G613" s="25">
        <f t="shared" si="9"/>
        <v>9.7228374423292685E-3</v>
      </c>
    </row>
    <row r="614" spans="1:7">
      <c r="A614" s="67">
        <v>502.09</v>
      </c>
      <c r="B614" s="67">
        <v>506.92</v>
      </c>
      <c r="C614" s="67">
        <v>499.31</v>
      </c>
      <c r="D614" s="67">
        <v>504.99</v>
      </c>
      <c r="E614" s="67">
        <v>2056030</v>
      </c>
      <c r="F614" s="67" t="s">
        <v>647</v>
      </c>
      <c r="G614" s="25">
        <f t="shared" si="9"/>
        <v>-5.7426879740193337E-3</v>
      </c>
    </row>
    <row r="615" spans="1:7">
      <c r="A615" s="67">
        <v>504.6</v>
      </c>
      <c r="B615" s="67">
        <v>509</v>
      </c>
      <c r="C615" s="67">
        <v>500.26</v>
      </c>
      <c r="D615" s="67">
        <v>508.12</v>
      </c>
      <c r="E615" s="67">
        <v>3897003</v>
      </c>
      <c r="F615" s="67" t="s">
        <v>648</v>
      </c>
      <c r="G615" s="25">
        <f t="shared" si="9"/>
        <v>-6.9274974415491908E-3</v>
      </c>
    </row>
    <row r="616" spans="1:7">
      <c r="A616" s="67">
        <v>504.4</v>
      </c>
      <c r="B616" s="67">
        <v>516.86</v>
      </c>
      <c r="C616" s="67">
        <v>499.7</v>
      </c>
      <c r="D616" s="67">
        <v>515.47</v>
      </c>
      <c r="E616" s="67">
        <v>4228415</v>
      </c>
      <c r="F616" s="67" t="s">
        <v>649</v>
      </c>
      <c r="G616" s="25">
        <f t="shared" si="9"/>
        <v>-2.1475546588550332E-2</v>
      </c>
    </row>
    <row r="617" spans="1:7">
      <c r="A617" s="67">
        <v>507.6</v>
      </c>
      <c r="B617" s="67">
        <v>512.79</v>
      </c>
      <c r="C617" s="67">
        <v>503.59</v>
      </c>
      <c r="D617" s="67">
        <v>508.06</v>
      </c>
      <c r="E617" s="67">
        <v>2813329</v>
      </c>
      <c r="F617" s="67" t="s">
        <v>650</v>
      </c>
      <c r="G617" s="25">
        <f t="shared" si="9"/>
        <v>-9.0540487344015208E-4</v>
      </c>
    </row>
    <row r="618" spans="1:7">
      <c r="A618" s="67">
        <v>507.23</v>
      </c>
      <c r="B618" s="67">
        <v>510.63</v>
      </c>
      <c r="C618" s="67">
        <v>496.69</v>
      </c>
      <c r="D618" s="67">
        <v>496.79</v>
      </c>
      <c r="E618" s="67">
        <v>4277036</v>
      </c>
      <c r="F618" s="67" t="s">
        <v>651</v>
      </c>
      <c r="G618" s="25">
        <f t="shared" si="9"/>
        <v>2.1014915759173913E-2</v>
      </c>
    </row>
    <row r="619" spans="1:7">
      <c r="A619" s="67">
        <v>499.52</v>
      </c>
      <c r="B619" s="67">
        <v>511.59</v>
      </c>
      <c r="C619" s="67">
        <v>496.67</v>
      </c>
      <c r="D619" s="67">
        <v>509.07</v>
      </c>
      <c r="E619" s="67">
        <v>5413647</v>
      </c>
      <c r="F619" s="67" t="s">
        <v>652</v>
      </c>
      <c r="G619" s="25">
        <f t="shared" si="9"/>
        <v>-1.8759699059068491E-2</v>
      </c>
    </row>
    <row r="620" spans="1:7">
      <c r="A620" s="67">
        <v>511.25</v>
      </c>
      <c r="B620" s="67">
        <v>519.72500000000002</v>
      </c>
      <c r="C620" s="67">
        <v>506.2</v>
      </c>
      <c r="D620" s="67">
        <v>517.6</v>
      </c>
      <c r="E620" s="67">
        <v>5206580</v>
      </c>
      <c r="F620" s="67" t="s">
        <v>653</v>
      </c>
      <c r="G620" s="25">
        <f t="shared" si="9"/>
        <v>-1.2268160741885636E-2</v>
      </c>
    </row>
    <row r="621" spans="1:7">
      <c r="A621" s="67">
        <v>519.14</v>
      </c>
      <c r="B621" s="67">
        <v>523.87</v>
      </c>
      <c r="C621" s="67">
        <v>512.5</v>
      </c>
      <c r="D621" s="67">
        <v>523.29</v>
      </c>
      <c r="E621" s="67">
        <v>4239557</v>
      </c>
      <c r="F621" s="67" t="s">
        <v>654</v>
      </c>
      <c r="G621" s="25">
        <f t="shared" si="9"/>
        <v>-7.9305929790364216E-3</v>
      </c>
    </row>
    <row r="622" spans="1:7">
      <c r="A622" s="67">
        <v>521.19000000000005</v>
      </c>
      <c r="B622" s="67">
        <v>522.67999999999995</v>
      </c>
      <c r="C622" s="67">
        <v>508.99</v>
      </c>
      <c r="D622" s="67">
        <v>509.89</v>
      </c>
      <c r="E622" s="67">
        <v>7081796</v>
      </c>
      <c r="F622" s="67" t="s">
        <v>655</v>
      </c>
      <c r="G622" s="25">
        <f t="shared" si="9"/>
        <v>2.2161642707250628E-2</v>
      </c>
    </row>
    <row r="623" spans="1:7">
      <c r="A623" s="67">
        <v>513.86</v>
      </c>
      <c r="B623" s="67">
        <v>515.72990000000004</v>
      </c>
      <c r="C623" s="67">
        <v>495.55</v>
      </c>
      <c r="D623" s="67">
        <v>495.55</v>
      </c>
      <c r="E623" s="67">
        <v>7052677</v>
      </c>
      <c r="F623" s="67" t="s">
        <v>656</v>
      </c>
      <c r="G623" s="25">
        <f t="shared" si="9"/>
        <v>3.6948844717990204E-2</v>
      </c>
    </row>
    <row r="624" spans="1:7">
      <c r="A624" s="67">
        <v>492.46</v>
      </c>
      <c r="B624" s="67">
        <v>503.12630000000001</v>
      </c>
      <c r="C624" s="67">
        <v>485</v>
      </c>
      <c r="D624" s="67">
        <v>499.64</v>
      </c>
      <c r="E624" s="67">
        <v>19580838</v>
      </c>
      <c r="F624" s="67" t="s">
        <v>657</v>
      </c>
      <c r="G624" s="25">
        <f t="shared" si="9"/>
        <v>-1.4370346649587695E-2</v>
      </c>
    </row>
    <row r="625" spans="1:7">
      <c r="A625" s="67">
        <v>570.45000000000005</v>
      </c>
      <c r="B625" s="67">
        <v>579.54</v>
      </c>
      <c r="C625" s="67">
        <v>568.76</v>
      </c>
      <c r="D625" s="67">
        <v>578</v>
      </c>
      <c r="E625" s="67">
        <v>5908117</v>
      </c>
      <c r="F625" s="67" t="s">
        <v>658</v>
      </c>
      <c r="G625" s="25">
        <f t="shared" si="9"/>
        <v>-1.3062283737024116E-2</v>
      </c>
    </row>
    <row r="626" spans="1:7">
      <c r="A626" s="67">
        <v>573.54999999999995</v>
      </c>
      <c r="B626" s="67">
        <v>585.35</v>
      </c>
      <c r="C626" s="67">
        <v>573.41</v>
      </c>
      <c r="D626" s="67">
        <v>579.05999999999995</v>
      </c>
      <c r="E626" s="67">
        <v>3466022</v>
      </c>
      <c r="F626" s="67" t="s">
        <v>659</v>
      </c>
      <c r="G626" s="25">
        <f t="shared" si="9"/>
        <v>-9.5154215452629698E-3</v>
      </c>
    </row>
    <row r="627" spans="1:7">
      <c r="A627" s="67">
        <v>579.14</v>
      </c>
      <c r="B627" s="67">
        <v>579.79</v>
      </c>
      <c r="C627" s="67">
        <v>562.6</v>
      </c>
      <c r="D627" s="67">
        <v>568.6</v>
      </c>
      <c r="E627" s="67">
        <v>3469161</v>
      </c>
      <c r="F627" s="67" t="s">
        <v>660</v>
      </c>
      <c r="G627" s="25">
        <f t="shared" si="9"/>
        <v>1.8536756946887056E-2</v>
      </c>
    </row>
    <row r="628" spans="1:7">
      <c r="A628" s="67">
        <v>560.41999999999996</v>
      </c>
      <c r="B628" s="67">
        <v>562.69000000000005</v>
      </c>
      <c r="C628" s="67">
        <v>551.02</v>
      </c>
      <c r="D628" s="67">
        <v>552.45000000000005</v>
      </c>
      <c r="E628" s="67">
        <v>2857791</v>
      </c>
      <c r="F628" s="67" t="s">
        <v>661</v>
      </c>
      <c r="G628" s="25">
        <f t="shared" si="9"/>
        <v>1.4426644945243705E-2</v>
      </c>
    </row>
    <row r="629" spans="1:7">
      <c r="A629" s="67">
        <v>551.69000000000005</v>
      </c>
      <c r="B629" s="67">
        <v>560.44000000000005</v>
      </c>
      <c r="C629" s="67">
        <v>550.51139999999998</v>
      </c>
      <c r="D629" s="67">
        <v>553</v>
      </c>
      <c r="E629" s="67">
        <v>2833180</v>
      </c>
      <c r="F629" s="67" t="s">
        <v>662</v>
      </c>
      <c r="G629" s="25">
        <f t="shared" ref="G629:G692" si="10">A629/D629-1</f>
        <v>-2.3688969258588433E-3</v>
      </c>
    </row>
    <row r="630" spans="1:7">
      <c r="A630" s="67">
        <v>556.04</v>
      </c>
      <c r="B630" s="67">
        <v>558.38</v>
      </c>
      <c r="C630" s="67">
        <v>541.59</v>
      </c>
      <c r="D630" s="67">
        <v>550</v>
      </c>
      <c r="E630" s="67">
        <v>2660544</v>
      </c>
      <c r="F630" s="67" t="s">
        <v>663</v>
      </c>
      <c r="G630" s="25">
        <f t="shared" si="10"/>
        <v>1.0981818181818204E-2</v>
      </c>
    </row>
    <row r="631" spans="1:7">
      <c r="A631" s="67">
        <v>543.09</v>
      </c>
      <c r="B631" s="67">
        <v>550.64</v>
      </c>
      <c r="C631" s="67">
        <v>538.15</v>
      </c>
      <c r="D631" s="67">
        <v>548</v>
      </c>
      <c r="E631" s="67">
        <v>3209766</v>
      </c>
      <c r="F631" s="67" t="s">
        <v>664</v>
      </c>
      <c r="G631" s="25">
        <f t="shared" si="10"/>
        <v>-8.9598540145985339E-3</v>
      </c>
    </row>
    <row r="632" spans="1:7">
      <c r="A632" s="67">
        <v>544.84</v>
      </c>
      <c r="B632" s="67">
        <v>564.19000000000005</v>
      </c>
      <c r="C632" s="67">
        <v>539.35</v>
      </c>
      <c r="D632" s="67">
        <v>562.6</v>
      </c>
      <c r="E632" s="67">
        <v>4286834</v>
      </c>
      <c r="F632" s="67" t="s">
        <v>665</v>
      </c>
      <c r="G632" s="25">
        <f t="shared" si="10"/>
        <v>-3.1567721293992212E-2</v>
      </c>
    </row>
    <row r="633" spans="1:7">
      <c r="A633" s="67">
        <v>567.94000000000005</v>
      </c>
      <c r="B633" s="67">
        <v>576.245</v>
      </c>
      <c r="C633" s="67">
        <v>564.1</v>
      </c>
      <c r="D633" s="67">
        <v>572.85</v>
      </c>
      <c r="E633" s="67">
        <v>2556419</v>
      </c>
      <c r="F633" s="67" t="s">
        <v>666</v>
      </c>
      <c r="G633" s="25">
        <f t="shared" si="10"/>
        <v>-8.5711791917604252E-3</v>
      </c>
    </row>
    <row r="634" spans="1:7">
      <c r="A634" s="67">
        <v>570.92999999999995</v>
      </c>
      <c r="B634" s="67">
        <v>572.89</v>
      </c>
      <c r="C634" s="67">
        <v>560.66999999999996</v>
      </c>
      <c r="D634" s="67">
        <v>561.11</v>
      </c>
      <c r="E634" s="67">
        <v>2968098</v>
      </c>
      <c r="F634" s="67" t="s">
        <v>667</v>
      </c>
      <c r="G634" s="25">
        <f t="shared" si="10"/>
        <v>1.7501024754504435E-2</v>
      </c>
    </row>
    <row r="635" spans="1:7">
      <c r="A635" s="67">
        <v>560.28</v>
      </c>
      <c r="B635" s="67">
        <v>561.94000000000005</v>
      </c>
      <c r="C635" s="67">
        <v>553.23</v>
      </c>
      <c r="D635" s="67">
        <v>554.89</v>
      </c>
      <c r="E635" s="67">
        <v>3844366</v>
      </c>
      <c r="F635" s="67" t="s">
        <v>668</v>
      </c>
      <c r="G635" s="25">
        <f t="shared" si="10"/>
        <v>9.7136369370505182E-3</v>
      </c>
    </row>
    <row r="636" spans="1:7">
      <c r="A636" s="67">
        <v>551.82000000000005</v>
      </c>
      <c r="B636" s="67">
        <v>557.20000000000005</v>
      </c>
      <c r="C636" s="67">
        <v>549.76009999999997</v>
      </c>
      <c r="D636" s="67">
        <v>552</v>
      </c>
      <c r="E636" s="67">
        <v>2313223</v>
      </c>
      <c r="F636" s="67" t="s">
        <v>669</v>
      </c>
      <c r="G636" s="25">
        <f t="shared" si="10"/>
        <v>-3.2608695652169839E-4</v>
      </c>
    </row>
    <row r="637" spans="1:7">
      <c r="A637" s="67">
        <v>552.49</v>
      </c>
      <c r="B637" s="67">
        <v>565.91</v>
      </c>
      <c r="C637" s="67">
        <v>548.54</v>
      </c>
      <c r="D637" s="67">
        <v>565.91</v>
      </c>
      <c r="E637" s="67">
        <v>3247572</v>
      </c>
      <c r="F637" s="67" t="s">
        <v>670</v>
      </c>
      <c r="G637" s="25">
        <f t="shared" si="10"/>
        <v>-2.371401813009133E-2</v>
      </c>
    </row>
    <row r="638" spans="1:7">
      <c r="A638" s="67">
        <v>560.48</v>
      </c>
      <c r="B638" s="67">
        <v>570.6</v>
      </c>
      <c r="C638" s="67">
        <v>556.55999999999995</v>
      </c>
      <c r="D638" s="67">
        <v>556.55999999999995</v>
      </c>
      <c r="E638" s="67">
        <v>4251153</v>
      </c>
      <c r="F638" s="67" t="s">
        <v>671</v>
      </c>
      <c r="G638" s="25">
        <f t="shared" si="10"/>
        <v>7.0432657754779804E-3</v>
      </c>
    </row>
    <row r="639" spans="1:7">
      <c r="A639" s="67">
        <v>553.44000000000005</v>
      </c>
      <c r="B639" s="67">
        <v>557.17999999999995</v>
      </c>
      <c r="C639" s="67">
        <v>541.48</v>
      </c>
      <c r="D639" s="67">
        <v>543.49</v>
      </c>
      <c r="E639" s="67">
        <v>4546484</v>
      </c>
      <c r="F639" s="67" t="s">
        <v>672</v>
      </c>
      <c r="G639" s="25">
        <f t="shared" si="10"/>
        <v>1.8307604555741763E-2</v>
      </c>
    </row>
    <row r="640" spans="1:7">
      <c r="A640" s="67">
        <v>537.57000000000005</v>
      </c>
      <c r="B640" s="67">
        <v>555.54989999999998</v>
      </c>
      <c r="C640" s="67">
        <v>534.55999999999995</v>
      </c>
      <c r="D640" s="67">
        <v>553.94000000000005</v>
      </c>
      <c r="E640" s="67">
        <v>5023397</v>
      </c>
      <c r="F640" s="67" t="s">
        <v>673</v>
      </c>
      <c r="G640" s="25">
        <f t="shared" si="10"/>
        <v>-2.9551937032891606E-2</v>
      </c>
    </row>
    <row r="641" spans="1:7">
      <c r="A641" s="67">
        <v>538.52</v>
      </c>
      <c r="B641" s="67">
        <v>542.56989999999996</v>
      </c>
      <c r="C641" s="67">
        <v>529.36749999999995</v>
      </c>
      <c r="D641" s="67">
        <v>539.76</v>
      </c>
      <c r="E641" s="67">
        <v>4493535</v>
      </c>
      <c r="F641" s="67" t="s">
        <v>674</v>
      </c>
      <c r="G641" s="25">
        <f t="shared" si="10"/>
        <v>-2.2973173262190727E-3</v>
      </c>
    </row>
    <row r="642" spans="1:7">
      <c r="A642" s="67">
        <v>541.91</v>
      </c>
      <c r="B642" s="67">
        <v>545.88</v>
      </c>
      <c r="C642" s="67">
        <v>528.01</v>
      </c>
      <c r="D642" s="67">
        <v>531.495</v>
      </c>
      <c r="E642" s="67">
        <v>6567568</v>
      </c>
      <c r="F642" s="67" t="s">
        <v>675</v>
      </c>
      <c r="G642" s="25">
        <f t="shared" si="10"/>
        <v>1.9595668820967305E-2</v>
      </c>
    </row>
    <row r="643" spans="1:7">
      <c r="A643" s="67">
        <v>546.66</v>
      </c>
      <c r="B643" s="67">
        <v>590.13829999999996</v>
      </c>
      <c r="C643" s="67">
        <v>546.37</v>
      </c>
      <c r="D643" s="67">
        <v>589.9</v>
      </c>
      <c r="E643" s="67">
        <v>10328353</v>
      </c>
      <c r="F643" s="67" t="s">
        <v>676</v>
      </c>
      <c r="G643" s="25">
        <f t="shared" si="10"/>
        <v>-7.3300559416850319E-2</v>
      </c>
    </row>
    <row r="644" spans="1:7">
      <c r="A644" s="67">
        <v>590.44000000000005</v>
      </c>
      <c r="B644" s="67">
        <v>607.31579999999997</v>
      </c>
      <c r="C644" s="67">
        <v>589.77</v>
      </c>
      <c r="D644" s="67">
        <v>606</v>
      </c>
      <c r="E644" s="67">
        <v>3677358</v>
      </c>
      <c r="F644" s="67" t="s">
        <v>677</v>
      </c>
      <c r="G644" s="25">
        <f t="shared" si="10"/>
        <v>-2.5676567656765625E-2</v>
      </c>
    </row>
    <row r="645" spans="1:7">
      <c r="A645" s="67">
        <v>604.66</v>
      </c>
      <c r="B645" s="67">
        <v>610.33000000000004</v>
      </c>
      <c r="C645" s="67">
        <v>602.5</v>
      </c>
      <c r="D645" s="67">
        <v>605.85</v>
      </c>
      <c r="E645" s="67">
        <v>1615119</v>
      </c>
      <c r="F645" s="67" t="s">
        <v>678</v>
      </c>
      <c r="G645" s="25">
        <f t="shared" si="10"/>
        <v>-1.9641825534374435E-3</v>
      </c>
    </row>
    <row r="646" spans="1:7">
      <c r="A646" s="67">
        <v>601.89</v>
      </c>
      <c r="B646" s="67">
        <v>608.39</v>
      </c>
      <c r="C646" s="67">
        <v>590</v>
      </c>
      <c r="D646" s="67">
        <v>596.70000000000005</v>
      </c>
      <c r="E646" s="67">
        <v>2985238</v>
      </c>
      <c r="F646" s="67" t="s">
        <v>679</v>
      </c>
      <c r="G646" s="25">
        <f t="shared" si="10"/>
        <v>8.6978381096027846E-3</v>
      </c>
    </row>
    <row r="647" spans="1:7">
      <c r="A647" s="67">
        <v>611.84</v>
      </c>
      <c r="B647" s="67">
        <v>626.34500000000003</v>
      </c>
      <c r="C647" s="67">
        <v>611.57500000000005</v>
      </c>
      <c r="D647" s="67">
        <v>626</v>
      </c>
      <c r="E647" s="67">
        <v>2317239</v>
      </c>
      <c r="F647" s="67" t="s">
        <v>680</v>
      </c>
      <c r="G647" s="25">
        <f t="shared" si="10"/>
        <v>-2.2619808306709177E-2</v>
      </c>
    </row>
    <row r="648" spans="1:7">
      <c r="A648" s="67">
        <v>627.21</v>
      </c>
      <c r="B648" s="67">
        <v>628.07000000000005</v>
      </c>
      <c r="C648" s="67">
        <v>615.80499999999995</v>
      </c>
      <c r="D648" s="67">
        <v>616</v>
      </c>
      <c r="E648" s="67">
        <v>2091353</v>
      </c>
      <c r="F648" s="67" t="s">
        <v>681</v>
      </c>
      <c r="G648" s="25">
        <f t="shared" si="10"/>
        <v>1.8198051948052019E-2</v>
      </c>
    </row>
    <row r="649" spans="1:7">
      <c r="A649" s="67">
        <v>615.86</v>
      </c>
      <c r="B649" s="67">
        <v>621.34</v>
      </c>
      <c r="C649" s="67">
        <v>612.51</v>
      </c>
      <c r="D649" s="67">
        <v>615.85</v>
      </c>
      <c r="E649" s="67">
        <v>1815682</v>
      </c>
      <c r="F649" s="67" t="s">
        <v>682</v>
      </c>
      <c r="G649" s="25">
        <f t="shared" si="10"/>
        <v>1.6237720223966079E-5</v>
      </c>
    </row>
    <row r="650" spans="1:7">
      <c r="A650" s="67">
        <v>615.85</v>
      </c>
      <c r="B650" s="67">
        <v>620.41999999999996</v>
      </c>
      <c r="C650" s="67">
        <v>610.15</v>
      </c>
      <c r="D650" s="67">
        <v>613.25</v>
      </c>
      <c r="E650" s="67">
        <v>2313824</v>
      </c>
      <c r="F650" s="67" t="s">
        <v>683</v>
      </c>
      <c r="G650" s="25">
        <f t="shared" si="10"/>
        <v>4.2397064818588959E-3</v>
      </c>
    </row>
    <row r="651" spans="1:7">
      <c r="A651" s="67">
        <v>607.14</v>
      </c>
      <c r="B651" s="67">
        <v>626.46</v>
      </c>
      <c r="C651" s="67">
        <v>604.66999999999996</v>
      </c>
      <c r="D651" s="67">
        <v>625.58000000000004</v>
      </c>
      <c r="E651" s="67">
        <v>3436244</v>
      </c>
      <c r="F651" s="67" t="s">
        <v>684</v>
      </c>
      <c r="G651" s="25">
        <f t="shared" si="10"/>
        <v>-2.9476645672815716E-2</v>
      </c>
    </row>
    <row r="652" spans="1:7">
      <c r="A652" s="67">
        <v>630.5</v>
      </c>
      <c r="B652" s="67">
        <v>634.58989999999994</v>
      </c>
      <c r="C652" s="67">
        <v>624.54</v>
      </c>
      <c r="D652" s="67">
        <v>633.03</v>
      </c>
      <c r="E652" s="67">
        <v>2131245</v>
      </c>
      <c r="F652" s="67" t="s">
        <v>685</v>
      </c>
      <c r="G652" s="25">
        <f t="shared" si="10"/>
        <v>-3.9966510275973866E-3</v>
      </c>
    </row>
    <row r="653" spans="1:7">
      <c r="A653" s="67">
        <v>634.76</v>
      </c>
      <c r="B653" s="67">
        <v>638.25</v>
      </c>
      <c r="C653" s="67">
        <v>617.01</v>
      </c>
      <c r="D653" s="67">
        <v>624.79</v>
      </c>
      <c r="E653" s="67">
        <v>2542763</v>
      </c>
      <c r="F653" s="67" t="s">
        <v>686</v>
      </c>
      <c r="G653" s="25">
        <f t="shared" si="10"/>
        <v>1.5957361673522241E-2</v>
      </c>
    </row>
    <row r="654" spans="1:7">
      <c r="A654" s="67">
        <v>627.91</v>
      </c>
      <c r="B654" s="67">
        <v>628.79999999999995</v>
      </c>
      <c r="C654" s="67">
        <v>618.77499999999998</v>
      </c>
      <c r="D654" s="67">
        <v>619</v>
      </c>
      <c r="E654" s="67">
        <v>1687613</v>
      </c>
      <c r="F654" s="67" t="s">
        <v>687</v>
      </c>
      <c r="G654" s="25">
        <f t="shared" si="10"/>
        <v>1.4394184168012858E-2</v>
      </c>
    </row>
    <row r="655" spans="1:7">
      <c r="A655" s="67">
        <v>617.78</v>
      </c>
      <c r="B655" s="67">
        <v>625.92999999999995</v>
      </c>
      <c r="C655" s="67">
        <v>612.16999999999996</v>
      </c>
      <c r="D655" s="67">
        <v>620</v>
      </c>
      <c r="E655" s="67">
        <v>2666775</v>
      </c>
      <c r="F655" s="67" t="s">
        <v>688</v>
      </c>
      <c r="G655" s="25">
        <f t="shared" si="10"/>
        <v>-3.5806451612904189E-3</v>
      </c>
    </row>
    <row r="656" spans="1:7">
      <c r="A656" s="67">
        <v>627.96</v>
      </c>
      <c r="B656" s="67">
        <v>630.47</v>
      </c>
      <c r="C656" s="67">
        <v>620.89</v>
      </c>
      <c r="D656" s="67">
        <v>630</v>
      </c>
      <c r="E656" s="67">
        <v>2007432</v>
      </c>
      <c r="F656" s="67" t="s">
        <v>689</v>
      </c>
      <c r="G656" s="25">
        <f t="shared" si="10"/>
        <v>-3.2380952380951511E-3</v>
      </c>
    </row>
    <row r="657" spans="1:7">
      <c r="A657" s="67">
        <v>630.23</v>
      </c>
      <c r="B657" s="67">
        <v>636.25</v>
      </c>
      <c r="C657" s="67">
        <v>615.71</v>
      </c>
      <c r="D657" s="67">
        <v>615.71</v>
      </c>
      <c r="E657" s="67">
        <v>3212187</v>
      </c>
      <c r="F657" s="67" t="s">
        <v>690</v>
      </c>
      <c r="G657" s="25">
        <f t="shared" si="10"/>
        <v>2.3582530736872886E-2</v>
      </c>
    </row>
    <row r="658" spans="1:7">
      <c r="A658" s="67">
        <v>613.92999999999995</v>
      </c>
      <c r="B658" s="67">
        <v>622.5</v>
      </c>
      <c r="C658" s="67">
        <v>613</v>
      </c>
      <c r="D658" s="67">
        <v>620.70000000000005</v>
      </c>
      <c r="E658" s="67">
        <v>2137831</v>
      </c>
      <c r="F658" s="67" t="s">
        <v>691</v>
      </c>
      <c r="G658" s="25">
        <f t="shared" si="10"/>
        <v>-1.090704043821511E-2</v>
      </c>
    </row>
    <row r="659" spans="1:7">
      <c r="A659" s="67">
        <v>622.58000000000004</v>
      </c>
      <c r="B659" s="67">
        <v>627.05999999999995</v>
      </c>
      <c r="C659" s="67">
        <v>612.24</v>
      </c>
      <c r="D659" s="67">
        <v>615.41999999999996</v>
      </c>
      <c r="E659" s="67">
        <v>3806205</v>
      </c>
      <c r="F659" s="67" t="s">
        <v>692</v>
      </c>
      <c r="G659" s="25">
        <f t="shared" si="10"/>
        <v>1.1634331025966116E-2</v>
      </c>
    </row>
    <row r="660" spans="1:7">
      <c r="A660" s="67">
        <v>606.48</v>
      </c>
      <c r="B660" s="67">
        <v>616.95000000000005</v>
      </c>
      <c r="C660" s="67">
        <v>597.46</v>
      </c>
      <c r="D660" s="67">
        <v>601.71</v>
      </c>
      <c r="E660" s="67">
        <v>2999032</v>
      </c>
      <c r="F660" s="67" t="s">
        <v>693</v>
      </c>
      <c r="G660" s="25">
        <f t="shared" si="10"/>
        <v>7.9274068903625317E-3</v>
      </c>
    </row>
    <row r="661" spans="1:7">
      <c r="A661" s="67">
        <v>597.17999999999995</v>
      </c>
      <c r="B661" s="67">
        <v>604.32000000000005</v>
      </c>
      <c r="C661" s="67">
        <v>591.34</v>
      </c>
      <c r="D661" s="67">
        <v>602.21</v>
      </c>
      <c r="E661" s="67">
        <v>2723463</v>
      </c>
      <c r="F661" s="67" t="s">
        <v>694</v>
      </c>
      <c r="G661" s="25">
        <f t="shared" si="10"/>
        <v>-8.3525680410488912E-3</v>
      </c>
    </row>
    <row r="662" spans="1:7">
      <c r="A662" s="67">
        <v>603.59</v>
      </c>
      <c r="B662" s="67">
        <v>620.96</v>
      </c>
      <c r="C662" s="67">
        <v>603.15</v>
      </c>
      <c r="D662" s="67">
        <v>615</v>
      </c>
      <c r="E662" s="67">
        <v>4488000</v>
      </c>
      <c r="F662" s="67" t="s">
        <v>695</v>
      </c>
      <c r="G662" s="25">
        <f t="shared" si="10"/>
        <v>-1.8552845528455264E-2</v>
      </c>
    </row>
    <row r="663" spans="1:7">
      <c r="A663" s="67">
        <v>611.54999999999995</v>
      </c>
      <c r="B663" s="67">
        <v>612.07000000000005</v>
      </c>
      <c r="C663" s="67">
        <v>589.13</v>
      </c>
      <c r="D663" s="67">
        <v>593.80999999999995</v>
      </c>
      <c r="E663" s="67">
        <v>3755338</v>
      </c>
      <c r="F663" s="67" t="s">
        <v>696</v>
      </c>
      <c r="G663" s="25">
        <f t="shared" si="10"/>
        <v>2.9874875802024192E-2</v>
      </c>
    </row>
    <row r="664" spans="1:7">
      <c r="A664" s="67">
        <v>593.70000000000005</v>
      </c>
      <c r="B664" s="67">
        <v>596.89</v>
      </c>
      <c r="C664" s="67">
        <v>584.21</v>
      </c>
      <c r="D664" s="67">
        <v>586.9</v>
      </c>
      <c r="E664" s="67">
        <v>2793610</v>
      </c>
      <c r="F664" s="67" t="s">
        <v>697</v>
      </c>
      <c r="G664" s="25">
        <f t="shared" si="10"/>
        <v>1.1586300903050128E-2</v>
      </c>
    </row>
    <row r="665" spans="1:7">
      <c r="A665" s="67">
        <v>596.1</v>
      </c>
      <c r="B665" s="67">
        <v>596.75</v>
      </c>
      <c r="C665" s="67">
        <v>582.44000000000005</v>
      </c>
      <c r="D665" s="67">
        <v>591.99</v>
      </c>
      <c r="E665" s="67">
        <v>2588293</v>
      </c>
      <c r="F665" s="67" t="s">
        <v>698</v>
      </c>
      <c r="G665" s="25">
        <f t="shared" si="10"/>
        <v>6.9426848426494825E-3</v>
      </c>
    </row>
    <row r="666" spans="1:7">
      <c r="A666" s="67">
        <v>597.67999999999995</v>
      </c>
      <c r="B666" s="67">
        <v>597.76</v>
      </c>
      <c r="C666" s="67">
        <v>588.34</v>
      </c>
      <c r="D666" s="67">
        <v>592.83000000000004</v>
      </c>
      <c r="E666" s="67">
        <v>2126096</v>
      </c>
      <c r="F666" s="67" t="s">
        <v>699</v>
      </c>
      <c r="G666" s="25">
        <f t="shared" si="10"/>
        <v>8.1810974478349063E-3</v>
      </c>
    </row>
    <row r="667" spans="1:7">
      <c r="A667" s="67">
        <v>596.54</v>
      </c>
      <c r="B667" s="67">
        <v>599.38</v>
      </c>
      <c r="C667" s="67">
        <v>593.01769999999999</v>
      </c>
      <c r="D667" s="67">
        <v>598.39</v>
      </c>
      <c r="E667" s="67">
        <v>1472167</v>
      </c>
      <c r="F667" s="67" t="s">
        <v>700</v>
      </c>
      <c r="G667" s="25">
        <f t="shared" si="10"/>
        <v>-3.0916292050335858E-3</v>
      </c>
    </row>
    <row r="668" spans="1:7">
      <c r="A668" s="67">
        <v>597.49</v>
      </c>
      <c r="B668" s="67">
        <v>597.84</v>
      </c>
      <c r="C668" s="67">
        <v>584.52</v>
      </c>
      <c r="D668" s="67">
        <v>592</v>
      </c>
      <c r="E668" s="67">
        <v>2331830</v>
      </c>
      <c r="F668" s="67" t="s">
        <v>701</v>
      </c>
      <c r="G668" s="25">
        <f t="shared" si="10"/>
        <v>9.273648648648658E-3</v>
      </c>
    </row>
    <row r="669" spans="1:7">
      <c r="A669" s="67">
        <v>591.03</v>
      </c>
      <c r="B669" s="67">
        <v>593.65</v>
      </c>
      <c r="C669" s="67">
        <v>585.42999999999995</v>
      </c>
      <c r="D669" s="67">
        <v>585.42999999999995</v>
      </c>
      <c r="E669" s="67">
        <v>2135690</v>
      </c>
      <c r="F669" s="67" t="s">
        <v>702</v>
      </c>
      <c r="G669" s="25">
        <f t="shared" si="10"/>
        <v>9.565618434313361E-3</v>
      </c>
    </row>
    <row r="670" spans="1:7">
      <c r="A670" s="67">
        <v>586.20000000000005</v>
      </c>
      <c r="B670" s="67">
        <v>588.20000000000005</v>
      </c>
      <c r="C670" s="67">
        <v>577.28</v>
      </c>
      <c r="D670" s="67">
        <v>578.33000000000004</v>
      </c>
      <c r="E670" s="67">
        <v>1926919</v>
      </c>
      <c r="F670" s="67" t="s">
        <v>703</v>
      </c>
      <c r="G670" s="25">
        <f t="shared" si="10"/>
        <v>1.3608147597392595E-2</v>
      </c>
    </row>
    <row r="671" spans="1:7">
      <c r="A671" s="67">
        <v>580.54999999999995</v>
      </c>
      <c r="B671" s="67">
        <v>581.51</v>
      </c>
      <c r="C671" s="67">
        <v>567.87</v>
      </c>
      <c r="D671" s="67">
        <v>567.87</v>
      </c>
      <c r="E671" s="67">
        <v>2829955</v>
      </c>
      <c r="F671" s="67" t="s">
        <v>704</v>
      </c>
      <c r="G671" s="25">
        <f t="shared" si="10"/>
        <v>2.2329054184936581E-2</v>
      </c>
    </row>
    <row r="672" spans="1:7">
      <c r="A672" s="67">
        <v>564.6</v>
      </c>
      <c r="B672" s="67">
        <v>569.52</v>
      </c>
      <c r="C672" s="67">
        <v>563.34</v>
      </c>
      <c r="D672" s="67">
        <v>563.5</v>
      </c>
      <c r="E672" s="67">
        <v>1923240</v>
      </c>
      <c r="F672" s="67" t="s">
        <v>705</v>
      </c>
      <c r="G672" s="25">
        <f t="shared" si="10"/>
        <v>1.9520851818988216E-3</v>
      </c>
    </row>
    <row r="673" spans="1:7">
      <c r="A673" s="67">
        <v>567.04999999999995</v>
      </c>
      <c r="B673" s="67">
        <v>572.91</v>
      </c>
      <c r="C673" s="67">
        <v>566.66</v>
      </c>
      <c r="D673" s="67">
        <v>570.99</v>
      </c>
      <c r="E673" s="67">
        <v>2092099</v>
      </c>
      <c r="F673" s="67" t="s">
        <v>706</v>
      </c>
      <c r="G673" s="25">
        <f t="shared" si="10"/>
        <v>-6.9002959771625738E-3</v>
      </c>
    </row>
    <row r="674" spans="1:7">
      <c r="A674" s="67">
        <v>571.79</v>
      </c>
      <c r="B674" s="67">
        <v>577.30499999999995</v>
      </c>
      <c r="C674" s="67">
        <v>570.19000000000005</v>
      </c>
      <c r="D674" s="67">
        <v>574.58000000000004</v>
      </c>
      <c r="E674" s="67">
        <v>2478008</v>
      </c>
      <c r="F674" s="67" t="s">
        <v>707</v>
      </c>
      <c r="G674" s="25">
        <f t="shared" si="10"/>
        <v>-4.8557207003377956E-3</v>
      </c>
    </row>
    <row r="675" spans="1:7">
      <c r="A675" s="67">
        <v>580.07000000000005</v>
      </c>
      <c r="B675" s="67">
        <v>590.44000000000005</v>
      </c>
      <c r="C675" s="67">
        <v>576.755</v>
      </c>
      <c r="D675" s="67">
        <v>589.51</v>
      </c>
      <c r="E675" s="67">
        <v>2840192</v>
      </c>
      <c r="F675" s="67" t="s">
        <v>708</v>
      </c>
      <c r="G675" s="25">
        <f t="shared" si="10"/>
        <v>-1.60132991806754E-2</v>
      </c>
    </row>
    <row r="676" spans="1:7">
      <c r="A676" s="67">
        <v>596.6</v>
      </c>
      <c r="B676" s="67">
        <v>600.75</v>
      </c>
      <c r="C676" s="67">
        <v>592.94000000000005</v>
      </c>
      <c r="D676" s="67">
        <v>596.09</v>
      </c>
      <c r="E676" s="67">
        <v>1890231</v>
      </c>
      <c r="F676" s="67" t="s">
        <v>709</v>
      </c>
      <c r="G676" s="25">
        <f t="shared" si="10"/>
        <v>8.5557550034387475E-4</v>
      </c>
    </row>
    <row r="677" spans="1:7">
      <c r="A677" s="67">
        <v>595.52</v>
      </c>
      <c r="B677" s="67">
        <v>599.04</v>
      </c>
      <c r="C677" s="67">
        <v>593.63009999999997</v>
      </c>
      <c r="D677" s="67">
        <v>597.44000000000005</v>
      </c>
      <c r="E677" s="67">
        <v>1702553</v>
      </c>
      <c r="F677" s="67" t="s">
        <v>710</v>
      </c>
      <c r="G677" s="25">
        <f t="shared" si="10"/>
        <v>-3.2137118371720064E-3</v>
      </c>
    </row>
    <row r="678" spans="1:7">
      <c r="A678" s="67">
        <v>596.08000000000004</v>
      </c>
      <c r="B678" s="67">
        <v>599.79</v>
      </c>
      <c r="C678" s="67">
        <v>593.71</v>
      </c>
      <c r="D678" s="67">
        <v>598.6</v>
      </c>
      <c r="E678" s="67">
        <v>1394905</v>
      </c>
      <c r="F678" s="67" t="s">
        <v>711</v>
      </c>
      <c r="G678" s="25">
        <f t="shared" si="10"/>
        <v>-4.2098229201469328E-3</v>
      </c>
    </row>
    <row r="679" spans="1:7">
      <c r="A679" s="67">
        <v>598.26</v>
      </c>
      <c r="B679" s="67">
        <v>601.69000000000005</v>
      </c>
      <c r="C679" s="67">
        <v>596.5</v>
      </c>
      <c r="D679" s="67">
        <v>598.91999999999996</v>
      </c>
      <c r="E679" s="67">
        <v>1595053</v>
      </c>
      <c r="F679" s="67" t="s">
        <v>712</v>
      </c>
      <c r="G679" s="25">
        <f t="shared" si="10"/>
        <v>-1.1019835704266789E-3</v>
      </c>
    </row>
    <row r="680" spans="1:7">
      <c r="A680" s="67">
        <v>598.75</v>
      </c>
      <c r="B680" s="67">
        <v>601.86</v>
      </c>
      <c r="C680" s="67">
        <v>596</v>
      </c>
      <c r="D680" s="67">
        <v>600.79999999999995</v>
      </c>
      <c r="E680" s="67">
        <v>1660631</v>
      </c>
      <c r="F680" s="67" t="s">
        <v>713</v>
      </c>
      <c r="G680" s="25">
        <f t="shared" si="10"/>
        <v>-3.412117177097107E-3</v>
      </c>
    </row>
    <row r="681" spans="1:7">
      <c r="A681" s="67">
        <v>600.14</v>
      </c>
      <c r="B681" s="67">
        <v>607.40060000000005</v>
      </c>
      <c r="C681" s="67">
        <v>594.82000000000005</v>
      </c>
      <c r="D681" s="67">
        <v>603</v>
      </c>
      <c r="E681" s="67">
        <v>3192763</v>
      </c>
      <c r="F681" s="67" t="s">
        <v>714</v>
      </c>
      <c r="G681" s="25">
        <f t="shared" si="10"/>
        <v>-4.7429519071310322E-3</v>
      </c>
    </row>
    <row r="682" spans="1:7">
      <c r="A682" s="67">
        <v>596.05999999999995</v>
      </c>
      <c r="B682" s="67">
        <v>610.67999999999995</v>
      </c>
      <c r="C682" s="67">
        <v>595.07000000000005</v>
      </c>
      <c r="D682" s="67">
        <v>600.71</v>
      </c>
      <c r="E682" s="67">
        <v>2587339</v>
      </c>
      <c r="F682" s="67" t="s">
        <v>715</v>
      </c>
      <c r="G682" s="25">
        <f t="shared" si="10"/>
        <v>-7.740840005993066E-3</v>
      </c>
    </row>
    <row r="683" spans="1:7">
      <c r="A683" s="67">
        <v>604.64</v>
      </c>
      <c r="B683" s="67">
        <v>612.70500000000004</v>
      </c>
      <c r="C683" s="67">
        <v>598.08000000000004</v>
      </c>
      <c r="D683" s="67">
        <v>600</v>
      </c>
      <c r="E683" s="67">
        <v>4150712</v>
      </c>
      <c r="F683" s="67" t="s">
        <v>716</v>
      </c>
      <c r="G683" s="25">
        <f t="shared" si="10"/>
        <v>7.7333333333333698E-3</v>
      </c>
    </row>
    <row r="684" spans="1:7">
      <c r="A684" s="67">
        <v>599.13</v>
      </c>
      <c r="B684" s="67">
        <v>603.13369999999998</v>
      </c>
      <c r="C684" s="67">
        <v>586.62</v>
      </c>
      <c r="D684" s="67">
        <v>591.52</v>
      </c>
      <c r="E684" s="67">
        <v>5452047</v>
      </c>
      <c r="F684" s="67" t="s">
        <v>717</v>
      </c>
      <c r="G684" s="25">
        <f t="shared" si="10"/>
        <v>1.2865160941303744E-2</v>
      </c>
    </row>
    <row r="685" spans="1:7">
      <c r="A685" s="67">
        <v>584.67999999999995</v>
      </c>
      <c r="B685" s="67">
        <v>591.66</v>
      </c>
      <c r="C685" s="67">
        <v>578.20000000000005</v>
      </c>
      <c r="D685" s="67">
        <v>580.6</v>
      </c>
      <c r="E685" s="67">
        <v>8666491</v>
      </c>
      <c r="F685" s="67" t="s">
        <v>718</v>
      </c>
      <c r="G685" s="25">
        <f t="shared" si="10"/>
        <v>7.0272132276953947E-3</v>
      </c>
    </row>
    <row r="686" spans="1:7">
      <c r="A686" s="67">
        <v>584.64</v>
      </c>
      <c r="B686" s="67">
        <v>593.16</v>
      </c>
      <c r="C686" s="67">
        <v>578.29999999999995</v>
      </c>
      <c r="D686" s="67">
        <v>593</v>
      </c>
      <c r="E686" s="67">
        <v>11315347</v>
      </c>
      <c r="F686" s="67" t="s">
        <v>719</v>
      </c>
      <c r="G686" s="25">
        <f t="shared" si="10"/>
        <v>-1.4097807757166958E-2</v>
      </c>
    </row>
    <row r="687" spans="1:7">
      <c r="A687" s="67">
        <v>624.26</v>
      </c>
      <c r="B687" s="67">
        <v>632.44500000000005</v>
      </c>
      <c r="C687" s="67">
        <v>618.03009999999995</v>
      </c>
      <c r="D687" s="67">
        <v>630.41</v>
      </c>
      <c r="E687" s="67">
        <v>6188452</v>
      </c>
      <c r="F687" s="67" t="s">
        <v>720</v>
      </c>
      <c r="G687" s="25">
        <f t="shared" si="10"/>
        <v>-9.7555559080597654E-3</v>
      </c>
    </row>
    <row r="688" spans="1:7">
      <c r="A688" s="67">
        <v>633.66</v>
      </c>
      <c r="B688" s="67">
        <v>633.89</v>
      </c>
      <c r="C688" s="67">
        <v>623</v>
      </c>
      <c r="D688" s="67">
        <v>625.86</v>
      </c>
      <c r="E688" s="67">
        <v>2968858</v>
      </c>
      <c r="F688" s="67" t="s">
        <v>721</v>
      </c>
      <c r="G688" s="25">
        <f t="shared" si="10"/>
        <v>1.2462851116863183E-2</v>
      </c>
    </row>
    <row r="689" spans="1:7">
      <c r="A689" s="67">
        <v>625.20000000000005</v>
      </c>
      <c r="B689" s="67">
        <v>627.81949999999995</v>
      </c>
      <c r="C689" s="67">
        <v>614.34</v>
      </c>
      <c r="D689" s="67">
        <v>616.88</v>
      </c>
      <c r="E689" s="67">
        <v>3270609</v>
      </c>
      <c r="F689" s="67" t="s">
        <v>722</v>
      </c>
      <c r="G689" s="25">
        <f t="shared" si="10"/>
        <v>1.3487226040721056E-2</v>
      </c>
    </row>
    <row r="690" spans="1:7">
      <c r="A690" s="67">
        <v>610.01</v>
      </c>
      <c r="B690" s="67">
        <v>610.23</v>
      </c>
      <c r="C690" s="67">
        <v>601.29999999999995</v>
      </c>
      <c r="D690" s="67">
        <v>605</v>
      </c>
      <c r="E690" s="67">
        <v>2499653</v>
      </c>
      <c r="F690" s="67" t="s">
        <v>723</v>
      </c>
      <c r="G690" s="25">
        <f t="shared" si="10"/>
        <v>8.280991735537091E-3</v>
      </c>
    </row>
    <row r="691" spans="1:7">
      <c r="A691" s="67">
        <v>608.78</v>
      </c>
      <c r="B691" s="67">
        <v>609.23</v>
      </c>
      <c r="C691" s="67">
        <v>596.47</v>
      </c>
      <c r="D691" s="67">
        <v>598.91999999999996</v>
      </c>
      <c r="E691" s="67">
        <v>2605210</v>
      </c>
      <c r="F691" s="67" t="s">
        <v>724</v>
      </c>
      <c r="G691" s="25">
        <f t="shared" si="10"/>
        <v>1.6462966673345347E-2</v>
      </c>
    </row>
    <row r="692" spans="1:7">
      <c r="A692" s="67">
        <v>595.70000000000005</v>
      </c>
      <c r="B692" s="67">
        <v>608.53020000000004</v>
      </c>
      <c r="C692" s="67">
        <v>594.48670000000004</v>
      </c>
      <c r="D692" s="67">
        <v>608.05999999999995</v>
      </c>
      <c r="E692" s="67">
        <v>2080429</v>
      </c>
      <c r="F692" s="67" t="s">
        <v>725</v>
      </c>
      <c r="G692" s="25">
        <f t="shared" si="10"/>
        <v>-2.0326941420254374E-2</v>
      </c>
    </row>
    <row r="693" spans="1:7">
      <c r="A693" s="67">
        <v>602.22</v>
      </c>
      <c r="B693" s="67">
        <v>602.74</v>
      </c>
      <c r="C693" s="67">
        <v>591.16999999999996</v>
      </c>
      <c r="D693" s="67">
        <v>596.77</v>
      </c>
      <c r="E693" s="67">
        <v>2577716</v>
      </c>
      <c r="F693" s="67" t="s">
        <v>726</v>
      </c>
      <c r="G693" s="25">
        <f t="shared" ref="G693:G756" si="11">A693/D693-1</f>
        <v>9.1324966067329871E-3</v>
      </c>
    </row>
    <row r="694" spans="1:7">
      <c r="A694" s="67">
        <v>604.55999999999995</v>
      </c>
      <c r="B694" s="67">
        <v>608.29</v>
      </c>
      <c r="C694" s="67">
        <v>596.21</v>
      </c>
      <c r="D694" s="67">
        <v>604.91</v>
      </c>
      <c r="E694" s="67">
        <v>2541501</v>
      </c>
      <c r="F694" s="67" t="s">
        <v>727</v>
      </c>
      <c r="G694" s="25">
        <f t="shared" si="11"/>
        <v>-5.7859846919383617E-4</v>
      </c>
    </row>
    <row r="695" spans="1:7">
      <c r="A695" s="67">
        <v>612.47</v>
      </c>
      <c r="B695" s="67">
        <v>615.20000000000005</v>
      </c>
      <c r="C695" s="67">
        <v>603.17999999999995</v>
      </c>
      <c r="D695" s="67">
        <v>609.24</v>
      </c>
      <c r="E695" s="67">
        <v>2490500</v>
      </c>
      <c r="F695" s="67" t="s">
        <v>728</v>
      </c>
      <c r="G695" s="25">
        <f t="shared" si="11"/>
        <v>5.301687348171491E-3</v>
      </c>
    </row>
    <row r="696" spans="1:7">
      <c r="A696" s="67">
        <v>611.01</v>
      </c>
      <c r="B696" s="67">
        <v>621.48</v>
      </c>
      <c r="C696" s="67">
        <v>605.07000000000005</v>
      </c>
      <c r="D696" s="67">
        <v>620</v>
      </c>
      <c r="E696" s="67">
        <v>3960309</v>
      </c>
      <c r="F696" s="67" t="s">
        <v>729</v>
      </c>
      <c r="G696" s="25">
        <f t="shared" si="11"/>
        <v>-1.4500000000000068E-2</v>
      </c>
    </row>
    <row r="697" spans="1:7">
      <c r="A697" s="67">
        <v>617.39</v>
      </c>
      <c r="B697" s="67">
        <v>628.6</v>
      </c>
      <c r="C697" s="67">
        <v>616.77</v>
      </c>
      <c r="D697" s="67">
        <v>625.94000000000005</v>
      </c>
      <c r="E697" s="67">
        <v>2595632</v>
      </c>
      <c r="F697" s="67" t="s">
        <v>730</v>
      </c>
      <c r="G697" s="25">
        <f t="shared" si="11"/>
        <v>-1.3659456177908536E-2</v>
      </c>
    </row>
    <row r="698" spans="1:7">
      <c r="A698" s="67">
        <v>623.32000000000005</v>
      </c>
      <c r="B698" s="67">
        <v>625.6</v>
      </c>
      <c r="C698" s="67">
        <v>612.26</v>
      </c>
      <c r="D698" s="67">
        <v>613.97500000000002</v>
      </c>
      <c r="E698" s="67">
        <v>2302913</v>
      </c>
      <c r="F698" s="67" t="s">
        <v>731</v>
      </c>
      <c r="G698" s="25">
        <f t="shared" si="11"/>
        <v>1.5220489433608986E-2</v>
      </c>
    </row>
    <row r="699" spans="1:7">
      <c r="A699" s="67">
        <v>619.27</v>
      </c>
      <c r="B699" s="67">
        <v>625.83410000000003</v>
      </c>
      <c r="C699" s="67">
        <v>614.57000000000005</v>
      </c>
      <c r="D699" s="67">
        <v>618.79999999999995</v>
      </c>
      <c r="E699" s="67">
        <v>1854409</v>
      </c>
      <c r="F699" s="67" t="s">
        <v>732</v>
      </c>
      <c r="G699" s="25">
        <f t="shared" si="11"/>
        <v>7.5953458306399213E-4</v>
      </c>
    </row>
    <row r="700" spans="1:7">
      <c r="A700" s="67">
        <v>619.42999999999995</v>
      </c>
      <c r="B700" s="67">
        <v>619.44000000000005</v>
      </c>
      <c r="C700" s="67">
        <v>613.6</v>
      </c>
      <c r="D700" s="67">
        <v>616.26</v>
      </c>
      <c r="E700" s="67">
        <v>942673</v>
      </c>
      <c r="F700" s="67" t="s">
        <v>733</v>
      </c>
      <c r="G700" s="25">
        <f t="shared" si="11"/>
        <v>5.1439327556550563E-3</v>
      </c>
    </row>
    <row r="701" spans="1:7">
      <c r="A701" s="67">
        <v>619.72</v>
      </c>
      <c r="B701" s="67">
        <v>624.38</v>
      </c>
      <c r="C701" s="67">
        <v>614.01009999999997</v>
      </c>
      <c r="D701" s="67">
        <v>616.63</v>
      </c>
      <c r="E701" s="67">
        <v>2064968</v>
      </c>
      <c r="F701" s="67" t="s">
        <v>734</v>
      </c>
      <c r="G701" s="25">
        <f t="shared" si="11"/>
        <v>5.0111087686295352E-3</v>
      </c>
    </row>
    <row r="702" spans="1:7">
      <c r="A702" s="67">
        <v>610.99</v>
      </c>
      <c r="B702" s="67">
        <v>615.56500000000005</v>
      </c>
      <c r="C702" s="67">
        <v>607.03009999999995</v>
      </c>
      <c r="D702" s="67">
        <v>610.63</v>
      </c>
      <c r="E702" s="67">
        <v>1906155</v>
      </c>
      <c r="F702" s="67" t="s">
        <v>735</v>
      </c>
      <c r="G702" s="25">
        <f t="shared" si="11"/>
        <v>5.895550497028168E-4</v>
      </c>
    </row>
    <row r="703" spans="1:7">
      <c r="A703" s="67">
        <v>612.70000000000005</v>
      </c>
      <c r="B703" s="67">
        <v>614.20000000000005</v>
      </c>
      <c r="C703" s="67">
        <v>604.5</v>
      </c>
      <c r="D703" s="67">
        <v>605.30999999999995</v>
      </c>
      <c r="E703" s="67">
        <v>2394373</v>
      </c>
      <c r="F703" s="67" t="s">
        <v>736</v>
      </c>
      <c r="G703" s="25">
        <f t="shared" si="11"/>
        <v>1.2208620376336299E-2</v>
      </c>
    </row>
    <row r="704" spans="1:7">
      <c r="A704" s="67">
        <v>602.66</v>
      </c>
      <c r="B704" s="67">
        <v>605.04989999999998</v>
      </c>
      <c r="C704" s="67">
        <v>597.02</v>
      </c>
      <c r="D704" s="67">
        <v>602.07000000000005</v>
      </c>
      <c r="E704" s="67">
        <v>1969358</v>
      </c>
      <c r="F704" s="67" t="s">
        <v>737</v>
      </c>
      <c r="G704" s="25">
        <f t="shared" si="11"/>
        <v>9.7995249721782862E-4</v>
      </c>
    </row>
    <row r="705" spans="1:7">
      <c r="A705" s="67">
        <v>602.05999999999995</v>
      </c>
      <c r="B705" s="67">
        <v>605.27</v>
      </c>
      <c r="C705" s="67">
        <v>592.14</v>
      </c>
      <c r="D705" s="67">
        <v>595.45000000000005</v>
      </c>
      <c r="E705" s="67">
        <v>2040415</v>
      </c>
      <c r="F705" s="67" t="s">
        <v>738</v>
      </c>
      <c r="G705" s="25">
        <f t="shared" si="11"/>
        <v>1.1100848098076987E-2</v>
      </c>
    </row>
    <row r="706" spans="1:7">
      <c r="A706" s="67">
        <v>595.30999999999995</v>
      </c>
      <c r="B706" s="67">
        <v>605.73</v>
      </c>
      <c r="C706" s="67">
        <v>591.79</v>
      </c>
      <c r="D706" s="67">
        <v>605</v>
      </c>
      <c r="E706" s="67">
        <v>3088889</v>
      </c>
      <c r="F706" s="67" t="s">
        <v>739</v>
      </c>
      <c r="G706" s="25">
        <f t="shared" si="11"/>
        <v>-1.6016528925619888E-2</v>
      </c>
    </row>
    <row r="707" spans="1:7">
      <c r="A707" s="67">
        <v>604.33000000000004</v>
      </c>
      <c r="B707" s="67">
        <v>613.70500000000004</v>
      </c>
      <c r="C707" s="67">
        <v>599.04</v>
      </c>
      <c r="D707" s="67">
        <v>601.55999999999995</v>
      </c>
      <c r="E707" s="67">
        <v>2884917</v>
      </c>
      <c r="F707" s="67" t="s">
        <v>740</v>
      </c>
      <c r="G707" s="25">
        <f t="shared" si="11"/>
        <v>4.6046944610680374E-3</v>
      </c>
    </row>
    <row r="708" spans="1:7">
      <c r="A708" s="67">
        <v>590.34</v>
      </c>
      <c r="B708" s="67">
        <v>594.26</v>
      </c>
      <c r="C708" s="67">
        <v>583.36</v>
      </c>
      <c r="D708" s="67">
        <v>589.98</v>
      </c>
      <c r="E708" s="67">
        <v>2505111</v>
      </c>
      <c r="F708" s="67" t="s">
        <v>741</v>
      </c>
      <c r="G708" s="25">
        <f t="shared" si="11"/>
        <v>6.1019017593810787E-4</v>
      </c>
    </row>
    <row r="709" spans="1:7">
      <c r="A709" s="67">
        <v>597.22</v>
      </c>
      <c r="B709" s="67">
        <v>598.13499999999999</v>
      </c>
      <c r="C709" s="67">
        <v>576.005</v>
      </c>
      <c r="D709" s="67">
        <v>580.49</v>
      </c>
      <c r="E709" s="67">
        <v>3064510</v>
      </c>
      <c r="F709" s="67" t="s">
        <v>742</v>
      </c>
      <c r="G709" s="25">
        <f t="shared" si="11"/>
        <v>2.8820479250288633E-2</v>
      </c>
    </row>
    <row r="710" spans="1:7">
      <c r="A710" s="67">
        <v>577.74</v>
      </c>
      <c r="B710" s="67">
        <v>590.04</v>
      </c>
      <c r="C710" s="67">
        <v>576.34</v>
      </c>
      <c r="D710" s="67">
        <v>587.51</v>
      </c>
      <c r="E710" s="67">
        <v>2336580</v>
      </c>
      <c r="F710" s="67" t="s">
        <v>743</v>
      </c>
      <c r="G710" s="25">
        <f t="shared" si="11"/>
        <v>-1.6629504178652277E-2</v>
      </c>
    </row>
    <row r="711" spans="1:7">
      <c r="A711" s="67">
        <v>585.30999999999995</v>
      </c>
      <c r="B711" s="67">
        <v>595.66499999999996</v>
      </c>
      <c r="C711" s="67">
        <v>581.07000000000005</v>
      </c>
      <c r="D711" s="67">
        <v>589</v>
      </c>
      <c r="E711" s="67">
        <v>3079173</v>
      </c>
      <c r="F711" s="67" t="s">
        <v>744</v>
      </c>
      <c r="G711" s="25">
        <f t="shared" si="11"/>
        <v>-6.2648556876061523E-3</v>
      </c>
    </row>
    <row r="712" spans="1:7">
      <c r="A712" s="67">
        <v>585.20000000000005</v>
      </c>
      <c r="B712" s="67">
        <v>589</v>
      </c>
      <c r="C712" s="67">
        <v>568.80999999999995</v>
      </c>
      <c r="D712" s="67">
        <v>568.80999999999995</v>
      </c>
      <c r="E712" s="67">
        <v>3993621</v>
      </c>
      <c r="F712" s="67" t="s">
        <v>745</v>
      </c>
      <c r="G712" s="25">
        <f t="shared" si="11"/>
        <v>2.8814542641655505E-2</v>
      </c>
    </row>
    <row r="713" spans="1:7">
      <c r="A713" s="67">
        <v>565.45000000000005</v>
      </c>
      <c r="B713" s="67">
        <v>567.88</v>
      </c>
      <c r="C713" s="67">
        <v>558.17499999999995</v>
      </c>
      <c r="D713" s="67">
        <v>566</v>
      </c>
      <c r="E713" s="67">
        <v>2593386</v>
      </c>
      <c r="F713" s="67" t="s">
        <v>746</v>
      </c>
      <c r="G713" s="25">
        <f t="shared" si="11"/>
        <v>-9.7173144876316897E-4</v>
      </c>
    </row>
    <row r="714" spans="1:7">
      <c r="A714" s="67">
        <v>563.66</v>
      </c>
      <c r="B714" s="67">
        <v>567.03</v>
      </c>
      <c r="C714" s="67">
        <v>557.66</v>
      </c>
      <c r="D714" s="67">
        <v>560</v>
      </c>
      <c r="E714" s="67">
        <v>2066520</v>
      </c>
      <c r="F714" s="67" t="s">
        <v>747</v>
      </c>
      <c r="G714" s="25">
        <f t="shared" si="11"/>
        <v>6.5357142857143113E-3</v>
      </c>
    </row>
    <row r="715" spans="1:7">
      <c r="A715" s="67">
        <v>558.71</v>
      </c>
      <c r="B715" s="67">
        <v>559.35500000000002</v>
      </c>
      <c r="C715" s="67">
        <v>550</v>
      </c>
      <c r="D715" s="67">
        <v>550.44000000000005</v>
      </c>
      <c r="E715" s="67">
        <v>2634829</v>
      </c>
      <c r="F715" s="67" t="s">
        <v>748</v>
      </c>
      <c r="G715" s="25">
        <f t="shared" si="11"/>
        <v>1.5024344161034708E-2</v>
      </c>
    </row>
    <row r="716" spans="1:7">
      <c r="A716" s="67">
        <v>544.5</v>
      </c>
      <c r="B716" s="67">
        <v>545.27</v>
      </c>
      <c r="C716" s="67">
        <v>534</v>
      </c>
      <c r="D716" s="67">
        <v>535</v>
      </c>
      <c r="E716" s="67">
        <v>2644530</v>
      </c>
      <c r="F716" s="67" t="s">
        <v>749</v>
      </c>
      <c r="G716" s="25">
        <f t="shared" si="11"/>
        <v>1.7757009345794383E-2</v>
      </c>
    </row>
    <row r="717" spans="1:7">
      <c r="A717" s="67">
        <v>532.05999999999995</v>
      </c>
      <c r="B717" s="67">
        <v>532.63499999999999</v>
      </c>
      <c r="C717" s="67">
        <v>522.81010000000003</v>
      </c>
      <c r="D717" s="67">
        <v>530.64</v>
      </c>
      <c r="E717" s="67">
        <v>2052270</v>
      </c>
      <c r="F717" s="67" t="s">
        <v>750</v>
      </c>
      <c r="G717" s="25">
        <f t="shared" si="11"/>
        <v>2.6760138700436809E-3</v>
      </c>
    </row>
    <row r="718" spans="1:7">
      <c r="A718" s="67">
        <v>526.94000000000005</v>
      </c>
      <c r="B718" s="67">
        <v>530.75</v>
      </c>
      <c r="C718" s="67">
        <v>512.24</v>
      </c>
      <c r="D718" s="67">
        <v>516.11</v>
      </c>
      <c r="E718" s="67">
        <v>2806930</v>
      </c>
      <c r="F718" s="67" t="s">
        <v>751</v>
      </c>
      <c r="G718" s="25">
        <f t="shared" si="11"/>
        <v>2.0983898781267607E-2</v>
      </c>
    </row>
    <row r="719" spans="1:7">
      <c r="A719" s="67">
        <v>508.12</v>
      </c>
      <c r="B719" s="67">
        <v>519.85559999999998</v>
      </c>
      <c r="C719" s="67">
        <v>506.91500000000002</v>
      </c>
      <c r="D719" s="67">
        <v>517.5</v>
      </c>
      <c r="E719" s="67">
        <v>2985560</v>
      </c>
      <c r="F719" s="67" t="s">
        <v>752</v>
      </c>
      <c r="G719" s="25">
        <f t="shared" si="11"/>
        <v>-1.8125603864734274E-2</v>
      </c>
    </row>
    <row r="720" spans="1:7">
      <c r="A720" s="67">
        <v>514.28</v>
      </c>
      <c r="B720" s="67">
        <v>530.99</v>
      </c>
      <c r="C720" s="67">
        <v>511.68</v>
      </c>
      <c r="D720" s="67">
        <v>530</v>
      </c>
      <c r="E720" s="67">
        <v>2876701</v>
      </c>
      <c r="F720" s="67" t="s">
        <v>753</v>
      </c>
      <c r="G720" s="25">
        <f t="shared" si="11"/>
        <v>-2.9660377358490586E-2</v>
      </c>
    </row>
    <row r="721" spans="1:7">
      <c r="A721" s="67">
        <v>521.14</v>
      </c>
      <c r="B721" s="67">
        <v>534.46</v>
      </c>
      <c r="C721" s="67">
        <v>517.63</v>
      </c>
      <c r="D721" s="67">
        <v>533.55999999999995</v>
      </c>
      <c r="E721" s="67">
        <v>2525960</v>
      </c>
      <c r="F721" s="67" t="s">
        <v>754</v>
      </c>
      <c r="G721" s="25">
        <f t="shared" si="11"/>
        <v>-2.3277607017017643E-2</v>
      </c>
    </row>
    <row r="722" spans="1:7">
      <c r="A722" s="67">
        <v>539.55999999999995</v>
      </c>
      <c r="B722" s="67">
        <v>546</v>
      </c>
      <c r="C722" s="67">
        <v>532.12</v>
      </c>
      <c r="D722" s="67">
        <v>544.64</v>
      </c>
      <c r="E722" s="67">
        <v>2358082</v>
      </c>
      <c r="F722" s="67" t="s">
        <v>755</v>
      </c>
      <c r="G722" s="25">
        <f t="shared" si="11"/>
        <v>-9.3272620446533949E-3</v>
      </c>
    </row>
    <row r="723" spans="1:7">
      <c r="A723" s="67">
        <v>540.41</v>
      </c>
      <c r="B723" s="67">
        <v>548.02499999999998</v>
      </c>
      <c r="C723" s="67">
        <v>531</v>
      </c>
      <c r="D723" s="67">
        <v>535.80999999999995</v>
      </c>
      <c r="E723" s="67">
        <v>2172607</v>
      </c>
      <c r="F723" s="67" t="s">
        <v>756</v>
      </c>
      <c r="G723" s="25">
        <f t="shared" si="11"/>
        <v>8.585132789608263E-3</v>
      </c>
    </row>
    <row r="724" spans="1:7">
      <c r="A724" s="67">
        <v>540.96</v>
      </c>
      <c r="B724" s="67">
        <v>555.98</v>
      </c>
      <c r="C724" s="67">
        <v>535.95000000000005</v>
      </c>
      <c r="D724" s="67">
        <v>555.74</v>
      </c>
      <c r="E724" s="67">
        <v>2729190</v>
      </c>
      <c r="F724" s="67" t="s">
        <v>757</v>
      </c>
      <c r="G724" s="25">
        <f t="shared" si="11"/>
        <v>-2.6595170403425961E-2</v>
      </c>
    </row>
    <row r="725" spans="1:7">
      <c r="A725" s="67">
        <v>555.74</v>
      </c>
      <c r="B725" s="67">
        <v>567.1</v>
      </c>
      <c r="C725" s="67">
        <v>553.47</v>
      </c>
      <c r="D725" s="67">
        <v>560</v>
      </c>
      <c r="E725" s="67">
        <v>2809290</v>
      </c>
      <c r="F725" s="67" t="s">
        <v>758</v>
      </c>
      <c r="G725" s="25">
        <f t="shared" si="11"/>
        <v>-7.6071428571428124E-3</v>
      </c>
    </row>
    <row r="726" spans="1:7">
      <c r="A726" s="67">
        <v>557.87</v>
      </c>
      <c r="B726" s="67">
        <v>568.17999999999995</v>
      </c>
      <c r="C726" s="67">
        <v>554.24</v>
      </c>
      <c r="D726" s="67">
        <v>554.48</v>
      </c>
      <c r="E726" s="67">
        <v>2614474</v>
      </c>
      <c r="F726" s="67" t="s">
        <v>759</v>
      </c>
      <c r="G726" s="25">
        <f t="shared" si="11"/>
        <v>6.1138363872457191E-3</v>
      </c>
    </row>
    <row r="727" spans="1:7">
      <c r="A727" s="67">
        <v>560.09</v>
      </c>
      <c r="B727" s="67">
        <v>560.79999999999995</v>
      </c>
      <c r="C727" s="67">
        <v>543.34</v>
      </c>
      <c r="D727" s="67">
        <v>545.41</v>
      </c>
      <c r="E727" s="67">
        <v>2355261</v>
      </c>
      <c r="F727" s="67" t="s">
        <v>760</v>
      </c>
      <c r="G727" s="25">
        <f t="shared" si="11"/>
        <v>2.6915531435067308E-2</v>
      </c>
    </row>
    <row r="728" spans="1:7">
      <c r="A728" s="67">
        <v>550.74</v>
      </c>
      <c r="B728" s="67">
        <v>555.57000000000005</v>
      </c>
      <c r="C728" s="67">
        <v>545.69039999999995</v>
      </c>
      <c r="D728" s="67">
        <v>553.17999999999995</v>
      </c>
      <c r="E728" s="67">
        <v>2179737</v>
      </c>
      <c r="F728" s="67" t="s">
        <v>761</v>
      </c>
      <c r="G728" s="25">
        <f t="shared" si="11"/>
        <v>-4.4108608409557659E-3</v>
      </c>
    </row>
    <row r="729" spans="1:7">
      <c r="A729" s="67">
        <v>548.76</v>
      </c>
      <c r="B729" s="67">
        <v>562.89</v>
      </c>
      <c r="C729" s="67">
        <v>546.99</v>
      </c>
      <c r="D729" s="67">
        <v>560</v>
      </c>
      <c r="E729" s="67">
        <v>2834091</v>
      </c>
      <c r="F729" s="67" t="s">
        <v>762</v>
      </c>
      <c r="G729" s="25">
        <f t="shared" si="11"/>
        <v>-2.0071428571428629E-2</v>
      </c>
    </row>
    <row r="730" spans="1:7">
      <c r="A730" s="67">
        <v>559.63</v>
      </c>
      <c r="B730" s="67">
        <v>574.4</v>
      </c>
      <c r="C730" s="67">
        <v>552.23</v>
      </c>
      <c r="D730" s="67">
        <v>553.70000000000005</v>
      </c>
      <c r="E730" s="67">
        <v>4624024</v>
      </c>
      <c r="F730" s="67" t="s">
        <v>763</v>
      </c>
      <c r="G730" s="25">
        <f t="shared" si="11"/>
        <v>1.0709770633917204E-2</v>
      </c>
    </row>
    <row r="731" spans="1:7">
      <c r="A731" s="67">
        <v>549.91</v>
      </c>
      <c r="B731" s="67">
        <v>551.34</v>
      </c>
      <c r="C731" s="67">
        <v>536.11</v>
      </c>
      <c r="D731" s="67">
        <v>538.59</v>
      </c>
      <c r="E731" s="67">
        <v>3307461</v>
      </c>
      <c r="F731" s="67" t="s">
        <v>764</v>
      </c>
      <c r="G731" s="25">
        <f t="shared" si="11"/>
        <v>2.1017842886054128E-2</v>
      </c>
    </row>
    <row r="732" spans="1:7">
      <c r="A732" s="67">
        <v>532.72</v>
      </c>
      <c r="B732" s="67">
        <v>537</v>
      </c>
      <c r="C732" s="67">
        <v>530.4</v>
      </c>
      <c r="D732" s="67">
        <v>530.91</v>
      </c>
      <c r="E732" s="67">
        <v>2090863</v>
      </c>
      <c r="F732" s="67" t="s">
        <v>765</v>
      </c>
      <c r="G732" s="25">
        <f t="shared" si="11"/>
        <v>3.4092407376016265E-3</v>
      </c>
    </row>
    <row r="733" spans="1:7">
      <c r="A733" s="67">
        <v>529.29</v>
      </c>
      <c r="B733" s="67">
        <v>530</v>
      </c>
      <c r="C733" s="67">
        <v>518.75</v>
      </c>
      <c r="D733" s="67">
        <v>522</v>
      </c>
      <c r="E733" s="67">
        <v>1713470</v>
      </c>
      <c r="F733" s="67" t="s">
        <v>766</v>
      </c>
      <c r="G733" s="25">
        <f t="shared" si="11"/>
        <v>1.3965517241379288E-2</v>
      </c>
    </row>
    <row r="734" spans="1:7">
      <c r="A734" s="67">
        <v>526.67999999999995</v>
      </c>
      <c r="B734" s="67">
        <v>531.30999999999995</v>
      </c>
      <c r="C734" s="67">
        <v>509.52</v>
      </c>
      <c r="D734" s="67">
        <v>513.22</v>
      </c>
      <c r="E734" s="67">
        <v>2526306</v>
      </c>
      <c r="F734" s="67" t="s">
        <v>767</v>
      </c>
      <c r="G734" s="25">
        <f t="shared" si="11"/>
        <v>2.6226569502357577E-2</v>
      </c>
    </row>
    <row r="735" spans="1:7">
      <c r="A735" s="67">
        <v>516.44000000000005</v>
      </c>
      <c r="B735" s="67">
        <v>522.60500000000002</v>
      </c>
      <c r="C735" s="67">
        <v>509.23500000000001</v>
      </c>
      <c r="D735" s="67">
        <v>519.84</v>
      </c>
      <c r="E735" s="67">
        <v>1818976</v>
      </c>
      <c r="F735" s="67" t="s">
        <v>768</v>
      </c>
      <c r="G735" s="25">
        <f t="shared" si="11"/>
        <v>-6.5404739919975308E-3</v>
      </c>
    </row>
    <row r="736" spans="1:7">
      <c r="A736" s="67">
        <v>518.41999999999996</v>
      </c>
      <c r="B736" s="67">
        <v>519.76</v>
      </c>
      <c r="C736" s="67">
        <v>510.00009999999997</v>
      </c>
      <c r="D736" s="67">
        <v>511.93</v>
      </c>
      <c r="E736" s="67">
        <v>2027195</v>
      </c>
      <c r="F736" s="67" t="s">
        <v>769</v>
      </c>
      <c r="G736" s="25">
        <f t="shared" si="11"/>
        <v>1.2677514503935949E-2</v>
      </c>
    </row>
    <row r="737" spans="1:7">
      <c r="A737" s="67">
        <v>507.03</v>
      </c>
      <c r="B737" s="67">
        <v>520.49</v>
      </c>
      <c r="C737" s="67">
        <v>504.55</v>
      </c>
      <c r="D737" s="67">
        <v>517.52</v>
      </c>
      <c r="E737" s="67">
        <v>2004074</v>
      </c>
      <c r="F737" s="67" t="s">
        <v>770</v>
      </c>
      <c r="G737" s="25">
        <f t="shared" si="11"/>
        <v>-2.0269748029061674E-2</v>
      </c>
    </row>
    <row r="738" spans="1:7">
      <c r="A738" s="67">
        <v>521.13</v>
      </c>
      <c r="B738" s="67">
        <v>522.40499999999997</v>
      </c>
      <c r="C738" s="67">
        <v>508.24</v>
      </c>
      <c r="D738" s="67">
        <v>508.24</v>
      </c>
      <c r="E738" s="67">
        <v>2411478</v>
      </c>
      <c r="F738" s="67" t="s">
        <v>771</v>
      </c>
      <c r="G738" s="25">
        <f t="shared" si="11"/>
        <v>2.536203368487322E-2</v>
      </c>
    </row>
    <row r="739" spans="1:7">
      <c r="A739" s="67">
        <v>509.9</v>
      </c>
      <c r="B739" s="67">
        <v>518.58000000000004</v>
      </c>
      <c r="C739" s="67">
        <v>505.44</v>
      </c>
      <c r="D739" s="67">
        <v>505.44</v>
      </c>
      <c r="E739" s="67">
        <v>2796314</v>
      </c>
      <c r="F739" s="67" t="s">
        <v>772</v>
      </c>
      <c r="G739" s="25">
        <f t="shared" si="11"/>
        <v>8.8239949351061053E-3</v>
      </c>
    </row>
    <row r="740" spans="1:7">
      <c r="A740" s="67">
        <v>504.67</v>
      </c>
      <c r="B740" s="67">
        <v>508.67500000000001</v>
      </c>
      <c r="C740" s="67">
        <v>499.25</v>
      </c>
      <c r="D740" s="67">
        <v>500</v>
      </c>
      <c r="E740" s="67">
        <v>2720174</v>
      </c>
      <c r="F740" s="67" t="s">
        <v>773</v>
      </c>
      <c r="G740" s="25">
        <f t="shared" si="11"/>
        <v>9.340000000000126E-3</v>
      </c>
    </row>
    <row r="741" spans="1:7">
      <c r="A741" s="67">
        <v>502.6</v>
      </c>
      <c r="B741" s="67">
        <v>509.25</v>
      </c>
      <c r="C741" s="67">
        <v>498.69549999999998</v>
      </c>
      <c r="D741" s="67">
        <v>507.51</v>
      </c>
      <c r="E741" s="67">
        <v>3311103</v>
      </c>
      <c r="F741" s="67" t="s">
        <v>774</v>
      </c>
      <c r="G741" s="25">
        <f t="shared" si="11"/>
        <v>-9.6746862130794309E-3</v>
      </c>
    </row>
    <row r="742" spans="1:7">
      <c r="A742" s="67">
        <v>506.3</v>
      </c>
      <c r="B742" s="67">
        <v>510.14</v>
      </c>
      <c r="C742" s="67">
        <v>502.01</v>
      </c>
      <c r="D742" s="67">
        <v>510.14</v>
      </c>
      <c r="E742" s="67">
        <v>2375405</v>
      </c>
      <c r="F742" s="67" t="s">
        <v>775</v>
      </c>
      <c r="G742" s="25">
        <f t="shared" si="11"/>
        <v>-7.527345434586552E-3</v>
      </c>
    </row>
    <row r="743" spans="1:7">
      <c r="A743" s="67">
        <v>511.6</v>
      </c>
      <c r="B743" s="67">
        <v>514.245</v>
      </c>
      <c r="C743" s="67">
        <v>507.22</v>
      </c>
      <c r="D743" s="67">
        <v>511.45</v>
      </c>
      <c r="E743" s="67">
        <v>2219542</v>
      </c>
      <c r="F743" s="67" t="s">
        <v>776</v>
      </c>
      <c r="G743" s="25">
        <f t="shared" si="11"/>
        <v>2.932838009581662E-4</v>
      </c>
    </row>
    <row r="744" spans="1:7">
      <c r="A744" s="67">
        <v>512.9</v>
      </c>
      <c r="B744" s="67">
        <v>518.15</v>
      </c>
      <c r="C744" s="67">
        <v>508.83</v>
      </c>
      <c r="D744" s="67">
        <v>513.09</v>
      </c>
      <c r="E744" s="67">
        <v>2702856</v>
      </c>
      <c r="F744" s="67" t="s">
        <v>777</v>
      </c>
      <c r="G744" s="25">
        <f t="shared" si="11"/>
        <v>-3.7030540450999627E-4</v>
      </c>
    </row>
    <row r="745" spans="1:7">
      <c r="A745" s="67">
        <v>513.88</v>
      </c>
      <c r="B745" s="67">
        <v>526.29</v>
      </c>
      <c r="C745" s="67">
        <v>513.4</v>
      </c>
      <c r="D745" s="67">
        <v>519.48</v>
      </c>
      <c r="E745" s="67">
        <v>3846952</v>
      </c>
      <c r="F745" s="67" t="s">
        <v>778</v>
      </c>
      <c r="G745" s="25">
        <f t="shared" si="11"/>
        <v>-1.0780010780010785E-2</v>
      </c>
    </row>
    <row r="746" spans="1:7">
      <c r="A746" s="67">
        <v>535.78</v>
      </c>
      <c r="B746" s="67">
        <v>548.85</v>
      </c>
      <c r="C746" s="67">
        <v>535.73</v>
      </c>
      <c r="D746" s="67">
        <v>541.69000000000005</v>
      </c>
      <c r="E746" s="67">
        <v>2628934</v>
      </c>
      <c r="F746" s="67" t="s">
        <v>779</v>
      </c>
      <c r="G746" s="25">
        <f t="shared" si="11"/>
        <v>-1.0910299248647948E-2</v>
      </c>
    </row>
    <row r="747" spans="1:7">
      <c r="A747" s="67">
        <v>541.69000000000005</v>
      </c>
      <c r="B747" s="67">
        <v>542.4</v>
      </c>
      <c r="C747" s="67">
        <v>529.47</v>
      </c>
      <c r="D747" s="67">
        <v>531.35</v>
      </c>
      <c r="E747" s="67">
        <v>2386600</v>
      </c>
      <c r="F747" s="67" t="s">
        <v>780</v>
      </c>
      <c r="G747" s="25">
        <f t="shared" si="11"/>
        <v>1.9459866378093604E-2</v>
      </c>
    </row>
    <row r="748" spans="1:7">
      <c r="A748" s="67">
        <v>532.41999999999996</v>
      </c>
      <c r="B748" s="67">
        <v>533.98</v>
      </c>
      <c r="C748" s="67">
        <v>522.17999999999995</v>
      </c>
      <c r="D748" s="67">
        <v>524.23</v>
      </c>
      <c r="E748" s="67">
        <v>2650669</v>
      </c>
      <c r="F748" s="67" t="s">
        <v>781</v>
      </c>
      <c r="G748" s="25">
        <f t="shared" si="11"/>
        <v>1.5622913606622824E-2</v>
      </c>
    </row>
    <row r="749" spans="1:7">
      <c r="A749" s="67">
        <v>528.89</v>
      </c>
      <c r="B749" s="67">
        <v>537.69000000000005</v>
      </c>
      <c r="C749" s="67">
        <v>523.61599999999999</v>
      </c>
      <c r="D749" s="67">
        <v>532.11</v>
      </c>
      <c r="E749" s="67">
        <v>9774477</v>
      </c>
      <c r="F749" s="67" t="s">
        <v>782</v>
      </c>
      <c r="G749" s="25">
        <f t="shared" si="11"/>
        <v>-6.0513803536863531E-3</v>
      </c>
    </row>
    <row r="750" spans="1:7">
      <c r="A750" s="67">
        <v>552.16</v>
      </c>
      <c r="B750" s="67">
        <v>555.19479999999999</v>
      </c>
      <c r="C750" s="67">
        <v>544.34</v>
      </c>
      <c r="D750" s="67">
        <v>551.09</v>
      </c>
      <c r="E750" s="67">
        <v>4786850</v>
      </c>
      <c r="F750" s="67" t="s">
        <v>783</v>
      </c>
      <c r="G750" s="25">
        <f t="shared" si="11"/>
        <v>1.9416066341249039E-3</v>
      </c>
    </row>
    <row r="751" spans="1:7">
      <c r="A751" s="67">
        <v>553.55999999999995</v>
      </c>
      <c r="B751" s="67">
        <v>559.85</v>
      </c>
      <c r="C751" s="67">
        <v>546.42999999999995</v>
      </c>
      <c r="D751" s="67">
        <v>557.02</v>
      </c>
      <c r="E751" s="67">
        <v>3465169</v>
      </c>
      <c r="F751" s="67" t="s">
        <v>784</v>
      </c>
      <c r="G751" s="25">
        <f t="shared" si="11"/>
        <v>-6.211626153459493E-3</v>
      </c>
    </row>
    <row r="752" spans="1:7">
      <c r="A752" s="67">
        <v>542.21</v>
      </c>
      <c r="B752" s="67">
        <v>559.09209999999996</v>
      </c>
      <c r="C752" s="67">
        <v>540.37</v>
      </c>
      <c r="D752" s="67">
        <v>555.63</v>
      </c>
      <c r="E752" s="67">
        <v>3961254</v>
      </c>
      <c r="F752" s="67" t="s">
        <v>785</v>
      </c>
      <c r="G752" s="25">
        <f t="shared" si="11"/>
        <v>-2.4152763529686982E-2</v>
      </c>
    </row>
    <row r="753" spans="1:7">
      <c r="A753" s="67">
        <v>564.5</v>
      </c>
      <c r="B753" s="67">
        <v>565.43020000000001</v>
      </c>
      <c r="C753" s="67">
        <v>556.70000000000005</v>
      </c>
      <c r="D753" s="67">
        <v>562</v>
      </c>
      <c r="E753" s="67">
        <v>2083293</v>
      </c>
      <c r="F753" s="67" t="s">
        <v>786</v>
      </c>
      <c r="G753" s="25">
        <f t="shared" si="11"/>
        <v>4.4483985765124689E-3</v>
      </c>
    </row>
    <row r="754" spans="1:7">
      <c r="A754" s="67">
        <v>560.36</v>
      </c>
      <c r="B754" s="67">
        <v>570.23990000000003</v>
      </c>
      <c r="C754" s="67">
        <v>558.03</v>
      </c>
      <c r="D754" s="67">
        <v>568.9</v>
      </c>
      <c r="E754" s="67">
        <v>2265288</v>
      </c>
      <c r="F754" s="67" t="s">
        <v>787</v>
      </c>
      <c r="G754" s="25">
        <f t="shared" si="11"/>
        <v>-1.5011425558094538E-2</v>
      </c>
    </row>
    <row r="755" spans="1:7">
      <c r="A755" s="67">
        <v>560.46</v>
      </c>
      <c r="B755" s="67">
        <v>561.83000000000004</v>
      </c>
      <c r="C755" s="67">
        <v>551.07500000000005</v>
      </c>
      <c r="D755" s="67">
        <v>554</v>
      </c>
      <c r="E755" s="67">
        <v>2089396</v>
      </c>
      <c r="F755" s="67" t="s">
        <v>788</v>
      </c>
      <c r="G755" s="25">
        <f t="shared" si="11"/>
        <v>1.1660649819494662E-2</v>
      </c>
    </row>
    <row r="756" spans="1:7">
      <c r="A756" s="67">
        <v>561.94000000000005</v>
      </c>
      <c r="B756" s="67">
        <v>564.05999999999995</v>
      </c>
      <c r="C756" s="67">
        <v>555.85</v>
      </c>
      <c r="D756" s="67">
        <v>560.45000000000005</v>
      </c>
      <c r="E756" s="67">
        <v>2299883</v>
      </c>
      <c r="F756" s="67" t="s">
        <v>789</v>
      </c>
      <c r="G756" s="25">
        <f t="shared" si="11"/>
        <v>2.6585779284504785E-3</v>
      </c>
    </row>
    <row r="757" spans="1:7">
      <c r="A757" s="67">
        <v>564.88</v>
      </c>
      <c r="B757" s="67">
        <v>567.59</v>
      </c>
      <c r="C757" s="67">
        <v>555.41999999999996</v>
      </c>
      <c r="D757" s="67">
        <v>557.88</v>
      </c>
      <c r="E757" s="67">
        <v>2349719</v>
      </c>
      <c r="F757" s="67" t="s">
        <v>790</v>
      </c>
      <c r="G757" s="25">
        <f t="shared" ref="G757:G820" si="12">A757/D757-1</f>
        <v>1.2547501254750015E-2</v>
      </c>
    </row>
    <row r="758" spans="1:7">
      <c r="A758" s="67">
        <v>563.21</v>
      </c>
      <c r="B758" s="67">
        <v>569.98</v>
      </c>
      <c r="C758" s="67">
        <v>558.51700000000005</v>
      </c>
      <c r="D758" s="67">
        <v>564.79999999999995</v>
      </c>
      <c r="E758" s="67">
        <v>2234067</v>
      </c>
      <c r="F758" s="67" t="s">
        <v>791</v>
      </c>
      <c r="G758" s="25">
        <f t="shared" si="12"/>
        <v>-2.8151558073652438E-3</v>
      </c>
    </row>
    <row r="759" spans="1:7">
      <c r="A759" s="67">
        <v>559.34</v>
      </c>
      <c r="B759" s="67">
        <v>562.1</v>
      </c>
      <c r="C759" s="67">
        <v>546.76</v>
      </c>
      <c r="D759" s="67">
        <v>547</v>
      </c>
      <c r="E759" s="67">
        <v>3919340</v>
      </c>
      <c r="F759" s="67" t="s">
        <v>792</v>
      </c>
      <c r="G759" s="25">
        <f t="shared" si="12"/>
        <v>2.2559414990859228E-2</v>
      </c>
    </row>
    <row r="760" spans="1:7">
      <c r="A760" s="67">
        <v>545.36</v>
      </c>
      <c r="B760" s="67">
        <v>546</v>
      </c>
      <c r="C760" s="67">
        <v>536.09</v>
      </c>
      <c r="D760" s="67">
        <v>540.1</v>
      </c>
      <c r="E760" s="67">
        <v>1930271</v>
      </c>
      <c r="F760" s="67" t="s">
        <v>793</v>
      </c>
      <c r="G760" s="25">
        <f t="shared" si="12"/>
        <v>9.7389372338456681E-3</v>
      </c>
    </row>
    <row r="761" spans="1:7">
      <c r="A761" s="67">
        <v>540.57000000000005</v>
      </c>
      <c r="B761" s="67">
        <v>541.97</v>
      </c>
      <c r="C761" s="67">
        <v>526.14729999999997</v>
      </c>
      <c r="D761" s="67">
        <v>527.70000000000005</v>
      </c>
      <c r="E761" s="67">
        <v>2166979</v>
      </c>
      <c r="F761" s="67" t="s">
        <v>794</v>
      </c>
      <c r="G761" s="25">
        <f t="shared" si="12"/>
        <v>2.4388857305287059E-2</v>
      </c>
    </row>
    <row r="762" spans="1:7">
      <c r="A762" s="67">
        <v>529.91999999999996</v>
      </c>
      <c r="B762" s="67">
        <v>533.51</v>
      </c>
      <c r="C762" s="67">
        <v>523.98</v>
      </c>
      <c r="D762" s="67">
        <v>525.70000000000005</v>
      </c>
      <c r="E762" s="67">
        <v>1684095</v>
      </c>
      <c r="F762" s="67" t="s">
        <v>795</v>
      </c>
      <c r="G762" s="25">
        <f t="shared" si="12"/>
        <v>8.0273920486968464E-3</v>
      </c>
    </row>
    <row r="763" spans="1:7">
      <c r="A763" s="67">
        <v>525.05999999999995</v>
      </c>
      <c r="B763" s="67">
        <v>528.42999999999995</v>
      </c>
      <c r="C763" s="67">
        <v>514.46500000000003</v>
      </c>
      <c r="D763" s="67">
        <v>514.91999999999996</v>
      </c>
      <c r="E763" s="67">
        <v>2308269</v>
      </c>
      <c r="F763" s="67" t="s">
        <v>796</v>
      </c>
      <c r="G763" s="25">
        <f t="shared" si="12"/>
        <v>1.9692379398741577E-2</v>
      </c>
    </row>
    <row r="764" spans="1:7">
      <c r="A764" s="67">
        <v>512.42999999999995</v>
      </c>
      <c r="B764" s="67">
        <v>539.66999999999996</v>
      </c>
      <c r="C764" s="67">
        <v>511.05</v>
      </c>
      <c r="D764" s="67">
        <v>539</v>
      </c>
      <c r="E764" s="67">
        <v>2950211</v>
      </c>
      <c r="F764" s="67" t="s">
        <v>797</v>
      </c>
      <c r="G764" s="25">
        <f t="shared" si="12"/>
        <v>-4.9294990723562249E-2</v>
      </c>
    </row>
    <row r="765" spans="1:7">
      <c r="A765" s="67">
        <v>530.71</v>
      </c>
      <c r="B765" s="67">
        <v>535.25</v>
      </c>
      <c r="C765" s="67">
        <v>519.24</v>
      </c>
      <c r="D765" s="67">
        <v>522.73</v>
      </c>
      <c r="E765" s="67">
        <v>2336856</v>
      </c>
      <c r="F765" s="67" t="s">
        <v>798</v>
      </c>
      <c r="G765" s="25">
        <f t="shared" si="12"/>
        <v>1.5266007307787932E-2</v>
      </c>
    </row>
    <row r="766" spans="1:7">
      <c r="A766" s="67">
        <v>519.48</v>
      </c>
      <c r="B766" s="67">
        <v>530</v>
      </c>
      <c r="C766" s="67">
        <v>518.35</v>
      </c>
      <c r="D766" s="67">
        <v>529.71500000000003</v>
      </c>
      <c r="E766" s="67">
        <v>1496587</v>
      </c>
      <c r="F766" s="67" t="s">
        <v>799</v>
      </c>
      <c r="G766" s="25">
        <f t="shared" si="12"/>
        <v>-1.9321710731242336E-2</v>
      </c>
    </row>
    <row r="767" spans="1:7">
      <c r="A767" s="67">
        <v>520.47</v>
      </c>
      <c r="B767" s="67">
        <v>522.98</v>
      </c>
      <c r="C767" s="67">
        <v>510.29</v>
      </c>
      <c r="D767" s="67">
        <v>510.29</v>
      </c>
      <c r="E767" s="67">
        <v>2428287</v>
      </c>
      <c r="F767" s="67" t="s">
        <v>800</v>
      </c>
      <c r="G767" s="25">
        <f t="shared" si="12"/>
        <v>1.994944051421732E-2</v>
      </c>
    </row>
    <row r="768" spans="1:7">
      <c r="A768" s="67">
        <v>508.13</v>
      </c>
      <c r="B768" s="67">
        <v>510.05</v>
      </c>
      <c r="C768" s="67">
        <v>503.9</v>
      </c>
      <c r="D768" s="67">
        <v>504.65</v>
      </c>
      <c r="E768" s="67">
        <v>2140067</v>
      </c>
      <c r="F768" s="67" t="s">
        <v>801</v>
      </c>
      <c r="G768" s="25">
        <f t="shared" si="12"/>
        <v>6.8958684236599677E-3</v>
      </c>
    </row>
    <row r="769" spans="1:7">
      <c r="A769" s="67">
        <v>511.67</v>
      </c>
      <c r="B769" s="67">
        <v>525.49</v>
      </c>
      <c r="C769" s="67">
        <v>510.56</v>
      </c>
      <c r="D769" s="67">
        <v>525</v>
      </c>
      <c r="E769" s="67">
        <v>2455834</v>
      </c>
      <c r="F769" s="67" t="s">
        <v>802</v>
      </c>
      <c r="G769" s="25">
        <f t="shared" si="12"/>
        <v>-2.5390476190476186E-2</v>
      </c>
    </row>
    <row r="770" spans="1:7">
      <c r="A770" s="67">
        <v>514.49</v>
      </c>
      <c r="B770" s="67">
        <v>523.15</v>
      </c>
      <c r="C770" s="67">
        <v>514.16999999999996</v>
      </c>
      <c r="D770" s="67">
        <v>517.80999999999995</v>
      </c>
      <c r="E770" s="67">
        <v>1541297</v>
      </c>
      <c r="F770" s="67" t="s">
        <v>803</v>
      </c>
      <c r="G770" s="25">
        <f t="shared" si="12"/>
        <v>-6.4116181611014733E-3</v>
      </c>
    </row>
    <row r="771" spans="1:7">
      <c r="A771" s="67">
        <v>518.70000000000005</v>
      </c>
      <c r="B771" s="67">
        <v>522.04</v>
      </c>
      <c r="C771" s="67">
        <v>516.05930000000001</v>
      </c>
      <c r="D771" s="67">
        <v>518.35</v>
      </c>
      <c r="E771" s="67">
        <v>1824324</v>
      </c>
      <c r="F771" s="67" t="s">
        <v>804</v>
      </c>
      <c r="G771" s="25">
        <f t="shared" si="12"/>
        <v>6.7521944632020769E-4</v>
      </c>
    </row>
    <row r="772" spans="1:7">
      <c r="A772" s="67">
        <v>522.25</v>
      </c>
      <c r="B772" s="67">
        <v>522.55489999999998</v>
      </c>
      <c r="C772" s="67">
        <v>505.03</v>
      </c>
      <c r="D772" s="67">
        <v>506.78</v>
      </c>
      <c r="E772" s="67">
        <v>2052509</v>
      </c>
      <c r="F772" s="67" t="s">
        <v>805</v>
      </c>
      <c r="G772" s="25">
        <f t="shared" si="12"/>
        <v>3.0526066537748253E-2</v>
      </c>
    </row>
    <row r="773" spans="1:7">
      <c r="A773" s="67">
        <v>508.45</v>
      </c>
      <c r="B773" s="67">
        <v>514.9</v>
      </c>
      <c r="C773" s="67">
        <v>506.37</v>
      </c>
      <c r="D773" s="67">
        <v>510.83</v>
      </c>
      <c r="E773" s="67">
        <v>1930647</v>
      </c>
      <c r="F773" s="67" t="s">
        <v>806</v>
      </c>
      <c r="G773" s="25">
        <f t="shared" si="12"/>
        <v>-4.6590842354599094E-3</v>
      </c>
    </row>
    <row r="774" spans="1:7">
      <c r="A774" s="67">
        <v>515.83000000000004</v>
      </c>
      <c r="B774" s="67">
        <v>523.22</v>
      </c>
      <c r="C774" s="67">
        <v>512.98</v>
      </c>
      <c r="D774" s="67">
        <v>521.03</v>
      </c>
      <c r="E774" s="67">
        <v>1901693</v>
      </c>
      <c r="F774" s="67" t="s">
        <v>807</v>
      </c>
      <c r="G774" s="25">
        <f t="shared" si="12"/>
        <v>-9.9802314645988099E-3</v>
      </c>
    </row>
    <row r="775" spans="1:7">
      <c r="A775" s="67">
        <v>513.78</v>
      </c>
      <c r="B775" s="67">
        <v>520.97</v>
      </c>
      <c r="C775" s="67">
        <v>509.53</v>
      </c>
      <c r="D775" s="67">
        <v>520.54999999999995</v>
      </c>
      <c r="E775" s="67">
        <v>1843778</v>
      </c>
      <c r="F775" s="67" t="s">
        <v>808</v>
      </c>
      <c r="G775" s="25">
        <f t="shared" si="12"/>
        <v>-1.3005474978388221E-2</v>
      </c>
    </row>
    <row r="776" spans="1:7">
      <c r="A776" s="67">
        <v>520.6</v>
      </c>
      <c r="B776" s="67">
        <v>524.5788</v>
      </c>
      <c r="C776" s="67">
        <v>515.25</v>
      </c>
      <c r="D776" s="67">
        <v>523.99</v>
      </c>
      <c r="E776" s="67">
        <v>2626110</v>
      </c>
      <c r="F776" s="67" t="s">
        <v>809</v>
      </c>
      <c r="G776" s="25">
        <f t="shared" si="12"/>
        <v>-6.4695891142960704E-3</v>
      </c>
    </row>
    <row r="777" spans="1:7">
      <c r="A777" s="67">
        <v>529.73</v>
      </c>
      <c r="B777" s="67">
        <v>532.58000000000004</v>
      </c>
      <c r="C777" s="67">
        <v>523.52</v>
      </c>
      <c r="D777" s="67">
        <v>530</v>
      </c>
      <c r="E777" s="67">
        <v>1777773</v>
      </c>
      <c r="F777" s="67" t="s">
        <v>810</v>
      </c>
      <c r="G777" s="25">
        <f t="shared" si="12"/>
        <v>-5.0943396226410531E-4</v>
      </c>
    </row>
    <row r="778" spans="1:7">
      <c r="A778" s="67">
        <v>526.88</v>
      </c>
      <c r="B778" s="67">
        <v>535.63</v>
      </c>
      <c r="C778" s="67">
        <v>522.12</v>
      </c>
      <c r="D778" s="67">
        <v>526.74</v>
      </c>
      <c r="E778" s="67">
        <v>2462880</v>
      </c>
      <c r="F778" s="67" t="s">
        <v>811</v>
      </c>
      <c r="G778" s="25">
        <f t="shared" si="12"/>
        <v>2.6578577666391823E-4</v>
      </c>
    </row>
    <row r="779" spans="1:7">
      <c r="A779" s="67">
        <v>523.76</v>
      </c>
      <c r="B779" s="67">
        <v>530.91200000000003</v>
      </c>
      <c r="C779" s="67">
        <v>522.21699999999998</v>
      </c>
      <c r="D779" s="67">
        <v>523</v>
      </c>
      <c r="E779" s="67">
        <v>2187501</v>
      </c>
      <c r="F779" s="67" t="s">
        <v>812</v>
      </c>
      <c r="G779" s="25">
        <f t="shared" si="12"/>
        <v>1.4531548757170665E-3</v>
      </c>
    </row>
    <row r="780" spans="1:7">
      <c r="A780" s="67">
        <v>530.29999999999995</v>
      </c>
      <c r="B780" s="67">
        <v>539.99</v>
      </c>
      <c r="C780" s="67">
        <v>526.5</v>
      </c>
      <c r="D780" s="67">
        <v>539.32000000000005</v>
      </c>
      <c r="E780" s="67">
        <v>2973101</v>
      </c>
      <c r="F780" s="67" t="s">
        <v>813</v>
      </c>
      <c r="G780" s="25">
        <f t="shared" si="12"/>
        <v>-1.672476451828242E-2</v>
      </c>
    </row>
    <row r="781" spans="1:7">
      <c r="A781" s="67">
        <v>549.1</v>
      </c>
      <c r="B781" s="67">
        <v>552.01499999999999</v>
      </c>
      <c r="C781" s="67">
        <v>541.66999999999996</v>
      </c>
      <c r="D781" s="67">
        <v>545.78</v>
      </c>
      <c r="E781" s="67">
        <v>2277295</v>
      </c>
      <c r="F781" s="67" t="s">
        <v>814</v>
      </c>
      <c r="G781" s="25">
        <f t="shared" si="12"/>
        <v>6.0830371211844092E-3</v>
      </c>
    </row>
    <row r="782" spans="1:7">
      <c r="A782" s="67">
        <v>546.16999999999996</v>
      </c>
      <c r="B782" s="67">
        <v>552.94000000000005</v>
      </c>
      <c r="C782" s="67">
        <v>541.87</v>
      </c>
      <c r="D782" s="67">
        <v>541.87</v>
      </c>
      <c r="E782" s="67">
        <v>4064689</v>
      </c>
      <c r="F782" s="67" t="s">
        <v>815</v>
      </c>
      <c r="G782" s="25">
        <f t="shared" si="12"/>
        <v>7.9354826803474943E-3</v>
      </c>
    </row>
    <row r="783" spans="1:7">
      <c r="A783" s="67">
        <v>528.87</v>
      </c>
      <c r="B783" s="67">
        <v>530.32000000000005</v>
      </c>
      <c r="C783" s="67">
        <v>514.63</v>
      </c>
      <c r="D783" s="67">
        <v>515.42999999999995</v>
      </c>
      <c r="E783" s="67">
        <v>2810248</v>
      </c>
      <c r="F783" s="67" t="s">
        <v>816</v>
      </c>
      <c r="G783" s="25">
        <f t="shared" si="12"/>
        <v>2.6075315755776929E-2</v>
      </c>
    </row>
    <row r="784" spans="1:7">
      <c r="A784" s="67">
        <v>513.97</v>
      </c>
      <c r="B784" s="67">
        <v>527.9</v>
      </c>
      <c r="C784" s="67">
        <v>511.24</v>
      </c>
      <c r="D784" s="67">
        <v>523.16</v>
      </c>
      <c r="E784" s="67">
        <v>2477246</v>
      </c>
      <c r="F784" s="67" t="s">
        <v>817</v>
      </c>
      <c r="G784" s="25">
        <f t="shared" si="12"/>
        <v>-1.7566327700894502E-2</v>
      </c>
    </row>
    <row r="785" spans="1:7">
      <c r="A785" s="67">
        <v>514.54999999999995</v>
      </c>
      <c r="B785" s="67">
        <v>521.1</v>
      </c>
      <c r="C785" s="67">
        <v>510.44</v>
      </c>
      <c r="D785" s="67">
        <v>520.49</v>
      </c>
      <c r="E785" s="67">
        <v>2918652</v>
      </c>
      <c r="F785" s="67" t="s">
        <v>818</v>
      </c>
      <c r="G785" s="25">
        <f t="shared" si="12"/>
        <v>-1.1412323003323843E-2</v>
      </c>
    </row>
    <row r="786" spans="1:7">
      <c r="A786" s="67">
        <v>525.34</v>
      </c>
      <c r="B786" s="67">
        <v>526.88</v>
      </c>
      <c r="C786" s="67">
        <v>517.91999999999996</v>
      </c>
      <c r="D786" s="67">
        <v>519.41999999999996</v>
      </c>
      <c r="E786" s="67">
        <v>2472108</v>
      </c>
      <c r="F786" s="67" t="s">
        <v>819</v>
      </c>
      <c r="G786" s="25">
        <f t="shared" si="12"/>
        <v>1.1397327788687628E-2</v>
      </c>
    </row>
    <row r="787" spans="1:7">
      <c r="A787" s="67">
        <v>523.86</v>
      </c>
      <c r="B787" s="67">
        <v>524.84</v>
      </c>
      <c r="C787" s="67">
        <v>514.86</v>
      </c>
      <c r="D787" s="67">
        <v>520</v>
      </c>
      <c r="E787" s="67">
        <v>2261046</v>
      </c>
      <c r="F787" s="67" t="s">
        <v>820</v>
      </c>
      <c r="G787" s="25">
        <f t="shared" si="12"/>
        <v>7.4230769230769766E-3</v>
      </c>
    </row>
    <row r="788" spans="1:7">
      <c r="A788" s="67">
        <v>520.23</v>
      </c>
      <c r="B788" s="67">
        <v>529.68510000000003</v>
      </c>
      <c r="C788" s="67">
        <v>519.28</v>
      </c>
      <c r="D788" s="67">
        <v>521.75</v>
      </c>
      <c r="E788" s="67">
        <v>8099521</v>
      </c>
      <c r="F788" s="67" t="s">
        <v>821</v>
      </c>
      <c r="G788" s="25">
        <f t="shared" si="12"/>
        <v>-2.913272640153286E-3</v>
      </c>
    </row>
    <row r="789" spans="1:7">
      <c r="A789" s="67">
        <v>516.88</v>
      </c>
      <c r="B789" s="67">
        <v>528.30999999999995</v>
      </c>
      <c r="C789" s="67">
        <v>514.08500000000004</v>
      </c>
      <c r="D789" s="67">
        <v>522.03</v>
      </c>
      <c r="E789" s="67">
        <v>3264482</v>
      </c>
      <c r="F789" s="67" t="s">
        <v>822</v>
      </c>
      <c r="G789" s="25">
        <f t="shared" si="12"/>
        <v>-9.865333409957211E-3</v>
      </c>
    </row>
    <row r="790" spans="1:7">
      <c r="A790" s="67">
        <v>527.16999999999996</v>
      </c>
      <c r="B790" s="67">
        <v>539</v>
      </c>
      <c r="C790" s="67">
        <v>526.06010000000003</v>
      </c>
      <c r="D790" s="67">
        <v>534.48</v>
      </c>
      <c r="E790" s="67">
        <v>3383210</v>
      </c>
      <c r="F790" s="67" t="s">
        <v>823</v>
      </c>
      <c r="G790" s="25">
        <f t="shared" si="12"/>
        <v>-1.3676844783715114E-2</v>
      </c>
    </row>
    <row r="791" spans="1:7">
      <c r="A791" s="67">
        <v>532.23</v>
      </c>
      <c r="B791" s="67">
        <v>535.12990000000002</v>
      </c>
      <c r="C791" s="67">
        <v>517.375</v>
      </c>
      <c r="D791" s="67">
        <v>519.64</v>
      </c>
      <c r="E791" s="67">
        <v>4094580</v>
      </c>
      <c r="F791" s="67" t="s">
        <v>824</v>
      </c>
      <c r="G791" s="25">
        <f t="shared" si="12"/>
        <v>2.422831190824426E-2</v>
      </c>
    </row>
    <row r="792" spans="1:7">
      <c r="A792" s="67">
        <v>522</v>
      </c>
      <c r="B792" s="67">
        <v>522.68920000000003</v>
      </c>
      <c r="C792" s="67">
        <v>512.38</v>
      </c>
      <c r="D792" s="67">
        <v>513</v>
      </c>
      <c r="E792" s="67">
        <v>2646013</v>
      </c>
      <c r="F792" s="67" t="s">
        <v>825</v>
      </c>
      <c r="G792" s="25">
        <f t="shared" si="12"/>
        <v>1.7543859649122862E-2</v>
      </c>
    </row>
    <row r="793" spans="1:7">
      <c r="A793" s="67">
        <v>514.83000000000004</v>
      </c>
      <c r="B793" s="67">
        <v>523.78499999999997</v>
      </c>
      <c r="C793" s="67">
        <v>512.66999999999996</v>
      </c>
      <c r="D793" s="67">
        <v>517.34</v>
      </c>
      <c r="E793" s="67">
        <v>2303710</v>
      </c>
      <c r="F793" s="67" t="s">
        <v>826</v>
      </c>
      <c r="G793" s="25">
        <f t="shared" si="12"/>
        <v>-4.8517416012680004E-3</v>
      </c>
    </row>
    <row r="794" spans="1:7">
      <c r="A794" s="67">
        <v>517.28</v>
      </c>
      <c r="B794" s="67">
        <v>519.40989999999999</v>
      </c>
      <c r="C794" s="67">
        <v>509.5</v>
      </c>
      <c r="D794" s="67">
        <v>509.62</v>
      </c>
      <c r="E794" s="67">
        <v>3049373</v>
      </c>
      <c r="F794" s="67" t="s">
        <v>827</v>
      </c>
      <c r="G794" s="25">
        <f t="shared" si="12"/>
        <v>1.5030807268160418E-2</v>
      </c>
    </row>
    <row r="795" spans="1:7">
      <c r="A795" s="67">
        <v>507.36</v>
      </c>
      <c r="B795" s="67">
        <v>510.79</v>
      </c>
      <c r="C795" s="67">
        <v>500.01</v>
      </c>
      <c r="D795" s="67">
        <v>509.40499999999997</v>
      </c>
      <c r="E795" s="67">
        <v>3027419</v>
      </c>
      <c r="F795" s="67" t="s">
        <v>828</v>
      </c>
      <c r="G795" s="25">
        <f t="shared" si="12"/>
        <v>-4.0144874903071948E-3</v>
      </c>
    </row>
    <row r="796" spans="1:7">
      <c r="A796" s="67">
        <v>504.74</v>
      </c>
      <c r="B796" s="67">
        <v>506.03</v>
      </c>
      <c r="C796" s="67">
        <v>491.76</v>
      </c>
      <c r="D796" s="67">
        <v>497.28</v>
      </c>
      <c r="E796" s="67">
        <v>2844239</v>
      </c>
      <c r="F796" s="67" t="s">
        <v>829</v>
      </c>
      <c r="G796" s="25">
        <f t="shared" si="12"/>
        <v>1.5001608751608719E-2</v>
      </c>
    </row>
    <row r="797" spans="1:7">
      <c r="A797" s="67">
        <v>496.35</v>
      </c>
      <c r="B797" s="67">
        <v>499.19990000000001</v>
      </c>
      <c r="C797" s="67">
        <v>485.11</v>
      </c>
      <c r="D797" s="67">
        <v>485.27</v>
      </c>
      <c r="E797" s="67">
        <v>3352622</v>
      </c>
      <c r="F797" s="67" t="s">
        <v>830</v>
      </c>
      <c r="G797" s="25">
        <f t="shared" si="12"/>
        <v>2.2832649865023757E-2</v>
      </c>
    </row>
    <row r="798" spans="1:7">
      <c r="A798" s="67">
        <v>485.27</v>
      </c>
      <c r="B798" s="67">
        <v>490.42</v>
      </c>
      <c r="C798" s="67">
        <v>479.86</v>
      </c>
      <c r="D798" s="67">
        <v>481.98</v>
      </c>
      <c r="E798" s="67">
        <v>2325039</v>
      </c>
      <c r="F798" s="67" t="s">
        <v>831</v>
      </c>
      <c r="G798" s="25">
        <f t="shared" si="12"/>
        <v>6.8260093779823894E-3</v>
      </c>
    </row>
    <row r="799" spans="1:7">
      <c r="A799" s="67">
        <v>481.29</v>
      </c>
      <c r="B799" s="67">
        <v>482.5</v>
      </c>
      <c r="C799" s="67">
        <v>475</v>
      </c>
      <c r="D799" s="67">
        <v>479.99</v>
      </c>
      <c r="E799" s="67">
        <v>2102202</v>
      </c>
      <c r="F799" s="67" t="s">
        <v>832</v>
      </c>
      <c r="G799" s="25">
        <f t="shared" si="12"/>
        <v>2.7083897581199334E-3</v>
      </c>
    </row>
    <row r="800" spans="1:7">
      <c r="A800" s="67">
        <v>487.26</v>
      </c>
      <c r="B800" s="67">
        <v>489.41</v>
      </c>
      <c r="C800" s="67">
        <v>479.73</v>
      </c>
      <c r="D800" s="67">
        <v>480.99</v>
      </c>
      <c r="E800" s="67">
        <v>2190353</v>
      </c>
      <c r="F800" s="67" t="s">
        <v>833</v>
      </c>
      <c r="G800" s="25">
        <f t="shared" si="12"/>
        <v>1.3035614046029931E-2</v>
      </c>
    </row>
    <row r="801" spans="1:7">
      <c r="A801" s="67">
        <v>485.21</v>
      </c>
      <c r="B801" s="67">
        <v>486.61</v>
      </c>
      <c r="C801" s="67">
        <v>479.84010000000001</v>
      </c>
      <c r="D801" s="67">
        <v>486.39</v>
      </c>
      <c r="E801" s="67">
        <v>1491011</v>
      </c>
      <c r="F801" s="67" t="s">
        <v>834</v>
      </c>
      <c r="G801" s="25">
        <f t="shared" si="12"/>
        <v>-2.4260367195049204E-3</v>
      </c>
    </row>
    <row r="802" spans="1:7">
      <c r="A802" s="67">
        <v>488.99</v>
      </c>
      <c r="B802" s="67">
        <v>492.81</v>
      </c>
      <c r="C802" s="67">
        <v>482.72</v>
      </c>
      <c r="D802" s="67">
        <v>482.74</v>
      </c>
      <c r="E802" s="67">
        <v>3096582</v>
      </c>
      <c r="F802" s="67" t="s">
        <v>835</v>
      </c>
      <c r="G802" s="25">
        <f t="shared" si="12"/>
        <v>1.2946927952935283E-2</v>
      </c>
    </row>
    <row r="803" spans="1:7">
      <c r="A803" s="67">
        <v>483.77</v>
      </c>
      <c r="B803" s="67">
        <v>485.83</v>
      </c>
      <c r="C803" s="67">
        <v>479.6</v>
      </c>
      <c r="D803" s="67">
        <v>484.47</v>
      </c>
      <c r="E803" s="67">
        <v>1905381</v>
      </c>
      <c r="F803" s="67" t="s">
        <v>836</v>
      </c>
      <c r="G803" s="25">
        <f t="shared" si="12"/>
        <v>-1.4448779078168883E-3</v>
      </c>
    </row>
    <row r="804" spans="1:7">
      <c r="A804" s="67">
        <v>482.43</v>
      </c>
      <c r="B804" s="67">
        <v>489.75</v>
      </c>
      <c r="C804" s="67">
        <v>480.39</v>
      </c>
      <c r="D804" s="67">
        <v>482</v>
      </c>
      <c r="E804" s="67">
        <v>3229236</v>
      </c>
      <c r="F804" s="67" t="s">
        <v>837</v>
      </c>
      <c r="G804" s="25">
        <f t="shared" si="12"/>
        <v>8.9211618257256653E-4</v>
      </c>
    </row>
    <row r="805" spans="1:7">
      <c r="A805" s="67">
        <v>489.27</v>
      </c>
      <c r="B805" s="67">
        <v>490.8</v>
      </c>
      <c r="C805" s="67">
        <v>479.95</v>
      </c>
      <c r="D805" s="67">
        <v>480</v>
      </c>
      <c r="E805" s="67">
        <v>2691749</v>
      </c>
      <c r="F805" s="67" t="s">
        <v>838</v>
      </c>
      <c r="G805" s="25">
        <f t="shared" si="12"/>
        <v>1.9312500000000066E-2</v>
      </c>
    </row>
    <row r="806" spans="1:7">
      <c r="A806" s="67">
        <v>479.51</v>
      </c>
      <c r="B806" s="67">
        <v>487.15629999999999</v>
      </c>
      <c r="C806" s="67">
        <v>479.05</v>
      </c>
      <c r="D806" s="67">
        <v>483.01</v>
      </c>
      <c r="E806" s="67">
        <v>3169505</v>
      </c>
      <c r="F806" s="67" t="s">
        <v>839</v>
      </c>
      <c r="G806" s="25">
        <f t="shared" si="12"/>
        <v>-7.2462267861949092E-3</v>
      </c>
    </row>
    <row r="807" spans="1:7">
      <c r="A807" s="67">
        <v>484.72</v>
      </c>
      <c r="B807" s="67">
        <v>487.33</v>
      </c>
      <c r="C807" s="67">
        <v>472.32</v>
      </c>
      <c r="D807" s="67">
        <v>472.95</v>
      </c>
      <c r="E807" s="67">
        <v>4481510</v>
      </c>
      <c r="F807" s="67" t="s">
        <v>840</v>
      </c>
      <c r="G807" s="25">
        <f t="shared" si="12"/>
        <v>2.488635162279329E-2</v>
      </c>
    </row>
    <row r="808" spans="1:7">
      <c r="A808" s="67">
        <v>477.58</v>
      </c>
      <c r="B808" s="67">
        <v>481</v>
      </c>
      <c r="C808" s="67">
        <v>473.02010000000001</v>
      </c>
      <c r="D808" s="67">
        <v>474.12</v>
      </c>
      <c r="E808" s="67">
        <v>3603787</v>
      </c>
      <c r="F808" s="67" t="s">
        <v>841</v>
      </c>
      <c r="G808" s="25">
        <f t="shared" si="12"/>
        <v>7.2977305323547181E-3</v>
      </c>
    </row>
    <row r="809" spans="1:7">
      <c r="A809" s="67">
        <v>477.48</v>
      </c>
      <c r="B809" s="67">
        <v>495.55</v>
      </c>
      <c r="C809" s="67">
        <v>475.31</v>
      </c>
      <c r="D809" s="67">
        <v>492</v>
      </c>
      <c r="E809" s="67">
        <v>5258704</v>
      </c>
      <c r="F809" s="67" t="s">
        <v>842</v>
      </c>
      <c r="G809" s="25">
        <f t="shared" si="12"/>
        <v>-2.9512195121951135E-2</v>
      </c>
    </row>
    <row r="810" spans="1:7">
      <c r="A810" s="67">
        <v>485.86</v>
      </c>
      <c r="B810" s="67">
        <v>492.68830000000003</v>
      </c>
      <c r="C810" s="67">
        <v>480</v>
      </c>
      <c r="D810" s="67">
        <v>485.63</v>
      </c>
      <c r="E810" s="67">
        <v>5336284</v>
      </c>
      <c r="F810" s="67" t="s">
        <v>843</v>
      </c>
      <c r="G810" s="25">
        <f t="shared" si="12"/>
        <v>4.7361159730652247E-4</v>
      </c>
    </row>
    <row r="811" spans="1:7">
      <c r="A811" s="67">
        <v>495.18</v>
      </c>
      <c r="B811" s="67">
        <v>518.74</v>
      </c>
      <c r="C811" s="67">
        <v>494.62</v>
      </c>
      <c r="D811" s="67">
        <v>518.23</v>
      </c>
      <c r="E811" s="67">
        <v>13343819</v>
      </c>
      <c r="F811" s="67" t="s">
        <v>844</v>
      </c>
      <c r="G811" s="25">
        <f t="shared" si="12"/>
        <v>-4.4478320436871721E-2</v>
      </c>
    </row>
    <row r="812" spans="1:7">
      <c r="A812" s="67">
        <v>490.91</v>
      </c>
      <c r="B812" s="67">
        <v>495.19990000000001</v>
      </c>
      <c r="C812" s="67">
        <v>474.25</v>
      </c>
      <c r="D812" s="67">
        <v>475.47</v>
      </c>
      <c r="E812" s="67">
        <v>9682234</v>
      </c>
      <c r="F812" s="67" t="s">
        <v>845</v>
      </c>
      <c r="G812" s="25">
        <f t="shared" si="12"/>
        <v>3.2473131848486769E-2</v>
      </c>
    </row>
    <row r="813" spans="1:7">
      <c r="A813" s="67">
        <v>479.53</v>
      </c>
      <c r="B813" s="67">
        <v>483.85</v>
      </c>
      <c r="C813" s="67">
        <v>473.2</v>
      </c>
      <c r="D813" s="67">
        <v>476.15</v>
      </c>
      <c r="E813" s="67">
        <v>5150116</v>
      </c>
      <c r="F813" s="67" t="s">
        <v>846</v>
      </c>
      <c r="G813" s="25">
        <f t="shared" si="12"/>
        <v>7.0986033812874272E-3</v>
      </c>
    </row>
    <row r="814" spans="1:7">
      <c r="A814" s="67">
        <v>478.99</v>
      </c>
      <c r="B814" s="67">
        <v>491.51</v>
      </c>
      <c r="C814" s="67">
        <v>470.36</v>
      </c>
      <c r="D814" s="67">
        <v>489.71</v>
      </c>
      <c r="E814" s="67">
        <v>7412478</v>
      </c>
      <c r="F814" s="67" t="s">
        <v>847</v>
      </c>
      <c r="G814" s="25">
        <f t="shared" si="12"/>
        <v>-2.1890506626370598E-2</v>
      </c>
    </row>
    <row r="815" spans="1:7">
      <c r="A815" s="67">
        <v>474.63</v>
      </c>
      <c r="B815" s="67">
        <v>478.04</v>
      </c>
      <c r="C815" s="67">
        <v>459.42</v>
      </c>
      <c r="D815" s="67">
        <v>463.70499999999998</v>
      </c>
      <c r="E815" s="67">
        <v>6930639</v>
      </c>
      <c r="F815" s="67" t="s">
        <v>848</v>
      </c>
      <c r="G815" s="25">
        <f t="shared" si="12"/>
        <v>2.356023765109283E-2</v>
      </c>
    </row>
    <row r="816" spans="1:7">
      <c r="A816" s="67">
        <v>454</v>
      </c>
      <c r="B816" s="67">
        <v>466.59</v>
      </c>
      <c r="C816" s="67">
        <v>453.09</v>
      </c>
      <c r="D816" s="67">
        <v>456.90989999999999</v>
      </c>
      <c r="E816" s="67">
        <v>7933961</v>
      </c>
      <c r="F816" s="67" t="s">
        <v>849</v>
      </c>
      <c r="G816" s="25">
        <f t="shared" si="12"/>
        <v>-6.3686516750894873E-3</v>
      </c>
    </row>
    <row r="817" spans="1:7">
      <c r="A817" s="67">
        <v>439.03</v>
      </c>
      <c r="B817" s="67">
        <v>440.6275</v>
      </c>
      <c r="C817" s="67">
        <v>423.58409999999998</v>
      </c>
      <c r="D817" s="67">
        <v>424.15</v>
      </c>
      <c r="E817" s="67">
        <v>6065556</v>
      </c>
      <c r="F817" s="67" t="s">
        <v>850</v>
      </c>
      <c r="G817" s="25">
        <f t="shared" si="12"/>
        <v>3.5081928563008402E-2</v>
      </c>
    </row>
    <row r="818" spans="1:7">
      <c r="A818" s="67">
        <v>418.32</v>
      </c>
      <c r="B818" s="67">
        <v>436.81</v>
      </c>
      <c r="C818" s="67">
        <v>417.74250000000001</v>
      </c>
      <c r="D818" s="67">
        <v>434.56</v>
      </c>
      <c r="E818" s="67">
        <v>4772958</v>
      </c>
      <c r="F818" s="67" t="s">
        <v>851</v>
      </c>
      <c r="G818" s="25">
        <f t="shared" si="12"/>
        <v>-3.7371134020618535E-2</v>
      </c>
    </row>
    <row r="819" spans="1:7">
      <c r="A819" s="67">
        <v>432.89</v>
      </c>
      <c r="B819" s="67">
        <v>437.12</v>
      </c>
      <c r="C819" s="67">
        <v>431.24</v>
      </c>
      <c r="D819" s="67">
        <v>432.55</v>
      </c>
      <c r="E819" s="67">
        <v>2342000</v>
      </c>
      <c r="F819" s="67" t="s">
        <v>852</v>
      </c>
      <c r="G819" s="25">
        <f t="shared" si="12"/>
        <v>7.8603629638185346E-4</v>
      </c>
    </row>
    <row r="820" spans="1:7">
      <c r="A820" s="67">
        <v>434.18</v>
      </c>
      <c r="B820" s="67">
        <v>440.37990000000002</v>
      </c>
      <c r="C820" s="67">
        <v>426.96</v>
      </c>
      <c r="D820" s="67">
        <v>433.01</v>
      </c>
      <c r="E820" s="67">
        <v>3447429</v>
      </c>
      <c r="F820" s="67" t="s">
        <v>853</v>
      </c>
      <c r="G820" s="25">
        <f t="shared" si="12"/>
        <v>2.7020161197202075E-3</v>
      </c>
    </row>
    <row r="821" spans="1:7">
      <c r="A821" s="67">
        <v>436.37</v>
      </c>
      <c r="B821" s="67">
        <v>438.5308</v>
      </c>
      <c r="C821" s="67">
        <v>430.36</v>
      </c>
      <c r="D821" s="67">
        <v>432</v>
      </c>
      <c r="E821" s="67">
        <v>4334768</v>
      </c>
      <c r="F821" s="67" t="s">
        <v>854</v>
      </c>
      <c r="G821" s="25">
        <f t="shared" ref="G821:G884" si="13">A821/D821-1</f>
        <v>1.0115740740740842E-2</v>
      </c>
    </row>
    <row r="822" spans="1:7">
      <c r="A822" s="67">
        <v>426.75</v>
      </c>
      <c r="B822" s="67">
        <v>430.6</v>
      </c>
      <c r="C822" s="67">
        <v>412.29</v>
      </c>
      <c r="D822" s="67">
        <v>412.29</v>
      </c>
      <c r="E822" s="67">
        <v>4443071</v>
      </c>
      <c r="F822" s="67" t="s">
        <v>855</v>
      </c>
      <c r="G822" s="25">
        <f t="shared" si="13"/>
        <v>3.5072400494797318E-2</v>
      </c>
    </row>
    <row r="823" spans="1:7">
      <c r="A823" s="67">
        <v>417.79</v>
      </c>
      <c r="B823" s="67">
        <v>421.36</v>
      </c>
      <c r="C823" s="67">
        <v>410.70100000000002</v>
      </c>
      <c r="D823" s="67">
        <v>413.9</v>
      </c>
      <c r="E823" s="67">
        <v>5158453</v>
      </c>
      <c r="F823" s="67" t="s">
        <v>856</v>
      </c>
      <c r="G823" s="25">
        <f t="shared" si="13"/>
        <v>9.3984054119353733E-3</v>
      </c>
    </row>
    <row r="824" spans="1:7">
      <c r="A824" s="67">
        <v>417.21</v>
      </c>
      <c r="B824" s="67">
        <v>432.99</v>
      </c>
      <c r="C824" s="67">
        <v>416.08</v>
      </c>
      <c r="D824" s="67">
        <v>429.94</v>
      </c>
      <c r="E824" s="67">
        <v>5332305</v>
      </c>
      <c r="F824" s="67" t="s">
        <v>857</v>
      </c>
      <c r="G824" s="25">
        <f t="shared" si="13"/>
        <v>-2.9608782620830887E-2</v>
      </c>
    </row>
    <row r="825" spans="1:7">
      <c r="A825" s="67">
        <v>415.39</v>
      </c>
      <c r="B825" s="67">
        <v>416.36</v>
      </c>
      <c r="C825" s="67">
        <v>396.57</v>
      </c>
      <c r="D825" s="67">
        <v>396.72</v>
      </c>
      <c r="E825" s="67">
        <v>7833550</v>
      </c>
      <c r="F825" s="67" t="s">
        <v>858</v>
      </c>
      <c r="G825" s="25">
        <f t="shared" si="13"/>
        <v>4.7060899374873788E-2</v>
      </c>
    </row>
    <row r="826" spans="1:7">
      <c r="A826" s="67">
        <v>392.06</v>
      </c>
      <c r="B826" s="67">
        <v>397.6515</v>
      </c>
      <c r="C826" s="67">
        <v>374.09</v>
      </c>
      <c r="D826" s="67">
        <v>375.49</v>
      </c>
      <c r="E826" s="67">
        <v>7029991</v>
      </c>
      <c r="F826" s="67" t="s">
        <v>859</v>
      </c>
      <c r="G826" s="25">
        <f t="shared" si="13"/>
        <v>4.4129004767104352E-2</v>
      </c>
    </row>
    <row r="827" spans="1:7">
      <c r="A827" s="67">
        <v>365.76</v>
      </c>
      <c r="B827" s="67">
        <v>369.06</v>
      </c>
      <c r="C827" s="67">
        <v>361.72</v>
      </c>
      <c r="D827" s="67">
        <v>368.41</v>
      </c>
      <c r="E827" s="67">
        <v>2666564</v>
      </c>
      <c r="F827" s="67" t="s">
        <v>860</v>
      </c>
      <c r="G827" s="25">
        <f t="shared" si="13"/>
        <v>-7.1930729350453415E-3</v>
      </c>
    </row>
    <row r="828" spans="1:7">
      <c r="A828" s="67">
        <v>370.42</v>
      </c>
      <c r="B828" s="67">
        <v>376.49</v>
      </c>
      <c r="C828" s="67">
        <v>369.92</v>
      </c>
      <c r="D828" s="67">
        <v>371.81</v>
      </c>
      <c r="E828" s="67">
        <v>2967666</v>
      </c>
      <c r="F828" s="67" t="s">
        <v>861</v>
      </c>
      <c r="G828" s="25">
        <f t="shared" si="13"/>
        <v>-3.7384685726580269E-3</v>
      </c>
    </row>
    <row r="829" spans="1:7">
      <c r="A829" s="67">
        <v>372.05</v>
      </c>
      <c r="B829" s="67">
        <v>374.40249999999997</v>
      </c>
      <c r="C829" s="67">
        <v>369.66</v>
      </c>
      <c r="D829" s="67">
        <v>371.25</v>
      </c>
      <c r="E829" s="67">
        <v>2627139</v>
      </c>
      <c r="F829" s="67" t="s">
        <v>862</v>
      </c>
      <c r="G829" s="25">
        <f t="shared" si="13"/>
        <v>2.1548821548822428E-3</v>
      </c>
    </row>
    <row r="830" spans="1:7">
      <c r="A830" s="67">
        <v>371.25</v>
      </c>
      <c r="B830" s="67">
        <v>372.08</v>
      </c>
      <c r="C830" s="67">
        <v>361.36</v>
      </c>
      <c r="D830" s="67">
        <v>363</v>
      </c>
      <c r="E830" s="67">
        <v>3856887</v>
      </c>
      <c r="F830" s="67" t="s">
        <v>863</v>
      </c>
      <c r="G830" s="25">
        <f t="shared" si="13"/>
        <v>2.2727272727272707E-2</v>
      </c>
    </row>
    <row r="831" spans="1:7">
      <c r="A831" s="67">
        <v>360.43</v>
      </c>
      <c r="B831" s="67">
        <v>361.48</v>
      </c>
      <c r="C831" s="67">
        <v>356.45</v>
      </c>
      <c r="D831" s="67">
        <v>357</v>
      </c>
      <c r="E831" s="67">
        <v>2896438</v>
      </c>
      <c r="F831" s="67" t="s">
        <v>864</v>
      </c>
      <c r="G831" s="25">
        <f t="shared" si="13"/>
        <v>9.6078431372548234E-3</v>
      </c>
    </row>
    <row r="832" spans="1:7">
      <c r="A832" s="67">
        <v>356.63</v>
      </c>
      <c r="B832" s="67">
        <v>358.69</v>
      </c>
      <c r="C832" s="67">
        <v>345.12</v>
      </c>
      <c r="D832" s="67">
        <v>345.36</v>
      </c>
      <c r="E832" s="67">
        <v>3560559</v>
      </c>
      <c r="F832" s="67" t="s">
        <v>865</v>
      </c>
      <c r="G832" s="25">
        <f t="shared" si="13"/>
        <v>3.2632615242066176E-2</v>
      </c>
    </row>
    <row r="833" spans="1:7">
      <c r="A833" s="67">
        <v>345.11</v>
      </c>
      <c r="B833" s="67">
        <v>347.065</v>
      </c>
      <c r="C833" s="67">
        <v>341.17</v>
      </c>
      <c r="D833" s="67">
        <v>344.2</v>
      </c>
      <c r="E833" s="67">
        <v>2558537</v>
      </c>
      <c r="F833" s="67" t="s">
        <v>866</v>
      </c>
      <c r="G833" s="25">
        <f t="shared" si="13"/>
        <v>2.6438117373621672E-3</v>
      </c>
    </row>
    <row r="834" spans="1:7">
      <c r="A834" s="67">
        <v>345.67</v>
      </c>
      <c r="B834" s="67">
        <v>345.89</v>
      </c>
      <c r="C834" s="67">
        <v>333.01</v>
      </c>
      <c r="D834" s="67">
        <v>337.35</v>
      </c>
      <c r="E834" s="67">
        <v>3330491</v>
      </c>
      <c r="F834" s="67" t="s">
        <v>867</v>
      </c>
      <c r="G834" s="25">
        <f t="shared" si="13"/>
        <v>2.4662813102119374E-2</v>
      </c>
    </row>
    <row r="835" spans="1:7">
      <c r="A835" s="67">
        <v>335.45</v>
      </c>
      <c r="B835" s="67">
        <v>340.79</v>
      </c>
      <c r="C835" s="67">
        <v>331.89</v>
      </c>
      <c r="D835" s="67">
        <v>340.51</v>
      </c>
      <c r="E835" s="67">
        <v>4278675</v>
      </c>
      <c r="F835" s="67" t="s">
        <v>868</v>
      </c>
      <c r="G835" s="25">
        <f t="shared" si="13"/>
        <v>-1.4860062846906108E-2</v>
      </c>
    </row>
    <row r="836" spans="1:7">
      <c r="A836" s="67">
        <v>341.58</v>
      </c>
      <c r="B836" s="67">
        <v>344.66</v>
      </c>
      <c r="C836" s="67">
        <v>339.37</v>
      </c>
      <c r="D836" s="67">
        <v>341.88</v>
      </c>
      <c r="E836" s="67">
        <v>2183379</v>
      </c>
      <c r="F836" s="67" t="s">
        <v>869</v>
      </c>
      <c r="G836" s="25">
        <f t="shared" si="13"/>
        <v>-8.775008775009363E-4</v>
      </c>
    </row>
    <row r="837" spans="1:7">
      <c r="A837" s="67">
        <v>344.02</v>
      </c>
      <c r="B837" s="67">
        <v>351.995</v>
      </c>
      <c r="C837" s="67">
        <v>341.83179999999999</v>
      </c>
      <c r="D837" s="67">
        <v>348.25</v>
      </c>
      <c r="E837" s="67">
        <v>3386325</v>
      </c>
      <c r="F837" s="67" t="s">
        <v>870</v>
      </c>
      <c r="G837" s="25">
        <f t="shared" si="13"/>
        <v>-1.2146446518305876E-2</v>
      </c>
    </row>
    <row r="838" spans="1:7">
      <c r="A838" s="67">
        <v>342.65</v>
      </c>
      <c r="B838" s="67">
        <v>345</v>
      </c>
      <c r="C838" s="67">
        <v>341.23</v>
      </c>
      <c r="D838" s="67">
        <v>342.5</v>
      </c>
      <c r="E838" s="67">
        <v>1879635</v>
      </c>
      <c r="F838" s="67" t="s">
        <v>871</v>
      </c>
      <c r="G838" s="25">
        <f t="shared" si="13"/>
        <v>4.3795620437947491E-4</v>
      </c>
    </row>
    <row r="839" spans="1:7">
      <c r="A839" s="67">
        <v>344.06</v>
      </c>
      <c r="B839" s="67">
        <v>350.48</v>
      </c>
      <c r="C839" s="67">
        <v>340.76</v>
      </c>
      <c r="D839" s="67">
        <v>348</v>
      </c>
      <c r="E839" s="67">
        <v>3135894</v>
      </c>
      <c r="F839" s="67" t="s">
        <v>872</v>
      </c>
      <c r="G839" s="25">
        <f t="shared" si="13"/>
        <v>-1.1321839080459806E-2</v>
      </c>
    </row>
    <row r="840" spans="1:7">
      <c r="A840" s="67">
        <v>348.4</v>
      </c>
      <c r="B840" s="67">
        <v>349.55</v>
      </c>
      <c r="C840" s="67">
        <v>338.03</v>
      </c>
      <c r="D840" s="67">
        <v>338.98</v>
      </c>
      <c r="E840" s="67">
        <v>4260906</v>
      </c>
      <c r="F840" s="67" t="s">
        <v>873</v>
      </c>
      <c r="G840" s="25">
        <f t="shared" si="13"/>
        <v>2.778925010325084E-2</v>
      </c>
    </row>
    <row r="841" spans="1:7">
      <c r="A841" s="67">
        <v>335.83</v>
      </c>
      <c r="B841" s="67">
        <v>348</v>
      </c>
      <c r="C841" s="67">
        <v>332.84</v>
      </c>
      <c r="D841" s="67">
        <v>347.97</v>
      </c>
      <c r="E841" s="67">
        <v>6614890</v>
      </c>
      <c r="F841" s="67" t="s">
        <v>874</v>
      </c>
      <c r="G841" s="25">
        <f t="shared" si="13"/>
        <v>-3.4888065063080287E-2</v>
      </c>
    </row>
    <row r="842" spans="1:7">
      <c r="A842" s="67">
        <v>345.25</v>
      </c>
      <c r="B842" s="67">
        <v>365.96</v>
      </c>
      <c r="C842" s="67">
        <v>344.23500000000001</v>
      </c>
      <c r="D842" s="67">
        <v>363.49</v>
      </c>
      <c r="E842" s="67">
        <v>6700789</v>
      </c>
      <c r="F842" s="67" t="s">
        <v>875</v>
      </c>
      <c r="G842" s="25">
        <f t="shared" si="13"/>
        <v>-5.0180197529505643E-2</v>
      </c>
    </row>
    <row r="843" spans="1:7">
      <c r="A843" s="67">
        <v>368.66</v>
      </c>
      <c r="B843" s="67">
        <v>375.84500000000003</v>
      </c>
      <c r="C843" s="67">
        <v>367.84</v>
      </c>
      <c r="D843" s="67">
        <v>374.35500000000002</v>
      </c>
      <c r="E843" s="67">
        <v>2287616</v>
      </c>
      <c r="F843" s="67" t="s">
        <v>876</v>
      </c>
      <c r="G843" s="25">
        <f t="shared" si="13"/>
        <v>-1.5212832738977666E-2</v>
      </c>
    </row>
    <row r="844" spans="1:7">
      <c r="A844" s="67">
        <v>374.15</v>
      </c>
      <c r="B844" s="67">
        <v>378.72</v>
      </c>
      <c r="C844" s="67">
        <v>373.71</v>
      </c>
      <c r="D844" s="67">
        <v>376.51</v>
      </c>
      <c r="E844" s="67">
        <v>1867950</v>
      </c>
      <c r="F844" s="67" t="s">
        <v>877</v>
      </c>
      <c r="G844" s="25">
        <f t="shared" si="13"/>
        <v>-6.2680938089294536E-3</v>
      </c>
    </row>
    <row r="845" spans="1:7">
      <c r="A845" s="67">
        <v>377.56</v>
      </c>
      <c r="B845" s="67">
        <v>377.69</v>
      </c>
      <c r="C845" s="67">
        <v>368.56</v>
      </c>
      <c r="D845" s="67">
        <v>371.42</v>
      </c>
      <c r="E845" s="67">
        <v>2061740</v>
      </c>
      <c r="F845" s="67" t="s">
        <v>878</v>
      </c>
      <c r="G845" s="25">
        <f t="shared" si="13"/>
        <v>1.6531150718862797E-2</v>
      </c>
    </row>
    <row r="846" spans="1:7">
      <c r="A846" s="67">
        <v>371.42</v>
      </c>
      <c r="B846" s="67">
        <v>373.81990000000002</v>
      </c>
      <c r="C846" s="67">
        <v>363.5</v>
      </c>
      <c r="D846" s="67">
        <v>365.94</v>
      </c>
      <c r="E846" s="67">
        <v>2338835</v>
      </c>
      <c r="F846" s="67" t="s">
        <v>879</v>
      </c>
      <c r="G846" s="25">
        <f t="shared" si="13"/>
        <v>1.4975132535388402E-2</v>
      </c>
    </row>
    <row r="847" spans="1:7">
      <c r="A847" s="67">
        <v>363.06</v>
      </c>
      <c r="B847" s="67">
        <v>369.45</v>
      </c>
      <c r="C847" s="67">
        <v>357.25</v>
      </c>
      <c r="D847" s="67">
        <v>368.6</v>
      </c>
      <c r="E847" s="67">
        <v>2803239</v>
      </c>
      <c r="F847" s="67" t="s">
        <v>880</v>
      </c>
      <c r="G847" s="25">
        <f t="shared" si="13"/>
        <v>-1.5029842647856784E-2</v>
      </c>
    </row>
    <row r="848" spans="1:7">
      <c r="A848" s="67">
        <v>369.59</v>
      </c>
      <c r="B848" s="67">
        <v>375.23</v>
      </c>
      <c r="C848" s="67">
        <v>368.88</v>
      </c>
      <c r="D848" s="67">
        <v>373.63</v>
      </c>
      <c r="E848" s="67">
        <v>2413128</v>
      </c>
      <c r="F848" s="67" t="s">
        <v>881</v>
      </c>
      <c r="G848" s="25">
        <f t="shared" si="13"/>
        <v>-1.0812836228354272E-2</v>
      </c>
    </row>
    <row r="849" spans="1:7">
      <c r="A849" s="67">
        <v>377.34</v>
      </c>
      <c r="B849" s="67">
        <v>378.95</v>
      </c>
      <c r="C849" s="67">
        <v>373.57</v>
      </c>
      <c r="D849" s="67">
        <v>376.59</v>
      </c>
      <c r="E849" s="67">
        <v>1531057</v>
      </c>
      <c r="F849" s="67" t="s">
        <v>882</v>
      </c>
      <c r="G849" s="25">
        <f t="shared" si="13"/>
        <v>1.9915558033936076E-3</v>
      </c>
    </row>
    <row r="850" spans="1:7">
      <c r="A850" s="67">
        <v>377.67</v>
      </c>
      <c r="B850" s="67">
        <v>380.44</v>
      </c>
      <c r="C850" s="67">
        <v>375.44</v>
      </c>
      <c r="D850" s="67">
        <v>379.97</v>
      </c>
      <c r="E850" s="67">
        <v>1841641</v>
      </c>
      <c r="F850" s="67" t="s">
        <v>883</v>
      </c>
      <c r="G850" s="25">
        <f t="shared" si="13"/>
        <v>-6.0531094560096754E-3</v>
      </c>
    </row>
    <row r="851" spans="1:7">
      <c r="A851" s="67">
        <v>380.26</v>
      </c>
      <c r="B851" s="67">
        <v>382.995</v>
      </c>
      <c r="C851" s="67">
        <v>375.67</v>
      </c>
      <c r="D851" s="67">
        <v>376.04</v>
      </c>
      <c r="E851" s="67">
        <v>1947863</v>
      </c>
      <c r="F851" s="67" t="s">
        <v>884</v>
      </c>
      <c r="G851" s="25">
        <f t="shared" si="13"/>
        <v>1.1222210403148525E-2</v>
      </c>
    </row>
    <row r="852" spans="1:7">
      <c r="A852" s="67">
        <v>380.11</v>
      </c>
      <c r="B852" s="67">
        <v>382.84</v>
      </c>
      <c r="C852" s="67">
        <v>375.6</v>
      </c>
      <c r="D852" s="67">
        <v>377.9</v>
      </c>
      <c r="E852" s="67">
        <v>1775191</v>
      </c>
      <c r="F852" s="67" t="s">
        <v>885</v>
      </c>
      <c r="G852" s="25">
        <f t="shared" si="13"/>
        <v>5.8481079650702927E-3</v>
      </c>
    </row>
    <row r="853" spans="1:7">
      <c r="A853" s="67">
        <v>377.55</v>
      </c>
      <c r="B853" s="67">
        <v>380.9</v>
      </c>
      <c r="C853" s="67">
        <v>374.48750000000001</v>
      </c>
      <c r="D853" s="67">
        <v>380.9</v>
      </c>
      <c r="E853" s="67">
        <v>1586650</v>
      </c>
      <c r="F853" s="67" t="s">
        <v>886</v>
      </c>
      <c r="G853" s="25">
        <f t="shared" si="13"/>
        <v>-8.7949593069046594E-3</v>
      </c>
    </row>
    <row r="854" spans="1:7">
      <c r="A854" s="67">
        <v>377.92</v>
      </c>
      <c r="B854" s="67">
        <v>380.76</v>
      </c>
      <c r="C854" s="67">
        <v>374.62</v>
      </c>
      <c r="D854" s="67">
        <v>379.61</v>
      </c>
      <c r="E854" s="67">
        <v>1614322</v>
      </c>
      <c r="F854" s="67" t="s">
        <v>887</v>
      </c>
      <c r="G854" s="25">
        <f t="shared" si="13"/>
        <v>-4.4519375148178719E-3</v>
      </c>
    </row>
    <row r="855" spans="1:7">
      <c r="A855" s="67">
        <v>379.38</v>
      </c>
      <c r="B855" s="67">
        <v>380.57</v>
      </c>
      <c r="C855" s="67">
        <v>375.14</v>
      </c>
      <c r="D855" s="67">
        <v>376.37</v>
      </c>
      <c r="E855" s="67">
        <v>1525633</v>
      </c>
      <c r="F855" s="67" t="s">
        <v>888</v>
      </c>
      <c r="G855" s="25">
        <f t="shared" si="13"/>
        <v>7.9974493184897799E-3</v>
      </c>
    </row>
    <row r="856" spans="1:7">
      <c r="A856" s="67">
        <v>378.8</v>
      </c>
      <c r="B856" s="67">
        <v>379.02</v>
      </c>
      <c r="C856" s="67">
        <v>372.73</v>
      </c>
      <c r="D856" s="67">
        <v>373.2</v>
      </c>
      <c r="E856" s="67">
        <v>2434809</v>
      </c>
      <c r="F856" s="67" t="s">
        <v>889</v>
      </c>
      <c r="G856" s="25">
        <f t="shared" si="13"/>
        <v>1.5005359056806E-2</v>
      </c>
    </row>
    <row r="857" spans="1:7">
      <c r="A857" s="67">
        <v>369.89</v>
      </c>
      <c r="B857" s="67">
        <v>378.23</v>
      </c>
      <c r="C857" s="67">
        <v>368.75</v>
      </c>
      <c r="D857" s="67">
        <v>376.42</v>
      </c>
      <c r="E857" s="67">
        <v>1978197</v>
      </c>
      <c r="F857" s="67" t="s">
        <v>890</v>
      </c>
      <c r="G857" s="25">
        <f t="shared" si="13"/>
        <v>-1.7347643589607387E-2</v>
      </c>
    </row>
    <row r="858" spans="1:7">
      <c r="A858" s="67">
        <v>371.11</v>
      </c>
      <c r="B858" s="67">
        <v>375.9</v>
      </c>
      <c r="C858" s="67">
        <v>368.35</v>
      </c>
      <c r="D858" s="67">
        <v>374.01</v>
      </c>
      <c r="E858" s="67">
        <v>2161051</v>
      </c>
      <c r="F858" s="67" t="s">
        <v>891</v>
      </c>
      <c r="G858" s="25">
        <f t="shared" si="13"/>
        <v>-7.7538033742412527E-3</v>
      </c>
    </row>
    <row r="859" spans="1:7">
      <c r="A859" s="67">
        <v>376.25</v>
      </c>
      <c r="B859" s="67">
        <v>376.67</v>
      </c>
      <c r="C859" s="67">
        <v>372.26</v>
      </c>
      <c r="D859" s="67">
        <v>375.48</v>
      </c>
      <c r="E859" s="67">
        <v>1689674</v>
      </c>
      <c r="F859" s="67" t="s">
        <v>892</v>
      </c>
      <c r="G859" s="25">
        <f t="shared" si="13"/>
        <v>2.0507084265473097E-3</v>
      </c>
    </row>
    <row r="860" spans="1:7">
      <c r="A860" s="67">
        <v>380.6</v>
      </c>
      <c r="B860" s="67">
        <v>382.46</v>
      </c>
      <c r="C860" s="67">
        <v>375.99</v>
      </c>
      <c r="D860" s="67">
        <v>379.31</v>
      </c>
      <c r="E860" s="67">
        <v>1836025</v>
      </c>
      <c r="F860" s="67" t="s">
        <v>893</v>
      </c>
      <c r="G860" s="25">
        <f t="shared" si="13"/>
        <v>3.4009121826474864E-3</v>
      </c>
    </row>
    <row r="861" spans="1:7">
      <c r="A861" s="67">
        <v>382.02</v>
      </c>
      <c r="B861" s="67">
        <v>386</v>
      </c>
      <c r="C861" s="67">
        <v>377.255</v>
      </c>
      <c r="D861" s="67">
        <v>384.09</v>
      </c>
      <c r="E861" s="67">
        <v>2277403</v>
      </c>
      <c r="F861" s="67" t="s">
        <v>894</v>
      </c>
      <c r="G861" s="25">
        <f t="shared" si="13"/>
        <v>-5.3893618683120703E-3</v>
      </c>
    </row>
    <row r="862" spans="1:7">
      <c r="A862" s="67">
        <v>385.15</v>
      </c>
      <c r="B862" s="67">
        <v>385.7</v>
      </c>
      <c r="C862" s="67">
        <v>381.05020000000002</v>
      </c>
      <c r="D862" s="67">
        <v>382.24</v>
      </c>
      <c r="E862" s="67">
        <v>2569950</v>
      </c>
      <c r="F862" s="67" t="s">
        <v>895</v>
      </c>
      <c r="G862" s="25">
        <f t="shared" si="13"/>
        <v>7.6130179991626967E-3</v>
      </c>
    </row>
    <row r="863" spans="1:7">
      <c r="A863" s="67">
        <v>380.08</v>
      </c>
      <c r="B863" s="67">
        <v>383.73</v>
      </c>
      <c r="C863" s="67">
        <v>378.15</v>
      </c>
      <c r="D863" s="67">
        <v>380.88</v>
      </c>
      <c r="E863" s="67">
        <v>2712644</v>
      </c>
      <c r="F863" s="67" t="s">
        <v>896</v>
      </c>
      <c r="G863" s="25">
        <f t="shared" si="13"/>
        <v>-2.1003990758244884E-3</v>
      </c>
    </row>
    <row r="864" spans="1:7">
      <c r="A864" s="67">
        <v>385.37</v>
      </c>
      <c r="B864" s="67">
        <v>385.73</v>
      </c>
      <c r="C864" s="67">
        <v>380.26</v>
      </c>
      <c r="D864" s="67">
        <v>382.29</v>
      </c>
      <c r="E864" s="67">
        <v>3063428</v>
      </c>
      <c r="F864" s="67" t="s">
        <v>897</v>
      </c>
      <c r="G864" s="25">
        <f t="shared" si="13"/>
        <v>8.0567108739437732E-3</v>
      </c>
    </row>
    <row r="865" spans="1:7">
      <c r="A865" s="67">
        <v>381.9</v>
      </c>
      <c r="B865" s="67">
        <v>382.58</v>
      </c>
      <c r="C865" s="67">
        <v>378.08</v>
      </c>
      <c r="D865" s="67">
        <v>381.65</v>
      </c>
      <c r="E865" s="67">
        <v>2138955</v>
      </c>
      <c r="F865" s="67" t="s">
        <v>898</v>
      </c>
      <c r="G865" s="25">
        <f t="shared" si="13"/>
        <v>6.5505043888380854E-4</v>
      </c>
    </row>
    <row r="866" spans="1:7">
      <c r="A866" s="67">
        <v>379.16</v>
      </c>
      <c r="B866" s="67">
        <v>380.12</v>
      </c>
      <c r="C866" s="67">
        <v>375.56</v>
      </c>
      <c r="D866" s="67">
        <v>376.68</v>
      </c>
      <c r="E866" s="67">
        <v>2497612</v>
      </c>
      <c r="F866" s="67" t="s">
        <v>899</v>
      </c>
      <c r="G866" s="25">
        <f t="shared" si="13"/>
        <v>6.5838377402569481E-3</v>
      </c>
    </row>
    <row r="867" spans="1:7">
      <c r="A867" s="67">
        <v>373.4</v>
      </c>
      <c r="B867" s="67">
        <v>374</v>
      </c>
      <c r="C867" s="67">
        <v>367.82</v>
      </c>
      <c r="D867" s="67">
        <v>373.42</v>
      </c>
      <c r="E867" s="67">
        <v>1780809</v>
      </c>
      <c r="F867" s="67" t="s">
        <v>900</v>
      </c>
      <c r="G867" s="25">
        <f t="shared" si="13"/>
        <v>-5.3558995233404794E-5</v>
      </c>
    </row>
    <row r="868" spans="1:7">
      <c r="A868" s="67">
        <v>373.15</v>
      </c>
      <c r="B868" s="67">
        <v>380.35</v>
      </c>
      <c r="C868" s="67">
        <v>369.68</v>
      </c>
      <c r="D868" s="67">
        <v>376.51</v>
      </c>
      <c r="E868" s="67">
        <v>2832190</v>
      </c>
      <c r="F868" s="67" t="s">
        <v>901</v>
      </c>
      <c r="G868" s="25">
        <f t="shared" si="13"/>
        <v>-8.9240657618655517E-3</v>
      </c>
    </row>
    <row r="869" spans="1:7">
      <c r="A869" s="67">
        <v>374.96</v>
      </c>
      <c r="B869" s="67">
        <v>375.23</v>
      </c>
      <c r="C869" s="67">
        <v>367.72</v>
      </c>
      <c r="D869" s="67">
        <v>370.23</v>
      </c>
      <c r="E869" s="67">
        <v>2995521</v>
      </c>
      <c r="F869" s="67" t="s">
        <v>902</v>
      </c>
      <c r="G869" s="25">
        <f t="shared" si="13"/>
        <v>1.2775842044134622E-2</v>
      </c>
    </row>
    <row r="870" spans="1:7">
      <c r="A870" s="67">
        <v>369</v>
      </c>
      <c r="B870" s="67">
        <v>375.24990000000003</v>
      </c>
      <c r="C870" s="67">
        <v>365.49</v>
      </c>
      <c r="D870" s="67">
        <v>368.99</v>
      </c>
      <c r="E870" s="67">
        <v>3138588</v>
      </c>
      <c r="F870" s="67" t="s">
        <v>903</v>
      </c>
      <c r="G870" s="25">
        <f t="shared" si="13"/>
        <v>2.7101005447338622E-5</v>
      </c>
    </row>
    <row r="871" spans="1:7">
      <c r="A871" s="67">
        <v>361.71</v>
      </c>
      <c r="B871" s="67">
        <v>377.32990000000001</v>
      </c>
      <c r="C871" s="67">
        <v>361.52</v>
      </c>
      <c r="D871" s="67">
        <v>375</v>
      </c>
      <c r="E871" s="67">
        <v>3878428</v>
      </c>
      <c r="F871" s="67" t="s">
        <v>904</v>
      </c>
      <c r="G871" s="25">
        <f t="shared" si="13"/>
        <v>-3.5440000000000027E-2</v>
      </c>
    </row>
    <row r="872" spans="1:7">
      <c r="A872" s="67">
        <v>374.22</v>
      </c>
      <c r="B872" s="67">
        <v>376.4</v>
      </c>
      <c r="C872" s="67">
        <v>362.92</v>
      </c>
      <c r="D872" s="67">
        <v>364.63</v>
      </c>
      <c r="E872" s="67">
        <v>4479191</v>
      </c>
      <c r="F872" s="67" t="s">
        <v>905</v>
      </c>
      <c r="G872" s="25">
        <f t="shared" si="13"/>
        <v>2.6300633518909766E-2</v>
      </c>
    </row>
    <row r="873" spans="1:7">
      <c r="A873" s="67">
        <v>362.88</v>
      </c>
      <c r="B873" s="67">
        <v>364.93990000000002</v>
      </c>
      <c r="C873" s="67">
        <v>355.35</v>
      </c>
      <c r="D873" s="67">
        <v>357.61</v>
      </c>
      <c r="E873" s="67">
        <v>3946758</v>
      </c>
      <c r="F873" s="67" t="s">
        <v>906</v>
      </c>
      <c r="G873" s="25">
        <f t="shared" si="13"/>
        <v>1.4736724364531106E-2</v>
      </c>
    </row>
    <row r="874" spans="1:7">
      <c r="A874" s="67">
        <v>358.14</v>
      </c>
      <c r="B874" s="67">
        <v>360.63</v>
      </c>
      <c r="C874" s="67">
        <v>350.83499999999998</v>
      </c>
      <c r="D874" s="67">
        <v>354.78</v>
      </c>
      <c r="E874" s="67">
        <v>6725352</v>
      </c>
      <c r="F874" s="67" t="s">
        <v>907</v>
      </c>
      <c r="G874" s="25">
        <f t="shared" si="13"/>
        <v>9.470657872484356E-3</v>
      </c>
    </row>
    <row r="875" spans="1:7">
      <c r="A875" s="67">
        <v>353.29</v>
      </c>
      <c r="B875" s="67">
        <v>355.49</v>
      </c>
      <c r="C875" s="67">
        <v>340.53</v>
      </c>
      <c r="D875" s="67">
        <v>344.57</v>
      </c>
      <c r="E875" s="67">
        <v>6948578</v>
      </c>
      <c r="F875" s="67" t="s">
        <v>908</v>
      </c>
      <c r="G875" s="25">
        <f t="shared" si="13"/>
        <v>2.53069042574805E-2</v>
      </c>
    </row>
    <row r="876" spans="1:7">
      <c r="A876" s="67">
        <v>333.61</v>
      </c>
      <c r="B876" s="67">
        <v>334.28</v>
      </c>
      <c r="C876" s="67">
        <v>328.17250000000001</v>
      </c>
      <c r="D876" s="67">
        <v>330</v>
      </c>
      <c r="E876" s="67">
        <v>4627109</v>
      </c>
      <c r="F876" s="67" t="s">
        <v>909</v>
      </c>
      <c r="G876" s="25">
        <f t="shared" si="13"/>
        <v>1.0939393939394026E-2</v>
      </c>
    </row>
    <row r="877" spans="1:7">
      <c r="A877" s="67">
        <v>333.33</v>
      </c>
      <c r="B877" s="67">
        <v>335.17</v>
      </c>
      <c r="C877" s="67">
        <v>328.69499999999999</v>
      </c>
      <c r="D877" s="67">
        <v>332.21</v>
      </c>
      <c r="E877" s="67">
        <v>3850920</v>
      </c>
      <c r="F877" s="67" t="s">
        <v>910</v>
      </c>
      <c r="G877" s="25">
        <f t="shared" si="13"/>
        <v>3.3713614882153742E-3</v>
      </c>
    </row>
    <row r="878" spans="1:7">
      <c r="A878" s="67">
        <v>324.27</v>
      </c>
      <c r="B878" s="67">
        <v>333</v>
      </c>
      <c r="C878" s="67">
        <v>323.29000000000002</v>
      </c>
      <c r="D878" s="67">
        <v>329.42</v>
      </c>
      <c r="E878" s="67">
        <v>4203455</v>
      </c>
      <c r="F878" s="67" t="s">
        <v>911</v>
      </c>
      <c r="G878" s="25">
        <f t="shared" si="13"/>
        <v>-1.563353773298537E-2</v>
      </c>
    </row>
    <row r="879" spans="1:7">
      <c r="A879" s="67">
        <v>329.3</v>
      </c>
      <c r="B879" s="67">
        <v>338.52</v>
      </c>
      <c r="C879" s="67">
        <v>328.44499999999999</v>
      </c>
      <c r="D879" s="67">
        <v>338.34</v>
      </c>
      <c r="E879" s="67">
        <v>4148249</v>
      </c>
      <c r="F879" s="67" t="s">
        <v>912</v>
      </c>
      <c r="G879" s="25">
        <f t="shared" si="13"/>
        <v>-2.6718685346101445E-2</v>
      </c>
    </row>
    <row r="880" spans="1:7">
      <c r="A880" s="67">
        <v>338.37</v>
      </c>
      <c r="B880" s="67">
        <v>350.13</v>
      </c>
      <c r="C880" s="67">
        <v>336.99</v>
      </c>
      <c r="D880" s="67">
        <v>344.72</v>
      </c>
      <c r="E880" s="67">
        <v>3798302</v>
      </c>
      <c r="F880" s="67" t="s">
        <v>913</v>
      </c>
      <c r="G880" s="25">
        <f t="shared" si="13"/>
        <v>-1.8420747273149241E-2</v>
      </c>
    </row>
    <row r="881" spans="1:7">
      <c r="A881" s="67">
        <v>345.84</v>
      </c>
      <c r="B881" s="67">
        <v>348.69</v>
      </c>
      <c r="C881" s="67">
        <v>343.4701</v>
      </c>
      <c r="D881" s="67">
        <v>346.74</v>
      </c>
      <c r="E881" s="67">
        <v>2518851</v>
      </c>
      <c r="F881" s="67" t="s">
        <v>914</v>
      </c>
      <c r="G881" s="25">
        <f t="shared" si="13"/>
        <v>-2.5956047759129186E-3</v>
      </c>
    </row>
    <row r="882" spans="1:7">
      <c r="A882" s="67">
        <v>344.8</v>
      </c>
      <c r="B882" s="67">
        <v>352.16500000000002</v>
      </c>
      <c r="C882" s="67">
        <v>344.06</v>
      </c>
      <c r="D882" s="67">
        <v>347.86</v>
      </c>
      <c r="E882" s="67">
        <v>2252817</v>
      </c>
      <c r="F882" s="67" t="s">
        <v>915</v>
      </c>
      <c r="G882" s="25">
        <f t="shared" si="13"/>
        <v>-8.7966423273730943E-3</v>
      </c>
    </row>
    <row r="883" spans="1:7">
      <c r="A883" s="67">
        <v>347.02</v>
      </c>
      <c r="B883" s="67">
        <v>351.77499999999998</v>
      </c>
      <c r="C883" s="67">
        <v>344.28</v>
      </c>
      <c r="D883" s="67">
        <v>344.33</v>
      </c>
      <c r="E883" s="67">
        <v>3060306</v>
      </c>
      <c r="F883" s="67" t="s">
        <v>916</v>
      </c>
      <c r="G883" s="25">
        <f t="shared" si="13"/>
        <v>7.8122731100978005E-3</v>
      </c>
    </row>
    <row r="884" spans="1:7">
      <c r="A884" s="67">
        <v>344.04</v>
      </c>
      <c r="B884" s="67">
        <v>344.76</v>
      </c>
      <c r="C884" s="67">
        <v>334.48349999999999</v>
      </c>
      <c r="D884" s="67">
        <v>334.69</v>
      </c>
      <c r="E884" s="67">
        <v>3725472</v>
      </c>
      <c r="F884" s="67" t="s">
        <v>917</v>
      </c>
      <c r="G884" s="25">
        <f t="shared" si="13"/>
        <v>2.7936299262003805E-2</v>
      </c>
    </row>
    <row r="885" spans="1:7">
      <c r="A885" s="67">
        <v>333.5</v>
      </c>
      <c r="B885" s="67">
        <v>334.46</v>
      </c>
      <c r="C885" s="67">
        <v>321.56</v>
      </c>
      <c r="D885" s="67">
        <v>323.38</v>
      </c>
      <c r="E885" s="67">
        <v>3846745</v>
      </c>
      <c r="F885" s="67" t="s">
        <v>918</v>
      </c>
      <c r="G885" s="25">
        <f t="shared" ref="G885:G948" si="14">A885/D885-1</f>
        <v>3.1294452347083945E-2</v>
      </c>
    </row>
    <row r="886" spans="1:7">
      <c r="A886" s="67">
        <v>323.38</v>
      </c>
      <c r="B886" s="67">
        <v>325.26</v>
      </c>
      <c r="C886" s="67">
        <v>321</v>
      </c>
      <c r="D886" s="67">
        <v>323.8</v>
      </c>
      <c r="E886" s="67">
        <v>2377736</v>
      </c>
      <c r="F886" s="67" t="s">
        <v>919</v>
      </c>
      <c r="G886" s="25">
        <f t="shared" si="14"/>
        <v>-1.2970969734404925E-3</v>
      </c>
    </row>
    <row r="887" spans="1:7">
      <c r="A887" s="67">
        <v>323.95</v>
      </c>
      <c r="B887" s="67">
        <v>325.73</v>
      </c>
      <c r="C887" s="67">
        <v>320.97000000000003</v>
      </c>
      <c r="D887" s="67">
        <v>323.37</v>
      </c>
      <c r="E887" s="67">
        <v>2714154</v>
      </c>
      <c r="F887" s="67" t="s">
        <v>920</v>
      </c>
      <c r="G887" s="25">
        <f t="shared" si="14"/>
        <v>1.7936110338001576E-3</v>
      </c>
    </row>
    <row r="888" spans="1:7">
      <c r="A888" s="67">
        <v>322.32</v>
      </c>
      <c r="B888" s="67">
        <v>325.10000000000002</v>
      </c>
      <c r="C888" s="67">
        <v>320.7</v>
      </c>
      <c r="D888" s="67">
        <v>322.02</v>
      </c>
      <c r="E888" s="67">
        <v>3500550</v>
      </c>
      <c r="F888" s="67" t="s">
        <v>921</v>
      </c>
      <c r="G888" s="25">
        <f t="shared" si="14"/>
        <v>9.3161915408979112E-4</v>
      </c>
    </row>
    <row r="889" spans="1:7">
      <c r="A889" s="67">
        <v>320.54000000000002</v>
      </c>
      <c r="B889" s="67">
        <v>329.76</v>
      </c>
      <c r="C889" s="67">
        <v>318.60000000000002</v>
      </c>
      <c r="D889" s="67">
        <v>328.12</v>
      </c>
      <c r="E889" s="67">
        <v>8444481</v>
      </c>
      <c r="F889" s="67" t="s">
        <v>922</v>
      </c>
      <c r="G889" s="25">
        <f t="shared" si="14"/>
        <v>-2.3101304400828915E-2</v>
      </c>
    </row>
    <row r="890" spans="1:7">
      <c r="A890" s="67">
        <v>347.02</v>
      </c>
      <c r="B890" s="67">
        <v>353.8</v>
      </c>
      <c r="C890" s="67">
        <v>343.92750000000001</v>
      </c>
      <c r="D890" s="67">
        <v>350.44</v>
      </c>
      <c r="E890" s="67">
        <v>3154508</v>
      </c>
      <c r="F890" s="67" t="s">
        <v>923</v>
      </c>
      <c r="G890" s="25">
        <f t="shared" si="14"/>
        <v>-9.7591599132519358E-3</v>
      </c>
    </row>
    <row r="891" spans="1:7">
      <c r="A891" s="67">
        <v>348.72</v>
      </c>
      <c r="B891" s="67">
        <v>353.17239999999998</v>
      </c>
      <c r="C891" s="67">
        <v>344.45</v>
      </c>
      <c r="D891" s="67">
        <v>346.69</v>
      </c>
      <c r="E891" s="67">
        <v>2599304</v>
      </c>
      <c r="F891" s="67" t="s">
        <v>924</v>
      </c>
      <c r="G891" s="25">
        <f t="shared" si="14"/>
        <v>5.8553751189824865E-3</v>
      </c>
    </row>
    <row r="892" spans="1:7">
      <c r="A892" s="67">
        <v>346.7</v>
      </c>
      <c r="B892" s="67">
        <v>353.25</v>
      </c>
      <c r="C892" s="67">
        <v>345.69</v>
      </c>
      <c r="D892" s="67">
        <v>350.78</v>
      </c>
      <c r="E892" s="67">
        <v>3002659</v>
      </c>
      <c r="F892" s="67" t="s">
        <v>925</v>
      </c>
      <c r="G892" s="25">
        <f t="shared" si="14"/>
        <v>-1.1631221848452E-2</v>
      </c>
    </row>
    <row r="893" spans="1:7">
      <c r="A893" s="67">
        <v>356.85</v>
      </c>
      <c r="B893" s="67">
        <v>359.61</v>
      </c>
      <c r="C893" s="67">
        <v>352.12</v>
      </c>
      <c r="D893" s="67">
        <v>359.31</v>
      </c>
      <c r="E893" s="67">
        <v>2985940</v>
      </c>
      <c r="F893" s="67" t="s">
        <v>926</v>
      </c>
      <c r="G893" s="25">
        <f t="shared" si="14"/>
        <v>-6.8464557067712262E-3</v>
      </c>
    </row>
    <row r="894" spans="1:7">
      <c r="A894" s="67">
        <v>365.16</v>
      </c>
      <c r="B894" s="67">
        <v>373.49</v>
      </c>
      <c r="C894" s="67">
        <v>363.55</v>
      </c>
      <c r="D894" s="67">
        <v>366.04</v>
      </c>
      <c r="E894" s="67">
        <v>2917042</v>
      </c>
      <c r="F894" s="67" t="s">
        <v>927</v>
      </c>
      <c r="G894" s="25">
        <f t="shared" si="14"/>
        <v>-2.4041088405638567E-3</v>
      </c>
    </row>
    <row r="895" spans="1:7">
      <c r="A895" s="67">
        <v>375.94</v>
      </c>
      <c r="B895" s="67">
        <v>381.67</v>
      </c>
      <c r="C895" s="67">
        <v>374.84</v>
      </c>
      <c r="D895" s="67">
        <v>375.6</v>
      </c>
      <c r="E895" s="67">
        <v>2089245</v>
      </c>
      <c r="F895" s="67" t="s">
        <v>928</v>
      </c>
      <c r="G895" s="25">
        <f t="shared" si="14"/>
        <v>9.0521831735879132E-4</v>
      </c>
    </row>
    <row r="896" spans="1:7">
      <c r="A896" s="67">
        <v>377.9</v>
      </c>
      <c r="B896" s="67">
        <v>380.56</v>
      </c>
      <c r="C896" s="67">
        <v>369.96</v>
      </c>
      <c r="D896" s="67">
        <v>375</v>
      </c>
      <c r="E896" s="67">
        <v>2479706</v>
      </c>
      <c r="F896" s="67" t="s">
        <v>929</v>
      </c>
      <c r="G896" s="25">
        <f t="shared" si="14"/>
        <v>7.7333333333333698E-3</v>
      </c>
    </row>
    <row r="897" spans="1:7">
      <c r="A897" s="67">
        <v>375</v>
      </c>
      <c r="B897" s="67">
        <v>376.31</v>
      </c>
      <c r="C897" s="67">
        <v>371.03</v>
      </c>
      <c r="D897" s="67">
        <v>373.41</v>
      </c>
      <c r="E897" s="67">
        <v>1877255</v>
      </c>
      <c r="F897" s="67" t="s">
        <v>930</v>
      </c>
      <c r="G897" s="25">
        <f t="shared" si="14"/>
        <v>4.258054149594237E-3</v>
      </c>
    </row>
    <row r="898" spans="1:7">
      <c r="A898" s="67">
        <v>370.99</v>
      </c>
      <c r="B898" s="67">
        <v>374.52</v>
      </c>
      <c r="C898" s="67">
        <v>367.08</v>
      </c>
      <c r="D898" s="67">
        <v>371.63</v>
      </c>
      <c r="E898" s="67">
        <v>1846426</v>
      </c>
      <c r="F898" s="67" t="s">
        <v>931</v>
      </c>
      <c r="G898" s="25">
        <f t="shared" si="14"/>
        <v>-1.7221429916852715E-3</v>
      </c>
    </row>
    <row r="899" spans="1:7">
      <c r="A899" s="67">
        <v>375.81</v>
      </c>
      <c r="B899" s="67">
        <v>386.51</v>
      </c>
      <c r="C899" s="67">
        <v>374.02</v>
      </c>
      <c r="D899" s="67">
        <v>384.97</v>
      </c>
      <c r="E899" s="67">
        <v>2265158</v>
      </c>
      <c r="F899" s="67" t="s">
        <v>932</v>
      </c>
      <c r="G899" s="25">
        <f t="shared" si="14"/>
        <v>-2.3794061874951367E-2</v>
      </c>
    </row>
    <row r="900" spans="1:7">
      <c r="A900" s="67">
        <v>378.36</v>
      </c>
      <c r="B900" s="67">
        <v>387.28</v>
      </c>
      <c r="C900" s="67">
        <v>375.7</v>
      </c>
      <c r="D900" s="67">
        <v>382.49</v>
      </c>
      <c r="E900" s="67">
        <v>2668061</v>
      </c>
      <c r="F900" s="67" t="s">
        <v>933</v>
      </c>
      <c r="G900" s="25">
        <f t="shared" si="14"/>
        <v>-1.079766791288661E-2</v>
      </c>
    </row>
    <row r="901" spans="1:7">
      <c r="A901" s="67">
        <v>383.82</v>
      </c>
      <c r="B901" s="67">
        <v>384.94</v>
      </c>
      <c r="C901" s="67">
        <v>372.75560000000002</v>
      </c>
      <c r="D901" s="67">
        <v>373.43</v>
      </c>
      <c r="E901" s="67">
        <v>2476197</v>
      </c>
      <c r="F901" s="67" t="s">
        <v>934</v>
      </c>
      <c r="G901" s="25">
        <f t="shared" si="14"/>
        <v>2.7823152933615258E-2</v>
      </c>
    </row>
    <row r="902" spans="1:7">
      <c r="A902" s="67">
        <v>375.23</v>
      </c>
      <c r="B902" s="67">
        <v>379.29</v>
      </c>
      <c r="C902" s="67">
        <v>373.39</v>
      </c>
      <c r="D902" s="67">
        <v>376.21</v>
      </c>
      <c r="E902" s="67">
        <v>2369777</v>
      </c>
      <c r="F902" s="67" t="s">
        <v>935</v>
      </c>
      <c r="G902" s="25">
        <f t="shared" si="14"/>
        <v>-2.6049280986681911E-3</v>
      </c>
    </row>
    <row r="903" spans="1:7">
      <c r="A903" s="67">
        <v>379.33</v>
      </c>
      <c r="B903" s="67">
        <v>386.71499999999997</v>
      </c>
      <c r="C903" s="67">
        <v>377.92</v>
      </c>
      <c r="D903" s="67">
        <v>384.29</v>
      </c>
      <c r="E903" s="67">
        <v>2695428</v>
      </c>
      <c r="F903" s="67" t="s">
        <v>936</v>
      </c>
      <c r="G903" s="25">
        <f t="shared" si="14"/>
        <v>-1.2906919253688698E-2</v>
      </c>
    </row>
    <row r="904" spans="1:7">
      <c r="A904" s="67">
        <v>392.23</v>
      </c>
      <c r="B904" s="67">
        <v>402.49</v>
      </c>
      <c r="C904" s="67">
        <v>388.88220000000001</v>
      </c>
      <c r="D904" s="67">
        <v>393.28</v>
      </c>
      <c r="E904" s="67">
        <v>4020009</v>
      </c>
      <c r="F904" s="67" t="s">
        <v>937</v>
      </c>
      <c r="G904" s="25">
        <f t="shared" si="14"/>
        <v>-2.6698535394628076E-3</v>
      </c>
    </row>
    <row r="905" spans="1:7">
      <c r="A905" s="67">
        <v>383.92</v>
      </c>
      <c r="B905" s="67">
        <v>386.72</v>
      </c>
      <c r="C905" s="67">
        <v>366.8</v>
      </c>
      <c r="D905" s="67">
        <v>370.01</v>
      </c>
      <c r="E905" s="67">
        <v>3361966</v>
      </c>
      <c r="F905" s="67" t="s">
        <v>938</v>
      </c>
      <c r="G905" s="25">
        <f t="shared" si="14"/>
        <v>3.7593578551931017E-2</v>
      </c>
    </row>
    <row r="906" spans="1:7">
      <c r="A906" s="67">
        <v>370.34</v>
      </c>
      <c r="B906" s="67">
        <v>370.7</v>
      </c>
      <c r="C906" s="67">
        <v>364.01</v>
      </c>
      <c r="D906" s="67">
        <v>364.71</v>
      </c>
      <c r="E906" s="67">
        <v>2572359</v>
      </c>
      <c r="F906" s="67" t="s">
        <v>939</v>
      </c>
      <c r="G906" s="25">
        <f t="shared" si="14"/>
        <v>1.5436922486359084E-2</v>
      </c>
    </row>
    <row r="907" spans="1:7">
      <c r="A907" s="67">
        <v>363.42</v>
      </c>
      <c r="B907" s="67">
        <v>368.7</v>
      </c>
      <c r="C907" s="67">
        <v>362.83</v>
      </c>
      <c r="D907" s="67">
        <v>365.9</v>
      </c>
      <c r="E907" s="67">
        <v>2663620</v>
      </c>
      <c r="F907" s="67" t="s">
        <v>940</v>
      </c>
      <c r="G907" s="25">
        <f t="shared" si="14"/>
        <v>-6.7778081443016225E-3</v>
      </c>
    </row>
    <row r="908" spans="1:7">
      <c r="A908" s="67">
        <v>370.71</v>
      </c>
      <c r="B908" s="67">
        <v>373.42</v>
      </c>
      <c r="C908" s="67">
        <v>362.85</v>
      </c>
      <c r="D908" s="67">
        <v>363.49</v>
      </c>
      <c r="E908" s="67">
        <v>2615582</v>
      </c>
      <c r="F908" s="67" t="s">
        <v>941</v>
      </c>
      <c r="G908" s="25">
        <f t="shared" si="14"/>
        <v>1.9862994855429195E-2</v>
      </c>
    </row>
    <row r="909" spans="1:7">
      <c r="A909" s="67">
        <v>365.82</v>
      </c>
      <c r="B909" s="67">
        <v>367.43</v>
      </c>
      <c r="C909" s="67">
        <v>360.7201</v>
      </c>
      <c r="D909" s="67">
        <v>362.76</v>
      </c>
      <c r="E909" s="67">
        <v>2350520</v>
      </c>
      <c r="F909" s="67" t="s">
        <v>942</v>
      </c>
      <c r="G909" s="25">
        <f t="shared" si="14"/>
        <v>8.4353291432353039E-3</v>
      </c>
    </row>
    <row r="910" spans="1:7">
      <c r="A910" s="67">
        <v>358.17</v>
      </c>
      <c r="B910" s="67">
        <v>359.73</v>
      </c>
      <c r="C910" s="67">
        <v>350.57</v>
      </c>
      <c r="D910" s="67">
        <v>355.66500000000002</v>
      </c>
      <c r="E910" s="67">
        <v>2239126</v>
      </c>
      <c r="F910" s="67" t="s">
        <v>943</v>
      </c>
      <c r="G910" s="25">
        <f t="shared" si="14"/>
        <v>7.0431445320737751E-3</v>
      </c>
    </row>
    <row r="911" spans="1:7">
      <c r="A911" s="67">
        <v>361.32</v>
      </c>
      <c r="B911" s="67">
        <v>364.45</v>
      </c>
      <c r="C911" s="67">
        <v>358</v>
      </c>
      <c r="D911" s="67">
        <v>364.1</v>
      </c>
      <c r="E911" s="67">
        <v>2466393</v>
      </c>
      <c r="F911" s="67" t="s">
        <v>944</v>
      </c>
      <c r="G911" s="25">
        <f t="shared" si="14"/>
        <v>-7.6352650370777875E-3</v>
      </c>
    </row>
    <row r="912" spans="1:7">
      <c r="A912" s="67">
        <v>364.98</v>
      </c>
      <c r="B912" s="67">
        <v>365.87</v>
      </c>
      <c r="C912" s="67">
        <v>356.85</v>
      </c>
      <c r="D912" s="67">
        <v>358.28</v>
      </c>
      <c r="E912" s="67">
        <v>3187260</v>
      </c>
      <c r="F912" s="67" t="s">
        <v>945</v>
      </c>
      <c r="G912" s="25">
        <f t="shared" si="14"/>
        <v>1.8700457742547805E-2</v>
      </c>
    </row>
    <row r="913" spans="1:7">
      <c r="A913" s="67">
        <v>356.38</v>
      </c>
      <c r="B913" s="67">
        <v>357.42</v>
      </c>
      <c r="C913" s="67">
        <v>342.76</v>
      </c>
      <c r="D913" s="67">
        <v>343.27</v>
      </c>
      <c r="E913" s="67">
        <v>3149369</v>
      </c>
      <c r="F913" s="67" t="s">
        <v>946</v>
      </c>
      <c r="G913" s="25">
        <f t="shared" si="14"/>
        <v>3.8191511055437388E-2</v>
      </c>
    </row>
    <row r="914" spans="1:7">
      <c r="A914" s="67">
        <v>342.53</v>
      </c>
      <c r="B914" s="67">
        <v>346.73</v>
      </c>
      <c r="C914" s="67">
        <v>340.01</v>
      </c>
      <c r="D914" s="67">
        <v>340.56</v>
      </c>
      <c r="E914" s="67">
        <v>2466965</v>
      </c>
      <c r="F914" s="67" t="s">
        <v>947</v>
      </c>
      <c r="G914" s="25">
        <f t="shared" si="14"/>
        <v>5.7845900869155642E-3</v>
      </c>
    </row>
    <row r="915" spans="1:7">
      <c r="A915" s="67">
        <v>341.31</v>
      </c>
      <c r="B915" s="67">
        <v>349.24</v>
      </c>
      <c r="C915" s="67">
        <v>338.4</v>
      </c>
      <c r="D915" s="67">
        <v>345.01</v>
      </c>
      <c r="E915" s="67">
        <v>2080033</v>
      </c>
      <c r="F915" s="67" t="s">
        <v>948</v>
      </c>
      <c r="G915" s="25">
        <f t="shared" si="14"/>
        <v>-1.0724326831106357E-2</v>
      </c>
    </row>
    <row r="916" spans="1:7">
      <c r="A916" s="67">
        <v>344.38</v>
      </c>
      <c r="B916" s="67">
        <v>350.786</v>
      </c>
      <c r="C916" s="67">
        <v>341.97</v>
      </c>
      <c r="D916" s="67">
        <v>344.38</v>
      </c>
      <c r="E916" s="67">
        <v>2512729</v>
      </c>
      <c r="F916" s="67" t="s">
        <v>949</v>
      </c>
      <c r="G916" s="25">
        <f t="shared" si="14"/>
        <v>0</v>
      </c>
    </row>
    <row r="917" spans="1:7">
      <c r="A917" s="67">
        <v>344.38</v>
      </c>
      <c r="B917" s="67">
        <v>344.65</v>
      </c>
      <c r="C917" s="67">
        <v>335.5</v>
      </c>
      <c r="D917" s="67">
        <v>340.25</v>
      </c>
      <c r="E917" s="67">
        <v>2582132</v>
      </c>
      <c r="F917" s="67" t="s">
        <v>950</v>
      </c>
      <c r="G917" s="25">
        <f t="shared" si="14"/>
        <v>1.2138133725202005E-2</v>
      </c>
    </row>
    <row r="918" spans="1:7">
      <c r="A918" s="67">
        <v>344.54</v>
      </c>
      <c r="B918" s="67">
        <v>346.44</v>
      </c>
      <c r="C918" s="67">
        <v>337.37</v>
      </c>
      <c r="D918" s="67">
        <v>344.16500000000002</v>
      </c>
      <c r="E918" s="67">
        <v>2121831</v>
      </c>
      <c r="F918" s="67" t="s">
        <v>951</v>
      </c>
      <c r="G918" s="25">
        <f t="shared" si="14"/>
        <v>1.0895936542065776E-3</v>
      </c>
    </row>
    <row r="919" spans="1:7">
      <c r="A919" s="67">
        <v>342.93</v>
      </c>
      <c r="B919" s="67">
        <v>343.19</v>
      </c>
      <c r="C919" s="67">
        <v>333.47</v>
      </c>
      <c r="D919" s="67">
        <v>337.39</v>
      </c>
      <c r="E919" s="67">
        <v>2344403</v>
      </c>
      <c r="F919" s="67" t="s">
        <v>952</v>
      </c>
      <c r="G919" s="25">
        <f t="shared" si="14"/>
        <v>1.6420166572808981E-2</v>
      </c>
    </row>
    <row r="920" spans="1:7">
      <c r="A920" s="67">
        <v>338.7</v>
      </c>
      <c r="B920" s="67">
        <v>344.63</v>
      </c>
      <c r="C920" s="67">
        <v>336.8</v>
      </c>
      <c r="D920" s="67">
        <v>337.65</v>
      </c>
      <c r="E920" s="67">
        <v>1670248</v>
      </c>
      <c r="F920" s="67" t="s">
        <v>953</v>
      </c>
      <c r="G920" s="25">
        <f t="shared" si="14"/>
        <v>3.1097290093291541E-3</v>
      </c>
    </row>
    <row r="921" spans="1:7">
      <c r="A921" s="67">
        <v>341.98</v>
      </c>
      <c r="B921" s="67">
        <v>349.45499999999998</v>
      </c>
      <c r="C921" s="67">
        <v>338.42</v>
      </c>
      <c r="D921" s="67">
        <v>338.9</v>
      </c>
      <c r="E921" s="67">
        <v>3133817</v>
      </c>
      <c r="F921" s="67" t="s">
        <v>954</v>
      </c>
      <c r="G921" s="25">
        <f t="shared" si="14"/>
        <v>9.0882266155210001E-3</v>
      </c>
    </row>
    <row r="922" spans="1:7">
      <c r="A922" s="67">
        <v>332.75</v>
      </c>
      <c r="B922" s="67">
        <v>334.88</v>
      </c>
      <c r="C922" s="67">
        <v>322.44</v>
      </c>
      <c r="D922" s="67">
        <v>332.28</v>
      </c>
      <c r="E922" s="67">
        <v>2216579</v>
      </c>
      <c r="F922" s="67" t="s">
        <v>955</v>
      </c>
      <c r="G922" s="25">
        <f t="shared" si="14"/>
        <v>1.414469724329015E-3</v>
      </c>
    </row>
    <row r="923" spans="1:7">
      <c r="A923" s="67">
        <v>328.44</v>
      </c>
      <c r="B923" s="67">
        <v>337.55</v>
      </c>
      <c r="C923" s="67">
        <v>328.16</v>
      </c>
      <c r="D923" s="67">
        <v>337.53</v>
      </c>
      <c r="E923" s="67">
        <v>2081625</v>
      </c>
      <c r="F923" s="67" t="s">
        <v>956</v>
      </c>
      <c r="G923" s="25">
        <f t="shared" si="14"/>
        <v>-2.6930939472046833E-2</v>
      </c>
    </row>
    <row r="924" spans="1:7">
      <c r="A924" s="67">
        <v>341.41</v>
      </c>
      <c r="B924" s="67">
        <v>345.62920000000003</v>
      </c>
      <c r="C924" s="67">
        <v>336.73</v>
      </c>
      <c r="D924" s="67">
        <v>342.89</v>
      </c>
      <c r="E924" s="67">
        <v>2186849</v>
      </c>
      <c r="F924" s="67" t="s">
        <v>957</v>
      </c>
      <c r="G924" s="25">
        <f t="shared" si="14"/>
        <v>-4.3162530257515597E-3</v>
      </c>
    </row>
    <row r="925" spans="1:7">
      <c r="A925" s="67">
        <v>336.92</v>
      </c>
      <c r="B925" s="67">
        <v>345.82</v>
      </c>
      <c r="C925" s="67">
        <v>331.92</v>
      </c>
      <c r="D925" s="67">
        <v>340.16</v>
      </c>
      <c r="E925" s="67">
        <v>2229104</v>
      </c>
      <c r="F925" s="67" t="s">
        <v>958</v>
      </c>
      <c r="G925" s="25">
        <f t="shared" si="14"/>
        <v>-9.5249294449670785E-3</v>
      </c>
    </row>
    <row r="926" spans="1:7">
      <c r="A926" s="67">
        <v>336.53</v>
      </c>
      <c r="B926" s="67">
        <v>336.64</v>
      </c>
      <c r="C926" s="67">
        <v>331.64</v>
      </c>
      <c r="D926" s="67">
        <v>333</v>
      </c>
      <c r="E926" s="67">
        <v>1740879</v>
      </c>
      <c r="F926" s="67" t="s">
        <v>959</v>
      </c>
      <c r="G926" s="25">
        <f t="shared" si="14"/>
        <v>1.0600600600600529E-2</v>
      </c>
    </row>
    <row r="927" spans="1:7">
      <c r="A927" s="67">
        <v>337.58</v>
      </c>
      <c r="B927" s="67">
        <v>339.5</v>
      </c>
      <c r="C927" s="67">
        <v>329.7604</v>
      </c>
      <c r="D927" s="67">
        <v>330.75</v>
      </c>
      <c r="E927" s="67">
        <v>1793051</v>
      </c>
      <c r="F927" s="67" t="s">
        <v>960</v>
      </c>
      <c r="G927" s="25">
        <f t="shared" si="14"/>
        <v>2.0650037792894871E-2</v>
      </c>
    </row>
    <row r="928" spans="1:7">
      <c r="A928" s="67">
        <v>328.33</v>
      </c>
      <c r="B928" s="67">
        <v>338.5</v>
      </c>
      <c r="C928" s="67">
        <v>327.19</v>
      </c>
      <c r="D928" s="67">
        <v>335.06</v>
      </c>
      <c r="E928" s="67">
        <v>1672063</v>
      </c>
      <c r="F928" s="67" t="s">
        <v>961</v>
      </c>
      <c r="G928" s="25">
        <f t="shared" si="14"/>
        <v>-2.0085954754372359E-2</v>
      </c>
    </row>
    <row r="929" spans="1:7">
      <c r="A929" s="67">
        <v>335.09</v>
      </c>
      <c r="B929" s="67">
        <v>338.16</v>
      </c>
      <c r="C929" s="67">
        <v>332.46</v>
      </c>
      <c r="D929" s="67">
        <v>338</v>
      </c>
      <c r="E929" s="67">
        <v>1464308</v>
      </c>
      <c r="F929" s="67" t="s">
        <v>962</v>
      </c>
      <c r="G929" s="25">
        <f t="shared" si="14"/>
        <v>-8.6094674556214112E-3</v>
      </c>
    </row>
    <row r="930" spans="1:7">
      <c r="A930" s="67">
        <v>338.45</v>
      </c>
      <c r="B930" s="67">
        <v>338.92</v>
      </c>
      <c r="C930" s="67">
        <v>333.28500000000003</v>
      </c>
      <c r="D930" s="67">
        <v>335</v>
      </c>
      <c r="E930" s="67">
        <v>1629781</v>
      </c>
      <c r="F930" s="67" t="s">
        <v>963</v>
      </c>
      <c r="G930" s="25">
        <f t="shared" si="14"/>
        <v>1.0298507462686457E-2</v>
      </c>
    </row>
    <row r="931" spans="1:7">
      <c r="A931" s="67">
        <v>336.52</v>
      </c>
      <c r="B931" s="67">
        <v>339.88</v>
      </c>
      <c r="C931" s="67">
        <v>330.94</v>
      </c>
      <c r="D931" s="67">
        <v>336.01</v>
      </c>
      <c r="E931" s="67">
        <v>2320005</v>
      </c>
      <c r="F931" s="67" t="s">
        <v>964</v>
      </c>
      <c r="G931" s="25">
        <f t="shared" si="14"/>
        <v>1.517811969881766E-3</v>
      </c>
    </row>
    <row r="932" spans="1:7">
      <c r="A932" s="67">
        <v>341.38</v>
      </c>
      <c r="B932" s="67">
        <v>345.29</v>
      </c>
      <c r="C932" s="67">
        <v>336.44</v>
      </c>
      <c r="D932" s="67">
        <v>340.29</v>
      </c>
      <c r="E932" s="67">
        <v>2582991</v>
      </c>
      <c r="F932" s="67" t="s">
        <v>965</v>
      </c>
      <c r="G932" s="25">
        <f t="shared" si="14"/>
        <v>3.2031502541949308E-3</v>
      </c>
    </row>
    <row r="933" spans="1:7">
      <c r="A933" s="67">
        <v>338.22</v>
      </c>
      <c r="B933" s="67">
        <v>342.5</v>
      </c>
      <c r="C933" s="67">
        <v>325.52</v>
      </c>
      <c r="D933" s="67">
        <v>327</v>
      </c>
      <c r="E933" s="67">
        <v>3873632</v>
      </c>
      <c r="F933" s="67" t="s">
        <v>966</v>
      </c>
      <c r="G933" s="25">
        <f t="shared" si="14"/>
        <v>3.431192660550475E-2</v>
      </c>
    </row>
    <row r="934" spans="1:7">
      <c r="A934" s="67">
        <v>328.76</v>
      </c>
      <c r="B934" s="67">
        <v>340.74360000000001</v>
      </c>
      <c r="C934" s="67">
        <v>326.3</v>
      </c>
      <c r="D934" s="67">
        <v>338</v>
      </c>
      <c r="E934" s="67">
        <v>4086288</v>
      </c>
      <c r="F934" s="67" t="s">
        <v>967</v>
      </c>
      <c r="G934" s="25">
        <f t="shared" si="14"/>
        <v>-2.7337278106508878E-2</v>
      </c>
    </row>
    <row r="935" spans="1:7">
      <c r="A935" s="67">
        <v>338.54</v>
      </c>
      <c r="B935" s="67">
        <v>354.4699</v>
      </c>
      <c r="C935" s="67">
        <v>337.24</v>
      </c>
      <c r="D935" s="67">
        <v>345</v>
      </c>
      <c r="E935" s="67">
        <v>11940748</v>
      </c>
      <c r="F935" s="67" t="s">
        <v>968</v>
      </c>
      <c r="G935" s="25">
        <f t="shared" si="14"/>
        <v>-1.8724637681159395E-2</v>
      </c>
    </row>
    <row r="936" spans="1:7">
      <c r="A936" s="67">
        <v>328.71</v>
      </c>
      <c r="B936" s="67">
        <v>334.5</v>
      </c>
      <c r="C936" s="67">
        <v>324.58999999999997</v>
      </c>
      <c r="D936" s="67">
        <v>332.76</v>
      </c>
      <c r="E936" s="67">
        <v>5498714</v>
      </c>
      <c r="F936" s="67" t="s">
        <v>969</v>
      </c>
      <c r="G936" s="25">
        <f t="shared" si="14"/>
        <v>-1.2170934006491163E-2</v>
      </c>
    </row>
    <row r="937" spans="1:7">
      <c r="A937" s="67">
        <v>339.92</v>
      </c>
      <c r="B937" s="67">
        <v>345.94990000000001</v>
      </c>
      <c r="C937" s="67">
        <v>335</v>
      </c>
      <c r="D937" s="67">
        <v>343.89</v>
      </c>
      <c r="E937" s="67">
        <v>3236488</v>
      </c>
      <c r="F937" s="67" t="s">
        <v>970</v>
      </c>
      <c r="G937" s="25">
        <f t="shared" si="14"/>
        <v>-1.1544389194218962E-2</v>
      </c>
    </row>
    <row r="938" spans="1:7">
      <c r="A938" s="67">
        <v>342.46</v>
      </c>
      <c r="B938" s="67">
        <v>355.67</v>
      </c>
      <c r="C938" s="67">
        <v>338.79</v>
      </c>
      <c r="D938" s="67">
        <v>353.63</v>
      </c>
      <c r="E938" s="67">
        <v>3428046</v>
      </c>
      <c r="F938" s="67" t="s">
        <v>971</v>
      </c>
      <c r="G938" s="25">
        <f t="shared" si="14"/>
        <v>-3.1586686649888396E-2</v>
      </c>
    </row>
    <row r="939" spans="1:7">
      <c r="A939" s="67">
        <v>338.17</v>
      </c>
      <c r="B939" s="67">
        <v>338.27</v>
      </c>
      <c r="C939" s="67">
        <v>332.65</v>
      </c>
      <c r="D939" s="67">
        <v>334.76</v>
      </c>
      <c r="E939" s="67">
        <v>2914653</v>
      </c>
      <c r="F939" s="67" t="s">
        <v>972</v>
      </c>
      <c r="G939" s="25">
        <f t="shared" si="14"/>
        <v>1.0186402198590017E-2</v>
      </c>
    </row>
    <row r="940" spans="1:7">
      <c r="A940" s="67">
        <v>330.64</v>
      </c>
      <c r="B940" s="67">
        <v>334.69</v>
      </c>
      <c r="C940" s="67">
        <v>328.5</v>
      </c>
      <c r="D940" s="67">
        <v>331.5</v>
      </c>
      <c r="E940" s="67">
        <v>1969161</v>
      </c>
      <c r="F940" s="67" t="s">
        <v>973</v>
      </c>
      <c r="G940" s="25">
        <f t="shared" si="14"/>
        <v>-2.5942684766214752E-3</v>
      </c>
    </row>
    <row r="941" spans="1:7">
      <c r="A941" s="67">
        <v>332.58</v>
      </c>
      <c r="B941" s="67">
        <v>336.20049999999998</v>
      </c>
      <c r="C941" s="67">
        <v>324.34500000000003</v>
      </c>
      <c r="D941" s="67">
        <v>325.70999999999998</v>
      </c>
      <c r="E941" s="67">
        <v>2065839</v>
      </c>
      <c r="F941" s="67" t="s">
        <v>974</v>
      </c>
      <c r="G941" s="25">
        <f t="shared" si="14"/>
        <v>2.1092382794510423E-2</v>
      </c>
    </row>
    <row r="942" spans="1:7">
      <c r="A942" s="67">
        <v>326.68</v>
      </c>
      <c r="B942" s="67">
        <v>331</v>
      </c>
      <c r="C942" s="67">
        <v>325.49</v>
      </c>
      <c r="D942" s="67">
        <v>327.52999999999997</v>
      </c>
      <c r="E942" s="67">
        <v>2055980</v>
      </c>
      <c r="F942" s="67" t="s">
        <v>975</v>
      </c>
      <c r="G942" s="25">
        <f t="shared" si="14"/>
        <v>-2.5951821207216286E-3</v>
      </c>
    </row>
    <row r="943" spans="1:7">
      <c r="A943" s="67">
        <v>331.15</v>
      </c>
      <c r="B943" s="67">
        <v>334.22</v>
      </c>
      <c r="C943" s="67">
        <v>327.39499999999998</v>
      </c>
      <c r="D943" s="67">
        <v>334.09</v>
      </c>
      <c r="E943" s="67">
        <v>2182444</v>
      </c>
      <c r="F943" s="67" t="s">
        <v>976</v>
      </c>
      <c r="G943" s="25">
        <f t="shared" si="14"/>
        <v>-8.8000239456433871E-3</v>
      </c>
    </row>
    <row r="944" spans="1:7">
      <c r="A944" s="67">
        <v>334.09</v>
      </c>
      <c r="B944" s="67">
        <v>340.51</v>
      </c>
      <c r="C944" s="67">
        <v>330.83</v>
      </c>
      <c r="D944" s="67">
        <v>337.8</v>
      </c>
      <c r="E944" s="67">
        <v>2542324</v>
      </c>
      <c r="F944" s="67" t="s">
        <v>977</v>
      </c>
      <c r="G944" s="25">
        <f t="shared" si="14"/>
        <v>-1.0982830076968764E-2</v>
      </c>
    </row>
    <row r="945" spans="1:7">
      <c r="A945" s="67">
        <v>341.53</v>
      </c>
      <c r="B945" s="67">
        <v>343.52760000000001</v>
      </c>
      <c r="C945" s="67">
        <v>334.22250000000003</v>
      </c>
      <c r="D945" s="67">
        <v>337.2</v>
      </c>
      <c r="E945" s="67">
        <v>2741993</v>
      </c>
      <c r="F945" s="67" t="s">
        <v>978</v>
      </c>
      <c r="G945" s="25">
        <f t="shared" si="14"/>
        <v>1.2841043890865933E-2</v>
      </c>
    </row>
    <row r="946" spans="1:7">
      <c r="A946" s="67">
        <v>344.11</v>
      </c>
      <c r="B946" s="67">
        <v>350.67</v>
      </c>
      <c r="C946" s="67">
        <v>341.5</v>
      </c>
      <c r="D946" s="67">
        <v>348.03</v>
      </c>
      <c r="E946" s="67">
        <v>3365247</v>
      </c>
      <c r="F946" s="67" t="s">
        <v>979</v>
      </c>
      <c r="G946" s="25">
        <f t="shared" si="14"/>
        <v>-1.1263396833606221E-2</v>
      </c>
    </row>
    <row r="947" spans="1:7">
      <c r="A947" s="67">
        <v>344.93</v>
      </c>
      <c r="B947" s="67">
        <v>345.03</v>
      </c>
      <c r="C947" s="67">
        <v>326.38</v>
      </c>
      <c r="D947" s="67">
        <v>327.12</v>
      </c>
      <c r="E947" s="67">
        <v>4979759</v>
      </c>
      <c r="F947" s="67" t="s">
        <v>980</v>
      </c>
      <c r="G947" s="25">
        <f t="shared" si="14"/>
        <v>5.4444852042064174E-2</v>
      </c>
    </row>
    <row r="948" spans="1:7">
      <c r="A948" s="67">
        <v>326.77999999999997</v>
      </c>
      <c r="B948" s="67">
        <v>329.7</v>
      </c>
      <c r="C948" s="67">
        <v>323.67489999999998</v>
      </c>
      <c r="D948" s="67">
        <v>326.69</v>
      </c>
      <c r="E948" s="67">
        <v>2392609</v>
      </c>
      <c r="F948" s="67" t="s">
        <v>981</v>
      </c>
      <c r="G948" s="25">
        <f t="shared" si="14"/>
        <v>2.754905261868057E-4</v>
      </c>
    </row>
    <row r="949" spans="1:7">
      <c r="A949" s="67">
        <v>328.97</v>
      </c>
      <c r="B949" s="67">
        <v>338.19</v>
      </c>
      <c r="C949" s="67">
        <v>328.065</v>
      </c>
      <c r="D949" s="67">
        <v>335.83</v>
      </c>
      <c r="E949" s="67">
        <v>2315372</v>
      </c>
      <c r="F949" s="67" t="s">
        <v>982</v>
      </c>
      <c r="G949" s="25">
        <f t="shared" ref="G949:G1012" si="15">A949/D949-1</f>
        <v>-2.042700175684109E-2</v>
      </c>
    </row>
    <row r="950" spans="1:7">
      <c r="A950" s="67">
        <v>334.3</v>
      </c>
      <c r="B950" s="67">
        <v>335.51</v>
      </c>
      <c r="C950" s="67">
        <v>332.01</v>
      </c>
      <c r="D950" s="67">
        <v>332.88499999999999</v>
      </c>
      <c r="E950" s="67">
        <v>1197767</v>
      </c>
      <c r="F950" s="67" t="s">
        <v>983</v>
      </c>
      <c r="G950" s="25">
        <f t="shared" si="15"/>
        <v>4.2507172146537542E-3</v>
      </c>
    </row>
    <row r="951" spans="1:7">
      <c r="A951" s="67">
        <v>335.78</v>
      </c>
      <c r="B951" s="67">
        <v>338.5</v>
      </c>
      <c r="C951" s="67">
        <v>327.58999999999997</v>
      </c>
      <c r="D951" s="67">
        <v>329.93</v>
      </c>
      <c r="E951" s="67">
        <v>2240777</v>
      </c>
      <c r="F951" s="67" t="s">
        <v>984</v>
      </c>
      <c r="G951" s="25">
        <f t="shared" si="15"/>
        <v>1.7731033855666212E-2</v>
      </c>
    </row>
    <row r="952" spans="1:7">
      <c r="A952" s="67">
        <v>330.88</v>
      </c>
      <c r="B952" s="67">
        <v>331.54</v>
      </c>
      <c r="C952" s="67">
        <v>320.2</v>
      </c>
      <c r="D952" s="67">
        <v>322.49</v>
      </c>
      <c r="E952" s="67">
        <v>2573813</v>
      </c>
      <c r="F952" s="67" t="s">
        <v>985</v>
      </c>
      <c r="G952" s="25">
        <f t="shared" si="15"/>
        <v>2.6016310583273805E-2</v>
      </c>
    </row>
    <row r="953" spans="1:7">
      <c r="A953" s="67">
        <v>321.49</v>
      </c>
      <c r="B953" s="67">
        <v>330.25</v>
      </c>
      <c r="C953" s="67">
        <v>320.60000000000002</v>
      </c>
      <c r="D953" s="67">
        <v>329.53</v>
      </c>
      <c r="E953" s="67">
        <v>3219867</v>
      </c>
      <c r="F953" s="67" t="s">
        <v>986</v>
      </c>
      <c r="G953" s="25">
        <f t="shared" si="15"/>
        <v>-2.4398385579461501E-2</v>
      </c>
    </row>
    <row r="954" spans="1:7">
      <c r="A954" s="67">
        <v>330.86</v>
      </c>
      <c r="B954" s="67">
        <v>344.7</v>
      </c>
      <c r="C954" s="67">
        <v>329.13830000000002</v>
      </c>
      <c r="D954" s="67">
        <v>344.3</v>
      </c>
      <c r="E954" s="67">
        <v>3421744</v>
      </c>
      <c r="F954" s="67" t="s">
        <v>987</v>
      </c>
      <c r="G954" s="25">
        <f t="shared" si="15"/>
        <v>-3.9035724658727844E-2</v>
      </c>
    </row>
    <row r="955" spans="1:7">
      <c r="A955" s="67">
        <v>337.83</v>
      </c>
      <c r="B955" s="67">
        <v>339.86989999999997</v>
      </c>
      <c r="C955" s="67">
        <v>329.35</v>
      </c>
      <c r="D955" s="67">
        <v>331.74</v>
      </c>
      <c r="E955" s="67">
        <v>2741374</v>
      </c>
      <c r="F955" s="67" t="s">
        <v>988</v>
      </c>
      <c r="G955" s="25">
        <f t="shared" si="15"/>
        <v>1.8357750045216115E-2</v>
      </c>
    </row>
    <row r="956" spans="1:7">
      <c r="A956" s="67">
        <v>338.41</v>
      </c>
      <c r="B956" s="67">
        <v>345.01499999999999</v>
      </c>
      <c r="C956" s="67">
        <v>336.72</v>
      </c>
      <c r="D956" s="67">
        <v>345</v>
      </c>
      <c r="E956" s="67">
        <v>2123183</v>
      </c>
      <c r="F956" s="67" t="s">
        <v>989</v>
      </c>
      <c r="G956" s="25">
        <f t="shared" si="15"/>
        <v>-1.9101449275362281E-2</v>
      </c>
    </row>
    <row r="957" spans="1:7">
      <c r="A957" s="67">
        <v>345.96</v>
      </c>
      <c r="B957" s="67">
        <v>350.9699</v>
      </c>
      <c r="C957" s="67">
        <v>342.56</v>
      </c>
      <c r="D957" s="67">
        <v>348.41</v>
      </c>
      <c r="E957" s="67">
        <v>2948558</v>
      </c>
      <c r="F957" s="67" t="s">
        <v>990</v>
      </c>
      <c r="G957" s="25">
        <f t="shared" si="15"/>
        <v>-7.0319451221263485E-3</v>
      </c>
    </row>
    <row r="958" spans="1:7">
      <c r="A958" s="67">
        <v>340.37</v>
      </c>
      <c r="B958" s="67">
        <v>345.11</v>
      </c>
      <c r="C958" s="67">
        <v>334.42500000000001</v>
      </c>
      <c r="D958" s="67">
        <v>338.07</v>
      </c>
      <c r="E958" s="67">
        <v>3449977</v>
      </c>
      <c r="F958" s="67" t="s">
        <v>991</v>
      </c>
      <c r="G958" s="25">
        <f t="shared" si="15"/>
        <v>6.8033247552281573E-3</v>
      </c>
    </row>
    <row r="959" spans="1:7">
      <c r="A959" s="67">
        <v>341.15</v>
      </c>
      <c r="B959" s="67">
        <v>342.31</v>
      </c>
      <c r="C959" s="67">
        <v>329.49</v>
      </c>
      <c r="D959" s="67">
        <v>330.34</v>
      </c>
      <c r="E959" s="67">
        <v>4110087</v>
      </c>
      <c r="F959" s="67" t="s">
        <v>992</v>
      </c>
      <c r="G959" s="25">
        <f t="shared" si="15"/>
        <v>3.272386026518137E-2</v>
      </c>
    </row>
    <row r="960" spans="1:7">
      <c r="A960" s="67">
        <v>329.95</v>
      </c>
      <c r="B960" s="67">
        <v>330.37</v>
      </c>
      <c r="C960" s="67">
        <v>317.87</v>
      </c>
      <c r="D960" s="67">
        <v>318.55</v>
      </c>
      <c r="E960" s="67">
        <v>5502901</v>
      </c>
      <c r="F960" s="67" t="s">
        <v>993</v>
      </c>
      <c r="G960" s="25">
        <f t="shared" si="15"/>
        <v>3.5787160571338905E-2</v>
      </c>
    </row>
    <row r="961" spans="1:7">
      <c r="A961" s="67">
        <v>298.87</v>
      </c>
      <c r="B961" s="67">
        <v>303.29000000000002</v>
      </c>
      <c r="C961" s="67">
        <v>297.35000000000002</v>
      </c>
      <c r="D961" s="67">
        <v>299.64999999999998</v>
      </c>
      <c r="E961" s="67">
        <v>2778150</v>
      </c>
      <c r="F961" s="67" t="s">
        <v>994</v>
      </c>
      <c r="G961" s="25">
        <f t="shared" si="15"/>
        <v>-2.6030368763556577E-3</v>
      </c>
    </row>
    <row r="962" spans="1:7">
      <c r="A962" s="67">
        <v>302.17</v>
      </c>
      <c r="B962" s="67">
        <v>309.89999999999998</v>
      </c>
      <c r="C962" s="67">
        <v>297.77</v>
      </c>
      <c r="D962" s="67">
        <v>301.14999999999998</v>
      </c>
      <c r="E962" s="67">
        <v>4230611</v>
      </c>
      <c r="F962" s="67" t="s">
        <v>995</v>
      </c>
      <c r="G962" s="25">
        <f t="shared" si="15"/>
        <v>3.3870164369915745E-3</v>
      </c>
    </row>
    <row r="963" spans="1:7">
      <c r="A963" s="67">
        <v>299.54000000000002</v>
      </c>
      <c r="B963" s="67">
        <v>300.35500000000002</v>
      </c>
      <c r="C963" s="67">
        <v>287.57</v>
      </c>
      <c r="D963" s="67">
        <v>288.97000000000003</v>
      </c>
      <c r="E963" s="67">
        <v>3980689</v>
      </c>
      <c r="F963" s="67" t="s">
        <v>996</v>
      </c>
      <c r="G963" s="25">
        <f t="shared" si="15"/>
        <v>3.6578191507768976E-2</v>
      </c>
    </row>
    <row r="964" spans="1:7">
      <c r="A964" s="67">
        <v>285.75</v>
      </c>
      <c r="B964" s="67">
        <v>291.01</v>
      </c>
      <c r="C964" s="67">
        <v>278.23</v>
      </c>
      <c r="D964" s="67">
        <v>290.38</v>
      </c>
      <c r="E964" s="67">
        <v>5738257</v>
      </c>
      <c r="F964" s="67" t="s">
        <v>997</v>
      </c>
      <c r="G964" s="25">
        <f t="shared" si="15"/>
        <v>-1.5944624285419096E-2</v>
      </c>
    </row>
    <row r="965" spans="1:7">
      <c r="A965" s="67">
        <v>285.93</v>
      </c>
      <c r="B965" s="67">
        <v>299.61</v>
      </c>
      <c r="C965" s="67">
        <v>285.37</v>
      </c>
      <c r="D965" s="67">
        <v>297.07</v>
      </c>
      <c r="E965" s="67">
        <v>4897062</v>
      </c>
      <c r="F965" s="67" t="s">
        <v>998</v>
      </c>
      <c r="G965" s="25">
        <f t="shared" si="15"/>
        <v>-3.7499579223751911E-2</v>
      </c>
    </row>
    <row r="966" spans="1:7">
      <c r="A966" s="67">
        <v>301.22000000000003</v>
      </c>
      <c r="B966" s="67">
        <v>318.83999999999997</v>
      </c>
      <c r="C966" s="67">
        <v>301.08999999999997</v>
      </c>
      <c r="D966" s="67">
        <v>318.83999999999997</v>
      </c>
      <c r="E966" s="67">
        <v>3481158</v>
      </c>
      <c r="F966" s="67" t="s">
        <v>999</v>
      </c>
      <c r="G966" s="25">
        <f t="shared" si="15"/>
        <v>-5.5262827750595767E-2</v>
      </c>
    </row>
    <row r="967" spans="1:7">
      <c r="A967" s="67">
        <v>316.02</v>
      </c>
      <c r="B967" s="67">
        <v>322.83999999999997</v>
      </c>
      <c r="C967" s="67">
        <v>312.78500000000003</v>
      </c>
      <c r="D967" s="67">
        <v>321.01</v>
      </c>
      <c r="E967" s="67">
        <v>2467654</v>
      </c>
      <c r="F967" s="67" t="s">
        <v>1000</v>
      </c>
      <c r="G967" s="25">
        <f t="shared" si="15"/>
        <v>-1.5544687081399333E-2</v>
      </c>
    </row>
    <row r="968" spans="1:7">
      <c r="A968" s="67">
        <v>318.5</v>
      </c>
      <c r="B968" s="67">
        <v>325.58</v>
      </c>
      <c r="C968" s="67">
        <v>317.42</v>
      </c>
      <c r="D968" s="67">
        <v>323.49</v>
      </c>
      <c r="E968" s="67">
        <v>3253249</v>
      </c>
      <c r="F968" s="67" t="s">
        <v>1001</v>
      </c>
      <c r="G968" s="25">
        <f t="shared" si="15"/>
        <v>-1.5425515471884754E-2</v>
      </c>
    </row>
    <row r="969" spans="1:7">
      <c r="A969" s="67">
        <v>325.68</v>
      </c>
      <c r="B969" s="67">
        <v>327.05</v>
      </c>
      <c r="C969" s="67">
        <v>318.67</v>
      </c>
      <c r="D969" s="67">
        <v>318.67</v>
      </c>
      <c r="E969" s="67">
        <v>3008352</v>
      </c>
      <c r="F969" s="67" t="s">
        <v>1002</v>
      </c>
      <c r="G969" s="25">
        <f t="shared" si="15"/>
        <v>2.1997677848557995E-2</v>
      </c>
    </row>
    <row r="970" spans="1:7">
      <c r="A970" s="67">
        <v>318.64999999999998</v>
      </c>
      <c r="B970" s="67">
        <v>323.85000000000002</v>
      </c>
      <c r="C970" s="67">
        <v>316.87</v>
      </c>
      <c r="D970" s="67">
        <v>322.95999999999998</v>
      </c>
      <c r="E970" s="67">
        <v>2870213</v>
      </c>
      <c r="F970" s="67" t="s">
        <v>1003</v>
      </c>
      <c r="G970" s="25">
        <f t="shared" si="15"/>
        <v>-1.334530592023786E-2</v>
      </c>
    </row>
    <row r="971" spans="1:7">
      <c r="A971" s="67">
        <v>320.48</v>
      </c>
      <c r="B971" s="67">
        <v>330.5849</v>
      </c>
      <c r="C971" s="67">
        <v>316.54000000000002</v>
      </c>
      <c r="D971" s="67">
        <v>318.16000000000003</v>
      </c>
      <c r="E971" s="67">
        <v>4209819</v>
      </c>
      <c r="F971" s="67" t="s">
        <v>1004</v>
      </c>
      <c r="G971" s="25">
        <f t="shared" si="15"/>
        <v>7.2919285893888741E-3</v>
      </c>
    </row>
    <row r="972" spans="1:7">
      <c r="A972" s="67">
        <v>323.79000000000002</v>
      </c>
      <c r="B972" s="67">
        <v>324.23</v>
      </c>
      <c r="C972" s="67">
        <v>316.74</v>
      </c>
      <c r="D972" s="67">
        <v>319.12</v>
      </c>
      <c r="E972" s="67">
        <v>3814599</v>
      </c>
      <c r="F972" s="67" t="s">
        <v>1005</v>
      </c>
      <c r="G972" s="25">
        <f t="shared" si="15"/>
        <v>1.4633993482075836E-2</v>
      </c>
    </row>
    <row r="973" spans="1:7">
      <c r="A973" s="67">
        <v>316.22000000000003</v>
      </c>
      <c r="B973" s="67">
        <v>317.32900000000001</v>
      </c>
      <c r="C973" s="67">
        <v>306.2</v>
      </c>
      <c r="D973" s="67">
        <v>308.43</v>
      </c>
      <c r="E973" s="67">
        <v>4817437</v>
      </c>
      <c r="F973" s="67" t="s">
        <v>1006</v>
      </c>
      <c r="G973" s="25">
        <f t="shared" si="15"/>
        <v>2.5256946470836317E-2</v>
      </c>
    </row>
    <row r="974" spans="1:7">
      <c r="A974" s="67">
        <v>306.37</v>
      </c>
      <c r="B974" s="67">
        <v>307.43</v>
      </c>
      <c r="C974" s="67">
        <v>298.23</v>
      </c>
      <c r="D974" s="67">
        <v>300.99</v>
      </c>
      <c r="E974" s="67">
        <v>3659302</v>
      </c>
      <c r="F974" s="67" t="s">
        <v>1007</v>
      </c>
      <c r="G974" s="25">
        <f t="shared" si="15"/>
        <v>1.7874347984982775E-2</v>
      </c>
    </row>
    <row r="975" spans="1:7">
      <c r="A975" s="67">
        <v>302.38</v>
      </c>
      <c r="B975" s="67">
        <v>309.19</v>
      </c>
      <c r="C975" s="67">
        <v>299.33999999999997</v>
      </c>
      <c r="D975" s="67">
        <v>301.02999999999997</v>
      </c>
      <c r="E975" s="67">
        <v>3621565</v>
      </c>
      <c r="F975" s="67" t="s">
        <v>1008</v>
      </c>
      <c r="G975" s="25">
        <f t="shared" si="15"/>
        <v>4.4846028635021629E-3</v>
      </c>
    </row>
    <row r="976" spans="1:7">
      <c r="A976" s="67">
        <v>299.83</v>
      </c>
      <c r="B976" s="67">
        <v>303.70999999999998</v>
      </c>
      <c r="C976" s="67">
        <v>292.7</v>
      </c>
      <c r="D976" s="67">
        <v>295.39999999999998</v>
      </c>
      <c r="E976" s="67">
        <v>5529099</v>
      </c>
      <c r="F976" s="67" t="s">
        <v>1009</v>
      </c>
      <c r="G976" s="25">
        <f t="shared" si="15"/>
        <v>1.4996614759647864E-2</v>
      </c>
    </row>
    <row r="977" spans="1:7">
      <c r="A977" s="67">
        <v>292.98</v>
      </c>
      <c r="B977" s="67">
        <v>303.49</v>
      </c>
      <c r="C977" s="67">
        <v>286.81</v>
      </c>
      <c r="D977" s="67">
        <v>302.68</v>
      </c>
      <c r="E977" s="67">
        <v>5472027</v>
      </c>
      <c r="F977" s="67" t="s">
        <v>1010</v>
      </c>
      <c r="G977" s="25">
        <f t="shared" si="15"/>
        <v>-3.2047046385621725E-2</v>
      </c>
    </row>
    <row r="978" spans="1:7">
      <c r="A978" s="67">
        <v>293.5</v>
      </c>
      <c r="B978" s="67">
        <v>297.95999999999998</v>
      </c>
      <c r="C978" s="67">
        <v>291.39999999999998</v>
      </c>
      <c r="D978" s="67">
        <v>297.45</v>
      </c>
      <c r="E978" s="67">
        <v>4600581</v>
      </c>
      <c r="F978" s="67" t="s">
        <v>1011</v>
      </c>
      <c r="G978" s="25">
        <f t="shared" si="15"/>
        <v>-1.3279542780299192E-2</v>
      </c>
    </row>
    <row r="979" spans="1:7">
      <c r="A979" s="67">
        <v>287.94</v>
      </c>
      <c r="B979" s="67">
        <v>297.58999999999997</v>
      </c>
      <c r="C979" s="67">
        <v>287.45</v>
      </c>
      <c r="D979" s="67">
        <v>295.12</v>
      </c>
      <c r="E979" s="67">
        <v>3564055</v>
      </c>
      <c r="F979" s="67" t="s">
        <v>1012</v>
      </c>
      <c r="G979" s="25">
        <f t="shared" si="15"/>
        <v>-2.4329086473299011E-2</v>
      </c>
    </row>
    <row r="980" spans="1:7">
      <c r="A980" s="67">
        <v>294.74</v>
      </c>
      <c r="B980" s="67">
        <v>298.17</v>
      </c>
      <c r="C980" s="67">
        <v>276.59500000000003</v>
      </c>
      <c r="D980" s="67">
        <v>279.70999999999998</v>
      </c>
      <c r="E980" s="67">
        <v>4737194</v>
      </c>
      <c r="F980" s="67" t="s">
        <v>1013</v>
      </c>
      <c r="G980" s="25">
        <f t="shared" si="15"/>
        <v>5.3734224732759017E-2</v>
      </c>
    </row>
    <row r="981" spans="1:7">
      <c r="A981" s="67">
        <v>286.14999999999998</v>
      </c>
      <c r="B981" s="67">
        <v>289.79000000000002</v>
      </c>
      <c r="C981" s="67">
        <v>283.08999999999997</v>
      </c>
      <c r="D981" s="67">
        <v>284.69</v>
      </c>
      <c r="E981" s="67">
        <v>3044146</v>
      </c>
      <c r="F981" s="67" t="s">
        <v>1014</v>
      </c>
      <c r="G981" s="25">
        <f t="shared" si="15"/>
        <v>5.1283852611612168E-3</v>
      </c>
    </row>
    <row r="982" spans="1:7">
      <c r="A982" s="67">
        <v>284.83</v>
      </c>
      <c r="B982" s="67">
        <v>288.27999999999997</v>
      </c>
      <c r="C982" s="67">
        <v>281.44</v>
      </c>
      <c r="D982" s="67">
        <v>285.69</v>
      </c>
      <c r="E982" s="67">
        <v>3209826</v>
      </c>
      <c r="F982" s="67" t="s">
        <v>1015</v>
      </c>
      <c r="G982" s="25">
        <f t="shared" si="15"/>
        <v>-3.0102558717491901E-3</v>
      </c>
    </row>
    <row r="983" spans="1:7">
      <c r="A983" s="67">
        <v>285.72000000000003</v>
      </c>
      <c r="B983" s="67">
        <v>290.27999999999997</v>
      </c>
      <c r="C983" s="67">
        <v>283.05</v>
      </c>
      <c r="D983" s="67">
        <v>289.75</v>
      </c>
      <c r="E983" s="67">
        <v>2906344</v>
      </c>
      <c r="F983" s="67" t="s">
        <v>1016</v>
      </c>
      <c r="G983" s="25">
        <f t="shared" si="15"/>
        <v>-1.3908541846419209E-2</v>
      </c>
    </row>
    <row r="984" spans="1:7">
      <c r="A984" s="67">
        <v>288.77</v>
      </c>
      <c r="B984" s="67">
        <v>293.70499999999998</v>
      </c>
      <c r="C984" s="67">
        <v>286.83</v>
      </c>
      <c r="D984" s="67">
        <v>291.36</v>
      </c>
      <c r="E984" s="67">
        <v>3495936</v>
      </c>
      <c r="F984" s="67" t="s">
        <v>1017</v>
      </c>
      <c r="G984" s="25">
        <f t="shared" si="15"/>
        <v>-8.8893465129050719E-3</v>
      </c>
    </row>
    <row r="985" spans="1:7">
      <c r="A985" s="67">
        <v>298.41000000000003</v>
      </c>
      <c r="B985" s="67">
        <v>305.5</v>
      </c>
      <c r="C985" s="67">
        <v>297.10449999999997</v>
      </c>
      <c r="D985" s="67">
        <v>297.14999999999998</v>
      </c>
      <c r="E985" s="67">
        <v>4884021</v>
      </c>
      <c r="F985" s="67" t="s">
        <v>1018</v>
      </c>
      <c r="G985" s="25">
        <f t="shared" si="15"/>
        <v>4.2402826855125753E-3</v>
      </c>
    </row>
    <row r="986" spans="1:7">
      <c r="A986" s="67">
        <v>297.38</v>
      </c>
      <c r="B986" s="67">
        <v>298.80869999999999</v>
      </c>
      <c r="C986" s="67">
        <v>289.17500000000001</v>
      </c>
      <c r="D986" s="67">
        <v>291.41000000000003</v>
      </c>
      <c r="E986" s="67">
        <v>3469554</v>
      </c>
      <c r="F986" s="67" t="s">
        <v>1019</v>
      </c>
      <c r="G986" s="25">
        <f t="shared" si="15"/>
        <v>2.0486599636251324E-2</v>
      </c>
    </row>
    <row r="987" spans="1:7">
      <c r="A987" s="67">
        <v>294.97000000000003</v>
      </c>
      <c r="B987" s="67">
        <v>296.79000000000002</v>
      </c>
      <c r="C987" s="67">
        <v>290.18</v>
      </c>
      <c r="D987" s="67">
        <v>290.95</v>
      </c>
      <c r="E987" s="67">
        <v>4509241</v>
      </c>
      <c r="F987" s="67" t="s">
        <v>1020</v>
      </c>
      <c r="G987" s="25">
        <f t="shared" si="15"/>
        <v>1.381680701151411E-2</v>
      </c>
    </row>
    <row r="988" spans="1:7">
      <c r="A988" s="67">
        <v>285.24</v>
      </c>
      <c r="B988" s="67">
        <v>286.89999999999998</v>
      </c>
      <c r="C988" s="67">
        <v>277</v>
      </c>
      <c r="D988" s="67">
        <v>278.26940000000002</v>
      </c>
      <c r="E988" s="67">
        <v>3738131</v>
      </c>
      <c r="F988" s="67" t="s">
        <v>1021</v>
      </c>
      <c r="G988" s="25">
        <f t="shared" si="15"/>
        <v>2.5049825816277238E-2</v>
      </c>
    </row>
    <row r="989" spans="1:7">
      <c r="A989" s="67">
        <v>275.2</v>
      </c>
      <c r="B989" s="67">
        <v>284.29000000000002</v>
      </c>
      <c r="C989" s="67">
        <v>274.85000000000002</v>
      </c>
      <c r="D989" s="67">
        <v>279.69</v>
      </c>
      <c r="E989" s="67">
        <v>4578776</v>
      </c>
      <c r="F989" s="67" t="s">
        <v>1022</v>
      </c>
      <c r="G989" s="25">
        <f t="shared" si="15"/>
        <v>-1.6053487790053333E-2</v>
      </c>
    </row>
    <row r="990" spans="1:7">
      <c r="A990" s="67">
        <v>278.25</v>
      </c>
      <c r="B990" s="67">
        <v>279.58999999999997</v>
      </c>
      <c r="C990" s="67">
        <v>275.01</v>
      </c>
      <c r="D990" s="67">
        <v>277.8</v>
      </c>
      <c r="E990" s="67">
        <v>5155272</v>
      </c>
      <c r="F990" s="67" t="s">
        <v>1023</v>
      </c>
      <c r="G990" s="25">
        <f t="shared" si="15"/>
        <v>1.6198704103671524E-3</v>
      </c>
    </row>
    <row r="991" spans="1:7">
      <c r="A991" s="67">
        <v>281.39999999999998</v>
      </c>
      <c r="B991" s="67">
        <v>282.74</v>
      </c>
      <c r="C991" s="67">
        <v>275.37</v>
      </c>
      <c r="D991" s="67">
        <v>280.38</v>
      </c>
      <c r="E991" s="67">
        <v>4985056</v>
      </c>
      <c r="F991" s="67" t="s">
        <v>1024</v>
      </c>
      <c r="G991" s="25">
        <f t="shared" si="15"/>
        <v>3.6379199657607941E-3</v>
      </c>
    </row>
    <row r="992" spans="1:7">
      <c r="A992" s="67">
        <v>277.57</v>
      </c>
      <c r="B992" s="67">
        <v>284.5</v>
      </c>
      <c r="C992" s="67">
        <v>274.73</v>
      </c>
      <c r="D992" s="67">
        <v>281.7</v>
      </c>
      <c r="E992" s="67">
        <v>6390916</v>
      </c>
      <c r="F992" s="67" t="s">
        <v>1025</v>
      </c>
      <c r="G992" s="25">
        <f t="shared" si="15"/>
        <v>-1.4660986865459691E-2</v>
      </c>
    </row>
    <row r="993" spans="1:7">
      <c r="A993" s="67">
        <v>276.95999999999998</v>
      </c>
      <c r="B993" s="67">
        <v>288.89999999999998</v>
      </c>
      <c r="C993" s="67">
        <v>276.75</v>
      </c>
      <c r="D993" s="67">
        <v>286.02999999999997</v>
      </c>
      <c r="E993" s="67">
        <v>6746157</v>
      </c>
      <c r="F993" s="67" t="s">
        <v>1026</v>
      </c>
      <c r="G993" s="25">
        <f t="shared" si="15"/>
        <v>-3.1709960493654488E-2</v>
      </c>
    </row>
    <row r="994" spans="1:7">
      <c r="A994" s="67">
        <v>284.56</v>
      </c>
      <c r="B994" s="67">
        <v>288.55369999999999</v>
      </c>
      <c r="C994" s="67">
        <v>280.7</v>
      </c>
      <c r="D994" s="67">
        <v>285.57</v>
      </c>
      <c r="E994" s="67">
        <v>4739324</v>
      </c>
      <c r="F994" s="67" t="s">
        <v>1027</v>
      </c>
      <c r="G994" s="25">
        <f t="shared" si="15"/>
        <v>-3.5367860769688342E-3</v>
      </c>
    </row>
    <row r="995" spans="1:7">
      <c r="A995" s="67">
        <v>287.06</v>
      </c>
      <c r="B995" s="67">
        <v>289.55</v>
      </c>
      <c r="C995" s="67">
        <v>280.06</v>
      </c>
      <c r="D995" s="67">
        <v>282</v>
      </c>
      <c r="E995" s="67">
        <v>5657554</v>
      </c>
      <c r="F995" s="67" t="s">
        <v>1028</v>
      </c>
      <c r="G995" s="25">
        <f t="shared" si="15"/>
        <v>1.7943262411347582E-2</v>
      </c>
    </row>
    <row r="996" spans="1:7">
      <c r="A996" s="67">
        <v>286.3</v>
      </c>
      <c r="B996" s="67">
        <v>297.94</v>
      </c>
      <c r="C996" s="67">
        <v>286.22000000000003</v>
      </c>
      <c r="D996" s="67">
        <v>292.83999999999997</v>
      </c>
      <c r="E996" s="67">
        <v>4913148</v>
      </c>
      <c r="F996" s="67" t="s">
        <v>1029</v>
      </c>
      <c r="G996" s="25">
        <f t="shared" si="15"/>
        <v>-2.2333014615489533E-2</v>
      </c>
    </row>
    <row r="997" spans="1:7">
      <c r="A997" s="67">
        <v>291.06</v>
      </c>
      <c r="B997" s="67">
        <v>294.08</v>
      </c>
      <c r="C997" s="67">
        <v>287.80880000000002</v>
      </c>
      <c r="D997" s="67">
        <v>292.82</v>
      </c>
      <c r="E997" s="67">
        <v>6548807</v>
      </c>
      <c r="F997" s="67" t="s">
        <v>1030</v>
      </c>
      <c r="G997" s="25">
        <f t="shared" si="15"/>
        <v>-6.0105184072125617E-3</v>
      </c>
    </row>
    <row r="998" spans="1:7">
      <c r="A998" s="67">
        <v>296.06</v>
      </c>
      <c r="B998" s="67">
        <v>299.27999999999997</v>
      </c>
      <c r="C998" s="67">
        <v>293.46420000000001</v>
      </c>
      <c r="D998" s="67">
        <v>294.88</v>
      </c>
      <c r="E998" s="67">
        <v>6593418</v>
      </c>
      <c r="F998" s="67" t="s">
        <v>1031</v>
      </c>
      <c r="G998" s="25">
        <f t="shared" si="15"/>
        <v>4.0016277807921607E-3</v>
      </c>
    </row>
    <row r="999" spans="1:7">
      <c r="A999" s="67">
        <v>299.5</v>
      </c>
      <c r="B999" s="67">
        <v>300.2</v>
      </c>
      <c r="C999" s="67">
        <v>292.14</v>
      </c>
      <c r="D999" s="67">
        <v>298.32</v>
      </c>
      <c r="E999" s="67">
        <v>14948057</v>
      </c>
      <c r="F999" s="67" t="s">
        <v>1032</v>
      </c>
      <c r="G999" s="25">
        <f t="shared" si="15"/>
        <v>3.9554840439797179E-3</v>
      </c>
    </row>
    <row r="1000" spans="1:7">
      <c r="A1000" s="67">
        <v>309.13</v>
      </c>
      <c r="B1000" s="67">
        <v>329</v>
      </c>
      <c r="C1000" s="67">
        <v>305</v>
      </c>
      <c r="D1000" s="67">
        <v>323.14999999999998</v>
      </c>
      <c r="E1000" s="67">
        <v>27840207</v>
      </c>
      <c r="F1000" s="67" t="s">
        <v>1033</v>
      </c>
      <c r="G1000" s="25">
        <f t="shared" si="15"/>
        <v>-4.3385424725359667E-2</v>
      </c>
    </row>
    <row r="1001" spans="1:7">
      <c r="A1001" s="67">
        <v>371.52</v>
      </c>
      <c r="B1001" s="67">
        <v>374.24</v>
      </c>
      <c r="C1001" s="67">
        <v>365.61</v>
      </c>
      <c r="D1001" s="67">
        <v>369.57</v>
      </c>
      <c r="E1001" s="67">
        <v>3004368</v>
      </c>
      <c r="F1001" s="67" t="s">
        <v>1034</v>
      </c>
      <c r="G1001" s="25">
        <f t="shared" si="15"/>
        <v>5.2764023053819553E-3</v>
      </c>
    </row>
    <row r="1002" spans="1:7">
      <c r="A1002" s="67">
        <v>368.39</v>
      </c>
      <c r="B1002" s="67">
        <v>383.57499999999999</v>
      </c>
      <c r="C1002" s="67">
        <v>367.37</v>
      </c>
      <c r="D1002" s="67">
        <v>382.55</v>
      </c>
      <c r="E1002" s="67">
        <v>4175142</v>
      </c>
      <c r="F1002" s="67" t="s">
        <v>1035</v>
      </c>
      <c r="G1002" s="25">
        <f t="shared" si="15"/>
        <v>-3.7014769311201179E-2</v>
      </c>
    </row>
    <row r="1003" spans="1:7">
      <c r="A1003" s="67">
        <v>396.36</v>
      </c>
      <c r="B1003" s="67">
        <v>396.39</v>
      </c>
      <c r="C1003" s="67">
        <v>389.28</v>
      </c>
      <c r="D1003" s="67">
        <v>391.09</v>
      </c>
      <c r="E1003" s="67">
        <v>2854834</v>
      </c>
      <c r="F1003" s="67" t="s">
        <v>1036</v>
      </c>
      <c r="G1003" s="25">
        <f t="shared" si="15"/>
        <v>1.3475159170523554E-2</v>
      </c>
    </row>
    <row r="1004" spans="1:7">
      <c r="A1004" s="67">
        <v>394.78</v>
      </c>
      <c r="B1004" s="67">
        <v>396.09</v>
      </c>
      <c r="C1004" s="67">
        <v>389.66500000000002</v>
      </c>
      <c r="D1004" s="67">
        <v>390.19</v>
      </c>
      <c r="E1004" s="67">
        <v>3000456</v>
      </c>
      <c r="F1004" s="67" t="s">
        <v>1037</v>
      </c>
      <c r="G1004" s="25">
        <f t="shared" si="15"/>
        <v>1.1763499833414404E-2</v>
      </c>
    </row>
    <row r="1005" spans="1:7">
      <c r="A1005" s="67">
        <v>383.63</v>
      </c>
      <c r="B1005" s="67">
        <v>386.66</v>
      </c>
      <c r="C1005" s="67">
        <v>375.20010000000002</v>
      </c>
      <c r="D1005" s="67">
        <v>377.2</v>
      </c>
      <c r="E1005" s="67">
        <v>2276766</v>
      </c>
      <c r="F1005" s="67" t="s">
        <v>1038</v>
      </c>
      <c r="G1005" s="25">
        <f t="shared" si="15"/>
        <v>1.7046659597030667E-2</v>
      </c>
    </row>
    <row r="1006" spans="1:7">
      <c r="A1006" s="67">
        <v>379.72</v>
      </c>
      <c r="B1006" s="67">
        <v>381.52</v>
      </c>
      <c r="C1006" s="67">
        <v>367.19</v>
      </c>
      <c r="D1006" s="67">
        <v>368.2</v>
      </c>
      <c r="E1006" s="67">
        <v>2385540</v>
      </c>
      <c r="F1006" s="67" t="s">
        <v>1039</v>
      </c>
      <c r="G1006" s="25">
        <f t="shared" si="15"/>
        <v>3.1287343834872416E-2</v>
      </c>
    </row>
    <row r="1007" spans="1:7">
      <c r="A1007" s="67">
        <v>368.3</v>
      </c>
      <c r="B1007" s="67">
        <v>374.3</v>
      </c>
      <c r="C1007" s="67">
        <v>365.37</v>
      </c>
      <c r="D1007" s="67">
        <v>367.23</v>
      </c>
      <c r="E1007" s="67">
        <v>2564423</v>
      </c>
      <c r="F1007" s="67" t="s">
        <v>1040</v>
      </c>
      <c r="G1007" s="25">
        <f t="shared" si="15"/>
        <v>2.913705307300507E-3</v>
      </c>
    </row>
    <row r="1008" spans="1:7">
      <c r="A1008" s="67">
        <v>368.14</v>
      </c>
      <c r="B1008" s="67">
        <v>382</v>
      </c>
      <c r="C1008" s="67">
        <v>365.43</v>
      </c>
      <c r="D1008" s="67">
        <v>374.53</v>
      </c>
      <c r="E1008" s="67">
        <v>2450520</v>
      </c>
      <c r="F1008" s="67" t="s">
        <v>1041</v>
      </c>
      <c r="G1008" s="25">
        <f t="shared" si="15"/>
        <v>-1.7061383600779578E-2</v>
      </c>
    </row>
    <row r="1009" spans="1:7">
      <c r="A1009" s="67">
        <v>370.53</v>
      </c>
      <c r="B1009" s="67">
        <v>371.64</v>
      </c>
      <c r="C1009" s="67">
        <v>361.72050000000002</v>
      </c>
      <c r="D1009" s="67">
        <v>371</v>
      </c>
      <c r="E1009" s="67">
        <v>2574360</v>
      </c>
      <c r="F1009" s="67" t="s">
        <v>1042</v>
      </c>
      <c r="G1009" s="25">
        <f t="shared" si="15"/>
        <v>-1.2668463611860137E-3</v>
      </c>
    </row>
    <row r="1010" spans="1:7">
      <c r="A1010" s="67">
        <v>373.44</v>
      </c>
      <c r="B1010" s="67">
        <v>381.14499999999998</v>
      </c>
      <c r="C1010" s="67">
        <v>372.5</v>
      </c>
      <c r="D1010" s="67">
        <v>378.53</v>
      </c>
      <c r="E1010" s="67">
        <v>3193853</v>
      </c>
      <c r="F1010" s="67" t="s">
        <v>1043</v>
      </c>
      <c r="G1010" s="25">
        <f t="shared" si="15"/>
        <v>-1.344675455049793E-2</v>
      </c>
    </row>
    <row r="1011" spans="1:7">
      <c r="A1011" s="67">
        <v>375.07</v>
      </c>
      <c r="B1011" s="67">
        <v>380.66</v>
      </c>
      <c r="C1011" s="67">
        <v>371.06</v>
      </c>
      <c r="D1011" s="67">
        <v>379.92</v>
      </c>
      <c r="E1011" s="67">
        <v>1835000</v>
      </c>
      <c r="F1011" s="67" t="s">
        <v>1044</v>
      </c>
      <c r="G1011" s="25">
        <f t="shared" si="15"/>
        <v>-1.2765845441145562E-2</v>
      </c>
    </row>
    <row r="1012" spans="1:7">
      <c r="A1012" s="67">
        <v>375.26</v>
      </c>
      <c r="B1012" s="67">
        <v>382.86</v>
      </c>
      <c r="C1012" s="67">
        <v>374.82</v>
      </c>
      <c r="D1012" s="67">
        <v>380.09</v>
      </c>
      <c r="E1012" s="67">
        <v>2410300</v>
      </c>
      <c r="F1012" s="67" t="s">
        <v>1045</v>
      </c>
      <c r="G1012" s="25">
        <f t="shared" si="15"/>
        <v>-1.2707516640795613E-2</v>
      </c>
    </row>
    <row r="1013" spans="1:7">
      <c r="A1013" s="67">
        <v>381.02</v>
      </c>
      <c r="B1013" s="67">
        <v>405.54</v>
      </c>
      <c r="C1013" s="67">
        <v>380.5</v>
      </c>
      <c r="D1013" s="67">
        <v>403.99</v>
      </c>
      <c r="E1013" s="67">
        <v>3600146</v>
      </c>
      <c r="F1013" s="67" t="s">
        <v>1046</v>
      </c>
      <c r="G1013" s="25">
        <f t="shared" ref="G1013:G1076" si="16">A1013/D1013-1</f>
        <v>-5.6857843015916343E-2</v>
      </c>
    </row>
    <row r="1014" spans="1:7">
      <c r="A1014" s="67">
        <v>403.93</v>
      </c>
      <c r="B1014" s="67">
        <v>406.67</v>
      </c>
      <c r="C1014" s="67">
        <v>392.91500000000002</v>
      </c>
      <c r="D1014" s="67">
        <v>405.79</v>
      </c>
      <c r="E1014" s="67">
        <v>3062439</v>
      </c>
      <c r="F1014" s="67" t="s">
        <v>1047</v>
      </c>
      <c r="G1014" s="25">
        <f t="shared" si="16"/>
        <v>-4.5836516424752061E-3</v>
      </c>
    </row>
    <row r="1015" spans="1:7">
      <c r="A1015" s="67">
        <v>405.65</v>
      </c>
      <c r="B1015" s="67">
        <v>413.24</v>
      </c>
      <c r="C1015" s="67">
        <v>405.33</v>
      </c>
      <c r="D1015" s="67">
        <v>410.68</v>
      </c>
      <c r="E1015" s="67">
        <v>1883945</v>
      </c>
      <c r="F1015" s="67" t="s">
        <v>1048</v>
      </c>
      <c r="G1015" s="25">
        <f t="shared" si="16"/>
        <v>-1.2247978961722139E-2</v>
      </c>
    </row>
    <row r="1016" spans="1:7">
      <c r="A1016" s="67">
        <v>410.41</v>
      </c>
      <c r="B1016" s="67">
        <v>415.7</v>
      </c>
      <c r="C1016" s="67">
        <v>409.2</v>
      </c>
      <c r="D1016" s="67">
        <v>410.37</v>
      </c>
      <c r="E1016" s="67">
        <v>1392235</v>
      </c>
      <c r="F1016" s="67" t="s">
        <v>1049</v>
      </c>
      <c r="G1016" s="25">
        <f t="shared" si="16"/>
        <v>9.7473012159898786E-5</v>
      </c>
    </row>
    <row r="1017" spans="1:7">
      <c r="A1017" s="67">
        <v>411.35</v>
      </c>
      <c r="B1017" s="67">
        <v>419.79</v>
      </c>
      <c r="C1017" s="67">
        <v>410.08</v>
      </c>
      <c r="D1017" s="67">
        <v>419.41</v>
      </c>
      <c r="E1017" s="67">
        <v>2074557</v>
      </c>
      <c r="F1017" s="67" t="s">
        <v>1050</v>
      </c>
      <c r="G1017" s="25">
        <f t="shared" si="16"/>
        <v>-1.9217472163276961E-2</v>
      </c>
    </row>
    <row r="1018" spans="1:7">
      <c r="A1018" s="67">
        <v>425.05500000000001</v>
      </c>
      <c r="B1018" s="67">
        <v>432.5</v>
      </c>
      <c r="C1018" s="67">
        <v>424.62</v>
      </c>
      <c r="D1018" s="67">
        <v>431.58</v>
      </c>
      <c r="E1018" s="67">
        <v>2007722</v>
      </c>
      <c r="F1018" s="67" t="s">
        <v>1051</v>
      </c>
      <c r="G1018" s="25">
        <f t="shared" si="16"/>
        <v>-1.5118865563742423E-2</v>
      </c>
    </row>
    <row r="1019" spans="1:7">
      <c r="A1019" s="67">
        <v>439.03</v>
      </c>
      <c r="B1019" s="67">
        <v>441.39</v>
      </c>
      <c r="C1019" s="67">
        <v>437.01010000000002</v>
      </c>
      <c r="D1019" s="67">
        <v>438.61</v>
      </c>
      <c r="E1019" s="67">
        <v>1402379</v>
      </c>
      <c r="F1019" s="67" t="s">
        <v>1052</v>
      </c>
      <c r="G1019" s="25">
        <f t="shared" si="16"/>
        <v>9.5757050682832023E-4</v>
      </c>
    </row>
    <row r="1020" spans="1:7">
      <c r="A1020" s="67">
        <v>437.82</v>
      </c>
      <c r="B1020" s="67">
        <v>442.99</v>
      </c>
      <c r="C1020" s="67">
        <v>436.11380000000003</v>
      </c>
      <c r="D1020" s="67">
        <v>440.87</v>
      </c>
      <c r="E1020" s="67">
        <v>1894369</v>
      </c>
      <c r="F1020" s="67" t="s">
        <v>1053</v>
      </c>
      <c r="G1020" s="25">
        <f t="shared" si="16"/>
        <v>-6.9181391339850906E-3</v>
      </c>
    </row>
    <row r="1021" spans="1:7">
      <c r="A1021" s="67">
        <v>447.56</v>
      </c>
      <c r="B1021" s="67">
        <v>450.09</v>
      </c>
      <c r="C1021" s="67">
        <v>440.1</v>
      </c>
      <c r="D1021" s="67">
        <v>446.12</v>
      </c>
      <c r="E1021" s="67">
        <v>2139474</v>
      </c>
      <c r="F1021" s="67" t="s">
        <v>1054</v>
      </c>
      <c r="G1021" s="25">
        <f t="shared" si="16"/>
        <v>3.2278310768403262E-3</v>
      </c>
    </row>
    <row r="1022" spans="1:7">
      <c r="A1022" s="67">
        <v>451.02</v>
      </c>
      <c r="B1022" s="67">
        <v>451.15</v>
      </c>
      <c r="C1022" s="67">
        <v>442.14</v>
      </c>
      <c r="D1022" s="67">
        <v>445.07</v>
      </c>
      <c r="E1022" s="67">
        <v>2503382</v>
      </c>
      <c r="F1022" s="67" t="s">
        <v>1055</v>
      </c>
      <c r="G1022" s="25">
        <f t="shared" si="16"/>
        <v>1.3368683577864138E-2</v>
      </c>
    </row>
    <row r="1023" spans="1:7">
      <c r="A1023" s="67">
        <v>445.67</v>
      </c>
      <c r="B1023" s="67">
        <v>446</v>
      </c>
      <c r="C1023" s="67">
        <v>436.58</v>
      </c>
      <c r="D1023" s="67">
        <v>439.61</v>
      </c>
      <c r="E1023" s="67">
        <v>2150845</v>
      </c>
      <c r="F1023" s="67" t="s">
        <v>1056</v>
      </c>
      <c r="G1023" s="25">
        <f t="shared" si="16"/>
        <v>1.3784945747366883E-2</v>
      </c>
    </row>
    <row r="1024" spans="1:7">
      <c r="A1024" s="67">
        <v>434.89</v>
      </c>
      <c r="B1024" s="67">
        <v>445.61</v>
      </c>
      <c r="C1024" s="67">
        <v>434.4</v>
      </c>
      <c r="D1024" s="67">
        <v>445.26</v>
      </c>
      <c r="E1024" s="67">
        <v>1756701</v>
      </c>
      <c r="F1024" s="67" t="s">
        <v>1057</v>
      </c>
      <c r="G1024" s="25">
        <f t="shared" si="16"/>
        <v>-2.3289763284373155E-2</v>
      </c>
    </row>
    <row r="1025" spans="1:7">
      <c r="A1025" s="67">
        <v>438.4</v>
      </c>
      <c r="B1025" s="67">
        <v>443.22</v>
      </c>
      <c r="C1025" s="67">
        <v>436.2</v>
      </c>
      <c r="D1025" s="67">
        <v>441.42</v>
      </c>
      <c r="E1025" s="67">
        <v>2634606</v>
      </c>
      <c r="F1025" s="67" t="s">
        <v>1058</v>
      </c>
      <c r="G1025" s="25">
        <f t="shared" si="16"/>
        <v>-6.8415567939831279E-3</v>
      </c>
    </row>
    <row r="1026" spans="1:7">
      <c r="A1026" s="67">
        <v>426.57</v>
      </c>
      <c r="B1026" s="67">
        <v>434.59</v>
      </c>
      <c r="C1026" s="67">
        <v>424.61500000000001</v>
      </c>
      <c r="D1026" s="67">
        <v>434.34</v>
      </c>
      <c r="E1026" s="67">
        <v>1977285</v>
      </c>
      <c r="F1026" s="67" t="s">
        <v>1059</v>
      </c>
      <c r="G1026" s="25">
        <f t="shared" si="16"/>
        <v>-1.7889211217018919E-2</v>
      </c>
    </row>
    <row r="1027" spans="1:7">
      <c r="A1027" s="67">
        <v>434.34</v>
      </c>
      <c r="B1027" s="67">
        <v>440.3</v>
      </c>
      <c r="C1027" s="67">
        <v>432.48</v>
      </c>
      <c r="D1027" s="67">
        <v>435</v>
      </c>
      <c r="E1027" s="67">
        <v>2202396</v>
      </c>
      <c r="F1027" s="67" t="s">
        <v>1060</v>
      </c>
      <c r="G1027" s="25">
        <f t="shared" si="16"/>
        <v>-1.5172413793104189E-3</v>
      </c>
    </row>
    <row r="1028" spans="1:7">
      <c r="A1028" s="67">
        <v>433.43</v>
      </c>
      <c r="B1028" s="67">
        <v>434.54250000000002</v>
      </c>
      <c r="C1028" s="67">
        <v>421</v>
      </c>
      <c r="D1028" s="67">
        <v>423</v>
      </c>
      <c r="E1028" s="67">
        <v>2481397</v>
      </c>
      <c r="F1028" s="67" t="s">
        <v>1061</v>
      </c>
      <c r="G1028" s="25">
        <f t="shared" si="16"/>
        <v>2.4657210401891172E-2</v>
      </c>
    </row>
    <row r="1029" spans="1:7">
      <c r="A1029" s="67">
        <v>430.59</v>
      </c>
      <c r="B1029" s="67">
        <v>431.15</v>
      </c>
      <c r="C1029" s="67">
        <v>419.63029999999998</v>
      </c>
      <c r="D1029" s="67">
        <v>425.45</v>
      </c>
      <c r="E1029" s="67">
        <v>2745635</v>
      </c>
      <c r="F1029" s="67" t="s">
        <v>1062</v>
      </c>
      <c r="G1029" s="25">
        <f t="shared" si="16"/>
        <v>1.2081325655188602E-2</v>
      </c>
    </row>
    <row r="1030" spans="1:7">
      <c r="A1030" s="67">
        <v>424.54</v>
      </c>
      <c r="B1030" s="67">
        <v>426.04</v>
      </c>
      <c r="C1030" s="67">
        <v>412.02</v>
      </c>
      <c r="D1030" s="67">
        <v>412.81</v>
      </c>
      <c r="E1030" s="67">
        <v>2403471</v>
      </c>
      <c r="F1030" s="67" t="s">
        <v>1063</v>
      </c>
      <c r="G1030" s="25">
        <f t="shared" si="16"/>
        <v>2.8415009326324459E-2</v>
      </c>
    </row>
    <row r="1031" spans="1:7">
      <c r="A1031" s="67">
        <v>409.96</v>
      </c>
      <c r="B1031" s="67">
        <v>412.42</v>
      </c>
      <c r="C1031" s="67">
        <v>402.245</v>
      </c>
      <c r="D1031" s="67">
        <v>405.34</v>
      </c>
      <c r="E1031" s="67">
        <v>2165451</v>
      </c>
      <c r="F1031" s="67" t="s">
        <v>1064</v>
      </c>
      <c r="G1031" s="25">
        <f t="shared" si="16"/>
        <v>1.1397838851334718E-2</v>
      </c>
    </row>
    <row r="1032" spans="1:7">
      <c r="A1032" s="67">
        <v>411.09</v>
      </c>
      <c r="B1032" s="67">
        <v>417.16</v>
      </c>
      <c r="C1032" s="67">
        <v>405.07</v>
      </c>
      <c r="D1032" s="67">
        <v>406.51</v>
      </c>
      <c r="E1032" s="67">
        <v>1910045</v>
      </c>
      <c r="F1032" s="67" t="s">
        <v>1065</v>
      </c>
      <c r="G1032" s="25">
        <f t="shared" si="16"/>
        <v>1.1266635507121592E-2</v>
      </c>
    </row>
    <row r="1033" spans="1:7">
      <c r="A1033" s="67">
        <v>410.12</v>
      </c>
      <c r="B1033" s="67">
        <v>411.38</v>
      </c>
      <c r="C1033" s="67">
        <v>400.89</v>
      </c>
      <c r="D1033" s="67">
        <v>404.69</v>
      </c>
      <c r="E1033" s="67">
        <v>2670046</v>
      </c>
      <c r="F1033" s="67" t="s">
        <v>1066</v>
      </c>
      <c r="G1033" s="25">
        <f t="shared" si="16"/>
        <v>1.3417677728631894E-2</v>
      </c>
    </row>
    <row r="1034" spans="1:7">
      <c r="A1034" s="67">
        <v>403.5</v>
      </c>
      <c r="B1034" s="67">
        <v>406.15</v>
      </c>
      <c r="C1034" s="67">
        <v>390.06</v>
      </c>
      <c r="D1034" s="67">
        <v>392.76</v>
      </c>
      <c r="E1034" s="67">
        <v>2421734</v>
      </c>
      <c r="F1034" s="67" t="s">
        <v>1067</v>
      </c>
      <c r="G1034" s="25">
        <f t="shared" si="16"/>
        <v>2.7344943476932393E-2</v>
      </c>
    </row>
    <row r="1035" spans="1:7">
      <c r="A1035" s="67">
        <v>392.78</v>
      </c>
      <c r="B1035" s="67">
        <v>394.91</v>
      </c>
      <c r="C1035" s="67">
        <v>383.40499999999997</v>
      </c>
      <c r="D1035" s="67">
        <v>385.08</v>
      </c>
      <c r="E1035" s="67">
        <v>2669699</v>
      </c>
      <c r="F1035" s="67" t="s">
        <v>1068</v>
      </c>
      <c r="G1035" s="25">
        <f t="shared" si="16"/>
        <v>1.9995845019216807E-2</v>
      </c>
    </row>
    <row r="1036" spans="1:7">
      <c r="A1036" s="67">
        <v>379.26</v>
      </c>
      <c r="B1036" s="67">
        <v>393.58</v>
      </c>
      <c r="C1036" s="67">
        <v>378.16</v>
      </c>
      <c r="D1036" s="67">
        <v>393.58</v>
      </c>
      <c r="E1036" s="67">
        <v>2368512</v>
      </c>
      <c r="F1036" s="67" t="s">
        <v>1069</v>
      </c>
      <c r="G1036" s="25">
        <f t="shared" si="16"/>
        <v>-3.6383962599725539E-2</v>
      </c>
    </row>
    <row r="1037" spans="1:7">
      <c r="A1037" s="67">
        <v>391.96</v>
      </c>
      <c r="B1037" s="67">
        <v>400.7688</v>
      </c>
      <c r="C1037" s="67">
        <v>388.57</v>
      </c>
      <c r="D1037" s="67">
        <v>400.11</v>
      </c>
      <c r="E1037" s="67">
        <v>2340478</v>
      </c>
      <c r="F1037" s="67" t="s">
        <v>1070</v>
      </c>
      <c r="G1037" s="25">
        <f t="shared" si="16"/>
        <v>-2.0369398415435835E-2</v>
      </c>
    </row>
    <row r="1038" spans="1:7">
      <c r="A1038" s="67">
        <v>401.9</v>
      </c>
      <c r="B1038" s="67">
        <v>414.62</v>
      </c>
      <c r="C1038" s="67">
        <v>398.63099999999997</v>
      </c>
      <c r="D1038" s="67">
        <v>410.03</v>
      </c>
      <c r="E1038" s="67">
        <v>2413224</v>
      </c>
      <c r="F1038" s="67" t="s">
        <v>1071</v>
      </c>
      <c r="G1038" s="25">
        <f t="shared" si="16"/>
        <v>-1.9827817476769982E-2</v>
      </c>
    </row>
    <row r="1039" spans="1:7">
      <c r="A1039" s="67">
        <v>408.91</v>
      </c>
      <c r="B1039" s="67">
        <v>409.65</v>
      </c>
      <c r="C1039" s="67">
        <v>399.24009999999998</v>
      </c>
      <c r="D1039" s="67">
        <v>404.12</v>
      </c>
      <c r="E1039" s="67">
        <v>2009914</v>
      </c>
      <c r="F1039" s="67" t="s">
        <v>1072</v>
      </c>
      <c r="G1039" s="25">
        <f t="shared" si="16"/>
        <v>1.1852914975749806E-2</v>
      </c>
    </row>
    <row r="1040" spans="1:7">
      <c r="A1040" s="67">
        <v>401.49</v>
      </c>
      <c r="B1040" s="67">
        <v>403.13</v>
      </c>
      <c r="C1040" s="67">
        <v>390.07</v>
      </c>
      <c r="D1040" s="67">
        <v>392.19</v>
      </c>
      <c r="E1040" s="67">
        <v>2746782</v>
      </c>
      <c r="F1040" s="67" t="s">
        <v>1073</v>
      </c>
      <c r="G1040" s="25">
        <f t="shared" si="16"/>
        <v>2.3712996251816776E-2</v>
      </c>
    </row>
    <row r="1041" spans="1:7">
      <c r="A1041" s="67">
        <v>387.83</v>
      </c>
      <c r="B1041" s="67">
        <v>388.32</v>
      </c>
      <c r="C1041" s="67">
        <v>378</v>
      </c>
      <c r="D1041" s="67">
        <v>382.89</v>
      </c>
      <c r="E1041" s="67">
        <v>1977609</v>
      </c>
      <c r="F1041" s="67" t="s">
        <v>1074</v>
      </c>
      <c r="G1041" s="25">
        <f t="shared" si="16"/>
        <v>1.2901877823918051E-2</v>
      </c>
    </row>
    <row r="1042" spans="1:7">
      <c r="A1042" s="67">
        <v>375.23</v>
      </c>
      <c r="B1042" s="67">
        <v>385.565</v>
      </c>
      <c r="C1042" s="67">
        <v>374.01</v>
      </c>
      <c r="D1042" s="67">
        <v>383.83</v>
      </c>
      <c r="E1042" s="67">
        <v>1866609</v>
      </c>
      <c r="F1042" s="67" t="s">
        <v>1075</v>
      </c>
      <c r="G1042" s="25">
        <f t="shared" si="16"/>
        <v>-2.2405752546700297E-2</v>
      </c>
    </row>
    <row r="1043" spans="1:7">
      <c r="A1043" s="67">
        <v>379.86</v>
      </c>
      <c r="B1043" s="67">
        <v>384.47</v>
      </c>
      <c r="C1043" s="67">
        <v>376.86</v>
      </c>
      <c r="D1043" s="67">
        <v>377.79</v>
      </c>
      <c r="E1043" s="67">
        <v>2488267</v>
      </c>
      <c r="F1043" s="67" t="s">
        <v>1076</v>
      </c>
      <c r="G1043" s="25">
        <f t="shared" si="16"/>
        <v>5.4792344953544792E-3</v>
      </c>
    </row>
    <row r="1044" spans="1:7">
      <c r="A1044" s="67">
        <v>372.96</v>
      </c>
      <c r="B1044" s="67">
        <v>374.19400000000002</v>
      </c>
      <c r="C1044" s="67">
        <v>361.46</v>
      </c>
      <c r="D1044" s="67">
        <v>368.83</v>
      </c>
      <c r="E1044" s="67">
        <v>2098363</v>
      </c>
      <c r="F1044" s="67" t="s">
        <v>1077</v>
      </c>
      <c r="G1044" s="25">
        <f t="shared" si="16"/>
        <v>1.1197570696526826E-2</v>
      </c>
    </row>
    <row r="1045" spans="1:7">
      <c r="A1045" s="67">
        <v>371.94</v>
      </c>
      <c r="B1045" s="67">
        <v>374.41</v>
      </c>
      <c r="C1045" s="67">
        <v>364.7</v>
      </c>
      <c r="D1045" s="67">
        <v>368.2</v>
      </c>
      <c r="E1045" s="67">
        <v>1993962</v>
      </c>
      <c r="F1045" s="67" t="s">
        <v>1078</v>
      </c>
      <c r="G1045" s="25">
        <f t="shared" si="16"/>
        <v>1.0157523085279729E-2</v>
      </c>
    </row>
    <row r="1046" spans="1:7">
      <c r="A1046" s="67">
        <v>375.54</v>
      </c>
      <c r="B1046" s="67">
        <v>391.51499999999999</v>
      </c>
      <c r="C1046" s="67">
        <v>372.91</v>
      </c>
      <c r="D1046" s="67">
        <v>383.9</v>
      </c>
      <c r="E1046" s="67">
        <v>2639683</v>
      </c>
      <c r="F1046" s="67" t="s">
        <v>1079</v>
      </c>
      <c r="G1046" s="25">
        <f t="shared" si="16"/>
        <v>-2.1776504297994159E-2</v>
      </c>
    </row>
    <row r="1047" spans="1:7">
      <c r="A1047" s="67">
        <v>384.16</v>
      </c>
      <c r="B1047" s="67">
        <v>388.05</v>
      </c>
      <c r="C1047" s="67">
        <v>380.45690000000002</v>
      </c>
      <c r="D1047" s="67">
        <v>386.57</v>
      </c>
      <c r="E1047" s="67">
        <v>1835865</v>
      </c>
      <c r="F1047" s="67" t="s">
        <v>1080</v>
      </c>
      <c r="G1047" s="25">
        <f t="shared" si="16"/>
        <v>-6.2343171999895697E-3</v>
      </c>
    </row>
    <row r="1048" spans="1:7">
      <c r="A1048" s="67">
        <v>389.44</v>
      </c>
      <c r="B1048" s="67">
        <v>391.86</v>
      </c>
      <c r="C1048" s="67">
        <v>383.84</v>
      </c>
      <c r="D1048" s="67">
        <v>384.35</v>
      </c>
      <c r="E1048" s="67">
        <v>1611201</v>
      </c>
      <c r="F1048" s="67" t="s">
        <v>1081</v>
      </c>
      <c r="G1048" s="25">
        <f t="shared" si="16"/>
        <v>1.3243137765057922E-2</v>
      </c>
    </row>
    <row r="1049" spans="1:7">
      <c r="A1049" s="67">
        <v>390.89</v>
      </c>
      <c r="B1049" s="67">
        <v>392.07</v>
      </c>
      <c r="C1049" s="67">
        <v>382.38</v>
      </c>
      <c r="D1049" s="67">
        <v>382.5</v>
      </c>
      <c r="E1049" s="67">
        <v>2368519</v>
      </c>
      <c r="F1049" s="67" t="s">
        <v>1082</v>
      </c>
      <c r="G1049" s="25">
        <f t="shared" si="16"/>
        <v>2.1934640522875748E-2</v>
      </c>
    </row>
    <row r="1050" spans="1:7">
      <c r="A1050" s="67">
        <v>382.83</v>
      </c>
      <c r="B1050" s="67">
        <v>385.38499999999999</v>
      </c>
      <c r="C1050" s="67">
        <v>374.09</v>
      </c>
      <c r="D1050" s="67">
        <v>378.54</v>
      </c>
      <c r="E1050" s="67">
        <v>2284551</v>
      </c>
      <c r="F1050" s="67" t="s">
        <v>1083</v>
      </c>
      <c r="G1050" s="25">
        <f t="shared" si="16"/>
        <v>1.1333016325883571E-2</v>
      </c>
    </row>
    <row r="1051" spans="1:7">
      <c r="A1051" s="67">
        <v>376.49</v>
      </c>
      <c r="B1051" s="67">
        <v>378.52</v>
      </c>
      <c r="C1051" s="67">
        <v>359.82</v>
      </c>
      <c r="D1051" s="67">
        <v>363.5</v>
      </c>
      <c r="E1051" s="67">
        <v>3121504</v>
      </c>
      <c r="F1051" s="67" t="s">
        <v>1084</v>
      </c>
      <c r="G1051" s="25">
        <f t="shared" si="16"/>
        <v>3.5735900962861056E-2</v>
      </c>
    </row>
    <row r="1052" spans="1:7">
      <c r="A1052" s="67">
        <v>368.48</v>
      </c>
      <c r="B1052" s="67">
        <v>369.529</v>
      </c>
      <c r="C1052" s="67">
        <v>359.07</v>
      </c>
      <c r="D1052" s="67">
        <v>364.17500000000001</v>
      </c>
      <c r="E1052" s="67">
        <v>2471735</v>
      </c>
      <c r="F1052" s="67" t="s">
        <v>1085</v>
      </c>
      <c r="G1052" s="25">
        <f t="shared" si="16"/>
        <v>1.1821239788563309E-2</v>
      </c>
    </row>
    <row r="1053" spans="1:7">
      <c r="A1053" s="67">
        <v>366.06</v>
      </c>
      <c r="B1053" s="67">
        <v>370.42</v>
      </c>
      <c r="C1053" s="67">
        <v>357.56</v>
      </c>
      <c r="D1053" s="67">
        <v>362.9</v>
      </c>
      <c r="E1053" s="67">
        <v>2595510</v>
      </c>
      <c r="F1053" s="67" t="s">
        <v>1086</v>
      </c>
      <c r="G1053" s="25">
        <f t="shared" si="16"/>
        <v>8.7076329567374877E-3</v>
      </c>
    </row>
    <row r="1054" spans="1:7">
      <c r="A1054" s="67">
        <v>368.5</v>
      </c>
      <c r="B1054" s="67">
        <v>370.37</v>
      </c>
      <c r="C1054" s="67">
        <v>362.64</v>
      </c>
      <c r="D1054" s="67">
        <v>367.94</v>
      </c>
      <c r="E1054" s="67">
        <v>2027907</v>
      </c>
      <c r="F1054" s="67" t="s">
        <v>1087</v>
      </c>
      <c r="G1054" s="25">
        <f t="shared" si="16"/>
        <v>1.5219872805349866E-3</v>
      </c>
    </row>
    <row r="1055" spans="1:7">
      <c r="A1055" s="67">
        <v>365.63</v>
      </c>
      <c r="B1055" s="67">
        <v>382.98</v>
      </c>
      <c r="C1055" s="67">
        <v>364.45</v>
      </c>
      <c r="D1055" s="67">
        <v>381</v>
      </c>
      <c r="E1055" s="67">
        <v>2660047</v>
      </c>
      <c r="F1055" s="67" t="s">
        <v>1088</v>
      </c>
      <c r="G1055" s="25">
        <f t="shared" si="16"/>
        <v>-4.034120734908142E-2</v>
      </c>
    </row>
    <row r="1056" spans="1:7">
      <c r="A1056" s="67">
        <v>381.07</v>
      </c>
      <c r="B1056" s="67">
        <v>389.38499999999999</v>
      </c>
      <c r="C1056" s="67">
        <v>379.38</v>
      </c>
      <c r="D1056" s="67">
        <v>388.8</v>
      </c>
      <c r="E1056" s="67">
        <v>2244631</v>
      </c>
      <c r="F1056" s="67" t="s">
        <v>1089</v>
      </c>
      <c r="G1056" s="25">
        <f t="shared" si="16"/>
        <v>-1.9881687242798374E-2</v>
      </c>
    </row>
    <row r="1057" spans="1:7">
      <c r="A1057" s="67">
        <v>387.72</v>
      </c>
      <c r="B1057" s="67">
        <v>388.06</v>
      </c>
      <c r="C1057" s="67">
        <v>378.22</v>
      </c>
      <c r="D1057" s="67">
        <v>380.64</v>
      </c>
      <c r="E1057" s="67">
        <v>3305337</v>
      </c>
      <c r="F1057" s="67" t="s">
        <v>1090</v>
      </c>
      <c r="G1057" s="25">
        <f t="shared" si="16"/>
        <v>1.8600252206809609E-2</v>
      </c>
    </row>
    <row r="1058" spans="1:7">
      <c r="A1058" s="67">
        <v>376.64</v>
      </c>
      <c r="B1058" s="67">
        <v>378.18</v>
      </c>
      <c r="C1058" s="67">
        <v>367.47</v>
      </c>
      <c r="D1058" s="67">
        <v>371.71</v>
      </c>
      <c r="E1058" s="67">
        <v>2534343</v>
      </c>
      <c r="F1058" s="67" t="s">
        <v>1091</v>
      </c>
      <c r="G1058" s="25">
        <f t="shared" si="16"/>
        <v>1.3263027629065727E-2</v>
      </c>
    </row>
    <row r="1059" spans="1:7">
      <c r="A1059" s="67">
        <v>365.33</v>
      </c>
      <c r="B1059" s="67">
        <v>372.55</v>
      </c>
      <c r="C1059" s="67">
        <v>358.22280000000001</v>
      </c>
      <c r="D1059" s="67">
        <v>360.79</v>
      </c>
      <c r="E1059" s="67">
        <v>3168159</v>
      </c>
      <c r="F1059" s="67" t="s">
        <v>1092</v>
      </c>
      <c r="G1059" s="25">
        <f t="shared" si="16"/>
        <v>1.258349732531383E-2</v>
      </c>
    </row>
    <row r="1060" spans="1:7">
      <c r="A1060" s="67">
        <v>362.99</v>
      </c>
      <c r="B1060" s="67">
        <v>372.79500000000002</v>
      </c>
      <c r="C1060" s="67">
        <v>353.51</v>
      </c>
      <c r="D1060" s="67">
        <v>355.02</v>
      </c>
      <c r="E1060" s="67">
        <v>5343494</v>
      </c>
      <c r="F1060" s="67" t="s">
        <v>1093</v>
      </c>
      <c r="G1060" s="25">
        <f t="shared" si="16"/>
        <v>2.2449439468199106E-2</v>
      </c>
    </row>
    <row r="1061" spans="1:7">
      <c r="A1061" s="67">
        <v>360.79</v>
      </c>
      <c r="B1061" s="67">
        <v>367.32</v>
      </c>
      <c r="C1061" s="67">
        <v>338</v>
      </c>
      <c r="D1061" s="67">
        <v>349.24</v>
      </c>
      <c r="E1061" s="67">
        <v>9475054</v>
      </c>
      <c r="F1061" s="67" t="s">
        <v>1094</v>
      </c>
      <c r="G1061" s="25">
        <f t="shared" si="16"/>
        <v>3.3071813079830426E-2</v>
      </c>
    </row>
    <row r="1062" spans="1:7">
      <c r="A1062" s="67">
        <v>365.08</v>
      </c>
      <c r="B1062" s="67">
        <v>376.12</v>
      </c>
      <c r="C1062" s="67">
        <v>360.9</v>
      </c>
      <c r="D1062" s="67">
        <v>369.37</v>
      </c>
      <c r="E1062" s="67">
        <v>5775295</v>
      </c>
      <c r="F1062" s="67" t="s">
        <v>1095</v>
      </c>
      <c r="G1062" s="25">
        <f t="shared" si="16"/>
        <v>-1.1614370414489539E-2</v>
      </c>
    </row>
    <row r="1063" spans="1:7">
      <c r="A1063" s="67">
        <v>376.92</v>
      </c>
      <c r="B1063" s="67">
        <v>382.75</v>
      </c>
      <c r="C1063" s="67">
        <v>368.5</v>
      </c>
      <c r="D1063" s="67">
        <v>376.03</v>
      </c>
      <c r="E1063" s="67">
        <v>3664477</v>
      </c>
      <c r="F1063" s="67" t="s">
        <v>1096</v>
      </c>
      <c r="G1063" s="25">
        <f t="shared" si="16"/>
        <v>2.3668324335825996E-3</v>
      </c>
    </row>
    <row r="1064" spans="1:7">
      <c r="A1064" s="67">
        <v>370.82</v>
      </c>
      <c r="B1064" s="67">
        <v>376.89</v>
      </c>
      <c r="C1064" s="67">
        <v>367.31</v>
      </c>
      <c r="D1064" s="67">
        <v>371.44</v>
      </c>
      <c r="E1064" s="67">
        <v>3197215</v>
      </c>
      <c r="F1064" s="67" t="s">
        <v>1097</v>
      </c>
      <c r="G1064" s="25">
        <f t="shared" si="16"/>
        <v>-1.6691794098643298E-3</v>
      </c>
    </row>
    <row r="1065" spans="1:7">
      <c r="A1065" s="67">
        <v>371.65</v>
      </c>
      <c r="B1065" s="67">
        <v>385.65</v>
      </c>
      <c r="C1065" s="67">
        <v>371.08499999999998</v>
      </c>
      <c r="D1065" s="67">
        <v>377.36</v>
      </c>
      <c r="E1065" s="67">
        <v>4724765</v>
      </c>
      <c r="F1065" s="67" t="s">
        <v>1098</v>
      </c>
      <c r="G1065" s="25">
        <f t="shared" si="16"/>
        <v>-1.5131439474242225E-2</v>
      </c>
    </row>
    <row r="1066" spans="1:7">
      <c r="A1066" s="67">
        <v>393.84</v>
      </c>
      <c r="B1066" s="67">
        <v>413.96</v>
      </c>
      <c r="C1066" s="67">
        <v>390.185</v>
      </c>
      <c r="D1066" s="67">
        <v>412.9</v>
      </c>
      <c r="E1066" s="67">
        <v>4407524</v>
      </c>
      <c r="F1066" s="67" t="s">
        <v>1099</v>
      </c>
      <c r="G1066" s="25">
        <f t="shared" si="16"/>
        <v>-4.6161298135141693E-2</v>
      </c>
    </row>
    <row r="1067" spans="1:7">
      <c r="A1067" s="67">
        <v>426.42</v>
      </c>
      <c r="B1067" s="67">
        <v>436.04</v>
      </c>
      <c r="C1067" s="67">
        <v>423.48</v>
      </c>
      <c r="D1067" s="67">
        <v>424.17</v>
      </c>
      <c r="E1067" s="67">
        <v>2572418</v>
      </c>
      <c r="F1067" s="67" t="s">
        <v>1100</v>
      </c>
      <c r="G1067" s="25">
        <f t="shared" si="16"/>
        <v>5.3044769785699497E-3</v>
      </c>
    </row>
    <row r="1068" spans="1:7">
      <c r="A1068" s="67">
        <v>428.84</v>
      </c>
      <c r="B1068" s="67">
        <v>433.75</v>
      </c>
      <c r="C1068" s="67">
        <v>426.42</v>
      </c>
      <c r="D1068" s="67">
        <v>430.54</v>
      </c>
      <c r="E1068" s="67">
        <v>1790134</v>
      </c>
      <c r="F1068" s="67" t="s">
        <v>1101</v>
      </c>
      <c r="G1068" s="25">
        <f t="shared" si="16"/>
        <v>-3.948529753333152E-3</v>
      </c>
    </row>
    <row r="1069" spans="1:7">
      <c r="A1069" s="67">
        <v>433.42</v>
      </c>
      <c r="B1069" s="67">
        <v>435.2</v>
      </c>
      <c r="C1069" s="67">
        <v>423.12</v>
      </c>
      <c r="D1069" s="67">
        <v>423.98</v>
      </c>
      <c r="E1069" s="67">
        <v>1611182</v>
      </c>
      <c r="F1069" s="67" t="s">
        <v>1102</v>
      </c>
      <c r="G1069" s="25">
        <f t="shared" si="16"/>
        <v>2.2265201188735206E-2</v>
      </c>
    </row>
    <row r="1070" spans="1:7">
      <c r="A1070" s="67">
        <v>429.46</v>
      </c>
      <c r="B1070" s="67">
        <v>440</v>
      </c>
      <c r="C1070" s="67">
        <v>427.03609999999998</v>
      </c>
      <c r="D1070" s="67">
        <v>437.59</v>
      </c>
      <c r="E1070" s="67">
        <v>1563987</v>
      </c>
      <c r="F1070" s="67" t="s">
        <v>1103</v>
      </c>
      <c r="G1070" s="25">
        <f t="shared" si="16"/>
        <v>-1.8579035169907887E-2</v>
      </c>
    </row>
    <row r="1071" spans="1:7">
      <c r="A1071" s="67">
        <v>429.76</v>
      </c>
      <c r="B1071" s="67">
        <v>438.01</v>
      </c>
      <c r="C1071" s="67">
        <v>427.255</v>
      </c>
      <c r="D1071" s="67">
        <v>430.71</v>
      </c>
      <c r="E1071" s="67">
        <v>2355536</v>
      </c>
      <c r="F1071" s="67" t="s">
        <v>1104</v>
      </c>
      <c r="G1071" s="25">
        <f t="shared" si="16"/>
        <v>-2.2056604211649899E-3</v>
      </c>
    </row>
    <row r="1072" spans="1:7">
      <c r="A1072" s="67">
        <v>441.28</v>
      </c>
      <c r="B1072" s="67">
        <v>441.9</v>
      </c>
      <c r="C1072" s="67">
        <v>415.84</v>
      </c>
      <c r="D1072" s="67">
        <v>418.11</v>
      </c>
      <c r="E1072" s="67">
        <v>3415664</v>
      </c>
      <c r="F1072" s="67" t="s">
        <v>1105</v>
      </c>
      <c r="G1072" s="25">
        <f t="shared" si="16"/>
        <v>5.5416038841453075E-2</v>
      </c>
    </row>
    <row r="1073" spans="1:7">
      <c r="A1073" s="67">
        <v>418.16</v>
      </c>
      <c r="B1073" s="67">
        <v>437.54899999999998</v>
      </c>
      <c r="C1073" s="67">
        <v>413.78500000000003</v>
      </c>
      <c r="D1073" s="67">
        <v>428</v>
      </c>
      <c r="E1073" s="67">
        <v>3409856</v>
      </c>
      <c r="F1073" s="67" t="s">
        <v>1106</v>
      </c>
      <c r="G1073" s="25">
        <f t="shared" si="16"/>
        <v>-2.2990654205607419E-2</v>
      </c>
    </row>
    <row r="1074" spans="1:7">
      <c r="A1074" s="67">
        <v>416.48</v>
      </c>
      <c r="B1074" s="67">
        <v>427.29</v>
      </c>
      <c r="C1074" s="67">
        <v>412.79</v>
      </c>
      <c r="D1074" s="67">
        <v>427.22</v>
      </c>
      <c r="E1074" s="67">
        <v>7944164</v>
      </c>
      <c r="F1074" s="67" t="s">
        <v>1107</v>
      </c>
      <c r="G1074" s="25">
        <f t="shared" si="16"/>
        <v>-2.5139272505968813E-2</v>
      </c>
    </row>
    <row r="1075" spans="1:7">
      <c r="A1075" s="67">
        <v>428.22</v>
      </c>
      <c r="B1075" s="67">
        <v>428.55</v>
      </c>
      <c r="C1075" s="67">
        <v>414.63</v>
      </c>
      <c r="D1075" s="67">
        <v>414.8</v>
      </c>
      <c r="E1075" s="67">
        <v>3560381</v>
      </c>
      <c r="F1075" s="67" t="s">
        <v>1108</v>
      </c>
      <c r="G1075" s="25">
        <f t="shared" si="16"/>
        <v>3.2352941176470695E-2</v>
      </c>
    </row>
    <row r="1076" spans="1:7">
      <c r="A1076" s="67">
        <v>408.6</v>
      </c>
      <c r="B1076" s="67">
        <v>411.55</v>
      </c>
      <c r="C1076" s="67">
        <v>402.46</v>
      </c>
      <c r="D1076" s="67">
        <v>405.09</v>
      </c>
      <c r="E1076" s="67">
        <v>2419479</v>
      </c>
      <c r="F1076" s="67" t="s">
        <v>1109</v>
      </c>
      <c r="G1076" s="25">
        <f t="shared" si="16"/>
        <v>8.6647411686293641E-3</v>
      </c>
    </row>
    <row r="1077" spans="1:7">
      <c r="A1077" s="67">
        <v>402.5</v>
      </c>
      <c r="B1077" s="67">
        <v>406.09500000000003</v>
      </c>
      <c r="C1077" s="67">
        <v>394.71</v>
      </c>
      <c r="D1077" s="67">
        <v>395.32</v>
      </c>
      <c r="E1077" s="67">
        <v>2726718</v>
      </c>
      <c r="F1077" s="67" t="s">
        <v>1110</v>
      </c>
      <c r="G1077" s="25">
        <f t="shared" ref="G1077:G1140" si="17">A1077/D1077-1</f>
        <v>1.8162501264798125E-2</v>
      </c>
    </row>
    <row r="1078" spans="1:7">
      <c r="A1078" s="67">
        <v>398.41</v>
      </c>
      <c r="B1078" s="67">
        <v>404.33</v>
      </c>
      <c r="C1078" s="67">
        <v>391.03750000000002</v>
      </c>
      <c r="D1078" s="67">
        <v>401.61</v>
      </c>
      <c r="E1078" s="67">
        <v>2630761</v>
      </c>
      <c r="F1078" s="67" t="s">
        <v>1111</v>
      </c>
      <c r="G1078" s="25">
        <f t="shared" si="17"/>
        <v>-7.9679290854310914E-3</v>
      </c>
    </row>
    <row r="1079" spans="1:7">
      <c r="A1079" s="67">
        <v>406.76</v>
      </c>
      <c r="B1079" s="67">
        <v>407.88</v>
      </c>
      <c r="C1079" s="67">
        <v>398.89</v>
      </c>
      <c r="D1079" s="67">
        <v>404.01</v>
      </c>
      <c r="E1079" s="67">
        <v>2337511</v>
      </c>
      <c r="F1079" s="67" t="s">
        <v>1112</v>
      </c>
      <c r="G1079" s="25">
        <f t="shared" si="17"/>
        <v>6.8067622088561208E-3</v>
      </c>
    </row>
    <row r="1080" spans="1:7">
      <c r="A1080" s="67">
        <v>399.09</v>
      </c>
      <c r="B1080" s="67">
        <v>406.24</v>
      </c>
      <c r="C1080" s="67">
        <v>385.62099999999998</v>
      </c>
      <c r="D1080" s="67">
        <v>401.39</v>
      </c>
      <c r="E1080" s="67">
        <v>3432395</v>
      </c>
      <c r="F1080" s="67" t="s">
        <v>1113</v>
      </c>
      <c r="G1080" s="25">
        <f t="shared" si="17"/>
        <v>-5.7300879443932251E-3</v>
      </c>
    </row>
    <row r="1081" spans="1:7">
      <c r="A1081" s="67">
        <v>394.38</v>
      </c>
      <c r="B1081" s="67">
        <v>403.03500000000003</v>
      </c>
      <c r="C1081" s="67">
        <v>391.565</v>
      </c>
      <c r="D1081" s="67">
        <v>399.01</v>
      </c>
      <c r="E1081" s="67">
        <v>2797416</v>
      </c>
      <c r="F1081" s="67" t="s">
        <v>1114</v>
      </c>
      <c r="G1081" s="25">
        <f t="shared" si="17"/>
        <v>-1.1603719205032448E-2</v>
      </c>
    </row>
    <row r="1082" spans="1:7">
      <c r="A1082" s="67">
        <v>397.88</v>
      </c>
      <c r="B1082" s="67">
        <v>411.65989999999999</v>
      </c>
      <c r="C1082" s="67">
        <v>396.11</v>
      </c>
      <c r="D1082" s="67">
        <v>404.38</v>
      </c>
      <c r="E1082" s="67">
        <v>2915922</v>
      </c>
      <c r="F1082" s="67" t="s">
        <v>1115</v>
      </c>
      <c r="G1082" s="25">
        <f t="shared" si="17"/>
        <v>-1.6073989811563383E-2</v>
      </c>
    </row>
    <row r="1083" spans="1:7">
      <c r="A1083" s="67">
        <v>409.65</v>
      </c>
      <c r="B1083" s="67">
        <v>416.72</v>
      </c>
      <c r="C1083" s="67">
        <v>403.54</v>
      </c>
      <c r="D1083" s="67">
        <v>413.08</v>
      </c>
      <c r="E1083" s="67">
        <v>2614675</v>
      </c>
      <c r="F1083" s="67" t="s">
        <v>1116</v>
      </c>
      <c r="G1083" s="25">
        <f t="shared" si="17"/>
        <v>-8.3034763241986997E-3</v>
      </c>
    </row>
    <row r="1084" spans="1:7">
      <c r="A1084" s="67">
        <v>402.86</v>
      </c>
      <c r="B1084" s="67">
        <v>407.17</v>
      </c>
      <c r="C1084" s="67">
        <v>396.6</v>
      </c>
      <c r="D1084" s="67">
        <v>399.74</v>
      </c>
      <c r="E1084" s="67">
        <v>2645162</v>
      </c>
      <c r="F1084" s="67" t="s">
        <v>1117</v>
      </c>
      <c r="G1084" s="25">
        <f t="shared" si="17"/>
        <v>7.8050732976435722E-3</v>
      </c>
    </row>
    <row r="1085" spans="1:7">
      <c r="A1085" s="67">
        <v>405.45</v>
      </c>
      <c r="B1085" s="67">
        <v>408.97</v>
      </c>
      <c r="C1085" s="67">
        <v>393.94</v>
      </c>
      <c r="D1085" s="67">
        <v>396.47</v>
      </c>
      <c r="E1085" s="67">
        <v>3379472</v>
      </c>
      <c r="F1085" s="67" t="s">
        <v>1118</v>
      </c>
      <c r="G1085" s="25">
        <f t="shared" si="17"/>
        <v>2.2649885237218337E-2</v>
      </c>
    </row>
    <row r="1086" spans="1:7">
      <c r="A1086" s="67">
        <v>388.49</v>
      </c>
      <c r="B1086" s="67">
        <v>390.13</v>
      </c>
      <c r="C1086" s="67">
        <v>370.27</v>
      </c>
      <c r="D1086" s="67">
        <v>373.4</v>
      </c>
      <c r="E1086" s="67">
        <v>4048173</v>
      </c>
      <c r="F1086" s="67" t="s">
        <v>1119</v>
      </c>
      <c r="G1086" s="25">
        <f t="shared" si="17"/>
        <v>4.0412426352437247E-2</v>
      </c>
    </row>
    <row r="1087" spans="1:7">
      <c r="A1087" s="67">
        <v>379.33</v>
      </c>
      <c r="B1087" s="67">
        <v>409.98989999999998</v>
      </c>
      <c r="C1087" s="67">
        <v>377.81</v>
      </c>
      <c r="D1087" s="67">
        <v>389.99</v>
      </c>
      <c r="E1087" s="67">
        <v>3821953</v>
      </c>
      <c r="F1087" s="67" t="s">
        <v>1120</v>
      </c>
      <c r="G1087" s="25">
        <f t="shared" si="17"/>
        <v>-2.7334034206005331E-2</v>
      </c>
    </row>
    <row r="1088" spans="1:7">
      <c r="A1088" s="67">
        <v>393.03</v>
      </c>
      <c r="B1088" s="67">
        <v>400.83</v>
      </c>
      <c r="C1088" s="67">
        <v>374.78</v>
      </c>
      <c r="D1088" s="67">
        <v>385.72</v>
      </c>
      <c r="E1088" s="67">
        <v>5334377</v>
      </c>
      <c r="F1088" s="67" t="s">
        <v>1121</v>
      </c>
      <c r="G1088" s="25">
        <f t="shared" si="17"/>
        <v>1.8951571087835628E-2</v>
      </c>
    </row>
    <row r="1089" spans="1:7">
      <c r="A1089" s="67">
        <v>376.91</v>
      </c>
      <c r="B1089" s="67">
        <v>389.62709999999998</v>
      </c>
      <c r="C1089" s="67">
        <v>374.86</v>
      </c>
      <c r="D1089" s="67">
        <v>381.95</v>
      </c>
      <c r="E1089" s="67">
        <v>4324888</v>
      </c>
      <c r="F1089" s="67" t="s">
        <v>1122</v>
      </c>
      <c r="G1089" s="25">
        <f t="shared" si="17"/>
        <v>-1.3195444429899061E-2</v>
      </c>
    </row>
    <row r="1090" spans="1:7">
      <c r="A1090" s="67">
        <v>391.01</v>
      </c>
      <c r="B1090" s="67">
        <v>401.26</v>
      </c>
      <c r="C1090" s="67">
        <v>382.82</v>
      </c>
      <c r="D1090" s="67">
        <v>395</v>
      </c>
      <c r="E1090" s="67">
        <v>3522430</v>
      </c>
      <c r="F1090" s="67" t="s">
        <v>1123</v>
      </c>
      <c r="G1090" s="25">
        <f t="shared" si="17"/>
        <v>-1.0101265822784811E-2</v>
      </c>
    </row>
    <row r="1091" spans="1:7">
      <c r="A1091" s="67">
        <v>400.51</v>
      </c>
      <c r="B1091" s="67">
        <v>417.99</v>
      </c>
      <c r="C1091" s="67">
        <v>395.71</v>
      </c>
      <c r="D1091" s="67">
        <v>415.55</v>
      </c>
      <c r="E1091" s="67">
        <v>3507716</v>
      </c>
      <c r="F1091" s="67" t="s">
        <v>1124</v>
      </c>
      <c r="G1091" s="25">
        <f t="shared" si="17"/>
        <v>-3.6192997232583402E-2</v>
      </c>
    </row>
    <row r="1092" spans="1:7">
      <c r="A1092" s="67">
        <v>423.35</v>
      </c>
      <c r="B1092" s="67">
        <v>424.23</v>
      </c>
      <c r="C1092" s="67">
        <v>395.05</v>
      </c>
      <c r="D1092" s="67">
        <v>407.29</v>
      </c>
      <c r="E1092" s="67">
        <v>3330434</v>
      </c>
      <c r="F1092" s="67" t="s">
        <v>1125</v>
      </c>
      <c r="G1092" s="25">
        <f t="shared" si="17"/>
        <v>3.9431363401998487E-2</v>
      </c>
    </row>
    <row r="1093" spans="1:7">
      <c r="A1093" s="67">
        <v>407.58</v>
      </c>
      <c r="B1093" s="67">
        <v>413.93</v>
      </c>
      <c r="C1093" s="67">
        <v>403.5</v>
      </c>
      <c r="D1093" s="67">
        <v>406.59</v>
      </c>
      <c r="E1093" s="67">
        <v>2196257</v>
      </c>
      <c r="F1093" s="67" t="s">
        <v>1126</v>
      </c>
      <c r="G1093" s="25">
        <f t="shared" si="17"/>
        <v>2.4348852652549269E-3</v>
      </c>
    </row>
    <row r="1094" spans="1:7">
      <c r="A1094" s="67">
        <v>407.29</v>
      </c>
      <c r="B1094" s="67">
        <v>407.98</v>
      </c>
      <c r="C1094" s="67">
        <v>394.04</v>
      </c>
      <c r="D1094" s="67">
        <v>397.13</v>
      </c>
      <c r="E1094" s="67">
        <v>3009981</v>
      </c>
      <c r="F1094" s="67" t="s">
        <v>1127</v>
      </c>
      <c r="G1094" s="25">
        <f t="shared" si="17"/>
        <v>2.5583562057764464E-2</v>
      </c>
    </row>
    <row r="1095" spans="1:7">
      <c r="A1095" s="67">
        <v>395.95</v>
      </c>
      <c r="B1095" s="67">
        <v>413</v>
      </c>
      <c r="C1095" s="67">
        <v>394.64</v>
      </c>
      <c r="D1095" s="67">
        <v>407.47</v>
      </c>
      <c r="E1095" s="67">
        <v>3033248</v>
      </c>
      <c r="F1095" s="67" t="s">
        <v>1128</v>
      </c>
      <c r="G1095" s="25">
        <f t="shared" si="17"/>
        <v>-2.8272020026014255E-2</v>
      </c>
    </row>
    <row r="1096" spans="1:7">
      <c r="A1096" s="67">
        <v>410.53</v>
      </c>
      <c r="B1096" s="67">
        <v>414.2749</v>
      </c>
      <c r="C1096" s="67">
        <v>398.49</v>
      </c>
      <c r="D1096" s="67">
        <v>406.13</v>
      </c>
      <c r="E1096" s="67">
        <v>2593890</v>
      </c>
      <c r="F1096" s="67" t="s">
        <v>1129</v>
      </c>
      <c r="G1096" s="25">
        <f t="shared" si="17"/>
        <v>1.0833969418658995E-2</v>
      </c>
    </row>
    <row r="1097" spans="1:7">
      <c r="A1097" s="67">
        <v>397.9</v>
      </c>
      <c r="B1097" s="67">
        <v>412.46</v>
      </c>
      <c r="C1097" s="67">
        <v>396.81</v>
      </c>
      <c r="D1097" s="67">
        <v>401.44</v>
      </c>
      <c r="E1097" s="67">
        <v>3080696</v>
      </c>
      <c r="F1097" s="67" t="s">
        <v>1130</v>
      </c>
      <c r="G1097" s="25">
        <f t="shared" si="17"/>
        <v>-8.8182542845756107E-3</v>
      </c>
    </row>
    <row r="1098" spans="1:7">
      <c r="A1098" s="67">
        <v>399.12</v>
      </c>
      <c r="B1098" s="67">
        <v>411.61</v>
      </c>
      <c r="C1098" s="67">
        <v>397.46499999999997</v>
      </c>
      <c r="D1098" s="67">
        <v>410.17</v>
      </c>
      <c r="E1098" s="67">
        <v>2820097</v>
      </c>
      <c r="F1098" s="67" t="s">
        <v>1131</v>
      </c>
      <c r="G1098" s="25">
        <f t="shared" si="17"/>
        <v>-2.6940049247872855E-2</v>
      </c>
    </row>
    <row r="1099" spans="1:7">
      <c r="A1099" s="67">
        <v>413.95</v>
      </c>
      <c r="B1099" s="67">
        <v>414.08</v>
      </c>
      <c r="C1099" s="67">
        <v>401.67</v>
      </c>
      <c r="D1099" s="67">
        <v>405.7</v>
      </c>
      <c r="E1099" s="67">
        <v>3368825</v>
      </c>
      <c r="F1099" s="67" t="s">
        <v>1132</v>
      </c>
      <c r="G1099" s="25">
        <f t="shared" si="17"/>
        <v>2.0335223071234809E-2</v>
      </c>
    </row>
    <row r="1100" spans="1:7">
      <c r="A1100" s="67">
        <v>408.67</v>
      </c>
      <c r="B1100" s="67">
        <v>424.33</v>
      </c>
      <c r="C1100" s="67">
        <v>408.02</v>
      </c>
      <c r="D1100" s="67">
        <v>420.71</v>
      </c>
      <c r="E1100" s="67">
        <v>3198841</v>
      </c>
      <c r="F1100" s="67" t="s">
        <v>1133</v>
      </c>
      <c r="G1100" s="25">
        <f t="shared" si="17"/>
        <v>-2.8618288131967318E-2</v>
      </c>
    </row>
    <row r="1101" spans="1:7">
      <c r="A1101" s="67">
        <v>417.48</v>
      </c>
      <c r="B1101" s="67">
        <v>438.94</v>
      </c>
      <c r="C1101" s="67">
        <v>416.36250000000001</v>
      </c>
      <c r="D1101" s="67">
        <v>432.69</v>
      </c>
      <c r="E1101" s="67">
        <v>2390149</v>
      </c>
      <c r="F1101" s="67" t="s">
        <v>1134</v>
      </c>
      <c r="G1101" s="25">
        <f t="shared" si="17"/>
        <v>-3.5152187478333152E-2</v>
      </c>
    </row>
    <row r="1102" spans="1:7">
      <c r="A1102" s="67">
        <v>428.11</v>
      </c>
      <c r="B1102" s="67">
        <v>442.44</v>
      </c>
      <c r="C1102" s="67">
        <v>427.2</v>
      </c>
      <c r="D1102" s="67">
        <v>440.59</v>
      </c>
      <c r="E1102" s="67">
        <v>2094449</v>
      </c>
      <c r="F1102" s="67" t="s">
        <v>1135</v>
      </c>
      <c r="G1102" s="25">
        <f t="shared" si="17"/>
        <v>-2.8325654236364795E-2</v>
      </c>
    </row>
    <row r="1103" spans="1:7">
      <c r="A1103" s="67">
        <v>436.4</v>
      </c>
      <c r="B1103" s="67">
        <v>437.49</v>
      </c>
      <c r="C1103" s="67">
        <v>420.64</v>
      </c>
      <c r="D1103" s="67">
        <v>422.02</v>
      </c>
      <c r="E1103" s="67">
        <v>1962652</v>
      </c>
      <c r="F1103" s="67" t="s">
        <v>1136</v>
      </c>
      <c r="G1103" s="25">
        <f t="shared" si="17"/>
        <v>3.4074214492204158E-2</v>
      </c>
    </row>
    <row r="1104" spans="1:7">
      <c r="A1104" s="67">
        <v>425.47</v>
      </c>
      <c r="B1104" s="67">
        <v>429.69</v>
      </c>
      <c r="C1104" s="67">
        <v>418.73</v>
      </c>
      <c r="D1104" s="67">
        <v>419.4</v>
      </c>
      <c r="E1104" s="67">
        <v>2594660</v>
      </c>
      <c r="F1104" s="67" t="s">
        <v>1137</v>
      </c>
      <c r="G1104" s="25">
        <f t="shared" si="17"/>
        <v>1.4473056747734914E-2</v>
      </c>
    </row>
    <row r="1105" spans="1:7">
      <c r="A1105" s="67">
        <v>420.44</v>
      </c>
      <c r="B1105" s="67">
        <v>435.95</v>
      </c>
      <c r="C1105" s="67">
        <v>420.03</v>
      </c>
      <c r="D1105" s="67">
        <v>435.86</v>
      </c>
      <c r="E1105" s="67">
        <v>2597004</v>
      </c>
      <c r="F1105" s="67" t="s">
        <v>1138</v>
      </c>
      <c r="G1105" s="25">
        <f t="shared" si="17"/>
        <v>-3.5378332492084663E-2</v>
      </c>
    </row>
    <row r="1106" spans="1:7">
      <c r="A1106" s="67">
        <v>431.67</v>
      </c>
      <c r="B1106" s="67">
        <v>433.52</v>
      </c>
      <c r="C1106" s="67">
        <v>425.67</v>
      </c>
      <c r="D1106" s="67">
        <v>427.3</v>
      </c>
      <c r="E1106" s="67">
        <v>3078941</v>
      </c>
      <c r="F1106" s="67" t="s">
        <v>1139</v>
      </c>
      <c r="G1106" s="25">
        <f t="shared" si="17"/>
        <v>1.0227006786800885E-2</v>
      </c>
    </row>
    <row r="1107" spans="1:7">
      <c r="A1107" s="67">
        <v>426.77</v>
      </c>
      <c r="B1107" s="67">
        <v>444.44</v>
      </c>
      <c r="C1107" s="67">
        <v>425.16</v>
      </c>
      <c r="D1107" s="67">
        <v>442.685</v>
      </c>
      <c r="E1107" s="67">
        <v>2199003</v>
      </c>
      <c r="F1107" s="67" t="s">
        <v>1140</v>
      </c>
      <c r="G1107" s="25">
        <f t="shared" si="17"/>
        <v>-3.5951071303522819E-2</v>
      </c>
    </row>
    <row r="1108" spans="1:7">
      <c r="A1108" s="67">
        <v>434.44</v>
      </c>
      <c r="B1108" s="67">
        <v>440</v>
      </c>
      <c r="C1108" s="67">
        <v>429.74</v>
      </c>
      <c r="D1108" s="67">
        <v>438.81</v>
      </c>
      <c r="E1108" s="67">
        <v>2932055</v>
      </c>
      <c r="F1108" s="67" t="s">
        <v>1141</v>
      </c>
      <c r="G1108" s="25">
        <f t="shared" si="17"/>
        <v>-9.9587520794877094E-3</v>
      </c>
    </row>
    <row r="1109" spans="1:7">
      <c r="A1109" s="67">
        <v>445.34</v>
      </c>
      <c r="B1109" s="67">
        <v>454.41</v>
      </c>
      <c r="C1109" s="67">
        <v>443.37</v>
      </c>
      <c r="D1109" s="67">
        <v>449.95</v>
      </c>
      <c r="E1109" s="67">
        <v>2260687</v>
      </c>
      <c r="F1109" s="67" t="s">
        <v>1142</v>
      </c>
      <c r="G1109" s="25">
        <f t="shared" si="17"/>
        <v>-1.024558284253807E-2</v>
      </c>
    </row>
    <row r="1110" spans="1:7">
      <c r="A1110" s="67">
        <v>452.72</v>
      </c>
      <c r="B1110" s="67">
        <v>455.91989999999998</v>
      </c>
      <c r="C1110" s="67">
        <v>440.76</v>
      </c>
      <c r="D1110" s="67">
        <v>444.09</v>
      </c>
      <c r="E1110" s="67">
        <v>2757799</v>
      </c>
      <c r="F1110" s="67" t="s">
        <v>1143</v>
      </c>
      <c r="G1110" s="25">
        <f t="shared" si="17"/>
        <v>1.9432997815758135E-2</v>
      </c>
    </row>
    <row r="1111" spans="1:7">
      <c r="A1111" s="67">
        <v>444.33</v>
      </c>
      <c r="B1111" s="67">
        <v>450.01</v>
      </c>
      <c r="C1111" s="67">
        <v>439.57</v>
      </c>
      <c r="D1111" s="67">
        <v>448.23500000000001</v>
      </c>
      <c r="E1111" s="67">
        <v>3824913</v>
      </c>
      <c r="F1111" s="67" t="s">
        <v>1144</v>
      </c>
      <c r="G1111" s="25">
        <f t="shared" si="17"/>
        <v>-8.711947973719214E-3</v>
      </c>
    </row>
    <row r="1112" spans="1:7">
      <c r="A1112" s="67">
        <v>458.58</v>
      </c>
      <c r="B1112" s="67">
        <v>471.76</v>
      </c>
      <c r="C1112" s="67">
        <v>455.07</v>
      </c>
      <c r="D1112" s="67">
        <v>469.32</v>
      </c>
      <c r="E1112" s="67">
        <v>2481933</v>
      </c>
      <c r="F1112" s="67" t="s">
        <v>1145</v>
      </c>
      <c r="G1112" s="25">
        <f t="shared" si="17"/>
        <v>-2.288417284581945E-2</v>
      </c>
    </row>
    <row r="1113" spans="1:7">
      <c r="A1113" s="67">
        <v>468.81</v>
      </c>
      <c r="B1113" s="67">
        <v>473.49</v>
      </c>
      <c r="C1113" s="67">
        <v>460.61</v>
      </c>
      <c r="D1113" s="67">
        <v>461.04</v>
      </c>
      <c r="E1113" s="67">
        <v>2975096</v>
      </c>
      <c r="F1113" s="67" t="s">
        <v>1146</v>
      </c>
      <c r="G1113" s="25">
        <f t="shared" si="17"/>
        <v>1.6853201457574185E-2</v>
      </c>
    </row>
    <row r="1114" spans="1:7">
      <c r="A1114" s="67">
        <v>458.19</v>
      </c>
      <c r="B1114" s="67">
        <v>461.55</v>
      </c>
      <c r="C1114" s="67">
        <v>450.96</v>
      </c>
      <c r="D1114" s="67">
        <v>455</v>
      </c>
      <c r="E1114" s="67">
        <v>2718422</v>
      </c>
      <c r="F1114" s="67" t="s">
        <v>1147</v>
      </c>
      <c r="G1114" s="25">
        <f t="shared" si="17"/>
        <v>7.010989010989066E-3</v>
      </c>
    </row>
    <row r="1115" spans="1:7">
      <c r="A1115" s="67">
        <v>455.62</v>
      </c>
      <c r="B1115" s="67">
        <v>465.43</v>
      </c>
      <c r="C1115" s="67">
        <v>455.43</v>
      </c>
      <c r="D1115" s="67">
        <v>461.59</v>
      </c>
      <c r="E1115" s="67">
        <v>4141278</v>
      </c>
      <c r="F1115" s="67" t="s">
        <v>1148</v>
      </c>
      <c r="G1115" s="25">
        <f t="shared" si="17"/>
        <v>-1.2933555752940862E-2</v>
      </c>
    </row>
    <row r="1116" spans="1:7">
      <c r="A1116" s="67">
        <v>460.06</v>
      </c>
      <c r="B1116" s="67">
        <v>466.76499999999999</v>
      </c>
      <c r="C1116" s="67">
        <v>456.84</v>
      </c>
      <c r="D1116" s="67">
        <v>461.52</v>
      </c>
      <c r="E1116" s="67">
        <v>3889225</v>
      </c>
      <c r="F1116" s="67" t="s">
        <v>1149</v>
      </c>
      <c r="G1116" s="25">
        <f t="shared" si="17"/>
        <v>-3.1634598717281692E-3</v>
      </c>
    </row>
    <row r="1117" spans="1:7">
      <c r="A1117" s="67">
        <v>466.33</v>
      </c>
      <c r="B1117" s="67">
        <v>467.8</v>
      </c>
      <c r="C1117" s="67">
        <v>452.44</v>
      </c>
      <c r="D1117" s="67">
        <v>459.16</v>
      </c>
      <c r="E1117" s="67">
        <v>4323766</v>
      </c>
      <c r="F1117" s="67" t="s">
        <v>1150</v>
      </c>
      <c r="G1117" s="25">
        <f t="shared" si="17"/>
        <v>1.5615471730986874E-2</v>
      </c>
    </row>
    <row r="1118" spans="1:7">
      <c r="A1118" s="67">
        <v>450.01</v>
      </c>
      <c r="B1118" s="67">
        <v>450.32</v>
      </c>
      <c r="C1118" s="67">
        <v>433.15</v>
      </c>
      <c r="D1118" s="67">
        <v>433.41500000000002</v>
      </c>
      <c r="E1118" s="67">
        <v>4472560</v>
      </c>
      <c r="F1118" s="67" t="s">
        <v>1151</v>
      </c>
      <c r="G1118" s="25">
        <f t="shared" si="17"/>
        <v>3.8288937854019656E-2</v>
      </c>
    </row>
    <row r="1119" spans="1:7">
      <c r="A1119" s="67">
        <v>431.62</v>
      </c>
      <c r="B1119" s="67">
        <v>438.62049999999999</v>
      </c>
      <c r="C1119" s="67">
        <v>425.995</v>
      </c>
      <c r="D1119" s="67">
        <v>435.44</v>
      </c>
      <c r="E1119" s="67">
        <v>3285206</v>
      </c>
      <c r="F1119" s="67" t="s">
        <v>1152</v>
      </c>
      <c r="G1119" s="25">
        <f t="shared" si="17"/>
        <v>-8.7727356237369269E-3</v>
      </c>
    </row>
    <row r="1120" spans="1:7">
      <c r="A1120" s="67">
        <v>432.14</v>
      </c>
      <c r="B1120" s="67">
        <v>432.21</v>
      </c>
      <c r="C1120" s="67">
        <v>421.49</v>
      </c>
      <c r="D1120" s="67">
        <v>426.08</v>
      </c>
      <c r="E1120" s="67">
        <v>5544251</v>
      </c>
      <c r="F1120" s="67" t="s">
        <v>1153</v>
      </c>
      <c r="G1120" s="25">
        <f t="shared" si="17"/>
        <v>1.4222681186631725E-2</v>
      </c>
    </row>
    <row r="1121" spans="1:7">
      <c r="A1121" s="67">
        <v>422.9</v>
      </c>
      <c r="B1121" s="67">
        <v>437.98</v>
      </c>
      <c r="C1121" s="67">
        <v>416.47</v>
      </c>
      <c r="D1121" s="67">
        <v>437.51</v>
      </c>
      <c r="E1121" s="67">
        <v>13979763</v>
      </c>
      <c r="F1121" s="67" t="s">
        <v>1154</v>
      </c>
      <c r="G1121" s="25">
        <f t="shared" si="17"/>
        <v>-3.3393522433773026E-2</v>
      </c>
    </row>
    <row r="1122" spans="1:7">
      <c r="A1122" s="67">
        <v>466.45</v>
      </c>
      <c r="B1122" s="67">
        <v>471.98</v>
      </c>
      <c r="C1122" s="67">
        <v>450.69</v>
      </c>
      <c r="D1122" s="67">
        <v>453.5</v>
      </c>
      <c r="E1122" s="67">
        <v>5377001</v>
      </c>
      <c r="F1122" s="67" t="s">
        <v>1155</v>
      </c>
      <c r="G1122" s="25">
        <f t="shared" si="17"/>
        <v>2.8555678059536849E-2</v>
      </c>
    </row>
    <row r="1123" spans="1:7">
      <c r="A1123" s="67">
        <v>453.59</v>
      </c>
      <c r="B1123" s="67">
        <v>459.58</v>
      </c>
      <c r="C1123" s="67">
        <v>445.95</v>
      </c>
      <c r="D1123" s="67">
        <v>451.42</v>
      </c>
      <c r="E1123" s="67">
        <v>3704194</v>
      </c>
      <c r="F1123" s="67" t="s">
        <v>1156</v>
      </c>
      <c r="G1123" s="25">
        <f t="shared" si="17"/>
        <v>4.8070532984803016E-3</v>
      </c>
    </row>
    <row r="1124" spans="1:7">
      <c r="A1124" s="67">
        <v>453.33</v>
      </c>
      <c r="B1124" s="67">
        <v>453.74</v>
      </c>
      <c r="C1124" s="67">
        <v>435.79</v>
      </c>
      <c r="D1124" s="67">
        <v>439.2</v>
      </c>
      <c r="E1124" s="67">
        <v>5898143</v>
      </c>
      <c r="F1124" s="67" t="s">
        <v>1157</v>
      </c>
      <c r="G1124" s="25">
        <f t="shared" si="17"/>
        <v>3.2172131147540917E-2</v>
      </c>
    </row>
    <row r="1125" spans="1:7">
      <c r="A1125" s="67">
        <v>444.36</v>
      </c>
      <c r="B1125" s="67">
        <v>446.82</v>
      </c>
      <c r="C1125" s="67">
        <v>436.51</v>
      </c>
      <c r="D1125" s="67">
        <v>441.26</v>
      </c>
      <c r="E1125" s="67">
        <v>3556732</v>
      </c>
      <c r="F1125" s="67" t="s">
        <v>1158</v>
      </c>
      <c r="G1125" s="25">
        <f t="shared" si="17"/>
        <v>7.025336536282456E-3</v>
      </c>
    </row>
    <row r="1126" spans="1:7">
      <c r="A1126" s="67">
        <v>442.36</v>
      </c>
      <c r="B1126" s="67">
        <v>442.52</v>
      </c>
      <c r="C1126" s="67">
        <v>424.35</v>
      </c>
      <c r="D1126" s="67">
        <v>431.74</v>
      </c>
      <c r="E1126" s="67">
        <v>4141181</v>
      </c>
      <c r="F1126" s="67" t="s">
        <v>1159</v>
      </c>
      <c r="G1126" s="25">
        <f t="shared" si="17"/>
        <v>2.4598137768101269E-2</v>
      </c>
    </row>
    <row r="1127" spans="1:7">
      <c r="A1127" s="67">
        <v>421.66</v>
      </c>
      <c r="B1127" s="67">
        <v>422.96</v>
      </c>
      <c r="C1127" s="67">
        <v>413.16629999999998</v>
      </c>
      <c r="D1127" s="67">
        <v>415.97</v>
      </c>
      <c r="E1127" s="67">
        <v>3201730</v>
      </c>
      <c r="F1127" s="67" t="s">
        <v>1160</v>
      </c>
      <c r="G1127" s="25">
        <f t="shared" si="17"/>
        <v>1.3678871072433152E-2</v>
      </c>
    </row>
    <row r="1128" spans="1:7">
      <c r="A1128" s="67">
        <v>411.5</v>
      </c>
      <c r="B1128" s="67">
        <v>422.375</v>
      </c>
      <c r="C1128" s="67">
        <v>407.94</v>
      </c>
      <c r="D1128" s="67">
        <v>413.36</v>
      </c>
      <c r="E1128" s="67">
        <v>3731582</v>
      </c>
      <c r="F1128" s="67" t="s">
        <v>1161</v>
      </c>
      <c r="G1128" s="25">
        <f t="shared" si="17"/>
        <v>-4.4997096961486571E-3</v>
      </c>
    </row>
    <row r="1129" spans="1:7">
      <c r="A1129" s="67">
        <v>416.38</v>
      </c>
      <c r="B1129" s="67">
        <v>440.61</v>
      </c>
      <c r="C1129" s="67">
        <v>415.43</v>
      </c>
      <c r="D1129" s="67">
        <v>439.66</v>
      </c>
      <c r="E1129" s="67">
        <v>4434498</v>
      </c>
      <c r="F1129" s="67" t="s">
        <v>1162</v>
      </c>
      <c r="G1129" s="25">
        <f t="shared" si="17"/>
        <v>-5.2950006823454521E-2</v>
      </c>
    </row>
    <row r="1130" spans="1:7">
      <c r="A1130" s="67">
        <v>438.95</v>
      </c>
      <c r="B1130" s="67">
        <v>447.65</v>
      </c>
      <c r="C1130" s="67">
        <v>433.01</v>
      </c>
      <c r="D1130" s="67">
        <v>444.68</v>
      </c>
      <c r="E1130" s="67">
        <v>2722310</v>
      </c>
      <c r="F1130" s="67" t="s">
        <v>1163</v>
      </c>
      <c r="G1130" s="25">
        <f t="shared" si="17"/>
        <v>-1.2885670594584897E-2</v>
      </c>
    </row>
    <row r="1131" spans="1:7">
      <c r="A1131" s="67">
        <v>450.87</v>
      </c>
      <c r="B1131" s="67">
        <v>453.11</v>
      </c>
      <c r="C1131" s="67">
        <v>438.93</v>
      </c>
      <c r="D1131" s="67">
        <v>443.8</v>
      </c>
      <c r="E1131" s="67">
        <v>2905656</v>
      </c>
      <c r="F1131" s="67" t="s">
        <v>1164</v>
      </c>
      <c r="G1131" s="25">
        <f t="shared" si="17"/>
        <v>1.5930599369085252E-2</v>
      </c>
    </row>
    <row r="1132" spans="1:7">
      <c r="A1132" s="67">
        <v>431.53</v>
      </c>
      <c r="B1132" s="67">
        <v>443.8</v>
      </c>
      <c r="C1132" s="67">
        <v>421.36</v>
      </c>
      <c r="D1132" s="67">
        <v>432.51</v>
      </c>
      <c r="E1132" s="67">
        <v>3734842</v>
      </c>
      <c r="F1132" s="67" t="s">
        <v>1165</v>
      </c>
      <c r="G1132" s="25">
        <f t="shared" si="17"/>
        <v>-2.2658435643106989E-3</v>
      </c>
    </row>
    <row r="1133" spans="1:7">
      <c r="A1133" s="67">
        <v>437.97</v>
      </c>
      <c r="B1133" s="67">
        <v>457.68</v>
      </c>
      <c r="C1133" s="67">
        <v>437.18</v>
      </c>
      <c r="D1133" s="67">
        <v>456.22</v>
      </c>
      <c r="E1133" s="67">
        <v>3676072</v>
      </c>
      <c r="F1133" s="67" t="s">
        <v>1166</v>
      </c>
      <c r="G1133" s="25">
        <f t="shared" si="17"/>
        <v>-4.0002630309938225E-2</v>
      </c>
    </row>
    <row r="1134" spans="1:7">
      <c r="A1134" s="67">
        <v>452.13</v>
      </c>
      <c r="B1134" s="67">
        <v>463.52</v>
      </c>
      <c r="C1134" s="67">
        <v>447</v>
      </c>
      <c r="D1134" s="67">
        <v>455.49</v>
      </c>
      <c r="E1134" s="67">
        <v>2752177</v>
      </c>
      <c r="F1134" s="67" t="s">
        <v>1167</v>
      </c>
      <c r="G1134" s="25">
        <f t="shared" si="17"/>
        <v>-7.3766712770862997E-3</v>
      </c>
    </row>
    <row r="1135" spans="1:7">
      <c r="A1135" s="67">
        <v>459.08</v>
      </c>
      <c r="B1135" s="67">
        <v>476.05</v>
      </c>
      <c r="C1135" s="67">
        <v>455.44499999999999</v>
      </c>
      <c r="D1135" s="67">
        <v>475.83</v>
      </c>
      <c r="E1135" s="67">
        <v>2906318</v>
      </c>
      <c r="F1135" s="67" t="s">
        <v>1168</v>
      </c>
      <c r="G1135" s="25">
        <f t="shared" si="17"/>
        <v>-3.5201647647268963E-2</v>
      </c>
    </row>
    <row r="1136" spans="1:7">
      <c r="A1136" s="67">
        <v>471.18</v>
      </c>
      <c r="B1136" s="67">
        <v>477.49</v>
      </c>
      <c r="C1136" s="67">
        <v>466.04</v>
      </c>
      <c r="D1136" s="67">
        <v>471.94</v>
      </c>
      <c r="E1136" s="67">
        <v>2948450</v>
      </c>
      <c r="F1136" s="67" t="s">
        <v>1169</v>
      </c>
      <c r="G1136" s="25">
        <f t="shared" si="17"/>
        <v>-1.6103742001101207E-3</v>
      </c>
    </row>
    <row r="1137" spans="1:7">
      <c r="A1137" s="67">
        <v>466.68</v>
      </c>
      <c r="B1137" s="67">
        <v>479.21</v>
      </c>
      <c r="C1137" s="67">
        <v>462.92</v>
      </c>
      <c r="D1137" s="67">
        <v>468</v>
      </c>
      <c r="E1137" s="67">
        <v>3352760</v>
      </c>
      <c r="F1137" s="67" t="s">
        <v>1170</v>
      </c>
      <c r="G1137" s="25">
        <f t="shared" si="17"/>
        <v>-2.8205128205127661E-3</v>
      </c>
    </row>
    <row r="1138" spans="1:7">
      <c r="A1138" s="67">
        <v>467.68</v>
      </c>
      <c r="B1138" s="67">
        <v>468.48</v>
      </c>
      <c r="C1138" s="67">
        <v>458.86</v>
      </c>
      <c r="D1138" s="67">
        <v>462.4</v>
      </c>
      <c r="E1138" s="67">
        <v>3302341</v>
      </c>
      <c r="F1138" s="67" t="s">
        <v>1171</v>
      </c>
      <c r="G1138" s="25">
        <f t="shared" si="17"/>
        <v>1.141868512110733E-2</v>
      </c>
    </row>
    <row r="1139" spans="1:7">
      <c r="A1139" s="67">
        <v>465.54</v>
      </c>
      <c r="B1139" s="67">
        <v>468.51990000000001</v>
      </c>
      <c r="C1139" s="67">
        <v>456.01499999999999</v>
      </c>
      <c r="D1139" s="67">
        <v>465.39</v>
      </c>
      <c r="E1139" s="67">
        <v>2869739</v>
      </c>
      <c r="F1139" s="67" t="s">
        <v>1172</v>
      </c>
      <c r="G1139" s="25">
        <f t="shared" si="17"/>
        <v>3.2231032037643992E-4</v>
      </c>
    </row>
    <row r="1140" spans="1:7">
      <c r="A1140" s="67">
        <v>463.82</v>
      </c>
      <c r="B1140" s="67">
        <v>465.93</v>
      </c>
      <c r="C1140" s="67">
        <v>416.81240000000003</v>
      </c>
      <c r="D1140" s="67">
        <v>418.59</v>
      </c>
      <c r="E1140" s="67">
        <v>6448772</v>
      </c>
      <c r="F1140" s="67" t="s">
        <v>1173</v>
      </c>
      <c r="G1140" s="25">
        <f t="shared" si="17"/>
        <v>0.10805322630736525</v>
      </c>
    </row>
    <row r="1141" spans="1:7">
      <c r="A1141" s="67">
        <v>429.45</v>
      </c>
      <c r="B1141" s="67">
        <v>449.59</v>
      </c>
      <c r="C1141" s="67">
        <v>428.06</v>
      </c>
      <c r="D1141" s="67">
        <v>447.78</v>
      </c>
      <c r="E1141" s="67">
        <v>4263021</v>
      </c>
      <c r="F1141" s="67" t="s">
        <v>1174</v>
      </c>
      <c r="G1141" s="25">
        <f t="shared" ref="G1141:G1204" si="18">A1141/D1141-1</f>
        <v>-4.0935280718209843E-2</v>
      </c>
    </row>
    <row r="1142" spans="1:7">
      <c r="A1142" s="67">
        <v>438.4</v>
      </c>
      <c r="B1142" s="67">
        <v>451.09</v>
      </c>
      <c r="C1142" s="67">
        <v>435.05</v>
      </c>
      <c r="D1142" s="67">
        <v>440.35</v>
      </c>
      <c r="E1142" s="67">
        <v>4287637</v>
      </c>
      <c r="F1142" s="67" t="s">
        <v>1175</v>
      </c>
      <c r="G1142" s="25">
        <f t="shared" si="18"/>
        <v>-4.4282956738959101E-3</v>
      </c>
    </row>
    <row r="1143" spans="1:7">
      <c r="A1143" s="67">
        <v>442.56</v>
      </c>
      <c r="B1143" s="67">
        <v>459.3</v>
      </c>
      <c r="C1143" s="67">
        <v>441.77</v>
      </c>
      <c r="D1143" s="67">
        <v>458.69</v>
      </c>
      <c r="E1143" s="67">
        <v>5194162</v>
      </c>
      <c r="F1143" s="67" t="s">
        <v>1176</v>
      </c>
      <c r="G1143" s="25">
        <f t="shared" si="18"/>
        <v>-3.5165362227212227E-2</v>
      </c>
    </row>
    <row r="1144" spans="1:7">
      <c r="A1144" s="67">
        <v>457.71</v>
      </c>
      <c r="B1144" s="67">
        <v>476.45</v>
      </c>
      <c r="C1144" s="67">
        <v>456.05</v>
      </c>
      <c r="D1144" s="67">
        <v>473.14</v>
      </c>
      <c r="E1144" s="67">
        <v>4021128</v>
      </c>
      <c r="F1144" s="67" t="s">
        <v>1177</v>
      </c>
      <c r="G1144" s="25">
        <f t="shared" si="18"/>
        <v>-3.2611911907680646E-2</v>
      </c>
    </row>
    <row r="1145" spans="1:7">
      <c r="A1145" s="67">
        <v>477.7</v>
      </c>
      <c r="B1145" s="67">
        <v>480.21</v>
      </c>
      <c r="C1145" s="67">
        <v>467.27</v>
      </c>
      <c r="D1145" s="67">
        <v>476.48500000000001</v>
      </c>
      <c r="E1145" s="67">
        <v>3750472</v>
      </c>
      <c r="F1145" s="67" t="s">
        <v>1178</v>
      </c>
      <c r="G1145" s="25">
        <f t="shared" si="18"/>
        <v>2.5499228727032808E-3</v>
      </c>
    </row>
    <row r="1146" spans="1:7">
      <c r="A1146" s="67">
        <v>479.5</v>
      </c>
      <c r="B1146" s="67">
        <v>482.53370000000001</v>
      </c>
      <c r="C1146" s="67">
        <v>472.39</v>
      </c>
      <c r="D1146" s="67">
        <v>482.53370000000001</v>
      </c>
      <c r="E1146" s="67">
        <v>3745338</v>
      </c>
      <c r="F1146" s="67" t="s">
        <v>1179</v>
      </c>
      <c r="G1146" s="25">
        <f t="shared" si="18"/>
        <v>-6.2870220256119325E-3</v>
      </c>
    </row>
    <row r="1147" spans="1:7">
      <c r="A1147" s="67">
        <v>474.01</v>
      </c>
      <c r="B1147" s="67">
        <v>478.57</v>
      </c>
      <c r="C1147" s="67">
        <v>469.21010000000001</v>
      </c>
      <c r="D1147" s="67">
        <v>473.2</v>
      </c>
      <c r="E1147" s="67">
        <v>3372122</v>
      </c>
      <c r="F1147" s="67" t="s">
        <v>1180</v>
      </c>
      <c r="G1147" s="25">
        <f t="shared" si="18"/>
        <v>1.7117497886729449E-3</v>
      </c>
    </row>
    <row r="1148" spans="1:7">
      <c r="A1148" s="67">
        <v>473.97</v>
      </c>
      <c r="B1148" s="67">
        <v>499.93</v>
      </c>
      <c r="C1148" s="67">
        <v>472.89519999999999</v>
      </c>
      <c r="D1148" s="67">
        <v>497.92</v>
      </c>
      <c r="E1148" s="67">
        <v>5026970</v>
      </c>
      <c r="F1148" s="67" t="s">
        <v>1181</v>
      </c>
      <c r="G1148" s="25">
        <f t="shared" si="18"/>
        <v>-4.8100096401028303E-2</v>
      </c>
    </row>
    <row r="1149" spans="1:7">
      <c r="A1149" s="67">
        <v>495.02</v>
      </c>
      <c r="B1149" s="67">
        <v>514.47990000000004</v>
      </c>
      <c r="C1149" s="67">
        <v>492.28</v>
      </c>
      <c r="D1149" s="67">
        <v>508.08</v>
      </c>
      <c r="E1149" s="67">
        <v>4735802</v>
      </c>
      <c r="F1149" s="67" t="s">
        <v>1182</v>
      </c>
      <c r="G1149" s="25">
        <f t="shared" si="18"/>
        <v>-2.5704613446701274E-2</v>
      </c>
    </row>
    <row r="1150" spans="1:7">
      <c r="A1150" s="67">
        <v>521.75</v>
      </c>
      <c r="B1150" s="67">
        <v>522.48</v>
      </c>
      <c r="C1150" s="67">
        <v>515.05999999999995</v>
      </c>
      <c r="D1150" s="67">
        <v>520.35</v>
      </c>
      <c r="E1150" s="67">
        <v>2542201</v>
      </c>
      <c r="F1150" s="67" t="s">
        <v>1183</v>
      </c>
      <c r="G1150" s="25">
        <f t="shared" si="18"/>
        <v>2.6904967810126301E-3</v>
      </c>
    </row>
    <row r="1151" spans="1:7">
      <c r="A1151" s="67">
        <v>511.31</v>
      </c>
      <c r="B1151" s="67">
        <v>513.51</v>
      </c>
      <c r="C1151" s="67">
        <v>501.07</v>
      </c>
      <c r="D1151" s="67">
        <v>501.63</v>
      </c>
      <c r="E1151" s="67">
        <v>3205743</v>
      </c>
      <c r="F1151" s="67" t="s">
        <v>1184</v>
      </c>
      <c r="G1151" s="25">
        <f t="shared" si="18"/>
        <v>1.9297091481769391E-2</v>
      </c>
    </row>
    <row r="1152" spans="1:7">
      <c r="A1152" s="67">
        <v>507.1</v>
      </c>
      <c r="B1152" s="67">
        <v>516</v>
      </c>
      <c r="C1152" s="67">
        <v>500.95</v>
      </c>
      <c r="D1152" s="67">
        <v>516</v>
      </c>
      <c r="E1152" s="67">
        <v>3120737</v>
      </c>
      <c r="F1152" s="67" t="s">
        <v>1185</v>
      </c>
      <c r="G1152" s="25">
        <f t="shared" si="18"/>
        <v>-1.7248062015503884E-2</v>
      </c>
    </row>
    <row r="1153" spans="1:7">
      <c r="A1153" s="67">
        <v>513.54</v>
      </c>
      <c r="B1153" s="67">
        <v>519.97</v>
      </c>
      <c r="C1153" s="67">
        <v>503.77</v>
      </c>
      <c r="D1153" s="67">
        <v>503.77</v>
      </c>
      <c r="E1153" s="67">
        <v>2583714</v>
      </c>
      <c r="F1153" s="67" t="s">
        <v>1186</v>
      </c>
      <c r="G1153" s="25">
        <f t="shared" si="18"/>
        <v>1.9393770966909418E-2</v>
      </c>
    </row>
    <row r="1154" spans="1:7">
      <c r="A1154" s="67">
        <v>510.83</v>
      </c>
      <c r="B1154" s="67">
        <v>525.17999999999995</v>
      </c>
      <c r="C1154" s="67">
        <v>508.75</v>
      </c>
      <c r="D1154" s="67">
        <v>522.87</v>
      </c>
      <c r="E1154" s="67">
        <v>3058710</v>
      </c>
      <c r="F1154" s="67" t="s">
        <v>1187</v>
      </c>
      <c r="G1154" s="25">
        <f t="shared" si="18"/>
        <v>-2.3026756172662477E-2</v>
      </c>
    </row>
    <row r="1155" spans="1:7">
      <c r="A1155" s="67">
        <v>533.09</v>
      </c>
      <c r="B1155" s="67">
        <v>540.46</v>
      </c>
      <c r="C1155" s="67">
        <v>529.32010000000002</v>
      </c>
      <c r="D1155" s="67">
        <v>536.25</v>
      </c>
      <c r="E1155" s="67">
        <v>2494142</v>
      </c>
      <c r="F1155" s="67" t="s">
        <v>1188</v>
      </c>
      <c r="G1155" s="25">
        <f t="shared" si="18"/>
        <v>-5.8927738927738726E-3</v>
      </c>
    </row>
    <row r="1156" spans="1:7">
      <c r="A1156" s="67">
        <v>535.98</v>
      </c>
      <c r="B1156" s="67">
        <v>538.77</v>
      </c>
      <c r="C1156" s="67">
        <v>527.72</v>
      </c>
      <c r="D1156" s="67">
        <v>536</v>
      </c>
      <c r="E1156" s="67">
        <v>2307434</v>
      </c>
      <c r="F1156" s="67" t="s">
        <v>1189</v>
      </c>
      <c r="G1156" s="25">
        <f t="shared" si="18"/>
        <v>-3.7313432835750504E-5</v>
      </c>
    </row>
    <row r="1157" spans="1:7">
      <c r="A1157" s="67">
        <v>534.29999999999995</v>
      </c>
      <c r="B1157" s="67">
        <v>534.94000000000005</v>
      </c>
      <c r="C1157" s="67">
        <v>514.39</v>
      </c>
      <c r="D1157" s="67">
        <v>518.98</v>
      </c>
      <c r="E1157" s="67">
        <v>3995098</v>
      </c>
      <c r="F1157" s="67" t="s">
        <v>1190</v>
      </c>
      <c r="G1157" s="25">
        <f t="shared" si="18"/>
        <v>2.9519441982349903E-2</v>
      </c>
    </row>
    <row r="1158" spans="1:7">
      <c r="A1158" s="67">
        <v>518.16</v>
      </c>
      <c r="B1158" s="67">
        <v>519</v>
      </c>
      <c r="C1158" s="67">
        <v>480.62</v>
      </c>
      <c r="D1158" s="67">
        <v>494.09010000000001</v>
      </c>
      <c r="E1158" s="67">
        <v>4339027</v>
      </c>
      <c r="F1158" s="67" t="s">
        <v>1191</v>
      </c>
      <c r="G1158" s="25">
        <f t="shared" si="18"/>
        <v>4.871560875233083E-2</v>
      </c>
    </row>
    <row r="1159" spans="1:7">
      <c r="A1159" s="67">
        <v>493.05</v>
      </c>
      <c r="B1159" s="67">
        <v>513.23</v>
      </c>
      <c r="C1159" s="67">
        <v>485.62</v>
      </c>
      <c r="D1159" s="67">
        <v>508.94</v>
      </c>
      <c r="E1159" s="67">
        <v>5870522</v>
      </c>
      <c r="F1159" s="67" t="s">
        <v>1192</v>
      </c>
      <c r="G1159" s="25">
        <f t="shared" si="18"/>
        <v>-3.1221755020238162E-2</v>
      </c>
    </row>
    <row r="1160" spans="1:7">
      <c r="A1160" s="67">
        <v>500.81</v>
      </c>
      <c r="B1160" s="67">
        <v>520.49</v>
      </c>
      <c r="C1160" s="67">
        <v>494.22</v>
      </c>
      <c r="D1160" s="67">
        <v>514</v>
      </c>
      <c r="E1160" s="67">
        <v>4449496</v>
      </c>
      <c r="F1160" s="67" t="s">
        <v>1193</v>
      </c>
      <c r="G1160" s="25">
        <f t="shared" si="18"/>
        <v>-2.5661478599221743E-2</v>
      </c>
    </row>
    <row r="1161" spans="1:7">
      <c r="A1161" s="67">
        <v>502.72</v>
      </c>
      <c r="B1161" s="67">
        <v>514.26</v>
      </c>
      <c r="C1161" s="67">
        <v>500.01</v>
      </c>
      <c r="D1161" s="67">
        <v>505.51</v>
      </c>
      <c r="E1161" s="67">
        <v>4051522</v>
      </c>
      <c r="F1161" s="67" t="s">
        <v>1194</v>
      </c>
      <c r="G1161" s="25">
        <f t="shared" si="18"/>
        <v>-5.519178651263057E-3</v>
      </c>
    </row>
    <row r="1162" spans="1:7">
      <c r="A1162" s="67">
        <v>519.66</v>
      </c>
      <c r="B1162" s="67">
        <v>520.42999999999995</v>
      </c>
      <c r="C1162" s="67">
        <v>483.31</v>
      </c>
      <c r="D1162" s="67">
        <v>491.07</v>
      </c>
      <c r="E1162" s="67">
        <v>7555213</v>
      </c>
      <c r="F1162" s="67" t="s">
        <v>1195</v>
      </c>
      <c r="G1162" s="25">
        <f t="shared" si="18"/>
        <v>5.8219805730343799E-2</v>
      </c>
    </row>
    <row r="1163" spans="1:7">
      <c r="A1163" s="67">
        <v>499.91</v>
      </c>
      <c r="B1163" s="67">
        <v>513.86239999999998</v>
      </c>
      <c r="C1163" s="67">
        <v>499.27010000000001</v>
      </c>
      <c r="D1163" s="67">
        <v>508.5</v>
      </c>
      <c r="E1163" s="67">
        <v>4276067</v>
      </c>
      <c r="F1163" s="67" t="s">
        <v>1196</v>
      </c>
      <c r="G1163" s="25">
        <f t="shared" si="18"/>
        <v>-1.6892822025565302E-2</v>
      </c>
    </row>
    <row r="1164" spans="1:7">
      <c r="A1164" s="67">
        <v>510.85</v>
      </c>
      <c r="B1164" s="67">
        <v>532.02499999999998</v>
      </c>
      <c r="C1164" s="67">
        <v>509.64</v>
      </c>
      <c r="D1164" s="67">
        <v>522.38</v>
      </c>
      <c r="E1164" s="67">
        <v>3208136</v>
      </c>
      <c r="F1164" s="67" t="s">
        <v>1197</v>
      </c>
      <c r="G1164" s="25">
        <f t="shared" si="18"/>
        <v>-2.2072054825988729E-2</v>
      </c>
    </row>
    <row r="1165" spans="1:7">
      <c r="A1165" s="67">
        <v>516.58000000000004</v>
      </c>
      <c r="B1165" s="67">
        <v>528.91790000000003</v>
      </c>
      <c r="C1165" s="67">
        <v>515.29999999999995</v>
      </c>
      <c r="D1165" s="67">
        <v>516.48</v>
      </c>
      <c r="E1165" s="67">
        <v>2985891</v>
      </c>
      <c r="F1165" s="67" t="s">
        <v>1198</v>
      </c>
      <c r="G1165" s="25">
        <f t="shared" si="18"/>
        <v>1.9361833952924457E-4</v>
      </c>
    </row>
    <row r="1166" spans="1:7">
      <c r="A1166" s="67">
        <v>513.34</v>
      </c>
      <c r="B1166" s="67">
        <v>519.39</v>
      </c>
      <c r="C1166" s="67">
        <v>504.98</v>
      </c>
      <c r="D1166" s="67">
        <v>510.39</v>
      </c>
      <c r="E1166" s="67">
        <v>3461507</v>
      </c>
      <c r="F1166" s="67" t="s">
        <v>1199</v>
      </c>
      <c r="G1166" s="25">
        <f t="shared" si="18"/>
        <v>5.7798938066968564E-3</v>
      </c>
    </row>
    <row r="1167" spans="1:7">
      <c r="A1167" s="67">
        <v>520.6</v>
      </c>
      <c r="B1167" s="67">
        <v>522.57150000000001</v>
      </c>
      <c r="C1167" s="67">
        <v>511.27</v>
      </c>
      <c r="D1167" s="67">
        <v>514.49</v>
      </c>
      <c r="E1167" s="67">
        <v>2659825</v>
      </c>
      <c r="F1167" s="67" t="s">
        <v>1200</v>
      </c>
      <c r="G1167" s="25">
        <f t="shared" si="18"/>
        <v>1.1875838208711631E-2</v>
      </c>
    </row>
    <row r="1168" spans="1:7">
      <c r="A1168" s="67">
        <v>516.9</v>
      </c>
      <c r="B1168" s="67">
        <v>535.26499999999999</v>
      </c>
      <c r="C1168" s="67">
        <v>516.32000000000005</v>
      </c>
      <c r="D1168" s="67">
        <v>532.22</v>
      </c>
      <c r="E1168" s="67">
        <v>3406500</v>
      </c>
      <c r="F1168" s="67" t="s">
        <v>1201</v>
      </c>
      <c r="G1168" s="25">
        <f t="shared" si="18"/>
        <v>-2.8785088873022557E-2</v>
      </c>
    </row>
    <row r="1169" spans="1:7">
      <c r="A1169" s="67">
        <v>532.37</v>
      </c>
      <c r="B1169" s="67">
        <v>541.59</v>
      </c>
      <c r="C1169" s="67">
        <v>529.28</v>
      </c>
      <c r="D1169" s="67">
        <v>533.09</v>
      </c>
      <c r="E1169" s="67">
        <v>2901791</v>
      </c>
      <c r="F1169" s="67" t="s">
        <v>1202</v>
      </c>
      <c r="G1169" s="25">
        <f t="shared" si="18"/>
        <v>-1.3506162186498472E-3</v>
      </c>
    </row>
    <row r="1170" spans="1:7">
      <c r="A1170" s="67">
        <v>529.89</v>
      </c>
      <c r="B1170" s="67">
        <v>535.17999999999995</v>
      </c>
      <c r="C1170" s="67">
        <v>520.98209999999995</v>
      </c>
      <c r="D1170" s="67">
        <v>525.55330000000004</v>
      </c>
      <c r="E1170" s="67">
        <v>3422161</v>
      </c>
      <c r="F1170" s="67" t="s">
        <v>1203</v>
      </c>
      <c r="G1170" s="25">
        <f t="shared" si="18"/>
        <v>8.2516844628317543E-3</v>
      </c>
    </row>
    <row r="1171" spans="1:7">
      <c r="A1171" s="67">
        <v>525.83000000000004</v>
      </c>
      <c r="B1171" s="67">
        <v>526.58000000000004</v>
      </c>
      <c r="C1171" s="67">
        <v>497.01</v>
      </c>
      <c r="D1171" s="67">
        <v>500</v>
      </c>
      <c r="E1171" s="67">
        <v>5429694</v>
      </c>
      <c r="F1171" s="67" t="s">
        <v>1204</v>
      </c>
      <c r="G1171" s="25">
        <f t="shared" si="18"/>
        <v>5.1660000000000039E-2</v>
      </c>
    </row>
    <row r="1172" spans="1:7">
      <c r="A1172" s="67">
        <v>510.7</v>
      </c>
      <c r="B1172" s="67">
        <v>520.41999999999996</v>
      </c>
      <c r="C1172" s="67">
        <v>504</v>
      </c>
      <c r="D1172" s="67">
        <v>513.66</v>
      </c>
      <c r="E1172" s="67">
        <v>3605411</v>
      </c>
      <c r="F1172" s="67" t="s">
        <v>1205</v>
      </c>
      <c r="G1172" s="25">
        <f t="shared" si="18"/>
        <v>-5.7625666783475138E-3</v>
      </c>
    </row>
    <row r="1173" spans="1:7">
      <c r="A1173" s="67">
        <v>514.12</v>
      </c>
      <c r="B1173" s="67">
        <v>526.30999999999995</v>
      </c>
      <c r="C1173" s="67">
        <v>508.2</v>
      </c>
      <c r="D1173" s="67">
        <v>510</v>
      </c>
      <c r="E1173" s="67">
        <v>3913592</v>
      </c>
      <c r="F1173" s="67" t="s">
        <v>1206</v>
      </c>
      <c r="G1173" s="25">
        <f t="shared" si="18"/>
        <v>8.0784313725490442E-3</v>
      </c>
    </row>
    <row r="1174" spans="1:7">
      <c r="A1174" s="67">
        <v>514.42999999999995</v>
      </c>
      <c r="B1174" s="67">
        <v>538.745</v>
      </c>
      <c r="C1174" s="67">
        <v>514</v>
      </c>
      <c r="D1174" s="67">
        <v>535</v>
      </c>
      <c r="E1174" s="67">
        <v>7394814</v>
      </c>
      <c r="F1174" s="67" t="s">
        <v>1207</v>
      </c>
      <c r="G1174" s="25">
        <f t="shared" si="18"/>
        <v>-3.8448598130841227E-2</v>
      </c>
    </row>
    <row r="1175" spans="1:7">
      <c r="A1175" s="67">
        <v>554</v>
      </c>
      <c r="B1175" s="67">
        <v>564.29999999999995</v>
      </c>
      <c r="C1175" s="67">
        <v>541.30999999999995</v>
      </c>
      <c r="D1175" s="67">
        <v>563.9</v>
      </c>
      <c r="E1175" s="67">
        <v>4344805</v>
      </c>
      <c r="F1175" s="67" t="s">
        <v>1208</v>
      </c>
      <c r="G1175" s="25">
        <f t="shared" si="18"/>
        <v>-1.7556304309274684E-2</v>
      </c>
    </row>
    <row r="1176" spans="1:7">
      <c r="A1176" s="67">
        <v>564.37</v>
      </c>
      <c r="B1176" s="67">
        <v>575</v>
      </c>
      <c r="C1176" s="67">
        <v>553.26729999999998</v>
      </c>
      <c r="D1176" s="67">
        <v>566.65</v>
      </c>
      <c r="E1176" s="67">
        <v>2863488</v>
      </c>
      <c r="F1176" s="67" t="s">
        <v>1209</v>
      </c>
      <c r="G1176" s="25">
        <f t="shared" si="18"/>
        <v>-4.0236477543457161E-3</v>
      </c>
    </row>
    <row r="1177" spans="1:7">
      <c r="A1177" s="67">
        <v>567.05999999999995</v>
      </c>
      <c r="B1177" s="67">
        <v>570.16999999999996</v>
      </c>
      <c r="C1177" s="67">
        <v>565.07000000000005</v>
      </c>
      <c r="D1177" s="67">
        <v>570</v>
      </c>
      <c r="E1177" s="67">
        <v>1581578</v>
      </c>
      <c r="F1177" s="67" t="s">
        <v>1210</v>
      </c>
      <c r="G1177" s="25">
        <f t="shared" si="18"/>
        <v>-5.1578947368422501E-3</v>
      </c>
    </row>
    <row r="1178" spans="1:7">
      <c r="A1178" s="67">
        <v>570.53</v>
      </c>
      <c r="B1178" s="67">
        <v>578.99</v>
      </c>
      <c r="C1178" s="67">
        <v>566.04</v>
      </c>
      <c r="D1178" s="67">
        <v>570.57000000000005</v>
      </c>
      <c r="E1178" s="67">
        <v>1564633</v>
      </c>
      <c r="F1178" s="67" t="s">
        <v>1211</v>
      </c>
      <c r="G1178" s="25">
        <f t="shared" si="18"/>
        <v>-7.0105333263348335E-5</v>
      </c>
    </row>
    <row r="1179" spans="1:7">
      <c r="A1179" s="67">
        <v>569.29</v>
      </c>
      <c r="B1179" s="67">
        <v>576.96</v>
      </c>
      <c r="C1179" s="67">
        <v>562.78</v>
      </c>
      <c r="D1179" s="67">
        <v>573.32910000000004</v>
      </c>
      <c r="E1179" s="67">
        <v>2484190</v>
      </c>
      <c r="F1179" s="67" t="s">
        <v>1212</v>
      </c>
      <c r="G1179" s="25">
        <f t="shared" si="18"/>
        <v>-7.0449938787340294E-3</v>
      </c>
    </row>
    <row r="1180" spans="1:7">
      <c r="A1180" s="67">
        <v>569.36</v>
      </c>
      <c r="B1180" s="67">
        <v>582.88</v>
      </c>
      <c r="C1180" s="67">
        <v>568.35</v>
      </c>
      <c r="D1180" s="67">
        <v>582.84</v>
      </c>
      <c r="E1180" s="67">
        <v>2108375</v>
      </c>
      <c r="F1180" s="67" t="s">
        <v>1213</v>
      </c>
      <c r="G1180" s="25">
        <f t="shared" si="18"/>
        <v>-2.3128131219545711E-2</v>
      </c>
    </row>
    <row r="1181" spans="1:7">
      <c r="A1181" s="67">
        <v>577.67999999999995</v>
      </c>
      <c r="B1181" s="67">
        <v>580.88</v>
      </c>
      <c r="C1181" s="67">
        <v>572.09</v>
      </c>
      <c r="D1181" s="67">
        <v>575.04</v>
      </c>
      <c r="E1181" s="67">
        <v>1980504</v>
      </c>
      <c r="F1181" s="67" t="s">
        <v>1214</v>
      </c>
      <c r="G1181" s="25">
        <f t="shared" si="18"/>
        <v>4.5909849749581344E-3</v>
      </c>
    </row>
    <row r="1182" spans="1:7">
      <c r="A1182" s="67">
        <v>569.62</v>
      </c>
      <c r="B1182" s="67">
        <v>572.57000000000005</v>
      </c>
      <c r="C1182" s="67">
        <v>566.16010000000006</v>
      </c>
      <c r="D1182" s="67">
        <v>568.96</v>
      </c>
      <c r="E1182" s="67">
        <v>2147722</v>
      </c>
      <c r="F1182" s="67" t="s">
        <v>1215</v>
      </c>
      <c r="G1182" s="25">
        <f t="shared" si="18"/>
        <v>1.160011248593884E-3</v>
      </c>
    </row>
    <row r="1183" spans="1:7">
      <c r="A1183" s="67">
        <v>563.98</v>
      </c>
      <c r="B1183" s="67">
        <v>564.91999999999996</v>
      </c>
      <c r="C1183" s="67">
        <v>552.24</v>
      </c>
      <c r="D1183" s="67">
        <v>560.29999999999995</v>
      </c>
      <c r="E1183" s="67">
        <v>4526208</v>
      </c>
      <c r="F1183" s="67" t="s">
        <v>1216</v>
      </c>
      <c r="G1183" s="25">
        <f t="shared" si="18"/>
        <v>6.5679100481885744E-3</v>
      </c>
    </row>
    <row r="1184" spans="1:7">
      <c r="A1184" s="67">
        <v>557.52</v>
      </c>
      <c r="B1184" s="67">
        <v>559.89</v>
      </c>
      <c r="C1184" s="67">
        <v>538.04999999999995</v>
      </c>
      <c r="D1184" s="67">
        <v>550.91</v>
      </c>
      <c r="E1184" s="67">
        <v>4104714</v>
      </c>
      <c r="F1184" s="67" t="s">
        <v>1217</v>
      </c>
      <c r="G1184" s="25">
        <f t="shared" si="18"/>
        <v>1.1998330035759119E-2</v>
      </c>
    </row>
    <row r="1185" spans="1:7">
      <c r="A1185" s="67">
        <v>549.77</v>
      </c>
      <c r="B1185" s="67">
        <v>557.27</v>
      </c>
      <c r="C1185" s="67">
        <v>543.5</v>
      </c>
      <c r="D1185" s="67">
        <v>545.61</v>
      </c>
      <c r="E1185" s="67">
        <v>3441126</v>
      </c>
      <c r="F1185" s="67" t="s">
        <v>1218</v>
      </c>
      <c r="G1185" s="25">
        <f t="shared" si="18"/>
        <v>7.6244936859661827E-3</v>
      </c>
    </row>
    <row r="1186" spans="1:7">
      <c r="A1186" s="67">
        <v>556.64</v>
      </c>
      <c r="B1186" s="67">
        <v>566.99</v>
      </c>
      <c r="C1186" s="67">
        <v>545.13499999999999</v>
      </c>
      <c r="D1186" s="67">
        <v>566.09</v>
      </c>
      <c r="E1186" s="67">
        <v>8014024</v>
      </c>
      <c r="F1186" s="67" t="s">
        <v>1219</v>
      </c>
      <c r="G1186" s="25">
        <f t="shared" si="18"/>
        <v>-1.6693458637319192E-2</v>
      </c>
    </row>
    <row r="1187" spans="1:7">
      <c r="A1187" s="67">
        <v>566.09</v>
      </c>
      <c r="B1187" s="67">
        <v>591.57730000000004</v>
      </c>
      <c r="C1187" s="67">
        <v>556.15009999999995</v>
      </c>
      <c r="D1187" s="67">
        <v>578.4</v>
      </c>
      <c r="E1187" s="67">
        <v>10961245</v>
      </c>
      <c r="F1187" s="67" t="s">
        <v>1220</v>
      </c>
      <c r="G1187" s="25">
        <f t="shared" si="18"/>
        <v>-2.1282849239280699E-2</v>
      </c>
    </row>
    <row r="1188" spans="1:7">
      <c r="A1188" s="67">
        <v>630.33000000000004</v>
      </c>
      <c r="B1188" s="67">
        <v>631.25</v>
      </c>
      <c r="C1188" s="67">
        <v>604.61990000000003</v>
      </c>
      <c r="D1188" s="67">
        <v>615.96</v>
      </c>
      <c r="E1188" s="67">
        <v>4288818</v>
      </c>
      <c r="F1188" s="67" t="s">
        <v>1221</v>
      </c>
      <c r="G1188" s="25">
        <f t="shared" si="18"/>
        <v>2.3329436976426976E-2</v>
      </c>
    </row>
    <row r="1189" spans="1:7">
      <c r="A1189" s="67">
        <v>614.86</v>
      </c>
      <c r="B1189" s="67">
        <v>636</v>
      </c>
      <c r="C1189" s="67">
        <v>599.1</v>
      </c>
      <c r="D1189" s="67">
        <v>635.36</v>
      </c>
      <c r="E1189" s="67">
        <v>5934156</v>
      </c>
      <c r="F1189" s="67" t="s">
        <v>1222</v>
      </c>
      <c r="G1189" s="25">
        <f t="shared" si="18"/>
        <v>-3.2265172500629546E-2</v>
      </c>
    </row>
    <row r="1190" spans="1:7">
      <c r="A1190" s="67">
        <v>658.3</v>
      </c>
      <c r="B1190" s="67">
        <v>675.21</v>
      </c>
      <c r="C1190" s="67">
        <v>650.97839999999997</v>
      </c>
      <c r="D1190" s="67">
        <v>652.77</v>
      </c>
      <c r="E1190" s="67">
        <v>3829357</v>
      </c>
      <c r="F1190" s="67" t="s">
        <v>1223</v>
      </c>
      <c r="G1190" s="25">
        <f t="shared" si="18"/>
        <v>8.4715902997993808E-3</v>
      </c>
    </row>
    <row r="1191" spans="1:7">
      <c r="A1191" s="67">
        <v>654.45000000000005</v>
      </c>
      <c r="B1191" s="67">
        <v>654.97</v>
      </c>
      <c r="C1191" s="67">
        <v>635.1</v>
      </c>
      <c r="D1191" s="67">
        <v>638.13</v>
      </c>
      <c r="E1191" s="67">
        <v>2872975</v>
      </c>
      <c r="F1191" s="67" t="s">
        <v>1224</v>
      </c>
      <c r="G1191" s="25">
        <f t="shared" si="18"/>
        <v>2.55747261529784E-2</v>
      </c>
    </row>
    <row r="1192" spans="1:7">
      <c r="A1192" s="67">
        <v>632.57000000000005</v>
      </c>
      <c r="B1192" s="67">
        <v>655.72</v>
      </c>
      <c r="C1192" s="67">
        <v>630.88</v>
      </c>
      <c r="D1192" s="67">
        <v>650.91999999999996</v>
      </c>
      <c r="E1192" s="67">
        <v>2550690</v>
      </c>
      <c r="F1192" s="67" t="s">
        <v>1225</v>
      </c>
      <c r="G1192" s="25">
        <f t="shared" si="18"/>
        <v>-2.8190868309469486E-2</v>
      </c>
    </row>
    <row r="1193" spans="1:7">
      <c r="A1193" s="67">
        <v>653.1</v>
      </c>
      <c r="B1193" s="67">
        <v>654.65</v>
      </c>
      <c r="C1193" s="67">
        <v>641.61</v>
      </c>
      <c r="D1193" s="67">
        <v>647.29999999999995</v>
      </c>
      <c r="E1193" s="67">
        <v>2416232</v>
      </c>
      <c r="F1193" s="67" t="s">
        <v>1226</v>
      </c>
      <c r="G1193" s="25">
        <f t="shared" si="18"/>
        <v>8.9602966167157128E-3</v>
      </c>
    </row>
    <row r="1194" spans="1:7">
      <c r="A1194" s="67">
        <v>649.96</v>
      </c>
      <c r="B1194" s="67">
        <v>655.22</v>
      </c>
      <c r="C1194" s="67">
        <v>640.04999999999995</v>
      </c>
      <c r="D1194" s="67">
        <v>644.19320000000005</v>
      </c>
      <c r="E1194" s="67">
        <v>3943536</v>
      </c>
      <c r="F1194" s="67" t="s">
        <v>1227</v>
      </c>
      <c r="G1194" s="25">
        <f t="shared" si="18"/>
        <v>8.951972793255214E-3</v>
      </c>
    </row>
    <row r="1195" spans="1:7">
      <c r="A1195" s="67">
        <v>622.04</v>
      </c>
      <c r="B1195" s="67">
        <v>625.9</v>
      </c>
      <c r="C1195" s="67">
        <v>605.72500000000002</v>
      </c>
      <c r="D1195" s="67">
        <v>617.47</v>
      </c>
      <c r="E1195" s="67">
        <v>3170342</v>
      </c>
      <c r="F1195" s="67" t="s">
        <v>1228</v>
      </c>
      <c r="G1195" s="25">
        <f t="shared" si="18"/>
        <v>7.4011692875766144E-3</v>
      </c>
    </row>
    <row r="1196" spans="1:7">
      <c r="A1196" s="67">
        <v>616.53</v>
      </c>
      <c r="B1196" s="67">
        <v>662.09</v>
      </c>
      <c r="C1196" s="67">
        <v>604.29999999999995</v>
      </c>
      <c r="D1196" s="67">
        <v>658.1</v>
      </c>
      <c r="E1196" s="67">
        <v>6741841</v>
      </c>
      <c r="F1196" s="67" t="s">
        <v>1229</v>
      </c>
      <c r="G1196" s="25">
        <f t="shared" si="18"/>
        <v>-6.3166691992098567E-2</v>
      </c>
    </row>
    <row r="1197" spans="1:7">
      <c r="A1197" s="67">
        <v>671.88</v>
      </c>
      <c r="B1197" s="67">
        <v>674.84500000000003</v>
      </c>
      <c r="C1197" s="67">
        <v>653.62</v>
      </c>
      <c r="D1197" s="67">
        <v>655.95</v>
      </c>
      <c r="E1197" s="67">
        <v>2675408</v>
      </c>
      <c r="F1197" s="67" t="s">
        <v>1230</v>
      </c>
      <c r="G1197" s="25">
        <f t="shared" si="18"/>
        <v>2.4285387605762487E-2</v>
      </c>
    </row>
    <row r="1198" spans="1:7">
      <c r="A1198" s="67">
        <v>657.41</v>
      </c>
      <c r="B1198" s="67">
        <v>678.78</v>
      </c>
      <c r="C1198" s="67">
        <v>656.28</v>
      </c>
      <c r="D1198" s="67">
        <v>676</v>
      </c>
      <c r="E1198" s="67">
        <v>2832765</v>
      </c>
      <c r="F1198" s="67" t="s">
        <v>1231</v>
      </c>
      <c r="G1198" s="25">
        <f t="shared" si="18"/>
        <v>-2.750000000000008E-2</v>
      </c>
    </row>
    <row r="1199" spans="1:7">
      <c r="A1199" s="67">
        <v>669.85</v>
      </c>
      <c r="B1199" s="67">
        <v>694.89</v>
      </c>
      <c r="C1199" s="67">
        <v>667.83</v>
      </c>
      <c r="D1199" s="67">
        <v>687.22</v>
      </c>
      <c r="E1199" s="67">
        <v>4703616</v>
      </c>
      <c r="F1199" s="67" t="s">
        <v>1232</v>
      </c>
      <c r="G1199" s="25">
        <f t="shared" si="18"/>
        <v>-2.5275748668548648E-2</v>
      </c>
    </row>
    <row r="1200" spans="1:7">
      <c r="A1200" s="67">
        <v>687.49</v>
      </c>
      <c r="B1200" s="67">
        <v>691.36</v>
      </c>
      <c r="C1200" s="67">
        <v>665.77</v>
      </c>
      <c r="D1200" s="67">
        <v>668</v>
      </c>
      <c r="E1200" s="67">
        <v>2728844</v>
      </c>
      <c r="F1200" s="67" t="s">
        <v>1233</v>
      </c>
      <c r="G1200" s="25">
        <f t="shared" si="18"/>
        <v>2.9176646706586817E-2</v>
      </c>
    </row>
    <row r="1201" spans="1:7">
      <c r="A1201" s="67">
        <v>662.1</v>
      </c>
      <c r="B1201" s="67">
        <v>683.99990000000003</v>
      </c>
      <c r="C1201" s="67">
        <v>659.68</v>
      </c>
      <c r="D1201" s="67">
        <v>670.25289999999995</v>
      </c>
      <c r="E1201" s="67">
        <v>2203960</v>
      </c>
      <c r="F1201" s="67" t="s">
        <v>1234</v>
      </c>
      <c r="G1201" s="25">
        <f t="shared" si="18"/>
        <v>-1.2163916038259504E-2</v>
      </c>
    </row>
    <row r="1202" spans="1:7">
      <c r="A1202" s="67">
        <v>668.32</v>
      </c>
      <c r="B1202" s="67">
        <v>668.87</v>
      </c>
      <c r="C1202" s="67">
        <v>647.14</v>
      </c>
      <c r="D1202" s="67">
        <v>655.83</v>
      </c>
      <c r="E1202" s="67">
        <v>2426821</v>
      </c>
      <c r="F1202" s="67" t="s">
        <v>1235</v>
      </c>
      <c r="G1202" s="25">
        <f t="shared" si="18"/>
        <v>1.9044569476846185E-2</v>
      </c>
    </row>
    <row r="1203" spans="1:7">
      <c r="A1203" s="67">
        <v>665.16</v>
      </c>
      <c r="B1203" s="67">
        <v>667.56989999999996</v>
      </c>
      <c r="C1203" s="67">
        <v>648.61</v>
      </c>
      <c r="D1203" s="67">
        <v>662.70349999999996</v>
      </c>
      <c r="E1203" s="67">
        <v>2504127</v>
      </c>
      <c r="F1203" s="67" t="s">
        <v>1236</v>
      </c>
      <c r="G1203" s="25">
        <f t="shared" si="18"/>
        <v>3.7067859155714977E-3</v>
      </c>
    </row>
    <row r="1204" spans="1:7">
      <c r="A1204" s="67">
        <v>673.57</v>
      </c>
      <c r="B1204" s="67">
        <v>699.54</v>
      </c>
      <c r="C1204" s="67">
        <v>672.66</v>
      </c>
      <c r="D1204" s="67">
        <v>696.27499999999998</v>
      </c>
      <c r="E1204" s="67">
        <v>2285511</v>
      </c>
      <c r="F1204" s="67" t="s">
        <v>1237</v>
      </c>
      <c r="G1204" s="25">
        <f t="shared" si="18"/>
        <v>-3.2609242037987762E-2</v>
      </c>
    </row>
    <row r="1205" spans="1:7">
      <c r="A1205" s="67">
        <v>688.37</v>
      </c>
      <c r="B1205" s="67">
        <v>699.5</v>
      </c>
      <c r="C1205" s="67">
        <v>678.91</v>
      </c>
      <c r="D1205" s="67">
        <v>681.26</v>
      </c>
      <c r="E1205" s="67">
        <v>3093812</v>
      </c>
      <c r="F1205" s="67" t="s">
        <v>1238</v>
      </c>
      <c r="G1205" s="25">
        <f t="shared" ref="G1205:G1268" si="19">A1205/D1205-1</f>
        <v>1.0436544050729468E-2</v>
      </c>
    </row>
    <row r="1206" spans="1:7">
      <c r="A1206" s="67">
        <v>670.96</v>
      </c>
      <c r="B1206" s="67">
        <v>676.55</v>
      </c>
      <c r="C1206" s="67">
        <v>665.08</v>
      </c>
      <c r="D1206" s="67">
        <v>670.62</v>
      </c>
      <c r="E1206" s="67">
        <v>1494358</v>
      </c>
      <c r="F1206" s="67" t="s">
        <v>1239</v>
      </c>
      <c r="G1206" s="25">
        <f t="shared" si="19"/>
        <v>5.069935283767979E-4</v>
      </c>
    </row>
    <row r="1207" spans="1:7">
      <c r="A1207" s="67">
        <v>670.67</v>
      </c>
      <c r="B1207" s="67">
        <v>672.73670000000004</v>
      </c>
      <c r="C1207" s="67">
        <v>662.84</v>
      </c>
      <c r="D1207" s="67">
        <v>671.76</v>
      </c>
      <c r="E1207" s="67">
        <v>1221871</v>
      </c>
      <c r="F1207" s="67" t="s">
        <v>1240</v>
      </c>
      <c r="G1207" s="25">
        <f t="shared" si="19"/>
        <v>-1.6226033107062943E-3</v>
      </c>
    </row>
    <row r="1208" spans="1:7">
      <c r="A1208" s="67">
        <v>671.03</v>
      </c>
      <c r="B1208" s="67">
        <v>673.74490000000003</v>
      </c>
      <c r="C1208" s="67">
        <v>658.99</v>
      </c>
      <c r="D1208" s="67">
        <v>659.14</v>
      </c>
      <c r="E1208" s="67">
        <v>1421950</v>
      </c>
      <c r="F1208" s="67" t="s">
        <v>1241</v>
      </c>
      <c r="G1208" s="25">
        <f t="shared" si="19"/>
        <v>1.8038656431107247E-2</v>
      </c>
    </row>
    <row r="1209" spans="1:7">
      <c r="A1209" s="67">
        <v>659.73</v>
      </c>
      <c r="B1209" s="67">
        <v>663.66499999999996</v>
      </c>
      <c r="C1209" s="67">
        <v>655.19000000000005</v>
      </c>
      <c r="D1209" s="67">
        <v>658.37</v>
      </c>
      <c r="E1209" s="67">
        <v>1077608</v>
      </c>
      <c r="F1209" s="67" t="s">
        <v>1242</v>
      </c>
      <c r="G1209" s="25">
        <f t="shared" si="19"/>
        <v>2.0657077327339568E-3</v>
      </c>
    </row>
    <row r="1210" spans="1:7">
      <c r="A1210" s="67">
        <v>657.6</v>
      </c>
      <c r="B1210" s="67">
        <v>658.47249999999997</v>
      </c>
      <c r="C1210" s="67">
        <v>647.16</v>
      </c>
      <c r="D1210" s="67">
        <v>649.01</v>
      </c>
      <c r="E1210" s="67">
        <v>1286806</v>
      </c>
      <c r="F1210" s="67" t="s">
        <v>1243</v>
      </c>
      <c r="G1210" s="25">
        <f t="shared" si="19"/>
        <v>1.3235543366049818E-2</v>
      </c>
    </row>
    <row r="1211" spans="1:7">
      <c r="A1211" s="67">
        <v>643.16999999999996</v>
      </c>
      <c r="B1211" s="67">
        <v>652.57000000000005</v>
      </c>
      <c r="C1211" s="67">
        <v>642.1</v>
      </c>
      <c r="D1211" s="67">
        <v>649.61</v>
      </c>
      <c r="E1211" s="67">
        <v>1271194</v>
      </c>
      <c r="F1211" s="67" t="s">
        <v>1244</v>
      </c>
      <c r="G1211" s="25">
        <f t="shared" si="19"/>
        <v>-9.9136404919876187E-3</v>
      </c>
    </row>
    <row r="1212" spans="1:7">
      <c r="A1212" s="67">
        <v>647.5</v>
      </c>
      <c r="B1212" s="67">
        <v>665.80989999999997</v>
      </c>
      <c r="C1212" s="67">
        <v>645.86</v>
      </c>
      <c r="D1212" s="67">
        <v>663.2</v>
      </c>
      <c r="E1212" s="67">
        <v>2038209</v>
      </c>
      <c r="F1212" s="67" t="s">
        <v>1245</v>
      </c>
      <c r="G1212" s="25">
        <f t="shared" si="19"/>
        <v>-2.3673100120627288E-2</v>
      </c>
    </row>
    <row r="1213" spans="1:7">
      <c r="A1213" s="67">
        <v>667.92</v>
      </c>
      <c r="B1213" s="67">
        <v>669.66</v>
      </c>
      <c r="C1213" s="67">
        <v>663</v>
      </c>
      <c r="D1213" s="67">
        <v>667.69</v>
      </c>
      <c r="E1213" s="67">
        <v>1128004</v>
      </c>
      <c r="F1213" s="67" t="s">
        <v>1246</v>
      </c>
      <c r="G1213" s="25">
        <f t="shared" si="19"/>
        <v>3.4447123665160007E-4</v>
      </c>
    </row>
    <row r="1214" spans="1:7">
      <c r="A1214" s="67">
        <v>666.02</v>
      </c>
      <c r="B1214" s="67">
        <v>668.25</v>
      </c>
      <c r="C1214" s="67">
        <v>661.4</v>
      </c>
      <c r="D1214" s="67">
        <v>666.56</v>
      </c>
      <c r="E1214" s="67">
        <v>1497363</v>
      </c>
      <c r="F1214" s="67" t="s">
        <v>1247</v>
      </c>
      <c r="G1214" s="25">
        <f t="shared" si="19"/>
        <v>-8.1012962073923056E-4</v>
      </c>
    </row>
    <row r="1215" spans="1:7">
      <c r="A1215" s="67">
        <v>662.72</v>
      </c>
      <c r="B1215" s="67">
        <v>677.76</v>
      </c>
      <c r="C1215" s="67">
        <v>661.11</v>
      </c>
      <c r="D1215" s="67">
        <v>676.74</v>
      </c>
      <c r="E1215" s="67">
        <v>2517646</v>
      </c>
      <c r="F1215" s="67" t="s">
        <v>1248</v>
      </c>
      <c r="G1215" s="25">
        <f t="shared" si="19"/>
        <v>-2.0716966634157896E-2</v>
      </c>
    </row>
    <row r="1216" spans="1:7">
      <c r="A1216" s="67">
        <v>674.08</v>
      </c>
      <c r="B1216" s="67">
        <v>676.08</v>
      </c>
      <c r="C1216" s="67">
        <v>657.75</v>
      </c>
      <c r="D1216" s="67">
        <v>659.44</v>
      </c>
      <c r="E1216" s="67">
        <v>2480616</v>
      </c>
      <c r="F1216" s="67" t="s">
        <v>1249</v>
      </c>
      <c r="G1216" s="25">
        <f t="shared" si="19"/>
        <v>2.2200655101298095E-2</v>
      </c>
    </row>
    <row r="1217" spans="1:7">
      <c r="A1217" s="67">
        <v>655.17999999999995</v>
      </c>
      <c r="B1217" s="67">
        <v>656.5</v>
      </c>
      <c r="C1217" s="67">
        <v>640</v>
      </c>
      <c r="D1217" s="67">
        <v>645.52</v>
      </c>
      <c r="E1217" s="67">
        <v>1970703</v>
      </c>
      <c r="F1217" s="67" t="s">
        <v>1250</v>
      </c>
      <c r="G1217" s="25">
        <f t="shared" si="19"/>
        <v>1.4964679638121092E-2</v>
      </c>
    </row>
    <row r="1218" spans="1:7">
      <c r="A1218" s="67">
        <v>640.4</v>
      </c>
      <c r="B1218" s="67">
        <v>647.74360000000001</v>
      </c>
      <c r="C1218" s="67">
        <v>639.23</v>
      </c>
      <c r="D1218" s="67">
        <v>641.12</v>
      </c>
      <c r="E1218" s="67">
        <v>1769966</v>
      </c>
      <c r="F1218" s="67" t="s">
        <v>1251</v>
      </c>
      <c r="G1218" s="25">
        <f t="shared" si="19"/>
        <v>-1.1230346892937559E-3</v>
      </c>
    </row>
    <row r="1219" spans="1:7">
      <c r="A1219" s="67">
        <v>640.20000000000005</v>
      </c>
      <c r="B1219" s="67">
        <v>654</v>
      </c>
      <c r="C1219" s="67">
        <v>634.78</v>
      </c>
      <c r="D1219" s="67">
        <v>651.04999999999995</v>
      </c>
      <c r="E1219" s="67">
        <v>2215757</v>
      </c>
      <c r="F1219" s="67" t="s">
        <v>1252</v>
      </c>
      <c r="G1219" s="25">
        <f t="shared" si="19"/>
        <v>-1.6665386683050287E-2</v>
      </c>
    </row>
    <row r="1220" spans="1:7">
      <c r="A1220" s="67">
        <v>650.36</v>
      </c>
      <c r="B1220" s="67">
        <v>651.30999999999995</v>
      </c>
      <c r="C1220" s="67">
        <v>637</v>
      </c>
      <c r="D1220" s="67">
        <v>637.77</v>
      </c>
      <c r="E1220" s="67">
        <v>1927887</v>
      </c>
      <c r="F1220" s="67" t="s">
        <v>1253</v>
      </c>
      <c r="G1220" s="25">
        <f t="shared" si="19"/>
        <v>1.9740658858209192E-2</v>
      </c>
    </row>
    <row r="1221" spans="1:7">
      <c r="A1221" s="67">
        <v>639.28</v>
      </c>
      <c r="B1221" s="67">
        <v>642.49</v>
      </c>
      <c r="C1221" s="67">
        <v>633.27</v>
      </c>
      <c r="D1221" s="67">
        <v>638</v>
      </c>
      <c r="E1221" s="67">
        <v>2085002</v>
      </c>
      <c r="F1221" s="67" t="s">
        <v>1254</v>
      </c>
      <c r="G1221" s="25">
        <f t="shared" si="19"/>
        <v>2.0062695924765173E-3</v>
      </c>
    </row>
    <row r="1222" spans="1:7">
      <c r="A1222" s="67">
        <v>640.08000000000004</v>
      </c>
      <c r="B1222" s="67">
        <v>648.80529999999999</v>
      </c>
      <c r="C1222" s="67">
        <v>639.80999999999995</v>
      </c>
      <c r="D1222" s="67">
        <v>644.48</v>
      </c>
      <c r="E1222" s="67">
        <v>1630177</v>
      </c>
      <c r="F1222" s="67" t="s">
        <v>1255</v>
      </c>
      <c r="G1222" s="25">
        <f t="shared" si="19"/>
        <v>-6.8272095332670979E-3</v>
      </c>
    </row>
    <row r="1223" spans="1:7">
      <c r="A1223" s="67">
        <v>642.5</v>
      </c>
      <c r="B1223" s="67">
        <v>659.19</v>
      </c>
      <c r="C1223" s="67">
        <v>642.1</v>
      </c>
      <c r="D1223" s="67">
        <v>650.91</v>
      </c>
      <c r="E1223" s="67">
        <v>2153959</v>
      </c>
      <c r="F1223" s="67" t="s">
        <v>1256</v>
      </c>
      <c r="G1223" s="25">
        <f t="shared" si="19"/>
        <v>-1.2920373016238718E-2</v>
      </c>
    </row>
    <row r="1224" spans="1:7">
      <c r="A1224" s="67">
        <v>646.97</v>
      </c>
      <c r="B1224" s="67">
        <v>649.62</v>
      </c>
      <c r="C1224" s="67">
        <v>639.0652</v>
      </c>
      <c r="D1224" s="67">
        <v>644.47</v>
      </c>
      <c r="E1224" s="67">
        <v>1629369</v>
      </c>
      <c r="F1224" s="67" t="s">
        <v>1257</v>
      </c>
      <c r="G1224" s="25">
        <f t="shared" si="19"/>
        <v>3.8791565162070718E-3</v>
      </c>
    </row>
    <row r="1225" spans="1:7">
      <c r="A1225" s="67">
        <v>643.58000000000004</v>
      </c>
      <c r="B1225" s="67">
        <v>644.42999999999995</v>
      </c>
      <c r="C1225" s="67">
        <v>634.45000000000005</v>
      </c>
      <c r="D1225" s="67">
        <v>640.42999999999995</v>
      </c>
      <c r="E1225" s="67">
        <v>1786582</v>
      </c>
      <c r="F1225" s="67" t="s">
        <v>1258</v>
      </c>
      <c r="G1225" s="25">
        <f t="shared" si="19"/>
        <v>4.9185703355558719E-3</v>
      </c>
    </row>
    <row r="1226" spans="1:7">
      <c r="A1226" s="67">
        <v>638.66</v>
      </c>
      <c r="B1226" s="67">
        <v>639.16999999999996</v>
      </c>
      <c r="C1226" s="67">
        <v>629</v>
      </c>
      <c r="D1226" s="67">
        <v>632</v>
      </c>
      <c r="E1226" s="67">
        <v>1586592</v>
      </c>
      <c r="F1226" s="67" t="s">
        <v>1259</v>
      </c>
      <c r="G1226" s="25">
        <f t="shared" si="19"/>
        <v>1.0537974683544338E-2</v>
      </c>
    </row>
    <row r="1227" spans="1:7">
      <c r="A1227" s="67">
        <v>632.37</v>
      </c>
      <c r="B1227" s="67">
        <v>641.29</v>
      </c>
      <c r="C1227" s="67">
        <v>630.17129999999997</v>
      </c>
      <c r="D1227" s="67">
        <v>639.28</v>
      </c>
      <c r="E1227" s="67">
        <v>1497205</v>
      </c>
      <c r="F1227" s="67" t="s">
        <v>1260</v>
      </c>
      <c r="G1227" s="25">
        <f t="shared" si="19"/>
        <v>-1.080903516456011E-2</v>
      </c>
    </row>
    <row r="1228" spans="1:7">
      <c r="A1228" s="67">
        <v>636.07000000000005</v>
      </c>
      <c r="B1228" s="67">
        <v>639.39</v>
      </c>
      <c r="C1228" s="67">
        <v>625.26</v>
      </c>
      <c r="D1228" s="67">
        <v>625.26</v>
      </c>
      <c r="E1228" s="67">
        <v>2470024</v>
      </c>
      <c r="F1228" s="67" t="s">
        <v>1261</v>
      </c>
      <c r="G1228" s="25">
        <f t="shared" si="19"/>
        <v>1.728880785593212E-2</v>
      </c>
    </row>
    <row r="1229" spans="1:7">
      <c r="A1229" s="67">
        <v>622.83000000000004</v>
      </c>
      <c r="B1229" s="67">
        <v>623.47</v>
      </c>
      <c r="C1229" s="67">
        <v>607.57000000000005</v>
      </c>
      <c r="D1229" s="67">
        <v>610.65</v>
      </c>
      <c r="E1229" s="67">
        <v>1905125</v>
      </c>
      <c r="F1229" s="67" t="s">
        <v>1262</v>
      </c>
      <c r="G1229" s="25">
        <f t="shared" si="19"/>
        <v>1.9945959223778065E-2</v>
      </c>
    </row>
    <row r="1230" spans="1:7">
      <c r="A1230" s="67">
        <v>610.09</v>
      </c>
      <c r="B1230" s="67">
        <v>612.25</v>
      </c>
      <c r="C1230" s="67">
        <v>607.54999999999995</v>
      </c>
      <c r="D1230" s="67">
        <v>611.69349999999997</v>
      </c>
      <c r="E1230" s="67">
        <v>1960103</v>
      </c>
      <c r="F1230" s="67" t="s">
        <v>1263</v>
      </c>
      <c r="G1230" s="25">
        <f t="shared" si="19"/>
        <v>-2.6214108863342744E-3</v>
      </c>
    </row>
    <row r="1231" spans="1:7">
      <c r="A1231" s="67">
        <v>607.51</v>
      </c>
      <c r="B1231" s="67">
        <v>609.44000000000005</v>
      </c>
      <c r="C1231" s="67">
        <v>596.97</v>
      </c>
      <c r="D1231" s="67">
        <v>600</v>
      </c>
      <c r="E1231" s="67">
        <v>2501675</v>
      </c>
      <c r="F1231" s="67" t="s">
        <v>1264</v>
      </c>
      <c r="G1231" s="25">
        <f t="shared" si="19"/>
        <v>1.2516666666666731E-2</v>
      </c>
    </row>
    <row r="1232" spans="1:7">
      <c r="A1232" s="67">
        <v>591.12</v>
      </c>
      <c r="B1232" s="67">
        <v>593.54</v>
      </c>
      <c r="C1232" s="67">
        <v>582.65499999999997</v>
      </c>
      <c r="D1232" s="67">
        <v>585.26</v>
      </c>
      <c r="E1232" s="67">
        <v>2144405</v>
      </c>
      <c r="F1232" s="67" t="s">
        <v>1265</v>
      </c>
      <c r="G1232" s="25">
        <f t="shared" si="19"/>
        <v>1.0012643953114964E-2</v>
      </c>
    </row>
    <row r="1233" spans="1:7">
      <c r="A1233" s="67">
        <v>580.69000000000005</v>
      </c>
      <c r="B1233" s="67">
        <v>584.22</v>
      </c>
      <c r="C1233" s="67">
        <v>574.41999999999996</v>
      </c>
      <c r="D1233" s="67">
        <v>579.15689999999995</v>
      </c>
      <c r="E1233" s="67">
        <v>1740279</v>
      </c>
      <c r="F1233" s="67" t="s">
        <v>1266</v>
      </c>
      <c r="G1233" s="25">
        <f t="shared" si="19"/>
        <v>2.6471237759579935E-3</v>
      </c>
    </row>
    <row r="1234" spans="1:7">
      <c r="A1234" s="67">
        <v>573.07000000000005</v>
      </c>
      <c r="B1234" s="67">
        <v>582.28</v>
      </c>
      <c r="C1234" s="67">
        <v>571.495</v>
      </c>
      <c r="D1234" s="67">
        <v>574.5</v>
      </c>
      <c r="E1234" s="67">
        <v>1410612</v>
      </c>
      <c r="F1234" s="67" t="s">
        <v>1267</v>
      </c>
      <c r="G1234" s="25">
        <f t="shared" si="19"/>
        <v>-2.4891209747606169E-3</v>
      </c>
    </row>
    <row r="1235" spans="1:7">
      <c r="A1235" s="67">
        <v>576.86</v>
      </c>
      <c r="B1235" s="67">
        <v>583.61</v>
      </c>
      <c r="C1235" s="67">
        <v>575.52</v>
      </c>
      <c r="D1235" s="67">
        <v>581.29999999999995</v>
      </c>
      <c r="E1235" s="67">
        <v>2051019</v>
      </c>
      <c r="F1235" s="67" t="s">
        <v>1268</v>
      </c>
      <c r="G1235" s="25">
        <f t="shared" si="19"/>
        <v>-7.6380526406329974E-3</v>
      </c>
    </row>
    <row r="1236" spans="1:7">
      <c r="A1236" s="67">
        <v>578.96</v>
      </c>
      <c r="B1236" s="67">
        <v>586.14499999999998</v>
      </c>
      <c r="C1236" s="67">
        <v>576.19000000000005</v>
      </c>
      <c r="D1236" s="67">
        <v>578.46</v>
      </c>
      <c r="E1236" s="67">
        <v>2648546</v>
      </c>
      <c r="F1236" s="67" t="s">
        <v>1269</v>
      </c>
      <c r="G1236" s="25">
        <f t="shared" si="19"/>
        <v>8.643640009680098E-4</v>
      </c>
    </row>
    <row r="1237" spans="1:7">
      <c r="A1237" s="67">
        <v>570.30999999999995</v>
      </c>
      <c r="B1237" s="67">
        <v>572.15499999999997</v>
      </c>
      <c r="C1237" s="67">
        <v>560.21</v>
      </c>
      <c r="D1237" s="67">
        <v>561.24</v>
      </c>
      <c r="E1237" s="67">
        <v>2043151</v>
      </c>
      <c r="F1237" s="67" t="s">
        <v>1270</v>
      </c>
      <c r="G1237" s="25">
        <f t="shared" si="19"/>
        <v>1.616064428764874E-2</v>
      </c>
    </row>
    <row r="1238" spans="1:7">
      <c r="A1238" s="67">
        <v>566.70000000000005</v>
      </c>
      <c r="B1238" s="67">
        <v>570.29</v>
      </c>
      <c r="C1238" s="67">
        <v>559.21</v>
      </c>
      <c r="D1238" s="67">
        <v>563.91</v>
      </c>
      <c r="E1238" s="67">
        <v>2337838</v>
      </c>
      <c r="F1238" s="67" t="s">
        <v>1271</v>
      </c>
      <c r="G1238" s="25">
        <f t="shared" si="19"/>
        <v>4.9475980209610082E-3</v>
      </c>
    </row>
    <row r="1239" spans="1:7">
      <c r="A1239" s="67">
        <v>558.49</v>
      </c>
      <c r="B1239" s="67">
        <v>576.79999999999995</v>
      </c>
      <c r="C1239" s="67">
        <v>552.14</v>
      </c>
      <c r="D1239" s="67">
        <v>574.59010000000001</v>
      </c>
      <c r="E1239" s="67">
        <v>3976963</v>
      </c>
      <c r="F1239" s="67" t="s">
        <v>1272</v>
      </c>
      <c r="G1239" s="25">
        <f t="shared" si="19"/>
        <v>-2.8020148624210539E-2</v>
      </c>
    </row>
    <row r="1240" spans="1:7">
      <c r="A1240" s="67">
        <v>577.47</v>
      </c>
      <c r="B1240" s="67">
        <v>581.47</v>
      </c>
      <c r="C1240" s="67">
        <v>568.61</v>
      </c>
      <c r="D1240" s="67">
        <v>577.52</v>
      </c>
      <c r="E1240" s="67">
        <v>2915254</v>
      </c>
      <c r="F1240" s="67" t="s">
        <v>1273</v>
      </c>
      <c r="G1240" s="25">
        <f t="shared" si="19"/>
        <v>-8.6577088239336852E-5</v>
      </c>
    </row>
    <row r="1241" spans="1:7">
      <c r="A1241" s="67">
        <v>575.72</v>
      </c>
      <c r="B1241" s="67">
        <v>586.19460000000004</v>
      </c>
      <c r="C1241" s="67">
        <v>573.23580000000004</v>
      </c>
      <c r="D1241" s="67">
        <v>580.64</v>
      </c>
      <c r="E1241" s="67">
        <v>2747916</v>
      </c>
      <c r="F1241" s="67" t="s">
        <v>1274</v>
      </c>
      <c r="G1241" s="25">
        <f t="shared" si="19"/>
        <v>-8.4734086525213304E-3</v>
      </c>
    </row>
    <row r="1242" spans="1:7">
      <c r="A1242" s="67">
        <v>577.70000000000005</v>
      </c>
      <c r="B1242" s="67">
        <v>586.54999999999995</v>
      </c>
      <c r="C1242" s="67">
        <v>576.07000000000005</v>
      </c>
      <c r="D1242" s="67">
        <v>585.45000000000005</v>
      </c>
      <c r="E1242" s="67">
        <v>2726816</v>
      </c>
      <c r="F1242" s="67" t="s">
        <v>1275</v>
      </c>
      <c r="G1242" s="25">
        <f t="shared" si="19"/>
        <v>-1.3237680416773423E-2</v>
      </c>
    </row>
    <row r="1243" spans="1:7">
      <c r="A1243" s="67">
        <v>578.77</v>
      </c>
      <c r="B1243" s="67">
        <v>596.31420000000003</v>
      </c>
      <c r="C1243" s="67">
        <v>578.33000000000004</v>
      </c>
      <c r="D1243" s="67">
        <v>596.31420000000003</v>
      </c>
      <c r="E1243" s="67">
        <v>5108900</v>
      </c>
      <c r="F1243" s="67" t="s">
        <v>1276</v>
      </c>
      <c r="G1243" s="25">
        <f t="shared" si="19"/>
        <v>-2.94210669475925E-2</v>
      </c>
    </row>
    <row r="1244" spans="1:7">
      <c r="A1244" s="67">
        <v>603.65</v>
      </c>
      <c r="B1244" s="67">
        <v>616.65620000000001</v>
      </c>
      <c r="C1244" s="67">
        <v>602.73</v>
      </c>
      <c r="D1244" s="67">
        <v>615.79999999999995</v>
      </c>
      <c r="E1244" s="67">
        <v>4152187</v>
      </c>
      <c r="F1244" s="67" t="s">
        <v>1277</v>
      </c>
      <c r="G1244" s="25">
        <f t="shared" si="19"/>
        <v>-1.9730431958428052E-2</v>
      </c>
    </row>
    <row r="1245" spans="1:7">
      <c r="A1245" s="67">
        <v>622.71</v>
      </c>
      <c r="B1245" s="67">
        <v>629.03</v>
      </c>
      <c r="C1245" s="67">
        <v>618.22</v>
      </c>
      <c r="D1245" s="67">
        <v>628</v>
      </c>
      <c r="E1245" s="67">
        <v>2809022</v>
      </c>
      <c r="F1245" s="67" t="s">
        <v>1278</v>
      </c>
      <c r="G1245" s="25">
        <f t="shared" si="19"/>
        <v>-8.423566878980826E-3</v>
      </c>
    </row>
    <row r="1246" spans="1:7">
      <c r="A1246" s="67">
        <v>630.84</v>
      </c>
      <c r="B1246" s="67">
        <v>633.81500000000005</v>
      </c>
      <c r="C1246" s="67">
        <v>627.02</v>
      </c>
      <c r="D1246" s="67">
        <v>632.28830000000005</v>
      </c>
      <c r="E1246" s="67">
        <v>2985547</v>
      </c>
      <c r="F1246" s="67" t="s">
        <v>1279</v>
      </c>
      <c r="G1246" s="25">
        <f t="shared" si="19"/>
        <v>-2.2905690331451733E-3</v>
      </c>
    </row>
    <row r="1247" spans="1:7">
      <c r="A1247" s="67">
        <v>626.08000000000004</v>
      </c>
      <c r="B1247" s="67">
        <v>628.94000000000005</v>
      </c>
      <c r="C1247" s="67">
        <v>615.05999999999995</v>
      </c>
      <c r="D1247" s="67">
        <v>624.79</v>
      </c>
      <c r="E1247" s="67">
        <v>5689624</v>
      </c>
      <c r="F1247" s="67" t="s">
        <v>1280</v>
      </c>
      <c r="G1247" s="25">
        <f t="shared" si="19"/>
        <v>2.0646937370958351E-3</v>
      </c>
    </row>
    <row r="1248" spans="1:7">
      <c r="A1248" s="67">
        <v>645.89</v>
      </c>
      <c r="B1248" s="67">
        <v>650.94500000000005</v>
      </c>
      <c r="C1248" s="67">
        <v>640.29999999999995</v>
      </c>
      <c r="D1248" s="67">
        <v>646.87549999999999</v>
      </c>
      <c r="E1248" s="67">
        <v>2449253</v>
      </c>
      <c r="F1248" s="67" t="s">
        <v>1281</v>
      </c>
      <c r="G1248" s="25">
        <f t="shared" si="19"/>
        <v>-1.5234770833026934E-3</v>
      </c>
    </row>
    <row r="1249" spans="1:7">
      <c r="A1249" s="67">
        <v>641.29</v>
      </c>
      <c r="B1249" s="67">
        <v>653.92999999999995</v>
      </c>
      <c r="C1249" s="67">
        <v>633.04999999999995</v>
      </c>
      <c r="D1249" s="67">
        <v>646.03499999999997</v>
      </c>
      <c r="E1249" s="67">
        <v>2637412</v>
      </c>
      <c r="F1249" s="67" t="s">
        <v>1282</v>
      </c>
      <c r="G1249" s="25">
        <f t="shared" si="19"/>
        <v>-7.3448033001307644E-3</v>
      </c>
    </row>
    <row r="1250" spans="1:7">
      <c r="A1250" s="67">
        <v>654.48</v>
      </c>
      <c r="B1250" s="67">
        <v>665</v>
      </c>
      <c r="C1250" s="67">
        <v>652.04</v>
      </c>
      <c r="D1250" s="67">
        <v>663.21</v>
      </c>
      <c r="E1250" s="67">
        <v>3553211</v>
      </c>
      <c r="F1250" s="67" t="s">
        <v>1283</v>
      </c>
      <c r="G1250" s="25">
        <f t="shared" si="19"/>
        <v>-1.3163251458814029E-2</v>
      </c>
    </row>
    <row r="1251" spans="1:7">
      <c r="A1251" s="67">
        <v>665.11</v>
      </c>
      <c r="B1251" s="67">
        <v>666.47</v>
      </c>
      <c r="C1251" s="67">
        <v>654.70500000000004</v>
      </c>
      <c r="D1251" s="67">
        <v>657.53</v>
      </c>
      <c r="E1251" s="67">
        <v>2046113</v>
      </c>
      <c r="F1251" s="67" t="s">
        <v>1284</v>
      </c>
      <c r="G1251" s="25">
        <f t="shared" si="19"/>
        <v>1.152799111827596E-2</v>
      </c>
    </row>
    <row r="1252" spans="1:7">
      <c r="A1252" s="67">
        <v>661.08</v>
      </c>
      <c r="B1252" s="67">
        <v>663.30899999999997</v>
      </c>
      <c r="C1252" s="67">
        <v>650.97500000000002</v>
      </c>
      <c r="D1252" s="67">
        <v>652.31500000000005</v>
      </c>
      <c r="E1252" s="67">
        <v>2009337</v>
      </c>
      <c r="F1252" s="67" t="s">
        <v>1285</v>
      </c>
      <c r="G1252" s="25">
        <f t="shared" si="19"/>
        <v>1.3436759847619717E-2</v>
      </c>
    </row>
    <row r="1253" spans="1:7">
      <c r="A1253" s="67">
        <v>645.01</v>
      </c>
      <c r="B1253" s="67">
        <v>649.58000000000004</v>
      </c>
      <c r="C1253" s="67">
        <v>642.46</v>
      </c>
      <c r="D1253" s="67">
        <v>646</v>
      </c>
      <c r="E1253" s="67">
        <v>2150162</v>
      </c>
      <c r="F1253" s="67" t="s">
        <v>1286</v>
      </c>
      <c r="G1253" s="25">
        <f t="shared" si="19"/>
        <v>-1.5325077399380715E-3</v>
      </c>
    </row>
    <row r="1254" spans="1:7">
      <c r="A1254" s="67">
        <v>645.15</v>
      </c>
      <c r="B1254" s="67">
        <v>663.6</v>
      </c>
      <c r="C1254" s="67">
        <v>640.24</v>
      </c>
      <c r="D1254" s="67">
        <v>663.04</v>
      </c>
      <c r="E1254" s="67">
        <v>2242491</v>
      </c>
      <c r="F1254" s="67" t="s">
        <v>1287</v>
      </c>
      <c r="G1254" s="25">
        <f t="shared" si="19"/>
        <v>-2.6981780888030826E-2</v>
      </c>
    </row>
    <row r="1255" spans="1:7">
      <c r="A1255" s="67">
        <v>658.94</v>
      </c>
      <c r="B1255" s="67">
        <v>668.87</v>
      </c>
      <c r="C1255" s="67">
        <v>658.2</v>
      </c>
      <c r="D1255" s="67">
        <v>666.18</v>
      </c>
      <c r="E1255" s="67">
        <v>1204255</v>
      </c>
      <c r="F1255" s="67" t="s">
        <v>1288</v>
      </c>
      <c r="G1255" s="25">
        <f t="shared" si="19"/>
        <v>-1.0867933591521606E-2</v>
      </c>
    </row>
    <row r="1256" spans="1:7">
      <c r="A1256" s="67">
        <v>661.68</v>
      </c>
      <c r="B1256" s="67">
        <v>667.46</v>
      </c>
      <c r="C1256" s="67">
        <v>659.93</v>
      </c>
      <c r="D1256" s="67">
        <v>664.84</v>
      </c>
      <c r="E1256" s="67">
        <v>1110228</v>
      </c>
      <c r="F1256" s="67" t="s">
        <v>1289</v>
      </c>
      <c r="G1256" s="25">
        <f t="shared" si="19"/>
        <v>-4.7530232837976749E-3</v>
      </c>
    </row>
    <row r="1257" spans="1:7">
      <c r="A1257" s="67">
        <v>663.22</v>
      </c>
      <c r="B1257" s="67">
        <v>664.08</v>
      </c>
      <c r="C1257" s="67">
        <v>657.1</v>
      </c>
      <c r="D1257" s="67">
        <v>660.15</v>
      </c>
      <c r="E1257" s="67">
        <v>1368043</v>
      </c>
      <c r="F1257" s="67" t="s">
        <v>1290</v>
      </c>
      <c r="G1257" s="25">
        <f t="shared" si="19"/>
        <v>4.6504582291904129E-3</v>
      </c>
    </row>
    <row r="1258" spans="1:7">
      <c r="A1258" s="67">
        <v>661.39</v>
      </c>
      <c r="B1258" s="67">
        <v>668.87</v>
      </c>
      <c r="C1258" s="67">
        <v>656.55</v>
      </c>
      <c r="D1258" s="67">
        <v>667.35</v>
      </c>
      <c r="E1258" s="67">
        <v>1382387</v>
      </c>
      <c r="F1258" s="67" t="s">
        <v>1291</v>
      </c>
      <c r="G1258" s="25">
        <f t="shared" si="19"/>
        <v>-8.9308458829699955E-3</v>
      </c>
    </row>
    <row r="1259" spans="1:7">
      <c r="A1259" s="67">
        <v>666.59</v>
      </c>
      <c r="B1259" s="67">
        <v>673.88</v>
      </c>
      <c r="C1259" s="67">
        <v>664.29499999999996</v>
      </c>
      <c r="D1259" s="67">
        <v>664.43</v>
      </c>
      <c r="E1259" s="67">
        <v>1641621</v>
      </c>
      <c r="F1259" s="67" t="s">
        <v>1292</v>
      </c>
      <c r="G1259" s="25">
        <f t="shared" si="19"/>
        <v>3.2509067922883439E-3</v>
      </c>
    </row>
    <row r="1260" spans="1:7">
      <c r="A1260" s="67">
        <v>664.64</v>
      </c>
      <c r="B1260" s="67">
        <v>669.85</v>
      </c>
      <c r="C1260" s="67">
        <v>661.67</v>
      </c>
      <c r="D1260" s="67">
        <v>669.82</v>
      </c>
      <c r="E1260" s="67">
        <v>1403452</v>
      </c>
      <c r="F1260" s="67" t="s">
        <v>1293</v>
      </c>
      <c r="G1260" s="25">
        <f t="shared" si="19"/>
        <v>-7.7334209190529357E-3</v>
      </c>
    </row>
    <row r="1261" spans="1:7">
      <c r="A1261" s="67">
        <v>665.89</v>
      </c>
      <c r="B1261" s="67">
        <v>668.96</v>
      </c>
      <c r="C1261" s="67">
        <v>662</v>
      </c>
      <c r="D1261" s="67">
        <v>664.51</v>
      </c>
      <c r="E1261" s="67">
        <v>1261172</v>
      </c>
      <c r="F1261" s="67" t="s">
        <v>1294</v>
      </c>
      <c r="G1261" s="25">
        <f t="shared" si="19"/>
        <v>2.0767181833230008E-3</v>
      </c>
    </row>
    <row r="1262" spans="1:7">
      <c r="A1262" s="67">
        <v>663.7</v>
      </c>
      <c r="B1262" s="67">
        <v>667.9</v>
      </c>
      <c r="C1262" s="67">
        <v>660.46</v>
      </c>
      <c r="D1262" s="67">
        <v>667.9</v>
      </c>
      <c r="E1262" s="67">
        <v>1877807</v>
      </c>
      <c r="F1262" s="67" t="s">
        <v>1295</v>
      </c>
      <c r="G1262" s="25">
        <f t="shared" si="19"/>
        <v>-6.2883665219343188E-3</v>
      </c>
    </row>
    <row r="1263" spans="1:7">
      <c r="A1263" s="67">
        <v>665.99</v>
      </c>
      <c r="B1263" s="67">
        <v>667.67</v>
      </c>
      <c r="C1263" s="67">
        <v>659.77739999999994</v>
      </c>
      <c r="D1263" s="67">
        <v>659.77739999999994</v>
      </c>
      <c r="E1263" s="67">
        <v>1341472</v>
      </c>
      <c r="F1263" s="67" t="s">
        <v>1296</v>
      </c>
      <c r="G1263" s="25">
        <f t="shared" si="19"/>
        <v>9.4162061325533397E-3</v>
      </c>
    </row>
    <row r="1264" spans="1:7">
      <c r="A1264" s="67">
        <v>658.52</v>
      </c>
      <c r="B1264" s="67">
        <v>662.61</v>
      </c>
      <c r="C1264" s="67">
        <v>651.86</v>
      </c>
      <c r="D1264" s="67">
        <v>652.52</v>
      </c>
      <c r="E1264" s="67">
        <v>1142619</v>
      </c>
      <c r="F1264" s="67" t="s">
        <v>1297</v>
      </c>
      <c r="G1264" s="25">
        <f t="shared" si="19"/>
        <v>9.1951204560780653E-3</v>
      </c>
    </row>
    <row r="1265" spans="1:7">
      <c r="A1265" s="67">
        <v>652.39</v>
      </c>
      <c r="B1265" s="67">
        <v>657.91</v>
      </c>
      <c r="C1265" s="67">
        <v>649.35</v>
      </c>
      <c r="D1265" s="67">
        <v>653.59</v>
      </c>
      <c r="E1265" s="67">
        <v>1619386</v>
      </c>
      <c r="F1265" s="67" t="s">
        <v>1298</v>
      </c>
      <c r="G1265" s="25">
        <f t="shared" si="19"/>
        <v>-1.8360134028979624E-3</v>
      </c>
    </row>
    <row r="1266" spans="1:7">
      <c r="A1266" s="67">
        <v>656.8</v>
      </c>
      <c r="B1266" s="67">
        <v>661.06</v>
      </c>
      <c r="C1266" s="67">
        <v>651.64</v>
      </c>
      <c r="D1266" s="67">
        <v>658.61</v>
      </c>
      <c r="E1266" s="67">
        <v>1048207</v>
      </c>
      <c r="F1266" s="67" t="s">
        <v>1299</v>
      </c>
      <c r="G1266" s="25">
        <f t="shared" si="19"/>
        <v>-2.7482121437574225E-3</v>
      </c>
    </row>
    <row r="1267" spans="1:7">
      <c r="A1267" s="67">
        <v>657.24</v>
      </c>
      <c r="B1267" s="67">
        <v>660</v>
      </c>
      <c r="C1267" s="67">
        <v>653.4</v>
      </c>
      <c r="D1267" s="67">
        <v>659.14</v>
      </c>
      <c r="E1267" s="67">
        <v>866488</v>
      </c>
      <c r="F1267" s="67" t="s">
        <v>1300</v>
      </c>
      <c r="G1267" s="25">
        <f t="shared" si="19"/>
        <v>-2.8825439208665093E-3</v>
      </c>
    </row>
    <row r="1268" spans="1:7">
      <c r="A1268" s="67">
        <v>656.86</v>
      </c>
      <c r="B1268" s="67">
        <v>658.5</v>
      </c>
      <c r="C1268" s="67">
        <v>645.52</v>
      </c>
      <c r="D1268" s="67">
        <v>645.87</v>
      </c>
      <c r="E1268" s="67">
        <v>1652444</v>
      </c>
      <c r="F1268" s="67" t="s">
        <v>1301</v>
      </c>
      <c r="G1268" s="25">
        <f t="shared" si="19"/>
        <v>1.7015808134763999E-2</v>
      </c>
    </row>
    <row r="1269" spans="1:7">
      <c r="A1269" s="67">
        <v>647.34</v>
      </c>
      <c r="B1269" s="67">
        <v>652</v>
      </c>
      <c r="C1269" s="67">
        <v>634.53</v>
      </c>
      <c r="D1269" s="67">
        <v>639.84</v>
      </c>
      <c r="E1269" s="67">
        <v>1434000</v>
      </c>
      <c r="F1269" s="67" t="s">
        <v>1302</v>
      </c>
      <c r="G1269" s="25">
        <f t="shared" ref="G1269:G1332" si="20">A1269/D1269-1</f>
        <v>1.1721680420105018E-2</v>
      </c>
    </row>
    <row r="1270" spans="1:7">
      <c r="A1270" s="67">
        <v>637.66</v>
      </c>
      <c r="B1270" s="67">
        <v>642.54999999999995</v>
      </c>
      <c r="C1270" s="67">
        <v>623.63340000000005</v>
      </c>
      <c r="D1270" s="67">
        <v>624.88</v>
      </c>
      <c r="E1270" s="67">
        <v>1693879</v>
      </c>
      <c r="F1270" s="67" t="s">
        <v>1303</v>
      </c>
      <c r="G1270" s="25">
        <f t="shared" si="20"/>
        <v>2.0451926769939677E-2</v>
      </c>
    </row>
    <row r="1271" spans="1:7">
      <c r="A1271" s="67">
        <v>626.77</v>
      </c>
      <c r="B1271" s="67">
        <v>637.14</v>
      </c>
      <c r="C1271" s="67">
        <v>626.04999999999995</v>
      </c>
      <c r="D1271" s="67">
        <v>632.79999999999995</v>
      </c>
      <c r="E1271" s="67">
        <v>1386502</v>
      </c>
      <c r="F1271" s="67" t="s">
        <v>1304</v>
      </c>
      <c r="G1271" s="25">
        <f t="shared" si="20"/>
        <v>-9.5290771175726707E-3</v>
      </c>
    </row>
    <row r="1272" spans="1:7">
      <c r="A1272" s="67">
        <v>635.01</v>
      </c>
      <c r="B1272" s="67">
        <v>637</v>
      </c>
      <c r="C1272" s="67">
        <v>630.22</v>
      </c>
      <c r="D1272" s="67">
        <v>636.54999999999995</v>
      </c>
      <c r="E1272" s="67">
        <v>1346430</v>
      </c>
      <c r="F1272" s="67" t="s">
        <v>1305</v>
      </c>
      <c r="G1272" s="25">
        <f t="shared" si="20"/>
        <v>-2.4192914932055221E-3</v>
      </c>
    </row>
    <row r="1273" spans="1:7">
      <c r="A1273" s="67">
        <v>636.94000000000005</v>
      </c>
      <c r="B1273" s="67">
        <v>638.02</v>
      </c>
      <c r="C1273" s="67">
        <v>628.18799999999999</v>
      </c>
      <c r="D1273" s="67">
        <v>637.03</v>
      </c>
      <c r="E1273" s="67">
        <v>1105563</v>
      </c>
      <c r="F1273" s="67" t="s">
        <v>1306</v>
      </c>
      <c r="G1273" s="25">
        <f t="shared" si="20"/>
        <v>-1.4128063042539996E-4</v>
      </c>
    </row>
    <row r="1274" spans="1:7">
      <c r="A1274" s="67">
        <v>637.30999999999995</v>
      </c>
      <c r="B1274" s="67">
        <v>638.42600000000004</v>
      </c>
      <c r="C1274" s="67">
        <v>632.35</v>
      </c>
      <c r="D1274" s="67">
        <v>634.49</v>
      </c>
      <c r="E1274" s="67">
        <v>932829</v>
      </c>
      <c r="F1274" s="67" t="s">
        <v>1307</v>
      </c>
      <c r="G1274" s="25">
        <f t="shared" si="20"/>
        <v>4.4445144919540436E-3</v>
      </c>
    </row>
    <row r="1275" spans="1:7">
      <c r="A1275" s="67">
        <v>634.35</v>
      </c>
      <c r="B1275" s="67">
        <v>636.64</v>
      </c>
      <c r="C1275" s="67">
        <v>624.04</v>
      </c>
      <c r="D1275" s="67">
        <v>626</v>
      </c>
      <c r="E1275" s="67">
        <v>1163881</v>
      </c>
      <c r="F1275" s="67" t="s">
        <v>1308</v>
      </c>
      <c r="G1275" s="25">
        <f t="shared" si="20"/>
        <v>1.3338658146964999E-2</v>
      </c>
    </row>
    <row r="1276" spans="1:7">
      <c r="A1276" s="67">
        <v>626.03</v>
      </c>
      <c r="B1276" s="67">
        <v>627.41999999999996</v>
      </c>
      <c r="C1276" s="67">
        <v>621.65</v>
      </c>
      <c r="D1276" s="67">
        <v>623.76</v>
      </c>
      <c r="E1276" s="67">
        <v>1328509</v>
      </c>
      <c r="F1276" s="67" t="s">
        <v>1309</v>
      </c>
      <c r="G1276" s="25">
        <f t="shared" si="20"/>
        <v>3.6392202129023055E-3</v>
      </c>
    </row>
    <row r="1277" spans="1:7">
      <c r="A1277" s="67">
        <v>621.74</v>
      </c>
      <c r="B1277" s="67">
        <v>633.29989999999998</v>
      </c>
      <c r="C1277" s="67">
        <v>620.6</v>
      </c>
      <c r="D1277" s="67">
        <v>630.48</v>
      </c>
      <c r="E1277" s="67">
        <v>1540139</v>
      </c>
      <c r="F1277" s="67" t="s">
        <v>1310</v>
      </c>
      <c r="G1277" s="25">
        <f t="shared" si="20"/>
        <v>-1.3862454003299107E-2</v>
      </c>
    </row>
    <row r="1278" spans="1:7">
      <c r="A1278" s="67">
        <v>629.22</v>
      </c>
      <c r="B1278" s="67">
        <v>634.98</v>
      </c>
      <c r="C1278" s="67">
        <v>626.92499999999995</v>
      </c>
      <c r="D1278" s="67">
        <v>634.98</v>
      </c>
      <c r="E1278" s="67">
        <v>1119124</v>
      </c>
      <c r="F1278" s="67" t="s">
        <v>1311</v>
      </c>
      <c r="G1278" s="25">
        <f t="shared" si="20"/>
        <v>-9.0711518473022279E-3</v>
      </c>
    </row>
    <row r="1279" spans="1:7">
      <c r="A1279" s="67">
        <v>631.38</v>
      </c>
      <c r="B1279" s="67">
        <v>631.84</v>
      </c>
      <c r="C1279" s="67">
        <v>625.16999999999996</v>
      </c>
      <c r="D1279" s="67">
        <v>629.27</v>
      </c>
      <c r="E1279" s="67">
        <v>1127956</v>
      </c>
      <c r="F1279" s="67" t="s">
        <v>1312</v>
      </c>
      <c r="G1279" s="25">
        <f t="shared" si="20"/>
        <v>3.3530916776582931E-3</v>
      </c>
    </row>
    <row r="1280" spans="1:7">
      <c r="A1280" s="67">
        <v>632.08000000000004</v>
      </c>
      <c r="B1280" s="67">
        <v>632.47</v>
      </c>
      <c r="C1280" s="67">
        <v>623</v>
      </c>
      <c r="D1280" s="67">
        <v>626.99</v>
      </c>
      <c r="E1280" s="67">
        <v>1158339</v>
      </c>
      <c r="F1280" s="67" t="s">
        <v>1313</v>
      </c>
      <c r="G1280" s="25">
        <f t="shared" si="20"/>
        <v>8.118151804654028E-3</v>
      </c>
    </row>
    <row r="1281" spans="1:7">
      <c r="A1281" s="67">
        <v>625.67999999999995</v>
      </c>
      <c r="B1281" s="67">
        <v>627.08000000000004</v>
      </c>
      <c r="C1281" s="67">
        <v>617.62019999999995</v>
      </c>
      <c r="D1281" s="67">
        <v>622.47</v>
      </c>
      <c r="E1281" s="67">
        <v>1306893</v>
      </c>
      <c r="F1281" s="67" t="s">
        <v>1314</v>
      </c>
      <c r="G1281" s="25">
        <f t="shared" si="20"/>
        <v>5.1568750301218547E-3</v>
      </c>
    </row>
    <row r="1282" spans="1:7">
      <c r="A1282" s="67">
        <v>621.28</v>
      </c>
      <c r="B1282" s="67">
        <v>624.70000000000005</v>
      </c>
      <c r="C1282" s="67">
        <v>614</v>
      </c>
      <c r="D1282" s="67">
        <v>620.23</v>
      </c>
      <c r="E1282" s="67">
        <v>1067408</v>
      </c>
      <c r="F1282" s="67" t="s">
        <v>1315</v>
      </c>
      <c r="G1282" s="25">
        <f t="shared" si="20"/>
        <v>1.6929203682503058E-3</v>
      </c>
    </row>
    <row r="1283" spans="1:7">
      <c r="A1283" s="67">
        <v>618.75</v>
      </c>
      <c r="B1283" s="67">
        <v>627.6</v>
      </c>
      <c r="C1283" s="67">
        <v>612.92999999999995</v>
      </c>
      <c r="D1283" s="67">
        <v>625.87</v>
      </c>
      <c r="E1283" s="67">
        <v>1467043</v>
      </c>
      <c r="F1283" s="67" t="s">
        <v>1316</v>
      </c>
      <c r="G1283" s="25">
        <f t="shared" si="20"/>
        <v>-1.1376164379184206E-2</v>
      </c>
    </row>
    <row r="1284" spans="1:7">
      <c r="A1284" s="67">
        <v>621.63</v>
      </c>
      <c r="B1284" s="67">
        <v>622.79999999999995</v>
      </c>
      <c r="C1284" s="67">
        <v>617.29</v>
      </c>
      <c r="D1284" s="67">
        <v>619.03</v>
      </c>
      <c r="E1284" s="67">
        <v>1403651</v>
      </c>
      <c r="F1284" s="67" t="s">
        <v>1317</v>
      </c>
      <c r="G1284" s="25">
        <f t="shared" si="20"/>
        <v>4.2001195418639448E-3</v>
      </c>
    </row>
    <row r="1285" spans="1:7">
      <c r="A1285" s="67">
        <v>621.70000000000005</v>
      </c>
      <c r="B1285" s="67">
        <v>625.66999999999996</v>
      </c>
      <c r="C1285" s="67">
        <v>617.04</v>
      </c>
      <c r="D1285" s="67">
        <v>617.04</v>
      </c>
      <c r="E1285" s="67">
        <v>1068902</v>
      </c>
      <c r="F1285" s="67" t="s">
        <v>1318</v>
      </c>
      <c r="G1285" s="25">
        <f t="shared" si="20"/>
        <v>7.5521846233632672E-3</v>
      </c>
    </row>
    <row r="1286" spans="1:7">
      <c r="A1286" s="67">
        <v>620.91999999999996</v>
      </c>
      <c r="B1286" s="67">
        <v>626</v>
      </c>
      <c r="C1286" s="67">
        <v>617.57000000000005</v>
      </c>
      <c r="D1286" s="67">
        <v>620.99</v>
      </c>
      <c r="E1286" s="67">
        <v>1468103</v>
      </c>
      <c r="F1286" s="67" t="s">
        <v>1319</v>
      </c>
      <c r="G1286" s="25">
        <f t="shared" si="20"/>
        <v>-1.1272323225819392E-4</v>
      </c>
    </row>
    <row r="1287" spans="1:7">
      <c r="A1287" s="67">
        <v>618.28</v>
      </c>
      <c r="B1287" s="67">
        <v>623.91999999999996</v>
      </c>
      <c r="C1287" s="67">
        <v>610.64</v>
      </c>
      <c r="D1287" s="67">
        <v>620.99559999999997</v>
      </c>
      <c r="E1287" s="67">
        <v>1540250</v>
      </c>
      <c r="F1287" s="67" t="s">
        <v>1320</v>
      </c>
      <c r="G1287" s="25">
        <f t="shared" si="20"/>
        <v>-4.3729778439653977E-3</v>
      </c>
    </row>
    <row r="1288" spans="1:7">
      <c r="A1288" s="67">
        <v>620.79999999999995</v>
      </c>
      <c r="B1288" s="67">
        <v>625.87</v>
      </c>
      <c r="C1288" s="67">
        <v>619.72500000000002</v>
      </c>
      <c r="D1288" s="67">
        <v>624.17999999999995</v>
      </c>
      <c r="E1288" s="67">
        <v>1389898</v>
      </c>
      <c r="F1288" s="67" t="s">
        <v>1321</v>
      </c>
      <c r="G1288" s="25">
        <f t="shared" si="20"/>
        <v>-5.4151046172578043E-3</v>
      </c>
    </row>
    <row r="1289" spans="1:7">
      <c r="A1289" s="67">
        <v>625.87</v>
      </c>
      <c r="B1289" s="67">
        <v>631.64</v>
      </c>
      <c r="C1289" s="67">
        <v>622.00009999999997</v>
      </c>
      <c r="D1289" s="67">
        <v>625.76</v>
      </c>
      <c r="E1289" s="67">
        <v>2030395</v>
      </c>
      <c r="F1289" s="67" t="s">
        <v>1322</v>
      </c>
      <c r="G1289" s="25">
        <f t="shared" si="20"/>
        <v>1.7578624392733389E-4</v>
      </c>
    </row>
    <row r="1290" spans="1:7">
      <c r="A1290" s="67">
        <v>623.67999999999995</v>
      </c>
      <c r="B1290" s="67">
        <v>623.95000000000005</v>
      </c>
      <c r="C1290" s="67">
        <v>614.58000000000004</v>
      </c>
      <c r="D1290" s="67">
        <v>614.58000000000004</v>
      </c>
      <c r="E1290" s="67">
        <v>1477891</v>
      </c>
      <c r="F1290" s="67" t="s">
        <v>1323</v>
      </c>
      <c r="G1290" s="25">
        <f t="shared" si="20"/>
        <v>1.480685996940978E-2</v>
      </c>
    </row>
    <row r="1291" spans="1:7">
      <c r="A1291" s="67">
        <v>612.26</v>
      </c>
      <c r="B1291" s="67">
        <v>612.58000000000004</v>
      </c>
      <c r="C1291" s="67">
        <v>603.32000000000005</v>
      </c>
      <c r="D1291" s="67">
        <v>605.72</v>
      </c>
      <c r="E1291" s="67">
        <v>1381019</v>
      </c>
      <c r="F1291" s="67" t="s">
        <v>1324</v>
      </c>
      <c r="G1291" s="25">
        <f t="shared" si="20"/>
        <v>1.0797067952189154E-2</v>
      </c>
    </row>
    <row r="1292" spans="1:7">
      <c r="A1292" s="67">
        <v>608.72</v>
      </c>
      <c r="B1292" s="67">
        <v>612.75</v>
      </c>
      <c r="C1292" s="67">
        <v>598.48</v>
      </c>
      <c r="D1292" s="67">
        <v>605.39</v>
      </c>
      <c r="E1292" s="67">
        <v>1675926</v>
      </c>
      <c r="F1292" s="67" t="s">
        <v>1325</v>
      </c>
      <c r="G1292" s="25">
        <f t="shared" si="20"/>
        <v>5.5005863988504267E-3</v>
      </c>
    </row>
    <row r="1293" spans="1:7">
      <c r="A1293" s="67">
        <v>602.04999999999995</v>
      </c>
      <c r="B1293" s="67">
        <v>610.69000000000005</v>
      </c>
      <c r="C1293" s="67">
        <v>598.14</v>
      </c>
      <c r="D1293" s="67">
        <v>602.75</v>
      </c>
      <c r="E1293" s="67">
        <v>2046575</v>
      </c>
      <c r="F1293" s="67" t="s">
        <v>1326</v>
      </c>
      <c r="G1293" s="25">
        <f t="shared" si="20"/>
        <v>-1.161343840730078E-3</v>
      </c>
    </row>
    <row r="1294" spans="1:7">
      <c r="A1294" s="67">
        <v>606.1</v>
      </c>
      <c r="B1294" s="67">
        <v>611.62</v>
      </c>
      <c r="C1294" s="67">
        <v>603.66</v>
      </c>
      <c r="D1294" s="67">
        <v>608.71</v>
      </c>
      <c r="E1294" s="67">
        <v>1249738</v>
      </c>
      <c r="F1294" s="67" t="s">
        <v>1327</v>
      </c>
      <c r="G1294" s="25">
        <f t="shared" si="20"/>
        <v>-4.2877560743210807E-3</v>
      </c>
    </row>
    <row r="1295" spans="1:7">
      <c r="A1295" s="67">
        <v>606.16999999999996</v>
      </c>
      <c r="B1295" s="67">
        <v>609.95000000000005</v>
      </c>
      <c r="C1295" s="67">
        <v>602.65009999999995</v>
      </c>
      <c r="D1295" s="67">
        <v>608.4</v>
      </c>
      <c r="E1295" s="67">
        <v>1618283</v>
      </c>
      <c r="F1295" s="67" t="s">
        <v>1328</v>
      </c>
      <c r="G1295" s="25">
        <f t="shared" si="20"/>
        <v>-3.6653517422748916E-3</v>
      </c>
    </row>
    <row r="1296" spans="1:7">
      <c r="A1296" s="67">
        <v>608.83000000000004</v>
      </c>
      <c r="B1296" s="67">
        <v>611.30499999999995</v>
      </c>
      <c r="C1296" s="67">
        <v>604.01</v>
      </c>
      <c r="D1296" s="67">
        <v>608.14</v>
      </c>
      <c r="E1296" s="67">
        <v>1377018</v>
      </c>
      <c r="F1296" s="67" t="s">
        <v>1329</v>
      </c>
      <c r="G1296" s="25">
        <f t="shared" si="20"/>
        <v>1.1346071628244303E-3</v>
      </c>
    </row>
    <row r="1297" spans="1:7">
      <c r="A1297" s="67">
        <v>605.01</v>
      </c>
      <c r="B1297" s="67">
        <v>609.33000000000004</v>
      </c>
      <c r="C1297" s="67">
        <v>598.41999999999996</v>
      </c>
      <c r="D1297" s="67">
        <v>600.55999999999995</v>
      </c>
      <c r="E1297" s="67">
        <v>1435602</v>
      </c>
      <c r="F1297" s="67" t="s">
        <v>1330</v>
      </c>
      <c r="G1297" s="25">
        <f t="shared" si="20"/>
        <v>7.4097508991608496E-3</v>
      </c>
    </row>
    <row r="1298" spans="1:7">
      <c r="A1298" s="67">
        <v>600.20000000000005</v>
      </c>
      <c r="B1298" s="67">
        <v>607.42290000000003</v>
      </c>
      <c r="C1298" s="67">
        <v>596.48</v>
      </c>
      <c r="D1298" s="67">
        <v>606</v>
      </c>
      <c r="E1298" s="67">
        <v>1696279</v>
      </c>
      <c r="F1298" s="67" t="s">
        <v>1331</v>
      </c>
      <c r="G1298" s="25">
        <f t="shared" si="20"/>
        <v>-9.5709570957095425E-3</v>
      </c>
    </row>
    <row r="1299" spans="1:7">
      <c r="A1299" s="67">
        <v>604.5</v>
      </c>
      <c r="B1299" s="67">
        <v>605.95000000000005</v>
      </c>
      <c r="C1299" s="67">
        <v>597.44000000000005</v>
      </c>
      <c r="D1299" s="67">
        <v>601.42999999999995</v>
      </c>
      <c r="E1299" s="67">
        <v>2145199</v>
      </c>
      <c r="F1299" s="67" t="s">
        <v>1332</v>
      </c>
      <c r="G1299" s="25">
        <f t="shared" si="20"/>
        <v>5.1045009394277141E-3</v>
      </c>
    </row>
    <row r="1300" spans="1:7">
      <c r="A1300" s="67">
        <v>605.95000000000005</v>
      </c>
      <c r="B1300" s="67">
        <v>607.2989</v>
      </c>
      <c r="C1300" s="67">
        <v>593.33000000000004</v>
      </c>
      <c r="D1300" s="67">
        <v>595.64</v>
      </c>
      <c r="E1300" s="67">
        <v>1846617</v>
      </c>
      <c r="F1300" s="67" t="s">
        <v>1333</v>
      </c>
      <c r="G1300" s="25">
        <f t="shared" si="20"/>
        <v>1.7309112886978895E-2</v>
      </c>
    </row>
    <row r="1301" spans="1:7">
      <c r="A1301" s="67">
        <v>605.77</v>
      </c>
      <c r="B1301" s="67">
        <v>607.66499999999996</v>
      </c>
      <c r="C1301" s="67">
        <v>597.4</v>
      </c>
      <c r="D1301" s="67">
        <v>600</v>
      </c>
      <c r="E1301" s="67">
        <v>2022482</v>
      </c>
      <c r="F1301" s="67" t="s">
        <v>1334</v>
      </c>
      <c r="G1301" s="25">
        <f t="shared" si="20"/>
        <v>9.6166666666666067E-3</v>
      </c>
    </row>
    <row r="1302" spans="1:7">
      <c r="A1302" s="67">
        <v>596.9</v>
      </c>
      <c r="B1302" s="67">
        <v>600.66</v>
      </c>
      <c r="C1302" s="67">
        <v>592.48</v>
      </c>
      <c r="D1302" s="67">
        <v>595.87</v>
      </c>
      <c r="E1302" s="67">
        <v>1657567</v>
      </c>
      <c r="F1302" s="67" t="s">
        <v>1335</v>
      </c>
      <c r="G1302" s="25">
        <f t="shared" si="20"/>
        <v>1.728564955443268E-3</v>
      </c>
    </row>
    <row r="1303" spans="1:7">
      <c r="A1303" s="67">
        <v>593.07000000000005</v>
      </c>
      <c r="B1303" s="67">
        <v>594.08000000000004</v>
      </c>
      <c r="C1303" s="67">
        <v>587.96</v>
      </c>
      <c r="D1303" s="67">
        <v>588.66999999999996</v>
      </c>
      <c r="E1303" s="67">
        <v>1744955</v>
      </c>
      <c r="F1303" s="67" t="s">
        <v>1336</v>
      </c>
      <c r="G1303" s="25">
        <f t="shared" si="20"/>
        <v>7.4744763619687404E-3</v>
      </c>
    </row>
    <row r="1304" spans="1:7">
      <c r="A1304" s="67">
        <v>584.73</v>
      </c>
      <c r="B1304" s="67">
        <v>587.7799</v>
      </c>
      <c r="C1304" s="67">
        <v>581.35</v>
      </c>
      <c r="D1304" s="67">
        <v>583.33000000000004</v>
      </c>
      <c r="E1304" s="67">
        <v>1646412</v>
      </c>
      <c r="F1304" s="67" t="s">
        <v>1337</v>
      </c>
      <c r="G1304" s="25">
        <f t="shared" si="20"/>
        <v>2.4000137143640465E-3</v>
      </c>
    </row>
    <row r="1305" spans="1:7">
      <c r="A1305" s="67">
        <v>585.64</v>
      </c>
      <c r="B1305" s="67">
        <v>592.24019999999996</v>
      </c>
      <c r="C1305" s="67">
        <v>585</v>
      </c>
      <c r="D1305" s="67">
        <v>590.75</v>
      </c>
      <c r="E1305" s="67">
        <v>1704224</v>
      </c>
      <c r="F1305" s="67" t="s">
        <v>1338</v>
      </c>
      <c r="G1305" s="25">
        <f t="shared" si="20"/>
        <v>-8.6500211595429422E-3</v>
      </c>
    </row>
    <row r="1306" spans="1:7">
      <c r="A1306" s="67">
        <v>590.75</v>
      </c>
      <c r="B1306" s="67">
        <v>591.34</v>
      </c>
      <c r="C1306" s="67">
        <v>583.9</v>
      </c>
      <c r="D1306" s="67">
        <v>586.78</v>
      </c>
      <c r="E1306" s="67">
        <v>1204806</v>
      </c>
      <c r="F1306" s="67" t="s">
        <v>1339</v>
      </c>
      <c r="G1306" s="25">
        <f t="shared" si="20"/>
        <v>6.7657384368928764E-3</v>
      </c>
    </row>
    <row r="1307" spans="1:7">
      <c r="A1307" s="67">
        <v>588.79999999999995</v>
      </c>
      <c r="B1307" s="67">
        <v>589.41</v>
      </c>
      <c r="C1307" s="67">
        <v>581</v>
      </c>
      <c r="D1307" s="67">
        <v>582.71</v>
      </c>
      <c r="E1307" s="67">
        <v>1713970</v>
      </c>
      <c r="F1307" s="67" t="s">
        <v>1340</v>
      </c>
      <c r="G1307" s="25">
        <f t="shared" si="20"/>
        <v>1.0451167819326868E-2</v>
      </c>
    </row>
    <row r="1308" spans="1:7">
      <c r="A1308" s="67">
        <v>579.66</v>
      </c>
      <c r="B1308" s="67">
        <v>582</v>
      </c>
      <c r="C1308" s="67">
        <v>577.05520000000001</v>
      </c>
      <c r="D1308" s="67">
        <v>578.64</v>
      </c>
      <c r="E1308" s="67">
        <v>2133465</v>
      </c>
      <c r="F1308" s="67" t="s">
        <v>1341</v>
      </c>
      <c r="G1308" s="25">
        <f t="shared" si="20"/>
        <v>1.7627540439650868E-3</v>
      </c>
    </row>
    <row r="1309" spans="1:7">
      <c r="A1309" s="67">
        <v>578.26</v>
      </c>
      <c r="B1309" s="67">
        <v>580.96600000000001</v>
      </c>
      <c r="C1309" s="67">
        <v>574.96</v>
      </c>
      <c r="D1309" s="67">
        <v>575.9</v>
      </c>
      <c r="E1309" s="67">
        <v>1835008</v>
      </c>
      <c r="F1309" s="67" t="s">
        <v>1342</v>
      </c>
      <c r="G1309" s="25">
        <f t="shared" si="20"/>
        <v>4.0979336690398771E-3</v>
      </c>
    </row>
    <row r="1310" spans="1:7">
      <c r="A1310" s="67">
        <v>574.23</v>
      </c>
      <c r="B1310" s="67">
        <v>579.79999999999995</v>
      </c>
      <c r="C1310" s="67">
        <v>570.70500000000004</v>
      </c>
      <c r="D1310" s="67">
        <v>577.99</v>
      </c>
      <c r="E1310" s="67">
        <v>1616933</v>
      </c>
      <c r="F1310" s="67" t="s">
        <v>1343</v>
      </c>
      <c r="G1310" s="25">
        <f t="shared" si="20"/>
        <v>-6.5053028599110219E-3</v>
      </c>
    </row>
    <row r="1311" spans="1:7">
      <c r="A1311" s="67">
        <v>575.74</v>
      </c>
      <c r="B1311" s="67">
        <v>576.30999999999995</v>
      </c>
      <c r="C1311" s="67">
        <v>567</v>
      </c>
      <c r="D1311" s="67">
        <v>568.505</v>
      </c>
      <c r="E1311" s="67">
        <v>2370737</v>
      </c>
      <c r="F1311" s="67" t="s">
        <v>1344</v>
      </c>
      <c r="G1311" s="25">
        <f t="shared" si="20"/>
        <v>1.272636124572335E-2</v>
      </c>
    </row>
    <row r="1312" spans="1:7">
      <c r="A1312" s="67">
        <v>567.35</v>
      </c>
      <c r="B1312" s="67">
        <v>570.19000000000005</v>
      </c>
      <c r="C1312" s="67">
        <v>560.3501</v>
      </c>
      <c r="D1312" s="67">
        <v>565.99</v>
      </c>
      <c r="E1312" s="67">
        <v>2625919</v>
      </c>
      <c r="F1312" s="67" t="s">
        <v>1345</v>
      </c>
      <c r="G1312" s="25">
        <f t="shared" si="20"/>
        <v>2.4028693086450836E-3</v>
      </c>
    </row>
    <row r="1313" spans="1:7">
      <c r="A1313" s="67">
        <v>565.59</v>
      </c>
      <c r="B1313" s="67">
        <v>570</v>
      </c>
      <c r="C1313" s="67">
        <v>556.39</v>
      </c>
      <c r="D1313" s="67">
        <v>569.96119999999996</v>
      </c>
      <c r="E1313" s="67">
        <v>6762031</v>
      </c>
      <c r="F1313" s="67" t="s">
        <v>1346</v>
      </c>
      <c r="G1313" s="25">
        <f t="shared" si="20"/>
        <v>-7.6692939800111493E-3</v>
      </c>
    </row>
    <row r="1314" spans="1:7">
      <c r="A1314" s="67">
        <v>551.36</v>
      </c>
      <c r="B1314" s="67">
        <v>552.72</v>
      </c>
      <c r="C1314" s="67">
        <v>538.75</v>
      </c>
      <c r="D1314" s="67">
        <v>539.99</v>
      </c>
      <c r="E1314" s="67">
        <v>3566351</v>
      </c>
      <c r="F1314" s="67" t="s">
        <v>1347</v>
      </c>
      <c r="G1314" s="25">
        <f t="shared" si="20"/>
        <v>2.105594548047196E-2</v>
      </c>
    </row>
    <row r="1315" spans="1:7">
      <c r="A1315" s="67">
        <v>543.33000000000004</v>
      </c>
      <c r="B1315" s="67">
        <v>553.99</v>
      </c>
      <c r="C1315" s="67">
        <v>535.72</v>
      </c>
      <c r="D1315" s="67">
        <v>548.46</v>
      </c>
      <c r="E1315" s="67">
        <v>2842016</v>
      </c>
      <c r="F1315" s="67" t="s">
        <v>1348</v>
      </c>
      <c r="G1315" s="25">
        <f t="shared" si="20"/>
        <v>-9.3534624220544815E-3</v>
      </c>
    </row>
    <row r="1316" spans="1:7">
      <c r="A1316" s="67">
        <v>548.46</v>
      </c>
      <c r="B1316" s="67">
        <v>555</v>
      </c>
      <c r="C1316" s="67">
        <v>547.23040000000003</v>
      </c>
      <c r="D1316" s="67">
        <v>554.99</v>
      </c>
      <c r="E1316" s="67">
        <v>2424774</v>
      </c>
      <c r="F1316" s="67" t="s">
        <v>1349</v>
      </c>
      <c r="G1316" s="25">
        <f t="shared" si="20"/>
        <v>-1.1765977765365143E-2</v>
      </c>
    </row>
    <row r="1317" spans="1:7">
      <c r="A1317" s="67">
        <v>556.95000000000005</v>
      </c>
      <c r="B1317" s="67">
        <v>561.36</v>
      </c>
      <c r="C1317" s="67">
        <v>543.25</v>
      </c>
      <c r="D1317" s="67">
        <v>545.04</v>
      </c>
      <c r="E1317" s="67">
        <v>3522621</v>
      </c>
      <c r="F1317" s="67" t="s">
        <v>1350</v>
      </c>
      <c r="G1317" s="25">
        <f t="shared" si="20"/>
        <v>2.1851607221488489E-2</v>
      </c>
    </row>
    <row r="1318" spans="1:7">
      <c r="A1318" s="67">
        <v>541.26</v>
      </c>
      <c r="B1318" s="67">
        <v>541.85</v>
      </c>
      <c r="C1318" s="67">
        <v>529.75</v>
      </c>
      <c r="D1318" s="67">
        <v>529.75</v>
      </c>
      <c r="E1318" s="67">
        <v>2871289</v>
      </c>
      <c r="F1318" s="67" t="s">
        <v>1351</v>
      </c>
      <c r="G1318" s="25">
        <f t="shared" si="20"/>
        <v>2.1727229825389216E-2</v>
      </c>
    </row>
    <row r="1319" spans="1:7">
      <c r="A1319" s="67">
        <v>535.52</v>
      </c>
      <c r="B1319" s="67">
        <v>536.41</v>
      </c>
      <c r="C1319" s="67">
        <v>513.01</v>
      </c>
      <c r="D1319" s="67">
        <v>513.99</v>
      </c>
      <c r="E1319" s="67">
        <v>3152379</v>
      </c>
      <c r="F1319" s="67" t="s">
        <v>1352</v>
      </c>
      <c r="G1319" s="25">
        <f t="shared" si="20"/>
        <v>4.1887974474211553E-2</v>
      </c>
    </row>
    <row r="1320" spans="1:7">
      <c r="A1320" s="67">
        <v>514.67999999999995</v>
      </c>
      <c r="B1320" s="67">
        <v>518.31799999999998</v>
      </c>
      <c r="C1320" s="67">
        <v>512.48</v>
      </c>
      <c r="D1320" s="67">
        <v>513.99</v>
      </c>
      <c r="E1320" s="67">
        <v>1702714</v>
      </c>
      <c r="F1320" s="67" t="s">
        <v>1353</v>
      </c>
      <c r="G1320" s="25">
        <f t="shared" si="20"/>
        <v>1.3424385688436402E-3</v>
      </c>
    </row>
    <row r="1321" spans="1:7">
      <c r="A1321" s="67">
        <v>509.2</v>
      </c>
      <c r="B1321" s="67">
        <v>516.29</v>
      </c>
      <c r="C1321" s="67">
        <v>508.07010000000002</v>
      </c>
      <c r="D1321" s="67">
        <v>511.15</v>
      </c>
      <c r="E1321" s="67">
        <v>1747779</v>
      </c>
      <c r="F1321" s="67" t="s">
        <v>1354</v>
      </c>
      <c r="G1321" s="25">
        <f t="shared" si="20"/>
        <v>-3.8149271251100014E-3</v>
      </c>
    </row>
    <row r="1322" spans="1:7">
      <c r="A1322" s="67">
        <v>509.47</v>
      </c>
      <c r="B1322" s="67">
        <v>509.78</v>
      </c>
      <c r="C1322" s="67">
        <v>502</v>
      </c>
      <c r="D1322" s="67">
        <v>504.99</v>
      </c>
      <c r="E1322" s="67">
        <v>1768754</v>
      </c>
      <c r="F1322" s="67" t="s">
        <v>1355</v>
      </c>
      <c r="G1322" s="25">
        <f t="shared" si="20"/>
        <v>8.8714628012436236E-3</v>
      </c>
    </row>
    <row r="1323" spans="1:7">
      <c r="A1323" s="67">
        <v>504.5</v>
      </c>
      <c r="B1323" s="67">
        <v>506.5</v>
      </c>
      <c r="C1323" s="67">
        <v>497.72</v>
      </c>
      <c r="D1323" s="67">
        <v>498.73</v>
      </c>
      <c r="E1323" s="67">
        <v>1644301</v>
      </c>
      <c r="F1323" s="67" t="s">
        <v>1356</v>
      </c>
      <c r="G1323" s="25">
        <f t="shared" si="20"/>
        <v>1.1569386241052193E-2</v>
      </c>
    </row>
    <row r="1324" spans="1:7">
      <c r="A1324" s="67">
        <v>493.14</v>
      </c>
      <c r="B1324" s="67">
        <v>496.755</v>
      </c>
      <c r="C1324" s="67">
        <v>487.34</v>
      </c>
      <c r="D1324" s="67">
        <v>492.4</v>
      </c>
      <c r="E1324" s="67">
        <v>1539128</v>
      </c>
      <c r="F1324" s="67" t="s">
        <v>1357</v>
      </c>
      <c r="G1324" s="25">
        <f t="shared" si="20"/>
        <v>1.5028432168968653E-3</v>
      </c>
    </row>
    <row r="1325" spans="1:7">
      <c r="A1325" s="67">
        <v>495.77</v>
      </c>
      <c r="B1325" s="67">
        <v>501.82369999999997</v>
      </c>
      <c r="C1325" s="67">
        <v>493.09</v>
      </c>
      <c r="D1325" s="67">
        <v>495.18</v>
      </c>
      <c r="E1325" s="67">
        <v>1761478</v>
      </c>
      <c r="F1325" s="67" t="s">
        <v>1358</v>
      </c>
      <c r="G1325" s="25">
        <f t="shared" si="20"/>
        <v>1.1914859243102871E-3</v>
      </c>
    </row>
    <row r="1326" spans="1:7">
      <c r="A1326" s="67">
        <v>495.91</v>
      </c>
      <c r="B1326" s="67">
        <v>506</v>
      </c>
      <c r="C1326" s="67">
        <v>492.31</v>
      </c>
      <c r="D1326" s="67">
        <v>504.54</v>
      </c>
      <c r="E1326" s="67">
        <v>2189020</v>
      </c>
      <c r="F1326" s="67" t="s">
        <v>1359</v>
      </c>
      <c r="G1326" s="25">
        <f t="shared" si="20"/>
        <v>-1.7104689420065822E-2</v>
      </c>
    </row>
    <row r="1327" spans="1:7">
      <c r="A1327" s="67">
        <v>504.58</v>
      </c>
      <c r="B1327" s="67">
        <v>511.37</v>
      </c>
      <c r="C1327" s="67">
        <v>504.19</v>
      </c>
      <c r="D1327" s="67">
        <v>506.08</v>
      </c>
      <c r="E1327" s="67">
        <v>1924999</v>
      </c>
      <c r="F1327" s="67" t="s">
        <v>1360</v>
      </c>
      <c r="G1327" s="25">
        <f t="shared" si="20"/>
        <v>-2.9639582674676479E-3</v>
      </c>
    </row>
    <row r="1328" spans="1:7">
      <c r="A1328" s="67">
        <v>498.28</v>
      </c>
      <c r="B1328" s="67">
        <v>505</v>
      </c>
      <c r="C1328" s="67">
        <v>497.45</v>
      </c>
      <c r="D1328" s="67">
        <v>505</v>
      </c>
      <c r="E1328" s="67">
        <v>2957310</v>
      </c>
      <c r="F1328" s="67" t="s">
        <v>1361</v>
      </c>
      <c r="G1328" s="25">
        <f t="shared" si="20"/>
        <v>-1.3306930693069319E-2</v>
      </c>
    </row>
    <row r="1329" spans="1:7">
      <c r="A1329" s="67">
        <v>506.98</v>
      </c>
      <c r="B1329" s="67">
        <v>509.5</v>
      </c>
      <c r="C1329" s="67">
        <v>504.63</v>
      </c>
      <c r="D1329" s="67">
        <v>506.27</v>
      </c>
      <c r="E1329" s="67">
        <v>1695747</v>
      </c>
      <c r="F1329" s="67" t="s">
        <v>1362</v>
      </c>
      <c r="G1329" s="25">
        <f t="shared" si="20"/>
        <v>1.4024137318031649E-3</v>
      </c>
    </row>
    <row r="1330" spans="1:7">
      <c r="A1330" s="67">
        <v>505.08</v>
      </c>
      <c r="B1330" s="67">
        <v>505.60210000000001</v>
      </c>
      <c r="C1330" s="67">
        <v>498.87</v>
      </c>
      <c r="D1330" s="67">
        <v>499.02</v>
      </c>
      <c r="E1330" s="67">
        <v>2322468</v>
      </c>
      <c r="F1330" s="67" t="s">
        <v>1363</v>
      </c>
      <c r="G1330" s="25">
        <f t="shared" si="20"/>
        <v>1.214380185162911E-2</v>
      </c>
    </row>
    <row r="1331" spans="1:7">
      <c r="A1331" s="67">
        <v>497.83</v>
      </c>
      <c r="B1331" s="67">
        <v>499.99</v>
      </c>
      <c r="C1331" s="67">
        <v>492.01</v>
      </c>
      <c r="D1331" s="67">
        <v>494.64</v>
      </c>
      <c r="E1331" s="67">
        <v>1831564</v>
      </c>
      <c r="F1331" s="67" t="s">
        <v>1364</v>
      </c>
      <c r="G1331" s="25">
        <f t="shared" si="20"/>
        <v>6.4491347242439101E-3</v>
      </c>
    </row>
    <row r="1332" spans="1:7">
      <c r="A1332" s="67">
        <v>488.07</v>
      </c>
      <c r="B1332" s="67">
        <v>496.23</v>
      </c>
      <c r="C1332" s="67">
        <v>487.13</v>
      </c>
      <c r="D1332" s="67">
        <v>494.19</v>
      </c>
      <c r="E1332" s="67">
        <v>1568115</v>
      </c>
      <c r="F1332" s="67" t="s">
        <v>1365</v>
      </c>
      <c r="G1332" s="25">
        <f t="shared" si="20"/>
        <v>-1.2383900928792602E-2</v>
      </c>
    </row>
    <row r="1333" spans="1:7">
      <c r="A1333" s="67">
        <v>491.67</v>
      </c>
      <c r="B1333" s="67">
        <v>495.36</v>
      </c>
      <c r="C1333" s="67">
        <v>482.61</v>
      </c>
      <c r="D1333" s="67">
        <v>483.68</v>
      </c>
      <c r="E1333" s="67">
        <v>1991223</v>
      </c>
      <c r="F1333" s="67" t="s">
        <v>1366</v>
      </c>
      <c r="G1333" s="25">
        <f t="shared" ref="G1333:G1396" si="21">A1333/D1333-1</f>
        <v>1.6519186238835637E-2</v>
      </c>
    </row>
    <row r="1334" spans="1:7">
      <c r="A1334" s="67">
        <v>480.47</v>
      </c>
      <c r="B1334" s="67">
        <v>480.87</v>
      </c>
      <c r="C1334" s="67">
        <v>472</v>
      </c>
      <c r="D1334" s="67">
        <v>473.02</v>
      </c>
      <c r="E1334" s="67">
        <v>2047511</v>
      </c>
      <c r="F1334" s="67" t="s">
        <v>1367</v>
      </c>
      <c r="G1334" s="25">
        <f t="shared" si="21"/>
        <v>1.574986258509159E-2</v>
      </c>
    </row>
    <row r="1335" spans="1:7">
      <c r="A1335" s="67">
        <v>480.62</v>
      </c>
      <c r="B1335" s="67">
        <v>488.32</v>
      </c>
      <c r="C1335" s="67">
        <v>480.46</v>
      </c>
      <c r="D1335" s="67">
        <v>484.63</v>
      </c>
      <c r="E1335" s="67">
        <v>1395237</v>
      </c>
      <c r="F1335" s="67" t="s">
        <v>1368</v>
      </c>
      <c r="G1335" s="25">
        <f t="shared" si="21"/>
        <v>-8.2743536306048027E-3</v>
      </c>
    </row>
    <row r="1336" spans="1:7">
      <c r="A1336" s="67">
        <v>482.74</v>
      </c>
      <c r="B1336" s="67">
        <v>487.87</v>
      </c>
      <c r="C1336" s="67">
        <v>478.11</v>
      </c>
      <c r="D1336" s="67">
        <v>487.03</v>
      </c>
      <c r="E1336" s="67">
        <v>1581037</v>
      </c>
      <c r="F1336" s="67" t="s">
        <v>1369</v>
      </c>
      <c r="G1336" s="25">
        <f t="shared" si="21"/>
        <v>-8.8084922900025786E-3</v>
      </c>
    </row>
    <row r="1337" spans="1:7">
      <c r="A1337" s="67">
        <v>486.56</v>
      </c>
      <c r="B1337" s="67">
        <v>488.33</v>
      </c>
      <c r="C1337" s="67">
        <v>478.69</v>
      </c>
      <c r="D1337" s="67">
        <v>481.63</v>
      </c>
      <c r="E1337" s="67">
        <v>1857198</v>
      </c>
      <c r="F1337" s="67" t="s">
        <v>1370</v>
      </c>
      <c r="G1337" s="25">
        <f t="shared" si="21"/>
        <v>1.023607333430232E-2</v>
      </c>
    </row>
    <row r="1338" spans="1:7">
      <c r="A1338" s="67">
        <v>474.16</v>
      </c>
      <c r="B1338" s="67">
        <v>480.46</v>
      </c>
      <c r="C1338" s="67">
        <v>471.76</v>
      </c>
      <c r="D1338" s="67">
        <v>478.01</v>
      </c>
      <c r="E1338" s="67">
        <v>1996532</v>
      </c>
      <c r="F1338" s="67" t="s">
        <v>1371</v>
      </c>
      <c r="G1338" s="25">
        <f t="shared" si="21"/>
        <v>-8.0542248070123446E-3</v>
      </c>
    </row>
    <row r="1339" spans="1:7">
      <c r="A1339" s="67">
        <v>472.09</v>
      </c>
      <c r="B1339" s="67">
        <v>480.99</v>
      </c>
      <c r="C1339" s="67">
        <v>469.57</v>
      </c>
      <c r="D1339" s="67">
        <v>477.18880000000001</v>
      </c>
      <c r="E1339" s="67">
        <v>2399059</v>
      </c>
      <c r="F1339" s="67" t="s">
        <v>1372</v>
      </c>
      <c r="G1339" s="25">
        <f t="shared" si="21"/>
        <v>-1.0685078945692039E-2</v>
      </c>
    </row>
    <row r="1340" spans="1:7">
      <c r="A1340" s="67">
        <v>485.19</v>
      </c>
      <c r="B1340" s="67">
        <v>486.91</v>
      </c>
      <c r="C1340" s="67">
        <v>468.5</v>
      </c>
      <c r="D1340" s="67">
        <v>471.03</v>
      </c>
      <c r="E1340" s="67">
        <v>2293963</v>
      </c>
      <c r="F1340" s="67" t="s">
        <v>1373</v>
      </c>
      <c r="G1340" s="25">
        <f t="shared" si="21"/>
        <v>3.0061779504490183E-2</v>
      </c>
    </row>
    <row r="1341" spans="1:7">
      <c r="A1341" s="67">
        <v>479.38</v>
      </c>
      <c r="B1341" s="67">
        <v>489.04</v>
      </c>
      <c r="C1341" s="67">
        <v>478.625</v>
      </c>
      <c r="D1341" s="67">
        <v>487.54</v>
      </c>
      <c r="E1341" s="67">
        <v>1970931</v>
      </c>
      <c r="F1341" s="67" t="s">
        <v>1374</v>
      </c>
      <c r="G1341" s="25">
        <f t="shared" si="21"/>
        <v>-1.6737088238913733E-2</v>
      </c>
    </row>
    <row r="1342" spans="1:7">
      <c r="A1342" s="67">
        <v>488.73</v>
      </c>
      <c r="B1342" s="67">
        <v>499.15</v>
      </c>
      <c r="C1342" s="67">
        <v>485.78</v>
      </c>
      <c r="D1342" s="67">
        <v>496</v>
      </c>
      <c r="E1342" s="67">
        <v>1632407</v>
      </c>
      <c r="F1342" s="67" t="s">
        <v>1375</v>
      </c>
      <c r="G1342" s="25">
        <f t="shared" si="21"/>
        <v>-1.4657258064516121E-2</v>
      </c>
    </row>
    <row r="1343" spans="1:7">
      <c r="A1343" s="67">
        <v>483.61</v>
      </c>
      <c r="B1343" s="67">
        <v>485.67</v>
      </c>
      <c r="C1343" s="67">
        <v>475.92</v>
      </c>
      <c r="D1343" s="67">
        <v>485.67</v>
      </c>
      <c r="E1343" s="67">
        <v>2537227</v>
      </c>
      <c r="F1343" s="67" t="s">
        <v>1376</v>
      </c>
      <c r="G1343" s="25">
        <f t="shared" si="21"/>
        <v>-4.2415632013507176E-3</v>
      </c>
    </row>
    <row r="1344" spans="1:7">
      <c r="A1344" s="67">
        <v>486.69</v>
      </c>
      <c r="B1344" s="67">
        <v>498.625</v>
      </c>
      <c r="C1344" s="67">
        <v>484.44</v>
      </c>
      <c r="D1344" s="67">
        <v>495.69</v>
      </c>
      <c r="E1344" s="67">
        <v>1875287</v>
      </c>
      <c r="F1344" s="67" t="s">
        <v>1377</v>
      </c>
      <c r="G1344" s="25">
        <f t="shared" si="21"/>
        <v>-1.8156509108515406E-2</v>
      </c>
    </row>
    <row r="1345" spans="1:7">
      <c r="A1345" s="67">
        <v>490.7</v>
      </c>
      <c r="B1345" s="67">
        <v>499.47</v>
      </c>
      <c r="C1345" s="67">
        <v>484.83</v>
      </c>
      <c r="D1345" s="67">
        <v>499.47</v>
      </c>
      <c r="E1345" s="67">
        <v>2528948</v>
      </c>
      <c r="F1345" s="67" t="s">
        <v>1378</v>
      </c>
      <c r="G1345" s="25">
        <f t="shared" si="21"/>
        <v>-1.7558612128856677E-2</v>
      </c>
    </row>
    <row r="1346" spans="1:7">
      <c r="A1346" s="67">
        <v>503.46</v>
      </c>
      <c r="B1346" s="67">
        <v>511.74</v>
      </c>
      <c r="C1346" s="67">
        <v>501.12099999999998</v>
      </c>
      <c r="D1346" s="67">
        <v>510.97</v>
      </c>
      <c r="E1346" s="67">
        <v>1458698</v>
      </c>
      <c r="F1346" s="67" t="s">
        <v>1379</v>
      </c>
      <c r="G1346" s="25">
        <f t="shared" si="21"/>
        <v>-1.4697536058868477E-2</v>
      </c>
    </row>
    <row r="1347" spans="1:7">
      <c r="A1347" s="67">
        <v>508.34</v>
      </c>
      <c r="B1347" s="67">
        <v>515.04999999999995</v>
      </c>
      <c r="C1347" s="67">
        <v>507.15</v>
      </c>
      <c r="D1347" s="67">
        <v>514.13</v>
      </c>
      <c r="E1347" s="67">
        <v>1950559</v>
      </c>
      <c r="F1347" s="67" t="s">
        <v>1380</v>
      </c>
      <c r="G1347" s="25">
        <f t="shared" si="21"/>
        <v>-1.1261743138894831E-2</v>
      </c>
    </row>
    <row r="1348" spans="1:7">
      <c r="A1348" s="67">
        <v>516.09</v>
      </c>
      <c r="B1348" s="67">
        <v>520.45000000000005</v>
      </c>
      <c r="C1348" s="67">
        <v>510.62</v>
      </c>
      <c r="D1348" s="67">
        <v>518.11</v>
      </c>
      <c r="E1348" s="67">
        <v>1592562</v>
      </c>
      <c r="F1348" s="67" t="s">
        <v>1381</v>
      </c>
      <c r="G1348" s="25">
        <f t="shared" si="21"/>
        <v>-3.8987859720908125E-3</v>
      </c>
    </row>
    <row r="1349" spans="1:7">
      <c r="A1349" s="67">
        <v>515.48</v>
      </c>
      <c r="B1349" s="67">
        <v>519.12990000000002</v>
      </c>
      <c r="C1349" s="67">
        <v>510.01499999999999</v>
      </c>
      <c r="D1349" s="67">
        <v>515.24</v>
      </c>
      <c r="E1349" s="67">
        <v>1472191</v>
      </c>
      <c r="F1349" s="67" t="s">
        <v>1382</v>
      </c>
      <c r="G1349" s="25">
        <f t="shared" si="21"/>
        <v>4.6580234453852398E-4</v>
      </c>
    </row>
    <row r="1350" spans="1:7">
      <c r="A1350" s="67">
        <v>517.32000000000005</v>
      </c>
      <c r="B1350" s="67">
        <v>519.15499999999997</v>
      </c>
      <c r="C1350" s="67">
        <v>511.34550000000002</v>
      </c>
      <c r="D1350" s="67">
        <v>518</v>
      </c>
      <c r="E1350" s="67">
        <v>1944013</v>
      </c>
      <c r="F1350" s="67" t="s">
        <v>1383</v>
      </c>
      <c r="G1350" s="25">
        <f t="shared" si="21"/>
        <v>-1.3127413127411725E-3</v>
      </c>
    </row>
    <row r="1351" spans="1:7">
      <c r="A1351" s="67">
        <v>515.70000000000005</v>
      </c>
      <c r="B1351" s="67">
        <v>516.30999999999995</v>
      </c>
      <c r="C1351" s="67">
        <v>510.25</v>
      </c>
      <c r="D1351" s="67">
        <v>513.57000000000005</v>
      </c>
      <c r="E1351" s="67">
        <v>1387542</v>
      </c>
      <c r="F1351" s="67" t="s">
        <v>1384</v>
      </c>
      <c r="G1351" s="25">
        <f t="shared" si="21"/>
        <v>4.1474385186051066E-3</v>
      </c>
    </row>
    <row r="1352" spans="1:7">
      <c r="A1352" s="67">
        <v>515.84</v>
      </c>
      <c r="B1352" s="67">
        <v>517.4973</v>
      </c>
      <c r="C1352" s="67">
        <v>508.39499999999998</v>
      </c>
      <c r="D1352" s="67">
        <v>508.79</v>
      </c>
      <c r="E1352" s="67">
        <v>2257590</v>
      </c>
      <c r="F1352" s="67" t="s">
        <v>1385</v>
      </c>
      <c r="G1352" s="25">
        <f t="shared" si="21"/>
        <v>1.3856404410464096E-2</v>
      </c>
    </row>
    <row r="1353" spans="1:7">
      <c r="A1353" s="67">
        <v>507.29</v>
      </c>
      <c r="B1353" s="67">
        <v>512.77</v>
      </c>
      <c r="C1353" s="67">
        <v>504.06</v>
      </c>
      <c r="D1353" s="67">
        <v>508.08</v>
      </c>
      <c r="E1353" s="67">
        <v>2084841</v>
      </c>
      <c r="F1353" s="67" t="s">
        <v>1386</v>
      </c>
      <c r="G1353" s="25">
        <f t="shared" si="21"/>
        <v>-1.5548732483072758E-3</v>
      </c>
    </row>
    <row r="1354" spans="1:7">
      <c r="A1354" s="67">
        <v>512.34</v>
      </c>
      <c r="B1354" s="67">
        <v>515.48</v>
      </c>
      <c r="C1354" s="67">
        <v>509.55</v>
      </c>
      <c r="D1354" s="67">
        <v>515.02</v>
      </c>
      <c r="E1354" s="67">
        <v>1678305</v>
      </c>
      <c r="F1354" s="67" t="s">
        <v>1387</v>
      </c>
      <c r="G1354" s="25">
        <f t="shared" si="21"/>
        <v>-5.203681410430594E-3</v>
      </c>
    </row>
    <row r="1355" spans="1:7">
      <c r="A1355" s="67">
        <v>514.21</v>
      </c>
      <c r="B1355" s="67">
        <v>517.29</v>
      </c>
      <c r="C1355" s="67">
        <v>510.6</v>
      </c>
      <c r="D1355" s="67">
        <v>515.29</v>
      </c>
      <c r="E1355" s="67">
        <v>1677468</v>
      </c>
      <c r="F1355" s="67" t="s">
        <v>1388</v>
      </c>
      <c r="G1355" s="25">
        <f t="shared" si="21"/>
        <v>-2.095907159075372E-3</v>
      </c>
    </row>
    <row r="1356" spans="1:7">
      <c r="A1356" s="67">
        <v>516.16999999999996</v>
      </c>
      <c r="B1356" s="67">
        <v>524</v>
      </c>
      <c r="C1356" s="67">
        <v>514.44010000000003</v>
      </c>
      <c r="D1356" s="67">
        <v>523.13</v>
      </c>
      <c r="E1356" s="67">
        <v>1917732</v>
      </c>
      <c r="F1356" s="67" t="s">
        <v>1389</v>
      </c>
      <c r="G1356" s="25">
        <f t="shared" si="21"/>
        <v>-1.3304532334219132E-2</v>
      </c>
    </row>
    <row r="1357" spans="1:7">
      <c r="A1357" s="67">
        <v>525.08000000000004</v>
      </c>
      <c r="B1357" s="67">
        <v>525.44000000000005</v>
      </c>
      <c r="C1357" s="67">
        <v>518.54999999999995</v>
      </c>
      <c r="D1357" s="67">
        <v>524.21</v>
      </c>
      <c r="E1357" s="67">
        <v>2031733</v>
      </c>
      <c r="F1357" s="67" t="s">
        <v>1390</v>
      </c>
      <c r="G1357" s="25">
        <f t="shared" si="21"/>
        <v>1.6596402205222294E-3</v>
      </c>
    </row>
    <row r="1358" spans="1:7">
      <c r="A1358" s="67">
        <v>523.25</v>
      </c>
      <c r="B1358" s="67">
        <v>524.59</v>
      </c>
      <c r="C1358" s="67">
        <v>515.1</v>
      </c>
      <c r="D1358" s="67">
        <v>515.66999999999996</v>
      </c>
      <c r="E1358" s="67">
        <v>2122337</v>
      </c>
      <c r="F1358" s="67" t="s">
        <v>1391</v>
      </c>
      <c r="G1358" s="25">
        <f t="shared" si="21"/>
        <v>1.4699323210580539E-2</v>
      </c>
    </row>
    <row r="1359" spans="1:7">
      <c r="A1359" s="67">
        <v>510.63</v>
      </c>
      <c r="B1359" s="67">
        <v>517.78</v>
      </c>
      <c r="C1359" s="67">
        <v>509.13</v>
      </c>
      <c r="D1359" s="67">
        <v>514</v>
      </c>
      <c r="E1359" s="67">
        <v>1956447</v>
      </c>
      <c r="F1359" s="67" t="s">
        <v>1392</v>
      </c>
      <c r="G1359" s="25">
        <f t="shared" si="21"/>
        <v>-6.5564202334630339E-3</v>
      </c>
    </row>
    <row r="1360" spans="1:7">
      <c r="A1360" s="67">
        <v>514.86</v>
      </c>
      <c r="B1360" s="67">
        <v>517.2645</v>
      </c>
      <c r="C1360" s="67">
        <v>506.78</v>
      </c>
      <c r="D1360" s="67">
        <v>506.85</v>
      </c>
      <c r="E1360" s="67">
        <v>2195707</v>
      </c>
      <c r="F1360" s="67" t="s">
        <v>1393</v>
      </c>
      <c r="G1360" s="25">
        <f t="shared" si="21"/>
        <v>1.5803492157443033E-2</v>
      </c>
    </row>
    <row r="1361" spans="1:7">
      <c r="A1361" s="67">
        <v>506.03</v>
      </c>
      <c r="B1361" s="67">
        <v>506.94</v>
      </c>
      <c r="C1361" s="67">
        <v>498.44</v>
      </c>
      <c r="D1361" s="67">
        <v>499.29</v>
      </c>
      <c r="E1361" s="67">
        <v>1584592</v>
      </c>
      <c r="F1361" s="67" t="s">
        <v>1394</v>
      </c>
      <c r="G1361" s="25">
        <f t="shared" si="21"/>
        <v>1.3499168819723906E-2</v>
      </c>
    </row>
    <row r="1362" spans="1:7">
      <c r="A1362" s="67">
        <v>504.04</v>
      </c>
      <c r="B1362" s="67">
        <v>504.44</v>
      </c>
      <c r="C1362" s="67">
        <v>492.6</v>
      </c>
      <c r="D1362" s="67">
        <v>498.37</v>
      </c>
      <c r="E1362" s="67">
        <v>1887016</v>
      </c>
      <c r="F1362" s="67" t="s">
        <v>1395</v>
      </c>
      <c r="G1362" s="25">
        <f t="shared" si="21"/>
        <v>1.1377089311154442E-2</v>
      </c>
    </row>
    <row r="1363" spans="1:7">
      <c r="A1363" s="67">
        <v>499.84</v>
      </c>
      <c r="B1363" s="67">
        <v>504.6</v>
      </c>
      <c r="C1363" s="67">
        <v>498.14010000000002</v>
      </c>
      <c r="D1363" s="67">
        <v>500.16</v>
      </c>
      <c r="E1363" s="67">
        <v>2026282</v>
      </c>
      <c r="F1363" s="67" t="s">
        <v>1396</v>
      </c>
      <c r="G1363" s="25">
        <f t="shared" si="21"/>
        <v>-6.3979526551516397E-4</v>
      </c>
    </row>
    <row r="1364" spans="1:7">
      <c r="A1364" s="67">
        <v>493.41</v>
      </c>
      <c r="B1364" s="67">
        <v>494.85</v>
      </c>
      <c r="C1364" s="67">
        <v>487.89</v>
      </c>
      <c r="D1364" s="67">
        <v>492.98</v>
      </c>
      <c r="E1364" s="67">
        <v>1576981</v>
      </c>
      <c r="F1364" s="67" t="s">
        <v>1397</v>
      </c>
      <c r="G1364" s="25">
        <f t="shared" si="21"/>
        <v>8.7224633859395162E-4</v>
      </c>
    </row>
    <row r="1365" spans="1:7">
      <c r="A1365" s="67">
        <v>491.34</v>
      </c>
      <c r="B1365" s="67">
        <v>495.59</v>
      </c>
      <c r="C1365" s="67">
        <v>487.57</v>
      </c>
      <c r="D1365" s="67">
        <v>492.32</v>
      </c>
      <c r="E1365" s="67">
        <v>1878330</v>
      </c>
      <c r="F1365" s="67" t="s">
        <v>1398</v>
      </c>
      <c r="G1365" s="25">
        <f t="shared" si="21"/>
        <v>-1.9905752356191853E-3</v>
      </c>
    </row>
    <row r="1366" spans="1:7">
      <c r="A1366" s="67">
        <v>491.62</v>
      </c>
      <c r="B1366" s="67">
        <v>495.51</v>
      </c>
      <c r="C1366" s="67">
        <v>480.5</v>
      </c>
      <c r="D1366" s="67">
        <v>483.69</v>
      </c>
      <c r="E1366" s="67">
        <v>2982522</v>
      </c>
      <c r="F1366" s="67" t="s">
        <v>1399</v>
      </c>
      <c r="G1366" s="25">
        <f t="shared" si="21"/>
        <v>1.6394798321238913E-2</v>
      </c>
    </row>
    <row r="1367" spans="1:7">
      <c r="A1367" s="67">
        <v>483.34</v>
      </c>
      <c r="B1367" s="67">
        <v>487.04</v>
      </c>
      <c r="C1367" s="67">
        <v>480.71</v>
      </c>
      <c r="D1367" s="67">
        <v>483.12</v>
      </c>
      <c r="E1367" s="67">
        <v>2664694</v>
      </c>
      <c r="F1367" s="67" t="s">
        <v>1400</v>
      </c>
      <c r="G1367" s="25">
        <f t="shared" si="21"/>
        <v>4.553734061929493E-4</v>
      </c>
    </row>
    <row r="1368" spans="1:7">
      <c r="A1368" s="67">
        <v>475.37</v>
      </c>
      <c r="B1368" s="67">
        <v>482.41</v>
      </c>
      <c r="C1368" s="67">
        <v>468.7</v>
      </c>
      <c r="D1368" s="67">
        <v>469.7</v>
      </c>
      <c r="E1368" s="67">
        <v>3155889</v>
      </c>
      <c r="F1368" s="67" t="s">
        <v>1401</v>
      </c>
      <c r="G1368" s="25">
        <f t="shared" si="21"/>
        <v>1.2071535022354807E-2</v>
      </c>
    </row>
    <row r="1369" spans="1:7">
      <c r="A1369" s="67">
        <v>465.46</v>
      </c>
      <c r="B1369" s="67">
        <v>469.09249999999997</v>
      </c>
      <c r="C1369" s="67">
        <v>461.5</v>
      </c>
      <c r="D1369" s="67">
        <v>462.58</v>
      </c>
      <c r="E1369" s="67">
        <v>2436593</v>
      </c>
      <c r="F1369" s="67" t="s">
        <v>1402</v>
      </c>
      <c r="G1369" s="25">
        <f t="shared" si="21"/>
        <v>6.2259501059276356E-3</v>
      </c>
    </row>
    <row r="1370" spans="1:7">
      <c r="A1370" s="67">
        <v>469.32</v>
      </c>
      <c r="B1370" s="67">
        <v>472</v>
      </c>
      <c r="C1370" s="67">
        <v>462.5</v>
      </c>
      <c r="D1370" s="67">
        <v>469.03</v>
      </c>
      <c r="E1370" s="67">
        <v>3142203</v>
      </c>
      <c r="F1370" s="67" t="s">
        <v>1403</v>
      </c>
      <c r="G1370" s="25">
        <f t="shared" si="21"/>
        <v>6.182973370574274E-4</v>
      </c>
    </row>
    <row r="1371" spans="1:7">
      <c r="A1371" s="67">
        <v>469.09</v>
      </c>
      <c r="B1371" s="67">
        <v>469.77</v>
      </c>
      <c r="C1371" s="67">
        <v>449.05</v>
      </c>
      <c r="D1371" s="67">
        <v>450.25</v>
      </c>
      <c r="E1371" s="67">
        <v>3615888</v>
      </c>
      <c r="F1371" s="67" t="s">
        <v>1404</v>
      </c>
      <c r="G1371" s="25">
        <f t="shared" si="21"/>
        <v>4.1843420322043245E-2</v>
      </c>
    </row>
    <row r="1372" spans="1:7">
      <c r="A1372" s="67">
        <v>450.99</v>
      </c>
      <c r="B1372" s="67">
        <v>456.87</v>
      </c>
      <c r="C1372" s="67">
        <v>445.41</v>
      </c>
      <c r="D1372" s="67">
        <v>448.33</v>
      </c>
      <c r="E1372" s="67">
        <v>3201472</v>
      </c>
      <c r="F1372" s="67" t="s">
        <v>1405</v>
      </c>
      <c r="G1372" s="25">
        <f t="shared" si="21"/>
        <v>5.9331296143465551E-3</v>
      </c>
    </row>
    <row r="1373" spans="1:7">
      <c r="A1373" s="67">
        <v>451.51</v>
      </c>
      <c r="B1373" s="67">
        <v>465.61</v>
      </c>
      <c r="C1373" s="67">
        <v>448.34</v>
      </c>
      <c r="D1373" s="67">
        <v>464.76420000000002</v>
      </c>
      <c r="E1373" s="67">
        <v>5214125</v>
      </c>
      <c r="F1373" s="67" t="s">
        <v>1406</v>
      </c>
      <c r="G1373" s="25">
        <f t="shared" si="21"/>
        <v>-2.8518117359297546E-2</v>
      </c>
    </row>
    <row r="1374" spans="1:7">
      <c r="A1374" s="67">
        <v>460.2</v>
      </c>
      <c r="B1374" s="67">
        <v>466.88</v>
      </c>
      <c r="C1374" s="67">
        <v>456.41</v>
      </c>
      <c r="D1374" s="67">
        <v>457.35</v>
      </c>
      <c r="E1374" s="67">
        <v>5316974</v>
      </c>
      <c r="F1374" s="67" t="s">
        <v>1407</v>
      </c>
      <c r="G1374" s="25">
        <f t="shared" si="21"/>
        <v>6.231551328304219E-3</v>
      </c>
    </row>
    <row r="1375" spans="1:7">
      <c r="A1375" s="67">
        <v>452.41</v>
      </c>
      <c r="B1375" s="67">
        <v>457.82</v>
      </c>
      <c r="C1375" s="67">
        <v>444.86</v>
      </c>
      <c r="D1375" s="67">
        <v>444.86</v>
      </c>
      <c r="E1375" s="67">
        <v>2944311</v>
      </c>
      <c r="F1375" s="67" t="s">
        <v>1408</v>
      </c>
      <c r="G1375" s="25">
        <f t="shared" si="21"/>
        <v>1.6971631524524522E-2</v>
      </c>
    </row>
    <row r="1376" spans="1:7">
      <c r="A1376" s="67">
        <v>441.5</v>
      </c>
      <c r="B1376" s="67">
        <v>444.5</v>
      </c>
      <c r="C1376" s="67">
        <v>438.14</v>
      </c>
      <c r="D1376" s="67">
        <v>439.18</v>
      </c>
      <c r="E1376" s="67">
        <v>3923830</v>
      </c>
      <c r="F1376" s="67" t="s">
        <v>1409</v>
      </c>
      <c r="G1376" s="25">
        <f t="shared" si="21"/>
        <v>5.2825720661231479E-3</v>
      </c>
    </row>
    <row r="1377" spans="1:7">
      <c r="A1377" s="67">
        <v>439.18</v>
      </c>
      <c r="B1377" s="67">
        <v>446.86</v>
      </c>
      <c r="C1377" s="67">
        <v>438.5</v>
      </c>
      <c r="D1377" s="67">
        <v>443.16</v>
      </c>
      <c r="E1377" s="67">
        <v>2932687</v>
      </c>
      <c r="F1377" s="67" t="s">
        <v>1410</v>
      </c>
      <c r="G1377" s="25">
        <f t="shared" si="21"/>
        <v>-8.9809549598339755E-3</v>
      </c>
    </row>
    <row r="1378" spans="1:7">
      <c r="A1378" s="67">
        <v>451.01</v>
      </c>
      <c r="B1378" s="67">
        <v>453.94</v>
      </c>
      <c r="C1378" s="67">
        <v>441.02</v>
      </c>
      <c r="D1378" s="67">
        <v>445.44</v>
      </c>
      <c r="E1378" s="67">
        <v>2502732</v>
      </c>
      <c r="F1378" s="67" t="s">
        <v>1411</v>
      </c>
      <c r="G1378" s="25">
        <f t="shared" si="21"/>
        <v>1.2504489942528618E-2</v>
      </c>
    </row>
    <row r="1379" spans="1:7">
      <c r="A1379" s="67">
        <v>450.54</v>
      </c>
      <c r="B1379" s="67">
        <v>457.41</v>
      </c>
      <c r="C1379" s="67">
        <v>449.67009999999999</v>
      </c>
      <c r="D1379" s="67">
        <v>452.01</v>
      </c>
      <c r="E1379" s="67">
        <v>2618819</v>
      </c>
      <c r="F1379" s="67" t="s">
        <v>1412</v>
      </c>
      <c r="G1379" s="25">
        <f t="shared" si="21"/>
        <v>-3.2521404393707209E-3</v>
      </c>
    </row>
    <row r="1380" spans="1:7">
      <c r="A1380" s="67">
        <v>447.59</v>
      </c>
      <c r="B1380" s="67">
        <v>447.79</v>
      </c>
      <c r="C1380" s="67">
        <v>437.77</v>
      </c>
      <c r="D1380" s="67">
        <v>444.4</v>
      </c>
      <c r="E1380" s="67">
        <v>2508699</v>
      </c>
      <c r="F1380" s="67" t="s">
        <v>1413</v>
      </c>
      <c r="G1380" s="25">
        <f t="shared" si="21"/>
        <v>7.1782178217820736E-3</v>
      </c>
    </row>
    <row r="1381" spans="1:7">
      <c r="A1381" s="67">
        <v>444.3</v>
      </c>
      <c r="B1381" s="67">
        <v>445.89</v>
      </c>
      <c r="C1381" s="67">
        <v>438.6</v>
      </c>
      <c r="D1381" s="67">
        <v>443.45</v>
      </c>
      <c r="E1381" s="67">
        <v>2183051</v>
      </c>
      <c r="F1381" s="67" t="s">
        <v>1414</v>
      </c>
      <c r="G1381" s="25">
        <f t="shared" si="21"/>
        <v>1.9167888149735912E-3</v>
      </c>
    </row>
    <row r="1382" spans="1:7">
      <c r="A1382" s="67">
        <v>451.06</v>
      </c>
      <c r="B1382" s="67">
        <v>454.07</v>
      </c>
      <c r="C1382" s="67">
        <v>447.30500000000001</v>
      </c>
      <c r="D1382" s="67">
        <v>448.1361</v>
      </c>
      <c r="E1382" s="67">
        <v>2762233</v>
      </c>
      <c r="F1382" s="67" t="s">
        <v>1415</v>
      </c>
      <c r="G1382" s="25">
        <f t="shared" si="21"/>
        <v>6.5245803674374159E-3</v>
      </c>
    </row>
    <row r="1383" spans="1:7">
      <c r="A1383" s="67">
        <v>437.01</v>
      </c>
      <c r="B1383" s="67">
        <v>448.46</v>
      </c>
      <c r="C1383" s="67">
        <v>436.82</v>
      </c>
      <c r="D1383" s="67">
        <v>445.72770000000003</v>
      </c>
      <c r="E1383" s="67">
        <v>2747267</v>
      </c>
      <c r="F1383" s="67" t="s">
        <v>1416</v>
      </c>
      <c r="G1383" s="25">
        <f t="shared" si="21"/>
        <v>-1.9558353676471185E-2</v>
      </c>
    </row>
    <row r="1384" spans="1:7">
      <c r="A1384" s="67">
        <v>439.18</v>
      </c>
      <c r="B1384" s="67">
        <v>442.75</v>
      </c>
      <c r="C1384" s="67">
        <v>436</v>
      </c>
      <c r="D1384" s="67">
        <v>437.84</v>
      </c>
      <c r="E1384" s="67">
        <v>3926385</v>
      </c>
      <c r="F1384" s="67" t="s">
        <v>1417</v>
      </c>
      <c r="G1384" s="25">
        <f t="shared" si="21"/>
        <v>3.0604787136854217E-3</v>
      </c>
    </row>
    <row r="1385" spans="1:7">
      <c r="A1385" s="67">
        <v>421.2</v>
      </c>
      <c r="B1385" s="67">
        <v>440.99</v>
      </c>
      <c r="C1385" s="67">
        <v>420.78</v>
      </c>
      <c r="D1385" s="67">
        <v>439.76</v>
      </c>
      <c r="E1385" s="67">
        <v>3885123</v>
      </c>
      <c r="F1385" s="67" t="s">
        <v>1418</v>
      </c>
      <c r="G1385" s="25">
        <f t="shared" si="21"/>
        <v>-4.2204839003092576E-2</v>
      </c>
    </row>
    <row r="1386" spans="1:7">
      <c r="A1386" s="67">
        <v>440.83</v>
      </c>
      <c r="B1386" s="67">
        <v>444.95</v>
      </c>
      <c r="C1386" s="67">
        <v>423.71010000000001</v>
      </c>
      <c r="D1386" s="67">
        <v>444.88</v>
      </c>
      <c r="E1386" s="67">
        <v>4614971</v>
      </c>
      <c r="F1386" s="67" t="s">
        <v>1419</v>
      </c>
      <c r="G1386" s="25">
        <f t="shared" si="21"/>
        <v>-9.1035784930768582E-3</v>
      </c>
    </row>
    <row r="1387" spans="1:7">
      <c r="A1387" s="67">
        <v>439.06</v>
      </c>
      <c r="B1387" s="67">
        <v>457.53</v>
      </c>
      <c r="C1387" s="67">
        <v>437.63</v>
      </c>
      <c r="D1387" s="67">
        <v>446.45</v>
      </c>
      <c r="E1387" s="67">
        <v>4486442</v>
      </c>
      <c r="F1387" s="67" t="s">
        <v>1420</v>
      </c>
      <c r="G1387" s="25">
        <f t="shared" si="21"/>
        <v>-1.6552805465337661E-2</v>
      </c>
    </row>
    <row r="1388" spans="1:7">
      <c r="A1388" s="67">
        <v>448.45</v>
      </c>
      <c r="B1388" s="67">
        <v>464.68</v>
      </c>
      <c r="C1388" s="67">
        <v>448.09</v>
      </c>
      <c r="D1388" s="67">
        <v>463.22</v>
      </c>
      <c r="E1388" s="67">
        <v>2808148</v>
      </c>
      <c r="F1388" s="67" t="s">
        <v>1421</v>
      </c>
      <c r="G1388" s="25">
        <f t="shared" si="21"/>
        <v>-3.1885497171970201E-2</v>
      </c>
    </row>
    <row r="1389" spans="1:7">
      <c r="A1389" s="67">
        <v>466.59</v>
      </c>
      <c r="B1389" s="67">
        <v>473.80160000000001</v>
      </c>
      <c r="C1389" s="67">
        <v>463.46</v>
      </c>
      <c r="D1389" s="67">
        <v>473.03</v>
      </c>
      <c r="E1389" s="67">
        <v>2211002</v>
      </c>
      <c r="F1389" s="67" t="s">
        <v>1422</v>
      </c>
      <c r="G1389" s="25">
        <f t="shared" si="21"/>
        <v>-1.3614358497346934E-2</v>
      </c>
    </row>
    <row r="1390" spans="1:7">
      <c r="A1390" s="67">
        <v>469.57</v>
      </c>
      <c r="B1390" s="67">
        <v>470.5</v>
      </c>
      <c r="C1390" s="67">
        <v>462.65</v>
      </c>
      <c r="D1390" s="67">
        <v>465.68</v>
      </c>
      <c r="E1390" s="67">
        <v>2358980</v>
      </c>
      <c r="F1390" s="67" t="s">
        <v>1423</v>
      </c>
      <c r="G1390" s="25">
        <f t="shared" si="21"/>
        <v>8.353375708641142E-3</v>
      </c>
    </row>
    <row r="1391" spans="1:7">
      <c r="A1391" s="67">
        <v>459.67</v>
      </c>
      <c r="B1391" s="67">
        <v>467.32</v>
      </c>
      <c r="C1391" s="67">
        <v>456.01</v>
      </c>
      <c r="D1391" s="67">
        <v>462.80459999999999</v>
      </c>
      <c r="E1391" s="67">
        <v>3154846</v>
      </c>
      <c r="F1391" s="67" t="s">
        <v>1424</v>
      </c>
      <c r="G1391" s="25">
        <f t="shared" si="21"/>
        <v>-6.7730528175389271E-3</v>
      </c>
    </row>
    <row r="1392" spans="1:7">
      <c r="A1392" s="67">
        <v>459.16</v>
      </c>
      <c r="B1392" s="67">
        <v>476.31</v>
      </c>
      <c r="C1392" s="67">
        <v>456.01</v>
      </c>
      <c r="D1392" s="67">
        <v>471.24</v>
      </c>
      <c r="E1392" s="67">
        <v>3252503</v>
      </c>
      <c r="F1392" s="67" t="s">
        <v>1425</v>
      </c>
      <c r="G1392" s="25">
        <f t="shared" si="21"/>
        <v>-2.5634496222731507E-2</v>
      </c>
    </row>
    <row r="1393" spans="1:7">
      <c r="A1393" s="67">
        <v>476.62</v>
      </c>
      <c r="B1393" s="67">
        <v>477.35</v>
      </c>
      <c r="C1393" s="67">
        <v>460.29</v>
      </c>
      <c r="D1393" s="67">
        <v>463.49</v>
      </c>
      <c r="E1393" s="67">
        <v>3390646</v>
      </c>
      <c r="F1393" s="67" t="s">
        <v>1426</v>
      </c>
      <c r="G1393" s="25">
        <f t="shared" si="21"/>
        <v>2.8328550777794614E-2</v>
      </c>
    </row>
    <row r="1394" spans="1:7">
      <c r="A1394" s="67">
        <v>467.8</v>
      </c>
      <c r="B1394" s="67">
        <v>471.44</v>
      </c>
      <c r="C1394" s="67">
        <v>450.12</v>
      </c>
      <c r="D1394" s="67">
        <v>461.02</v>
      </c>
      <c r="E1394" s="67">
        <v>4164345</v>
      </c>
      <c r="F1394" s="67" t="s">
        <v>1427</v>
      </c>
      <c r="G1394" s="25">
        <f t="shared" si="21"/>
        <v>1.4706520324497818E-2</v>
      </c>
    </row>
    <row r="1395" spans="1:7">
      <c r="A1395" s="67">
        <v>467.33</v>
      </c>
      <c r="B1395" s="67">
        <v>472.1</v>
      </c>
      <c r="C1395" s="67">
        <v>466.66</v>
      </c>
      <c r="D1395" s="67">
        <v>470.48</v>
      </c>
      <c r="E1395" s="67">
        <v>2510485</v>
      </c>
      <c r="F1395" s="67" t="s">
        <v>1428</v>
      </c>
      <c r="G1395" s="25">
        <f t="shared" si="21"/>
        <v>-6.695289916680891E-3</v>
      </c>
    </row>
    <row r="1396" spans="1:7">
      <c r="A1396" s="67">
        <v>479.12</v>
      </c>
      <c r="B1396" s="67">
        <v>488.65</v>
      </c>
      <c r="C1396" s="67">
        <v>476.1</v>
      </c>
      <c r="D1396" s="67">
        <v>487.16</v>
      </c>
      <c r="E1396" s="67">
        <v>2720714</v>
      </c>
      <c r="F1396" s="67" t="s">
        <v>1429</v>
      </c>
      <c r="G1396" s="25">
        <f t="shared" si="21"/>
        <v>-1.6503818047458818E-2</v>
      </c>
    </row>
    <row r="1397" spans="1:7">
      <c r="A1397" s="67">
        <v>488.37</v>
      </c>
      <c r="B1397" s="67">
        <v>489.8</v>
      </c>
      <c r="C1397" s="67">
        <v>480</v>
      </c>
      <c r="D1397" s="67">
        <v>486.32</v>
      </c>
      <c r="E1397" s="67">
        <v>1803375</v>
      </c>
      <c r="F1397" s="67" t="s">
        <v>1430</v>
      </c>
      <c r="G1397" s="25">
        <f t="shared" ref="G1397:G1460" si="22">A1397/D1397-1</f>
        <v>4.2153314689916677E-3</v>
      </c>
    </row>
    <row r="1398" spans="1:7">
      <c r="A1398" s="67">
        <v>491.23</v>
      </c>
      <c r="B1398" s="67">
        <v>495.55</v>
      </c>
      <c r="C1398" s="67">
        <v>485.51</v>
      </c>
      <c r="D1398" s="67">
        <v>495.41</v>
      </c>
      <c r="E1398" s="67">
        <v>2114019</v>
      </c>
      <c r="F1398" s="67" t="s">
        <v>1431</v>
      </c>
      <c r="G1398" s="25">
        <f t="shared" si="22"/>
        <v>-8.4374558446539405E-3</v>
      </c>
    </row>
    <row r="1399" spans="1:7">
      <c r="A1399" s="67">
        <v>501.64</v>
      </c>
      <c r="B1399" s="67">
        <v>506.51</v>
      </c>
      <c r="C1399" s="67">
        <v>497.59500000000003</v>
      </c>
      <c r="D1399" s="67">
        <v>500.03</v>
      </c>
      <c r="E1399" s="67">
        <v>1846163</v>
      </c>
      <c r="F1399" s="67" t="s">
        <v>1432</v>
      </c>
      <c r="G1399" s="25">
        <f t="shared" si="22"/>
        <v>3.2198068115913969E-3</v>
      </c>
    </row>
    <row r="1400" spans="1:7">
      <c r="A1400" s="67">
        <v>498.84</v>
      </c>
      <c r="B1400" s="67">
        <v>499.36</v>
      </c>
      <c r="C1400" s="67">
        <v>491.76</v>
      </c>
      <c r="D1400" s="67">
        <v>495.16</v>
      </c>
      <c r="E1400" s="67">
        <v>1450621</v>
      </c>
      <c r="F1400" s="67" t="s">
        <v>1433</v>
      </c>
      <c r="G1400" s="25">
        <f t="shared" si="22"/>
        <v>7.4319411907262101E-3</v>
      </c>
    </row>
    <row r="1401" spans="1:7">
      <c r="A1401" s="67">
        <v>496.62</v>
      </c>
      <c r="B1401" s="67">
        <v>497</v>
      </c>
      <c r="C1401" s="67">
        <v>491.08</v>
      </c>
      <c r="D1401" s="67">
        <v>494.53</v>
      </c>
      <c r="E1401" s="67">
        <v>1609829</v>
      </c>
      <c r="F1401" s="67" t="s">
        <v>1434</v>
      </c>
      <c r="G1401" s="25">
        <f t="shared" si="22"/>
        <v>4.226235011020707E-3</v>
      </c>
    </row>
    <row r="1402" spans="1:7">
      <c r="A1402" s="67">
        <v>492.67</v>
      </c>
      <c r="B1402" s="67">
        <v>499.98739999999998</v>
      </c>
      <c r="C1402" s="67">
        <v>490.27</v>
      </c>
      <c r="D1402" s="67">
        <v>499.17</v>
      </c>
      <c r="E1402" s="67">
        <v>1764466</v>
      </c>
      <c r="F1402" s="67" t="s">
        <v>1435</v>
      </c>
      <c r="G1402" s="25">
        <f t="shared" si="22"/>
        <v>-1.3021615882364723E-2</v>
      </c>
    </row>
    <row r="1403" spans="1:7">
      <c r="A1403" s="67">
        <v>496.05</v>
      </c>
      <c r="B1403" s="67">
        <v>497.95</v>
      </c>
      <c r="C1403" s="67">
        <v>492.01</v>
      </c>
      <c r="D1403" s="67">
        <v>495</v>
      </c>
      <c r="E1403" s="67">
        <v>1571477</v>
      </c>
      <c r="F1403" s="67" t="s">
        <v>1436</v>
      </c>
      <c r="G1403" s="25">
        <f t="shared" si="22"/>
        <v>2.1212121212121904E-3</v>
      </c>
    </row>
    <row r="1404" spans="1:7">
      <c r="A1404" s="67">
        <v>493.76</v>
      </c>
      <c r="B1404" s="67">
        <v>497.86</v>
      </c>
      <c r="C1404" s="67">
        <v>489.21</v>
      </c>
      <c r="D1404" s="67">
        <v>494.26</v>
      </c>
      <c r="E1404" s="67">
        <v>1727272</v>
      </c>
      <c r="F1404" s="67" t="s">
        <v>1437</v>
      </c>
      <c r="G1404" s="25">
        <f t="shared" si="22"/>
        <v>-1.0116133209242539E-3</v>
      </c>
    </row>
    <row r="1405" spans="1:7">
      <c r="A1405" s="67">
        <v>492.12</v>
      </c>
      <c r="B1405" s="67">
        <v>495.1</v>
      </c>
      <c r="C1405" s="67">
        <v>488</v>
      </c>
      <c r="D1405" s="67">
        <v>490.92</v>
      </c>
      <c r="E1405" s="67">
        <v>1675141</v>
      </c>
      <c r="F1405" s="67" t="s">
        <v>1438</v>
      </c>
      <c r="G1405" s="25">
        <f t="shared" si="22"/>
        <v>2.4443901246637978E-3</v>
      </c>
    </row>
    <row r="1406" spans="1:7">
      <c r="A1406" s="67">
        <v>489.38</v>
      </c>
      <c r="B1406" s="67">
        <v>489.88</v>
      </c>
      <c r="C1406" s="67">
        <v>481.92</v>
      </c>
      <c r="D1406" s="67">
        <v>484.21960000000001</v>
      </c>
      <c r="E1406" s="67">
        <v>2005114</v>
      </c>
      <c r="F1406" s="67" t="s">
        <v>1439</v>
      </c>
      <c r="G1406" s="25">
        <f t="shared" si="22"/>
        <v>1.0657148120398308E-2</v>
      </c>
    </row>
    <row r="1407" spans="1:7">
      <c r="A1407" s="67">
        <v>481.92</v>
      </c>
      <c r="B1407" s="67">
        <v>488.85</v>
      </c>
      <c r="C1407" s="67">
        <v>479.17</v>
      </c>
      <c r="D1407" s="67">
        <v>487.09</v>
      </c>
      <c r="E1407" s="67">
        <v>2146948</v>
      </c>
      <c r="F1407" s="67" t="s">
        <v>1440</v>
      </c>
      <c r="G1407" s="25">
        <f t="shared" si="22"/>
        <v>-1.0614054897452152E-2</v>
      </c>
    </row>
    <row r="1408" spans="1:7">
      <c r="A1408" s="67">
        <v>484.93</v>
      </c>
      <c r="B1408" s="67">
        <v>487.37</v>
      </c>
      <c r="C1408" s="67">
        <v>472.55</v>
      </c>
      <c r="D1408" s="67">
        <v>473.65</v>
      </c>
      <c r="E1408" s="67">
        <v>3022025</v>
      </c>
      <c r="F1408" s="67" t="s">
        <v>1441</v>
      </c>
      <c r="G1408" s="25">
        <f t="shared" si="22"/>
        <v>2.3815053309405698E-2</v>
      </c>
    </row>
    <row r="1409" spans="1:7">
      <c r="A1409" s="67">
        <v>470</v>
      </c>
      <c r="B1409" s="67">
        <v>474.8</v>
      </c>
      <c r="C1409" s="67">
        <v>459.82</v>
      </c>
      <c r="D1409" s="67">
        <v>462.28</v>
      </c>
      <c r="E1409" s="67">
        <v>2554774</v>
      </c>
      <c r="F1409" s="67" t="s">
        <v>1442</v>
      </c>
      <c r="G1409" s="25">
        <f t="shared" si="22"/>
        <v>1.6699835597473456E-2</v>
      </c>
    </row>
    <row r="1410" spans="1:7">
      <c r="A1410" s="67">
        <v>458.77</v>
      </c>
      <c r="B1410" s="67">
        <v>465</v>
      </c>
      <c r="C1410" s="67">
        <v>455.11</v>
      </c>
      <c r="D1410" s="67">
        <v>462.17</v>
      </c>
      <c r="E1410" s="67">
        <v>3061106</v>
      </c>
      <c r="F1410" s="67" t="s">
        <v>1443</v>
      </c>
      <c r="G1410" s="25">
        <f t="shared" si="22"/>
        <v>-7.3566003851397443E-3</v>
      </c>
    </row>
    <row r="1411" spans="1:7">
      <c r="A1411" s="67">
        <v>465.67</v>
      </c>
      <c r="B1411" s="67">
        <v>475.02</v>
      </c>
      <c r="C1411" s="67">
        <v>459.07</v>
      </c>
      <c r="D1411" s="67">
        <v>459.07</v>
      </c>
      <c r="E1411" s="67">
        <v>3000726</v>
      </c>
      <c r="F1411" s="67" t="s">
        <v>1444</v>
      </c>
      <c r="G1411" s="25">
        <f t="shared" si="22"/>
        <v>1.4376892412921727E-2</v>
      </c>
    </row>
    <row r="1412" spans="1:7">
      <c r="A1412" s="67">
        <v>460</v>
      </c>
      <c r="B1412" s="67">
        <v>473.67</v>
      </c>
      <c r="C1412" s="67">
        <v>455.07</v>
      </c>
      <c r="D1412" s="67">
        <v>470.99</v>
      </c>
      <c r="E1412" s="67">
        <v>3586353</v>
      </c>
      <c r="F1412" s="67" t="s">
        <v>1445</v>
      </c>
      <c r="G1412" s="25">
        <f t="shared" si="22"/>
        <v>-2.3333828743710039E-2</v>
      </c>
    </row>
    <row r="1413" spans="1:7">
      <c r="A1413" s="67">
        <v>476.28</v>
      </c>
      <c r="B1413" s="67">
        <v>477.22</v>
      </c>
      <c r="C1413" s="67">
        <v>467.76</v>
      </c>
      <c r="D1413" s="67">
        <v>473.73</v>
      </c>
      <c r="E1413" s="67">
        <v>2363124</v>
      </c>
      <c r="F1413" s="67" t="s">
        <v>1446</v>
      </c>
      <c r="G1413" s="25">
        <f t="shared" si="22"/>
        <v>5.3828129947437464E-3</v>
      </c>
    </row>
    <row r="1414" spans="1:7">
      <c r="A1414" s="67">
        <v>473.44</v>
      </c>
      <c r="B1414" s="67">
        <v>477.7</v>
      </c>
      <c r="C1414" s="67">
        <v>463.98</v>
      </c>
      <c r="D1414" s="67">
        <v>474.51</v>
      </c>
      <c r="E1414" s="67">
        <v>2697405</v>
      </c>
      <c r="F1414" s="67" t="s">
        <v>1447</v>
      </c>
      <c r="G1414" s="25">
        <f t="shared" si="22"/>
        <v>-2.2549577458852443E-3</v>
      </c>
    </row>
    <row r="1415" spans="1:7">
      <c r="A1415" s="67">
        <v>472.44</v>
      </c>
      <c r="B1415" s="67">
        <v>476.35</v>
      </c>
      <c r="C1415" s="67">
        <v>470.61</v>
      </c>
      <c r="D1415" s="67">
        <v>472.5</v>
      </c>
      <c r="E1415" s="67">
        <v>2534274</v>
      </c>
      <c r="F1415" s="67" t="s">
        <v>1448</v>
      </c>
      <c r="G1415" s="25">
        <f t="shared" si="22"/>
        <v>-1.2698412698408656E-4</v>
      </c>
    </row>
    <row r="1416" spans="1:7">
      <c r="A1416" s="67">
        <v>472.02</v>
      </c>
      <c r="B1416" s="67">
        <v>474.69</v>
      </c>
      <c r="C1416" s="67">
        <v>466.1</v>
      </c>
      <c r="D1416" s="67">
        <v>470.26</v>
      </c>
      <c r="E1416" s="67">
        <v>2771772</v>
      </c>
      <c r="F1416" s="67" t="s">
        <v>1449</v>
      </c>
      <c r="G1416" s="25">
        <f t="shared" si="22"/>
        <v>3.7426104708033758E-3</v>
      </c>
    </row>
    <row r="1417" spans="1:7">
      <c r="A1417" s="67">
        <v>469.73</v>
      </c>
      <c r="B1417" s="67">
        <v>472.38499999999999</v>
      </c>
      <c r="C1417" s="67">
        <v>458.77</v>
      </c>
      <c r="D1417" s="67">
        <v>462.73</v>
      </c>
      <c r="E1417" s="67">
        <v>3858988</v>
      </c>
      <c r="F1417" s="67" t="s">
        <v>1450</v>
      </c>
      <c r="G1417" s="25">
        <f t="shared" si="22"/>
        <v>1.5127612214466346E-2</v>
      </c>
    </row>
    <row r="1418" spans="1:7">
      <c r="A1418" s="67">
        <v>456.5</v>
      </c>
      <c r="B1418" s="67">
        <v>461.5899</v>
      </c>
      <c r="C1418" s="67">
        <v>453.34</v>
      </c>
      <c r="D1418" s="67">
        <v>461.17</v>
      </c>
      <c r="E1418" s="67">
        <v>4419205</v>
      </c>
      <c r="F1418" s="67" t="s">
        <v>1451</v>
      </c>
      <c r="G1418" s="25">
        <f t="shared" si="22"/>
        <v>-1.0126417590042736E-2</v>
      </c>
    </row>
    <row r="1419" spans="1:7">
      <c r="A1419" s="67">
        <v>458.08</v>
      </c>
      <c r="B1419" s="67">
        <v>467.88</v>
      </c>
      <c r="C1419" s="67">
        <v>457.49</v>
      </c>
      <c r="D1419" s="67">
        <v>462.5</v>
      </c>
      <c r="E1419" s="67">
        <v>3200352</v>
      </c>
      <c r="F1419" s="67" t="s">
        <v>1452</v>
      </c>
      <c r="G1419" s="25">
        <f t="shared" si="22"/>
        <v>-9.5567567567568235E-3</v>
      </c>
    </row>
    <row r="1420" spans="1:7">
      <c r="A1420" s="67">
        <v>463.27</v>
      </c>
      <c r="B1420" s="67">
        <v>473.55</v>
      </c>
      <c r="C1420" s="67">
        <v>462.2</v>
      </c>
      <c r="D1420" s="67">
        <v>472.41</v>
      </c>
      <c r="E1420" s="67">
        <v>3508273</v>
      </c>
      <c r="F1420" s="67" t="s">
        <v>1453</v>
      </c>
      <c r="G1420" s="25">
        <f t="shared" si="22"/>
        <v>-1.9347600601172799E-2</v>
      </c>
    </row>
    <row r="1421" spans="1:7">
      <c r="A1421" s="67">
        <v>472.05</v>
      </c>
      <c r="B1421" s="67">
        <v>477.85</v>
      </c>
      <c r="C1421" s="67">
        <v>469.3</v>
      </c>
      <c r="D1421" s="67">
        <v>472</v>
      </c>
      <c r="E1421" s="67">
        <v>2105915</v>
      </c>
      <c r="F1421" s="67" t="s">
        <v>1454</v>
      </c>
      <c r="G1421" s="25">
        <f t="shared" si="22"/>
        <v>1.0593220338983578E-4</v>
      </c>
    </row>
    <row r="1422" spans="1:7">
      <c r="A1422" s="67">
        <v>471.65</v>
      </c>
      <c r="B1422" s="67">
        <v>475</v>
      </c>
      <c r="C1422" s="67">
        <v>464</v>
      </c>
      <c r="D1422" s="67">
        <v>474.41</v>
      </c>
      <c r="E1422" s="67">
        <v>2964880</v>
      </c>
      <c r="F1422" s="67" t="s">
        <v>1455</v>
      </c>
      <c r="G1422" s="25">
        <f t="shared" si="22"/>
        <v>-5.8177525768851046E-3</v>
      </c>
    </row>
    <row r="1423" spans="1:7">
      <c r="A1423" s="67">
        <v>474.24</v>
      </c>
      <c r="B1423" s="67">
        <v>482.59</v>
      </c>
      <c r="C1423" s="67">
        <v>471.3</v>
      </c>
      <c r="D1423" s="67">
        <v>481.99</v>
      </c>
      <c r="E1423" s="67">
        <v>2383254</v>
      </c>
      <c r="F1423" s="67" t="s">
        <v>1456</v>
      </c>
      <c r="G1423" s="25">
        <f t="shared" si="22"/>
        <v>-1.6079171767049094E-2</v>
      </c>
    </row>
    <row r="1424" spans="1:7">
      <c r="A1424" s="67">
        <v>485.1</v>
      </c>
      <c r="B1424" s="67">
        <v>485.54</v>
      </c>
      <c r="C1424" s="67">
        <v>477.21</v>
      </c>
      <c r="D1424" s="67">
        <v>480</v>
      </c>
      <c r="E1424" s="67">
        <v>2266132</v>
      </c>
      <c r="F1424" s="67" t="s">
        <v>1457</v>
      </c>
      <c r="G1424" s="25">
        <f t="shared" si="22"/>
        <v>1.0625000000000107E-2</v>
      </c>
    </row>
    <row r="1425" spans="1:7">
      <c r="A1425" s="67">
        <v>477.74</v>
      </c>
      <c r="B1425" s="67">
        <v>479.64</v>
      </c>
      <c r="C1425" s="67">
        <v>468.25</v>
      </c>
      <c r="D1425" s="67">
        <v>471</v>
      </c>
      <c r="E1425" s="67">
        <v>2901232</v>
      </c>
      <c r="F1425" s="67" t="s">
        <v>1458</v>
      </c>
      <c r="G1425" s="25">
        <f t="shared" si="22"/>
        <v>1.4309978768577425E-2</v>
      </c>
    </row>
    <row r="1426" spans="1:7">
      <c r="A1426" s="67">
        <v>466.31</v>
      </c>
      <c r="B1426" s="67">
        <v>475.86660000000001</v>
      </c>
      <c r="C1426" s="67">
        <v>466</v>
      </c>
      <c r="D1426" s="67">
        <v>474.09840000000003</v>
      </c>
      <c r="E1426" s="67">
        <v>4156589</v>
      </c>
      <c r="F1426" s="67" t="s">
        <v>1459</v>
      </c>
      <c r="G1426" s="25">
        <f t="shared" si="22"/>
        <v>-1.6427813297830163E-2</v>
      </c>
    </row>
    <row r="1427" spans="1:7">
      <c r="A1427" s="67">
        <v>485.69</v>
      </c>
      <c r="B1427" s="67">
        <v>486.08</v>
      </c>
      <c r="C1427" s="67">
        <v>479.19499999999999</v>
      </c>
      <c r="D1427" s="67">
        <v>485.88</v>
      </c>
      <c r="E1427" s="67">
        <v>2010099</v>
      </c>
      <c r="F1427" s="67" t="s">
        <v>1460</v>
      </c>
      <c r="G1427" s="25">
        <f t="shared" si="22"/>
        <v>-3.9104305589854338E-4</v>
      </c>
    </row>
    <row r="1428" spans="1:7">
      <c r="A1428" s="67">
        <v>485.34</v>
      </c>
      <c r="B1428" s="67">
        <v>500.79</v>
      </c>
      <c r="C1428" s="67">
        <v>476.28</v>
      </c>
      <c r="D1428" s="67">
        <v>500.3</v>
      </c>
      <c r="E1428" s="67">
        <v>3612949</v>
      </c>
      <c r="F1428" s="67" t="s">
        <v>1461</v>
      </c>
      <c r="G1428" s="25">
        <f t="shared" si="22"/>
        <v>-2.9902058764741279E-2</v>
      </c>
    </row>
    <row r="1429" spans="1:7">
      <c r="A1429" s="67">
        <v>500.12</v>
      </c>
      <c r="B1429" s="67">
        <v>500.66</v>
      </c>
      <c r="C1429" s="67">
        <v>494.89</v>
      </c>
      <c r="D1429" s="67">
        <v>497.99</v>
      </c>
      <c r="E1429" s="67">
        <v>1462236</v>
      </c>
      <c r="F1429" s="67" t="s">
        <v>1462</v>
      </c>
      <c r="G1429" s="25">
        <f t="shared" si="22"/>
        <v>4.2771943211710184E-3</v>
      </c>
    </row>
    <row r="1430" spans="1:7">
      <c r="A1430" s="67">
        <v>497.45</v>
      </c>
      <c r="B1430" s="67">
        <v>504.37</v>
      </c>
      <c r="C1430" s="67">
        <v>496.32749999999999</v>
      </c>
      <c r="D1430" s="67">
        <v>503.05</v>
      </c>
      <c r="E1430" s="67">
        <v>1529878</v>
      </c>
      <c r="F1430" s="67" t="s">
        <v>1463</v>
      </c>
      <c r="G1430" s="25">
        <f t="shared" si="22"/>
        <v>-1.1132094225226208E-2</v>
      </c>
    </row>
    <row r="1431" spans="1:7">
      <c r="A1431" s="67">
        <v>502.11</v>
      </c>
      <c r="B1431" s="67">
        <v>505.35</v>
      </c>
      <c r="C1431" s="67">
        <v>499.74</v>
      </c>
      <c r="D1431" s="67">
        <v>501.16500000000002</v>
      </c>
      <c r="E1431" s="67">
        <v>1434200</v>
      </c>
      <c r="F1431" s="67" t="s">
        <v>1464</v>
      </c>
      <c r="G1431" s="25">
        <f t="shared" si="22"/>
        <v>1.8856065367693908E-3</v>
      </c>
    </row>
    <row r="1432" spans="1:7">
      <c r="A1432" s="67">
        <v>498.95</v>
      </c>
      <c r="B1432" s="67">
        <v>506.04</v>
      </c>
      <c r="C1432" s="67">
        <v>496.815</v>
      </c>
      <c r="D1432" s="67">
        <v>505.61</v>
      </c>
      <c r="E1432" s="67">
        <v>1515441</v>
      </c>
      <c r="F1432" s="67" t="s">
        <v>1465</v>
      </c>
      <c r="G1432" s="25">
        <f t="shared" si="22"/>
        <v>-1.317220782816797E-2</v>
      </c>
    </row>
    <row r="1433" spans="1:7">
      <c r="A1433" s="67">
        <v>499.86</v>
      </c>
      <c r="B1433" s="67">
        <v>503.01</v>
      </c>
      <c r="C1433" s="67">
        <v>497.28</v>
      </c>
      <c r="D1433" s="67">
        <v>499.16</v>
      </c>
      <c r="E1433" s="67">
        <v>589182</v>
      </c>
      <c r="F1433" s="67" t="s">
        <v>1466</v>
      </c>
      <c r="G1433" s="25">
        <f t="shared" si="22"/>
        <v>1.4023559580094158E-3</v>
      </c>
    </row>
    <row r="1434" spans="1:7">
      <c r="A1434" s="67">
        <v>496.91</v>
      </c>
      <c r="B1434" s="67">
        <v>505.46</v>
      </c>
      <c r="C1434" s="67">
        <v>496.59</v>
      </c>
      <c r="D1434" s="67">
        <v>505.13</v>
      </c>
      <c r="E1434" s="67">
        <v>1428583</v>
      </c>
      <c r="F1434" s="67" t="s">
        <v>1467</v>
      </c>
      <c r="G1434" s="25">
        <f t="shared" si="22"/>
        <v>-1.6273038623720537E-2</v>
      </c>
    </row>
    <row r="1435" spans="1:7">
      <c r="A1435" s="67">
        <v>504.17</v>
      </c>
      <c r="B1435" s="67">
        <v>506.92</v>
      </c>
      <c r="C1435" s="67">
        <v>495.83</v>
      </c>
      <c r="D1435" s="67">
        <v>498.36</v>
      </c>
      <c r="E1435" s="67">
        <v>1701985</v>
      </c>
      <c r="F1435" s="67" t="s">
        <v>1468</v>
      </c>
      <c r="G1435" s="25">
        <f t="shared" si="22"/>
        <v>1.1658239023998762E-2</v>
      </c>
    </row>
    <row r="1436" spans="1:7">
      <c r="A1436" s="67">
        <v>498.39</v>
      </c>
      <c r="B1436" s="67">
        <v>502</v>
      </c>
      <c r="C1436" s="67">
        <v>491.5</v>
      </c>
      <c r="D1436" s="67">
        <v>498.05</v>
      </c>
      <c r="E1436" s="67">
        <v>2412884</v>
      </c>
      <c r="F1436" s="67" t="s">
        <v>1469</v>
      </c>
      <c r="G1436" s="25">
        <f t="shared" si="22"/>
        <v>6.8266238329472984E-4</v>
      </c>
    </row>
    <row r="1437" spans="1:7">
      <c r="A1437" s="67">
        <v>502.95</v>
      </c>
      <c r="B1437" s="67">
        <v>504.07</v>
      </c>
      <c r="C1437" s="67">
        <v>493.57</v>
      </c>
      <c r="D1437" s="67">
        <v>497.61</v>
      </c>
      <c r="E1437" s="67">
        <v>4667387</v>
      </c>
      <c r="F1437" s="67" t="s">
        <v>1470</v>
      </c>
      <c r="G1437" s="25">
        <f t="shared" si="22"/>
        <v>1.0731295592934176E-2</v>
      </c>
    </row>
    <row r="1438" spans="1:7">
      <c r="A1438" s="67">
        <v>495.36</v>
      </c>
      <c r="B1438" s="67">
        <v>496.99</v>
      </c>
      <c r="C1438" s="67">
        <v>490.63</v>
      </c>
      <c r="D1438" s="67">
        <v>493</v>
      </c>
      <c r="E1438" s="67">
        <v>2178354</v>
      </c>
      <c r="F1438" s="67" t="s">
        <v>1471</v>
      </c>
      <c r="G1438" s="25">
        <f t="shared" si="22"/>
        <v>4.787018255578035E-3</v>
      </c>
    </row>
    <row r="1439" spans="1:7">
      <c r="A1439" s="67">
        <v>489.9</v>
      </c>
      <c r="B1439" s="67">
        <v>491.5</v>
      </c>
      <c r="C1439" s="67">
        <v>484.11</v>
      </c>
      <c r="D1439" s="67">
        <v>485</v>
      </c>
      <c r="E1439" s="67">
        <v>2555596</v>
      </c>
      <c r="F1439" s="67" t="s">
        <v>1472</v>
      </c>
      <c r="G1439" s="25">
        <f t="shared" si="22"/>
        <v>1.0103092783505074E-2</v>
      </c>
    </row>
    <row r="1440" spans="1:7">
      <c r="A1440" s="67">
        <v>482.64</v>
      </c>
      <c r="B1440" s="67">
        <v>489.5</v>
      </c>
      <c r="C1440" s="67">
        <v>480.53</v>
      </c>
      <c r="D1440" s="67">
        <v>489.05</v>
      </c>
      <c r="E1440" s="67">
        <v>2559319</v>
      </c>
      <c r="F1440" s="67" t="s">
        <v>1473</v>
      </c>
      <c r="G1440" s="25">
        <f t="shared" si="22"/>
        <v>-1.3107044269502155E-2</v>
      </c>
    </row>
    <row r="1441" spans="1:7">
      <c r="A1441" s="67">
        <v>486.42</v>
      </c>
      <c r="B1441" s="67">
        <v>488.41</v>
      </c>
      <c r="C1441" s="67">
        <v>475.5</v>
      </c>
      <c r="D1441" s="67">
        <v>475.61</v>
      </c>
      <c r="E1441" s="67">
        <v>3945198</v>
      </c>
      <c r="F1441" s="67" t="s">
        <v>1474</v>
      </c>
      <c r="G1441" s="25">
        <f t="shared" si="22"/>
        <v>2.2728706292971079E-2</v>
      </c>
    </row>
    <row r="1442" spans="1:7">
      <c r="A1442" s="67">
        <v>475.91</v>
      </c>
      <c r="B1442" s="67">
        <v>478.89</v>
      </c>
      <c r="C1442" s="67">
        <v>468.82</v>
      </c>
      <c r="D1442" s="67">
        <v>475.97519999999997</v>
      </c>
      <c r="E1442" s="67">
        <v>3561554</v>
      </c>
      <c r="F1442" s="67" t="s">
        <v>1475</v>
      </c>
      <c r="G1442" s="25">
        <f t="shared" si="22"/>
        <v>-1.3698192678934795E-4</v>
      </c>
    </row>
    <row r="1443" spans="1:7">
      <c r="A1443" s="67">
        <v>476.87</v>
      </c>
      <c r="B1443" s="67">
        <v>488.29</v>
      </c>
      <c r="C1443" s="67">
        <v>470.95</v>
      </c>
      <c r="D1443" s="67">
        <v>483.74</v>
      </c>
      <c r="E1443" s="67">
        <v>3922009</v>
      </c>
      <c r="F1443" s="67" t="s">
        <v>1476</v>
      </c>
      <c r="G1443" s="25">
        <f t="shared" si="22"/>
        <v>-1.4201843965766736E-2</v>
      </c>
    </row>
    <row r="1444" spans="1:7">
      <c r="A1444" s="67">
        <v>483.74</v>
      </c>
      <c r="B1444" s="67">
        <v>497</v>
      </c>
      <c r="C1444" s="67">
        <v>479.26</v>
      </c>
      <c r="D1444" s="67">
        <v>496.03</v>
      </c>
      <c r="E1444" s="67">
        <v>3449121</v>
      </c>
      <c r="F1444" s="67" t="s">
        <v>1477</v>
      </c>
      <c r="G1444" s="25">
        <f t="shared" si="22"/>
        <v>-2.4776727214079752E-2</v>
      </c>
    </row>
    <row r="1445" spans="1:7">
      <c r="A1445" s="67">
        <v>495.28</v>
      </c>
      <c r="B1445" s="67">
        <v>496.04</v>
      </c>
      <c r="C1445" s="67">
        <v>486.20010000000002</v>
      </c>
      <c r="D1445" s="67">
        <v>492.29</v>
      </c>
      <c r="E1445" s="67">
        <v>2175673</v>
      </c>
      <c r="F1445" s="67" t="s">
        <v>1478</v>
      </c>
      <c r="G1445" s="25">
        <f t="shared" si="22"/>
        <v>6.0736557720042494E-3</v>
      </c>
    </row>
    <row r="1446" spans="1:7">
      <c r="A1446" s="67">
        <v>492.25</v>
      </c>
      <c r="B1446" s="67">
        <v>499.29</v>
      </c>
      <c r="C1446" s="67">
        <v>487</v>
      </c>
      <c r="D1446" s="67">
        <v>487</v>
      </c>
      <c r="E1446" s="67">
        <v>3441683</v>
      </c>
      <c r="F1446" s="67" t="s">
        <v>1479</v>
      </c>
      <c r="G1446" s="25">
        <f t="shared" si="22"/>
        <v>1.0780287474332573E-2</v>
      </c>
    </row>
    <row r="1447" spans="1:7">
      <c r="A1447" s="67">
        <v>486</v>
      </c>
      <c r="B1447" s="67">
        <v>491.38990000000001</v>
      </c>
      <c r="C1447" s="67">
        <v>484.36009999999999</v>
      </c>
      <c r="D1447" s="67">
        <v>485.67</v>
      </c>
      <c r="E1447" s="67">
        <v>2749793</v>
      </c>
      <c r="F1447" s="67" t="s">
        <v>1480</v>
      </c>
      <c r="G1447" s="25">
        <f t="shared" si="22"/>
        <v>6.7947371672127943E-4</v>
      </c>
    </row>
    <row r="1448" spans="1:7">
      <c r="A1448" s="67">
        <v>484.28</v>
      </c>
      <c r="B1448" s="67">
        <v>492.81</v>
      </c>
      <c r="C1448" s="67">
        <v>481.5</v>
      </c>
      <c r="D1448" s="67">
        <v>482.21</v>
      </c>
      <c r="E1448" s="67">
        <v>3062675</v>
      </c>
      <c r="F1448" s="67" t="s">
        <v>1481</v>
      </c>
      <c r="G1448" s="25">
        <f t="shared" si="22"/>
        <v>4.2927355301631831E-3</v>
      </c>
    </row>
    <row r="1449" spans="1:7">
      <c r="A1449" s="67">
        <v>481.26</v>
      </c>
      <c r="B1449" s="67">
        <v>481.32</v>
      </c>
      <c r="C1449" s="67">
        <v>470.12</v>
      </c>
      <c r="D1449" s="67">
        <v>475.67</v>
      </c>
      <c r="E1449" s="67">
        <v>2107080</v>
      </c>
      <c r="F1449" s="67" t="s">
        <v>1482</v>
      </c>
      <c r="G1449" s="25">
        <f t="shared" si="22"/>
        <v>1.1751844766329622E-2</v>
      </c>
    </row>
    <row r="1450" spans="1:7">
      <c r="A1450" s="67">
        <v>479.15</v>
      </c>
      <c r="B1450" s="67">
        <v>482.01</v>
      </c>
      <c r="C1450" s="67">
        <v>471.63279999999997</v>
      </c>
      <c r="D1450" s="67">
        <v>482.01</v>
      </c>
      <c r="E1450" s="67">
        <v>2533070</v>
      </c>
      <c r="F1450" s="67" t="s">
        <v>1483</v>
      </c>
      <c r="G1450" s="25">
        <f t="shared" si="22"/>
        <v>-5.9334868571191413E-3</v>
      </c>
    </row>
    <row r="1451" spans="1:7">
      <c r="A1451" s="67">
        <v>478.47</v>
      </c>
      <c r="B1451" s="67">
        <v>480.86</v>
      </c>
      <c r="C1451" s="67">
        <v>469.2</v>
      </c>
      <c r="D1451" s="67">
        <v>480</v>
      </c>
      <c r="E1451" s="67">
        <v>2786955</v>
      </c>
      <c r="F1451" s="67" t="s">
        <v>1484</v>
      </c>
      <c r="G1451" s="25">
        <f t="shared" si="22"/>
        <v>-3.1874999999998987E-3</v>
      </c>
    </row>
    <row r="1452" spans="1:7">
      <c r="A1452" s="67">
        <v>477.03</v>
      </c>
      <c r="B1452" s="67">
        <v>482.40499999999997</v>
      </c>
      <c r="C1452" s="67">
        <v>474.86</v>
      </c>
      <c r="D1452" s="67">
        <v>476.9</v>
      </c>
      <c r="E1452" s="67">
        <v>1815490</v>
      </c>
      <c r="F1452" s="67" t="s">
        <v>1485</v>
      </c>
      <c r="G1452" s="25">
        <f t="shared" si="22"/>
        <v>2.725938351855195E-4</v>
      </c>
    </row>
    <row r="1453" spans="1:7">
      <c r="A1453" s="67">
        <v>470.08</v>
      </c>
      <c r="B1453" s="67">
        <v>472.52499999999998</v>
      </c>
      <c r="C1453" s="67">
        <v>464.84500000000003</v>
      </c>
      <c r="D1453" s="67">
        <v>466.29</v>
      </c>
      <c r="E1453" s="67">
        <v>2634472</v>
      </c>
      <c r="F1453" s="67" t="s">
        <v>1486</v>
      </c>
      <c r="G1453" s="25">
        <f t="shared" si="22"/>
        <v>8.1279890197087923E-3</v>
      </c>
    </row>
    <row r="1454" spans="1:7">
      <c r="A1454" s="67">
        <v>462.7</v>
      </c>
      <c r="B1454" s="67">
        <v>464.49</v>
      </c>
      <c r="C1454" s="67">
        <v>456.67779999999999</v>
      </c>
      <c r="D1454" s="67">
        <v>461.41</v>
      </c>
      <c r="E1454" s="67">
        <v>2588241</v>
      </c>
      <c r="F1454" s="67" t="s">
        <v>1487</v>
      </c>
      <c r="G1454" s="25">
        <f t="shared" si="22"/>
        <v>2.7957781582539365E-3</v>
      </c>
    </row>
    <row r="1455" spans="1:7">
      <c r="A1455" s="67">
        <v>460.61</v>
      </c>
      <c r="B1455" s="67">
        <v>467</v>
      </c>
      <c r="C1455" s="67">
        <v>456.17</v>
      </c>
      <c r="D1455" s="67">
        <v>464.63339999999999</v>
      </c>
      <c r="E1455" s="67">
        <v>2371433</v>
      </c>
      <c r="F1455" s="67" t="s">
        <v>1488</v>
      </c>
      <c r="G1455" s="25">
        <f t="shared" si="22"/>
        <v>-8.6592999986655483E-3</v>
      </c>
    </row>
    <row r="1456" spans="1:7">
      <c r="A1456" s="67">
        <v>462.92</v>
      </c>
      <c r="B1456" s="67">
        <v>470</v>
      </c>
      <c r="C1456" s="67">
        <v>462.36</v>
      </c>
      <c r="D1456" s="67">
        <v>465.16</v>
      </c>
      <c r="E1456" s="67">
        <v>1851107</v>
      </c>
      <c r="F1456" s="67" t="s">
        <v>1489</v>
      </c>
      <c r="G1456" s="25">
        <f t="shared" si="22"/>
        <v>-4.8155473385501635E-3</v>
      </c>
    </row>
    <row r="1457" spans="1:7">
      <c r="A1457" s="67">
        <v>466.41</v>
      </c>
      <c r="B1457" s="67">
        <v>471.04</v>
      </c>
      <c r="C1457" s="67">
        <v>459.26</v>
      </c>
      <c r="D1457" s="67">
        <v>460</v>
      </c>
      <c r="E1457" s="67">
        <v>3132704</v>
      </c>
      <c r="F1457" s="67" t="s">
        <v>1490</v>
      </c>
      <c r="G1457" s="25">
        <f t="shared" si="22"/>
        <v>1.3934782608695739E-2</v>
      </c>
    </row>
    <row r="1458" spans="1:7">
      <c r="A1458" s="67">
        <v>459.47</v>
      </c>
      <c r="B1458" s="67">
        <v>467.9</v>
      </c>
      <c r="C1458" s="67">
        <v>459.26</v>
      </c>
      <c r="D1458" s="67">
        <v>466.71</v>
      </c>
      <c r="E1458" s="67">
        <v>2063159</v>
      </c>
      <c r="F1458" s="67" t="s">
        <v>1491</v>
      </c>
      <c r="G1458" s="25">
        <f t="shared" si="22"/>
        <v>-1.5512845235799433E-2</v>
      </c>
    </row>
    <row r="1459" spans="1:7">
      <c r="A1459" s="67">
        <v>467.95</v>
      </c>
      <c r="B1459" s="67">
        <v>469.90989999999999</v>
      </c>
      <c r="C1459" s="67">
        <v>460</v>
      </c>
      <c r="D1459" s="67">
        <v>461.66</v>
      </c>
      <c r="E1459" s="67">
        <v>2407597</v>
      </c>
      <c r="F1459" s="67" t="s">
        <v>1492</v>
      </c>
      <c r="G1459" s="25">
        <f t="shared" si="22"/>
        <v>1.3624745483689304E-2</v>
      </c>
    </row>
    <row r="1460" spans="1:7">
      <c r="A1460" s="67">
        <v>460.95</v>
      </c>
      <c r="B1460" s="67">
        <v>469.53</v>
      </c>
      <c r="C1460" s="67">
        <v>458.25009999999997</v>
      </c>
      <c r="D1460" s="67">
        <v>460.43</v>
      </c>
      <c r="E1460" s="67">
        <v>2522187</v>
      </c>
      <c r="F1460" s="67" t="s">
        <v>1493</v>
      </c>
      <c r="G1460" s="25">
        <f t="shared" si="22"/>
        <v>1.1293790587059149E-3</v>
      </c>
    </row>
    <row r="1461" spans="1:7">
      <c r="A1461" s="67">
        <v>469.34</v>
      </c>
      <c r="B1461" s="67">
        <v>470.6</v>
      </c>
      <c r="C1461" s="67">
        <v>459</v>
      </c>
      <c r="D1461" s="67">
        <v>467.45</v>
      </c>
      <c r="E1461" s="67">
        <v>2966003</v>
      </c>
      <c r="F1461" s="67" t="s">
        <v>1494</v>
      </c>
      <c r="G1461" s="25">
        <f t="shared" ref="G1461:G1498" si="23">A1461/D1461-1</f>
        <v>4.043213177880034E-3</v>
      </c>
    </row>
    <row r="1462" spans="1:7">
      <c r="A1462" s="67">
        <v>462.58</v>
      </c>
      <c r="B1462" s="67">
        <v>474.93299999999999</v>
      </c>
      <c r="C1462" s="67">
        <v>461.15</v>
      </c>
      <c r="D1462" s="67">
        <v>473.49</v>
      </c>
      <c r="E1462" s="67">
        <v>2115319</v>
      </c>
      <c r="F1462" s="67" t="s">
        <v>1495</v>
      </c>
      <c r="G1462" s="25">
        <f t="shared" si="23"/>
        <v>-2.304166930663798E-2</v>
      </c>
    </row>
    <row r="1463" spans="1:7">
      <c r="A1463" s="67">
        <v>467.75</v>
      </c>
      <c r="B1463" s="67">
        <v>470.12</v>
      </c>
      <c r="C1463" s="67">
        <v>457.5</v>
      </c>
      <c r="D1463" s="67">
        <v>458.49</v>
      </c>
      <c r="E1463" s="67">
        <v>2634159</v>
      </c>
      <c r="F1463" s="67" t="s">
        <v>1496</v>
      </c>
      <c r="G1463" s="25">
        <f t="shared" si="23"/>
        <v>2.0196732753168023E-2</v>
      </c>
    </row>
    <row r="1464" spans="1:7">
      <c r="A1464" s="67">
        <v>452</v>
      </c>
      <c r="B1464" s="67">
        <v>468.01</v>
      </c>
      <c r="C1464" s="67">
        <v>446</v>
      </c>
      <c r="D1464" s="67">
        <v>466.72</v>
      </c>
      <c r="E1464" s="67">
        <v>4920340</v>
      </c>
      <c r="F1464" s="67" t="s">
        <v>1497</v>
      </c>
      <c r="G1464" s="25">
        <f t="shared" si="23"/>
        <v>-3.1539252656839323E-2</v>
      </c>
    </row>
    <row r="1465" spans="1:7">
      <c r="A1465" s="67">
        <v>471.14</v>
      </c>
      <c r="B1465" s="67">
        <v>499.41</v>
      </c>
      <c r="C1465" s="67">
        <v>470.76</v>
      </c>
      <c r="D1465" s="67">
        <v>494.69630000000001</v>
      </c>
      <c r="E1465" s="67">
        <v>3625298</v>
      </c>
      <c r="F1465" s="67" t="s">
        <v>1498</v>
      </c>
      <c r="G1465" s="25">
        <f t="shared" si="23"/>
        <v>-4.7617699990883389E-2</v>
      </c>
    </row>
    <row r="1466" spans="1:7">
      <c r="A1466" s="67">
        <v>494.63</v>
      </c>
      <c r="B1466" s="67">
        <v>498.72</v>
      </c>
      <c r="C1466" s="67">
        <v>483</v>
      </c>
      <c r="D1466" s="67">
        <v>494.95</v>
      </c>
      <c r="E1466" s="67">
        <v>1956305</v>
      </c>
      <c r="F1466" s="67" t="s">
        <v>1499</v>
      </c>
      <c r="G1466" s="25">
        <f t="shared" si="23"/>
        <v>-6.465299525204582E-4</v>
      </c>
    </row>
    <row r="1467" spans="1:7">
      <c r="A1467" s="67">
        <v>496.47</v>
      </c>
      <c r="B1467" s="67">
        <v>502.53</v>
      </c>
      <c r="C1467" s="67">
        <v>489.8</v>
      </c>
      <c r="D1467" s="67">
        <v>499.27</v>
      </c>
      <c r="E1467" s="67">
        <v>2400994</v>
      </c>
      <c r="F1467" s="67" t="s">
        <v>1500</v>
      </c>
      <c r="G1467" s="25">
        <f t="shared" si="23"/>
        <v>-5.6081879544133129E-3</v>
      </c>
    </row>
    <row r="1468" spans="1:7">
      <c r="A1468" s="67">
        <v>487.23</v>
      </c>
      <c r="B1468" s="67">
        <v>494.94</v>
      </c>
      <c r="C1468" s="67">
        <v>474.47</v>
      </c>
      <c r="D1468" s="67">
        <v>477.93</v>
      </c>
      <c r="E1468" s="67">
        <v>4524341</v>
      </c>
      <c r="F1468" s="67" t="s">
        <v>1501</v>
      </c>
      <c r="G1468" s="25">
        <f t="shared" si="23"/>
        <v>1.9458916577741459E-2</v>
      </c>
    </row>
    <row r="1469" spans="1:7">
      <c r="A1469" s="67">
        <v>454.02</v>
      </c>
      <c r="B1469" s="67">
        <v>457.84399999999999</v>
      </c>
      <c r="C1469" s="67">
        <v>445.67</v>
      </c>
      <c r="D1469" s="67">
        <v>448.99</v>
      </c>
      <c r="E1469" s="67">
        <v>1758640</v>
      </c>
      <c r="F1469" s="67" t="s">
        <v>1502</v>
      </c>
      <c r="G1469" s="25">
        <f t="shared" si="23"/>
        <v>1.120292211407814E-2</v>
      </c>
    </row>
    <row r="1470" spans="1:7">
      <c r="A1470" s="67">
        <v>444.94</v>
      </c>
      <c r="B1470" s="67">
        <v>456.185</v>
      </c>
      <c r="C1470" s="67">
        <v>438.94</v>
      </c>
      <c r="D1470" s="67">
        <v>451</v>
      </c>
      <c r="E1470" s="67">
        <v>2479005</v>
      </c>
      <c r="F1470" s="67" t="s">
        <v>1503</v>
      </c>
      <c r="G1470" s="25">
        <f t="shared" si="23"/>
        <v>-1.3436807095343672E-2</v>
      </c>
    </row>
    <row r="1471" spans="1:7">
      <c r="A1471" s="67">
        <v>447.1</v>
      </c>
      <c r="B1471" s="67">
        <v>459.5</v>
      </c>
      <c r="C1471" s="67">
        <v>442.51</v>
      </c>
      <c r="D1471" s="67">
        <v>458.32</v>
      </c>
      <c r="E1471" s="67">
        <v>3128709</v>
      </c>
      <c r="F1471" s="67" t="s">
        <v>1504</v>
      </c>
      <c r="G1471" s="25">
        <f t="shared" si="23"/>
        <v>-2.4480712166172092E-2</v>
      </c>
    </row>
    <row r="1472" spans="1:7">
      <c r="A1472" s="67">
        <v>461.11</v>
      </c>
      <c r="B1472" s="67">
        <v>464.73</v>
      </c>
      <c r="C1472" s="67">
        <v>457.28</v>
      </c>
      <c r="D1472" s="67">
        <v>459.32</v>
      </c>
      <c r="E1472" s="67">
        <v>2125281</v>
      </c>
      <c r="F1472" s="67" t="s">
        <v>1505</v>
      </c>
      <c r="G1472" s="25">
        <f t="shared" si="23"/>
        <v>3.897065226857066E-3</v>
      </c>
    </row>
    <row r="1473" spans="1:7">
      <c r="A1473" s="67">
        <v>456.97</v>
      </c>
      <c r="B1473" s="67">
        <v>470.97</v>
      </c>
      <c r="C1473" s="67">
        <v>455.88</v>
      </c>
      <c r="D1473" s="67">
        <v>469.16500000000002</v>
      </c>
      <c r="E1473" s="67">
        <v>2677304</v>
      </c>
      <c r="F1473" s="67" t="s">
        <v>1506</v>
      </c>
      <c r="G1473" s="25">
        <f t="shared" si="23"/>
        <v>-2.5992987541696433E-2</v>
      </c>
    </row>
    <row r="1474" spans="1:7">
      <c r="A1474" s="67">
        <v>478.56</v>
      </c>
      <c r="B1474" s="67">
        <v>481.89</v>
      </c>
      <c r="C1474" s="67">
        <v>473.47</v>
      </c>
      <c r="D1474" s="67">
        <v>479.78</v>
      </c>
      <c r="E1474" s="67">
        <v>1896459</v>
      </c>
      <c r="F1474" s="67" t="s">
        <v>1507</v>
      </c>
      <c r="G1474" s="25">
        <f t="shared" si="23"/>
        <v>-2.5428321313935021E-3</v>
      </c>
    </row>
    <row r="1475" spans="1:7">
      <c r="A1475" s="67">
        <v>475.2</v>
      </c>
      <c r="B1475" s="67">
        <v>488.78</v>
      </c>
      <c r="C1475" s="67">
        <v>470.13</v>
      </c>
      <c r="D1475" s="67">
        <v>480.88350000000003</v>
      </c>
      <c r="E1475" s="67">
        <v>2337431</v>
      </c>
      <c r="F1475" s="67" t="s">
        <v>1508</v>
      </c>
      <c r="G1475" s="25">
        <f t="shared" si="23"/>
        <v>-1.1818870890766719E-2</v>
      </c>
    </row>
    <row r="1476" spans="1:7">
      <c r="A1476" s="67">
        <v>488.5</v>
      </c>
      <c r="B1476" s="67">
        <v>488.51</v>
      </c>
      <c r="C1476" s="67">
        <v>479.51</v>
      </c>
      <c r="D1476" s="67">
        <v>486.41</v>
      </c>
      <c r="E1476" s="67">
        <v>1899599</v>
      </c>
      <c r="F1476" s="67" t="s">
        <v>1509</v>
      </c>
      <c r="G1476" s="25">
        <f t="shared" si="23"/>
        <v>4.296786661458496E-3</v>
      </c>
    </row>
    <row r="1477" spans="1:7">
      <c r="A1477" s="67">
        <v>483.6</v>
      </c>
      <c r="B1477" s="67">
        <v>496.86</v>
      </c>
      <c r="C1477" s="67">
        <v>479.4</v>
      </c>
      <c r="D1477" s="67">
        <v>496.72</v>
      </c>
      <c r="E1477" s="67">
        <v>2615048</v>
      </c>
      <c r="F1477" s="67" t="s">
        <v>1510</v>
      </c>
      <c r="G1477" s="25">
        <f t="shared" si="23"/>
        <v>-2.6413271058141397E-2</v>
      </c>
    </row>
    <row r="1478" spans="1:7">
      <c r="A1478" s="67">
        <v>495.96</v>
      </c>
      <c r="B1478" s="67">
        <v>499.81</v>
      </c>
      <c r="C1478" s="67">
        <v>490.57</v>
      </c>
      <c r="D1478" s="67">
        <v>492.05</v>
      </c>
      <c r="E1478" s="67">
        <v>1369735</v>
      </c>
      <c r="F1478" s="67" t="s">
        <v>1511</v>
      </c>
      <c r="G1478" s="25">
        <f t="shared" si="23"/>
        <v>7.9463469159637423E-3</v>
      </c>
    </row>
    <row r="1479" spans="1:7">
      <c r="A1479" s="67">
        <v>494.58</v>
      </c>
      <c r="B1479" s="67">
        <v>500.16500000000002</v>
      </c>
      <c r="C1479" s="67">
        <v>491.91</v>
      </c>
      <c r="D1479" s="67">
        <v>495.25</v>
      </c>
      <c r="E1479" s="67">
        <v>1454449</v>
      </c>
      <c r="F1479" s="67" t="s">
        <v>1512</v>
      </c>
      <c r="G1479" s="25">
        <f t="shared" si="23"/>
        <v>-1.3528520949015466E-3</v>
      </c>
    </row>
    <row r="1480" spans="1:7">
      <c r="A1480" s="67">
        <v>495.2</v>
      </c>
      <c r="B1480" s="67">
        <v>507.75</v>
      </c>
      <c r="C1480" s="67">
        <v>493.19499999999999</v>
      </c>
      <c r="D1480" s="67">
        <v>507.75</v>
      </c>
      <c r="E1480" s="67">
        <v>1931403</v>
      </c>
      <c r="F1480" s="67" t="s">
        <v>1513</v>
      </c>
      <c r="G1480" s="25">
        <f t="shared" si="23"/>
        <v>-2.4716888232397816E-2</v>
      </c>
    </row>
    <row r="1481" spans="1:7">
      <c r="A1481" s="67">
        <v>502.82</v>
      </c>
      <c r="B1481" s="67">
        <v>510.34</v>
      </c>
      <c r="C1481" s="67">
        <v>500.7</v>
      </c>
      <c r="D1481" s="67">
        <v>504</v>
      </c>
      <c r="E1481" s="67">
        <v>2441382</v>
      </c>
      <c r="F1481" s="67" t="s">
        <v>1514</v>
      </c>
      <c r="G1481" s="25">
        <f t="shared" si="23"/>
        <v>-2.3412698412698107E-3</v>
      </c>
    </row>
    <row r="1482" spans="1:7">
      <c r="A1482" s="67">
        <v>501.15</v>
      </c>
      <c r="B1482" s="67">
        <v>502.5</v>
      </c>
      <c r="C1482" s="67">
        <v>491.85</v>
      </c>
      <c r="D1482" s="67">
        <v>499.26</v>
      </c>
      <c r="E1482" s="67">
        <v>2043107</v>
      </c>
      <c r="F1482" s="67" t="s">
        <v>1515</v>
      </c>
      <c r="G1482" s="25">
        <f t="shared" si="23"/>
        <v>3.7856026919840247E-3</v>
      </c>
    </row>
    <row r="1483" spans="1:7">
      <c r="A1483" s="67">
        <v>506.31</v>
      </c>
      <c r="B1483" s="67">
        <v>516.95000000000005</v>
      </c>
      <c r="C1483" s="67">
        <v>501.6</v>
      </c>
      <c r="D1483" s="67">
        <v>514.34</v>
      </c>
      <c r="E1483" s="67">
        <v>2033159</v>
      </c>
      <c r="F1483" s="67" t="s">
        <v>1516</v>
      </c>
      <c r="G1483" s="25">
        <f t="shared" si="23"/>
        <v>-1.5612240930124144E-2</v>
      </c>
    </row>
    <row r="1484" spans="1:7">
      <c r="A1484" s="67">
        <v>514.30999999999995</v>
      </c>
      <c r="B1484" s="67">
        <v>519.6</v>
      </c>
      <c r="C1484" s="67">
        <v>511.90010000000001</v>
      </c>
      <c r="D1484" s="67">
        <v>512.19000000000005</v>
      </c>
      <c r="E1484" s="67">
        <v>2438132</v>
      </c>
      <c r="F1484" s="67" t="s">
        <v>1517</v>
      </c>
      <c r="G1484" s="25">
        <f t="shared" si="23"/>
        <v>4.1390890099375355E-3</v>
      </c>
    </row>
    <row r="1485" spans="1:7">
      <c r="A1485" s="67">
        <v>510.89</v>
      </c>
      <c r="B1485" s="67">
        <v>516</v>
      </c>
      <c r="C1485" s="67">
        <v>499.54</v>
      </c>
      <c r="D1485" s="67">
        <v>508.26</v>
      </c>
      <c r="E1485" s="67">
        <v>3149650</v>
      </c>
      <c r="F1485" s="67" t="s">
        <v>1518</v>
      </c>
      <c r="G1485" s="25">
        <f t="shared" si="23"/>
        <v>5.1745169794987778E-3</v>
      </c>
    </row>
    <row r="1486" spans="1:7">
      <c r="A1486" s="67">
        <v>502.16</v>
      </c>
      <c r="B1486" s="67">
        <v>502.17</v>
      </c>
      <c r="C1486" s="67">
        <v>491.17599999999999</v>
      </c>
      <c r="D1486" s="67">
        <v>491.77</v>
      </c>
      <c r="E1486" s="67">
        <v>1853780</v>
      </c>
      <c r="F1486" s="67" t="s">
        <v>1519</v>
      </c>
      <c r="G1486" s="25">
        <f t="shared" si="23"/>
        <v>2.1127762978628395E-2</v>
      </c>
    </row>
    <row r="1487" spans="1:7">
      <c r="A1487" s="67">
        <v>490.84</v>
      </c>
      <c r="B1487" s="67">
        <v>499.48899999999998</v>
      </c>
      <c r="C1487" s="67">
        <v>487.56</v>
      </c>
      <c r="D1487" s="67">
        <v>499.05</v>
      </c>
      <c r="E1487" s="67">
        <v>1590732</v>
      </c>
      <c r="F1487" s="67" t="s">
        <v>1520</v>
      </c>
      <c r="G1487" s="25">
        <f t="shared" si="23"/>
        <v>-1.6451257389039298E-2</v>
      </c>
    </row>
    <row r="1488" spans="1:7">
      <c r="A1488" s="67">
        <v>493.15</v>
      </c>
      <c r="B1488" s="67">
        <v>493.98</v>
      </c>
      <c r="C1488" s="67">
        <v>481.43</v>
      </c>
      <c r="D1488" s="67">
        <v>484.35</v>
      </c>
      <c r="E1488" s="67">
        <v>2025769</v>
      </c>
      <c r="F1488" s="67" t="s">
        <v>1521</v>
      </c>
      <c r="G1488" s="25">
        <f t="shared" si="23"/>
        <v>1.8168679673789434E-2</v>
      </c>
    </row>
    <row r="1489" spans="1:7">
      <c r="A1489" s="67">
        <v>478.98</v>
      </c>
      <c r="B1489" s="67">
        <v>491.51</v>
      </c>
      <c r="C1489" s="67">
        <v>477.5</v>
      </c>
      <c r="D1489" s="67">
        <v>485</v>
      </c>
      <c r="E1489" s="67">
        <v>2041545</v>
      </c>
      <c r="F1489" s="67" t="s">
        <v>1522</v>
      </c>
      <c r="G1489" s="25">
        <f t="shared" si="23"/>
        <v>-1.2412371134020606E-2</v>
      </c>
    </row>
    <row r="1490" spans="1:7">
      <c r="A1490" s="67">
        <v>486.47</v>
      </c>
      <c r="B1490" s="67">
        <v>486.69</v>
      </c>
      <c r="C1490" s="67">
        <v>478.99</v>
      </c>
      <c r="D1490" s="67">
        <v>483.25</v>
      </c>
      <c r="E1490" s="67">
        <v>1984130</v>
      </c>
      <c r="F1490" s="67" t="s">
        <v>1523</v>
      </c>
      <c r="G1490" s="25">
        <f t="shared" si="23"/>
        <v>6.6632177961718497E-3</v>
      </c>
    </row>
    <row r="1491" spans="1:7">
      <c r="A1491" s="67">
        <v>478.99</v>
      </c>
      <c r="B1491" s="67">
        <v>496.78</v>
      </c>
      <c r="C1491" s="67">
        <v>478.64</v>
      </c>
      <c r="D1491" s="67">
        <v>487.99</v>
      </c>
      <c r="E1491" s="67">
        <v>2780946</v>
      </c>
      <c r="F1491" s="67" t="s">
        <v>1524</v>
      </c>
      <c r="G1491" s="25">
        <f t="shared" si="23"/>
        <v>-1.8443000881165572E-2</v>
      </c>
    </row>
    <row r="1492" spans="1:7">
      <c r="A1492" s="67">
        <v>499.51</v>
      </c>
      <c r="B1492" s="67">
        <v>501.5</v>
      </c>
      <c r="C1492" s="67">
        <v>495.76</v>
      </c>
      <c r="D1492" s="67">
        <v>497.42520000000002</v>
      </c>
      <c r="E1492" s="67">
        <v>2264603</v>
      </c>
      <c r="F1492" s="67" t="s">
        <v>1525</v>
      </c>
      <c r="G1492" s="25">
        <f t="shared" si="23"/>
        <v>4.19118291554188E-3</v>
      </c>
    </row>
    <row r="1493" spans="1:7">
      <c r="A1493" s="67">
        <v>490.43</v>
      </c>
      <c r="B1493" s="67">
        <v>497.24</v>
      </c>
      <c r="C1493" s="67">
        <v>486.22</v>
      </c>
      <c r="D1493" s="67">
        <v>488.13</v>
      </c>
      <c r="E1493" s="67">
        <v>3508159</v>
      </c>
      <c r="F1493" s="67" t="s">
        <v>1526</v>
      </c>
      <c r="G1493" s="25">
        <f t="shared" si="23"/>
        <v>4.7118595456128176E-3</v>
      </c>
    </row>
    <row r="1494" spans="1:7">
      <c r="A1494" s="67">
        <v>489.33</v>
      </c>
      <c r="B1494" s="67">
        <v>493.45</v>
      </c>
      <c r="C1494" s="67">
        <v>484.17</v>
      </c>
      <c r="D1494" s="67">
        <v>489.94</v>
      </c>
      <c r="E1494" s="67">
        <v>2043887</v>
      </c>
      <c r="F1494" s="67" t="s">
        <v>1527</v>
      </c>
      <c r="G1494" s="25">
        <f t="shared" si="23"/>
        <v>-1.2450504143364238E-3</v>
      </c>
    </row>
    <row r="1495" spans="1:7">
      <c r="A1495" s="67">
        <v>488.51</v>
      </c>
      <c r="B1495" s="67">
        <v>489.39</v>
      </c>
      <c r="C1495" s="67">
        <v>481.18</v>
      </c>
      <c r="D1495" s="67">
        <v>487.97</v>
      </c>
      <c r="E1495" s="67">
        <v>2844778</v>
      </c>
      <c r="F1495" s="67" t="s">
        <v>1528</v>
      </c>
      <c r="G1495" s="25">
        <f t="shared" si="23"/>
        <v>1.1066254072995552E-3</v>
      </c>
    </row>
    <row r="1496" spans="1:7">
      <c r="A1496" s="67">
        <v>479.78</v>
      </c>
      <c r="B1496" s="67">
        <v>481.58</v>
      </c>
      <c r="C1496" s="67">
        <v>466.01</v>
      </c>
      <c r="D1496" s="67">
        <v>469.23</v>
      </c>
      <c r="E1496" s="67">
        <v>2541114</v>
      </c>
      <c r="F1496" s="67" t="s">
        <v>1529</v>
      </c>
      <c r="G1496" s="25">
        <f t="shared" si="23"/>
        <v>2.2483643415808885E-2</v>
      </c>
    </row>
    <row r="1497" spans="1:7">
      <c r="A1497" s="67">
        <v>467.67</v>
      </c>
      <c r="B1497" s="67">
        <v>471.42500000000001</v>
      </c>
      <c r="C1497" s="67">
        <v>460.27</v>
      </c>
      <c r="D1497" s="67">
        <v>466.93</v>
      </c>
      <c r="E1497" s="67">
        <v>2838781</v>
      </c>
      <c r="F1497" s="67" t="s">
        <v>1530</v>
      </c>
      <c r="G1497" s="25">
        <f t="shared" si="23"/>
        <v>1.5848199944317187E-3</v>
      </c>
    </row>
    <row r="1498" spans="1:7">
      <c r="A1498" s="67">
        <v>470.39</v>
      </c>
      <c r="B1498" s="67">
        <v>488</v>
      </c>
      <c r="C1498" s="67">
        <v>468.23009999999999</v>
      </c>
      <c r="D1498" s="67">
        <v>486.88</v>
      </c>
      <c r="E1498" s="67">
        <v>2671337</v>
      </c>
      <c r="F1498" s="67" t="s">
        <v>1531</v>
      </c>
      <c r="G1498" s="25">
        <f t="shared" si="23"/>
        <v>-3.386871508379885E-2</v>
      </c>
    </row>
    <row r="1499" spans="1:7">
      <c r="A1499" s="67">
        <v>486.78</v>
      </c>
      <c r="B1499" s="67">
        <v>487.2</v>
      </c>
      <c r="C1499" s="67">
        <v>469.56</v>
      </c>
      <c r="D1499" s="67">
        <v>479.31</v>
      </c>
      <c r="E1499" s="67">
        <v>2629133</v>
      </c>
      <c r="F1499" s="67" t="s">
        <v>1532</v>
      </c>
      <c r="G1499" s="25">
        <f>A1499/D1499-1</f>
        <v>1.5584903298491604E-2</v>
      </c>
    </row>
    <row r="1500" spans="1:7">
      <c r="G1500" s="25"/>
    </row>
    <row r="1501" spans="1:7">
      <c r="G1501" s="25"/>
    </row>
    <row r="1502" spans="1:7">
      <c r="G1502" s="25"/>
    </row>
    <row r="1503" spans="1:7">
      <c r="G1503" s="25"/>
    </row>
    <row r="1504" spans="1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  <row r="1565" spans="7:7">
      <c r="G1565" s="25"/>
    </row>
    <row r="1566" spans="7:7">
      <c r="G1566" s="25"/>
    </row>
    <row r="1567" spans="7:7">
      <c r="G1567" s="25"/>
    </row>
    <row r="1568" spans="7:7">
      <c r="G1568" s="25"/>
    </row>
    <row r="1569" spans="7:7">
      <c r="G1569" s="25"/>
    </row>
    <row r="1570" spans="7:7">
      <c r="G1570" s="25"/>
    </row>
    <row r="1571" spans="7:7">
      <c r="G1571" s="25"/>
    </row>
    <row r="1572" spans="7:7">
      <c r="G1572" s="25"/>
    </row>
    <row r="1573" spans="7:7">
      <c r="G1573" s="25"/>
    </row>
    <row r="1574" spans="7:7">
      <c r="G1574" s="25"/>
    </row>
    <row r="1575" spans="7:7">
      <c r="G1575" s="25"/>
    </row>
    <row r="1576" spans="7:7">
      <c r="G1576" s="25"/>
    </row>
    <row r="1577" spans="7:7">
      <c r="G1577" s="25"/>
    </row>
    <row r="1578" spans="7:7">
      <c r="G1578" s="25"/>
    </row>
    <row r="1579" spans="7:7">
      <c r="G1579" s="25"/>
    </row>
    <row r="1580" spans="7:7">
      <c r="G1580" s="25"/>
    </row>
    <row r="1581" spans="7:7">
      <c r="G1581" s="25"/>
    </row>
    <row r="1582" spans="7:7">
      <c r="G1582" s="25"/>
    </row>
    <row r="1583" spans="7:7">
      <c r="G1583" s="25"/>
    </row>
    <row r="1584" spans="7:7">
      <c r="G1584" s="25"/>
    </row>
    <row r="1585" spans="7:7">
      <c r="G1585" s="25"/>
    </row>
    <row r="1586" spans="7:7">
      <c r="G1586" s="25"/>
    </row>
    <row r="1587" spans="7:7">
      <c r="G1587" s="25"/>
    </row>
    <row r="1588" spans="7:7">
      <c r="G1588" s="25"/>
    </row>
    <row r="1589" spans="7:7">
      <c r="G1589" s="25"/>
    </row>
    <row r="1590" spans="7:7">
      <c r="G1590" s="25"/>
    </row>
    <row r="1591" spans="7:7">
      <c r="G1591" s="25"/>
    </row>
    <row r="1592" spans="7:7">
      <c r="G1592" s="25"/>
    </row>
    <row r="1593" spans="7:7">
      <c r="G1593" s="25"/>
    </row>
    <row r="1594" spans="7:7">
      <c r="G1594" s="25"/>
    </row>
    <row r="1595" spans="7:7">
      <c r="G1595" s="25"/>
    </row>
    <row r="1596" spans="7:7">
      <c r="G1596" s="25"/>
    </row>
    <row r="1597" spans="7:7">
      <c r="G1597" s="25"/>
    </row>
    <row r="1598" spans="7:7">
      <c r="G1598" s="25"/>
    </row>
    <row r="1599" spans="7:7">
      <c r="G1599" s="25"/>
    </row>
    <row r="1600" spans="7:7">
      <c r="G1600" s="25"/>
    </row>
    <row r="1601" spans="7:7">
      <c r="G1601" s="25"/>
    </row>
    <row r="1602" spans="7:7">
      <c r="G1602" s="25"/>
    </row>
    <row r="1603" spans="7:7">
      <c r="G1603" s="25"/>
    </row>
    <row r="1604" spans="7:7">
      <c r="G1604" s="25"/>
    </row>
    <row r="1605" spans="7:7">
      <c r="G1605" s="25"/>
    </row>
    <row r="1606" spans="7:7">
      <c r="G1606" s="25"/>
    </row>
    <row r="1607" spans="7:7">
      <c r="G1607" s="25"/>
    </row>
    <row r="1608" spans="7:7">
      <c r="G1608" s="25"/>
    </row>
    <row r="1609" spans="7:7">
      <c r="G1609" s="25"/>
    </row>
    <row r="1610" spans="7:7">
      <c r="G1610" s="25"/>
    </row>
    <row r="1611" spans="7:7">
      <c r="G1611" s="25"/>
    </row>
    <row r="1612" spans="7:7">
      <c r="G1612" s="25"/>
    </row>
    <row r="1613" spans="7:7">
      <c r="G1613" s="25"/>
    </row>
    <row r="1614" spans="7:7">
      <c r="G1614" s="25"/>
    </row>
    <row r="1615" spans="7:7">
      <c r="G1615" s="25"/>
    </row>
  </sheetData>
  <sortState xmlns:xlrd2="http://schemas.microsoft.com/office/spreadsheetml/2017/richdata2" ref="I269:I373">
    <sortCondition ref="I26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2026-01-12T09:02:30Z</dcterms:modified>
</cp:coreProperties>
</file>