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F241FF90-4EC2-4AC9-92C1-E936F302E2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4" i="3" l="1"/>
  <c r="K273" i="3"/>
  <c r="K272" i="3"/>
  <c r="K271" i="3"/>
  <c r="K270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1503" i="3"/>
  <c r="DI80" i="2"/>
  <c r="DI86" i="2"/>
  <c r="DI84" i="2"/>
  <c r="DI79" i="2"/>
  <c r="DF78" i="2"/>
  <c r="DD78" i="2"/>
  <c r="DC78" i="2"/>
  <c r="DA78" i="2"/>
  <c r="DA79" i="2" s="1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BS48" i="2"/>
  <c r="BR46" i="2"/>
  <c r="BQ46" i="2"/>
  <c r="CY46" i="2" s="1"/>
  <c r="BP46" i="2"/>
  <c r="BO46" i="2"/>
  <c r="BN46" i="2"/>
  <c r="BM46" i="2"/>
  <c r="BL46" i="2"/>
  <c r="BK46" i="2"/>
  <c r="BJ46" i="2"/>
  <c r="BI46" i="2"/>
  <c r="CW46" i="2" s="1"/>
  <c r="BH46" i="2"/>
  <c r="BG46" i="2"/>
  <c r="BF46" i="2"/>
  <c r="BE46" i="2"/>
  <c r="BD46" i="2"/>
  <c r="BC46" i="2"/>
  <c r="CV46" i="2" s="1"/>
  <c r="BB46" i="2"/>
  <c r="BA46" i="2"/>
  <c r="CU46" i="2" s="1"/>
  <c r="AZ46" i="2"/>
  <c r="AY46" i="2"/>
  <c r="BS4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DI26" i="2"/>
  <c r="DH26" i="2"/>
  <c r="DG26" i="2"/>
  <c r="DF26" i="2"/>
  <c r="DE26" i="2"/>
  <c r="DD26" i="2"/>
  <c r="DC26" i="2"/>
  <c r="DB26" i="2"/>
  <c r="DA26" i="2"/>
  <c r="CZ26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X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Y13" i="2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Y12" i="2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Y11" i="2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Y10" i="2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Y9" i="2"/>
  <c r="CZ9" i="2" s="1"/>
  <c r="DA9" i="2" s="1"/>
  <c r="DB9" i="2" s="1"/>
  <c r="DC9" i="2" s="1"/>
  <c r="DD9" i="2" s="1"/>
  <c r="DE9" i="2" s="1"/>
  <c r="DF9" i="2" s="1"/>
  <c r="DG9" i="2" s="1"/>
  <c r="DH9" i="2" s="1"/>
  <c r="DI9" i="2" s="1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Y8" i="2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Y7" i="2"/>
  <c r="CZ7" i="2" s="1"/>
  <c r="DA7" i="2" s="1"/>
  <c r="DB7" i="2" s="1"/>
  <c r="DC7" i="2" s="1"/>
  <c r="DD7" i="2" s="1"/>
  <c r="DE7" i="2" s="1"/>
  <c r="DF7" i="2" s="1"/>
  <c r="DG7" i="2" s="1"/>
  <c r="DH7" i="2" s="1"/>
  <c r="DI7" i="2" s="1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Y5" i="2"/>
  <c r="CZ5" i="2" s="1"/>
  <c r="DA5" i="2" s="1"/>
  <c r="DB5" i="2" s="1"/>
  <c r="DC5" i="2" s="1"/>
  <c r="DD5" i="2" s="1"/>
  <c r="DE5" i="2" s="1"/>
  <c r="DF5" i="2" s="1"/>
  <c r="DG5" i="2" s="1"/>
  <c r="DH5" i="2" s="1"/>
  <c r="DI5" i="2" s="1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V4" i="2"/>
  <c r="CX4" i="2"/>
  <c r="CY4" i="2"/>
  <c r="CZ4" i="2" s="1"/>
  <c r="DA4" i="2" s="1"/>
  <c r="DB4" i="2" s="1"/>
  <c r="DC4" i="2" s="1"/>
  <c r="DD4" i="2" s="1"/>
  <c r="DE4" i="2" s="1"/>
  <c r="DF4" i="2" s="1"/>
  <c r="DG4" i="2" s="1"/>
  <c r="DH4" i="2" s="1"/>
  <c r="DI4" i="2" s="1"/>
  <c r="CW4" i="2"/>
  <c r="CU4" i="2"/>
  <c r="CU16" i="2" s="1"/>
  <c r="CT4" i="2"/>
  <c r="CS4" i="2"/>
  <c r="CR4" i="2"/>
  <c r="CQ4" i="2"/>
  <c r="CP4" i="2"/>
  <c r="CO4" i="2"/>
  <c r="CN4" i="2"/>
  <c r="CM4" i="2"/>
  <c r="CM16" i="2" s="1"/>
  <c r="CL4" i="2"/>
  <c r="CK4" i="2"/>
  <c r="CJ4" i="2"/>
  <c r="CK16" i="2" s="1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C5" i="1"/>
  <c r="C8" i="1" s="1"/>
  <c r="K275" i="3" l="1"/>
  <c r="DI81" i="2"/>
  <c r="DI83" i="2" s="1"/>
  <c r="DI85" i="2" s="1"/>
  <c r="DI87" i="2" s="1"/>
  <c r="DJ87" i="2" s="1"/>
  <c r="CN16" i="2"/>
  <c r="CQ16" i="2"/>
  <c r="CV16" i="2"/>
  <c r="CL16" i="2"/>
  <c r="CT16" i="2"/>
  <c r="CR16" i="2"/>
  <c r="CS16" i="2"/>
  <c r="CJ16" i="2"/>
  <c r="CW16" i="2"/>
  <c r="CO16" i="2"/>
  <c r="CP16" i="2"/>
  <c r="CX16" i="2"/>
  <c r="CZ6" i="2"/>
  <c r="DA6" i="2" s="1"/>
  <c r="DB6" i="2" s="1"/>
  <c r="DC6" i="2" s="1"/>
  <c r="DD6" i="2" s="1"/>
  <c r="DE6" i="2" s="1"/>
  <c r="DF6" i="2" s="1"/>
  <c r="DG6" i="2" s="1"/>
  <c r="DH6" i="2" s="1"/>
  <c r="DI6" i="2" s="1"/>
  <c r="DI14" i="2" s="1"/>
  <c r="CY16" i="2"/>
  <c r="CY28" i="2"/>
  <c r="P292" i="3"/>
  <c r="DH88" i="2" l="1" a="1"/>
  <c r="DH88" i="2" s="1"/>
  <c r="DE14" i="2"/>
  <c r="DF14" i="2"/>
  <c r="DH14" i="2"/>
  <c r="CZ14" i="2"/>
  <c r="DB14" i="2"/>
  <c r="DG14" i="2"/>
  <c r="DC14" i="2"/>
  <c r="DA14" i="2"/>
  <c r="DD14" i="2"/>
  <c r="P282" i="3"/>
  <c r="P281" i="3"/>
  <c r="P284" i="3"/>
  <c r="P291" i="3"/>
  <c r="P283" i="3"/>
  <c r="P294" i="3"/>
  <c r="P290" i="3"/>
  <c r="P286" i="3"/>
  <c r="P289" i="3"/>
  <c r="P293" i="3"/>
  <c r="P288" i="3"/>
  <c r="P285" i="3"/>
  <c r="P28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<sst xmlns="http://schemas.openxmlformats.org/spreadsheetml/2006/main" count="1563" uniqueCount="1534">
  <si>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</si>
  <si>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</si>
  <si>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</si>
  <si>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</si>
  <si>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</si>
  <si>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</si>
  <si>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</si>
  <si>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</si>
  <si>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</si>
  <si>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</si>
  <si>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</si>
  <si>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</si>
  <si>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</si>
  <si>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</si>
  <si>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</si>
  <si>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[Godel Snapshot]</t>
  </si>
  <si>
    <t>[Company] Major Acquisitions (1990s - Present)</t>
  </si>
  <si>
    <t>19--'s</t>
  </si>
  <si>
    <t>2000s</t>
  </si>
  <si>
    <t>2010s</t>
  </si>
  <si>
    <t>2020s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</si>
  <si>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</si>
  <si>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</si>
  <si>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</si>
  <si>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</si>
  <si>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</si>
  <si>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</si>
  <si>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</si>
  <si>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</si>
  <si>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</si>
  <si>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</si>
  <si>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</si>
  <si>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</si>
  <si>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</si>
  <si>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</si>
  <si>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</si>
  <si>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</si>
  <si>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</si>
  <si>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</si>
  <si>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</si>
  <si>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</si>
  <si>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</si>
  <si>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</si>
  <si>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</si>
  <si>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</si>
  <si>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</si>
  <si>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</si>
  <si>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</si>
  <si>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</si>
  <si>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</si>
  <si>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</si>
  <si>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Q2 2008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</si>
  <si>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</si>
  <si>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</si>
  <si>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</si>
  <si>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</si>
  <si>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</si>
  <si>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</si>
  <si>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</si>
  <si>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</si>
  <si>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</si>
  <si>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</si>
  <si>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</si>
  <si>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</si>
  <si>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</si>
  <si>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</si>
  <si>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</si>
  <si>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</si>
  <si>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</si>
  <si>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</si>
  <si>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</si>
  <si>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</si>
  <si>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</si>
  <si>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</si>
  <si>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</si>
  <si>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</si>
  <si>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</si>
  <si>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</si>
  <si>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</si>
  <si>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</si>
  <si>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</si>
  <si>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</si>
  <si>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</si>
  <si>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</si>
  <si>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</si>
  <si>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</si>
  <si>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</si>
  <si>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</si>
  <si>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</si>
  <si>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</si>
  <si>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</si>
  <si>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</si>
  <si>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</si>
  <si>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</si>
  <si>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</si>
  <si>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</si>
  <si>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</si>
  <si>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</si>
  <si>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</si>
  <si>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</si>
  <si>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</si>
  <si>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</si>
  <si>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</si>
  <si>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</si>
  <si>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</si>
  <si>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</si>
  <si>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</si>
  <si>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</si>
  <si>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</si>
  <si>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</si>
  <si>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</si>
  <si>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</si>
  <si>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</si>
  <si>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</si>
  <si>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</si>
  <si>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</si>
  <si>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</si>
  <si>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</si>
  <si>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</si>
  <si>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</si>
  <si>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</si>
  <si>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</si>
  <si>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</si>
  <si>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</si>
  <si>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</si>
  <si>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</si>
  <si>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</si>
  <si>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</si>
  <si>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</si>
  <si>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Q1 2008</t>
  </si>
  <si>
    <t>Q4 2008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</si>
  <si>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</si>
  <si>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</si>
  <si>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</si>
  <si>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</si>
  <si>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</si>
  <si>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</si>
  <si>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</si>
  <si>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</si>
  <si>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</si>
  <si>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</si>
  <si>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</si>
  <si>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</si>
  <si>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</si>
  <si>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</si>
  <si>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</si>
  <si>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</si>
  <si>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</si>
  <si>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</si>
  <si>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</si>
  <si>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</si>
  <si>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</si>
  <si>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</si>
  <si>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</si>
  <si>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</si>
  <si>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</si>
  <si>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</si>
  <si>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</si>
  <si>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</si>
  <si>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</si>
  <si>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</si>
  <si>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</si>
  <si>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</si>
  <si>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</si>
  <si>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</si>
  <si>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</si>
  <si>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</si>
  <si>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</si>
  <si>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</si>
  <si>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</si>
  <si>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</si>
  <si>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</si>
  <si>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</si>
  <si>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</si>
  <si>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</si>
  <si>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</si>
  <si>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</si>
  <si>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</si>
  <si>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</si>
  <si>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</si>
  <si>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</si>
  <si>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</si>
  <si>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</si>
  <si>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</si>
  <si>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</si>
  <si>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</si>
  <si>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</si>
  <si>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</si>
  <si>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</si>
  <si>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</si>
  <si>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</si>
  <si>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</si>
  <si>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</si>
  <si>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</si>
  <si>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[Godel Snapshot of projected earnings/EPS]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</si>
  <si>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</si>
  <si>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</si>
  <si>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</si>
  <si>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</si>
  <si>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</si>
  <si>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</si>
  <si>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</si>
  <si>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</si>
  <si>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</si>
  <si>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</si>
  <si>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</si>
  <si>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</si>
  <si>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</si>
  <si>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</si>
  <si>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</si>
  <si>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</si>
  <si>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</si>
  <si>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</si>
  <si>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</si>
  <si>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</si>
  <si>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</si>
  <si>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</si>
  <si>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</si>
  <si>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</si>
  <si>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</si>
  <si>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</si>
  <si>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</si>
  <si>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</si>
  <si>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</si>
  <si>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</si>
  <si>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</si>
  <si>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</si>
  <si>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</si>
  <si>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</si>
  <si>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</si>
  <si>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</si>
  <si>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</si>
  <si>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</si>
  <si>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</si>
  <si>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</si>
  <si>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</si>
  <si>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</si>
  <si>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</si>
  <si>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</si>
  <si>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</si>
  <si>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</si>
  <si>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BAX</t>
  </si>
  <si>
    <t>Baxter International Inc. (BAX)</t>
  </si>
  <si>
    <t>9/19/25</t>
  </si>
  <si>
    <t>Founder(s): Dr. Don Baxter and Dr. Ralph Falk</t>
  </si>
  <si>
    <t>Founded: 1931</t>
  </si>
  <si>
    <t>Headquarters: Deerfield, IL</t>
  </si>
  <si>
    <t>Current CEO: Andrew Hider</t>
  </si>
  <si>
    <t>Employees: 38,000</t>
  </si>
  <si>
    <t>Sector: Healthcare</t>
  </si>
  <si>
    <t>IPO: October 27, 1981</t>
  </si>
  <si>
    <t>Registered Exchange: NYSE</t>
  </si>
  <si>
    <t>Address: One Baxter Parkway, Deerfield, IL 60015, U.S.</t>
  </si>
  <si>
    <t>Global_CORP_Investor_Relations@baxter.com</t>
  </si>
  <si>
    <t>media@baxter.com</t>
  </si>
  <si>
    <t>Fiscal Year: [January - December]</t>
  </si>
  <si>
    <t>Industry:  Medical Instruments, Supplies, and Pharma</t>
  </si>
  <si>
    <t>https://www.sec.gov/edgar/browse/?CIK=10456&amp;owner=exclude</t>
  </si>
  <si>
    <t>https://www.baxter.com/</t>
  </si>
  <si>
    <t>https://investor.baxter.com/investors/investor-overview/default.aspx</t>
  </si>
  <si>
    <t>https://seekingalpha.com/symbol/BAX/earnings/transcripts</t>
  </si>
  <si>
    <t>https://stockanalysis.com/stocks/bax/company/</t>
  </si>
  <si>
    <t>https://www.macrotrends.net/stocks/charts/BAX/baxter/income-statement?freq=A</t>
  </si>
  <si>
    <t>https://www.gurufocus.com/term/wacc/BAX</t>
  </si>
  <si>
    <t>Baxter International Inc. provides a portfolio of healthcare products in the United States and internationally</t>
  </si>
  <si>
    <t>The Company operates through three segments: Medical Products and Therapies, Healthcare Systems and Technologies, and Pharmaceuticals</t>
  </si>
  <si>
    <t>as well as advanced equipment for the surgical space comprising operating room integration technologies, precision positioning devices, and other accessories</t>
  </si>
  <si>
    <t xml:space="preserve">It offers sterile intravenous (IV) solutions; infusion systems and devices; parenteral nutrition therapies; administrative sets; generic injectable pharmaceuticals; </t>
  </si>
  <si>
    <t>surgical hemostat and sealant products; advanced surgical equipment; smart bed systems; patient monitoring and diagnostic technologies; and respiratory health devices</t>
  </si>
  <si>
    <t>The company also provides specialty injectable pharmaceuticals, inhaled anesthetics, and drug compounding services</t>
  </si>
  <si>
    <t>Its products are used in hospitals, nursing homes, rehabilitation centers, ambulatory surgery centers, doctors’ offices, kidney dialysis centers, and patients at home under physician supervision</t>
  </si>
  <si>
    <t>The company sells its products through direct sales force, independent distributors, drug wholesalers, and specialty pharmacy or other alternate site providers</t>
  </si>
  <si>
    <t>It has an agreement with Celerity Pharmaceuticals, LLC to develop acute care generic injectable premix and oncolytic products</t>
  </si>
  <si>
    <t>The company operates in the United States, Europe, the Middle East, Africa, Latin America, Asia, Canada, Japan, Australia, and New Zealand</t>
  </si>
  <si>
    <t>Baxter International Inc. was incorporated in 1931 and is headquartered in Deerfield, Illinois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</si>
  <si>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</si>
  <si>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</si>
  <si>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</si>
  <si>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</si>
  <si>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</si>
  <si>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</si>
  <si>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</si>
  <si>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</si>
  <si>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</si>
  <si>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</si>
  <si>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</si>
  <si>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</si>
  <si>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</si>
  <si>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</si>
  <si>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</si>
  <si>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</si>
  <si>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</si>
  <si>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</si>
  <si>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</si>
  <si>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</si>
  <si>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</si>
  <si>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</si>
  <si>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</si>
  <si>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</si>
  <si>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</si>
  <si>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</si>
  <si>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</si>
  <si>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</si>
  <si>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</si>
  <si>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</si>
  <si>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</si>
  <si>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</si>
  <si>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</si>
  <si>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</si>
  <si>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</si>
  <si>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</si>
  <si>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</si>
  <si>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</si>
  <si>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</si>
  <si>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</si>
  <si>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</si>
  <si>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</si>
  <si>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</si>
  <si>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</si>
  <si>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</si>
  <si>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</si>
  <si>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</si>
  <si>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</si>
  <si>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</si>
  <si>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</si>
  <si>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</si>
  <si>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</si>
  <si>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</si>
  <si>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</si>
  <si>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</si>
  <si>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</si>
  <si>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</si>
  <si>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</si>
  <si>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</si>
  <si>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</si>
  <si>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</si>
  <si>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</si>
  <si>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</si>
  <si>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</si>
  <si>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</si>
  <si>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</si>
  <si>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</si>
  <si>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</si>
  <si>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</si>
  <si>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</si>
  <si>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</si>
  <si>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</si>
  <si>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</si>
  <si>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</si>
  <si>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</si>
  <si>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</si>
  <si>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</si>
  <si>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</si>
  <si>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</si>
  <si>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</si>
  <si>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</si>
  <si>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</si>
  <si>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</si>
  <si>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</si>
  <si>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</si>
  <si>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</si>
  <si>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</si>
  <si>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</si>
  <si>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</si>
  <si>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</si>
  <si>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</si>
  <si>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</si>
  <si>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</si>
  <si>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</si>
  <si>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</si>
  <si>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</si>
  <si>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</si>
  <si>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</si>
  <si>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</si>
  <si>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</si>
  <si>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</si>
  <si>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</si>
  <si>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</si>
  <si>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</si>
  <si>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</si>
  <si>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</si>
  <si>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</si>
  <si>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</si>
  <si>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</si>
  <si>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</si>
  <si>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</si>
  <si>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</si>
  <si>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</si>
  <si>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</si>
  <si>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</si>
  <si>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</si>
  <si>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</si>
  <si>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</si>
  <si>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</si>
  <si>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</si>
  <si>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</si>
  <si>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</si>
  <si>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</si>
  <si>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</si>
  <si>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</si>
  <si>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</si>
  <si>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</si>
  <si>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</si>
  <si>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</si>
  <si>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</si>
  <si>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</si>
  <si>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</si>
  <si>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</si>
  <si>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</si>
  <si>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</si>
  <si>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</si>
  <si>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</si>
  <si>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</si>
  <si>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</si>
  <si>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</si>
  <si>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</si>
  <si>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</si>
  <si>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</si>
  <si>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</si>
  <si>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</si>
  <si>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</si>
  <si>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</si>
  <si>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</si>
  <si>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</si>
  <si>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</si>
  <si>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</si>
  <si>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</si>
  <si>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</si>
  <si>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</si>
  <si>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</si>
  <si>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</si>
  <si>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</si>
  <si>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</si>
  <si>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</si>
  <si>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</si>
  <si>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</si>
  <si>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</si>
  <si>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</si>
  <si>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</si>
  <si>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</si>
  <si>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</si>
  <si>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</si>
  <si>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</si>
  <si>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</si>
  <si>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</si>
  <si>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</si>
  <si>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</si>
  <si>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</si>
  <si>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</si>
  <si>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</si>
  <si>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</si>
  <si>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</si>
  <si>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</si>
  <si>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</si>
  <si>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</si>
  <si>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</si>
  <si>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</si>
  <si>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</si>
  <si>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</si>
  <si>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</si>
  <si>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</si>
  <si>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</si>
  <si>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</si>
  <si>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</si>
  <si>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</si>
  <si>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</si>
  <si>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</si>
  <si>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</si>
  <si>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</si>
  <si>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</si>
  <si>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</si>
  <si>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</si>
  <si>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</si>
  <si>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</si>
  <si>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</si>
  <si>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</si>
  <si>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</si>
  <si>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</si>
  <si>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</si>
  <si>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</si>
  <si>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</si>
  <si>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</si>
  <si>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</si>
  <si>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</si>
  <si>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</si>
  <si>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</si>
  <si>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</si>
  <si>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</si>
  <si>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</si>
  <si>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</si>
  <si>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</si>
  <si>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</si>
  <si>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</si>
  <si>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</si>
  <si>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</si>
  <si>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</si>
  <si>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</si>
  <si>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</si>
  <si>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</si>
  <si>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</si>
  <si>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</si>
  <si>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</si>
  <si>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</si>
  <si>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</si>
  <si>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</si>
  <si>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</si>
  <si>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</si>
  <si>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</si>
  <si>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</si>
  <si>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</si>
  <si>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</si>
  <si>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</si>
  <si>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</si>
  <si>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</si>
  <si>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</si>
  <si>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</si>
  <si>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</si>
  <si>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</si>
  <si>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</si>
  <si>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</si>
  <si>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</si>
  <si>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</si>
  <si>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</si>
  <si>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</si>
  <si>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</si>
  <si>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</si>
  <si>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</si>
  <si>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</si>
  <si>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</si>
  <si>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</si>
  <si>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</si>
  <si>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</si>
  <si>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</si>
  <si>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</si>
  <si>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</si>
  <si>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</si>
  <si>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</si>
  <si>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</si>
  <si>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</si>
  <si>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</si>
  <si>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</si>
  <si>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</si>
  <si>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</si>
  <si>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</si>
  <si>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</si>
  <si>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</si>
  <si>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</si>
  <si>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</si>
  <si>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</si>
  <si>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</si>
  <si>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</si>
  <si>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</si>
  <si>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</si>
  <si>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</si>
  <si>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</si>
  <si>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</si>
  <si>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</si>
  <si>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</si>
  <si>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</si>
  <si>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</si>
  <si>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</si>
  <si>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</si>
  <si>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</si>
  <si>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</si>
  <si>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</si>
  <si>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</si>
  <si>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</si>
  <si>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</si>
  <si>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</si>
  <si>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</si>
  <si>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</si>
  <si>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</si>
  <si>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</si>
  <si>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</si>
  <si>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</si>
  <si>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</si>
  <si>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</si>
  <si>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</si>
  <si>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</si>
  <si>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</si>
  <si>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</si>
  <si>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</si>
  <si>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</si>
  <si>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</si>
  <si>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</si>
  <si>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</si>
  <si>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</si>
  <si>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</si>
  <si>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</si>
  <si>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</si>
  <si>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</si>
  <si>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</si>
  <si>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</si>
  <si>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</si>
  <si>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</si>
  <si>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</si>
  <si>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</si>
  <si>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</si>
  <si>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</si>
  <si>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</si>
  <si>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</si>
  <si>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</si>
  <si>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</si>
  <si>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</si>
  <si>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</si>
  <si>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</si>
  <si>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</si>
  <si>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</si>
  <si>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</si>
  <si>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</si>
  <si>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</si>
  <si>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</si>
  <si>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</si>
  <si>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</si>
  <si>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</si>
  <si>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</si>
  <si>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</si>
  <si>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</si>
  <si>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</si>
  <si>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</si>
  <si>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</si>
  <si>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</si>
  <si>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</si>
  <si>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</si>
  <si>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</si>
  <si>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</si>
  <si>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</si>
  <si>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</si>
  <si>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</si>
  <si>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</si>
  <si>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</si>
  <si>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</si>
  <si>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</si>
  <si>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</si>
  <si>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</si>
  <si>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</si>
  <si>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</si>
  <si>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</si>
  <si>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</si>
  <si>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</si>
  <si>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</si>
  <si>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</si>
  <si>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</si>
  <si>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</si>
  <si>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</si>
  <si>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</si>
  <si>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</si>
  <si>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</si>
  <si>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</si>
  <si>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</si>
  <si>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</si>
  <si>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</si>
  <si>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</si>
  <si>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</si>
  <si>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</si>
  <si>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</si>
  <si>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</si>
  <si>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</si>
  <si>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</si>
  <si>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</si>
  <si>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</si>
  <si>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</si>
  <si>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</si>
  <si>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</si>
  <si>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</si>
  <si>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</si>
  <si>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</si>
  <si>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</si>
  <si>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</si>
  <si>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</si>
  <si>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</si>
  <si>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</si>
  <si>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</si>
  <si>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</si>
  <si>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</si>
  <si>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</si>
  <si>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</si>
  <si>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</si>
  <si>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</si>
  <si>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</si>
  <si>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</si>
  <si>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</si>
  <si>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</si>
  <si>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</si>
  <si>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</si>
  <si>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</si>
  <si>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</si>
  <si>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</si>
  <si>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</si>
  <si>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</si>
  <si>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</si>
  <si>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</si>
  <si>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</si>
  <si>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</si>
  <si>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</si>
  <si>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</si>
  <si>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</si>
  <si>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</si>
  <si>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</si>
  <si>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</si>
  <si>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</si>
  <si>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</si>
  <si>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</si>
  <si>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</si>
  <si>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</si>
  <si>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</si>
  <si>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</si>
  <si>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</si>
  <si>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</si>
  <si>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</si>
  <si>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</si>
  <si>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</si>
  <si>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</si>
  <si>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</si>
  <si>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</si>
  <si>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</si>
  <si>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</si>
  <si>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</si>
  <si>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</si>
  <si>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</si>
  <si>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</si>
  <si>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</si>
  <si>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</si>
  <si>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</si>
  <si>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</si>
  <si>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</si>
  <si>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</si>
  <si>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</si>
  <si>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</si>
  <si>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</si>
  <si>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</si>
  <si>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</si>
  <si>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</si>
  <si>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</si>
  <si>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</si>
  <si>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</si>
  <si>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</si>
  <si>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</si>
  <si>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</si>
  <si>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</si>
  <si>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</si>
  <si>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</si>
  <si>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</si>
  <si>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</si>
  <si>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</si>
  <si>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</si>
  <si>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</si>
  <si>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</si>
  <si>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</si>
  <si>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</si>
  <si>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</si>
  <si>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</si>
  <si>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</si>
  <si>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</si>
  <si>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</si>
  <si>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</si>
  <si>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</si>
  <si>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</si>
  <si>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</si>
  <si>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</si>
  <si>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</si>
  <si>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</si>
  <si>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</si>
  <si>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</si>
  <si>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</si>
  <si>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</si>
  <si>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</si>
  <si>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</si>
  <si>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</si>
  <si>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</si>
  <si>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</si>
  <si>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</si>
  <si>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</si>
  <si>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</si>
  <si>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</si>
  <si>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</si>
  <si>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</si>
  <si>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</si>
  <si>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</si>
  <si>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</si>
  <si>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</si>
  <si>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</si>
  <si>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</si>
  <si>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</si>
  <si>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</si>
  <si>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</si>
  <si>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</si>
  <si>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</si>
  <si>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</si>
  <si>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</si>
  <si>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</si>
  <si>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</si>
  <si>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</si>
  <si>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</si>
  <si>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</si>
  <si>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</si>
  <si>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</si>
  <si>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</si>
  <si>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</si>
  <si>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</si>
  <si>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</si>
  <si>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</si>
  <si>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</si>
  <si>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</si>
  <si>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</si>
  <si>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</si>
  <si>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</si>
  <si>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</si>
  <si>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</si>
  <si>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</si>
  <si>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</si>
  <si>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</si>
  <si>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</si>
  <si>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</si>
  <si>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</si>
  <si>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</si>
  <si>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</si>
  <si>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</si>
  <si>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</si>
  <si>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</si>
  <si>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</si>
  <si>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</si>
  <si>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</si>
  <si>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</si>
  <si>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</si>
  <si>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</si>
  <si>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</si>
  <si>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</si>
  <si>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</si>
  <si>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</si>
  <si>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</si>
  <si>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</si>
  <si>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</si>
  <si>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</si>
  <si>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</si>
  <si>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</si>
  <si>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</si>
  <si>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</si>
  <si>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</si>
  <si>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</si>
  <si>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</si>
  <si>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</si>
  <si>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</si>
  <si>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</si>
  <si>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</si>
  <si>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</si>
  <si>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</si>
  <si>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</si>
  <si>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</si>
  <si>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</si>
  <si>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</si>
  <si>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</si>
  <si>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</si>
  <si>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</si>
  <si>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</si>
  <si>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</si>
  <si>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</si>
  <si>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</si>
  <si>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</si>
  <si>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</si>
  <si>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</si>
  <si>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</si>
  <si>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</si>
  <si>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</si>
  <si>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</si>
  <si>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</si>
  <si>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</si>
  <si>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</si>
  <si>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</si>
  <si>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</si>
  <si>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</si>
  <si>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</si>
  <si>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</si>
  <si>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</si>
  <si>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</si>
  <si>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</si>
  <si>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</si>
  <si>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</si>
  <si>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</si>
  <si>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</si>
  <si>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</si>
  <si>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</si>
  <si>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</si>
  <si>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</si>
  <si>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</si>
  <si>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</si>
  <si>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</si>
  <si>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</si>
  <si>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</si>
  <si>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</si>
  <si>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</si>
  <si>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</si>
  <si>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</si>
  <si>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</si>
  <si>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</si>
  <si>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</si>
  <si>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</si>
  <si>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</si>
  <si>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</si>
  <si>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</si>
  <si>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</si>
  <si>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</si>
  <si>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</si>
  <si>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</si>
  <si>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</si>
  <si>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</si>
  <si>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</si>
  <si>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</si>
  <si>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</si>
  <si>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</si>
  <si>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</si>
  <si>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</si>
  <si>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</si>
  <si>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</si>
  <si>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</si>
  <si>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</si>
  <si>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</si>
  <si>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</si>
  <si>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</si>
  <si>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</si>
  <si>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</si>
  <si>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</si>
  <si>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</si>
  <si>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</si>
  <si>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</si>
  <si>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</si>
  <si>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</si>
  <si>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</si>
  <si>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</si>
  <si>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</si>
  <si>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</si>
  <si>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</si>
  <si>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</si>
  <si>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</si>
  <si>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</si>
  <si>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</si>
  <si>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</si>
  <si>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</si>
  <si>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</si>
  <si>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</si>
  <si>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</si>
  <si>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</si>
  <si>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</si>
  <si>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</si>
  <si>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</si>
  <si>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</si>
  <si>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</si>
  <si>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</si>
  <si>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</si>
  <si>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</si>
  <si>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</si>
  <si>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</si>
  <si>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</si>
  <si>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</si>
  <si>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</si>
  <si>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</si>
  <si>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</si>
  <si>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</si>
  <si>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</si>
  <si>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</si>
  <si>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</si>
  <si>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</si>
  <si>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</si>
  <si>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</si>
  <si>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</si>
  <si>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</si>
  <si>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</si>
  <si>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</si>
  <si>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</si>
  <si>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</si>
  <si>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</si>
  <si>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</si>
  <si>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</si>
  <si>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</si>
  <si>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</si>
  <si>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</si>
  <si>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</si>
  <si>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</si>
  <si>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</si>
  <si>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</si>
  <si>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</si>
  <si>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</si>
  <si>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</si>
  <si>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</si>
  <si>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</si>
  <si>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</si>
  <si>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</si>
  <si>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</si>
  <si>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</si>
  <si>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</si>
  <si>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</si>
  <si>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</si>
  <si>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</si>
  <si>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</si>
  <si>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</si>
  <si>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</si>
  <si>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</si>
  <si>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</si>
  <si>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</si>
  <si>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</si>
  <si>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</si>
  <si>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</si>
  <si>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</si>
  <si>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</si>
  <si>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</si>
  <si>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</si>
  <si>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</si>
  <si>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</si>
  <si>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</si>
  <si>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</si>
  <si>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</si>
  <si>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</si>
  <si>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</si>
  <si>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</si>
  <si>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</si>
  <si>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</si>
  <si>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</si>
  <si>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</si>
  <si>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</si>
  <si>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</si>
  <si>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</si>
  <si>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</si>
  <si>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</si>
  <si>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</si>
  <si>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</si>
  <si>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</si>
  <si>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</si>
  <si>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</si>
  <si>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</si>
  <si>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</si>
  <si>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</si>
  <si>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</si>
  <si>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</si>
  <si>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</si>
  <si>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</si>
  <si>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</si>
  <si>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</si>
  <si>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</si>
  <si>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</si>
  <si>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</si>
  <si>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</si>
  <si>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</si>
  <si>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</si>
  <si>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</si>
  <si>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</si>
  <si>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</si>
  <si>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</si>
  <si>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</si>
  <si>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</si>
  <si>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</si>
  <si>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</si>
  <si>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</si>
  <si>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</si>
  <si>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</si>
  <si>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</si>
  <si>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</si>
  <si>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</si>
  <si>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</si>
  <si>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</si>
  <si>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</si>
  <si>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</si>
  <si>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</si>
  <si>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</si>
  <si>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</si>
  <si>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</si>
  <si>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</si>
  <si>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</si>
  <si>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</si>
  <si>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</si>
  <si>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</si>
  <si>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</si>
  <si>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</si>
  <si>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</si>
  <si>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</si>
  <si>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</si>
  <si>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</si>
  <si>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</si>
  <si>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</si>
  <si>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</si>
  <si>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</si>
  <si>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</si>
  <si>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</si>
  <si>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</si>
  <si>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</si>
  <si>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</si>
  <si>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</si>
  <si>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</si>
  <si>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</si>
  <si>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</si>
  <si>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</si>
  <si>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</si>
  <si>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</si>
  <si>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</si>
  <si>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</si>
  <si>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</si>
  <si>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</si>
  <si>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</si>
  <si>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</si>
  <si>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</si>
  <si>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</si>
  <si>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</si>
  <si>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</si>
  <si>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</si>
  <si>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</si>
  <si>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</si>
  <si>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</si>
  <si>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</si>
  <si>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</si>
  <si>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</si>
  <si>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</si>
  <si>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</si>
  <si>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</si>
  <si>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</si>
  <si>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</si>
  <si>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</si>
  <si>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</si>
  <si>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</si>
  <si>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</si>
  <si>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</si>
  <si>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</si>
  <si>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</si>
  <si>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</si>
  <si>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</si>
  <si>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</si>
  <si>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</si>
  <si>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</si>
  <si>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</si>
  <si>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</si>
  <si>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</si>
  <si>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</si>
  <si>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</si>
  <si>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</si>
  <si>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</si>
  <si>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</si>
  <si>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</si>
  <si>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</si>
  <si>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</si>
  <si>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</si>
  <si>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</si>
  <si>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</si>
  <si>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</si>
  <si>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</si>
  <si>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</si>
  <si>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</si>
  <si>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</si>
  <si>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</si>
  <si>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</si>
  <si>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</si>
  <si>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</si>
  <si>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</si>
  <si>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</si>
  <si>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</si>
  <si>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</si>
  <si>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</si>
  <si>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</si>
  <si>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</si>
  <si>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</si>
  <si>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</si>
  <si>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</si>
  <si>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</si>
  <si>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</si>
  <si>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</si>
  <si>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</si>
  <si>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</si>
  <si>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</si>
  <si>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</si>
  <si>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</si>
  <si>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</si>
  <si>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</si>
  <si>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</si>
  <si>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</si>
  <si>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</si>
  <si>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</si>
  <si>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</si>
  <si>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</si>
  <si>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</si>
  <si>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</si>
  <si>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</si>
  <si>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</si>
  <si>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</si>
  <si>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</si>
  <si>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</si>
  <si>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</si>
  <si>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</si>
  <si>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</si>
  <si>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</si>
  <si>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</si>
  <si>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</si>
  <si>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</si>
  <si>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</si>
  <si>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</si>
  <si>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</si>
  <si>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</si>
  <si>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</si>
  <si>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</si>
  <si>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</si>
  <si>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</si>
  <si>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</si>
  <si>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</si>
  <si>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</si>
  <si>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</si>
  <si>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</si>
  <si>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</si>
  <si>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</si>
  <si>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</si>
  <si>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</si>
  <si>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</si>
  <si>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</si>
  <si>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</si>
  <si>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</si>
  <si>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</si>
  <si>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</si>
  <si>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</si>
  <si>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</si>
  <si>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</si>
  <si>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</si>
  <si>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</si>
  <si>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</si>
  <si>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</si>
  <si>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</si>
  <si>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</si>
  <si>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</si>
  <si>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</si>
  <si>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</si>
  <si>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</si>
  <si>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</si>
  <si>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</si>
  <si>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</si>
  <si>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</si>
  <si>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</si>
  <si>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</si>
  <si>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</si>
  <si>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</si>
  <si>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</si>
  <si>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</si>
  <si>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</si>
  <si>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</si>
  <si>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</si>
  <si>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</si>
  <si>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</si>
  <si>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</si>
  <si>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</si>
  <si>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</si>
  <si>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</si>
  <si>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</si>
  <si>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</si>
  <si>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</si>
  <si>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</si>
  <si>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</si>
  <si>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</si>
  <si>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</si>
  <si>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</si>
  <si>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</si>
  <si>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</si>
  <si>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</si>
  <si>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</si>
  <si>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</si>
  <si>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</si>
  <si>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</si>
  <si>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</si>
  <si>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</si>
  <si>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</si>
  <si>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</si>
  <si>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</si>
  <si>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</si>
  <si>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</si>
  <si>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</si>
  <si>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</si>
  <si>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</si>
  <si>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</si>
  <si>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</si>
  <si>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</si>
  <si>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</si>
  <si>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</si>
  <si>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</si>
  <si>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</si>
  <si>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</si>
  <si>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</si>
  <si>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</si>
  <si>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</si>
  <si>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</si>
  <si>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</si>
  <si>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</si>
  <si>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</si>
  <si>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</si>
  <si>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</si>
  <si>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</si>
  <si>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</si>
  <si>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</si>
  <si>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</si>
  <si>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</si>
  <si>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</si>
  <si>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</si>
  <si>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</si>
  <si>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</si>
  <si>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</si>
  <si>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</si>
  <si>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</si>
  <si>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</si>
  <si>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</si>
  <si>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</si>
  <si>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</si>
  <si>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</si>
  <si>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</si>
  <si>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</si>
  <si>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</si>
  <si>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</si>
  <si>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</si>
  <si>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</si>
  <si>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</si>
  <si>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</si>
  <si>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</si>
  <si>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</si>
  <si>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</si>
  <si>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</si>
  <si>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</si>
  <si>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</si>
  <si>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</si>
  <si>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</si>
  <si>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</si>
  <si>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</si>
  <si>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</si>
  <si>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</si>
  <si>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</si>
  <si>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</si>
  <si>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</si>
  <si>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</si>
  <si>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</si>
  <si>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</si>
  <si>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</si>
  <si>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</si>
  <si>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</si>
  <si>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</si>
  <si>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</si>
  <si>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</si>
  <si>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</si>
  <si>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</si>
  <si>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</si>
  <si>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</si>
  <si>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</si>
  <si>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</si>
  <si>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</si>
  <si>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</si>
  <si>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</si>
  <si>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</si>
  <si>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</si>
  <si>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</si>
  <si>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</si>
  <si>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</si>
  <si>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</si>
  <si>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</si>
  <si>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</si>
  <si>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</si>
  <si>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</si>
  <si>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</si>
  <si>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</si>
  <si>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</si>
  <si>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</si>
  <si>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</si>
  <si>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</si>
  <si>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</si>
  <si>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</si>
  <si>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</si>
  <si>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</si>
  <si>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</si>
  <si>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</si>
  <si>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</si>
  <si>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</si>
  <si>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</si>
  <si>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</si>
  <si>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</si>
  <si>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</si>
  <si>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</si>
  <si>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</si>
  <si>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</si>
  <si>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</si>
  <si>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</si>
  <si>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</si>
  <si>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</si>
  <si>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</si>
  <si>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</si>
  <si>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</si>
  <si>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</si>
  <si>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</si>
  <si>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</si>
  <si>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</si>
  <si>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</si>
  <si>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</si>
  <si>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</si>
  <si>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</si>
  <si>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</si>
  <si>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</si>
  <si>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</si>
  <si>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</si>
  <si>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</si>
  <si>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</si>
  <si>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</si>
  <si>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</si>
  <si>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</si>
  <si>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</si>
  <si>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</si>
  <si>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</si>
  <si>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</si>
  <si>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</si>
  <si>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</si>
  <si>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</si>
  <si>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</si>
  <si>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</si>
  <si>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</si>
  <si>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</si>
  <si>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</si>
  <si>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</si>
  <si>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</si>
  <si>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</si>
  <si>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</si>
  <si>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</si>
  <si>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</si>
  <si>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</si>
  <si>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</si>
  <si>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</si>
  <si>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</si>
  <si>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</si>
  <si>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</si>
  <si>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</si>
  <si>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</si>
  <si>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</si>
  <si>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</si>
  <si>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</si>
  <si>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</si>
  <si>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</si>
  <si>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</si>
  <si>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</si>
  <si>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</si>
  <si>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</si>
  <si>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</si>
  <si>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</si>
  <si>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</si>
  <si>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</si>
  <si>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</si>
  <si>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</si>
  <si>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</si>
  <si>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</si>
  <si>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</si>
  <si>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</si>
  <si>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</si>
  <si>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</si>
  <si>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</si>
  <si>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</si>
  <si>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</si>
  <si>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</si>
  <si>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</si>
  <si>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</si>
  <si>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</si>
  <si>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</si>
  <si>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</si>
  <si>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</si>
  <si>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</si>
  <si>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</si>
  <si>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</si>
  <si>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</si>
  <si>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</si>
  <si>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</si>
  <si>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</si>
  <si>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</si>
  <si>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</si>
  <si>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</si>
  <si>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</si>
  <si>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</si>
  <si>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</si>
  <si>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</si>
  <si>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</si>
  <si>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</si>
  <si>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</si>
  <si>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</si>
  <si>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</si>
  <si>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</si>
  <si>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</si>
  <si>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</si>
  <si>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</si>
  <si>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</si>
  <si>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</si>
  <si>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</si>
  <si>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</si>
  <si>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</si>
  <si>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</si>
  <si>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</si>
  <si>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</si>
  <si>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</si>
  <si>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</si>
  <si>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</si>
  <si>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</si>
  <si>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</si>
  <si>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</si>
  <si>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</si>
  <si>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</si>
  <si>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</si>
  <si>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</si>
  <si>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</si>
  <si>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</si>
  <si>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</si>
  <si>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</si>
  <si>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</si>
  <si>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</si>
  <si>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</si>
  <si>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</si>
  <si>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</si>
  <si>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</si>
  <si>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</si>
  <si>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</si>
  <si>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</si>
  <si>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</si>
  <si>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</si>
  <si>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</si>
  <si>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</si>
  <si>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</si>
  <si>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</si>
  <si>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</si>
  <si>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</si>
  <si>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</si>
  <si>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</si>
  <si>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</si>
  <si>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</si>
  <si>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</si>
  <si>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</si>
  <si>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</si>
  <si>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</si>
  <si>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</si>
  <si>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</si>
  <si>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</si>
  <si>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</si>
  <si>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</si>
  <si>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1256 Trading Days? (From: 9/20/20 - 9/20/25)</t>
  </si>
  <si>
    <t>More</t>
  </si>
  <si>
    <t>(224) 948-2000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</si>
</sst>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u/>
      <sz val="11"/>
      <color rgb="FF00B0F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164" fontId="2" fillId="0" borderId="0" xfId="2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16" fillId="0" borderId="0" xfId="3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0" fontId="18" fillId="0" borderId="0" xfId="3" applyFont="1"/>
    <xf numFmtId="2" fontId="8" fillId="5" borderId="0" xfId="0" applyNumberFormat="1" applyFont="1" applyFill="1" applyAlignment="1">
      <alignment horizontal="center" vertical="center"/>
    </xf>
    <xf numFmtId="0" fontId="19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17" fillId="0" borderId="0" xfId="0" applyFont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(BAX) Historical Return Histogram + Normal Distribution Overlay</a:t>
            </a:r>
          </a:p>
        </c:rich>
      </c:tx>
      <c:layout>
        <c:manualLayout>
          <c:xMode val="edge"/>
          <c:yMode val="edge"/>
          <c:x val="0.30108591378517141"/>
          <c:y val="1.8888948670044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strRef>
              <c:f>'[1]Notes | Quant Analysis'!$I$182:$I$262</c:f>
              <c:strCache>
                <c:ptCount val="81"/>
                <c:pt idx="6">
                  <c:v>Notes:</c:v>
                </c:pt>
                <c:pt idx="42">
                  <c:v>Notes:</c:v>
                </c:pt>
              </c:strCache>
            </c:strRef>
          </c:xVal>
          <c:yVal>
            <c:numRef>
              <c:f>'[1]Notes | Quant Analysis'!$J$182:$J$262</c:f>
              <c:numCache>
                <c:formatCode>General</c:formatCode>
                <c:ptCount val="81"/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'[1]Notes | Quant Analysis'!$L$180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'[1]Notes | Quant Analysis'!$L$182:$L$264</c:f>
              <c:numCache>
                <c:formatCode>General</c:formatCode>
                <c:ptCount val="83"/>
              </c:numCache>
            </c:numRef>
          </c:xVal>
          <c:yVal>
            <c:numRef>
              <c:f>'[1]Notes | Quant Analysis'!$M$182:$M$264</c:f>
              <c:numCache>
                <c:formatCode>General</c:formatCode>
                <c:ptCount val="8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'[1]Notes | Quant Analysis'!$O$182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C8-46E7-8417-05DC731C65AA}"/>
                </c:ext>
              </c:extLst>
            </c:dLbl>
            <c:dLbl>
              <c:idx val="1"/>
              <c:layout>
                <c:manualLayout>
                  <c:x val="-6.5761321986558208E-2"/>
                  <c:y val="-2.1250002091535724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Analysis'!$P$182:$P$183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Analysis'!$Q$182:$Q$183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'[1]Notes | Quant Analysis'!$O$184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C8-46E7-8417-05DC731C65AA}"/>
                </c:ext>
              </c:extLst>
            </c:dLbl>
            <c:dLbl>
              <c:idx val="1"/>
              <c:layout>
                <c:manualLayout>
                  <c:x val="-4.0576134842769972E-2"/>
                  <c:y val="-4.9583338213583156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Analysis'!$P$184:$P$185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Analysis'!$Q$184:$Q$185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'[1]Notes | Quant Analysis'!$O$186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C8-46E7-8417-05DC731C65AA}"/>
                </c:ext>
              </c:extLst>
            </c:dLbl>
            <c:dLbl>
              <c:idx val="1"/>
              <c:layout>
                <c:manualLayout>
                  <c:x val="-5.3168728414664079E-2"/>
                  <c:y val="-3.541667015255957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Analysis'!$P$186:$P$187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Analysis'!$Q$186:$Q$187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'[1]Notes | Quant Analysis'!$O$188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C8-46E7-8417-05DC731C65AA}"/>
                </c:ext>
              </c:extLst>
            </c:dLbl>
            <c:dLbl>
              <c:idx val="1"/>
              <c:layout>
                <c:manualLayout>
                  <c:x val="-9.5144040320977827E-2"/>
                  <c:y val="-2.1250002091535724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Analysis'!$P$188:$P$189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Analysis'!$Q$188:$Q$189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'[1]Notes | Quant Analysis'!$O$190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C8-46E7-8417-05DC731C65AA}"/>
                </c:ext>
              </c:extLst>
            </c:dLbl>
            <c:dLbl>
              <c:idx val="1"/>
              <c:layout>
                <c:manualLayout>
                  <c:x val="-2.3786010080244464E-2"/>
                  <c:y val="-2.83333361220476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201295968475098E-2"/>
                      <c:h val="4.9276393738927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Analysis'!$P$190:$P$191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Analysis'!$Q$190:$Q$191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'[1]Notes | Quant Analysis'!$O$192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4C8-46E7-8417-05DC731C65AA}"/>
                </c:ext>
              </c:extLst>
            </c:dLbl>
            <c:dLbl>
              <c:idx val="1"/>
              <c:layout>
                <c:manualLayout>
                  <c:x val="-3.7777780715682475E-2"/>
                  <c:y val="-6.138889493110313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Analysis'!$P$192:$P$193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Analysis'!$Q$192:$Q$193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'[1]Notes | Quant Analysis'!$O$194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4C8-46E7-8417-05DC731C65AA}"/>
                </c:ext>
              </c:extLst>
            </c:dLbl>
            <c:dLbl>
              <c:idx val="1"/>
              <c:layout>
                <c:manualLayout>
                  <c:x val="-3.3580249525050995E-2"/>
                  <c:y val="-3.7777781496063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4C8-46E7-8417-05DC731C65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'[1]Notes | Quant Analysis'!$P$194:$P$195</c:f>
              <c:numCache>
                <c:formatCode>General</c:formatCode>
                <c:ptCount val="2"/>
              </c:numCache>
            </c:numRef>
          </c:xVal>
          <c:yVal>
            <c:numRef>
              <c:f>'[1]Notes | Quant Analysis'!$Q$194:$Q$195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</xdr:rowOff>
    </xdr:from>
    <xdr:to>
      <xdr:col>8</xdr:col>
      <xdr:colOff>0</xdr:colOff>
      <xdr:row>8</xdr:row>
      <xdr:rowOff>2</xdr:rowOff>
    </xdr:to>
    <xdr:pic>
      <xdr:nvPicPr>
        <xdr:cNvPr id="3" name="Picture 2" descr="BAX Intrinsic Valuation and Fundamental Analysis - Baxter International Inc  - Alpha Spread">
          <a:extLst>
            <a:ext uri="{FF2B5EF4-FFF2-40B4-BE49-F238E27FC236}">
              <a16:creationId xmlns:a16="http://schemas.microsoft.com/office/drawing/2014/main" id="{4F56A6FE-2625-3C31-875F-F397EC850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65" b="13665"/>
        <a:stretch>
          <a:fillRect/>
        </a:stretch>
      </xdr:blipFill>
      <xdr:spPr bwMode="auto">
        <a:xfrm>
          <a:off x="3152775" y="381001"/>
          <a:ext cx="1828800" cy="1095376"/>
        </a:xfrm>
        <a:prstGeom prst="rect">
          <a:avLst/>
        </a:prstGeom>
        <a:solidFill>
          <a:schemeClr val="bg2"/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0</xdr:row>
      <xdr:rowOff>0</xdr:rowOff>
    </xdr:from>
    <xdr:to>
      <xdr:col>71</xdr:col>
      <xdr:colOff>0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700825" y="0"/>
          <a:ext cx="0" cy="2377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0</xdr:row>
      <xdr:rowOff>0</xdr:rowOff>
    </xdr:from>
    <xdr:to>
      <xdr:col>103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129</xdr:row>
      <xdr:rowOff>190499</xdr:rowOff>
    </xdr:from>
    <xdr:to>
      <xdr:col>23</xdr:col>
      <xdr:colOff>0</xdr:colOff>
      <xdr:row>160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166</xdr:row>
      <xdr:rowOff>0</xdr:rowOff>
    </xdr:from>
    <xdr:to>
      <xdr:col>23</xdr:col>
      <xdr:colOff>0</xdr:colOff>
      <xdr:row>194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231</xdr:row>
      <xdr:rowOff>0</xdr:rowOff>
    </xdr:from>
    <xdr:to>
      <xdr:col>23</xdr:col>
      <xdr:colOff>0</xdr:colOff>
      <xdr:row>259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199</xdr:row>
      <xdr:rowOff>0</xdr:rowOff>
    </xdr:from>
    <xdr:to>
      <xdr:col>23</xdr:col>
      <xdr:colOff>0</xdr:colOff>
      <xdr:row>227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  <cell r="J188" t="str">
            <v>[X]</v>
          </cell>
        </row>
        <row r="189">
          <cell r="J189" t="str">
            <v>[Y]</v>
          </cell>
        </row>
        <row r="190">
          <cell r="J190" t="str">
            <v>[Z]</v>
          </cell>
        </row>
        <row r="224">
          <cell r="I224" t="str">
            <v>Notes:</v>
          </cell>
          <cell r="J224" t="str">
            <v>[X]</v>
          </cell>
        </row>
        <row r="225">
          <cell r="J225" t="str">
            <v>[Y]</v>
          </cell>
        </row>
        <row r="226">
          <cell r="J226" t="str">
            <v>[Z]</v>
          </cell>
        </row>
        <row r="258">
          <cell r="J258" t="str">
            <v xml:space="preserve">The return distribution fits a Gaussian curve well, implying that daily change follows a roughly normal distribution </v>
          </cell>
        </row>
        <row r="259">
          <cell r="J259" t="str">
            <v xml:space="preserve">There is slight implied upside to mean 1-day returns 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lobal_CORP_Investor_Relations@baxter.com" TargetMode="External"/><Relationship Id="rId2" Type="http://schemas.openxmlformats.org/officeDocument/2006/relationships/hyperlink" Target="000%20Med-Devices%20Master%20List%20000.xlsx" TargetMode="External"/><Relationship Id="rId1" Type="http://schemas.openxmlformats.org/officeDocument/2006/relationships/hyperlink" Target="https://app.godelterminal.com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media@baxter.com" TargetMode="External"/><Relationship Id="rId4" Type="http://schemas.openxmlformats.org/officeDocument/2006/relationships/hyperlink" Target="https://www.baxt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>
      <selection activeCell="H17" sqref="H17"/>
    </sheetView>
  </sheetViews>
  <sheetFormatPr defaultColWidth="9.140625" defaultRowHeight="14.25"/>
  <cols>
    <col min="1" max="1" width="3.42578125" style="1" customWidth="1"/>
    <col min="2" max="4" width="11.5703125" style="1" customWidth="1"/>
    <col min="5" max="16384" width="9.140625" style="1"/>
  </cols>
  <sheetData>
    <row r="1" spans="1:20" ht="15">
      <c r="A1" s="65" t="s">
        <v>0</v>
      </c>
    </row>
    <row r="2" spans="1:20" ht="15">
      <c r="B2" s="2" t="s">
        <v>241</v>
      </c>
    </row>
    <row r="3" spans="1:20">
      <c r="B3" s="1" t="s">
        <v>1</v>
      </c>
      <c r="C3" s="44">
        <v>23.02</v>
      </c>
      <c r="D3" s="43" t="s">
        <v>243</v>
      </c>
    </row>
    <row r="4" spans="1:20">
      <c r="B4" s="1" t="s">
        <v>2</v>
      </c>
      <c r="C4" s="45">
        <v>513.62</v>
      </c>
      <c r="D4" s="1" t="s">
        <v>237</v>
      </c>
    </row>
    <row r="5" spans="1:20">
      <c r="B5" s="1" t="s">
        <v>3</v>
      </c>
      <c r="C5" s="46">
        <f>C3*C4</f>
        <v>11823.5324</v>
      </c>
    </row>
    <row r="6" spans="1:20" ht="15">
      <c r="B6" s="1" t="s">
        <v>4</v>
      </c>
      <c r="C6" s="47">
        <v>1686</v>
      </c>
      <c r="D6" s="1" t="s">
        <v>237</v>
      </c>
      <c r="K6"/>
    </row>
    <row r="7" spans="1:20">
      <c r="B7" s="1" t="s">
        <v>5</v>
      </c>
      <c r="C7" s="47">
        <v>9492</v>
      </c>
      <c r="D7" s="1" t="s">
        <v>237</v>
      </c>
    </row>
    <row r="8" spans="1:20">
      <c r="B8" s="1" t="s">
        <v>6</v>
      </c>
      <c r="C8" s="47">
        <f>C5-C6+C7</f>
        <v>19629.5324</v>
      </c>
    </row>
    <row r="10" spans="1:20" ht="15">
      <c r="B10" s="2" t="s">
        <v>242</v>
      </c>
    </row>
    <row r="12" spans="1:20" ht="15">
      <c r="B12" s="1" t="s">
        <v>244</v>
      </c>
      <c r="G12" s="1" t="s">
        <v>251</v>
      </c>
      <c r="P12" s="1" t="s">
        <v>217</v>
      </c>
      <c r="S12" s="2"/>
    </row>
    <row r="13" spans="1:20">
      <c r="B13" s="1" t="s">
        <v>245</v>
      </c>
      <c r="G13" s="1" t="s">
        <v>252</v>
      </c>
      <c r="P13" s="1" t="s">
        <v>8</v>
      </c>
      <c r="S13" s="48" t="s">
        <v>257</v>
      </c>
    </row>
    <row r="14" spans="1:20">
      <c r="B14" s="1" t="s">
        <v>246</v>
      </c>
      <c r="G14" s="1" t="s">
        <v>7</v>
      </c>
      <c r="P14" s="1" t="s">
        <v>222</v>
      </c>
      <c r="S14" s="48" t="s">
        <v>258</v>
      </c>
    </row>
    <row r="15" spans="1:20">
      <c r="B15" s="1" t="s">
        <v>247</v>
      </c>
      <c r="G15" s="1" t="s">
        <v>213</v>
      </c>
      <c r="Q15" s="1" t="s">
        <v>221</v>
      </c>
      <c r="T15" s="48" t="s">
        <v>259</v>
      </c>
    </row>
    <row r="16" spans="1:20" ht="15">
      <c r="B16" s="1" t="s">
        <v>248</v>
      </c>
      <c r="G16" s="1" t="s">
        <v>206</v>
      </c>
      <c r="H16" s="1" t="s">
        <v>1533</v>
      </c>
      <c r="J16" s="1" t="s">
        <v>207</v>
      </c>
      <c r="K16" s="65" t="s">
        <v>253</v>
      </c>
      <c r="P16" s="1" t="s">
        <v>210</v>
      </c>
      <c r="S16" s="48" t="s">
        <v>260</v>
      </c>
    </row>
    <row r="17" spans="1:19" ht="15">
      <c r="B17" s="1" t="s">
        <v>256</v>
      </c>
      <c r="K17" s="65" t="s">
        <v>254</v>
      </c>
      <c r="P17" s="1" t="s">
        <v>211</v>
      </c>
      <c r="S17" s="48" t="s">
        <v>261</v>
      </c>
    </row>
    <row r="18" spans="1:19">
      <c r="B18" s="1" t="s">
        <v>249</v>
      </c>
      <c r="P18" s="1" t="s">
        <v>223</v>
      </c>
      <c r="S18" s="48" t="s">
        <v>262</v>
      </c>
    </row>
    <row r="19" spans="1:19">
      <c r="B19" s="1" t="s">
        <v>250</v>
      </c>
      <c r="P19" s="1" t="s">
        <v>224</v>
      </c>
      <c r="S19" s="48" t="s">
        <v>263</v>
      </c>
    </row>
    <row r="20" spans="1:19">
      <c r="B20" s="1" t="s">
        <v>255</v>
      </c>
      <c r="P20" s="1" t="s">
        <v>9</v>
      </c>
      <c r="S20" s="48" t="s">
        <v>212</v>
      </c>
    </row>
    <row r="21" spans="1:19" ht="15">
      <c r="P21" s="2"/>
    </row>
    <row r="22" spans="1:19" ht="15">
      <c r="A22" s="2" t="s">
        <v>10</v>
      </c>
    </row>
    <row r="23" spans="1:19">
      <c r="B23" s="1" t="s">
        <v>264</v>
      </c>
    </row>
    <row r="24" spans="1:19">
      <c r="C24" s="1" t="s">
        <v>273</v>
      </c>
    </row>
    <row r="25" spans="1:19">
      <c r="B25" s="1" t="s">
        <v>265</v>
      </c>
    </row>
    <row r="26" spans="1:19">
      <c r="C26" s="1" t="s">
        <v>267</v>
      </c>
    </row>
    <row r="27" spans="1:19">
      <c r="C27" s="1" t="s">
        <v>268</v>
      </c>
    </row>
    <row r="28" spans="1:19">
      <c r="C28" s="1" t="s">
        <v>266</v>
      </c>
    </row>
    <row r="29" spans="1:19">
      <c r="C29" s="1" t="s">
        <v>269</v>
      </c>
    </row>
    <row r="30" spans="1:19">
      <c r="B30" s="1" t="s">
        <v>271</v>
      </c>
    </row>
    <row r="31" spans="1:19">
      <c r="C31" s="1" t="s">
        <v>270</v>
      </c>
    </row>
    <row r="32" spans="1:19">
      <c r="B32" s="1" t="s">
        <v>272</v>
      </c>
    </row>
    <row r="33" spans="1:2">
      <c r="B33" s="1" t="s">
        <v>274</v>
      </c>
    </row>
    <row r="35" spans="1:2" ht="15">
      <c r="A35" s="2" t="s">
        <v>214</v>
      </c>
    </row>
    <row r="36" spans="1:2">
      <c r="B36" s="1" t="s">
        <v>215</v>
      </c>
    </row>
  </sheetData>
  <hyperlinks>
    <hyperlink ref="S20" r:id="rId1" xr:uid="{14375537-5C3D-4253-9650-337AB6789785}"/>
    <hyperlink ref="A1" r:id="rId2" xr:uid="{CD2673B1-BD4C-496E-A6BD-9648F6ECD39D}"/>
    <hyperlink ref="K16" r:id="rId3" xr:uid="{DE6D240A-8CDF-4419-8869-DBDA99E32EA3}"/>
    <hyperlink ref="S14" r:id="rId4" xr:uid="{468DC3DC-C6B6-489D-BDDD-2AF27874FCFD}"/>
    <hyperlink ref="K17" r:id="rId5" xr:uid="{3A9746F4-69DE-4760-B8B9-0E837B65716B}"/>
  </hyperlinks>
  <pageMargins left="0.7" right="0.7" top="0.75" bottom="0.75" header="0.3" footer="0.3"/>
  <ignoredErrors>
    <ignoredError sqref="D3" twoDigitTextYear="1"/>
  </ignoredError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J122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I80" sqref="DI80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1" width="9.140625" style="1"/>
    <col min="72" max="78" width="9.140625" style="35"/>
    <col min="79" max="103" width="9.140625" style="1"/>
    <col min="104" max="165" width="9.140625" style="35"/>
    <col min="166" max="16384" width="9.140625" style="1"/>
  </cols>
  <sheetData>
    <row r="1" spans="2:166" ht="15">
      <c r="B1" s="1" t="s">
        <v>125</v>
      </c>
      <c r="AY1" s="33" t="s">
        <v>97</v>
      </c>
      <c r="BC1" s="33" t="s">
        <v>101</v>
      </c>
      <c r="BG1" s="33" t="s">
        <v>105</v>
      </c>
      <c r="BK1" s="33" t="s">
        <v>109</v>
      </c>
      <c r="BO1" s="33" t="s">
        <v>113</v>
      </c>
      <c r="BS1" s="33" t="s">
        <v>117</v>
      </c>
    </row>
    <row r="2" spans="2:166">
      <c r="B2" s="1" t="s">
        <v>126</v>
      </c>
    </row>
    <row r="3" spans="2:166" ht="15">
      <c r="B3" s="2" t="s">
        <v>127</v>
      </c>
      <c r="C3" s="2" t="s">
        <v>129</v>
      </c>
      <c r="D3" s="33" t="s">
        <v>51</v>
      </c>
      <c r="E3" s="33" t="s">
        <v>52</v>
      </c>
      <c r="F3" s="33" t="s">
        <v>130</v>
      </c>
      <c r="G3" s="33" t="s">
        <v>53</v>
      </c>
      <c r="H3" s="33" t="s">
        <v>54</v>
      </c>
      <c r="I3" s="33" t="s">
        <v>55</v>
      </c>
      <c r="J3" s="33" t="s">
        <v>56</v>
      </c>
      <c r="K3" s="33" t="s">
        <v>57</v>
      </c>
      <c r="L3" s="33" t="s">
        <v>58</v>
      </c>
      <c r="M3" s="33" t="s">
        <v>59</v>
      </c>
      <c r="N3" s="33" t="s">
        <v>60</v>
      </c>
      <c r="O3" s="33" t="s">
        <v>61</v>
      </c>
      <c r="P3" s="33" t="s">
        <v>62</v>
      </c>
      <c r="Q3" s="33" t="s">
        <v>63</v>
      </c>
      <c r="R3" s="33" t="s">
        <v>64</v>
      </c>
      <c r="S3" s="33" t="s">
        <v>65</v>
      </c>
      <c r="T3" s="33" t="s">
        <v>66</v>
      </c>
      <c r="U3" s="33" t="s">
        <v>67</v>
      </c>
      <c r="V3" s="33" t="s">
        <v>68</v>
      </c>
      <c r="W3" s="33" t="s">
        <v>69</v>
      </c>
      <c r="X3" s="33" t="s">
        <v>70</v>
      </c>
      <c r="Y3" s="33" t="s">
        <v>71</v>
      </c>
      <c r="Z3" s="33" t="s">
        <v>72</v>
      </c>
      <c r="AA3" s="33" t="s">
        <v>73</v>
      </c>
      <c r="AB3" s="33" t="s">
        <v>74</v>
      </c>
      <c r="AC3" s="33" t="s">
        <v>75</v>
      </c>
      <c r="AD3" s="33" t="s">
        <v>76</v>
      </c>
      <c r="AE3" s="33" t="s">
        <v>77</v>
      </c>
      <c r="AF3" s="33" t="s">
        <v>78</v>
      </c>
      <c r="AG3" s="33" t="s">
        <v>79</v>
      </c>
      <c r="AH3" s="33" t="s">
        <v>80</v>
      </c>
      <c r="AI3" s="33" t="s">
        <v>81</v>
      </c>
      <c r="AJ3" s="33" t="s">
        <v>82</v>
      </c>
      <c r="AK3" s="33" t="s">
        <v>83</v>
      </c>
      <c r="AL3" s="33" t="s">
        <v>84</v>
      </c>
      <c r="AM3" s="33" t="s">
        <v>85</v>
      </c>
      <c r="AN3" s="33" t="s">
        <v>86</v>
      </c>
      <c r="AO3" s="33" t="s">
        <v>87</v>
      </c>
      <c r="AP3" s="33" t="s">
        <v>88</v>
      </c>
      <c r="AQ3" s="33" t="s">
        <v>89</v>
      </c>
      <c r="AR3" s="33" t="s">
        <v>90</v>
      </c>
      <c r="AS3" s="33" t="s">
        <v>91</v>
      </c>
      <c r="AT3" s="33" t="s">
        <v>92</v>
      </c>
      <c r="AU3" s="33" t="s">
        <v>93</v>
      </c>
      <c r="AV3" s="33" t="s">
        <v>94</v>
      </c>
      <c r="AW3" s="33" t="s">
        <v>95</v>
      </c>
      <c r="AX3" s="33" t="s">
        <v>96</v>
      </c>
      <c r="AY3" s="33" t="s">
        <v>97</v>
      </c>
      <c r="AZ3" s="33" t="s">
        <v>98</v>
      </c>
      <c r="BA3" s="33" t="s">
        <v>99</v>
      </c>
      <c r="BB3" s="33" t="s">
        <v>100</v>
      </c>
      <c r="BC3" s="33" t="s">
        <v>101</v>
      </c>
      <c r="BD3" s="33" t="s">
        <v>102</v>
      </c>
      <c r="BE3" s="33" t="s">
        <v>103</v>
      </c>
      <c r="BF3" s="33" t="s">
        <v>104</v>
      </c>
      <c r="BG3" s="33" t="s">
        <v>105</v>
      </c>
      <c r="BH3" s="33" t="s">
        <v>106</v>
      </c>
      <c r="BI3" s="33" t="s">
        <v>107</v>
      </c>
      <c r="BJ3" s="33" t="s">
        <v>108</v>
      </c>
      <c r="BK3" s="33" t="s">
        <v>109</v>
      </c>
      <c r="BL3" s="33" t="s">
        <v>110</v>
      </c>
      <c r="BM3" s="33" t="s">
        <v>111</v>
      </c>
      <c r="BN3" s="33" t="s">
        <v>112</v>
      </c>
      <c r="BO3" s="33" t="s">
        <v>113</v>
      </c>
      <c r="BP3" s="33" t="s">
        <v>114</v>
      </c>
      <c r="BQ3" s="33" t="s">
        <v>115</v>
      </c>
      <c r="BR3" s="33" t="s">
        <v>116</v>
      </c>
      <c r="BS3" s="33" t="s">
        <v>117</v>
      </c>
      <c r="BT3" s="34" t="s">
        <v>118</v>
      </c>
      <c r="BU3" s="34" t="s">
        <v>119</v>
      </c>
      <c r="BV3" s="34" t="s">
        <v>120</v>
      </c>
      <c r="BW3" s="34" t="s">
        <v>121</v>
      </c>
      <c r="BX3" s="34" t="s">
        <v>122</v>
      </c>
      <c r="BY3" s="34" t="s">
        <v>123</v>
      </c>
      <c r="BZ3" s="34" t="s">
        <v>124</v>
      </c>
      <c r="CI3" s="2">
        <v>2008</v>
      </c>
      <c r="CJ3" s="2">
        <f>CI3+1</f>
        <v>2009</v>
      </c>
      <c r="CK3" s="2">
        <f t="shared" ref="CK3:EV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34">
        <f t="shared" si="0"/>
        <v>2025</v>
      </c>
      <c r="DA3" s="34">
        <f t="shared" si="0"/>
        <v>2026</v>
      </c>
      <c r="DB3" s="34">
        <f t="shared" si="0"/>
        <v>2027</v>
      </c>
      <c r="DC3" s="34">
        <f t="shared" si="0"/>
        <v>2028</v>
      </c>
      <c r="DD3" s="34">
        <f t="shared" si="0"/>
        <v>2029</v>
      </c>
      <c r="DE3" s="34">
        <f t="shared" si="0"/>
        <v>2030</v>
      </c>
      <c r="DF3" s="34">
        <f t="shared" si="0"/>
        <v>2031</v>
      </c>
      <c r="DG3" s="34">
        <f t="shared" si="0"/>
        <v>2032</v>
      </c>
      <c r="DH3" s="34">
        <f t="shared" si="0"/>
        <v>2033</v>
      </c>
      <c r="DI3" s="34">
        <f t="shared" si="0"/>
        <v>2034</v>
      </c>
      <c r="DJ3" s="34">
        <f t="shared" si="0"/>
        <v>2035</v>
      </c>
      <c r="DK3" s="34">
        <f t="shared" si="0"/>
        <v>2036</v>
      </c>
      <c r="DL3" s="34">
        <f t="shared" si="0"/>
        <v>2037</v>
      </c>
      <c r="DM3" s="34">
        <f t="shared" si="0"/>
        <v>2038</v>
      </c>
      <c r="DN3" s="34">
        <f t="shared" si="0"/>
        <v>2039</v>
      </c>
      <c r="DO3" s="34">
        <f t="shared" si="0"/>
        <v>2040</v>
      </c>
      <c r="DP3" s="34">
        <f t="shared" si="0"/>
        <v>2041</v>
      </c>
      <c r="DQ3" s="34">
        <f t="shared" si="0"/>
        <v>2042</v>
      </c>
      <c r="DR3" s="34">
        <f t="shared" si="0"/>
        <v>2043</v>
      </c>
      <c r="DS3" s="34">
        <f t="shared" si="0"/>
        <v>2044</v>
      </c>
      <c r="DT3" s="34">
        <f t="shared" si="0"/>
        <v>2045</v>
      </c>
      <c r="DU3" s="34">
        <f t="shared" si="0"/>
        <v>2046</v>
      </c>
      <c r="DV3" s="34">
        <f t="shared" si="0"/>
        <v>2047</v>
      </c>
      <c r="DW3" s="34">
        <f t="shared" si="0"/>
        <v>2048</v>
      </c>
      <c r="DX3" s="34">
        <f t="shared" si="0"/>
        <v>2049</v>
      </c>
      <c r="DY3" s="34">
        <f t="shared" si="0"/>
        <v>2050</v>
      </c>
      <c r="DZ3" s="34">
        <f t="shared" si="0"/>
        <v>2051</v>
      </c>
      <c r="EA3" s="34">
        <f t="shared" si="0"/>
        <v>2052</v>
      </c>
      <c r="EB3" s="34">
        <f t="shared" si="0"/>
        <v>2053</v>
      </c>
      <c r="EC3" s="34">
        <f t="shared" si="0"/>
        <v>2054</v>
      </c>
      <c r="ED3" s="34">
        <f t="shared" si="0"/>
        <v>2055</v>
      </c>
      <c r="EE3" s="34">
        <f t="shared" si="0"/>
        <v>2056</v>
      </c>
      <c r="EF3" s="34">
        <f t="shared" si="0"/>
        <v>2057</v>
      </c>
      <c r="EG3" s="34">
        <f t="shared" si="0"/>
        <v>2058</v>
      </c>
      <c r="EH3" s="34">
        <f t="shared" si="0"/>
        <v>2059</v>
      </c>
      <c r="EI3" s="34">
        <f t="shared" si="0"/>
        <v>2060</v>
      </c>
      <c r="EJ3" s="34">
        <f t="shared" si="0"/>
        <v>2061</v>
      </c>
      <c r="EK3" s="34">
        <f t="shared" si="0"/>
        <v>2062</v>
      </c>
      <c r="EL3" s="34">
        <f t="shared" si="0"/>
        <v>2063</v>
      </c>
      <c r="EM3" s="34">
        <f t="shared" si="0"/>
        <v>2064</v>
      </c>
      <c r="EN3" s="34">
        <f t="shared" si="0"/>
        <v>2065</v>
      </c>
      <c r="EO3" s="34">
        <f t="shared" si="0"/>
        <v>2066</v>
      </c>
      <c r="EP3" s="34">
        <f t="shared" si="0"/>
        <v>2067</v>
      </c>
      <c r="EQ3" s="34">
        <f t="shared" si="0"/>
        <v>2068</v>
      </c>
      <c r="ER3" s="34">
        <f t="shared" si="0"/>
        <v>2069</v>
      </c>
      <c r="ES3" s="34">
        <f t="shared" si="0"/>
        <v>2070</v>
      </c>
      <c r="ET3" s="34">
        <f t="shared" si="0"/>
        <v>2071</v>
      </c>
      <c r="EU3" s="34">
        <f t="shared" si="0"/>
        <v>2072</v>
      </c>
      <c r="EV3" s="34">
        <f t="shared" si="0"/>
        <v>2073</v>
      </c>
      <c r="EW3" s="34">
        <f t="shared" ref="EW3:FG3" si="1">EV3+1</f>
        <v>2074</v>
      </c>
      <c r="EX3" s="34">
        <f t="shared" si="1"/>
        <v>2075</v>
      </c>
      <c r="EY3" s="34">
        <f t="shared" si="1"/>
        <v>2076</v>
      </c>
      <c r="EZ3" s="34">
        <f t="shared" si="1"/>
        <v>2077</v>
      </c>
      <c r="FA3" s="34">
        <f t="shared" si="1"/>
        <v>2078</v>
      </c>
      <c r="FB3" s="34">
        <f t="shared" si="1"/>
        <v>2079</v>
      </c>
      <c r="FC3" s="34">
        <f t="shared" si="1"/>
        <v>2080</v>
      </c>
      <c r="FD3" s="34">
        <f t="shared" si="1"/>
        <v>2081</v>
      </c>
      <c r="FE3" s="34">
        <f t="shared" si="1"/>
        <v>2082</v>
      </c>
      <c r="FF3" s="34">
        <f t="shared" si="1"/>
        <v>2083</v>
      </c>
      <c r="FG3" s="34">
        <f t="shared" si="1"/>
        <v>2084</v>
      </c>
      <c r="FH3" s="34"/>
      <c r="FI3" s="34"/>
      <c r="FJ3" s="2"/>
    </row>
    <row r="4" spans="2:166">
      <c r="B4" s="36" t="s">
        <v>132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35">
        <f t="shared" ref="CZ4:DI4" si="2">CY4*(1+CZ16)</f>
        <v>0</v>
      </c>
      <c r="DA4" s="35">
        <f t="shared" si="2"/>
        <v>0</v>
      </c>
      <c r="DB4" s="35">
        <f t="shared" si="2"/>
        <v>0</v>
      </c>
      <c r="DC4" s="35">
        <f t="shared" si="2"/>
        <v>0</v>
      </c>
      <c r="DD4" s="35">
        <f t="shared" si="2"/>
        <v>0</v>
      </c>
      <c r="DE4" s="35">
        <f t="shared" si="2"/>
        <v>0</v>
      </c>
      <c r="DF4" s="35">
        <f t="shared" si="2"/>
        <v>0</v>
      </c>
      <c r="DG4" s="35">
        <f t="shared" si="2"/>
        <v>0</v>
      </c>
      <c r="DH4" s="35">
        <f t="shared" si="2"/>
        <v>0</v>
      </c>
      <c r="DI4" s="35">
        <f t="shared" si="2"/>
        <v>0</v>
      </c>
    </row>
    <row r="5" spans="2:166">
      <c r="B5" s="36" t="s">
        <v>133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Y14" si="19">SUM(BO5:BR5)</f>
        <v>0</v>
      </c>
      <c r="CZ5" s="35">
        <f t="shared" ref="CZ5:DI5" si="20">CY5*(1+CZ17)</f>
        <v>0</v>
      </c>
      <c r="DA5" s="35">
        <f t="shared" si="20"/>
        <v>0</v>
      </c>
      <c r="DB5" s="35">
        <f t="shared" si="20"/>
        <v>0</v>
      </c>
      <c r="DC5" s="35">
        <f t="shared" si="20"/>
        <v>0</v>
      </c>
      <c r="DD5" s="35">
        <f t="shared" si="20"/>
        <v>0</v>
      </c>
      <c r="DE5" s="35">
        <f t="shared" si="20"/>
        <v>0</v>
      </c>
      <c r="DF5" s="35">
        <f t="shared" si="20"/>
        <v>0</v>
      </c>
      <c r="DG5" s="35">
        <f t="shared" si="20"/>
        <v>0</v>
      </c>
      <c r="DH5" s="35">
        <f t="shared" si="20"/>
        <v>0</v>
      </c>
      <c r="DI5" s="35">
        <f t="shared" si="20"/>
        <v>0</v>
      </c>
    </row>
    <row r="6" spans="2:166">
      <c r="B6" s="36" t="s">
        <v>134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35">
        <f t="shared" ref="CZ6:DI6" si="21">CY6*(1+CZ18)</f>
        <v>0</v>
      </c>
      <c r="DA6" s="35">
        <f t="shared" si="21"/>
        <v>0</v>
      </c>
      <c r="DB6" s="35">
        <f t="shared" si="21"/>
        <v>0</v>
      </c>
      <c r="DC6" s="35">
        <f t="shared" si="21"/>
        <v>0</v>
      </c>
      <c r="DD6" s="35">
        <f t="shared" si="21"/>
        <v>0</v>
      </c>
      <c r="DE6" s="35">
        <f t="shared" si="21"/>
        <v>0</v>
      </c>
      <c r="DF6" s="35">
        <f t="shared" si="21"/>
        <v>0</v>
      </c>
      <c r="DG6" s="35">
        <f t="shared" si="21"/>
        <v>0</v>
      </c>
      <c r="DH6" s="35">
        <f t="shared" si="21"/>
        <v>0</v>
      </c>
      <c r="DI6" s="35">
        <f t="shared" si="21"/>
        <v>0</v>
      </c>
    </row>
    <row r="7" spans="2:166">
      <c r="B7" s="36" t="s">
        <v>131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35">
        <f t="shared" ref="CZ7:DI7" si="22">CY7*(1+CZ19)</f>
        <v>0</v>
      </c>
      <c r="DA7" s="35">
        <f t="shared" si="22"/>
        <v>0</v>
      </c>
      <c r="DB7" s="35">
        <f t="shared" si="22"/>
        <v>0</v>
      </c>
      <c r="DC7" s="35">
        <f t="shared" si="22"/>
        <v>0</v>
      </c>
      <c r="DD7" s="35">
        <f t="shared" si="22"/>
        <v>0</v>
      </c>
      <c r="DE7" s="35">
        <f t="shared" si="22"/>
        <v>0</v>
      </c>
      <c r="DF7" s="35">
        <f t="shared" si="22"/>
        <v>0</v>
      </c>
      <c r="DG7" s="35">
        <f t="shared" si="22"/>
        <v>0</v>
      </c>
      <c r="DH7" s="35">
        <f t="shared" si="22"/>
        <v>0</v>
      </c>
      <c r="DI7" s="35">
        <f t="shared" si="22"/>
        <v>0</v>
      </c>
    </row>
    <row r="8" spans="2:166">
      <c r="B8" s="36" t="s">
        <v>135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35">
        <f t="shared" ref="CZ8:DI8" si="23">CY8*(1+CZ20)</f>
        <v>0</v>
      </c>
      <c r="DA8" s="35">
        <f t="shared" si="23"/>
        <v>0</v>
      </c>
      <c r="DB8" s="35">
        <f t="shared" si="23"/>
        <v>0</v>
      </c>
      <c r="DC8" s="35">
        <f t="shared" si="23"/>
        <v>0</v>
      </c>
      <c r="DD8" s="35">
        <f t="shared" si="23"/>
        <v>0</v>
      </c>
      <c r="DE8" s="35">
        <f t="shared" si="23"/>
        <v>0</v>
      </c>
      <c r="DF8" s="35">
        <f t="shared" si="23"/>
        <v>0</v>
      </c>
      <c r="DG8" s="35">
        <f t="shared" si="23"/>
        <v>0</v>
      </c>
      <c r="DH8" s="35">
        <f t="shared" si="23"/>
        <v>0</v>
      </c>
      <c r="DI8" s="35">
        <f t="shared" si="23"/>
        <v>0</v>
      </c>
    </row>
    <row r="9" spans="2:166">
      <c r="B9" s="36" t="s">
        <v>136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35">
        <f t="shared" ref="CZ9:DI9" si="24">CY9*(1+CZ21)</f>
        <v>0</v>
      </c>
      <c r="DA9" s="35">
        <f t="shared" si="24"/>
        <v>0</v>
      </c>
      <c r="DB9" s="35">
        <f t="shared" si="24"/>
        <v>0</v>
      </c>
      <c r="DC9" s="35">
        <f t="shared" si="24"/>
        <v>0</v>
      </c>
      <c r="DD9" s="35">
        <f t="shared" si="24"/>
        <v>0</v>
      </c>
      <c r="DE9" s="35">
        <f t="shared" si="24"/>
        <v>0</v>
      </c>
      <c r="DF9" s="35">
        <f t="shared" si="24"/>
        <v>0</v>
      </c>
      <c r="DG9" s="35">
        <f t="shared" si="24"/>
        <v>0</v>
      </c>
      <c r="DH9" s="35">
        <f t="shared" si="24"/>
        <v>0</v>
      </c>
      <c r="DI9" s="35">
        <f t="shared" si="24"/>
        <v>0</v>
      </c>
    </row>
    <row r="10" spans="2:166">
      <c r="B10" s="36" t="s">
        <v>137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35">
        <f t="shared" ref="CZ10:DI10" si="25">CY10*(1+CZ22)</f>
        <v>0</v>
      </c>
      <c r="DA10" s="35">
        <f t="shared" si="25"/>
        <v>0</v>
      </c>
      <c r="DB10" s="35">
        <f t="shared" si="25"/>
        <v>0</v>
      </c>
      <c r="DC10" s="35">
        <f t="shared" si="25"/>
        <v>0</v>
      </c>
      <c r="DD10" s="35">
        <f t="shared" si="25"/>
        <v>0</v>
      </c>
      <c r="DE10" s="35">
        <f t="shared" si="25"/>
        <v>0</v>
      </c>
      <c r="DF10" s="35">
        <f t="shared" si="25"/>
        <v>0</v>
      </c>
      <c r="DG10" s="35">
        <f t="shared" si="25"/>
        <v>0</v>
      </c>
      <c r="DH10" s="35">
        <f t="shared" si="25"/>
        <v>0</v>
      </c>
      <c r="DI10" s="35">
        <f t="shared" si="25"/>
        <v>0</v>
      </c>
    </row>
    <row r="11" spans="2:166">
      <c r="B11" s="36" t="s">
        <v>138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35">
        <f t="shared" ref="CZ11:DI11" si="26">CY11*(1+CZ23)</f>
        <v>0</v>
      </c>
      <c r="DA11" s="35">
        <f t="shared" si="26"/>
        <v>0</v>
      </c>
      <c r="DB11" s="35">
        <f t="shared" si="26"/>
        <v>0</v>
      </c>
      <c r="DC11" s="35">
        <f t="shared" si="26"/>
        <v>0</v>
      </c>
      <c r="DD11" s="35">
        <f t="shared" si="26"/>
        <v>0</v>
      </c>
      <c r="DE11" s="35">
        <f t="shared" si="26"/>
        <v>0</v>
      </c>
      <c r="DF11" s="35">
        <f t="shared" si="26"/>
        <v>0</v>
      </c>
      <c r="DG11" s="35">
        <f t="shared" si="26"/>
        <v>0</v>
      </c>
      <c r="DH11" s="35">
        <f t="shared" si="26"/>
        <v>0</v>
      </c>
      <c r="DI11" s="35">
        <f t="shared" si="26"/>
        <v>0</v>
      </c>
    </row>
    <row r="12" spans="2:166">
      <c r="B12" s="36" t="s">
        <v>139</v>
      </c>
      <c r="C12" s="36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35">
        <f t="shared" ref="CZ12:DI12" si="27">CY12*(1+CZ24)</f>
        <v>0</v>
      </c>
      <c r="DA12" s="35">
        <f t="shared" si="27"/>
        <v>0</v>
      </c>
      <c r="DB12" s="35">
        <f t="shared" si="27"/>
        <v>0</v>
      </c>
      <c r="DC12" s="35">
        <f t="shared" si="27"/>
        <v>0</v>
      </c>
      <c r="DD12" s="35">
        <f t="shared" si="27"/>
        <v>0</v>
      </c>
      <c r="DE12" s="35">
        <f t="shared" si="27"/>
        <v>0</v>
      </c>
      <c r="DF12" s="35">
        <f t="shared" si="27"/>
        <v>0</v>
      </c>
      <c r="DG12" s="35">
        <f t="shared" si="27"/>
        <v>0</v>
      </c>
      <c r="DH12" s="35">
        <f t="shared" si="27"/>
        <v>0</v>
      </c>
      <c r="DI12" s="35">
        <f t="shared" si="27"/>
        <v>0</v>
      </c>
    </row>
    <row r="13" spans="2:166">
      <c r="B13" s="36" t="s">
        <v>140</v>
      </c>
      <c r="C13" s="36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35">
        <f t="shared" ref="CZ13:DI13" si="28">CY13*(1+CZ25)</f>
        <v>0</v>
      </c>
      <c r="DA13" s="35">
        <f t="shared" si="28"/>
        <v>0</v>
      </c>
      <c r="DB13" s="35">
        <f t="shared" si="28"/>
        <v>0</v>
      </c>
      <c r="DC13" s="35">
        <f t="shared" si="28"/>
        <v>0</v>
      </c>
      <c r="DD13" s="35">
        <f t="shared" si="28"/>
        <v>0</v>
      </c>
      <c r="DE13" s="35">
        <f t="shared" si="28"/>
        <v>0</v>
      </c>
      <c r="DF13" s="35">
        <f t="shared" si="28"/>
        <v>0</v>
      </c>
      <c r="DG13" s="35">
        <f t="shared" si="28"/>
        <v>0</v>
      </c>
      <c r="DH13" s="35">
        <f t="shared" si="28"/>
        <v>0</v>
      </c>
      <c r="DI13" s="35">
        <f t="shared" si="28"/>
        <v>0</v>
      </c>
    </row>
    <row r="14" spans="2:166" s="2" customFormat="1" ht="15">
      <c r="B14" s="33" t="s">
        <v>128</v>
      </c>
      <c r="C14" s="50"/>
      <c r="BT14" s="34"/>
      <c r="BU14" s="34"/>
      <c r="BV14" s="34"/>
      <c r="BW14" s="34"/>
      <c r="BX14" s="34"/>
      <c r="BY14" s="34"/>
      <c r="BZ14" s="34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34">
        <f>SUM(CZ4:CZ13)</f>
        <v>0</v>
      </c>
      <c r="DA14" s="34">
        <f t="shared" ref="DA14:DI14" si="29">SUM(DA4:DA13)</f>
        <v>0</v>
      </c>
      <c r="DB14" s="34">
        <f t="shared" si="29"/>
        <v>0</v>
      </c>
      <c r="DC14" s="34">
        <f t="shared" si="29"/>
        <v>0</v>
      </c>
      <c r="DD14" s="34">
        <f t="shared" si="29"/>
        <v>0</v>
      </c>
      <c r="DE14" s="34">
        <f t="shared" si="29"/>
        <v>0</v>
      </c>
      <c r="DF14" s="34">
        <f t="shared" si="29"/>
        <v>0</v>
      </c>
      <c r="DG14" s="34">
        <f t="shared" si="29"/>
        <v>0</v>
      </c>
      <c r="DH14" s="34">
        <f t="shared" si="29"/>
        <v>0</v>
      </c>
      <c r="DI14" s="34">
        <f t="shared" si="29"/>
        <v>0</v>
      </c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</row>
    <row r="15" spans="2:166">
      <c r="B15" s="36"/>
      <c r="C15" s="36"/>
    </row>
    <row r="16" spans="2:166">
      <c r="B16" s="37" t="s">
        <v>143</v>
      </c>
      <c r="CJ16" s="1" t="e">
        <f t="shared" ref="CJ16:CY16" si="30">CJ4/CI4-1</f>
        <v>#DIV/0!</v>
      </c>
      <c r="CK16" s="1" t="e">
        <f t="shared" si="30"/>
        <v>#DIV/0!</v>
      </c>
      <c r="CL16" s="1" t="e">
        <f t="shared" si="30"/>
        <v>#DIV/0!</v>
      </c>
      <c r="CM16" s="1" t="e">
        <f t="shared" si="30"/>
        <v>#DIV/0!</v>
      </c>
      <c r="CN16" s="1" t="e">
        <f t="shared" si="30"/>
        <v>#DIV/0!</v>
      </c>
      <c r="CO16" s="1" t="e">
        <f t="shared" si="30"/>
        <v>#DIV/0!</v>
      </c>
      <c r="CP16" s="1" t="e">
        <f t="shared" si="30"/>
        <v>#DIV/0!</v>
      </c>
      <c r="CQ16" s="1" t="e">
        <f t="shared" si="30"/>
        <v>#DIV/0!</v>
      </c>
      <c r="CR16" s="1" t="e">
        <f t="shared" si="30"/>
        <v>#DIV/0!</v>
      </c>
      <c r="CS16" s="1" t="e">
        <f t="shared" si="30"/>
        <v>#DIV/0!</v>
      </c>
      <c r="CT16" s="1" t="e">
        <f t="shared" si="30"/>
        <v>#DIV/0!</v>
      </c>
      <c r="CU16" s="1" t="e">
        <f t="shared" si="30"/>
        <v>#DIV/0!</v>
      </c>
      <c r="CV16" s="1" t="e">
        <f t="shared" si="30"/>
        <v>#DIV/0!</v>
      </c>
      <c r="CW16" s="1" t="e">
        <f t="shared" si="30"/>
        <v>#DIV/0!</v>
      </c>
      <c r="CX16" s="1" t="e">
        <f t="shared" si="30"/>
        <v>#DIV/0!</v>
      </c>
      <c r="CY16" s="1" t="e">
        <f t="shared" si="30"/>
        <v>#DIV/0!</v>
      </c>
      <c r="CZ16" s="49">
        <v>1</v>
      </c>
      <c r="DA16" s="49">
        <v>1</v>
      </c>
      <c r="DB16" s="49">
        <v>1</v>
      </c>
      <c r="DC16" s="49">
        <v>1</v>
      </c>
      <c r="DD16" s="49">
        <v>1</v>
      </c>
      <c r="DE16" s="49">
        <v>1</v>
      </c>
      <c r="DF16" s="49">
        <v>1</v>
      </c>
      <c r="DG16" s="49">
        <v>1</v>
      </c>
      <c r="DH16" s="49">
        <v>1</v>
      </c>
      <c r="DI16" s="49">
        <v>1</v>
      </c>
    </row>
    <row r="17" spans="2:165">
      <c r="B17" s="37" t="s">
        <v>144</v>
      </c>
      <c r="CJ17" s="1" t="e">
        <f t="shared" ref="CJ17:CY17" si="31">CJ5/CI5-1</f>
        <v>#DIV/0!</v>
      </c>
      <c r="CK17" s="1" t="e">
        <f t="shared" si="31"/>
        <v>#DIV/0!</v>
      </c>
      <c r="CL17" s="1" t="e">
        <f t="shared" si="31"/>
        <v>#DIV/0!</v>
      </c>
      <c r="CM17" s="1" t="e">
        <f t="shared" si="31"/>
        <v>#DIV/0!</v>
      </c>
      <c r="CN17" s="1" t="e">
        <f t="shared" si="31"/>
        <v>#DIV/0!</v>
      </c>
      <c r="CO17" s="1" t="e">
        <f t="shared" si="31"/>
        <v>#DIV/0!</v>
      </c>
      <c r="CP17" s="1" t="e">
        <f t="shared" si="31"/>
        <v>#DIV/0!</v>
      </c>
      <c r="CQ17" s="1" t="e">
        <f t="shared" si="31"/>
        <v>#DIV/0!</v>
      </c>
      <c r="CR17" s="1" t="e">
        <f t="shared" si="31"/>
        <v>#DIV/0!</v>
      </c>
      <c r="CS17" s="1" t="e">
        <f t="shared" si="31"/>
        <v>#DIV/0!</v>
      </c>
      <c r="CT17" s="1" t="e">
        <f t="shared" si="31"/>
        <v>#DIV/0!</v>
      </c>
      <c r="CU17" s="1" t="e">
        <f t="shared" si="31"/>
        <v>#DIV/0!</v>
      </c>
      <c r="CV17" s="1" t="e">
        <f t="shared" si="31"/>
        <v>#DIV/0!</v>
      </c>
      <c r="CW17" s="1" t="e">
        <f t="shared" si="31"/>
        <v>#DIV/0!</v>
      </c>
      <c r="CX17" s="1" t="e">
        <f t="shared" si="31"/>
        <v>#DIV/0!</v>
      </c>
      <c r="CY17" s="1" t="e">
        <f t="shared" si="31"/>
        <v>#DIV/0!</v>
      </c>
      <c r="CZ17" s="49">
        <v>1</v>
      </c>
      <c r="DA17" s="49">
        <v>1</v>
      </c>
      <c r="DB17" s="49">
        <v>1</v>
      </c>
      <c r="DC17" s="49">
        <v>1</v>
      </c>
      <c r="DD17" s="49">
        <v>1</v>
      </c>
      <c r="DE17" s="49">
        <v>1</v>
      </c>
      <c r="DF17" s="49">
        <v>1</v>
      </c>
      <c r="DG17" s="49">
        <v>1</v>
      </c>
      <c r="DH17" s="49">
        <v>1</v>
      </c>
      <c r="DI17" s="49">
        <v>1</v>
      </c>
    </row>
    <row r="18" spans="2:165">
      <c r="B18" s="37" t="s">
        <v>145</v>
      </c>
      <c r="CJ18" s="1" t="e">
        <f t="shared" ref="CJ18:CY18" si="32">CJ6/CI6-1</f>
        <v>#DIV/0!</v>
      </c>
      <c r="CK18" s="1" t="e">
        <f t="shared" si="32"/>
        <v>#DIV/0!</v>
      </c>
      <c r="CL18" s="1" t="e">
        <f t="shared" si="32"/>
        <v>#DIV/0!</v>
      </c>
      <c r="CM18" s="1" t="e">
        <f t="shared" si="32"/>
        <v>#DIV/0!</v>
      </c>
      <c r="CN18" s="1" t="e">
        <f t="shared" si="32"/>
        <v>#DIV/0!</v>
      </c>
      <c r="CO18" s="1" t="e">
        <f t="shared" si="32"/>
        <v>#DIV/0!</v>
      </c>
      <c r="CP18" s="1" t="e">
        <f t="shared" si="32"/>
        <v>#DIV/0!</v>
      </c>
      <c r="CQ18" s="1" t="e">
        <f t="shared" si="32"/>
        <v>#DIV/0!</v>
      </c>
      <c r="CR18" s="1" t="e">
        <f t="shared" si="32"/>
        <v>#DIV/0!</v>
      </c>
      <c r="CS18" s="1" t="e">
        <f t="shared" si="32"/>
        <v>#DIV/0!</v>
      </c>
      <c r="CT18" s="1" t="e">
        <f t="shared" si="32"/>
        <v>#DIV/0!</v>
      </c>
      <c r="CU18" s="1" t="e">
        <f t="shared" si="32"/>
        <v>#DIV/0!</v>
      </c>
      <c r="CV18" s="1" t="e">
        <f t="shared" si="32"/>
        <v>#DIV/0!</v>
      </c>
      <c r="CW18" s="1" t="e">
        <f t="shared" si="32"/>
        <v>#DIV/0!</v>
      </c>
      <c r="CX18" s="1" t="e">
        <f t="shared" si="32"/>
        <v>#DIV/0!</v>
      </c>
      <c r="CY18" s="1" t="e">
        <f t="shared" si="32"/>
        <v>#DIV/0!</v>
      </c>
      <c r="CZ18" s="49">
        <v>1</v>
      </c>
      <c r="DA18" s="49">
        <v>1</v>
      </c>
      <c r="DB18" s="49">
        <v>1</v>
      </c>
      <c r="DC18" s="49">
        <v>1</v>
      </c>
      <c r="DD18" s="49">
        <v>1</v>
      </c>
      <c r="DE18" s="49">
        <v>1</v>
      </c>
      <c r="DF18" s="49">
        <v>1</v>
      </c>
      <c r="DG18" s="49">
        <v>1</v>
      </c>
      <c r="DH18" s="49">
        <v>1</v>
      </c>
      <c r="DI18" s="49">
        <v>1</v>
      </c>
    </row>
    <row r="19" spans="2:165">
      <c r="B19" s="37" t="s">
        <v>146</v>
      </c>
      <c r="CJ19" s="1" t="e">
        <f t="shared" ref="CJ19:CY19" si="33">CJ7/CI7-1</f>
        <v>#DIV/0!</v>
      </c>
      <c r="CK19" s="1" t="e">
        <f t="shared" si="33"/>
        <v>#DIV/0!</v>
      </c>
      <c r="CL19" s="1" t="e">
        <f t="shared" si="33"/>
        <v>#DIV/0!</v>
      </c>
      <c r="CM19" s="1" t="e">
        <f t="shared" si="33"/>
        <v>#DIV/0!</v>
      </c>
      <c r="CN19" s="1" t="e">
        <f t="shared" si="33"/>
        <v>#DIV/0!</v>
      </c>
      <c r="CO19" s="1" t="e">
        <f t="shared" si="33"/>
        <v>#DIV/0!</v>
      </c>
      <c r="CP19" s="1" t="e">
        <f t="shared" si="33"/>
        <v>#DIV/0!</v>
      </c>
      <c r="CQ19" s="1" t="e">
        <f t="shared" si="33"/>
        <v>#DIV/0!</v>
      </c>
      <c r="CR19" s="1" t="e">
        <f t="shared" si="33"/>
        <v>#DIV/0!</v>
      </c>
      <c r="CS19" s="1" t="e">
        <f t="shared" si="33"/>
        <v>#DIV/0!</v>
      </c>
      <c r="CT19" s="1" t="e">
        <f t="shared" si="33"/>
        <v>#DIV/0!</v>
      </c>
      <c r="CU19" s="1" t="e">
        <f t="shared" si="33"/>
        <v>#DIV/0!</v>
      </c>
      <c r="CV19" s="1" t="e">
        <f t="shared" si="33"/>
        <v>#DIV/0!</v>
      </c>
      <c r="CW19" s="1" t="e">
        <f t="shared" si="33"/>
        <v>#DIV/0!</v>
      </c>
      <c r="CX19" s="1" t="e">
        <f t="shared" si="33"/>
        <v>#DIV/0!</v>
      </c>
      <c r="CY19" s="1" t="e">
        <f t="shared" si="33"/>
        <v>#DIV/0!</v>
      </c>
      <c r="CZ19" s="49">
        <v>1</v>
      </c>
      <c r="DA19" s="49">
        <v>1</v>
      </c>
      <c r="DB19" s="49">
        <v>1</v>
      </c>
      <c r="DC19" s="49">
        <v>1</v>
      </c>
      <c r="DD19" s="49">
        <v>1</v>
      </c>
      <c r="DE19" s="49">
        <v>1</v>
      </c>
      <c r="DF19" s="49">
        <v>1</v>
      </c>
      <c r="DG19" s="49">
        <v>1</v>
      </c>
      <c r="DH19" s="49">
        <v>1</v>
      </c>
      <c r="DI19" s="49">
        <v>1</v>
      </c>
    </row>
    <row r="20" spans="2:165">
      <c r="B20" s="37" t="s">
        <v>147</v>
      </c>
      <c r="CJ20" s="1" t="e">
        <f t="shared" ref="CJ20:CY20" si="34">CJ8/CI8-1</f>
        <v>#DIV/0!</v>
      </c>
      <c r="CK20" s="1" t="e">
        <f t="shared" si="34"/>
        <v>#DIV/0!</v>
      </c>
      <c r="CL20" s="1" t="e">
        <f t="shared" si="34"/>
        <v>#DIV/0!</v>
      </c>
      <c r="CM20" s="1" t="e">
        <f t="shared" si="34"/>
        <v>#DIV/0!</v>
      </c>
      <c r="CN20" s="1" t="e">
        <f t="shared" si="34"/>
        <v>#DIV/0!</v>
      </c>
      <c r="CO20" s="1" t="e">
        <f t="shared" si="34"/>
        <v>#DIV/0!</v>
      </c>
      <c r="CP20" s="1" t="e">
        <f t="shared" si="34"/>
        <v>#DIV/0!</v>
      </c>
      <c r="CQ20" s="1" t="e">
        <f t="shared" si="34"/>
        <v>#DIV/0!</v>
      </c>
      <c r="CR20" s="1" t="e">
        <f t="shared" si="34"/>
        <v>#DIV/0!</v>
      </c>
      <c r="CS20" s="1" t="e">
        <f t="shared" si="34"/>
        <v>#DIV/0!</v>
      </c>
      <c r="CT20" s="1" t="e">
        <f t="shared" si="34"/>
        <v>#DIV/0!</v>
      </c>
      <c r="CU20" s="1" t="e">
        <f t="shared" si="34"/>
        <v>#DIV/0!</v>
      </c>
      <c r="CV20" s="1" t="e">
        <f t="shared" si="34"/>
        <v>#DIV/0!</v>
      </c>
      <c r="CW20" s="1" t="e">
        <f t="shared" si="34"/>
        <v>#DIV/0!</v>
      </c>
      <c r="CX20" s="1" t="e">
        <f t="shared" si="34"/>
        <v>#DIV/0!</v>
      </c>
      <c r="CY20" s="1" t="e">
        <f t="shared" si="34"/>
        <v>#DIV/0!</v>
      </c>
      <c r="CZ20" s="49">
        <v>1</v>
      </c>
      <c r="DA20" s="49">
        <v>1</v>
      </c>
      <c r="DB20" s="49">
        <v>1</v>
      </c>
      <c r="DC20" s="49">
        <v>1</v>
      </c>
      <c r="DD20" s="49">
        <v>1</v>
      </c>
      <c r="DE20" s="49">
        <v>1</v>
      </c>
      <c r="DF20" s="49">
        <v>1</v>
      </c>
      <c r="DG20" s="49">
        <v>1</v>
      </c>
      <c r="DH20" s="49">
        <v>1</v>
      </c>
      <c r="DI20" s="49">
        <v>1</v>
      </c>
    </row>
    <row r="21" spans="2:165">
      <c r="B21" s="37" t="s">
        <v>148</v>
      </c>
      <c r="CJ21" s="1" t="e">
        <f t="shared" ref="CJ21:CY21" si="35">CJ9/CI9-1</f>
        <v>#DIV/0!</v>
      </c>
      <c r="CK21" s="1" t="e">
        <f t="shared" si="35"/>
        <v>#DIV/0!</v>
      </c>
      <c r="CL21" s="1" t="e">
        <f t="shared" si="35"/>
        <v>#DIV/0!</v>
      </c>
      <c r="CM21" s="1" t="e">
        <f t="shared" si="35"/>
        <v>#DIV/0!</v>
      </c>
      <c r="CN21" s="1" t="e">
        <f t="shared" si="35"/>
        <v>#DIV/0!</v>
      </c>
      <c r="CO21" s="1" t="e">
        <f t="shared" si="35"/>
        <v>#DIV/0!</v>
      </c>
      <c r="CP21" s="1" t="e">
        <f t="shared" si="35"/>
        <v>#DIV/0!</v>
      </c>
      <c r="CQ21" s="1" t="e">
        <f t="shared" si="35"/>
        <v>#DIV/0!</v>
      </c>
      <c r="CR21" s="1" t="e">
        <f t="shared" si="35"/>
        <v>#DIV/0!</v>
      </c>
      <c r="CS21" s="1" t="e">
        <f t="shared" si="35"/>
        <v>#DIV/0!</v>
      </c>
      <c r="CT21" s="1" t="e">
        <f t="shared" si="35"/>
        <v>#DIV/0!</v>
      </c>
      <c r="CU21" s="1" t="e">
        <f t="shared" si="35"/>
        <v>#DIV/0!</v>
      </c>
      <c r="CV21" s="1" t="e">
        <f t="shared" si="35"/>
        <v>#DIV/0!</v>
      </c>
      <c r="CW21" s="1" t="e">
        <f t="shared" si="35"/>
        <v>#DIV/0!</v>
      </c>
      <c r="CX21" s="1" t="e">
        <f t="shared" si="35"/>
        <v>#DIV/0!</v>
      </c>
      <c r="CY21" s="1" t="e">
        <f t="shared" si="35"/>
        <v>#DIV/0!</v>
      </c>
      <c r="CZ21" s="49">
        <v>1</v>
      </c>
      <c r="DA21" s="49">
        <v>1</v>
      </c>
      <c r="DB21" s="49">
        <v>1</v>
      </c>
      <c r="DC21" s="49">
        <v>1</v>
      </c>
      <c r="DD21" s="49">
        <v>1</v>
      </c>
      <c r="DE21" s="49">
        <v>1</v>
      </c>
      <c r="DF21" s="49">
        <v>1</v>
      </c>
      <c r="DG21" s="49">
        <v>1</v>
      </c>
      <c r="DH21" s="49">
        <v>1</v>
      </c>
      <c r="DI21" s="49">
        <v>1</v>
      </c>
    </row>
    <row r="22" spans="2:165">
      <c r="B22" s="37" t="s">
        <v>151</v>
      </c>
      <c r="CJ22" s="1" t="e">
        <f t="shared" ref="CJ22:CY22" si="36">CJ10/CI10-1</f>
        <v>#DIV/0!</v>
      </c>
      <c r="CK22" s="1" t="e">
        <f t="shared" si="36"/>
        <v>#DIV/0!</v>
      </c>
      <c r="CL22" s="1" t="e">
        <f t="shared" si="36"/>
        <v>#DIV/0!</v>
      </c>
      <c r="CM22" s="1" t="e">
        <f t="shared" si="36"/>
        <v>#DIV/0!</v>
      </c>
      <c r="CN22" s="1" t="e">
        <f t="shared" si="36"/>
        <v>#DIV/0!</v>
      </c>
      <c r="CO22" s="1" t="e">
        <f t="shared" si="36"/>
        <v>#DIV/0!</v>
      </c>
      <c r="CP22" s="1" t="e">
        <f t="shared" si="36"/>
        <v>#DIV/0!</v>
      </c>
      <c r="CQ22" s="1" t="e">
        <f t="shared" si="36"/>
        <v>#DIV/0!</v>
      </c>
      <c r="CR22" s="1" t="e">
        <f t="shared" si="36"/>
        <v>#DIV/0!</v>
      </c>
      <c r="CS22" s="1" t="e">
        <f t="shared" si="36"/>
        <v>#DIV/0!</v>
      </c>
      <c r="CT22" s="1" t="e">
        <f t="shared" si="36"/>
        <v>#DIV/0!</v>
      </c>
      <c r="CU22" s="1" t="e">
        <f t="shared" si="36"/>
        <v>#DIV/0!</v>
      </c>
      <c r="CV22" s="1" t="e">
        <f t="shared" si="36"/>
        <v>#DIV/0!</v>
      </c>
      <c r="CW22" s="1" t="e">
        <f t="shared" si="36"/>
        <v>#DIV/0!</v>
      </c>
      <c r="CX22" s="1" t="e">
        <f t="shared" si="36"/>
        <v>#DIV/0!</v>
      </c>
      <c r="CY22" s="1" t="e">
        <f t="shared" si="36"/>
        <v>#DIV/0!</v>
      </c>
      <c r="CZ22" s="49">
        <v>1</v>
      </c>
      <c r="DA22" s="49">
        <v>1</v>
      </c>
      <c r="DB22" s="49">
        <v>1</v>
      </c>
      <c r="DC22" s="49">
        <v>1</v>
      </c>
      <c r="DD22" s="49">
        <v>1</v>
      </c>
      <c r="DE22" s="49">
        <v>1</v>
      </c>
      <c r="DF22" s="49">
        <v>1</v>
      </c>
      <c r="DG22" s="49">
        <v>1</v>
      </c>
      <c r="DH22" s="49">
        <v>1</v>
      </c>
      <c r="DI22" s="49">
        <v>1</v>
      </c>
    </row>
    <row r="23" spans="2:165">
      <c r="B23" s="37" t="s">
        <v>150</v>
      </c>
      <c r="CJ23" s="1" t="e">
        <f t="shared" ref="CJ23:CY23" si="37">CJ11/CI11-1</f>
        <v>#DIV/0!</v>
      </c>
      <c r="CK23" s="1" t="e">
        <f t="shared" si="37"/>
        <v>#DIV/0!</v>
      </c>
      <c r="CL23" s="1" t="e">
        <f t="shared" si="37"/>
        <v>#DIV/0!</v>
      </c>
      <c r="CM23" s="1" t="e">
        <f t="shared" si="37"/>
        <v>#DIV/0!</v>
      </c>
      <c r="CN23" s="1" t="e">
        <f t="shared" si="37"/>
        <v>#DIV/0!</v>
      </c>
      <c r="CO23" s="1" t="e">
        <f t="shared" si="37"/>
        <v>#DIV/0!</v>
      </c>
      <c r="CP23" s="1" t="e">
        <f t="shared" si="37"/>
        <v>#DIV/0!</v>
      </c>
      <c r="CQ23" s="1" t="e">
        <f t="shared" si="37"/>
        <v>#DIV/0!</v>
      </c>
      <c r="CR23" s="1" t="e">
        <f t="shared" si="37"/>
        <v>#DIV/0!</v>
      </c>
      <c r="CS23" s="1" t="e">
        <f t="shared" si="37"/>
        <v>#DIV/0!</v>
      </c>
      <c r="CT23" s="1" t="e">
        <f t="shared" si="37"/>
        <v>#DIV/0!</v>
      </c>
      <c r="CU23" s="1" t="e">
        <f t="shared" si="37"/>
        <v>#DIV/0!</v>
      </c>
      <c r="CV23" s="1" t="e">
        <f t="shared" si="37"/>
        <v>#DIV/0!</v>
      </c>
      <c r="CW23" s="1" t="e">
        <f t="shared" si="37"/>
        <v>#DIV/0!</v>
      </c>
      <c r="CX23" s="1" t="e">
        <f t="shared" si="37"/>
        <v>#DIV/0!</v>
      </c>
      <c r="CY23" s="1" t="e">
        <f t="shared" si="37"/>
        <v>#DIV/0!</v>
      </c>
      <c r="CZ23" s="49">
        <v>1</v>
      </c>
      <c r="DA23" s="49">
        <v>1</v>
      </c>
      <c r="DB23" s="49">
        <v>1</v>
      </c>
      <c r="DC23" s="49">
        <v>1</v>
      </c>
      <c r="DD23" s="49">
        <v>1</v>
      </c>
      <c r="DE23" s="49">
        <v>1</v>
      </c>
      <c r="DF23" s="49">
        <v>1</v>
      </c>
      <c r="DG23" s="49">
        <v>1</v>
      </c>
      <c r="DH23" s="49">
        <v>1</v>
      </c>
      <c r="DI23" s="49">
        <v>1</v>
      </c>
    </row>
    <row r="24" spans="2:165">
      <c r="B24" s="37" t="s">
        <v>152</v>
      </c>
      <c r="CJ24" s="1" t="e">
        <f t="shared" ref="CJ24:CY24" si="38">CJ12/CI12-1</f>
        <v>#DIV/0!</v>
      </c>
      <c r="CK24" s="1" t="e">
        <f t="shared" si="38"/>
        <v>#DIV/0!</v>
      </c>
      <c r="CL24" s="1" t="e">
        <f t="shared" si="38"/>
        <v>#DIV/0!</v>
      </c>
      <c r="CM24" s="1" t="e">
        <f t="shared" si="38"/>
        <v>#DIV/0!</v>
      </c>
      <c r="CN24" s="1" t="e">
        <f t="shared" si="38"/>
        <v>#DIV/0!</v>
      </c>
      <c r="CO24" s="1" t="e">
        <f t="shared" si="38"/>
        <v>#DIV/0!</v>
      </c>
      <c r="CP24" s="1" t="e">
        <f t="shared" si="38"/>
        <v>#DIV/0!</v>
      </c>
      <c r="CQ24" s="1" t="e">
        <f t="shared" si="38"/>
        <v>#DIV/0!</v>
      </c>
      <c r="CR24" s="1" t="e">
        <f t="shared" si="38"/>
        <v>#DIV/0!</v>
      </c>
      <c r="CS24" s="1" t="e">
        <f t="shared" si="38"/>
        <v>#DIV/0!</v>
      </c>
      <c r="CT24" s="1" t="e">
        <f t="shared" si="38"/>
        <v>#DIV/0!</v>
      </c>
      <c r="CU24" s="1" t="e">
        <f t="shared" si="38"/>
        <v>#DIV/0!</v>
      </c>
      <c r="CV24" s="1" t="e">
        <f t="shared" si="38"/>
        <v>#DIV/0!</v>
      </c>
      <c r="CW24" s="1" t="e">
        <f t="shared" si="38"/>
        <v>#DIV/0!</v>
      </c>
      <c r="CX24" s="1" t="e">
        <f t="shared" si="38"/>
        <v>#DIV/0!</v>
      </c>
      <c r="CY24" s="1" t="e">
        <f t="shared" si="38"/>
        <v>#DIV/0!</v>
      </c>
      <c r="CZ24" s="49">
        <v>1</v>
      </c>
      <c r="DA24" s="49">
        <v>1</v>
      </c>
      <c r="DB24" s="49">
        <v>1</v>
      </c>
      <c r="DC24" s="49">
        <v>1</v>
      </c>
      <c r="DD24" s="49">
        <v>1</v>
      </c>
      <c r="DE24" s="49">
        <v>1</v>
      </c>
      <c r="DF24" s="49">
        <v>1</v>
      </c>
      <c r="DG24" s="49">
        <v>1</v>
      </c>
      <c r="DH24" s="49">
        <v>1</v>
      </c>
      <c r="DI24" s="49">
        <v>1</v>
      </c>
    </row>
    <row r="25" spans="2:165">
      <c r="B25" s="37" t="s">
        <v>149</v>
      </c>
      <c r="CJ25" s="1" t="e">
        <f t="shared" ref="CJ25:CY25" si="39">CJ13/CI13-1</f>
        <v>#DIV/0!</v>
      </c>
      <c r="CK25" s="1" t="e">
        <f t="shared" si="39"/>
        <v>#DIV/0!</v>
      </c>
      <c r="CL25" s="1" t="e">
        <f t="shared" si="39"/>
        <v>#DIV/0!</v>
      </c>
      <c r="CM25" s="1" t="e">
        <f t="shared" si="39"/>
        <v>#DIV/0!</v>
      </c>
      <c r="CN25" s="1" t="e">
        <f t="shared" si="39"/>
        <v>#DIV/0!</v>
      </c>
      <c r="CO25" s="1" t="e">
        <f t="shared" si="39"/>
        <v>#DIV/0!</v>
      </c>
      <c r="CP25" s="1" t="e">
        <f t="shared" si="39"/>
        <v>#DIV/0!</v>
      </c>
      <c r="CQ25" s="1" t="e">
        <f t="shared" si="39"/>
        <v>#DIV/0!</v>
      </c>
      <c r="CR25" s="1" t="e">
        <f t="shared" si="39"/>
        <v>#DIV/0!</v>
      </c>
      <c r="CS25" s="1" t="e">
        <f t="shared" si="39"/>
        <v>#DIV/0!</v>
      </c>
      <c r="CT25" s="1" t="e">
        <f t="shared" si="39"/>
        <v>#DIV/0!</v>
      </c>
      <c r="CU25" s="1" t="e">
        <f t="shared" si="39"/>
        <v>#DIV/0!</v>
      </c>
      <c r="CV25" s="1" t="e">
        <f t="shared" si="39"/>
        <v>#DIV/0!</v>
      </c>
      <c r="CW25" s="1" t="e">
        <f t="shared" si="39"/>
        <v>#DIV/0!</v>
      </c>
      <c r="CX25" s="1" t="e">
        <f t="shared" si="39"/>
        <v>#DIV/0!</v>
      </c>
      <c r="CY25" s="1" t="e">
        <f t="shared" si="39"/>
        <v>#DIV/0!</v>
      </c>
      <c r="CZ25" s="49">
        <v>1</v>
      </c>
      <c r="DA25" s="49">
        <v>1</v>
      </c>
      <c r="DB25" s="49">
        <v>1</v>
      </c>
      <c r="DC25" s="49">
        <v>1</v>
      </c>
      <c r="DD25" s="49">
        <v>1</v>
      </c>
      <c r="DE25" s="49">
        <v>1</v>
      </c>
      <c r="DF25" s="49">
        <v>1</v>
      </c>
      <c r="DG25" s="49">
        <v>1</v>
      </c>
      <c r="DH25" s="49">
        <v>1</v>
      </c>
      <c r="DI25" s="49">
        <v>1</v>
      </c>
    </row>
    <row r="26" spans="2:165" s="2" customFormat="1" ht="15">
      <c r="B26" s="33" t="s">
        <v>225</v>
      </c>
      <c r="BT26" s="34"/>
      <c r="BU26" s="34"/>
      <c r="BV26" s="34"/>
      <c r="BW26" s="34"/>
      <c r="BX26" s="34"/>
      <c r="BY26" s="34"/>
      <c r="BZ26" s="34"/>
      <c r="CJ26" s="2" t="e">
        <f t="shared" ref="CJ26:CY26" si="40">CJ14/CI14-1</f>
        <v>#DIV/0!</v>
      </c>
      <c r="CK26" s="2" t="e">
        <f t="shared" si="40"/>
        <v>#DIV/0!</v>
      </c>
      <c r="CL26" s="2" t="e">
        <f t="shared" si="40"/>
        <v>#DIV/0!</v>
      </c>
      <c r="CM26" s="2" t="e">
        <f t="shared" si="40"/>
        <v>#DIV/0!</v>
      </c>
      <c r="CN26" s="2" t="e">
        <f t="shared" si="40"/>
        <v>#DIV/0!</v>
      </c>
      <c r="CO26" s="2" t="e">
        <f t="shared" si="40"/>
        <v>#DIV/0!</v>
      </c>
      <c r="CP26" s="2" t="e">
        <f t="shared" si="40"/>
        <v>#DIV/0!</v>
      </c>
      <c r="CQ26" s="2" t="e">
        <f t="shared" si="40"/>
        <v>#DIV/0!</v>
      </c>
      <c r="CR26" s="2" t="e">
        <f t="shared" si="40"/>
        <v>#DIV/0!</v>
      </c>
      <c r="CS26" s="2" t="e">
        <f t="shared" si="40"/>
        <v>#DIV/0!</v>
      </c>
      <c r="CT26" s="2" t="e">
        <f t="shared" si="40"/>
        <v>#DIV/0!</v>
      </c>
      <c r="CU26" s="2" t="e">
        <f t="shared" si="40"/>
        <v>#DIV/0!</v>
      </c>
      <c r="CV26" s="2" t="e">
        <f t="shared" si="40"/>
        <v>#DIV/0!</v>
      </c>
      <c r="CW26" s="2" t="e">
        <f t="shared" si="40"/>
        <v>#DIV/0!</v>
      </c>
      <c r="CX26" s="2" t="e">
        <f t="shared" si="40"/>
        <v>#DIV/0!</v>
      </c>
      <c r="CY26" s="2" t="e">
        <f t="shared" si="40"/>
        <v>#DIV/0!</v>
      </c>
      <c r="CZ26" s="51" t="e">
        <f>CZ14/CY14-1</f>
        <v>#DIV/0!</v>
      </c>
      <c r="DA26" s="51" t="e">
        <f t="shared" ref="DA26:DI26" si="41">DA14/CZ14-1</f>
        <v>#DIV/0!</v>
      </c>
      <c r="DB26" s="51" t="e">
        <f t="shared" si="41"/>
        <v>#DIV/0!</v>
      </c>
      <c r="DC26" s="51" t="e">
        <f t="shared" si="41"/>
        <v>#DIV/0!</v>
      </c>
      <c r="DD26" s="51" t="e">
        <f t="shared" si="41"/>
        <v>#DIV/0!</v>
      </c>
      <c r="DE26" s="51" t="e">
        <f t="shared" si="41"/>
        <v>#DIV/0!</v>
      </c>
      <c r="DF26" s="51" t="e">
        <f t="shared" si="41"/>
        <v>#DIV/0!</v>
      </c>
      <c r="DG26" s="51" t="e">
        <f t="shared" si="41"/>
        <v>#DIV/0!</v>
      </c>
      <c r="DH26" s="51" t="e">
        <f t="shared" si="41"/>
        <v>#DIV/0!</v>
      </c>
      <c r="DI26" s="51" t="e">
        <f t="shared" si="41"/>
        <v>#DIV/0!</v>
      </c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</row>
    <row r="28" spans="2:165" ht="15">
      <c r="B28" s="33" t="s">
        <v>141</v>
      </c>
      <c r="CY28" s="1" t="e">
        <f>CY4/CY14</f>
        <v>#DIV/0!</v>
      </c>
    </row>
    <row r="29" spans="2:165" ht="15">
      <c r="B29" s="33" t="s">
        <v>142</v>
      </c>
    </row>
    <row r="31" spans="2:165">
      <c r="B31" s="1" t="s">
        <v>153</v>
      </c>
      <c r="CI31" s="1">
        <f t="shared" ref="CI31:CI34" si="42">SUM(C31:F31)</f>
        <v>0</v>
      </c>
      <c r="CJ31" s="1">
        <f t="shared" ref="CJ31:CJ34" si="43">SUM(G31:J31)</f>
        <v>0</v>
      </c>
      <c r="CK31" s="1">
        <f t="shared" ref="CK31:CK34" si="44">SUM(K31:N31)</f>
        <v>0</v>
      </c>
      <c r="CL31" s="1">
        <f t="shared" ref="CL31:CL34" si="45">SUM(O31:R31)</f>
        <v>0</v>
      </c>
      <c r="CM31" s="1">
        <f t="shared" ref="CM31:CM34" si="46">SUM(S31:V31)</f>
        <v>0</v>
      </c>
      <c r="CN31" s="1">
        <f t="shared" ref="CN31:CN34" si="47">SUM(W31:Z31)</f>
        <v>0</v>
      </c>
      <c r="CO31" s="1">
        <f t="shared" ref="CO31:CO34" si="48">SUM(AA31:AD31)</f>
        <v>0</v>
      </c>
      <c r="CP31" s="1">
        <f t="shared" ref="CP31:CP34" si="49">SUM(AE31:AH31)</f>
        <v>0</v>
      </c>
      <c r="CQ31" s="1">
        <f t="shared" ref="CQ31:CQ34" si="50">SUM(AI31:AL31)</f>
        <v>0</v>
      </c>
      <c r="CR31" s="1">
        <f t="shared" ref="CR31:CR34" si="51">SUM(AM31:AP31)</f>
        <v>0</v>
      </c>
      <c r="CS31" s="1">
        <f t="shared" ref="CS31:CS34" si="52">SUM(AQ31:AT31)</f>
        <v>0</v>
      </c>
      <c r="CT31" s="1">
        <f t="shared" ref="CT31:CT34" si="53">SUM(AU31:AX31)</f>
        <v>0</v>
      </c>
      <c r="CU31" s="1">
        <f t="shared" ref="CU31:CU34" si="54">SUM(AY31:BB31)</f>
        <v>0</v>
      </c>
      <c r="CV31" s="1">
        <f t="shared" ref="CV31:CV34" si="55">SUM(BC31:BF31)</f>
        <v>0</v>
      </c>
      <c r="CW31" s="1">
        <f t="shared" ref="CW31:CW34" si="56">SUM(BG31:BJ31)</f>
        <v>0</v>
      </c>
      <c r="CX31" s="1">
        <f t="shared" ref="CX31:CX34" si="57">SUM(BK31:BN31)</f>
        <v>0</v>
      </c>
      <c r="CY31" s="1">
        <f t="shared" ref="CY31:CY34" si="58">SUM(BO31:BR31)</f>
        <v>0</v>
      </c>
    </row>
    <row r="32" spans="2:165">
      <c r="B32" s="1" t="s">
        <v>156</v>
      </c>
      <c r="CI32" s="1">
        <f t="shared" si="42"/>
        <v>0</v>
      </c>
      <c r="CJ32" s="1">
        <f t="shared" si="43"/>
        <v>0</v>
      </c>
      <c r="CK32" s="1">
        <f t="shared" si="44"/>
        <v>0</v>
      </c>
      <c r="CL32" s="1">
        <f t="shared" si="45"/>
        <v>0</v>
      </c>
      <c r="CM32" s="1">
        <f t="shared" si="46"/>
        <v>0</v>
      </c>
      <c r="CN32" s="1">
        <f t="shared" si="47"/>
        <v>0</v>
      </c>
      <c r="CO32" s="1">
        <f t="shared" si="48"/>
        <v>0</v>
      </c>
      <c r="CP32" s="1">
        <f t="shared" si="49"/>
        <v>0</v>
      </c>
      <c r="CQ32" s="1">
        <f t="shared" si="50"/>
        <v>0</v>
      </c>
      <c r="CR32" s="1">
        <f t="shared" si="51"/>
        <v>0</v>
      </c>
      <c r="CS32" s="1">
        <f t="shared" si="52"/>
        <v>0</v>
      </c>
      <c r="CT32" s="1">
        <f t="shared" si="53"/>
        <v>0</v>
      </c>
      <c r="CU32" s="1">
        <f t="shared" si="54"/>
        <v>0</v>
      </c>
      <c r="CV32" s="1">
        <f t="shared" si="55"/>
        <v>0</v>
      </c>
      <c r="CW32" s="1">
        <f t="shared" si="56"/>
        <v>0</v>
      </c>
      <c r="CX32" s="1">
        <f t="shared" si="57"/>
        <v>0</v>
      </c>
      <c r="CY32" s="1">
        <f t="shared" si="58"/>
        <v>0</v>
      </c>
    </row>
    <row r="33" spans="2:165">
      <c r="B33" s="1" t="s">
        <v>155</v>
      </c>
      <c r="CI33" s="1">
        <f t="shared" si="42"/>
        <v>0</v>
      </c>
      <c r="CJ33" s="1">
        <f t="shared" si="43"/>
        <v>0</v>
      </c>
      <c r="CK33" s="1">
        <f t="shared" si="44"/>
        <v>0</v>
      </c>
      <c r="CL33" s="1">
        <f t="shared" si="45"/>
        <v>0</v>
      </c>
      <c r="CM33" s="1">
        <f t="shared" si="46"/>
        <v>0</v>
      </c>
      <c r="CN33" s="1">
        <f t="shared" si="47"/>
        <v>0</v>
      </c>
      <c r="CO33" s="1">
        <f t="shared" si="48"/>
        <v>0</v>
      </c>
      <c r="CP33" s="1">
        <f t="shared" si="49"/>
        <v>0</v>
      </c>
      <c r="CQ33" s="1">
        <f t="shared" si="50"/>
        <v>0</v>
      </c>
      <c r="CR33" s="1">
        <f t="shared" si="51"/>
        <v>0</v>
      </c>
      <c r="CS33" s="1">
        <f t="shared" si="52"/>
        <v>0</v>
      </c>
      <c r="CT33" s="1">
        <f t="shared" si="53"/>
        <v>0</v>
      </c>
      <c r="CU33" s="1">
        <f t="shared" si="54"/>
        <v>0</v>
      </c>
      <c r="CV33" s="1">
        <f t="shared" si="55"/>
        <v>0</v>
      </c>
      <c r="CW33" s="1">
        <f t="shared" si="56"/>
        <v>0</v>
      </c>
      <c r="CX33" s="1">
        <f t="shared" si="57"/>
        <v>0</v>
      </c>
      <c r="CY33" s="1">
        <f t="shared" si="58"/>
        <v>0</v>
      </c>
    </row>
    <row r="34" spans="2:165">
      <c r="B34" s="1" t="s">
        <v>154</v>
      </c>
      <c r="CI34" s="1">
        <f t="shared" si="42"/>
        <v>0</v>
      </c>
      <c r="CJ34" s="1">
        <f t="shared" si="43"/>
        <v>0</v>
      </c>
      <c r="CK34" s="1">
        <f t="shared" si="44"/>
        <v>0</v>
      </c>
      <c r="CL34" s="1">
        <f t="shared" si="45"/>
        <v>0</v>
      </c>
      <c r="CM34" s="1">
        <f t="shared" si="46"/>
        <v>0</v>
      </c>
      <c r="CN34" s="1">
        <f t="shared" si="47"/>
        <v>0</v>
      </c>
      <c r="CO34" s="1">
        <f t="shared" si="48"/>
        <v>0</v>
      </c>
      <c r="CP34" s="1">
        <f t="shared" si="49"/>
        <v>0</v>
      </c>
      <c r="CQ34" s="1">
        <f t="shared" si="50"/>
        <v>0</v>
      </c>
      <c r="CR34" s="1">
        <f t="shared" si="51"/>
        <v>0</v>
      </c>
      <c r="CS34" s="1">
        <f t="shared" si="52"/>
        <v>0</v>
      </c>
      <c r="CT34" s="1">
        <f t="shared" si="53"/>
        <v>0</v>
      </c>
      <c r="CU34" s="1">
        <f t="shared" si="54"/>
        <v>0</v>
      </c>
      <c r="CV34" s="1">
        <f t="shared" si="55"/>
        <v>0</v>
      </c>
      <c r="CW34" s="1">
        <f t="shared" si="56"/>
        <v>0</v>
      </c>
      <c r="CX34" s="1">
        <f t="shared" si="57"/>
        <v>0</v>
      </c>
      <c r="CY34" s="1">
        <f t="shared" si="58"/>
        <v>0</v>
      </c>
    </row>
    <row r="36" spans="2:165">
      <c r="B36" s="1" t="s">
        <v>163</v>
      </c>
    </row>
    <row r="37" spans="2:165">
      <c r="B37" s="1" t="s">
        <v>161</v>
      </c>
    </row>
    <row r="38" spans="2:165">
      <c r="B38" s="1" t="s">
        <v>162</v>
      </c>
    </row>
    <row r="39" spans="2:165">
      <c r="B39" s="1" t="s">
        <v>164</v>
      </c>
    </row>
    <row r="41" spans="2:165">
      <c r="B41" s="38" t="s">
        <v>157</v>
      </c>
    </row>
    <row r="42" spans="2:165">
      <c r="B42" s="1" t="s">
        <v>158</v>
      </c>
    </row>
    <row r="43" spans="2:165">
      <c r="B43" s="1" t="s">
        <v>159</v>
      </c>
    </row>
    <row r="44" spans="2:165">
      <c r="B44" s="1" t="s">
        <v>160</v>
      </c>
    </row>
    <row r="46" spans="2:165" s="2" customFormat="1" ht="15">
      <c r="B46" s="2" t="s">
        <v>127</v>
      </c>
      <c r="AY46" s="2">
        <f t="shared" ref="AY46:BR46" si="59">AY14</f>
        <v>0</v>
      </c>
      <c r="AZ46" s="2">
        <f t="shared" si="59"/>
        <v>0</v>
      </c>
      <c r="BA46" s="2">
        <f t="shared" si="59"/>
        <v>0</v>
      </c>
      <c r="BB46" s="2">
        <f t="shared" si="59"/>
        <v>0</v>
      </c>
      <c r="BC46" s="2">
        <f t="shared" si="59"/>
        <v>0</v>
      </c>
      <c r="BD46" s="2">
        <f t="shared" si="59"/>
        <v>0</v>
      </c>
      <c r="BE46" s="2">
        <f t="shared" si="59"/>
        <v>0</v>
      </c>
      <c r="BF46" s="2">
        <f t="shared" si="59"/>
        <v>0</v>
      </c>
      <c r="BG46" s="2">
        <f t="shared" si="59"/>
        <v>0</v>
      </c>
      <c r="BH46" s="2">
        <f t="shared" si="59"/>
        <v>0</v>
      </c>
      <c r="BI46" s="2">
        <f t="shared" si="59"/>
        <v>0</v>
      </c>
      <c r="BJ46" s="2">
        <f t="shared" si="59"/>
        <v>0</v>
      </c>
      <c r="BK46" s="2">
        <f t="shared" si="59"/>
        <v>0</v>
      </c>
      <c r="BL46" s="2">
        <f t="shared" si="59"/>
        <v>0</v>
      </c>
      <c r="BM46" s="2">
        <f t="shared" si="59"/>
        <v>0</v>
      </c>
      <c r="BN46" s="2">
        <f t="shared" si="59"/>
        <v>0</v>
      </c>
      <c r="BO46" s="2">
        <f t="shared" si="59"/>
        <v>0</v>
      </c>
      <c r="BP46" s="2">
        <f t="shared" si="59"/>
        <v>0</v>
      </c>
      <c r="BQ46" s="2">
        <f t="shared" si="59"/>
        <v>0</v>
      </c>
      <c r="BR46" s="2">
        <f t="shared" si="59"/>
        <v>0</v>
      </c>
      <c r="BS46" s="2">
        <f>BS14</f>
        <v>0</v>
      </c>
      <c r="BT46" s="34"/>
      <c r="BU46" s="34"/>
      <c r="BV46" s="34"/>
      <c r="BW46" s="34"/>
      <c r="BX46" s="34"/>
      <c r="BY46" s="34"/>
      <c r="BZ46" s="34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</row>
    <row r="47" spans="2:165">
      <c r="B47" s="1" t="s">
        <v>165</v>
      </c>
    </row>
    <row r="48" spans="2:165">
      <c r="B48" s="1" t="s">
        <v>166</v>
      </c>
      <c r="AY48" s="1">
        <f t="shared" ref="AY48:BR48" si="60">AY46-AY47</f>
        <v>0</v>
      </c>
      <c r="AZ48" s="1">
        <f t="shared" si="60"/>
        <v>0</v>
      </c>
      <c r="BA48" s="1">
        <f t="shared" si="60"/>
        <v>0</v>
      </c>
      <c r="BB48" s="1">
        <f t="shared" si="60"/>
        <v>0</v>
      </c>
      <c r="BC48" s="1">
        <f t="shared" si="60"/>
        <v>0</v>
      </c>
      <c r="BD48" s="1">
        <f t="shared" si="60"/>
        <v>0</v>
      </c>
      <c r="BE48" s="1">
        <f t="shared" si="60"/>
        <v>0</v>
      </c>
      <c r="BF48" s="1">
        <f t="shared" si="60"/>
        <v>0</v>
      </c>
      <c r="BG48" s="1">
        <f t="shared" si="60"/>
        <v>0</v>
      </c>
      <c r="BH48" s="1">
        <f t="shared" si="60"/>
        <v>0</v>
      </c>
      <c r="BI48" s="1">
        <f t="shared" si="60"/>
        <v>0</v>
      </c>
      <c r="BJ48" s="1">
        <f t="shared" si="60"/>
        <v>0</v>
      </c>
      <c r="BK48" s="1">
        <f t="shared" si="60"/>
        <v>0</v>
      </c>
      <c r="BL48" s="1">
        <f t="shared" si="60"/>
        <v>0</v>
      </c>
      <c r="BM48" s="1">
        <f t="shared" si="60"/>
        <v>0</v>
      </c>
      <c r="BN48" s="1">
        <f t="shared" si="60"/>
        <v>0</v>
      </c>
      <c r="BO48" s="1">
        <f t="shared" si="60"/>
        <v>0</v>
      </c>
      <c r="BP48" s="1">
        <f t="shared" si="60"/>
        <v>0</v>
      </c>
      <c r="BQ48" s="1">
        <f t="shared" si="60"/>
        <v>0</v>
      </c>
      <c r="BR48" s="1">
        <f t="shared" si="60"/>
        <v>0</v>
      </c>
      <c r="BS48" s="1">
        <f>BS46-BS47</f>
        <v>0</v>
      </c>
    </row>
    <row r="66" spans="2:114">
      <c r="B66" s="37" t="s">
        <v>167</v>
      </c>
    </row>
    <row r="67" spans="2:114">
      <c r="B67" s="37" t="s">
        <v>168</v>
      </c>
    </row>
    <row r="68" spans="2:114">
      <c r="B68" s="37" t="s">
        <v>169</v>
      </c>
    </row>
    <row r="69" spans="2:114">
      <c r="B69" s="37" t="s">
        <v>170</v>
      </c>
    </row>
    <row r="70" spans="2:114">
      <c r="B70" s="37" t="s">
        <v>171</v>
      </c>
    </row>
    <row r="71" spans="2:114">
      <c r="B71" s="37" t="s">
        <v>172</v>
      </c>
    </row>
    <row r="72" spans="2:114">
      <c r="B72" s="37" t="s">
        <v>208</v>
      </c>
    </row>
    <row r="74" spans="2:114">
      <c r="B74" s="1" t="s">
        <v>173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</row>
    <row r="75" spans="2:114">
      <c r="B75" s="1" t="s">
        <v>174</v>
      </c>
    </row>
    <row r="76" spans="2:114">
      <c r="B76" s="1" t="s">
        <v>175</v>
      </c>
      <c r="DA76" s="52" t="s">
        <v>226</v>
      </c>
      <c r="DB76" s="53"/>
      <c r="DC76" s="53"/>
      <c r="DD76" s="52" t="s">
        <v>227</v>
      </c>
      <c r="DE76" s="53"/>
      <c r="DF76" s="54" t="s">
        <v>228</v>
      </c>
      <c r="DG76" s="53"/>
      <c r="DH76" s="55" t="s">
        <v>229</v>
      </c>
      <c r="DI76" s="56">
        <v>0.06</v>
      </c>
      <c r="DJ76" s="53"/>
    </row>
    <row r="77" spans="2:114" ht="13.5" customHeight="1">
      <c r="DA77" s="53">
        <v>2025</v>
      </c>
      <c r="DB77" s="53"/>
      <c r="DC77" s="53">
        <v>2023</v>
      </c>
      <c r="DD77" s="53">
        <v>2024</v>
      </c>
      <c r="DE77" s="53"/>
      <c r="DF77" s="54" t="s">
        <v>230</v>
      </c>
      <c r="DG77" s="53"/>
      <c r="DH77" s="55" t="s">
        <v>231</v>
      </c>
      <c r="DI77" s="56">
        <v>2.5000000000000001E-2</v>
      </c>
      <c r="DJ77" s="53"/>
    </row>
    <row r="78" spans="2:114" ht="13.5" customHeight="1">
      <c r="DA78" s="57" t="e">
        <f>AVERAGE(CZ56)*(1-CZ70)</f>
        <v>#DIV/0!</v>
      </c>
      <c r="DB78" s="53"/>
      <c r="DC78" s="58">
        <f>SUM(CX73:CX78)-CX89+CX79+CX82+CX81</f>
        <v>0</v>
      </c>
      <c r="DD78" s="58">
        <f>SUM(CY73:CY78)-CY89+CY79+CY82+CY81</f>
        <v>0</v>
      </c>
      <c r="DE78" s="53"/>
      <c r="DF78" s="58">
        <f>AVERAGE(DC78:DD78)</f>
        <v>0</v>
      </c>
      <c r="DG78" s="53"/>
      <c r="DH78" s="55" t="s">
        <v>232</v>
      </c>
      <c r="DI78" s="56">
        <v>4.3400000000000001E-2</v>
      </c>
      <c r="DJ78" s="53"/>
    </row>
    <row r="79" spans="2:114" ht="13.5" customHeight="1">
      <c r="DA79" s="59" t="e">
        <f>DA78/DF78</f>
        <v>#DIV/0!</v>
      </c>
      <c r="DB79" s="53"/>
      <c r="DC79" s="53"/>
      <c r="DD79" s="53"/>
      <c r="DE79" s="53"/>
      <c r="DF79" s="53"/>
      <c r="DG79" s="53"/>
      <c r="DH79" s="55" t="s">
        <v>233</v>
      </c>
      <c r="DI79" s="56">
        <f>13.4%-DI78</f>
        <v>9.0600000000000014E-2</v>
      </c>
      <c r="DJ79" s="53"/>
    </row>
    <row r="80" spans="2:114" ht="13.5" customHeight="1">
      <c r="DA80" s="53"/>
      <c r="DB80" s="53"/>
      <c r="DC80" s="53"/>
      <c r="DD80" s="53"/>
      <c r="DE80" s="53"/>
      <c r="DF80" s="53"/>
      <c r="DG80" s="53"/>
      <c r="DH80" s="55" t="s">
        <v>234</v>
      </c>
      <c r="DI80" s="53">
        <f>'Notes | Quant Analysis'!K276</f>
        <v>0.6</v>
      </c>
      <c r="DJ80" s="53"/>
    </row>
    <row r="81" spans="105:114" ht="13.5" customHeight="1">
      <c r="DA81" s="53"/>
      <c r="DB81" s="53"/>
      <c r="DC81" s="53"/>
      <c r="DD81" s="53"/>
      <c r="DE81" s="53"/>
      <c r="DF81" s="53"/>
      <c r="DG81" s="53"/>
      <c r="DH81" s="55" t="s">
        <v>235</v>
      </c>
      <c r="DI81" s="56">
        <f>+DI78+(DI79*DI80)</f>
        <v>9.7760000000000014E-2</v>
      </c>
      <c r="DJ81" s="60"/>
    </row>
    <row r="82" spans="105:114" ht="13.5" customHeight="1">
      <c r="DA82" s="60"/>
      <c r="DB82" s="60"/>
      <c r="DC82" s="60"/>
      <c r="DD82" s="60"/>
      <c r="DE82" s="60"/>
      <c r="DF82" s="60"/>
      <c r="DG82" s="60"/>
      <c r="DH82" s="55"/>
      <c r="DI82" s="53"/>
      <c r="DJ82" s="53"/>
    </row>
    <row r="83" spans="105:114" ht="13.5" customHeight="1">
      <c r="DA83" s="53"/>
      <c r="DB83" s="53"/>
      <c r="DC83" s="53"/>
      <c r="DD83" s="53"/>
      <c r="DE83" s="53"/>
      <c r="DF83" s="53"/>
      <c r="DG83" s="53"/>
      <c r="DH83" s="55" t="s">
        <v>236</v>
      </c>
      <c r="DI83" s="58">
        <f>NPV(DI81,CZ62:EW62)</f>
        <v>0</v>
      </c>
      <c r="DJ83" s="53"/>
    </row>
    <row r="84" spans="105:114" ht="13.5" customHeight="1">
      <c r="DA84" s="53"/>
      <c r="DB84" s="53"/>
      <c r="DC84" s="53"/>
      <c r="DD84" s="53"/>
      <c r="DE84" s="53"/>
      <c r="DF84" s="53"/>
      <c r="DG84" s="53"/>
      <c r="DH84" s="55" t="s">
        <v>187</v>
      </c>
      <c r="DI84" s="58">
        <f>Main!C4</f>
        <v>513.62</v>
      </c>
      <c r="DJ84" s="61" t="s">
        <v>237</v>
      </c>
    </row>
    <row r="85" spans="105:114" ht="13.5" customHeight="1">
      <c r="DA85" s="53"/>
      <c r="DB85" s="53"/>
      <c r="DC85" s="53"/>
      <c r="DD85" s="53"/>
      <c r="DE85" s="53"/>
      <c r="DF85" s="53"/>
      <c r="DG85" s="53"/>
      <c r="DH85" s="55" t="s">
        <v>238</v>
      </c>
      <c r="DI85" s="62">
        <f>DI83/DI84</f>
        <v>0</v>
      </c>
      <c r="DJ85" s="52"/>
    </row>
    <row r="86" spans="105:114" ht="13.5" customHeight="1">
      <c r="DA86" s="53"/>
      <c r="DB86" s="53"/>
      <c r="DC86" s="53"/>
      <c r="DD86" s="53"/>
      <c r="DE86" s="53"/>
      <c r="DF86" s="53"/>
      <c r="DG86" s="53"/>
      <c r="DH86" s="55" t="s">
        <v>239</v>
      </c>
      <c r="DI86" s="62">
        <f>Main!C3</f>
        <v>23.02</v>
      </c>
      <c r="DJ86" s="63"/>
    </row>
    <row r="87" spans="105:114" ht="13.5" customHeight="1">
      <c r="DA87" s="60"/>
      <c r="DB87" s="60"/>
      <c r="DC87" s="60"/>
      <c r="DD87" s="60"/>
      <c r="DE87" s="60"/>
      <c r="DF87" s="60"/>
      <c r="DG87" s="60"/>
      <c r="DH87" s="55" t="s">
        <v>240</v>
      </c>
      <c r="DI87" s="56">
        <f>DI85/DI86-1</f>
        <v>-1</v>
      </c>
      <c r="DJ87" s="64" t="str">
        <f>IF(DI87&gt;0,"Upside","Downside")</f>
        <v>Downside</v>
      </c>
    </row>
    <row r="88" spans="105:114" ht="13.5" customHeight="1">
      <c r="DH88" s="71" t="str" cm="1">
        <f t="array" ref="DH88">_xlfn.IFS(DI87&gt;=25%,"Strong Buy",DI87&gt;=10.00001%,"Buy",AND(DI87&lt;=10%,DI87&gt;=-4.9999%),"Hold",AND(DI87&lt;=-5%,DI87&gt;=-14.999999%),"Sell",DI87&lt;=-15%,"Strong Sell")</f>
        <v>Strong Sell</v>
      </c>
      <c r="DI88" s="71"/>
    </row>
    <row r="89" spans="105:114" ht="13.5" customHeight="1"/>
    <row r="90" spans="105:114" ht="13.5" customHeight="1"/>
    <row r="91" spans="105:114" ht="13.5" customHeight="1"/>
    <row r="92" spans="105:114" ht="13.5" customHeight="1"/>
    <row r="93" spans="105:114" ht="13.5" customHeight="1"/>
    <row r="108" spans="2:2">
      <c r="B108" s="1" t="s">
        <v>176</v>
      </c>
    </row>
    <row r="109" spans="2:2">
      <c r="B109" s="1" t="s">
        <v>177</v>
      </c>
    </row>
    <row r="110" spans="2:2">
      <c r="B110" s="1" t="s">
        <v>178</v>
      </c>
    </row>
    <row r="111" spans="2:2">
      <c r="B111" s="1" t="s">
        <v>179</v>
      </c>
    </row>
    <row r="112" spans="2:2">
      <c r="B112" s="1" t="s">
        <v>180</v>
      </c>
    </row>
    <row r="113" spans="2:2">
      <c r="B113" s="1" t="s">
        <v>181</v>
      </c>
    </row>
    <row r="114" spans="2:2">
      <c r="B114" s="1" t="s">
        <v>182</v>
      </c>
    </row>
    <row r="117" spans="2:2">
      <c r="B117" s="1" t="s">
        <v>183</v>
      </c>
    </row>
    <row r="118" spans="2:2">
      <c r="B118" s="1" t="s">
        <v>184</v>
      </c>
    </row>
    <row r="119" spans="2:2">
      <c r="B119" s="1" t="s">
        <v>185</v>
      </c>
    </row>
    <row r="120" spans="2:2">
      <c r="B120" s="1" t="s">
        <v>186</v>
      </c>
    </row>
    <row r="121" spans="2:2">
      <c r="B121" s="1" t="s">
        <v>187</v>
      </c>
    </row>
    <row r="122" spans="2:2">
      <c r="B122" s="1" t="s">
        <v>188</v>
      </c>
    </row>
  </sheetData>
  <mergeCells count="1">
    <mergeCell ref="DH88:DI88"/>
  </mergeCells>
  <conditionalFormatting sqref="DH8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Sell",DH88)))</formula>
    </cfRule>
    <cfRule type="containsText" dxfId="3" priority="3" operator="containsText" text="Sell">
      <formula>NOT(ISERROR(SEARCH("Sell",DH88)))</formula>
    </cfRule>
    <cfRule type="containsText" dxfId="2" priority="4" operator="containsText" text="Hold">
      <formula>NOT(ISERROR(SEARCH("Hold",DH88)))</formula>
    </cfRule>
    <cfRule type="beginsWith" dxfId="1" priority="5" operator="beginsWith" text="Buy">
      <formula>LEFT(DH88,LEN("Buy"))="Buy"</formula>
    </cfRule>
    <cfRule type="beginsWith" dxfId="0" priority="6" operator="beginsWith" text="Strong">
      <formula>LEFT(DH88,LEN("Strong"))="Strong"</formula>
    </cfRule>
  </conditionalFormatting>
  <pageMargins left="0.7" right="0.7" top="0.75" bottom="0.75" header="0.3" footer="0.3"/>
  <ignoredErrors>
    <ignoredError sqref="CZ26:DI26 CJ16:CY16 CJ17:CY28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1618"/>
  <sheetViews>
    <sheetView topLeftCell="A231" zoomScale="55" zoomScaleNormal="55" workbookViewId="0">
      <selection activeCell="J281" sqref="J281"/>
    </sheetView>
  </sheetViews>
  <sheetFormatPr defaultColWidth="9.140625" defaultRowHeight="14.25"/>
  <cols>
    <col min="1" max="7" width="9.140625" style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216</v>
      </c>
      <c r="AD2" s="2" t="s">
        <v>189</v>
      </c>
    </row>
    <row r="36" spans="8:30" ht="15">
      <c r="H36" s="2" t="s">
        <v>220</v>
      </c>
    </row>
    <row r="37" spans="8:30" ht="15">
      <c r="I37" s="1" t="s">
        <v>15</v>
      </c>
      <c r="AD37" s="2" t="s">
        <v>190</v>
      </c>
    </row>
    <row r="38" spans="8:30" ht="15">
      <c r="AD38" s="2" t="s">
        <v>191</v>
      </c>
    </row>
    <row r="39" spans="8:30">
      <c r="AD39" s="1" t="s">
        <v>192</v>
      </c>
    </row>
    <row r="69" spans="8:9" ht="15">
      <c r="H69" s="2" t="s">
        <v>16</v>
      </c>
    </row>
    <row r="70" spans="8:9">
      <c r="I70" s="1" t="s">
        <v>17</v>
      </c>
    </row>
    <row r="76" spans="8:9">
      <c r="I76" s="1" t="s">
        <v>18</v>
      </c>
    </row>
    <row r="92" spans="9:9">
      <c r="I92" s="1" t="s">
        <v>19</v>
      </c>
    </row>
    <row r="109" spans="9:9">
      <c r="I109" s="1" t="s">
        <v>20</v>
      </c>
    </row>
    <row r="130" spans="8:30" ht="15">
      <c r="H130" s="2" t="s">
        <v>21</v>
      </c>
    </row>
    <row r="137" spans="8:30" ht="15">
      <c r="AD137" s="2" t="s">
        <v>193</v>
      </c>
    </row>
    <row r="138" spans="8:30">
      <c r="AD138" s="1" t="s">
        <v>194</v>
      </c>
    </row>
    <row r="162" spans="8:10">
      <c r="I162" s="1" t="s">
        <v>22</v>
      </c>
      <c r="J162" s="1" t="s">
        <v>23</v>
      </c>
    </row>
    <row r="163" spans="8:10">
      <c r="J163" s="1" t="s">
        <v>24</v>
      </c>
    </row>
    <row r="164" spans="8:10">
      <c r="J164" s="1" t="s">
        <v>25</v>
      </c>
    </row>
    <row r="166" spans="8:10" ht="15">
      <c r="H166" s="2" t="s">
        <v>219</v>
      </c>
    </row>
    <row r="195" spans="8:10">
      <c r="I195" s="1" t="s">
        <v>22</v>
      </c>
      <c r="J195" s="1" t="s">
        <v>23</v>
      </c>
    </row>
    <row r="196" spans="8:10">
      <c r="J196" s="1" t="s">
        <v>24</v>
      </c>
    </row>
    <row r="197" spans="8:10">
      <c r="J197" s="1" t="s">
        <v>25</v>
      </c>
    </row>
    <row r="199" spans="8:10" ht="15">
      <c r="H199" s="2" t="s">
        <v>218</v>
      </c>
    </row>
    <row r="215" ht="15" customHeight="1"/>
    <row r="228" spans="9:30">
      <c r="I228" s="1" t="s">
        <v>22</v>
      </c>
      <c r="J228" s="1" t="s">
        <v>23</v>
      </c>
    </row>
    <row r="229" spans="9:30">
      <c r="J229" s="1" t="s">
        <v>24</v>
      </c>
    </row>
    <row r="230" spans="9:30">
      <c r="J230" s="1" t="s">
        <v>25</v>
      </c>
    </row>
    <row r="232" spans="9:30" ht="15">
      <c r="AD232" s="2" t="s">
        <v>195</v>
      </c>
    </row>
    <row r="233" spans="9:30">
      <c r="AD233" s="1" t="s">
        <v>196</v>
      </c>
    </row>
    <row r="246" spans="1:7">
      <c r="A246" s="1" t="s">
        <v>1531</v>
      </c>
    </row>
    <row r="247" spans="1:7">
      <c r="A247" s="24" t="s">
        <v>26</v>
      </c>
      <c r="B247" s="24" t="s">
        <v>27</v>
      </c>
      <c r="C247" s="24" t="s">
        <v>28</v>
      </c>
      <c r="D247" s="24" t="s">
        <v>29</v>
      </c>
      <c r="E247" s="24" t="s">
        <v>30</v>
      </c>
      <c r="F247" s="24" t="s">
        <v>31</v>
      </c>
      <c r="G247" s="24" t="s">
        <v>32</v>
      </c>
    </row>
    <row r="248" spans="1:7">
      <c r="A248" s="67">
        <v>23.02</v>
      </c>
      <c r="B248" s="67">
        <v>23.75</v>
      </c>
      <c r="C248" s="67">
        <v>23.02</v>
      </c>
      <c r="D248" s="67">
        <v>23.71</v>
      </c>
      <c r="E248" s="67">
        <v>13671886</v>
      </c>
      <c r="F248" s="67" t="s">
        <v>275</v>
      </c>
      <c r="G248" s="25">
        <f t="shared" ref="G248:G311" si="0">A248/D248-1</f>
        <v>-2.9101644875579979E-2</v>
      </c>
    </row>
    <row r="249" spans="1:7">
      <c r="A249" s="67">
        <v>23.69</v>
      </c>
      <c r="B249" s="67">
        <v>23.81</v>
      </c>
      <c r="C249" s="67">
        <v>23.344999999999999</v>
      </c>
      <c r="D249" s="67">
        <v>23.47</v>
      </c>
      <c r="E249" s="67">
        <v>3593338</v>
      </c>
      <c r="F249" s="67" t="s">
        <v>276</v>
      </c>
      <c r="G249" s="25">
        <f t="shared" si="0"/>
        <v>9.3736685129954811E-3</v>
      </c>
    </row>
    <row r="250" spans="1:7">
      <c r="A250" s="67">
        <v>23.2</v>
      </c>
      <c r="B250" s="67">
        <v>24.11</v>
      </c>
      <c r="C250" s="67">
        <v>23.1</v>
      </c>
      <c r="D250" s="67">
        <v>23.93</v>
      </c>
      <c r="E250" s="67">
        <v>5187509</v>
      </c>
      <c r="F250" s="67" t="s">
        <v>277</v>
      </c>
      <c r="G250" s="25">
        <f t="shared" si="0"/>
        <v>-3.0505641454241506E-2</v>
      </c>
    </row>
    <row r="251" spans="1:7">
      <c r="A251" s="67">
        <v>23.87</v>
      </c>
      <c r="B251" s="67">
        <v>24.087499999999999</v>
      </c>
      <c r="C251" s="67">
        <v>23.773900000000001</v>
      </c>
      <c r="D251" s="67">
        <v>23.85</v>
      </c>
      <c r="E251" s="67">
        <v>5746675</v>
      </c>
      <c r="F251" s="67" t="s">
        <v>278</v>
      </c>
      <c r="G251" s="25">
        <f t="shared" si="0"/>
        <v>8.3857442348000966E-4</v>
      </c>
    </row>
    <row r="252" spans="1:7">
      <c r="A252" s="67">
        <v>23.8</v>
      </c>
      <c r="B252" s="67">
        <v>24.170100000000001</v>
      </c>
      <c r="C252" s="67">
        <v>23.58</v>
      </c>
      <c r="D252" s="67">
        <v>24.01</v>
      </c>
      <c r="E252" s="67">
        <v>7035957</v>
      </c>
      <c r="F252" s="67" t="s">
        <v>279</v>
      </c>
      <c r="G252" s="25">
        <f t="shared" si="0"/>
        <v>-8.7463556851312685E-3</v>
      </c>
    </row>
    <row r="253" spans="1:7">
      <c r="A253" s="67">
        <v>23.99</v>
      </c>
      <c r="B253" s="67">
        <v>24.414999999999999</v>
      </c>
      <c r="C253" s="67">
        <v>23.910699999999999</v>
      </c>
      <c r="D253" s="67">
        <v>24.32</v>
      </c>
      <c r="E253" s="67">
        <v>5748828</v>
      </c>
      <c r="F253" s="67" t="s">
        <v>280</v>
      </c>
      <c r="G253" s="25">
        <f t="shared" si="0"/>
        <v>-1.3569078947368474E-2</v>
      </c>
    </row>
    <row r="254" spans="1:7">
      <c r="A254" s="67">
        <v>24.49</v>
      </c>
      <c r="B254" s="67">
        <v>24.52</v>
      </c>
      <c r="C254" s="67">
        <v>23.9</v>
      </c>
      <c r="D254" s="67">
        <v>23.94</v>
      </c>
      <c r="E254" s="67">
        <v>4029111</v>
      </c>
      <c r="F254" s="67" t="s">
        <v>281</v>
      </c>
      <c r="G254" s="25">
        <f t="shared" si="0"/>
        <v>2.2974101921470202E-2</v>
      </c>
    </row>
    <row r="255" spans="1:7">
      <c r="A255" s="67">
        <v>23.98</v>
      </c>
      <c r="B255" s="67">
        <v>24.63</v>
      </c>
      <c r="C255" s="67">
        <v>23.97</v>
      </c>
      <c r="D255" s="67">
        <v>24.42</v>
      </c>
      <c r="E255" s="67">
        <v>4466510</v>
      </c>
      <c r="F255" s="67" t="s">
        <v>282</v>
      </c>
      <c r="G255" s="25">
        <f t="shared" si="0"/>
        <v>-1.8018018018018056E-2</v>
      </c>
    </row>
    <row r="256" spans="1:7">
      <c r="A256" s="67">
        <v>24.45</v>
      </c>
      <c r="B256" s="67">
        <v>24.58</v>
      </c>
      <c r="C256" s="67">
        <v>24.02</v>
      </c>
      <c r="D256" s="67">
        <v>24.09</v>
      </c>
      <c r="E256" s="67">
        <v>4539840</v>
      </c>
      <c r="F256" s="67" t="s">
        <v>283</v>
      </c>
      <c r="G256" s="25">
        <f t="shared" si="0"/>
        <v>1.4943960149439661E-2</v>
      </c>
    </row>
    <row r="257" spans="1:11">
      <c r="A257" s="67">
        <v>24.09</v>
      </c>
      <c r="B257" s="67">
        <v>24.36</v>
      </c>
      <c r="C257" s="67">
        <v>23.785</v>
      </c>
      <c r="D257" s="67">
        <v>24.25</v>
      </c>
      <c r="E257" s="67">
        <v>5635098</v>
      </c>
      <c r="F257" s="67" t="s">
        <v>284</v>
      </c>
      <c r="G257" s="25">
        <f t="shared" si="0"/>
        <v>-6.5979381443298513E-3</v>
      </c>
    </row>
    <row r="258" spans="1:11">
      <c r="A258" s="67">
        <v>24.42</v>
      </c>
      <c r="B258" s="67">
        <v>24.585000000000001</v>
      </c>
      <c r="C258" s="67">
        <v>23.605</v>
      </c>
      <c r="D258" s="67">
        <v>23.78</v>
      </c>
      <c r="E258" s="67">
        <v>7110141</v>
      </c>
      <c r="F258" s="67" t="s">
        <v>285</v>
      </c>
      <c r="G258" s="25">
        <f t="shared" si="0"/>
        <v>2.691337258200166E-2</v>
      </c>
    </row>
    <row r="259" spans="1:11">
      <c r="A259" s="67">
        <v>23.58</v>
      </c>
      <c r="B259" s="67">
        <v>23.73</v>
      </c>
      <c r="C259" s="67">
        <v>23.114999999999998</v>
      </c>
      <c r="D259" s="67">
        <v>23.54</v>
      </c>
      <c r="E259" s="67">
        <v>5964415</v>
      </c>
      <c r="F259" s="67" t="s">
        <v>286</v>
      </c>
      <c r="G259" s="25">
        <f t="shared" si="0"/>
        <v>1.6992353440952179E-3</v>
      </c>
    </row>
    <row r="260" spans="1:11">
      <c r="A260" s="67">
        <v>23.54</v>
      </c>
      <c r="B260" s="67">
        <v>24.28</v>
      </c>
      <c r="C260" s="67">
        <v>23.36</v>
      </c>
      <c r="D260" s="67">
        <v>23.99</v>
      </c>
      <c r="E260" s="67">
        <v>7456184</v>
      </c>
      <c r="F260" s="67" t="s">
        <v>287</v>
      </c>
      <c r="G260" s="25">
        <f t="shared" si="0"/>
        <v>-1.875781575656521E-2</v>
      </c>
    </row>
    <row r="261" spans="1:11">
      <c r="A261" s="67">
        <v>24.17</v>
      </c>
      <c r="B261" s="67">
        <v>24.6</v>
      </c>
      <c r="C261" s="67">
        <v>23.8</v>
      </c>
      <c r="D261" s="67">
        <v>24.41</v>
      </c>
      <c r="E261" s="67">
        <v>14002086</v>
      </c>
      <c r="F261" s="67" t="s">
        <v>288</v>
      </c>
      <c r="G261" s="25">
        <f t="shared" si="0"/>
        <v>-9.8320360507987425E-3</v>
      </c>
    </row>
    <row r="262" spans="1:11">
      <c r="A262" s="67">
        <v>24.69</v>
      </c>
      <c r="B262" s="67">
        <v>24.72</v>
      </c>
      <c r="C262" s="67">
        <v>24.22</v>
      </c>
      <c r="D262" s="67">
        <v>24.25</v>
      </c>
      <c r="E262" s="67">
        <v>4039265</v>
      </c>
      <c r="F262" s="67" t="s">
        <v>289</v>
      </c>
      <c r="G262" s="25">
        <f t="shared" si="0"/>
        <v>1.8144329896907285E-2</v>
      </c>
    </row>
    <row r="263" spans="1:11">
      <c r="A263" s="67">
        <v>24.4</v>
      </c>
      <c r="B263" s="67">
        <v>24.54</v>
      </c>
      <c r="C263" s="67">
        <v>24.155000000000001</v>
      </c>
      <c r="D263" s="67">
        <v>24.54</v>
      </c>
      <c r="E263" s="67">
        <v>4464471</v>
      </c>
      <c r="F263" s="67" t="s">
        <v>290</v>
      </c>
      <c r="G263" s="25">
        <f t="shared" si="0"/>
        <v>-5.7049714751425951E-3</v>
      </c>
    </row>
    <row r="264" spans="1:11">
      <c r="A264" s="67">
        <v>24.53</v>
      </c>
      <c r="B264" s="67">
        <v>24.7</v>
      </c>
      <c r="C264" s="67">
        <v>24.31</v>
      </c>
      <c r="D264" s="67">
        <v>24.46</v>
      </c>
      <c r="E264" s="67">
        <v>5508520</v>
      </c>
      <c r="F264" s="67" t="s">
        <v>291</v>
      </c>
      <c r="G264" s="25">
        <f t="shared" si="0"/>
        <v>2.8618152085035931E-3</v>
      </c>
    </row>
    <row r="265" spans="1:11">
      <c r="A265" s="67">
        <v>24.5</v>
      </c>
      <c r="B265" s="67">
        <v>24.64</v>
      </c>
      <c r="C265" s="67">
        <v>24.335000000000001</v>
      </c>
      <c r="D265" s="67">
        <v>24.51</v>
      </c>
      <c r="E265" s="67">
        <v>5084651</v>
      </c>
      <c r="F265" s="67" t="s">
        <v>292</v>
      </c>
      <c r="G265" s="25">
        <f t="shared" si="0"/>
        <v>-4.0799673602620601E-4</v>
      </c>
    </row>
    <row r="266" spans="1:11">
      <c r="A266" s="67">
        <v>24.56</v>
      </c>
      <c r="B266" s="67">
        <v>24.62</v>
      </c>
      <c r="C266" s="67">
        <v>24.295000000000002</v>
      </c>
      <c r="D266" s="67">
        <v>24.51</v>
      </c>
      <c r="E266" s="67">
        <v>9755930</v>
      </c>
      <c r="F266" s="67" t="s">
        <v>293</v>
      </c>
      <c r="G266" s="25">
        <f t="shared" si="0"/>
        <v>2.0399836801303639E-3</v>
      </c>
    </row>
    <row r="267" spans="1:11">
      <c r="A267" s="67">
        <v>24.54</v>
      </c>
      <c r="B267" s="67">
        <v>24.61</v>
      </c>
      <c r="C267" s="67">
        <v>23.88</v>
      </c>
      <c r="D267" s="67">
        <v>24.1</v>
      </c>
      <c r="E267" s="67">
        <v>6479624</v>
      </c>
      <c r="F267" s="67" t="s">
        <v>294</v>
      </c>
      <c r="G267" s="25">
        <f t="shared" si="0"/>
        <v>1.8257261410788317E-2</v>
      </c>
    </row>
    <row r="268" spans="1:11">
      <c r="A268" s="67">
        <v>23.85</v>
      </c>
      <c r="B268" s="67">
        <v>24.3</v>
      </c>
      <c r="C268" s="67">
        <v>23.824999999999999</v>
      </c>
      <c r="D268" s="67">
        <v>24.12</v>
      </c>
      <c r="E268" s="67">
        <v>6018882</v>
      </c>
      <c r="F268" s="67" t="s">
        <v>295</v>
      </c>
      <c r="G268" s="25">
        <f t="shared" si="0"/>
        <v>-1.1194029850746245E-2</v>
      </c>
    </row>
    <row r="269" spans="1:11">
      <c r="A269" s="67">
        <v>24.27</v>
      </c>
      <c r="B269" s="67">
        <v>24.89</v>
      </c>
      <c r="C269" s="67">
        <v>24.22</v>
      </c>
      <c r="D269" s="67">
        <v>24.39</v>
      </c>
      <c r="E269" s="67">
        <v>5378971</v>
      </c>
      <c r="F269" s="67" t="s">
        <v>296</v>
      </c>
      <c r="G269" s="25">
        <f t="shared" si="0"/>
        <v>-4.9200492004920493E-3</v>
      </c>
    </row>
    <row r="270" spans="1:11">
      <c r="A270" s="67">
        <v>24.33</v>
      </c>
      <c r="B270" s="67">
        <v>24.475000000000001</v>
      </c>
      <c r="C270" s="67">
        <v>23.68</v>
      </c>
      <c r="D270" s="67">
        <v>23.72</v>
      </c>
      <c r="E270" s="67">
        <v>5153432</v>
      </c>
      <c r="F270" s="67" t="s">
        <v>297</v>
      </c>
      <c r="G270" s="25">
        <f t="shared" si="0"/>
        <v>2.5716694772343951E-2</v>
      </c>
      <c r="I270" s="26"/>
      <c r="J270" s="26" t="s">
        <v>33</v>
      </c>
      <c r="K270" s="27">
        <f>MIN(G248:G1503)</f>
        <v>-8.5474860335195468E-2</v>
      </c>
    </row>
    <row r="271" spans="1:11">
      <c r="A271" s="67">
        <v>23.61</v>
      </c>
      <c r="B271" s="67">
        <v>24.41</v>
      </c>
      <c r="C271" s="67">
        <v>23.45</v>
      </c>
      <c r="D271" s="67">
        <v>24.2</v>
      </c>
      <c r="E271" s="67">
        <v>8252249</v>
      </c>
      <c r="F271" s="67" t="s">
        <v>298</v>
      </c>
      <c r="G271" s="25">
        <f t="shared" si="0"/>
        <v>-2.4380165289256239E-2</v>
      </c>
      <c r="I271" s="26"/>
      <c r="J271" s="26" t="s">
        <v>34</v>
      </c>
      <c r="K271" s="27">
        <f>MAX(G248:G1503)</f>
        <v>0.12637362637362637</v>
      </c>
    </row>
    <row r="272" spans="1:11">
      <c r="A272" s="67">
        <v>24.18</v>
      </c>
      <c r="B272" s="67">
        <v>24.85</v>
      </c>
      <c r="C272" s="67">
        <v>24.035</v>
      </c>
      <c r="D272" s="67">
        <v>24.67</v>
      </c>
      <c r="E272" s="67">
        <v>7713547</v>
      </c>
      <c r="F272" s="67" t="s">
        <v>299</v>
      </c>
      <c r="G272" s="25">
        <f t="shared" si="0"/>
        <v>-1.9862180786380246E-2</v>
      </c>
      <c r="I272" s="26"/>
      <c r="J272" s="26" t="s">
        <v>35</v>
      </c>
      <c r="K272" s="27">
        <f>AVERAGE(G248:G1503)</f>
        <v>-5.9965385690012064E-4</v>
      </c>
    </row>
    <row r="273" spans="1:17">
      <c r="A273" s="67">
        <v>24.45</v>
      </c>
      <c r="B273" s="67">
        <v>24.49</v>
      </c>
      <c r="C273" s="67">
        <v>23.715</v>
      </c>
      <c r="D273" s="67">
        <v>23.98</v>
      </c>
      <c r="E273" s="67">
        <v>4145354</v>
      </c>
      <c r="F273" s="67" t="s">
        <v>300</v>
      </c>
      <c r="G273" s="25">
        <f t="shared" si="0"/>
        <v>1.9599666388657067E-2</v>
      </c>
      <c r="I273" s="26"/>
      <c r="J273" s="26" t="s">
        <v>36</v>
      </c>
      <c r="K273" s="27">
        <f>MEDIAN(G248:G1503)</f>
        <v>-1.2549676623546668E-4</v>
      </c>
    </row>
    <row r="274" spans="1:17" ht="15">
      <c r="A274" s="67">
        <v>24.11</v>
      </c>
      <c r="B274" s="67">
        <v>24.39</v>
      </c>
      <c r="C274" s="67">
        <v>23.9</v>
      </c>
      <c r="D274" s="67">
        <v>24.08</v>
      </c>
      <c r="E274" s="67">
        <v>8316820</v>
      </c>
      <c r="F274" s="67" t="s">
        <v>301</v>
      </c>
      <c r="G274" s="25">
        <f t="shared" si="0"/>
        <v>1.245847176079673E-3</v>
      </c>
      <c r="I274" s="26"/>
      <c r="J274" s="26" t="s">
        <v>37</v>
      </c>
      <c r="K274" s="27">
        <f>_xlfn.STDEV.P(G248:G1503)</f>
        <v>1.5657946818978374E-2</v>
      </c>
      <c r="M274" s="2"/>
    </row>
    <row r="275" spans="1:17" ht="15">
      <c r="A275" s="67">
        <v>23.98</v>
      </c>
      <c r="B275" s="67">
        <v>24.07</v>
      </c>
      <c r="C275" s="67">
        <v>23.46</v>
      </c>
      <c r="D275" s="67">
        <v>23.67</v>
      </c>
      <c r="E275" s="67">
        <v>5662262</v>
      </c>
      <c r="F275" s="67" t="s">
        <v>302</v>
      </c>
      <c r="G275" s="25">
        <f t="shared" si="0"/>
        <v>1.3096746937051096E-2</v>
      </c>
      <c r="I275" s="26"/>
      <c r="J275" s="28" t="s">
        <v>38</v>
      </c>
      <c r="K275" s="27">
        <f>3*K274</f>
        <v>4.6973840456935118E-2</v>
      </c>
      <c r="L275" s="26"/>
      <c r="M275" s="2" t="s">
        <v>209</v>
      </c>
    </row>
    <row r="276" spans="1:17" ht="15">
      <c r="A276" s="67">
        <v>23.46</v>
      </c>
      <c r="B276" s="67">
        <v>23.835000000000001</v>
      </c>
      <c r="C276" s="67">
        <v>23.28</v>
      </c>
      <c r="D276" s="67">
        <v>23.56</v>
      </c>
      <c r="E276" s="67">
        <v>7592229</v>
      </c>
      <c r="F276" s="67" t="s">
        <v>303</v>
      </c>
      <c r="G276" s="25">
        <f t="shared" si="0"/>
        <v>-4.2444821731747462E-3</v>
      </c>
      <c r="I276" s="26"/>
      <c r="J276" s="28" t="s">
        <v>39</v>
      </c>
      <c r="K276" s="66">
        <v>0.6</v>
      </c>
      <c r="L276" s="26"/>
      <c r="M276" s="2" t="s">
        <v>40</v>
      </c>
    </row>
    <row r="277" spans="1:17">
      <c r="A277" s="67">
        <v>23.69</v>
      </c>
      <c r="B277" s="67">
        <v>23.86</v>
      </c>
      <c r="C277" s="67">
        <v>23.28</v>
      </c>
      <c r="D277" s="67">
        <v>23.53</v>
      </c>
      <c r="E277" s="67">
        <v>10460217</v>
      </c>
      <c r="F277" s="67" t="s">
        <v>304</v>
      </c>
      <c r="G277" s="25">
        <f t="shared" si="0"/>
        <v>6.799830004249996E-3</v>
      </c>
    </row>
    <row r="278" spans="1:17">
      <c r="A278" s="67">
        <v>23.54</v>
      </c>
      <c r="B278" s="67">
        <v>23.655000000000001</v>
      </c>
      <c r="C278" s="67">
        <v>22.8</v>
      </c>
      <c r="D278" s="67">
        <v>22.9</v>
      </c>
      <c r="E278" s="67">
        <v>12327918</v>
      </c>
      <c r="F278" s="67" t="s">
        <v>305</v>
      </c>
      <c r="G278" s="25">
        <f t="shared" si="0"/>
        <v>2.7947598253275086E-2</v>
      </c>
      <c r="I278" s="29" t="s">
        <v>41</v>
      </c>
      <c r="J278" s="30">
        <v>1256</v>
      </c>
    </row>
    <row r="279" spans="1:17" ht="15" thickBot="1">
      <c r="A279" s="67">
        <v>22.5</v>
      </c>
      <c r="B279" s="67">
        <v>22.98</v>
      </c>
      <c r="C279" s="67">
        <v>22.285</v>
      </c>
      <c r="D279" s="67">
        <v>22.93</v>
      </c>
      <c r="E279" s="67">
        <v>10175899</v>
      </c>
      <c r="F279" s="67" t="s">
        <v>306</v>
      </c>
      <c r="G279" s="25">
        <f t="shared" si="0"/>
        <v>-1.8752725686873029E-2</v>
      </c>
      <c r="I279" s="1" t="s">
        <v>42</v>
      </c>
      <c r="L279" s="1" t="s">
        <v>43</v>
      </c>
      <c r="P279" s="1" t="s">
        <v>44</v>
      </c>
    </row>
    <row r="280" spans="1:17" ht="15" customHeight="1">
      <c r="A280" s="67">
        <v>22.84</v>
      </c>
      <c r="B280" s="67">
        <v>23.23</v>
      </c>
      <c r="C280" s="67">
        <v>22.44</v>
      </c>
      <c r="D280" s="67">
        <v>22.6</v>
      </c>
      <c r="E280" s="67">
        <v>14223646</v>
      </c>
      <c r="F280" s="67" t="s">
        <v>307</v>
      </c>
      <c r="G280" s="25">
        <f t="shared" si="0"/>
        <v>1.0619469026548645E-2</v>
      </c>
      <c r="I280" s="70" t="s">
        <v>45</v>
      </c>
      <c r="J280" s="70" t="s">
        <v>46</v>
      </c>
      <c r="L280" s="31" t="s">
        <v>47</v>
      </c>
      <c r="M280" s="32" t="s">
        <v>48</v>
      </c>
      <c r="P280" s="31" t="s">
        <v>49</v>
      </c>
      <c r="Q280" s="32" t="s">
        <v>50</v>
      </c>
    </row>
    <row r="281" spans="1:17" ht="15" customHeight="1">
      <c r="A281" s="67">
        <v>22.44</v>
      </c>
      <c r="B281" s="67">
        <v>22.76</v>
      </c>
      <c r="C281" s="67">
        <v>21.8</v>
      </c>
      <c r="D281" s="67">
        <v>21.83</v>
      </c>
      <c r="E281" s="67">
        <v>11387062</v>
      </c>
      <c r="F281" s="67" t="s">
        <v>308</v>
      </c>
      <c r="G281" s="25">
        <f t="shared" si="0"/>
        <v>2.7943197434723066E-2</v>
      </c>
      <c r="I281" s="68">
        <v>-4.7E-2</v>
      </c>
      <c r="J281">
        <v>14</v>
      </c>
      <c r="O281" s="1" t="s">
        <v>199</v>
      </c>
      <c r="P281" s="25">
        <f>K272</f>
        <v>-5.9965385690012064E-4</v>
      </c>
    </row>
    <row r="282" spans="1:17" ht="15">
      <c r="A282" s="67">
        <v>21.96</v>
      </c>
      <c r="B282" s="67">
        <v>22.355</v>
      </c>
      <c r="C282" s="67">
        <v>21.33</v>
      </c>
      <c r="D282" s="67">
        <v>21.51</v>
      </c>
      <c r="E282" s="67">
        <v>22631215</v>
      </c>
      <c r="F282" s="67" t="s">
        <v>309</v>
      </c>
      <c r="G282" s="25">
        <f t="shared" si="0"/>
        <v>2.0920502092050208E-2</v>
      </c>
      <c r="I282" s="68">
        <v>-4.5999999999999999E-2</v>
      </c>
      <c r="J282">
        <v>1</v>
      </c>
      <c r="P282" s="25">
        <f>K272</f>
        <v>-5.9965385690012064E-4</v>
      </c>
    </row>
    <row r="283" spans="1:17" ht="15">
      <c r="A283" s="67">
        <v>21.76</v>
      </c>
      <c r="B283" s="67">
        <v>24.16</v>
      </c>
      <c r="C283" s="67">
        <v>21.47</v>
      </c>
      <c r="D283" s="67">
        <v>23.754999999999999</v>
      </c>
      <c r="E283" s="67">
        <v>46995984</v>
      </c>
      <c r="F283" s="67" t="s">
        <v>310</v>
      </c>
      <c r="G283" s="25">
        <f t="shared" si="0"/>
        <v>-8.3982319511681669E-2</v>
      </c>
      <c r="I283" s="68">
        <v>-4.4999999999999998E-2</v>
      </c>
      <c r="J283">
        <v>1</v>
      </c>
      <c r="O283" s="39" t="s">
        <v>200</v>
      </c>
      <c r="P283" s="1">
        <f>($K$274*-3)+$K$272</f>
        <v>-4.7573494313835236E-2</v>
      </c>
    </row>
    <row r="284" spans="1:17" ht="15">
      <c r="A284" s="67">
        <v>28.05</v>
      </c>
      <c r="B284" s="67">
        <v>28.94</v>
      </c>
      <c r="C284" s="67">
        <v>27.9</v>
      </c>
      <c r="D284" s="67">
        <v>28.83</v>
      </c>
      <c r="E284" s="67">
        <v>7796925</v>
      </c>
      <c r="F284" s="67" t="s">
        <v>311</v>
      </c>
      <c r="G284" s="25">
        <f t="shared" si="0"/>
        <v>-2.7055150884495283E-2</v>
      </c>
      <c r="I284" s="68">
        <v>-4.3999999999999997E-2</v>
      </c>
      <c r="J284">
        <v>0</v>
      </c>
      <c r="O284" s="40"/>
      <c r="P284" s="1">
        <f>($K$274*-3)+$K$272</f>
        <v>-4.7573494313835236E-2</v>
      </c>
    </row>
    <row r="285" spans="1:17" ht="15">
      <c r="A285" s="67">
        <v>28.84</v>
      </c>
      <c r="B285" s="67">
        <v>28.995000000000001</v>
      </c>
      <c r="C285" s="67">
        <v>28.324999999999999</v>
      </c>
      <c r="D285" s="67">
        <v>28.37</v>
      </c>
      <c r="E285" s="67">
        <v>6929742</v>
      </c>
      <c r="F285" s="67" t="s">
        <v>312</v>
      </c>
      <c r="G285" s="25">
        <f t="shared" si="0"/>
        <v>1.6566795911173715E-2</v>
      </c>
      <c r="I285" s="68">
        <v>-4.2999999999999997E-2</v>
      </c>
      <c r="J285">
        <v>0</v>
      </c>
      <c r="O285" s="39" t="s">
        <v>201</v>
      </c>
      <c r="P285" s="1">
        <f>($K$274*-2)+$K$272</f>
        <v>-3.1915547494856866E-2</v>
      </c>
    </row>
    <row r="286" spans="1:17" ht="15">
      <c r="A286" s="67">
        <v>28.52</v>
      </c>
      <c r="B286" s="67">
        <v>29.35</v>
      </c>
      <c r="C286" s="67">
        <v>28.48</v>
      </c>
      <c r="D286" s="67">
        <v>29.04</v>
      </c>
      <c r="E286" s="67">
        <v>6888300</v>
      </c>
      <c r="F286" s="67" t="s">
        <v>313</v>
      </c>
      <c r="G286" s="25">
        <f t="shared" si="0"/>
        <v>-1.7906336088154284E-2</v>
      </c>
      <c r="I286" s="68">
        <v>-4.2000000000000003E-2</v>
      </c>
      <c r="J286">
        <v>0</v>
      </c>
      <c r="O286" s="40"/>
      <c r="P286" s="1">
        <f>($K$274*-2)+$K$272</f>
        <v>-3.1915547494856866E-2</v>
      </c>
    </row>
    <row r="287" spans="1:17" ht="15">
      <c r="A287" s="67">
        <v>29.22</v>
      </c>
      <c r="B287" s="67">
        <v>29.31</v>
      </c>
      <c r="C287" s="67">
        <v>28.695</v>
      </c>
      <c r="D287" s="67">
        <v>28.76</v>
      </c>
      <c r="E287" s="67">
        <v>4030942</v>
      </c>
      <c r="F287" s="67" t="s">
        <v>314</v>
      </c>
      <c r="G287" s="25">
        <f t="shared" si="0"/>
        <v>1.5994436717663429E-2</v>
      </c>
      <c r="I287" s="68">
        <v>-4.1000000000000002E-2</v>
      </c>
      <c r="J287">
        <v>0</v>
      </c>
      <c r="O287" s="41" t="s">
        <v>202</v>
      </c>
      <c r="P287" s="1">
        <f>($K$274*-1)+$K$272</f>
        <v>-1.6257600675878496E-2</v>
      </c>
    </row>
    <row r="288" spans="1:17" ht="15">
      <c r="A288" s="67">
        <v>28.77</v>
      </c>
      <c r="B288" s="67">
        <v>29.15</v>
      </c>
      <c r="C288" s="67">
        <v>28.27</v>
      </c>
      <c r="D288" s="67">
        <v>28.31</v>
      </c>
      <c r="E288" s="67">
        <v>5127038</v>
      </c>
      <c r="F288" s="67" t="s">
        <v>315</v>
      </c>
      <c r="G288" s="25">
        <f t="shared" si="0"/>
        <v>1.6248675379724409E-2</v>
      </c>
      <c r="I288" s="68">
        <v>-0.04</v>
      </c>
      <c r="J288">
        <v>0</v>
      </c>
      <c r="P288" s="1">
        <f>($K$274*-1)+$K$272</f>
        <v>-1.6257600675878496E-2</v>
      </c>
    </row>
    <row r="289" spans="1:16" ht="15">
      <c r="A289" s="67">
        <v>28.56</v>
      </c>
      <c r="B289" s="67">
        <v>28.71</v>
      </c>
      <c r="C289" s="67">
        <v>27.92</v>
      </c>
      <c r="D289" s="67">
        <v>28.09</v>
      </c>
      <c r="E289" s="67">
        <v>6781365</v>
      </c>
      <c r="F289" s="67" t="s">
        <v>316</v>
      </c>
      <c r="G289" s="25">
        <f t="shared" si="0"/>
        <v>1.6731933072267724E-2</v>
      </c>
      <c r="I289" s="68">
        <v>-3.9E-2</v>
      </c>
      <c r="J289">
        <v>2</v>
      </c>
      <c r="O289" s="1" t="s">
        <v>203</v>
      </c>
      <c r="P289" s="1">
        <f>($K$274*1)+$K$272</f>
        <v>1.5058292962078253E-2</v>
      </c>
    </row>
    <row r="290" spans="1:16" ht="15">
      <c r="A290" s="67">
        <v>27.51</v>
      </c>
      <c r="B290" s="67">
        <v>28.175000000000001</v>
      </c>
      <c r="C290" s="67">
        <v>27.364999999999998</v>
      </c>
      <c r="D290" s="67">
        <v>27.53</v>
      </c>
      <c r="E290" s="67">
        <v>6456282</v>
      </c>
      <c r="F290" s="67" t="s">
        <v>317</v>
      </c>
      <c r="G290" s="25">
        <f t="shared" si="0"/>
        <v>-7.2648020341448127E-4</v>
      </c>
      <c r="I290" s="68">
        <v>-3.7999999999999999E-2</v>
      </c>
      <c r="J290">
        <v>1</v>
      </c>
      <c r="P290" s="1">
        <f>($K$274*1)+$K$272</f>
        <v>1.5058292962078253E-2</v>
      </c>
    </row>
    <row r="291" spans="1:16" ht="15">
      <c r="A291" s="67">
        <v>27.37</v>
      </c>
      <c r="B291" s="67">
        <v>28.05</v>
      </c>
      <c r="C291" s="67">
        <v>27.37</v>
      </c>
      <c r="D291" s="67">
        <v>28</v>
      </c>
      <c r="E291" s="67">
        <v>4256341</v>
      </c>
      <c r="F291" s="67" t="s">
        <v>318</v>
      </c>
      <c r="G291" s="25">
        <f t="shared" si="0"/>
        <v>-2.2499999999999964E-2</v>
      </c>
      <c r="I291" s="68">
        <v>-3.6999999999999998E-2</v>
      </c>
      <c r="J291">
        <v>1</v>
      </c>
      <c r="O291" s="42" t="s">
        <v>204</v>
      </c>
      <c r="P291" s="1">
        <f>($K$274*2)+$K$272</f>
        <v>3.0716239781056628E-2</v>
      </c>
    </row>
    <row r="292" spans="1:16" ht="15">
      <c r="A292" s="67">
        <v>27.77</v>
      </c>
      <c r="B292" s="67">
        <v>28.23</v>
      </c>
      <c r="C292" s="67">
        <v>27.614999999999998</v>
      </c>
      <c r="D292" s="67">
        <v>28.05</v>
      </c>
      <c r="E292" s="67">
        <v>3688769</v>
      </c>
      <c r="F292" s="67" t="s">
        <v>319</v>
      </c>
      <c r="G292" s="25">
        <f t="shared" si="0"/>
        <v>-9.9821746880570661E-3</v>
      </c>
      <c r="I292" s="68">
        <v>-3.5999999999999997E-2</v>
      </c>
      <c r="J292">
        <v>3</v>
      </c>
      <c r="P292" s="1">
        <f>($K$274*2)+$K$272</f>
        <v>3.0716239781056628E-2</v>
      </c>
    </row>
    <row r="293" spans="1:16" ht="15">
      <c r="A293" s="67">
        <v>27.89</v>
      </c>
      <c r="B293" s="67">
        <v>28.414999999999999</v>
      </c>
      <c r="C293" s="67">
        <v>27.63</v>
      </c>
      <c r="D293" s="67">
        <v>28.35</v>
      </c>
      <c r="E293" s="67">
        <v>5294998</v>
      </c>
      <c r="F293" s="67" t="s">
        <v>320</v>
      </c>
      <c r="G293" s="25">
        <f t="shared" si="0"/>
        <v>-1.6225749559082958E-2</v>
      </c>
      <c r="I293" s="68">
        <v>-3.4999999999999996E-2</v>
      </c>
      <c r="J293">
        <v>1</v>
      </c>
      <c r="O293" s="42" t="s">
        <v>205</v>
      </c>
      <c r="P293" s="1">
        <f>($K$274*3)+$K$272</f>
        <v>4.6374186600034999E-2</v>
      </c>
    </row>
    <row r="294" spans="1:16" ht="15">
      <c r="A294" s="67">
        <v>28.37</v>
      </c>
      <c r="B294" s="67">
        <v>28.48</v>
      </c>
      <c r="C294" s="67">
        <v>28.110399999999998</v>
      </c>
      <c r="D294" s="67">
        <v>28.41</v>
      </c>
      <c r="E294" s="67">
        <v>4748909</v>
      </c>
      <c r="F294" s="67" t="s">
        <v>321</v>
      </c>
      <c r="G294" s="25">
        <f t="shared" si="0"/>
        <v>-1.4079549454417695E-3</v>
      </c>
      <c r="I294" s="68">
        <v>-3.3999999999999996E-2</v>
      </c>
      <c r="J294">
        <v>1</v>
      </c>
      <c r="O294" s="42"/>
      <c r="P294" s="1">
        <f>($K$274*3)+$K$272</f>
        <v>4.6374186600034999E-2</v>
      </c>
    </row>
    <row r="295" spans="1:16" ht="15">
      <c r="A295" s="67">
        <v>28.25</v>
      </c>
      <c r="B295" s="67">
        <v>28.9</v>
      </c>
      <c r="C295" s="67">
        <v>28.15</v>
      </c>
      <c r="D295" s="67">
        <v>28.71</v>
      </c>
      <c r="E295" s="67">
        <v>3564575</v>
      </c>
      <c r="F295" s="67" t="s">
        <v>322</v>
      </c>
      <c r="G295" s="25">
        <f t="shared" si="0"/>
        <v>-1.6022291884360884E-2</v>
      </c>
      <c r="I295" s="68">
        <v>-3.2999999999999995E-2</v>
      </c>
      <c r="J295">
        <v>4</v>
      </c>
    </row>
    <row r="296" spans="1:16" ht="15">
      <c r="A296" s="67">
        <v>28.53</v>
      </c>
      <c r="B296" s="67">
        <v>28.93</v>
      </c>
      <c r="C296" s="67">
        <v>28.4</v>
      </c>
      <c r="D296" s="67">
        <v>28.5</v>
      </c>
      <c r="E296" s="67">
        <v>6089286</v>
      </c>
      <c r="F296" s="67" t="s">
        <v>323</v>
      </c>
      <c r="G296" s="25">
        <f t="shared" si="0"/>
        <v>1.0526315789474161E-3</v>
      </c>
      <c r="I296" s="68">
        <v>-3.1999999999999994E-2</v>
      </c>
      <c r="J296">
        <v>5</v>
      </c>
    </row>
    <row r="297" spans="1:16" ht="15">
      <c r="A297" s="67">
        <v>28.7</v>
      </c>
      <c r="B297" s="67">
        <v>29.515000000000001</v>
      </c>
      <c r="C297" s="67">
        <v>28.504999999999999</v>
      </c>
      <c r="D297" s="67">
        <v>29.26</v>
      </c>
      <c r="E297" s="67">
        <v>6779775</v>
      </c>
      <c r="F297" s="67" t="s">
        <v>324</v>
      </c>
      <c r="G297" s="25">
        <f t="shared" si="0"/>
        <v>-1.9138755980861344E-2</v>
      </c>
      <c r="I297" s="68">
        <v>-3.0999999999999993E-2</v>
      </c>
      <c r="J297">
        <v>2</v>
      </c>
    </row>
    <row r="298" spans="1:16" ht="15">
      <c r="A298" s="67">
        <v>29.7</v>
      </c>
      <c r="B298" s="67">
        <v>30.715</v>
      </c>
      <c r="C298" s="67">
        <v>29.37</v>
      </c>
      <c r="D298" s="67">
        <v>29.73</v>
      </c>
      <c r="E298" s="67">
        <v>6547935</v>
      </c>
      <c r="F298" s="67" t="s">
        <v>325</v>
      </c>
      <c r="G298" s="25">
        <f t="shared" si="0"/>
        <v>-1.0090817356206427E-3</v>
      </c>
      <c r="I298" s="68">
        <v>-2.9999999999999992E-2</v>
      </c>
      <c r="J298">
        <v>3</v>
      </c>
    </row>
    <row r="299" spans="1:16" ht="15">
      <c r="A299" s="67">
        <v>29.81</v>
      </c>
      <c r="B299" s="67">
        <v>31.15</v>
      </c>
      <c r="C299" s="67">
        <v>29.68</v>
      </c>
      <c r="D299" s="67">
        <v>30.96</v>
      </c>
      <c r="E299" s="67">
        <v>7015728</v>
      </c>
      <c r="F299" s="67" t="s">
        <v>326</v>
      </c>
      <c r="G299" s="25">
        <f t="shared" si="0"/>
        <v>-3.7144702842377364E-2</v>
      </c>
      <c r="I299" s="68">
        <v>-2.8999999999999991E-2</v>
      </c>
      <c r="J299">
        <v>5</v>
      </c>
    </row>
    <row r="300" spans="1:16" ht="15">
      <c r="A300" s="67">
        <v>30.66</v>
      </c>
      <c r="B300" s="67">
        <v>30.93</v>
      </c>
      <c r="C300" s="67">
        <v>29.69</v>
      </c>
      <c r="D300" s="67">
        <v>29.69</v>
      </c>
      <c r="E300" s="67">
        <v>6121163</v>
      </c>
      <c r="F300" s="67" t="s">
        <v>327</v>
      </c>
      <c r="G300" s="25">
        <f t="shared" si="0"/>
        <v>3.2670932974065314E-2</v>
      </c>
      <c r="I300" s="68">
        <v>-2.799999999999999E-2</v>
      </c>
      <c r="J300">
        <v>7</v>
      </c>
    </row>
    <row r="301" spans="1:16" ht="15">
      <c r="A301" s="67">
        <v>29.69</v>
      </c>
      <c r="B301" s="67">
        <v>31</v>
      </c>
      <c r="C301" s="67">
        <v>29.57</v>
      </c>
      <c r="D301" s="67">
        <v>30.87</v>
      </c>
      <c r="E301" s="67">
        <v>4925082</v>
      </c>
      <c r="F301" s="67" t="s">
        <v>328</v>
      </c>
      <c r="G301" s="25">
        <f t="shared" si="0"/>
        <v>-3.8224813735017849E-2</v>
      </c>
      <c r="I301" s="68">
        <v>-2.6999999999999989E-2</v>
      </c>
      <c r="J301">
        <v>2</v>
      </c>
    </row>
    <row r="302" spans="1:16" ht="15">
      <c r="A302" s="67">
        <v>31.01</v>
      </c>
      <c r="B302" s="67">
        <v>31.22</v>
      </c>
      <c r="C302" s="67">
        <v>30.88</v>
      </c>
      <c r="D302" s="67">
        <v>31.1</v>
      </c>
      <c r="E302" s="67">
        <v>1430678</v>
      </c>
      <c r="F302" s="67" t="s">
        <v>329</v>
      </c>
      <c r="G302" s="25">
        <f t="shared" si="0"/>
        <v>-2.8938906752411508E-3</v>
      </c>
      <c r="I302" s="68">
        <v>-2.5999999999999988E-2</v>
      </c>
      <c r="J302">
        <v>5</v>
      </c>
    </row>
    <row r="303" spans="1:16" ht="15">
      <c r="A303" s="67">
        <v>31.13</v>
      </c>
      <c r="B303" s="67">
        <v>31.44</v>
      </c>
      <c r="C303" s="67">
        <v>30.65</v>
      </c>
      <c r="D303" s="67">
        <v>31.42</v>
      </c>
      <c r="E303" s="67">
        <v>2958277</v>
      </c>
      <c r="F303" s="67" t="s">
        <v>330</v>
      </c>
      <c r="G303" s="25">
        <f t="shared" si="0"/>
        <v>-9.2297899427117303E-3</v>
      </c>
      <c r="I303" s="68">
        <v>-2.4999999999999988E-2</v>
      </c>
      <c r="J303">
        <v>2</v>
      </c>
    </row>
    <row r="304" spans="1:16" ht="15">
      <c r="A304" s="67">
        <v>31.23</v>
      </c>
      <c r="B304" s="67">
        <v>31.754999999999999</v>
      </c>
      <c r="C304" s="67">
        <v>30.06</v>
      </c>
      <c r="D304" s="67">
        <v>30.06</v>
      </c>
      <c r="E304" s="67">
        <v>3938270</v>
      </c>
      <c r="F304" s="67" t="s">
        <v>331</v>
      </c>
      <c r="G304" s="25">
        <f t="shared" si="0"/>
        <v>3.8922155688622784E-2</v>
      </c>
      <c r="I304" s="68">
        <v>-2.3999999999999987E-2</v>
      </c>
      <c r="J304">
        <v>7</v>
      </c>
    </row>
    <row r="305" spans="1:30" ht="15">
      <c r="A305" s="67">
        <v>30.28</v>
      </c>
      <c r="B305" s="67">
        <v>30.54</v>
      </c>
      <c r="C305" s="67">
        <v>30.12</v>
      </c>
      <c r="D305" s="67">
        <v>30.45</v>
      </c>
      <c r="E305" s="67">
        <v>2915311</v>
      </c>
      <c r="F305" s="67" t="s">
        <v>332</v>
      </c>
      <c r="G305" s="25">
        <f t="shared" si="0"/>
        <v>-5.5829228243020612E-3</v>
      </c>
      <c r="I305" s="68">
        <v>-2.2999999999999986E-2</v>
      </c>
      <c r="J305">
        <v>10</v>
      </c>
    </row>
    <row r="306" spans="1:30" ht="15">
      <c r="A306" s="67">
        <v>30.39</v>
      </c>
      <c r="B306" s="67">
        <v>30.635000000000002</v>
      </c>
      <c r="C306" s="67">
        <v>30.2</v>
      </c>
      <c r="D306" s="67">
        <v>30.6</v>
      </c>
      <c r="E306" s="67">
        <v>3863885</v>
      </c>
      <c r="F306" s="67" t="s">
        <v>333</v>
      </c>
      <c r="G306" s="25">
        <f t="shared" si="0"/>
        <v>-6.8627450980391913E-3</v>
      </c>
      <c r="I306" s="68">
        <v>-2.1999999999999985E-2</v>
      </c>
      <c r="J306">
        <v>8</v>
      </c>
    </row>
    <row r="307" spans="1:30" ht="15">
      <c r="A307" s="67">
        <v>30.5</v>
      </c>
      <c r="B307" s="67">
        <v>30.835000000000001</v>
      </c>
      <c r="C307" s="67">
        <v>30.375800000000002</v>
      </c>
      <c r="D307" s="67">
        <v>30.66</v>
      </c>
      <c r="E307" s="67">
        <v>2863396</v>
      </c>
      <c r="F307" s="67" t="s">
        <v>334</v>
      </c>
      <c r="G307" s="25">
        <f t="shared" si="0"/>
        <v>-5.2185257664709717E-3</v>
      </c>
      <c r="I307" s="68">
        <v>-2.0999999999999984E-2</v>
      </c>
      <c r="J307">
        <v>6</v>
      </c>
    </row>
    <row r="308" spans="1:30" ht="15">
      <c r="A308" s="67">
        <v>30.61</v>
      </c>
      <c r="B308" s="67">
        <v>30.8</v>
      </c>
      <c r="C308" s="67">
        <v>30.36</v>
      </c>
      <c r="D308" s="67">
        <v>30.58</v>
      </c>
      <c r="E308" s="67">
        <v>3648414</v>
      </c>
      <c r="F308" s="67" t="s">
        <v>335</v>
      </c>
      <c r="G308" s="25">
        <f t="shared" si="0"/>
        <v>9.8103335513410883E-4</v>
      </c>
      <c r="I308" s="68">
        <v>-1.9999999999999983E-2</v>
      </c>
      <c r="J308">
        <v>5</v>
      </c>
    </row>
    <row r="309" spans="1:30" ht="15">
      <c r="A309" s="67">
        <v>30.59</v>
      </c>
      <c r="B309" s="67">
        <v>30.625</v>
      </c>
      <c r="C309" s="67">
        <v>29.96</v>
      </c>
      <c r="D309" s="67">
        <v>30.12</v>
      </c>
      <c r="E309" s="67">
        <v>3914675</v>
      </c>
      <c r="F309" s="67" t="s">
        <v>336</v>
      </c>
      <c r="G309" s="25">
        <f t="shared" si="0"/>
        <v>1.5604249667994674E-2</v>
      </c>
      <c r="I309" s="68">
        <v>-1.8999999999999982E-2</v>
      </c>
      <c r="J309">
        <v>17</v>
      </c>
    </row>
    <row r="310" spans="1:30" ht="15">
      <c r="A310" s="67">
        <v>29.99</v>
      </c>
      <c r="B310" s="67">
        <v>30.094999999999999</v>
      </c>
      <c r="C310" s="67">
        <v>29.315000000000001</v>
      </c>
      <c r="D310" s="67">
        <v>29.78</v>
      </c>
      <c r="E310" s="67">
        <v>3000889</v>
      </c>
      <c r="F310" s="67" t="s">
        <v>337</v>
      </c>
      <c r="G310" s="25">
        <f t="shared" si="0"/>
        <v>7.0517125587641338E-3</v>
      </c>
      <c r="I310" s="68">
        <v>-1.7999999999999981E-2</v>
      </c>
      <c r="J310">
        <v>18</v>
      </c>
    </row>
    <row r="311" spans="1:30" ht="15">
      <c r="A311" s="67">
        <v>29.99</v>
      </c>
      <c r="B311" s="67">
        <v>30.19</v>
      </c>
      <c r="C311" s="67">
        <v>29.78</v>
      </c>
      <c r="D311" s="67">
        <v>29.93</v>
      </c>
      <c r="E311" s="67">
        <v>5595703</v>
      </c>
      <c r="F311" s="67" t="s">
        <v>338</v>
      </c>
      <c r="G311" s="25">
        <f t="shared" si="0"/>
        <v>2.0046775810222961E-3</v>
      </c>
      <c r="I311" s="68">
        <v>-1.699999999999998E-2</v>
      </c>
      <c r="J311">
        <v>13</v>
      </c>
    </row>
    <row r="312" spans="1:30" ht="15">
      <c r="A312" s="67">
        <v>29.8</v>
      </c>
      <c r="B312" s="67">
        <v>30.1</v>
      </c>
      <c r="C312" s="67">
        <v>29.54</v>
      </c>
      <c r="D312" s="67">
        <v>29.87</v>
      </c>
      <c r="E312" s="67">
        <v>3513813</v>
      </c>
      <c r="F312" s="67" t="s">
        <v>339</v>
      </c>
      <c r="G312" s="25">
        <f t="shared" ref="G312:G375" si="1">A312/D312-1</f>
        <v>-2.3434884499498043E-3</v>
      </c>
      <c r="I312" s="68">
        <v>-1.599999999999998E-2</v>
      </c>
      <c r="J312">
        <v>18</v>
      </c>
    </row>
    <row r="313" spans="1:30" ht="15">
      <c r="A313" s="67">
        <v>29.92</v>
      </c>
      <c r="B313" s="67">
        <v>30.71</v>
      </c>
      <c r="C313" s="67">
        <v>29.844999999999999</v>
      </c>
      <c r="D313" s="67">
        <v>30.46</v>
      </c>
      <c r="E313" s="67">
        <v>3365338</v>
      </c>
      <c r="F313" s="67" t="s">
        <v>340</v>
      </c>
      <c r="G313" s="25">
        <f t="shared" si="1"/>
        <v>-1.7728168089297447E-2</v>
      </c>
      <c r="I313" s="68">
        <v>-1.4999999999999979E-2</v>
      </c>
      <c r="J313">
        <v>11</v>
      </c>
    </row>
    <row r="314" spans="1:30" ht="15">
      <c r="A314" s="67">
        <v>30.82</v>
      </c>
      <c r="B314" s="67">
        <v>30.98</v>
      </c>
      <c r="C314" s="67">
        <v>30.33</v>
      </c>
      <c r="D314" s="67">
        <v>30.75</v>
      </c>
      <c r="E314" s="67">
        <v>3233331</v>
      </c>
      <c r="F314" s="67" t="s">
        <v>341</v>
      </c>
      <c r="G314" s="25">
        <f t="shared" si="1"/>
        <v>2.2764227642275703E-3</v>
      </c>
      <c r="I314" s="68">
        <v>-1.3999999999999978E-2</v>
      </c>
      <c r="J314">
        <v>14</v>
      </c>
    </row>
    <row r="315" spans="1:30" ht="15">
      <c r="A315" s="67">
        <v>30.62</v>
      </c>
      <c r="B315" s="67">
        <v>31.33</v>
      </c>
      <c r="C315" s="67">
        <v>30.535</v>
      </c>
      <c r="D315" s="67">
        <v>30.95</v>
      </c>
      <c r="E315" s="67">
        <v>2886186</v>
      </c>
      <c r="F315" s="67" t="s">
        <v>342</v>
      </c>
      <c r="G315" s="25">
        <f t="shared" si="1"/>
        <v>-1.0662358642972491E-2</v>
      </c>
      <c r="I315" s="68">
        <v>-1.2999999999999977E-2</v>
      </c>
      <c r="J315">
        <v>17</v>
      </c>
    </row>
    <row r="316" spans="1:30" ht="15">
      <c r="A316" s="67">
        <v>31.36</v>
      </c>
      <c r="B316" s="67">
        <v>31.65</v>
      </c>
      <c r="C316" s="67">
        <v>31.114999999999998</v>
      </c>
      <c r="D316" s="67">
        <v>31.24</v>
      </c>
      <c r="E316" s="67">
        <v>2603539</v>
      </c>
      <c r="F316" s="67" t="s">
        <v>343</v>
      </c>
      <c r="G316" s="25">
        <f t="shared" si="1"/>
        <v>3.8412291933418441E-3</v>
      </c>
      <c r="I316" s="68">
        <v>-1.1999999999999976E-2</v>
      </c>
      <c r="J316">
        <v>27</v>
      </c>
    </row>
    <row r="317" spans="1:30" ht="15">
      <c r="A317" s="67">
        <v>31.4</v>
      </c>
      <c r="B317" s="67">
        <v>32.04</v>
      </c>
      <c r="C317" s="67">
        <v>31.14</v>
      </c>
      <c r="D317" s="67">
        <v>31.72</v>
      </c>
      <c r="E317" s="67">
        <v>4152675</v>
      </c>
      <c r="F317" s="67" t="s">
        <v>344</v>
      </c>
      <c r="G317" s="25">
        <f t="shared" si="1"/>
        <v>-1.0088272383354413E-2</v>
      </c>
      <c r="I317" s="68">
        <v>-1.0999999999999975E-2</v>
      </c>
      <c r="J317">
        <v>22</v>
      </c>
    </row>
    <row r="318" spans="1:30" ht="15">
      <c r="A318" s="67">
        <v>31.72</v>
      </c>
      <c r="B318" s="67">
        <v>31.75</v>
      </c>
      <c r="C318" s="67">
        <v>30.97</v>
      </c>
      <c r="D318" s="67">
        <v>31.19</v>
      </c>
      <c r="E318" s="67">
        <v>4680219</v>
      </c>
      <c r="F318" s="67" t="s">
        <v>345</v>
      </c>
      <c r="G318" s="25">
        <f t="shared" si="1"/>
        <v>1.6992625841615761E-2</v>
      </c>
      <c r="I318" s="68">
        <v>-9.9999999999999742E-3</v>
      </c>
      <c r="J318">
        <v>26</v>
      </c>
      <c r="AD318" s="2" t="s">
        <v>197</v>
      </c>
    </row>
    <row r="319" spans="1:30" ht="15">
      <c r="A319" s="67">
        <v>30.85</v>
      </c>
      <c r="B319" s="67">
        <v>31.19</v>
      </c>
      <c r="C319" s="67">
        <v>30.18</v>
      </c>
      <c r="D319" s="67">
        <v>30.42</v>
      </c>
      <c r="E319" s="67">
        <v>3224431</v>
      </c>
      <c r="F319" s="67" t="s">
        <v>346</v>
      </c>
      <c r="G319" s="25">
        <f t="shared" si="1"/>
        <v>1.4135437212360324E-2</v>
      </c>
      <c r="I319" s="68">
        <v>-8.9999999999999733E-3</v>
      </c>
      <c r="J319">
        <v>22</v>
      </c>
      <c r="AD319" s="1" t="s">
        <v>198</v>
      </c>
    </row>
    <row r="320" spans="1:30" ht="15">
      <c r="A320" s="67">
        <v>30.26</v>
      </c>
      <c r="B320" s="67">
        <v>30.71</v>
      </c>
      <c r="C320" s="67">
        <v>30.01</v>
      </c>
      <c r="D320" s="67">
        <v>30.52</v>
      </c>
      <c r="E320" s="67">
        <v>2341302</v>
      </c>
      <c r="F320" s="67" t="s">
        <v>347</v>
      </c>
      <c r="G320" s="25">
        <f t="shared" si="1"/>
        <v>-8.5190039318479016E-3</v>
      </c>
      <c r="I320" s="68">
        <v>-7.9999999999999724E-3</v>
      </c>
      <c r="J320">
        <v>28</v>
      </c>
    </row>
    <row r="321" spans="1:10" ht="15">
      <c r="A321" s="67">
        <v>30.15</v>
      </c>
      <c r="B321" s="67">
        <v>30.495000000000001</v>
      </c>
      <c r="C321" s="67">
        <v>29.684999999999999</v>
      </c>
      <c r="D321" s="67">
        <v>30.13</v>
      </c>
      <c r="E321" s="67">
        <v>3824957</v>
      </c>
      <c r="F321" s="67" t="s">
        <v>348</v>
      </c>
      <c r="G321" s="25">
        <f t="shared" si="1"/>
        <v>6.637902422834685E-4</v>
      </c>
      <c r="I321" s="68">
        <v>-6.9999999999999724E-3</v>
      </c>
      <c r="J321">
        <v>28</v>
      </c>
    </row>
    <row r="322" spans="1:10" ht="15">
      <c r="A322" s="67">
        <v>29.97</v>
      </c>
      <c r="B322" s="67">
        <v>30.23</v>
      </c>
      <c r="C322" s="67">
        <v>29.68</v>
      </c>
      <c r="D322" s="67">
        <v>30.11</v>
      </c>
      <c r="E322" s="67">
        <v>3522693</v>
      </c>
      <c r="F322" s="67" t="s">
        <v>349</v>
      </c>
      <c r="G322" s="25">
        <f t="shared" si="1"/>
        <v>-4.6496180670874132E-3</v>
      </c>
      <c r="I322" s="68">
        <v>-5.9999999999999724E-3</v>
      </c>
      <c r="J322">
        <v>35</v>
      </c>
    </row>
    <row r="323" spans="1:10" ht="15">
      <c r="A323" s="67">
        <v>30.09</v>
      </c>
      <c r="B323" s="67">
        <v>30.14</v>
      </c>
      <c r="C323" s="67">
        <v>29.158300000000001</v>
      </c>
      <c r="D323" s="67">
        <v>29.31</v>
      </c>
      <c r="E323" s="67">
        <v>3132044</v>
      </c>
      <c r="F323" s="67" t="s">
        <v>350</v>
      </c>
      <c r="G323" s="25">
        <f t="shared" si="1"/>
        <v>2.6612077789150534E-2</v>
      </c>
      <c r="I323" s="68">
        <v>-4.9999999999999723E-3</v>
      </c>
      <c r="J323">
        <v>30</v>
      </c>
    </row>
    <row r="324" spans="1:10" ht="15">
      <c r="A324" s="67">
        <v>29.55</v>
      </c>
      <c r="B324" s="67">
        <v>30.489799999999999</v>
      </c>
      <c r="C324" s="67">
        <v>29.3</v>
      </c>
      <c r="D324" s="67">
        <v>30.34</v>
      </c>
      <c r="E324" s="67">
        <v>3985994</v>
      </c>
      <c r="F324" s="67" t="s">
        <v>351</v>
      </c>
      <c r="G324" s="25">
        <f t="shared" si="1"/>
        <v>-2.6038233355306528E-2</v>
      </c>
      <c r="I324" s="68">
        <v>-3.9999999999999723E-3</v>
      </c>
      <c r="J324">
        <v>40</v>
      </c>
    </row>
    <row r="325" spans="1:10" ht="15">
      <c r="A325" s="67">
        <v>30.5</v>
      </c>
      <c r="B325" s="67">
        <v>30.69</v>
      </c>
      <c r="C325" s="67">
        <v>29.93</v>
      </c>
      <c r="D325" s="67">
        <v>30.36</v>
      </c>
      <c r="E325" s="67">
        <v>4930123</v>
      </c>
      <c r="F325" s="67" t="s">
        <v>352</v>
      </c>
      <c r="G325" s="25">
        <f t="shared" si="1"/>
        <v>4.6113306982873414E-3</v>
      </c>
      <c r="I325" s="68">
        <v>-2.9999999999999723E-3</v>
      </c>
      <c r="J325">
        <v>40</v>
      </c>
    </row>
    <row r="326" spans="1:10" ht="15">
      <c r="A326" s="67">
        <v>30.529999999999987</v>
      </c>
      <c r="B326" s="67">
        <v>30.619501628664484</v>
      </c>
      <c r="C326" s="67">
        <v>29.933322475570023</v>
      </c>
      <c r="D326" s="67">
        <v>30.490221498371323</v>
      </c>
      <c r="E326" s="67">
        <v>3479080.2653128086</v>
      </c>
      <c r="F326" s="67" t="s">
        <v>353</v>
      </c>
      <c r="G326" s="25">
        <f t="shared" si="1"/>
        <v>1.3046314416176319E-3</v>
      </c>
      <c r="I326" s="68">
        <v>-1.9999999999999723E-3</v>
      </c>
      <c r="J326">
        <v>47</v>
      </c>
    </row>
    <row r="327" spans="1:10" ht="15">
      <c r="A327" s="67">
        <v>30.410664495113995</v>
      </c>
      <c r="B327" s="67">
        <v>30.868117263843637</v>
      </c>
      <c r="C327" s="67">
        <v>30.316190553745916</v>
      </c>
      <c r="D327" s="67">
        <v>30.75872638436481</v>
      </c>
      <c r="E327" s="67">
        <v>2738725.5813953499</v>
      </c>
      <c r="F327" s="67" t="s">
        <v>354</v>
      </c>
      <c r="G327" s="25">
        <f t="shared" si="1"/>
        <v>-1.1315874555447802E-2</v>
      </c>
      <c r="I327" s="68">
        <v>-9.9999999999997227E-4</v>
      </c>
      <c r="J327">
        <v>46</v>
      </c>
    </row>
    <row r="328" spans="1:10" ht="15">
      <c r="A328" s="67">
        <v>30.699058631921812</v>
      </c>
      <c r="B328" s="67">
        <v>30.77861563517914</v>
      </c>
      <c r="C328" s="67">
        <v>30.231661237785005</v>
      </c>
      <c r="D328" s="67">
        <v>30.589667752442988</v>
      </c>
      <c r="E328" s="67">
        <v>2899164.0026203743</v>
      </c>
      <c r="F328" s="67" t="s">
        <v>355</v>
      </c>
      <c r="G328" s="25">
        <f t="shared" si="1"/>
        <v>3.5760728218463544E-3</v>
      </c>
      <c r="I328" s="68">
        <v>2.7755575615628914E-17</v>
      </c>
      <c r="J328">
        <v>46</v>
      </c>
    </row>
    <row r="329" spans="1:10" ht="15">
      <c r="A329" s="67">
        <v>29.953211726384353</v>
      </c>
      <c r="B329" s="67">
        <v>30.060613680781749</v>
      </c>
      <c r="C329" s="67">
        <v>29.555426710097706</v>
      </c>
      <c r="D329" s="67">
        <v>29.68470684039087</v>
      </c>
      <c r="E329" s="67">
        <v>2108211.1333114975</v>
      </c>
      <c r="F329" s="67" t="s">
        <v>356</v>
      </c>
      <c r="G329" s="25">
        <f t="shared" si="1"/>
        <v>9.0452261306532833E-3</v>
      </c>
      <c r="I329" s="68">
        <v>1.0000000000000278E-3</v>
      </c>
      <c r="J329">
        <v>32</v>
      </c>
    </row>
    <row r="330" spans="1:10" ht="15">
      <c r="A330" s="67">
        <v>30.102381107491844</v>
      </c>
      <c r="B330" s="67">
        <v>30.350996742670997</v>
      </c>
      <c r="C330" s="67">
        <v>29.903488599348524</v>
      </c>
      <c r="D330" s="67">
        <v>29.992990228013017</v>
      </c>
      <c r="E330" s="67">
        <v>2911027.6973468731</v>
      </c>
      <c r="F330" s="67" t="s">
        <v>357</v>
      </c>
      <c r="G330" s="25">
        <f t="shared" si="1"/>
        <v>3.6472148541113469E-3</v>
      </c>
      <c r="I330" s="68">
        <v>2.0000000000000278E-3</v>
      </c>
      <c r="J330">
        <v>57</v>
      </c>
    </row>
    <row r="331" spans="1:10" ht="15">
      <c r="A331" s="67">
        <v>30.261495114006504</v>
      </c>
      <c r="B331" s="67">
        <v>31.325570032573278</v>
      </c>
      <c r="C331" s="67">
        <v>30.236633550488587</v>
      </c>
      <c r="D331" s="67">
        <v>31.305680781758944</v>
      </c>
      <c r="E331" s="67">
        <v>2805266.0465116291</v>
      </c>
      <c r="F331" s="67" t="s">
        <v>358</v>
      </c>
      <c r="G331" s="25">
        <f t="shared" si="1"/>
        <v>-3.3354510800508219E-2</v>
      </c>
      <c r="I331" s="68">
        <v>3.0000000000000278E-3</v>
      </c>
      <c r="J331">
        <v>32</v>
      </c>
    </row>
    <row r="332" spans="1:10" ht="15">
      <c r="A332" s="67">
        <v>31.285791530944614</v>
      </c>
      <c r="B332" s="67">
        <v>31.439933224755688</v>
      </c>
      <c r="C332" s="67">
        <v>31.076954397394125</v>
      </c>
      <c r="D332" s="67">
        <v>31.126677524429955</v>
      </c>
      <c r="E332" s="67">
        <v>2010945.5289878815</v>
      </c>
      <c r="F332" s="67" t="s">
        <v>359</v>
      </c>
      <c r="G332" s="25">
        <f t="shared" si="1"/>
        <v>5.1118210862619584E-3</v>
      </c>
      <c r="I332" s="68">
        <v>4.0000000000000278E-3</v>
      </c>
      <c r="J332">
        <v>42</v>
      </c>
    </row>
    <row r="333" spans="1:10" ht="15">
      <c r="A333" s="67">
        <v>31.295736156351779</v>
      </c>
      <c r="B333" s="67">
        <v>31.454850162866435</v>
      </c>
      <c r="C333" s="67">
        <v>30.863144951140054</v>
      </c>
      <c r="D333" s="67">
        <v>31.057065146579792</v>
      </c>
      <c r="E333" s="67">
        <v>2765025.2145430734</v>
      </c>
      <c r="F333" s="67" t="s">
        <v>360</v>
      </c>
      <c r="G333" s="25">
        <f t="shared" si="1"/>
        <v>7.684918347742542E-3</v>
      </c>
      <c r="I333" s="68">
        <v>5.0000000000000279E-3</v>
      </c>
      <c r="J333">
        <v>46</v>
      </c>
    </row>
    <row r="334" spans="1:10" ht="15">
      <c r="A334" s="67">
        <v>31.484684039087934</v>
      </c>
      <c r="B334" s="67">
        <v>31.524462540716598</v>
      </c>
      <c r="C334" s="67">
        <v>30.738837133550476</v>
      </c>
      <c r="D334" s="67">
        <v>30.897951140065135</v>
      </c>
      <c r="E334" s="67">
        <v>3039200.4487389466</v>
      </c>
      <c r="F334" s="67" t="s">
        <v>361</v>
      </c>
      <c r="G334" s="25">
        <f t="shared" si="1"/>
        <v>1.8989378822014791E-2</v>
      </c>
      <c r="I334" s="68">
        <v>6.0000000000000279E-3</v>
      </c>
      <c r="J334">
        <v>37</v>
      </c>
    </row>
    <row r="335" spans="1:10" ht="15">
      <c r="A335" s="67">
        <v>30.868117263843637</v>
      </c>
      <c r="B335" s="67">
        <v>30.897951140065135</v>
      </c>
      <c r="C335" s="67">
        <v>29.873654723127025</v>
      </c>
      <c r="D335" s="67">
        <v>30.191882736156341</v>
      </c>
      <c r="E335" s="67">
        <v>2854194.9885358675</v>
      </c>
      <c r="F335" s="67" t="s">
        <v>362</v>
      </c>
      <c r="G335" s="25">
        <f t="shared" si="1"/>
        <v>2.2397891963109373E-2</v>
      </c>
      <c r="I335" s="68">
        <v>7.0000000000000279E-3</v>
      </c>
      <c r="J335">
        <v>30</v>
      </c>
    </row>
    <row r="336" spans="1:10" ht="15">
      <c r="A336" s="67">
        <v>30.152104234527677</v>
      </c>
      <c r="B336" s="67">
        <v>30.858172638436471</v>
      </c>
      <c r="C336" s="67">
        <v>30.067574918566763</v>
      </c>
      <c r="D336" s="67">
        <v>30.788560260586308</v>
      </c>
      <c r="E336" s="67">
        <v>3725202.1552571254</v>
      </c>
      <c r="F336" s="67" t="s">
        <v>363</v>
      </c>
      <c r="G336" s="25">
        <f t="shared" si="1"/>
        <v>-2.067183462532296E-2</v>
      </c>
      <c r="I336" s="68">
        <v>8.0000000000000279E-3</v>
      </c>
      <c r="J336">
        <v>31</v>
      </c>
    </row>
    <row r="337" spans="1:10" ht="15">
      <c r="A337" s="67">
        <v>30.977508143322463</v>
      </c>
      <c r="B337" s="67">
        <v>31.479711726384355</v>
      </c>
      <c r="C337" s="67">
        <v>30.738837133550476</v>
      </c>
      <c r="D337" s="67">
        <v>31.464794788273604</v>
      </c>
      <c r="E337" s="67">
        <v>5955295.2047166741</v>
      </c>
      <c r="F337" s="67" t="s">
        <v>364</v>
      </c>
      <c r="G337" s="25">
        <f t="shared" si="1"/>
        <v>-1.5486725663716783E-2</v>
      </c>
      <c r="I337" s="68">
        <v>9.0000000000000288E-3</v>
      </c>
      <c r="J337">
        <v>23</v>
      </c>
    </row>
    <row r="338" spans="1:10" ht="15">
      <c r="A338" s="67">
        <v>31.703465798045588</v>
      </c>
      <c r="B338" s="67">
        <v>32.49903583061888</v>
      </c>
      <c r="C338" s="67">
        <v>31.385237785016272</v>
      </c>
      <c r="D338" s="67">
        <v>31.385237785016272</v>
      </c>
      <c r="E338" s="67">
        <v>6303933.7766131693</v>
      </c>
      <c r="F338" s="67" t="s">
        <v>365</v>
      </c>
      <c r="G338" s="25">
        <f t="shared" si="1"/>
        <v>1.0139416983523386E-2</v>
      </c>
      <c r="I338" s="68">
        <v>1.000000000000003E-2</v>
      </c>
      <c r="J338">
        <v>31</v>
      </c>
    </row>
    <row r="339" spans="1:10" ht="15">
      <c r="A339" s="67">
        <v>30.728892508143311</v>
      </c>
      <c r="B339" s="67">
        <v>31.31562540716611</v>
      </c>
      <c r="C339" s="67">
        <v>30.679169381107481</v>
      </c>
      <c r="D339" s="67">
        <v>31.116732899022789</v>
      </c>
      <c r="E339" s="67">
        <v>2657124.7199475938</v>
      </c>
      <c r="F339" s="67" t="s">
        <v>366</v>
      </c>
      <c r="G339" s="25">
        <f t="shared" si="1"/>
        <v>-1.2464046021092967E-2</v>
      </c>
      <c r="I339" s="68">
        <v>1.1000000000000031E-2</v>
      </c>
      <c r="J339">
        <v>24</v>
      </c>
    </row>
    <row r="340" spans="1:10" ht="15">
      <c r="A340" s="67">
        <v>31.027231270358293</v>
      </c>
      <c r="B340" s="67">
        <v>31.892413680781747</v>
      </c>
      <c r="C340" s="67">
        <v>30.639490325732886</v>
      </c>
      <c r="D340" s="67">
        <v>30.738837133550476</v>
      </c>
      <c r="E340" s="67">
        <v>4109807.8938748785</v>
      </c>
      <c r="F340" s="67" t="s">
        <v>367</v>
      </c>
      <c r="G340" s="25">
        <f t="shared" si="1"/>
        <v>9.3820769977353002E-3</v>
      </c>
      <c r="I340" s="68">
        <v>1.2000000000000031E-2</v>
      </c>
      <c r="J340">
        <v>14</v>
      </c>
    </row>
    <row r="341" spans="1:10" ht="15">
      <c r="A341" s="67">
        <v>30.549889250814321</v>
      </c>
      <c r="B341" s="67">
        <v>30.728892508143311</v>
      </c>
      <c r="C341" s="67">
        <v>29.694651465798035</v>
      </c>
      <c r="D341" s="67">
        <v>29.823931596091192</v>
      </c>
      <c r="E341" s="67">
        <v>3717499.5021290546</v>
      </c>
      <c r="F341" s="67" t="s">
        <v>368</v>
      </c>
      <c r="G341" s="25">
        <f t="shared" si="1"/>
        <v>2.4341447149049733E-2</v>
      </c>
      <c r="I341" s="68">
        <v>1.3000000000000032E-2</v>
      </c>
      <c r="J341">
        <v>27</v>
      </c>
    </row>
    <row r="342" spans="1:10" ht="15">
      <c r="A342" s="67">
        <v>29.764263843648198</v>
      </c>
      <c r="B342" s="67">
        <v>30.340952671009759</v>
      </c>
      <c r="C342" s="67">
        <v>29.699623778501614</v>
      </c>
      <c r="D342" s="67">
        <v>30.142159609120508</v>
      </c>
      <c r="E342" s="67">
        <v>3340231.3953488385</v>
      </c>
      <c r="F342" s="67" t="s">
        <v>369</v>
      </c>
      <c r="G342" s="25">
        <f t="shared" si="1"/>
        <v>-1.2537116463213427E-2</v>
      </c>
      <c r="I342" s="68">
        <v>1.4000000000000033E-2</v>
      </c>
      <c r="J342">
        <v>21</v>
      </c>
    </row>
    <row r="343" spans="1:10" ht="15">
      <c r="A343" s="67">
        <v>30.261495114006504</v>
      </c>
      <c r="B343" s="67">
        <v>30.907895765472301</v>
      </c>
      <c r="C343" s="67">
        <v>30.012879478827351</v>
      </c>
      <c r="D343" s="67">
        <v>30.152104234527677</v>
      </c>
      <c r="E343" s="67">
        <v>3933638.3622666243</v>
      </c>
      <c r="F343" s="67" t="s">
        <v>370</v>
      </c>
      <c r="G343" s="25">
        <f t="shared" si="1"/>
        <v>3.6279683377309357E-3</v>
      </c>
      <c r="I343" s="68">
        <v>1.5000000000000034E-2</v>
      </c>
      <c r="J343">
        <v>13</v>
      </c>
    </row>
    <row r="344" spans="1:10" ht="15">
      <c r="A344" s="67">
        <v>30.539944625407156</v>
      </c>
      <c r="B344" s="67">
        <v>31.076158827361549</v>
      </c>
      <c r="C344" s="67">
        <v>30.06260260586318</v>
      </c>
      <c r="D344" s="67">
        <v>30.888006514657967</v>
      </c>
      <c r="E344" s="67">
        <v>4198583.4850966278</v>
      </c>
      <c r="F344" s="67" t="s">
        <v>371</v>
      </c>
      <c r="G344" s="25">
        <f t="shared" si="1"/>
        <v>-1.1268512556342425E-2</v>
      </c>
      <c r="I344" s="68">
        <v>1.6000000000000035E-2</v>
      </c>
      <c r="J344">
        <v>20</v>
      </c>
    </row>
    <row r="345" spans="1:10" ht="15">
      <c r="A345" s="67">
        <v>30.500166123778492</v>
      </c>
      <c r="B345" s="67">
        <v>32.419478827361552</v>
      </c>
      <c r="C345" s="67">
        <v>30.350996742670997</v>
      </c>
      <c r="D345" s="67">
        <v>31.971970684039075</v>
      </c>
      <c r="E345" s="67">
        <v>7125216.5967900455</v>
      </c>
      <c r="F345" s="67" t="s">
        <v>372</v>
      </c>
      <c r="G345" s="25">
        <f t="shared" si="1"/>
        <v>-4.6034214618973501E-2</v>
      </c>
      <c r="I345" s="68">
        <v>1.7000000000000036E-2</v>
      </c>
      <c r="J345">
        <v>21</v>
      </c>
    </row>
    <row r="346" spans="1:10" ht="15">
      <c r="A346" s="67">
        <v>30.997397394136797</v>
      </c>
      <c r="B346" s="67">
        <v>31.206234527687283</v>
      </c>
      <c r="C346" s="67">
        <v>30.460387622149824</v>
      </c>
      <c r="D346" s="67">
        <v>30.937729641693799</v>
      </c>
      <c r="E346" s="67">
        <v>5584396.3675073721</v>
      </c>
      <c r="F346" s="67" t="s">
        <v>373</v>
      </c>
      <c r="G346" s="25">
        <f t="shared" si="1"/>
        <v>1.9286403085825299E-3</v>
      </c>
      <c r="I346" s="68">
        <v>1.8000000000000037E-2</v>
      </c>
      <c r="J346">
        <v>14</v>
      </c>
    </row>
    <row r="347" spans="1:10" ht="15">
      <c r="A347" s="67">
        <v>30.808449511400639</v>
      </c>
      <c r="B347" s="67">
        <v>31.171428338762201</v>
      </c>
      <c r="C347" s="67">
        <v>30.24160586319217</v>
      </c>
      <c r="D347" s="67">
        <v>30.350996742670997</v>
      </c>
      <c r="E347" s="67">
        <v>3441763.625941698</v>
      </c>
      <c r="F347" s="67" t="s">
        <v>374</v>
      </c>
      <c r="G347" s="25">
        <f t="shared" si="1"/>
        <v>1.5072083879423381E-2</v>
      </c>
      <c r="I347" s="68">
        <v>1.9000000000000038E-2</v>
      </c>
      <c r="J347">
        <v>12</v>
      </c>
    </row>
    <row r="348" spans="1:10" ht="15">
      <c r="A348" s="67">
        <v>30.360941368078166</v>
      </c>
      <c r="B348" s="67">
        <v>30.649335504885983</v>
      </c>
      <c r="C348" s="67">
        <v>29.923377850162854</v>
      </c>
      <c r="D348" s="67">
        <v>30.142159609120508</v>
      </c>
      <c r="E348" s="67">
        <v>3992890.4683917472</v>
      </c>
      <c r="F348" s="67" t="s">
        <v>375</v>
      </c>
      <c r="G348" s="25">
        <f t="shared" si="1"/>
        <v>7.2583305839657442E-3</v>
      </c>
      <c r="I348" s="68">
        <v>2.0000000000000039E-2</v>
      </c>
      <c r="J348">
        <v>2</v>
      </c>
    </row>
    <row r="349" spans="1:10" ht="15">
      <c r="A349" s="67">
        <v>30.052657980456015</v>
      </c>
      <c r="B349" s="67">
        <v>30.261495114006504</v>
      </c>
      <c r="C349" s="67">
        <v>29.794097719869697</v>
      </c>
      <c r="D349" s="67">
        <v>30.052657980456015</v>
      </c>
      <c r="E349" s="67">
        <v>3485955.3357353434</v>
      </c>
      <c r="F349" s="67" t="s">
        <v>376</v>
      </c>
      <c r="G349" s="25">
        <f t="shared" si="1"/>
        <v>0</v>
      </c>
      <c r="I349" s="68">
        <v>2.1000000000000039E-2</v>
      </c>
      <c r="J349">
        <v>9</v>
      </c>
    </row>
    <row r="350" spans="1:10" ht="15">
      <c r="A350" s="67">
        <v>30.24160586319217</v>
      </c>
      <c r="B350" s="67">
        <v>30.30624592833875</v>
      </c>
      <c r="C350" s="67">
        <v>29.326700325732887</v>
      </c>
      <c r="D350" s="67">
        <v>29.555426710097706</v>
      </c>
      <c r="E350" s="67">
        <v>3621331.9783819206</v>
      </c>
      <c r="F350" s="67" t="s">
        <v>377</v>
      </c>
      <c r="G350" s="25">
        <f t="shared" si="1"/>
        <v>2.3216689098250365E-2</v>
      </c>
      <c r="I350" s="68">
        <v>2.200000000000004E-2</v>
      </c>
      <c r="J350">
        <v>6</v>
      </c>
    </row>
    <row r="351" spans="1:10" ht="15">
      <c r="A351" s="67">
        <v>29.436091205211717</v>
      </c>
      <c r="B351" s="67">
        <v>30.132214983713343</v>
      </c>
      <c r="C351" s="67">
        <v>29.008472312703574</v>
      </c>
      <c r="D351" s="67">
        <v>29.078084690553734</v>
      </c>
      <c r="E351" s="67">
        <v>4616048.1788404863</v>
      </c>
      <c r="F351" s="67" t="s">
        <v>378</v>
      </c>
      <c r="G351" s="25">
        <f t="shared" si="1"/>
        <v>1.2311901504788114E-2</v>
      </c>
      <c r="I351" s="68">
        <v>2.3000000000000041E-2</v>
      </c>
      <c r="J351">
        <v>4</v>
      </c>
    </row>
    <row r="352" spans="1:10" ht="15">
      <c r="A352" s="67">
        <v>28.461517915309436</v>
      </c>
      <c r="B352" s="67">
        <v>28.978638436482075</v>
      </c>
      <c r="C352" s="67">
        <v>28.34218241042344</v>
      </c>
      <c r="D352" s="67">
        <v>28.730022801302923</v>
      </c>
      <c r="E352" s="67">
        <v>4630250.8254176239</v>
      </c>
      <c r="F352" s="67" t="s">
        <v>379</v>
      </c>
      <c r="G352" s="25">
        <f t="shared" si="1"/>
        <v>-9.3457943925233655E-3</v>
      </c>
      <c r="I352" s="68">
        <v>2.4000000000000042E-2</v>
      </c>
      <c r="J352">
        <v>9</v>
      </c>
    </row>
    <row r="353" spans="1:10" ht="15">
      <c r="A353" s="67">
        <v>28.381960912052104</v>
      </c>
      <c r="B353" s="67">
        <v>28.650465798045591</v>
      </c>
      <c r="C353" s="67">
        <v>28.113456026058621</v>
      </c>
      <c r="D353" s="67">
        <v>28.590798045602593</v>
      </c>
      <c r="E353" s="67">
        <v>4089530.6092368178</v>
      </c>
      <c r="F353" s="67" t="s">
        <v>380</v>
      </c>
      <c r="G353" s="25">
        <f t="shared" si="1"/>
        <v>-7.3043478260870209E-3</v>
      </c>
      <c r="I353" s="68">
        <v>2.5000000000000043E-2</v>
      </c>
      <c r="J353">
        <v>5</v>
      </c>
    </row>
    <row r="354" spans="1:10" ht="15">
      <c r="A354" s="67">
        <v>28.730022801302923</v>
      </c>
      <c r="B354" s="67">
        <v>28.938859934853411</v>
      </c>
      <c r="C354" s="67">
        <v>27.76539413680781</v>
      </c>
      <c r="D354" s="67">
        <v>27.815117263843636</v>
      </c>
      <c r="E354" s="67">
        <v>5554208.2017687541</v>
      </c>
      <c r="F354" s="67" t="s">
        <v>381</v>
      </c>
      <c r="G354" s="25">
        <f t="shared" si="1"/>
        <v>3.2892384697890797E-2</v>
      </c>
      <c r="I354" s="68">
        <v>2.6000000000000044E-2</v>
      </c>
      <c r="J354">
        <v>7</v>
      </c>
    </row>
    <row r="355" spans="1:10" ht="15">
      <c r="A355" s="67">
        <v>27.665947882736145</v>
      </c>
      <c r="B355" s="67">
        <v>28.431684039087937</v>
      </c>
      <c r="C355" s="67">
        <v>27.412359934853409</v>
      </c>
      <c r="D355" s="67">
        <v>27.715671009771977</v>
      </c>
      <c r="E355" s="67">
        <v>5423699.515230922</v>
      </c>
      <c r="F355" s="67" t="s">
        <v>382</v>
      </c>
      <c r="G355" s="25">
        <f t="shared" si="1"/>
        <v>-1.7940437746681859E-3</v>
      </c>
      <c r="I355" s="68">
        <v>2.7000000000000045E-2</v>
      </c>
      <c r="J355">
        <v>5</v>
      </c>
    </row>
    <row r="356" spans="1:10" ht="15">
      <c r="A356" s="67">
        <v>27.646058631921814</v>
      </c>
      <c r="B356" s="67">
        <v>28.34218241042344</v>
      </c>
      <c r="C356" s="67">
        <v>27.367609120521163</v>
      </c>
      <c r="D356" s="67">
        <v>28.133345276872952</v>
      </c>
      <c r="E356" s="67">
        <v>5181101.136586966</v>
      </c>
      <c r="F356" s="67" t="s">
        <v>383</v>
      </c>
      <c r="G356" s="25">
        <f t="shared" si="1"/>
        <v>-1.7320607988688508E-2</v>
      </c>
      <c r="I356" s="68">
        <v>2.8000000000000046E-2</v>
      </c>
      <c r="J356">
        <v>8</v>
      </c>
    </row>
    <row r="357" spans="1:10" ht="15">
      <c r="A357" s="67">
        <v>28.222846905537448</v>
      </c>
      <c r="B357" s="67">
        <v>28.541074918566764</v>
      </c>
      <c r="C357" s="67">
        <v>27.904618892508132</v>
      </c>
      <c r="D357" s="67">
        <v>28.222846905537448</v>
      </c>
      <c r="E357" s="67">
        <v>4560990.2980674766</v>
      </c>
      <c r="F357" s="67" t="s">
        <v>384</v>
      </c>
      <c r="G357" s="25">
        <f t="shared" si="1"/>
        <v>0</v>
      </c>
      <c r="I357" s="68">
        <v>2.9000000000000047E-2</v>
      </c>
      <c r="J357">
        <v>4</v>
      </c>
    </row>
    <row r="358" spans="1:10" ht="15">
      <c r="A358" s="67">
        <v>27.685837133550478</v>
      </c>
      <c r="B358" s="67">
        <v>28.103511400651456</v>
      </c>
      <c r="C358" s="67">
        <v>26.631706840390869</v>
      </c>
      <c r="D358" s="67">
        <v>28.103511400651456</v>
      </c>
      <c r="E358" s="67">
        <v>6675972.9282672806</v>
      </c>
      <c r="F358" s="67" t="s">
        <v>385</v>
      </c>
      <c r="G358" s="25">
        <f t="shared" si="1"/>
        <v>-1.4861995753715496E-2</v>
      </c>
      <c r="I358" s="68">
        <v>3.0000000000000047E-2</v>
      </c>
      <c r="J358">
        <v>1</v>
      </c>
    </row>
    <row r="359" spans="1:10" ht="15">
      <c r="A359" s="67">
        <v>27.98417589576546</v>
      </c>
      <c r="B359" s="67">
        <v>30.082491856677514</v>
      </c>
      <c r="C359" s="67">
        <v>27.457110749185656</v>
      </c>
      <c r="D359" s="67">
        <v>29.928350162866437</v>
      </c>
      <c r="E359" s="67">
        <v>6583537.0684572579</v>
      </c>
      <c r="F359" s="67" t="s">
        <v>386</v>
      </c>
      <c r="G359" s="25">
        <f t="shared" si="1"/>
        <v>-6.4960956969596251E-2</v>
      </c>
      <c r="I359" s="68">
        <v>3.1000000000000048E-2</v>
      </c>
      <c r="J359">
        <v>4</v>
      </c>
    </row>
    <row r="360" spans="1:10" ht="15">
      <c r="A360" s="67">
        <v>30.57972312703582</v>
      </c>
      <c r="B360" s="67">
        <v>30.649335504885983</v>
      </c>
      <c r="C360" s="67">
        <v>26.104641693811065</v>
      </c>
      <c r="D360" s="67">
        <v>27.148827361563509</v>
      </c>
      <c r="E360" s="67">
        <v>12109369.138552248</v>
      </c>
      <c r="F360" s="67" t="s">
        <v>387</v>
      </c>
      <c r="G360" s="25">
        <f t="shared" si="1"/>
        <v>0.12637362637362637</v>
      </c>
      <c r="I360" s="68">
        <v>3.2000000000000049E-2</v>
      </c>
      <c r="J360">
        <v>2</v>
      </c>
    </row>
    <row r="361" spans="1:10" ht="15">
      <c r="A361" s="67">
        <v>27.815117263843636</v>
      </c>
      <c r="B361" s="67">
        <v>29.366478827361554</v>
      </c>
      <c r="C361" s="67">
        <v>27.357664495113998</v>
      </c>
      <c r="D361" s="67">
        <v>29.207364820846895</v>
      </c>
      <c r="E361" s="67">
        <v>6418691.2414019024</v>
      </c>
      <c r="F361" s="67" t="s">
        <v>388</v>
      </c>
      <c r="G361" s="25">
        <f t="shared" si="1"/>
        <v>-4.7667688117126406E-2</v>
      </c>
      <c r="I361" s="68">
        <v>3.300000000000005E-2</v>
      </c>
      <c r="J361">
        <v>4</v>
      </c>
    </row>
    <row r="362" spans="1:10" ht="15">
      <c r="A362" s="67">
        <v>28.48140716612377</v>
      </c>
      <c r="B362" s="67">
        <v>29.147697068403897</v>
      </c>
      <c r="C362" s="67">
        <v>26.969824104234519</v>
      </c>
      <c r="D362" s="67">
        <v>28.193013029315953</v>
      </c>
      <c r="E362" s="67">
        <v>8217458.843760239</v>
      </c>
      <c r="F362" s="67" t="s">
        <v>389</v>
      </c>
      <c r="G362" s="25">
        <f t="shared" si="1"/>
        <v>1.0229276895943551E-2</v>
      </c>
      <c r="I362" s="68">
        <v>3.4000000000000051E-2</v>
      </c>
      <c r="J362">
        <v>2</v>
      </c>
    </row>
    <row r="363" spans="1:10" ht="15">
      <c r="A363" s="67">
        <v>28.630576547231257</v>
      </c>
      <c r="B363" s="67">
        <v>31.017286644951131</v>
      </c>
      <c r="C363" s="67">
        <v>28.536102605863181</v>
      </c>
      <c r="D363" s="67">
        <v>30.559833876221486</v>
      </c>
      <c r="E363" s="67">
        <v>6028817.3304945976</v>
      </c>
      <c r="F363" s="67" t="s">
        <v>390</v>
      </c>
      <c r="G363" s="25">
        <f t="shared" si="1"/>
        <v>-6.313049137650506E-2</v>
      </c>
      <c r="I363" s="68">
        <v>3.5000000000000052E-2</v>
      </c>
      <c r="J363">
        <v>2</v>
      </c>
    </row>
    <row r="364" spans="1:10" ht="15">
      <c r="A364" s="67">
        <v>31.176400651465787</v>
      </c>
      <c r="B364" s="67">
        <v>33.413941368078163</v>
      </c>
      <c r="C364" s="67">
        <v>31.116732899022789</v>
      </c>
      <c r="D364" s="67">
        <v>33.115602605863174</v>
      </c>
      <c r="E364" s="67">
        <v>5586392.420569933</v>
      </c>
      <c r="F364" s="67" t="s">
        <v>391</v>
      </c>
      <c r="G364" s="25">
        <f t="shared" si="1"/>
        <v>-5.8558558558558405E-2</v>
      </c>
      <c r="I364" s="68">
        <v>3.6000000000000053E-2</v>
      </c>
      <c r="J364">
        <v>0</v>
      </c>
    </row>
    <row r="365" spans="1:10" ht="15">
      <c r="A365" s="67">
        <v>33.463664495113996</v>
      </c>
      <c r="B365" s="67">
        <v>33.642667752442982</v>
      </c>
      <c r="C365" s="67">
        <v>33.234938110749177</v>
      </c>
      <c r="D365" s="67">
        <v>33.533276872964159</v>
      </c>
      <c r="E365" s="67">
        <v>2505800.7697346881</v>
      </c>
      <c r="F365" s="67" t="s">
        <v>392</v>
      </c>
      <c r="G365" s="25">
        <f t="shared" si="1"/>
        <v>-2.0759193357058336E-3</v>
      </c>
      <c r="I365" s="68">
        <v>3.7000000000000054E-2</v>
      </c>
      <c r="J365">
        <v>2</v>
      </c>
    </row>
    <row r="366" spans="1:10" ht="15">
      <c r="A366" s="67">
        <v>33.831615635179141</v>
      </c>
      <c r="B366" s="67">
        <v>34.100120521172627</v>
      </c>
      <c r="C366" s="67">
        <v>33.61283387622148</v>
      </c>
      <c r="D366" s="67">
        <v>33.921117263843634</v>
      </c>
      <c r="E366" s="67">
        <v>3515334.0189977083</v>
      </c>
      <c r="F366" s="67" t="s">
        <v>393</v>
      </c>
      <c r="G366" s="25">
        <f t="shared" si="1"/>
        <v>-2.6385224274405594E-3</v>
      </c>
      <c r="I366" s="68">
        <v>3.8000000000000055E-2</v>
      </c>
      <c r="J366">
        <v>1</v>
      </c>
    </row>
    <row r="367" spans="1:10" ht="15">
      <c r="A367" s="67">
        <v>34.040452768729622</v>
      </c>
      <c r="B367" s="67">
        <v>34.32387459283386</v>
      </c>
      <c r="C367" s="67">
        <v>33.443775244299665</v>
      </c>
      <c r="D367" s="67">
        <v>33.443775244299665</v>
      </c>
      <c r="E367" s="67">
        <v>3618966.8817556514</v>
      </c>
      <c r="F367" s="67" t="s">
        <v>394</v>
      </c>
      <c r="G367" s="25">
        <f t="shared" si="1"/>
        <v>1.784121320249743E-2</v>
      </c>
      <c r="I367" s="68">
        <v>3.9000000000000055E-2</v>
      </c>
      <c r="J367">
        <v>2</v>
      </c>
    </row>
    <row r="368" spans="1:10" ht="15">
      <c r="A368" s="67">
        <v>33.563110749185654</v>
      </c>
      <c r="B368" s="67">
        <v>33.821671009771975</v>
      </c>
      <c r="C368" s="67">
        <v>33.303854364820836</v>
      </c>
      <c r="D368" s="67">
        <v>33.413941368078163</v>
      </c>
      <c r="E368" s="67">
        <v>2527163.0625614161</v>
      </c>
      <c r="F368" s="67" t="s">
        <v>395</v>
      </c>
      <c r="G368" s="25">
        <f t="shared" si="1"/>
        <v>4.4642857142855874E-3</v>
      </c>
      <c r="I368" s="68">
        <v>4.0000000000000056E-2</v>
      </c>
      <c r="J368">
        <v>1</v>
      </c>
    </row>
    <row r="369" spans="1:10" ht="15">
      <c r="A369" s="67">
        <v>33.513387622149828</v>
      </c>
      <c r="B369" s="67">
        <v>33.72222475570031</v>
      </c>
      <c r="C369" s="67">
        <v>33.125547231270346</v>
      </c>
      <c r="D369" s="67">
        <v>33.493498371335491</v>
      </c>
      <c r="E369" s="67">
        <v>2776861.7589256479</v>
      </c>
      <c r="F369" s="67" t="s">
        <v>396</v>
      </c>
      <c r="G369" s="25">
        <f t="shared" si="1"/>
        <v>5.9382422802856105E-4</v>
      </c>
      <c r="I369" s="68">
        <v>4.1000000000000002E-2</v>
      </c>
      <c r="J369">
        <v>0</v>
      </c>
    </row>
    <row r="370" spans="1:10" ht="15">
      <c r="A370" s="67">
        <v>33.175270358306179</v>
      </c>
      <c r="B370" s="67">
        <v>33.344328990228</v>
      </c>
      <c r="C370" s="67">
        <v>32.618371335504868</v>
      </c>
      <c r="D370" s="67">
        <v>32.777485342019531</v>
      </c>
      <c r="E370" s="67">
        <v>2735003.9731411738</v>
      </c>
      <c r="F370" s="67" t="s">
        <v>397</v>
      </c>
      <c r="G370" s="25">
        <f t="shared" si="1"/>
        <v>1.2135922330097193E-2</v>
      </c>
      <c r="I370" s="68">
        <v>4.2000000000000003E-2</v>
      </c>
      <c r="J370">
        <v>2</v>
      </c>
    </row>
    <row r="371" spans="1:10" ht="15">
      <c r="A371" s="67">
        <v>32.757596091205194</v>
      </c>
      <c r="B371" s="67">
        <v>33.662557003257319</v>
      </c>
      <c r="C371" s="67">
        <v>32.618371335504868</v>
      </c>
      <c r="D371" s="67">
        <v>33.573055374592819</v>
      </c>
      <c r="E371" s="67">
        <v>3704525.6600065525</v>
      </c>
      <c r="F371" s="67" t="s">
        <v>398</v>
      </c>
      <c r="G371" s="25">
        <f t="shared" si="1"/>
        <v>-2.4289099526066393E-2</v>
      </c>
      <c r="I371" s="68">
        <v>4.2999999999999997E-2</v>
      </c>
      <c r="J371">
        <v>1</v>
      </c>
    </row>
    <row r="372" spans="1:10" ht="15">
      <c r="A372" s="67">
        <v>33.413941368078163</v>
      </c>
      <c r="B372" s="67">
        <v>33.692390879478815</v>
      </c>
      <c r="C372" s="67">
        <v>33.115602605863174</v>
      </c>
      <c r="D372" s="67">
        <v>33.115602605863174</v>
      </c>
      <c r="E372" s="67">
        <v>3563594.2581067816</v>
      </c>
      <c r="F372" s="67" t="s">
        <v>399</v>
      </c>
      <c r="G372" s="25">
        <f t="shared" si="1"/>
        <v>9.009009009009139E-3</v>
      </c>
      <c r="I372" s="68">
        <v>4.3999999999999997E-2</v>
      </c>
      <c r="J372">
        <v>0</v>
      </c>
    </row>
    <row r="373" spans="1:10" ht="15">
      <c r="A373" s="67">
        <v>33.00621172638435</v>
      </c>
      <c r="B373" s="67">
        <v>33.453719869706831</v>
      </c>
      <c r="C373" s="67">
        <v>32.817263843648199</v>
      </c>
      <c r="D373" s="67">
        <v>33.036045602605853</v>
      </c>
      <c r="E373" s="67">
        <v>8185025.2440222763</v>
      </c>
      <c r="F373" s="67" t="s">
        <v>400</v>
      </c>
      <c r="G373" s="25">
        <f t="shared" si="1"/>
        <v>-9.0307043949444665E-4</v>
      </c>
      <c r="I373" s="68">
        <v>4.4999999999999998E-2</v>
      </c>
      <c r="J373">
        <v>0</v>
      </c>
    </row>
    <row r="374" spans="1:10" ht="15">
      <c r="A374" s="67">
        <v>33.2548273615635</v>
      </c>
      <c r="B374" s="67">
        <v>33.970840390879459</v>
      </c>
      <c r="C374" s="67">
        <v>33.185214983713337</v>
      </c>
      <c r="D374" s="67">
        <v>33.891283387622138</v>
      </c>
      <c r="E374" s="67">
        <v>5824231.444480841</v>
      </c>
      <c r="F374" s="67" t="s">
        <v>401</v>
      </c>
      <c r="G374" s="25">
        <f t="shared" si="1"/>
        <v>-1.8779342723004855E-2</v>
      </c>
      <c r="I374" s="68">
        <v>4.5999999999999999E-2</v>
      </c>
      <c r="J374">
        <v>0</v>
      </c>
    </row>
    <row r="375" spans="1:10" ht="15">
      <c r="A375" s="67">
        <v>33.901228013029304</v>
      </c>
      <c r="B375" s="67">
        <v>34.358581335504873</v>
      </c>
      <c r="C375" s="67">
        <v>33.652612377850154</v>
      </c>
      <c r="D375" s="67">
        <v>34.18962214983712</v>
      </c>
      <c r="E375" s="67">
        <v>5137849.6331477258</v>
      </c>
      <c r="F375" s="67" t="s">
        <v>402</v>
      </c>
      <c r="G375" s="25">
        <f t="shared" si="1"/>
        <v>-8.4351367073880468E-3</v>
      </c>
      <c r="I375" s="68">
        <v>4.7E-2</v>
      </c>
      <c r="J375">
        <v>0</v>
      </c>
    </row>
    <row r="376" spans="1:10" ht="15.75" thickBot="1">
      <c r="A376" s="67">
        <v>34.318902280130281</v>
      </c>
      <c r="B376" s="67">
        <v>34.727626384364804</v>
      </c>
      <c r="C376" s="67">
        <v>34.219456026058616</v>
      </c>
      <c r="D376" s="67">
        <v>34.706742671009756</v>
      </c>
      <c r="E376" s="67">
        <v>3380695.4634785471</v>
      </c>
      <c r="F376" s="67" t="s">
        <v>403</v>
      </c>
      <c r="G376" s="25">
        <f t="shared" ref="G376:G439" si="2">A376/D376-1</f>
        <v>-1.1174785100286466E-2</v>
      </c>
      <c r="I376" s="69" t="s">
        <v>1532</v>
      </c>
      <c r="J376" s="69">
        <v>5</v>
      </c>
    </row>
    <row r="377" spans="1:10">
      <c r="A377" s="67">
        <v>34.657019543973931</v>
      </c>
      <c r="B377" s="67">
        <v>34.836022801302917</v>
      </c>
      <c r="C377" s="67">
        <v>34.209511400651451</v>
      </c>
      <c r="D377" s="67">
        <v>34.318902280130281</v>
      </c>
      <c r="E377" s="67">
        <v>3712199.1516541122</v>
      </c>
      <c r="F377" s="67" t="s">
        <v>404</v>
      </c>
      <c r="G377" s="25">
        <f t="shared" si="2"/>
        <v>9.8522167487684609E-3</v>
      </c>
    </row>
    <row r="378" spans="1:10">
      <c r="A378" s="67">
        <v>34.398459283387609</v>
      </c>
      <c r="B378" s="67">
        <v>34.821105863192173</v>
      </c>
      <c r="C378" s="67">
        <v>34.020563517915299</v>
      </c>
      <c r="D378" s="67">
        <v>34.438237785016277</v>
      </c>
      <c r="E378" s="67">
        <v>3009169.1516541117</v>
      </c>
      <c r="F378" s="67" t="s">
        <v>405</v>
      </c>
      <c r="G378" s="25">
        <f t="shared" si="2"/>
        <v>-1.1550678602368913E-3</v>
      </c>
    </row>
    <row r="379" spans="1:10">
      <c r="A379" s="67">
        <v>34.358680781758942</v>
      </c>
      <c r="B379" s="67">
        <v>34.647074918566766</v>
      </c>
      <c r="C379" s="67">
        <v>33.861449511400636</v>
      </c>
      <c r="D379" s="67">
        <v>34.030508143322464</v>
      </c>
      <c r="E379" s="67">
        <v>4797805.6534556197</v>
      </c>
      <c r="F379" s="67" t="s">
        <v>406</v>
      </c>
      <c r="G379" s="25">
        <f t="shared" si="2"/>
        <v>9.6434833430740774E-3</v>
      </c>
    </row>
    <row r="380" spans="1:10">
      <c r="A380" s="67">
        <v>34.219456026058616</v>
      </c>
      <c r="B380" s="67">
        <v>35.571925081433214</v>
      </c>
      <c r="C380" s="67">
        <v>34.020563517915299</v>
      </c>
      <c r="D380" s="67">
        <v>35.293475570032562</v>
      </c>
      <c r="E380" s="67">
        <v>6238256.0890926979</v>
      </c>
      <c r="F380" s="67" t="s">
        <v>407</v>
      </c>
      <c r="G380" s="25">
        <f t="shared" si="2"/>
        <v>-3.0431107354184417E-2</v>
      </c>
    </row>
    <row r="381" spans="1:10">
      <c r="A381" s="67">
        <v>35.651482084690542</v>
      </c>
      <c r="B381" s="67">
        <v>36.367495114006502</v>
      </c>
      <c r="C381" s="67">
        <v>35.48252289902279</v>
      </c>
      <c r="D381" s="67">
        <v>36.238214983713341</v>
      </c>
      <c r="E381" s="67">
        <v>4174617.7759580757</v>
      </c>
      <c r="F381" s="67" t="s">
        <v>408</v>
      </c>
      <c r="G381" s="25">
        <f t="shared" si="2"/>
        <v>-1.6190998902305132E-2</v>
      </c>
    </row>
    <row r="382" spans="1:10">
      <c r="A382" s="67">
        <v>36.357550488599337</v>
      </c>
      <c r="B382" s="67">
        <v>37.531016286644942</v>
      </c>
      <c r="C382" s="67">
        <v>36.158657980456013</v>
      </c>
      <c r="D382" s="67">
        <v>36.48683061889249</v>
      </c>
      <c r="E382" s="67">
        <v>5340364.0484769102</v>
      </c>
      <c r="F382" s="67" t="s">
        <v>409</v>
      </c>
      <c r="G382" s="25">
        <f t="shared" si="2"/>
        <v>-3.5431997819568295E-3</v>
      </c>
    </row>
    <row r="383" spans="1:10">
      <c r="A383" s="67">
        <v>36.367495114006502</v>
      </c>
      <c r="B383" s="67">
        <v>36.437107491856665</v>
      </c>
      <c r="C383" s="67">
        <v>34.86585667752442</v>
      </c>
      <c r="D383" s="67">
        <v>35.144306188925071</v>
      </c>
      <c r="E383" s="67">
        <v>4575318.6406812984</v>
      </c>
      <c r="F383" s="67" t="s">
        <v>410</v>
      </c>
      <c r="G383" s="25">
        <f t="shared" si="2"/>
        <v>3.4804753820033785E-2</v>
      </c>
    </row>
    <row r="384" spans="1:10">
      <c r="A384" s="67">
        <v>35.24375244299673</v>
      </c>
      <c r="B384" s="67">
        <v>35.272591856677515</v>
      </c>
      <c r="C384" s="67">
        <v>34.52773941368077</v>
      </c>
      <c r="D384" s="67">
        <v>35.054804560260571</v>
      </c>
      <c r="E384" s="67">
        <v>2761229.1942351796</v>
      </c>
      <c r="F384" s="67" t="s">
        <v>411</v>
      </c>
      <c r="G384" s="25">
        <f t="shared" si="2"/>
        <v>5.3900709219858456E-3</v>
      </c>
    </row>
    <row r="385" spans="1:7">
      <c r="A385" s="67">
        <v>34.965302931596078</v>
      </c>
      <c r="B385" s="67">
        <v>35.253697068403895</v>
      </c>
      <c r="C385" s="67">
        <v>34.567517915309431</v>
      </c>
      <c r="D385" s="67">
        <v>34.657019543973931</v>
      </c>
      <c r="E385" s="67">
        <v>3373349.7870946624</v>
      </c>
      <c r="F385" s="67" t="s">
        <v>412</v>
      </c>
      <c r="G385" s="25">
        <f t="shared" si="2"/>
        <v>8.8952654232423711E-3</v>
      </c>
    </row>
    <row r="386" spans="1:7">
      <c r="A386" s="67">
        <v>34.597351791530933</v>
      </c>
      <c r="B386" s="67">
        <v>35.114472312703569</v>
      </c>
      <c r="C386" s="67">
        <v>34.398459283387609</v>
      </c>
      <c r="D386" s="67">
        <v>34.676908794788261</v>
      </c>
      <c r="E386" s="67">
        <v>4447801.5198165756</v>
      </c>
      <c r="F386" s="67" t="s">
        <v>413</v>
      </c>
      <c r="G386" s="25">
        <f t="shared" si="2"/>
        <v>-2.2942357327214724E-3</v>
      </c>
    </row>
    <row r="387" spans="1:7">
      <c r="A387" s="67">
        <v>34.666964169381096</v>
      </c>
      <c r="B387" s="67">
        <v>35.049832247556985</v>
      </c>
      <c r="C387" s="67">
        <v>34.110065146579785</v>
      </c>
      <c r="D387" s="67">
        <v>34.676908794788261</v>
      </c>
      <c r="E387" s="67">
        <v>3918285.3455617442</v>
      </c>
      <c r="F387" s="67" t="s">
        <v>414</v>
      </c>
      <c r="G387" s="25">
        <f t="shared" si="2"/>
        <v>-2.8677946659017017E-4</v>
      </c>
    </row>
    <row r="388" spans="1:7">
      <c r="A388" s="67">
        <v>34.318902280130281</v>
      </c>
      <c r="B388" s="67">
        <v>34.975247557003243</v>
      </c>
      <c r="C388" s="67">
        <v>33.81172638436481</v>
      </c>
      <c r="D388" s="67">
        <v>34.756465798045589</v>
      </c>
      <c r="E388" s="67">
        <v>4809933.8126433035</v>
      </c>
      <c r="F388" s="67" t="s">
        <v>415</v>
      </c>
      <c r="G388" s="25">
        <f t="shared" si="2"/>
        <v>-1.2589413447782527E-2</v>
      </c>
    </row>
    <row r="389" spans="1:7">
      <c r="A389" s="67">
        <v>34.736576547231252</v>
      </c>
      <c r="B389" s="67">
        <v>35.191813732750525</v>
      </c>
      <c r="C389" s="67">
        <v>34.390299392419969</v>
      </c>
      <c r="D389" s="67">
        <v>34.687094244457413</v>
      </c>
      <c r="E389" s="67">
        <v>3768447.2942234683</v>
      </c>
      <c r="F389" s="67" t="s">
        <v>416</v>
      </c>
      <c r="G389" s="25">
        <f t="shared" si="2"/>
        <v>1.4265335235379428E-3</v>
      </c>
    </row>
    <row r="390" spans="1:7">
      <c r="A390" s="67">
        <v>34.894919916107519</v>
      </c>
      <c r="B390" s="67">
        <v>35.884565971584195</v>
      </c>
      <c r="C390" s="67">
        <v>34.647508402238351</v>
      </c>
      <c r="D390" s="67">
        <v>35.567879233831654</v>
      </c>
      <c r="E390" s="67">
        <v>6730343.6043018643</v>
      </c>
      <c r="F390" s="67" t="s">
        <v>417</v>
      </c>
      <c r="G390" s="25">
        <f t="shared" si="2"/>
        <v>-1.8920422927100611E-2</v>
      </c>
    </row>
    <row r="391" spans="1:7">
      <c r="A391" s="67">
        <v>35.567879233831654</v>
      </c>
      <c r="B391" s="67">
        <v>35.676740299934089</v>
      </c>
      <c r="C391" s="67">
        <v>34.588129638909756</v>
      </c>
      <c r="D391" s="67">
        <v>34.627715481128817</v>
      </c>
      <c r="E391" s="67">
        <v>9020775.6102256496</v>
      </c>
      <c r="F391" s="67" t="s">
        <v>418</v>
      </c>
      <c r="G391" s="25">
        <f t="shared" si="2"/>
        <v>2.7150614461274536E-2</v>
      </c>
    </row>
    <row r="392" spans="1:7">
      <c r="A392" s="67">
        <v>34.716783626121718</v>
      </c>
      <c r="B392" s="67">
        <v>34.763000096912478</v>
      </c>
      <c r="C392" s="67">
        <v>33.091784803029022</v>
      </c>
      <c r="D392" s="67">
        <v>33.667758807316446</v>
      </c>
      <c r="E392" s="67">
        <v>7878101.4251046702</v>
      </c>
      <c r="F392" s="67" t="s">
        <v>419</v>
      </c>
      <c r="G392" s="25">
        <f t="shared" si="2"/>
        <v>3.1158142269253286E-2</v>
      </c>
    </row>
    <row r="393" spans="1:7">
      <c r="A393" s="67">
        <v>33.469829596221111</v>
      </c>
      <c r="B393" s="67">
        <v>33.66281057703906</v>
      </c>
      <c r="C393" s="67">
        <v>32.905731344599403</v>
      </c>
      <c r="D393" s="67">
        <v>33.163039319023341</v>
      </c>
      <c r="E393" s="67">
        <v>7340458.7021781188</v>
      </c>
      <c r="F393" s="67" t="s">
        <v>420</v>
      </c>
      <c r="G393" s="25">
        <f t="shared" si="2"/>
        <v>9.2509698597433854E-3</v>
      </c>
    </row>
    <row r="394" spans="1:7">
      <c r="A394" s="67">
        <v>33.093764095139974</v>
      </c>
      <c r="B394" s="67">
        <v>33.331279148454378</v>
      </c>
      <c r="C394" s="67">
        <v>32.005153434115634</v>
      </c>
      <c r="D394" s="67">
        <v>32.940368956541086</v>
      </c>
      <c r="E394" s="67">
        <v>10799967.261883277</v>
      </c>
      <c r="F394" s="67" t="s">
        <v>421</v>
      </c>
      <c r="G394" s="25">
        <f t="shared" si="2"/>
        <v>4.6567522908218528E-3</v>
      </c>
    </row>
    <row r="395" spans="1:7">
      <c r="A395" s="67">
        <v>30.500891429791089</v>
      </c>
      <c r="B395" s="67">
        <v>30.926439233646057</v>
      </c>
      <c r="C395" s="67">
        <v>30.239130048117506</v>
      </c>
      <c r="D395" s="67">
        <v>30.748302943660256</v>
      </c>
      <c r="E395" s="67">
        <v>9893192.5669972729</v>
      </c>
      <c r="F395" s="67" t="s">
        <v>422</v>
      </c>
      <c r="G395" s="25">
        <f t="shared" si="2"/>
        <v>-8.0463469584808323E-3</v>
      </c>
    </row>
    <row r="396" spans="1:7">
      <c r="A396" s="67">
        <v>30.876956930872222</v>
      </c>
      <c r="B396" s="67">
        <v>30.911594542813905</v>
      </c>
      <c r="C396" s="67">
        <v>30.253479915921918</v>
      </c>
      <c r="D396" s="67">
        <v>30.401926824243418</v>
      </c>
      <c r="E396" s="67">
        <v>4462902.6464139754</v>
      </c>
      <c r="F396" s="67" t="s">
        <v>423</v>
      </c>
      <c r="G396" s="25">
        <f t="shared" si="2"/>
        <v>1.5625E-2</v>
      </c>
    </row>
    <row r="397" spans="1:7">
      <c r="A397" s="67">
        <v>30.500891429791089</v>
      </c>
      <c r="B397" s="67">
        <v>30.768095864769791</v>
      </c>
      <c r="C397" s="67">
        <v>30.293065758140987</v>
      </c>
      <c r="D397" s="67">
        <v>30.639441877557822</v>
      </c>
      <c r="E397" s="67">
        <v>3895794.8436857825</v>
      </c>
      <c r="F397" s="67" t="s">
        <v>424</v>
      </c>
      <c r="G397" s="25">
        <f t="shared" si="2"/>
        <v>-4.5219638242893767E-3</v>
      </c>
    </row>
    <row r="398" spans="1:7">
      <c r="A398" s="67">
        <v>30.302962218695754</v>
      </c>
      <c r="B398" s="67">
        <v>30.302962218695754</v>
      </c>
      <c r="C398" s="67">
        <v>29.808139190957416</v>
      </c>
      <c r="D398" s="67">
        <v>30.164411770929018</v>
      </c>
      <c r="E398" s="67">
        <v>5178532.2354783993</v>
      </c>
      <c r="F398" s="67" t="s">
        <v>425</v>
      </c>
      <c r="G398" s="25">
        <f t="shared" si="2"/>
        <v>4.5931758530184386E-3</v>
      </c>
    </row>
    <row r="399" spans="1:7">
      <c r="A399" s="67">
        <v>29.97637902038845</v>
      </c>
      <c r="B399" s="67">
        <v>30.213894073702853</v>
      </c>
      <c r="C399" s="67">
        <v>29.580520598197783</v>
      </c>
      <c r="D399" s="67">
        <v>30.213894073702853</v>
      </c>
      <c r="E399" s="67">
        <v>2939054.8104585023</v>
      </c>
      <c r="F399" s="67" t="s">
        <v>426</v>
      </c>
      <c r="G399" s="25">
        <f t="shared" si="2"/>
        <v>-7.8611202096299237E-3</v>
      </c>
    </row>
    <row r="400" spans="1:7">
      <c r="A400" s="67">
        <v>30.28316929758622</v>
      </c>
      <c r="B400" s="67">
        <v>30.560270193119688</v>
      </c>
      <c r="C400" s="67">
        <v>30.243583455367151</v>
      </c>
      <c r="D400" s="67">
        <v>30.490994969236318</v>
      </c>
      <c r="E400" s="67">
        <v>4764852.0134086926</v>
      </c>
      <c r="F400" s="67" t="s">
        <v>427</v>
      </c>
      <c r="G400" s="25">
        <f t="shared" si="2"/>
        <v>-6.8159688412852137E-3</v>
      </c>
    </row>
    <row r="401" spans="1:7">
      <c r="A401" s="67">
        <v>30.490994969236318</v>
      </c>
      <c r="B401" s="67">
        <v>30.58995957478399</v>
      </c>
      <c r="C401" s="67">
        <v>30.194101152593319</v>
      </c>
      <c r="D401" s="67">
        <v>30.540477272010154</v>
      </c>
      <c r="E401" s="67">
        <v>5250135.6128756534</v>
      </c>
      <c r="F401" s="67" t="s">
        <v>428</v>
      </c>
      <c r="G401" s="25">
        <f t="shared" si="2"/>
        <v>-1.6202203499676715E-3</v>
      </c>
    </row>
    <row r="402" spans="1:7">
      <c r="A402" s="67">
        <v>30.302962218695754</v>
      </c>
      <c r="B402" s="67">
        <v>30.654286568389974</v>
      </c>
      <c r="C402" s="67">
        <v>30.194101152593319</v>
      </c>
      <c r="D402" s="67">
        <v>30.639441877557822</v>
      </c>
      <c r="E402" s="67">
        <v>2924592.0639838488</v>
      </c>
      <c r="F402" s="67" t="s">
        <v>429</v>
      </c>
      <c r="G402" s="25">
        <f t="shared" si="2"/>
        <v>-1.0981912144702788E-2</v>
      </c>
    </row>
    <row r="403" spans="1:7">
      <c r="A403" s="67">
        <v>30.490994969236318</v>
      </c>
      <c r="B403" s="67">
        <v>31.292608274172427</v>
      </c>
      <c r="C403" s="67">
        <v>30.471202048126788</v>
      </c>
      <c r="D403" s="67">
        <v>31.005610918084191</v>
      </c>
      <c r="E403" s="67">
        <v>2989457.6789628123</v>
      </c>
      <c r="F403" s="67" t="s">
        <v>430</v>
      </c>
      <c r="G403" s="25">
        <f t="shared" si="2"/>
        <v>-1.6597510373444035E-2</v>
      </c>
    </row>
    <row r="404" spans="1:7">
      <c r="A404" s="67">
        <v>31.144161365850923</v>
      </c>
      <c r="B404" s="67">
        <v>31.376728188887942</v>
      </c>
      <c r="C404" s="67">
        <v>31.025403839193725</v>
      </c>
      <c r="D404" s="67">
        <v>31.351987037501026</v>
      </c>
      <c r="E404" s="67">
        <v>2737160.4070055806</v>
      </c>
      <c r="F404" s="67" t="s">
        <v>431</v>
      </c>
      <c r="G404" s="25">
        <f t="shared" si="2"/>
        <v>-6.6287878787879562E-3</v>
      </c>
    </row>
    <row r="405" spans="1:7">
      <c r="A405" s="67">
        <v>31.094679063077095</v>
      </c>
      <c r="B405" s="67">
        <v>31.257970662230743</v>
      </c>
      <c r="C405" s="67">
        <v>30.891801621704374</v>
      </c>
      <c r="D405" s="67">
        <v>31.183747208069995</v>
      </c>
      <c r="E405" s="67">
        <v>4242129.7763652354</v>
      </c>
      <c r="F405" s="67" t="s">
        <v>432</v>
      </c>
      <c r="G405" s="25">
        <f t="shared" si="2"/>
        <v>-2.8562361155188842E-3</v>
      </c>
    </row>
    <row r="406" spans="1:7">
      <c r="A406" s="67">
        <v>31.312401195281961</v>
      </c>
      <c r="B406" s="67">
        <v>31.688466696363101</v>
      </c>
      <c r="C406" s="67">
        <v>30.312858679250517</v>
      </c>
      <c r="D406" s="67">
        <v>31.431158721939163</v>
      </c>
      <c r="E406" s="67">
        <v>7270298.2649028385</v>
      </c>
      <c r="F406" s="67" t="s">
        <v>433</v>
      </c>
      <c r="G406" s="25">
        <f t="shared" si="2"/>
        <v>-3.7783375314861534E-3</v>
      </c>
    </row>
    <row r="407" spans="1:7">
      <c r="A407" s="67">
        <v>32.222875566320504</v>
      </c>
      <c r="B407" s="67">
        <v>32.895834884044639</v>
      </c>
      <c r="C407" s="67">
        <v>32.163496802991901</v>
      </c>
      <c r="D407" s="67">
        <v>32.579148146292106</v>
      </c>
      <c r="E407" s="67">
        <v>3868142.5331970407</v>
      </c>
      <c r="F407" s="67" t="s">
        <v>434</v>
      </c>
      <c r="G407" s="25">
        <f t="shared" si="2"/>
        <v>-1.0935601458080146E-2</v>
      </c>
    </row>
    <row r="408" spans="1:7">
      <c r="A408" s="67">
        <v>32.757284436277907</v>
      </c>
      <c r="B408" s="67">
        <v>32.974016922427296</v>
      </c>
      <c r="C408" s="67">
        <v>32.529665843518266</v>
      </c>
      <c r="D408" s="67">
        <v>32.608837527956403</v>
      </c>
      <c r="E408" s="67">
        <v>3855956.3582173493</v>
      </c>
      <c r="F408" s="67" t="s">
        <v>435</v>
      </c>
      <c r="G408" s="25">
        <f t="shared" si="2"/>
        <v>4.5523520485584168E-3</v>
      </c>
    </row>
    <row r="409" spans="1:7">
      <c r="A409" s="67">
        <v>32.440597698525373</v>
      </c>
      <c r="B409" s="67">
        <v>32.633578679343323</v>
      </c>
      <c r="C409" s="67">
        <v>32.302047250758633</v>
      </c>
      <c r="D409" s="67">
        <v>32.351529553532465</v>
      </c>
      <c r="E409" s="67">
        <v>3884474.6348717296</v>
      </c>
      <c r="F409" s="67" t="s">
        <v>436</v>
      </c>
      <c r="G409" s="25">
        <f t="shared" si="2"/>
        <v>2.7531355154484238E-3</v>
      </c>
    </row>
    <row r="410" spans="1:7">
      <c r="A410" s="67">
        <v>32.351529553532465</v>
      </c>
      <c r="B410" s="67">
        <v>33.207573391519787</v>
      </c>
      <c r="C410" s="67">
        <v>32.138755651604981</v>
      </c>
      <c r="D410" s="67">
        <v>32.895834884044639</v>
      </c>
      <c r="E410" s="67">
        <v>4321840.0925570223</v>
      </c>
      <c r="F410" s="67" t="s">
        <v>437</v>
      </c>
      <c r="G410" s="25">
        <f t="shared" si="2"/>
        <v>-1.6546329723225117E-2</v>
      </c>
    </row>
    <row r="411" spans="1:7">
      <c r="A411" s="67">
        <v>33.113557016249509</v>
      </c>
      <c r="B411" s="67">
        <v>33.232314542906707</v>
      </c>
      <c r="C411" s="67">
        <v>32.376270704919385</v>
      </c>
      <c r="D411" s="67">
        <v>32.410908316861068</v>
      </c>
      <c r="E411" s="67">
        <v>4261275.0050004106</v>
      </c>
      <c r="F411" s="67" t="s">
        <v>438</v>
      </c>
      <c r="G411" s="25">
        <f t="shared" si="2"/>
        <v>2.1679389312977193E-2</v>
      </c>
    </row>
    <row r="412" spans="1:7">
      <c r="A412" s="67">
        <v>32.114014500218069</v>
      </c>
      <c r="B412" s="67">
        <v>32.188237954378813</v>
      </c>
      <c r="C412" s="67">
        <v>31.737948999136929</v>
      </c>
      <c r="D412" s="67">
        <v>31.975464052451333</v>
      </c>
      <c r="E412" s="67">
        <v>3278504.4532282026</v>
      </c>
      <c r="F412" s="67" t="s">
        <v>439</v>
      </c>
      <c r="G412" s="25">
        <f t="shared" si="2"/>
        <v>4.3330238316310332E-3</v>
      </c>
    </row>
    <row r="413" spans="1:7">
      <c r="A413" s="67">
        <v>32.114014500218069</v>
      </c>
      <c r="B413" s="67">
        <v>32.242668487430031</v>
      </c>
      <c r="C413" s="67">
        <v>31.455899873326079</v>
      </c>
      <c r="D413" s="67">
        <v>31.589502090815429</v>
      </c>
      <c r="E413" s="67">
        <v>4268561.4484314686</v>
      </c>
      <c r="F413" s="67" t="s">
        <v>440</v>
      </c>
      <c r="G413" s="25">
        <f t="shared" si="2"/>
        <v>1.6604010025062621E-2</v>
      </c>
    </row>
    <row r="414" spans="1:7">
      <c r="A414" s="67">
        <v>31.500433945822525</v>
      </c>
      <c r="B414" s="67">
        <v>31.930929979954882</v>
      </c>
      <c r="C414" s="67">
        <v>30.768095864769791</v>
      </c>
      <c r="D414" s="67">
        <v>30.966025075865122</v>
      </c>
      <c r="E414" s="67">
        <v>7423827.9022506243</v>
      </c>
      <c r="F414" s="67" t="s">
        <v>441</v>
      </c>
      <c r="G414" s="25">
        <f t="shared" si="2"/>
        <v>1.7257909875359578E-2</v>
      </c>
    </row>
    <row r="415" spans="1:7">
      <c r="A415" s="67">
        <v>31.154057826405694</v>
      </c>
      <c r="B415" s="67">
        <v>31.272815353062896</v>
      </c>
      <c r="C415" s="67">
        <v>30.787888785879321</v>
      </c>
      <c r="D415" s="67">
        <v>30.847267549207924</v>
      </c>
      <c r="E415" s="67">
        <v>6356908.0735332472</v>
      </c>
      <c r="F415" s="67" t="s">
        <v>442</v>
      </c>
      <c r="G415" s="25">
        <f t="shared" si="2"/>
        <v>9.9454603785691376E-3</v>
      </c>
    </row>
    <row r="416" spans="1:7">
      <c r="A416" s="67">
        <v>30.659234798667356</v>
      </c>
      <c r="B416" s="67">
        <v>30.698820640886421</v>
      </c>
      <c r="C416" s="67">
        <v>30.194101152593319</v>
      </c>
      <c r="D416" s="67">
        <v>30.688924180331657</v>
      </c>
      <c r="E416" s="67">
        <v>3918239.2316334527</v>
      </c>
      <c r="F416" s="67" t="s">
        <v>443</v>
      </c>
      <c r="G416" s="25">
        <f t="shared" si="2"/>
        <v>-9.6742986133513398E-4</v>
      </c>
    </row>
    <row r="417" spans="1:7">
      <c r="A417" s="67">
        <v>30.629545417003055</v>
      </c>
      <c r="B417" s="67">
        <v>30.876956930872222</v>
      </c>
      <c r="C417" s="67">
        <v>29.808139190957416</v>
      </c>
      <c r="D417" s="67">
        <v>29.877414414840786</v>
      </c>
      <c r="E417" s="67">
        <v>6934389.2819282329</v>
      </c>
      <c r="F417" s="67" t="s">
        <v>444</v>
      </c>
      <c r="G417" s="25">
        <f t="shared" si="2"/>
        <v>2.5173898641934311E-2</v>
      </c>
    </row>
    <row r="418" spans="1:7">
      <c r="A418" s="67">
        <v>29.897207335950316</v>
      </c>
      <c r="B418" s="67">
        <v>30.718613561995955</v>
      </c>
      <c r="C418" s="67">
        <v>29.857621493731251</v>
      </c>
      <c r="D418" s="67">
        <v>30.490994969236318</v>
      </c>
      <c r="E418" s="67">
        <v>4373842.5228352007</v>
      </c>
      <c r="F418" s="67" t="s">
        <v>445</v>
      </c>
      <c r="G418" s="25">
        <f t="shared" si="2"/>
        <v>-1.9474196689386547E-2</v>
      </c>
    </row>
    <row r="419" spans="1:7">
      <c r="A419" s="67">
        <v>30.302962218695754</v>
      </c>
      <c r="B419" s="67">
        <v>30.503464509535327</v>
      </c>
      <c r="C419" s="67">
        <v>29.966482559833686</v>
      </c>
      <c r="D419" s="67">
        <v>30.332651600360052</v>
      </c>
      <c r="E419" s="67">
        <v>4656404.1502498733</v>
      </c>
      <c r="F419" s="67" t="s">
        <v>446</v>
      </c>
      <c r="G419" s="25">
        <f t="shared" si="2"/>
        <v>-9.7879282218593655E-4</v>
      </c>
    </row>
    <row r="420" spans="1:7">
      <c r="A420" s="67">
        <v>30.184204692038552</v>
      </c>
      <c r="B420" s="67">
        <v>30.60975249589352</v>
      </c>
      <c r="C420" s="67">
        <v>28.937250662137942</v>
      </c>
      <c r="D420" s="67">
        <v>29.174765715452345</v>
      </c>
      <c r="E420" s="67">
        <v>7391747.7460934734</v>
      </c>
      <c r="F420" s="67" t="s">
        <v>447</v>
      </c>
      <c r="G420" s="25">
        <f t="shared" si="2"/>
        <v>3.4599728629579385E-2</v>
      </c>
    </row>
    <row r="421" spans="1:7">
      <c r="A421" s="67">
        <v>29.115386952123746</v>
      </c>
      <c r="B421" s="67">
        <v>29.194558636561879</v>
      </c>
      <c r="C421" s="67">
        <v>28.749712734625113</v>
      </c>
      <c r="D421" s="67">
        <v>28.97683650435701</v>
      </c>
      <c r="E421" s="67">
        <v>6016826.8918446163</v>
      </c>
      <c r="F421" s="67" t="s">
        <v>448</v>
      </c>
      <c r="G421" s="25">
        <f t="shared" si="2"/>
        <v>4.781420765027411E-3</v>
      </c>
    </row>
    <row r="422" spans="1:7">
      <c r="A422" s="67">
        <v>29.28362678155478</v>
      </c>
      <c r="B422" s="67">
        <v>29.585468828475165</v>
      </c>
      <c r="C422" s="67">
        <v>28.986732964911777</v>
      </c>
      <c r="D422" s="67">
        <v>29.244040939335711</v>
      </c>
      <c r="E422" s="67">
        <v>4078328.7900399575</v>
      </c>
      <c r="F422" s="67" t="s">
        <v>449</v>
      </c>
      <c r="G422" s="25">
        <f t="shared" si="2"/>
        <v>1.353637901861271E-3</v>
      </c>
    </row>
    <row r="423" spans="1:7">
      <c r="A423" s="67">
        <v>29.273730321000009</v>
      </c>
      <c r="B423" s="67">
        <v>29.679485203745447</v>
      </c>
      <c r="C423" s="67">
        <v>29.130231642955891</v>
      </c>
      <c r="D423" s="67">
        <v>29.412280768766745</v>
      </c>
      <c r="E423" s="67">
        <v>4586175.0015402129</v>
      </c>
      <c r="F423" s="67" t="s">
        <v>450</v>
      </c>
      <c r="G423" s="25">
        <f t="shared" si="2"/>
        <v>-4.710632570659512E-3</v>
      </c>
    </row>
    <row r="424" spans="1:7">
      <c r="A424" s="67">
        <v>29.352902005438146</v>
      </c>
      <c r="B424" s="67">
        <v>29.936793178169385</v>
      </c>
      <c r="C424" s="67">
        <v>29.085697570459445</v>
      </c>
      <c r="D424" s="67">
        <v>29.164869254897578</v>
      </c>
      <c r="E424" s="67">
        <v>4207784.1637980957</v>
      </c>
      <c r="F424" s="67" t="s">
        <v>451</v>
      </c>
      <c r="G424" s="25">
        <f t="shared" si="2"/>
        <v>6.4472344757380284E-3</v>
      </c>
    </row>
    <row r="425" spans="1:7">
      <c r="A425" s="67">
        <v>29.194558636561879</v>
      </c>
      <c r="B425" s="67">
        <v>29.293523242109547</v>
      </c>
      <c r="C425" s="67">
        <v>28.778907293261675</v>
      </c>
      <c r="D425" s="67">
        <v>28.97683650435701</v>
      </c>
      <c r="E425" s="67">
        <v>2850770.7219033092</v>
      </c>
      <c r="F425" s="67" t="s">
        <v>452</v>
      </c>
      <c r="G425" s="25">
        <f t="shared" si="2"/>
        <v>7.5136612021857729E-3</v>
      </c>
    </row>
    <row r="426" spans="1:7">
      <c r="A426" s="67">
        <v>28.957043583247479</v>
      </c>
      <c r="B426" s="67">
        <v>29.445928734652956</v>
      </c>
      <c r="C426" s="67">
        <v>28.729424990487843</v>
      </c>
      <c r="D426" s="67">
        <v>29.105490491568979</v>
      </c>
      <c r="E426" s="67">
        <v>4056430.0517182439</v>
      </c>
      <c r="F426" s="67" t="s">
        <v>453</v>
      </c>
      <c r="G426" s="25">
        <f t="shared" si="2"/>
        <v>-5.1003060183610893E-3</v>
      </c>
    </row>
    <row r="427" spans="1:7">
      <c r="A427" s="67">
        <v>28.858078977699808</v>
      </c>
      <c r="B427" s="67">
        <v>28.947147122692709</v>
      </c>
      <c r="C427" s="67">
        <v>28.482013476618675</v>
      </c>
      <c r="D427" s="67">
        <v>28.571081621611576</v>
      </c>
      <c r="E427" s="67">
        <v>3561033.7458502254</v>
      </c>
      <c r="F427" s="67" t="s">
        <v>454</v>
      </c>
      <c r="G427" s="25">
        <f t="shared" si="2"/>
        <v>1.0045029442327547E-2</v>
      </c>
    </row>
    <row r="428" spans="1:7">
      <c r="A428" s="67">
        <v>28.333566568297172</v>
      </c>
      <c r="B428" s="67">
        <v>28.798700214371209</v>
      </c>
      <c r="C428" s="67">
        <v>28.041620981931555</v>
      </c>
      <c r="D428" s="67">
        <v>28.759114372152141</v>
      </c>
      <c r="E428" s="67">
        <v>5045960.5960786883</v>
      </c>
      <c r="F428" s="67" t="s">
        <v>455</v>
      </c>
      <c r="G428" s="25">
        <f t="shared" si="2"/>
        <v>-1.4796971782518931E-2</v>
      </c>
    </row>
    <row r="429" spans="1:7">
      <c r="A429" s="67">
        <v>28.897664819918877</v>
      </c>
      <c r="B429" s="67">
        <v>29.051059958517762</v>
      </c>
      <c r="C429" s="67">
        <v>28.719528529933076</v>
      </c>
      <c r="D429" s="67">
        <v>28.778907293261675</v>
      </c>
      <c r="E429" s="67">
        <v>2802350.380373307</v>
      </c>
      <c r="F429" s="67" t="s">
        <v>456</v>
      </c>
      <c r="G429" s="25">
        <f t="shared" si="2"/>
        <v>4.126547455295837E-3</v>
      </c>
    </row>
    <row r="430" spans="1:7">
      <c r="A430" s="67">
        <v>28.996629425466544</v>
      </c>
      <c r="B430" s="67">
        <v>29.13517987323328</v>
      </c>
      <c r="C430" s="67">
        <v>28.501806397728206</v>
      </c>
      <c r="D430" s="67">
        <v>28.699735608823541</v>
      </c>
      <c r="E430" s="67">
        <v>2560777.1444906578</v>
      </c>
      <c r="F430" s="67" t="s">
        <v>457</v>
      </c>
      <c r="G430" s="25">
        <f t="shared" si="2"/>
        <v>1.0344827586207028E-2</v>
      </c>
    </row>
    <row r="431" spans="1:7">
      <c r="A431" s="67">
        <v>28.778907293261675</v>
      </c>
      <c r="B431" s="67">
        <v>28.867975438254579</v>
      </c>
      <c r="C431" s="67">
        <v>28.571081621611576</v>
      </c>
      <c r="D431" s="67">
        <v>28.709632069378308</v>
      </c>
      <c r="E431" s="67">
        <v>1594408.4162897889</v>
      </c>
      <c r="F431" s="67" t="s">
        <v>458</v>
      </c>
      <c r="G431" s="25">
        <f t="shared" si="2"/>
        <v>2.4129610479144414E-3</v>
      </c>
    </row>
    <row r="432" spans="1:7">
      <c r="A432" s="67">
        <v>28.877871898809342</v>
      </c>
      <c r="B432" s="67">
        <v>29.234144478780944</v>
      </c>
      <c r="C432" s="67">
        <v>28.452324094954374</v>
      </c>
      <c r="D432" s="67">
        <v>28.996629425466544</v>
      </c>
      <c r="E432" s="67">
        <v>5040675.8784050746</v>
      </c>
      <c r="F432" s="67" t="s">
        <v>459</v>
      </c>
      <c r="G432" s="25">
        <f t="shared" si="2"/>
        <v>-4.0955631399317571E-3</v>
      </c>
    </row>
    <row r="433" spans="1:7">
      <c r="A433" s="67">
        <v>29.194558636561879</v>
      </c>
      <c r="B433" s="67">
        <v>29.679485203745447</v>
      </c>
      <c r="C433" s="67">
        <v>28.872329880898672</v>
      </c>
      <c r="D433" s="67">
        <v>29.036215267685609</v>
      </c>
      <c r="E433" s="67">
        <v>12322451.98423613</v>
      </c>
      <c r="F433" s="67" t="s">
        <v>460</v>
      </c>
      <c r="G433" s="25">
        <f t="shared" si="2"/>
        <v>5.4533060668031652E-3</v>
      </c>
    </row>
    <row r="434" spans="1:7">
      <c r="A434" s="67">
        <v>28.600771003275874</v>
      </c>
      <c r="B434" s="67">
        <v>29.100542261291594</v>
      </c>
      <c r="C434" s="67">
        <v>28.318919806676117</v>
      </c>
      <c r="D434" s="67">
        <v>28.422634713290073</v>
      </c>
      <c r="E434" s="67">
        <v>8237561.2522129137</v>
      </c>
      <c r="F434" s="67" t="s">
        <v>461</v>
      </c>
      <c r="G434" s="25">
        <f t="shared" si="2"/>
        <v>6.2674094707519945E-3</v>
      </c>
    </row>
    <row r="435" spans="1:7">
      <c r="A435" s="67">
        <v>28.610667463830641</v>
      </c>
      <c r="B435" s="67">
        <v>29.402384308211982</v>
      </c>
      <c r="C435" s="67">
        <v>28.600771003275874</v>
      </c>
      <c r="D435" s="67">
        <v>29.28362678155478</v>
      </c>
      <c r="E435" s="67">
        <v>4923234.9010406779</v>
      </c>
      <c r="F435" s="67" t="s">
        <v>462</v>
      </c>
      <c r="G435" s="25">
        <f t="shared" si="2"/>
        <v>-2.2980736735383589E-2</v>
      </c>
    </row>
    <row r="436" spans="1:7">
      <c r="A436" s="67">
        <v>29.333109084328612</v>
      </c>
      <c r="B436" s="67">
        <v>29.97637902038845</v>
      </c>
      <c r="C436" s="67">
        <v>28.848182517145041</v>
      </c>
      <c r="D436" s="67">
        <v>28.867975438254579</v>
      </c>
      <c r="E436" s="67">
        <v>4662588.179344045</v>
      </c>
      <c r="F436" s="67" t="s">
        <v>463</v>
      </c>
      <c r="G436" s="25">
        <f t="shared" si="2"/>
        <v>1.6112444292080808E-2</v>
      </c>
    </row>
    <row r="437" spans="1:7">
      <c r="A437" s="67">
        <v>29.115386952123746</v>
      </c>
      <c r="B437" s="67">
        <v>29.837828572621714</v>
      </c>
      <c r="C437" s="67">
        <v>28.996629425466544</v>
      </c>
      <c r="D437" s="67">
        <v>29.709174585409748</v>
      </c>
      <c r="E437" s="67">
        <v>6830002.4666337064</v>
      </c>
      <c r="F437" s="67" t="s">
        <v>464</v>
      </c>
      <c r="G437" s="25">
        <f t="shared" si="2"/>
        <v>-1.9986675549633515E-2</v>
      </c>
    </row>
    <row r="438" spans="1:7">
      <c r="A438" s="67">
        <v>30.006068402052751</v>
      </c>
      <c r="B438" s="67">
        <v>30.490994969236318</v>
      </c>
      <c r="C438" s="67">
        <v>29.743812197351431</v>
      </c>
      <c r="D438" s="67">
        <v>30.382133903133887</v>
      </c>
      <c r="E438" s="67">
        <v>4303893.2721744105</v>
      </c>
      <c r="F438" s="67" t="s">
        <v>465</v>
      </c>
      <c r="G438" s="25">
        <f t="shared" si="2"/>
        <v>-1.2377850162866411E-2</v>
      </c>
    </row>
    <row r="439" spans="1:7">
      <c r="A439" s="67">
        <v>30.52068435090062</v>
      </c>
      <c r="B439" s="67">
        <v>31.055093220858023</v>
      </c>
      <c r="C439" s="67">
        <v>30.471202048126788</v>
      </c>
      <c r="D439" s="67">
        <v>30.787888785879321</v>
      </c>
      <c r="E439" s="67">
        <v>3825728.3794016391</v>
      </c>
      <c r="F439" s="67" t="s">
        <v>466</v>
      </c>
      <c r="G439" s="25">
        <f t="shared" si="2"/>
        <v>-8.6788813886210514E-3</v>
      </c>
    </row>
    <row r="440" spans="1:7">
      <c r="A440" s="67">
        <v>30.67902771977689</v>
      </c>
      <c r="B440" s="67">
        <v>31.22333305028906</v>
      </c>
      <c r="C440" s="67">
        <v>30.446460896739872</v>
      </c>
      <c r="D440" s="67">
        <v>31.154057826405694</v>
      </c>
      <c r="E440" s="67">
        <v>6720356.1952223228</v>
      </c>
      <c r="F440" s="67" t="s">
        <v>467</v>
      </c>
      <c r="G440" s="25">
        <f t="shared" ref="G440:G503" si="3">A440/D440-1</f>
        <v>-1.5247776365946653E-2</v>
      </c>
    </row>
    <row r="441" spans="1:7">
      <c r="A441" s="67">
        <v>31.114471984186626</v>
      </c>
      <c r="B441" s="67">
        <v>31.525175097209445</v>
      </c>
      <c r="C441" s="67">
        <v>30.959097553476788</v>
      </c>
      <c r="D441" s="67">
        <v>31.500433945822525</v>
      </c>
      <c r="E441" s="67">
        <v>3769901.3494304148</v>
      </c>
      <c r="F441" s="67" t="s">
        <v>468</v>
      </c>
      <c r="G441" s="25">
        <f t="shared" si="3"/>
        <v>-1.2252591894439169E-2</v>
      </c>
    </row>
    <row r="442" spans="1:7">
      <c r="A442" s="67">
        <v>31.520226866932063</v>
      </c>
      <c r="B442" s="67">
        <v>32.153600342437137</v>
      </c>
      <c r="C442" s="67">
        <v>31.342090576946262</v>
      </c>
      <c r="D442" s="67">
        <v>31.540019788041597</v>
      </c>
      <c r="E442" s="67">
        <v>4465688.4908931637</v>
      </c>
      <c r="F442" s="67" t="s">
        <v>469</v>
      </c>
      <c r="G442" s="25">
        <f t="shared" si="3"/>
        <v>-6.275494195168152E-4</v>
      </c>
    </row>
    <row r="443" spans="1:7">
      <c r="A443" s="67">
        <v>31.470744564158228</v>
      </c>
      <c r="B443" s="67">
        <v>31.787431301910761</v>
      </c>
      <c r="C443" s="67">
        <v>31.322297655836724</v>
      </c>
      <c r="D443" s="67">
        <v>31.638984393589261</v>
      </c>
      <c r="E443" s="67">
        <v>3611033.4399086903</v>
      </c>
      <c r="F443" s="67" t="s">
        <v>470</v>
      </c>
      <c r="G443" s="25">
        <f t="shared" si="3"/>
        <v>-5.317485142320888E-3</v>
      </c>
    </row>
    <row r="444" spans="1:7">
      <c r="A444" s="67">
        <v>31.569709169705895</v>
      </c>
      <c r="B444" s="67">
        <v>32.786973817942204</v>
      </c>
      <c r="C444" s="67">
        <v>31.559812709151128</v>
      </c>
      <c r="D444" s="67">
        <v>32.480183540744434</v>
      </c>
      <c r="E444" s="67">
        <v>3586185.1622200012</v>
      </c>
      <c r="F444" s="67" t="s">
        <v>471</v>
      </c>
      <c r="G444" s="25">
        <f t="shared" si="3"/>
        <v>-2.8031687995124899E-2</v>
      </c>
    </row>
    <row r="445" spans="1:7">
      <c r="A445" s="67">
        <v>32.678112751839777</v>
      </c>
      <c r="B445" s="67">
        <v>32.866244466985883</v>
      </c>
      <c r="C445" s="67">
        <v>32.341633092977702</v>
      </c>
      <c r="D445" s="67">
        <v>32.76718089683267</v>
      </c>
      <c r="E445" s="67">
        <v>3591749.7779424856</v>
      </c>
      <c r="F445" s="67" t="s">
        <v>472</v>
      </c>
      <c r="G445" s="25">
        <f t="shared" si="3"/>
        <v>-2.7182120205373472E-3</v>
      </c>
    </row>
    <row r="446" spans="1:7">
      <c r="A446" s="67">
        <v>32.786973817942204</v>
      </c>
      <c r="B446" s="67">
        <v>33.232314542906707</v>
      </c>
      <c r="C446" s="67">
        <v>32.757284436277907</v>
      </c>
      <c r="D446" s="67">
        <v>33.163039319023341</v>
      </c>
      <c r="E446" s="67">
        <v>3756462.2012355649</v>
      </c>
      <c r="F446" s="67" t="s">
        <v>473</v>
      </c>
      <c r="G446" s="25">
        <f t="shared" si="3"/>
        <v>-1.1339898537749971E-2</v>
      </c>
    </row>
    <row r="447" spans="1:7">
      <c r="A447" s="67">
        <v>33.202625161242402</v>
      </c>
      <c r="B447" s="67">
        <v>33.43519198427942</v>
      </c>
      <c r="C447" s="67">
        <v>33.014691375307386</v>
      </c>
      <c r="D447" s="67">
        <v>33.341175609009142</v>
      </c>
      <c r="E447" s="67">
        <v>4107585.7146139196</v>
      </c>
      <c r="F447" s="67" t="s">
        <v>474</v>
      </c>
      <c r="G447" s="25">
        <f t="shared" si="3"/>
        <v>-4.1555357672901083E-3</v>
      </c>
    </row>
    <row r="448" spans="1:7">
      <c r="A448" s="67">
        <v>33.360968530118676</v>
      </c>
      <c r="B448" s="67">
        <v>33.459933135666347</v>
      </c>
      <c r="C448" s="67">
        <v>32.76718089683267</v>
      </c>
      <c r="D448" s="67">
        <v>32.76718089683267</v>
      </c>
      <c r="E448" s="67">
        <v>2958907.3626828799</v>
      </c>
      <c r="F448" s="67" t="s">
        <v>475</v>
      </c>
      <c r="G448" s="25">
        <f t="shared" si="3"/>
        <v>1.8121413470250758E-2</v>
      </c>
    </row>
    <row r="449" spans="1:7">
      <c r="A449" s="67">
        <v>32.796870278496961</v>
      </c>
      <c r="B449" s="67">
        <v>32.8559459980019</v>
      </c>
      <c r="C449" s="67">
        <v>32.471953821219735</v>
      </c>
      <c r="D449" s="67">
        <v>32.639335026483757</v>
      </c>
      <c r="E449" s="67">
        <v>3662147.1869145795</v>
      </c>
      <c r="F449" s="67" t="s">
        <v>476</v>
      </c>
      <c r="G449" s="25">
        <f t="shared" si="3"/>
        <v>4.8265460030167961E-3</v>
      </c>
    </row>
    <row r="450" spans="1:7">
      <c r="A450" s="67">
        <v>32.363648335460667</v>
      </c>
      <c r="B450" s="67">
        <v>33.082304463238358</v>
      </c>
      <c r="C450" s="67">
        <v>32.10273057431381</v>
      </c>
      <c r="D450" s="67">
        <v>32.895329811005197</v>
      </c>
      <c r="E450" s="67">
        <v>4378570.4544543875</v>
      </c>
      <c r="F450" s="67" t="s">
        <v>477</v>
      </c>
      <c r="G450" s="25">
        <f t="shared" si="3"/>
        <v>-1.6162825501346845E-2</v>
      </c>
    </row>
    <row r="451" spans="1:7">
      <c r="A451" s="67">
        <v>32.905175764256029</v>
      </c>
      <c r="B451" s="67">
        <v>33.151324595526646</v>
      </c>
      <c r="C451" s="67">
        <v>32.737794558992007</v>
      </c>
      <c r="D451" s="67">
        <v>33.023327203265922</v>
      </c>
      <c r="E451" s="67">
        <v>6021878.0741249174</v>
      </c>
      <c r="F451" s="67" t="s">
        <v>478</v>
      </c>
      <c r="G451" s="25">
        <f t="shared" si="3"/>
        <v>-3.5778175313058158E-3</v>
      </c>
    </row>
    <row r="452" spans="1:7">
      <c r="A452" s="67">
        <v>32.69841074598871</v>
      </c>
      <c r="B452" s="67">
        <v>33.180862455279119</v>
      </c>
      <c r="C452" s="67">
        <v>32.501491680972215</v>
      </c>
      <c r="D452" s="67">
        <v>32.531029540724688</v>
      </c>
      <c r="E452" s="67">
        <v>4719043.3283956917</v>
      </c>
      <c r="F452" s="67" t="s">
        <v>479</v>
      </c>
      <c r="G452" s="25">
        <f t="shared" si="3"/>
        <v>5.1452784503631666E-3</v>
      </c>
    </row>
    <row r="453" spans="1:7">
      <c r="A453" s="67">
        <v>32.481799774470566</v>
      </c>
      <c r="B453" s="67">
        <v>32.639335026483757</v>
      </c>
      <c r="C453" s="67">
        <v>31.831966859916136</v>
      </c>
      <c r="D453" s="67">
        <v>31.989502111929333</v>
      </c>
      <c r="E453" s="67">
        <v>3842035.3048935728</v>
      </c>
      <c r="F453" s="67" t="s">
        <v>480</v>
      </c>
      <c r="G453" s="25">
        <f t="shared" si="3"/>
        <v>1.5389350569406046E-2</v>
      </c>
    </row>
    <row r="454" spans="1:7">
      <c r="A454" s="67">
        <v>32.127345457440882</v>
      </c>
      <c r="B454" s="67">
        <v>32.166729270444179</v>
      </c>
      <c r="C454" s="67">
        <v>31.26582454799372</v>
      </c>
      <c r="D454" s="67">
        <v>32.019039971681813</v>
      </c>
      <c r="E454" s="67">
        <v>6414401.7741207816</v>
      </c>
      <c r="F454" s="67" t="s">
        <v>481</v>
      </c>
      <c r="G454" s="25">
        <f t="shared" si="3"/>
        <v>3.3825338253381521E-3</v>
      </c>
    </row>
    <row r="455" spans="1:7">
      <c r="A455" s="67">
        <v>32.019039971681813</v>
      </c>
      <c r="B455" s="67">
        <v>32.481799774470566</v>
      </c>
      <c r="C455" s="67">
        <v>31.807351976789075</v>
      </c>
      <c r="D455" s="67">
        <v>32.206113083447477</v>
      </c>
      <c r="E455" s="67">
        <v>4589616.5509637278</v>
      </c>
      <c r="F455" s="67" t="s">
        <v>482</v>
      </c>
      <c r="G455" s="25">
        <f t="shared" si="3"/>
        <v>-5.8086212167530737E-3</v>
      </c>
    </row>
    <row r="456" spans="1:7">
      <c r="A456" s="67">
        <v>32.511337634223047</v>
      </c>
      <c r="B456" s="67">
        <v>32.708256699239534</v>
      </c>
      <c r="C456" s="67">
        <v>31.260901571368308</v>
      </c>
      <c r="D456" s="67">
        <v>31.280593477869957</v>
      </c>
      <c r="E456" s="67">
        <v>7114290.3297995143</v>
      </c>
      <c r="F456" s="67" t="s">
        <v>483</v>
      </c>
      <c r="G456" s="25">
        <f t="shared" si="3"/>
        <v>3.9345294302801648E-2</v>
      </c>
    </row>
    <row r="457" spans="1:7">
      <c r="A457" s="67">
        <v>31.467666589635627</v>
      </c>
      <c r="B457" s="67">
        <v>31.753199233909541</v>
      </c>
      <c r="C457" s="67">
        <v>31.113212272605939</v>
      </c>
      <c r="D457" s="67">
        <v>31.260901571368308</v>
      </c>
      <c r="E457" s="67">
        <v>4923307.9586214693</v>
      </c>
      <c r="F457" s="67" t="s">
        <v>484</v>
      </c>
      <c r="G457" s="25">
        <f t="shared" si="3"/>
        <v>6.6141732283464538E-3</v>
      </c>
    </row>
    <row r="458" spans="1:7">
      <c r="A458" s="67">
        <v>31.211671805114182</v>
      </c>
      <c r="B458" s="67">
        <v>32.176575223695004</v>
      </c>
      <c r="C458" s="67">
        <v>31.123058225856763</v>
      </c>
      <c r="D458" s="67">
        <v>32.176575223695004</v>
      </c>
      <c r="E458" s="67">
        <v>5748508.9110350404</v>
      </c>
      <c r="F458" s="67" t="s">
        <v>485</v>
      </c>
      <c r="G458" s="25">
        <f t="shared" si="3"/>
        <v>-2.9987760097919369E-2</v>
      </c>
    </row>
    <row r="459" spans="1:7">
      <c r="A459" s="67">
        <v>32.127345457440882</v>
      </c>
      <c r="B459" s="67">
        <v>33.318705800790667</v>
      </c>
      <c r="C459" s="67">
        <v>32.11749950419005</v>
      </c>
      <c r="D459" s="67">
        <v>33.190708408529943</v>
      </c>
      <c r="E459" s="67">
        <v>5453541.0266652098</v>
      </c>
      <c r="F459" s="67" t="s">
        <v>486</v>
      </c>
      <c r="G459" s="25">
        <f t="shared" si="3"/>
        <v>-3.2037970928507797E-2</v>
      </c>
    </row>
    <row r="460" spans="1:7">
      <c r="A460" s="67">
        <v>33.308859847539836</v>
      </c>
      <c r="B460" s="67">
        <v>33.692852024322001</v>
      </c>
      <c r="C460" s="67">
        <v>32.944559577259326</v>
      </c>
      <c r="D460" s="67">
        <v>33.692852024322001</v>
      </c>
      <c r="E460" s="67">
        <v>6208751.803171508</v>
      </c>
      <c r="F460" s="67" t="s">
        <v>487</v>
      </c>
      <c r="G460" s="25">
        <f t="shared" si="3"/>
        <v>-1.139684395090601E-2</v>
      </c>
    </row>
    <row r="461" spans="1:7">
      <c r="A461" s="67">
        <v>33.692852024322001</v>
      </c>
      <c r="B461" s="67">
        <v>34.460836377886324</v>
      </c>
      <c r="C461" s="67">
        <v>33.348243660543133</v>
      </c>
      <c r="D461" s="67">
        <v>34.460836377886324</v>
      </c>
      <c r="E461" s="67">
        <v>5724945.9309873162</v>
      </c>
      <c r="F461" s="67" t="s">
        <v>488</v>
      </c>
      <c r="G461" s="25">
        <f t="shared" si="3"/>
        <v>-2.2285714285714242E-2</v>
      </c>
    </row>
    <row r="462" spans="1:7">
      <c r="A462" s="67">
        <v>34.106382060856639</v>
      </c>
      <c r="B462" s="67">
        <v>34.913750227424259</v>
      </c>
      <c r="C462" s="67">
        <v>33.259630081285714</v>
      </c>
      <c r="D462" s="67">
        <v>34.913750227424259</v>
      </c>
      <c r="E462" s="67">
        <v>6740586.5444710786</v>
      </c>
      <c r="F462" s="67" t="s">
        <v>489</v>
      </c>
      <c r="G462" s="25">
        <f t="shared" si="3"/>
        <v>-2.3124647490129657E-2</v>
      </c>
    </row>
    <row r="463" spans="1:7">
      <c r="A463" s="67">
        <v>35.484815515972087</v>
      </c>
      <c r="B463" s="67">
        <v>35.563583141978683</v>
      </c>
      <c r="C463" s="67">
        <v>34.574064840270808</v>
      </c>
      <c r="D463" s="67">
        <v>35.150053105444051</v>
      </c>
      <c r="E463" s="67">
        <v>5700190.5828975225</v>
      </c>
      <c r="F463" s="67" t="s">
        <v>490</v>
      </c>
      <c r="G463" s="25">
        <f t="shared" si="3"/>
        <v>9.52380952380949E-3</v>
      </c>
    </row>
    <row r="464" spans="1:7">
      <c r="A464" s="67">
        <v>35.553737188727858</v>
      </c>
      <c r="B464" s="67">
        <v>36.25279986953641</v>
      </c>
      <c r="C464" s="67">
        <v>35.135284175567818</v>
      </c>
      <c r="D464" s="67">
        <v>36.213416056533113</v>
      </c>
      <c r="E464" s="67">
        <v>3754371.8783048159</v>
      </c>
      <c r="F464" s="67" t="s">
        <v>491</v>
      </c>
      <c r="G464" s="25">
        <f t="shared" si="3"/>
        <v>-1.8216421968461183E-2</v>
      </c>
    </row>
    <row r="465" spans="1:7">
      <c r="A465" s="67">
        <v>35.543891235477041</v>
      </c>
      <c r="B465" s="67">
        <v>35.543891235477041</v>
      </c>
      <c r="C465" s="67">
        <v>34.756214975411062</v>
      </c>
      <c r="D465" s="67">
        <v>35.150053105444051</v>
      </c>
      <c r="E465" s="67">
        <v>2656445.6821699133</v>
      </c>
      <c r="F465" s="67" t="s">
        <v>492</v>
      </c>
      <c r="G465" s="25">
        <f t="shared" si="3"/>
        <v>1.1204481792717269E-2</v>
      </c>
    </row>
    <row r="466" spans="1:7">
      <c r="A466" s="67">
        <v>35.248512637952295</v>
      </c>
      <c r="B466" s="67">
        <v>35.681734580988582</v>
      </c>
      <c r="C466" s="67">
        <v>35.228820731450647</v>
      </c>
      <c r="D466" s="67">
        <v>35.455277656219614</v>
      </c>
      <c r="E466" s="67">
        <v>2768413.5101613435</v>
      </c>
      <c r="F466" s="67" t="s">
        <v>493</v>
      </c>
      <c r="G466" s="25">
        <f t="shared" si="3"/>
        <v>-5.8317134129408643E-3</v>
      </c>
    </row>
    <row r="467" spans="1:7">
      <c r="A467" s="67">
        <v>35.317434310708066</v>
      </c>
      <c r="B467" s="67">
        <v>35.927883412259199</v>
      </c>
      <c r="C467" s="67">
        <v>35.263281567828528</v>
      </c>
      <c r="D467" s="67">
        <v>35.44543170296879</v>
      </c>
      <c r="E467" s="67">
        <v>3216708.346380509</v>
      </c>
      <c r="F467" s="67" t="s">
        <v>494</v>
      </c>
      <c r="G467" s="25">
        <f t="shared" si="3"/>
        <v>-3.6111111111112315E-3</v>
      </c>
    </row>
    <row r="468" spans="1:7">
      <c r="A468" s="67">
        <v>35.150053105444051</v>
      </c>
      <c r="B468" s="67">
        <v>35.465123609470446</v>
      </c>
      <c r="C468" s="67">
        <v>35.041747619684983</v>
      </c>
      <c r="D468" s="67">
        <v>35.150053105444051</v>
      </c>
      <c r="E468" s="67">
        <v>2765017.1909682578</v>
      </c>
      <c r="F468" s="67" t="s">
        <v>495</v>
      </c>
      <c r="G468" s="25">
        <f t="shared" si="3"/>
        <v>0</v>
      </c>
    </row>
    <row r="469" spans="1:7">
      <c r="A469" s="67">
        <v>35.307588357457242</v>
      </c>
      <c r="B469" s="67">
        <v>35.632504814734453</v>
      </c>
      <c r="C469" s="67">
        <v>35.159899058694876</v>
      </c>
      <c r="D469" s="67">
        <v>35.248512637952295</v>
      </c>
      <c r="E469" s="67">
        <v>2713668.1760866717</v>
      </c>
      <c r="F469" s="67" t="s">
        <v>496</v>
      </c>
      <c r="G469" s="25">
        <f t="shared" si="3"/>
        <v>1.6759776536312554E-3</v>
      </c>
    </row>
    <row r="470" spans="1:7">
      <c r="A470" s="67">
        <v>35.435585749717966</v>
      </c>
      <c r="B470" s="67">
        <v>35.792304635995343</v>
      </c>
      <c r="C470" s="67">
        <v>35.346972170460539</v>
      </c>
      <c r="D470" s="67">
        <v>35.396201936714668</v>
      </c>
      <c r="E470" s="67">
        <v>2554626.1859300714</v>
      </c>
      <c r="F470" s="67" t="s">
        <v>497</v>
      </c>
      <c r="G470" s="25">
        <f t="shared" si="3"/>
        <v>1.1126564673156203E-3</v>
      </c>
    </row>
    <row r="471" spans="1:7">
      <c r="A471" s="67">
        <v>35.455277656219614</v>
      </c>
      <c r="B471" s="67">
        <v>35.90819150575755</v>
      </c>
      <c r="C471" s="67">
        <v>35.440508726343374</v>
      </c>
      <c r="D471" s="67">
        <v>35.671888627737751</v>
      </c>
      <c r="E471" s="67">
        <v>1916099.8960075157</v>
      </c>
      <c r="F471" s="67" t="s">
        <v>498</v>
      </c>
      <c r="G471" s="25">
        <f t="shared" si="3"/>
        <v>-6.0723157604193334E-3</v>
      </c>
    </row>
    <row r="472" spans="1:7">
      <c r="A472" s="67">
        <v>35.415893843216317</v>
      </c>
      <c r="B472" s="67">
        <v>36.213416056533113</v>
      </c>
      <c r="C472" s="67">
        <v>35.28868412721566</v>
      </c>
      <c r="D472" s="67">
        <v>36.036188898018274</v>
      </c>
      <c r="E472" s="67">
        <v>2205875.7996013127</v>
      </c>
      <c r="F472" s="67" t="s">
        <v>499</v>
      </c>
      <c r="G472" s="25">
        <f t="shared" si="3"/>
        <v>-1.721311475409848E-2</v>
      </c>
    </row>
    <row r="473" spans="1:7">
      <c r="A473" s="67">
        <v>36.164186290278984</v>
      </c>
      <c r="B473" s="67">
        <v>36.523563583934092</v>
      </c>
      <c r="C473" s="67">
        <v>35.918037459008367</v>
      </c>
      <c r="D473" s="67">
        <v>36.144494383777342</v>
      </c>
      <c r="E473" s="67">
        <v>2810523.196185424</v>
      </c>
      <c r="F473" s="67" t="s">
        <v>500</v>
      </c>
      <c r="G473" s="25">
        <f t="shared" si="3"/>
        <v>5.4481067828904273E-4</v>
      </c>
    </row>
    <row r="474" spans="1:7">
      <c r="A474" s="67">
        <v>35.90819150575755</v>
      </c>
      <c r="B474" s="67">
        <v>36.114956524024869</v>
      </c>
      <c r="C474" s="67">
        <v>35.671888627737751</v>
      </c>
      <c r="D474" s="67">
        <v>35.87865364600507</v>
      </c>
      <c r="E474" s="67">
        <v>1846931.3774648383</v>
      </c>
      <c r="F474" s="67" t="s">
        <v>501</v>
      </c>
      <c r="G474" s="25">
        <f t="shared" si="3"/>
        <v>8.2327113062596879E-4</v>
      </c>
    </row>
    <row r="475" spans="1:7">
      <c r="A475" s="67">
        <v>36.02634294476745</v>
      </c>
      <c r="B475" s="67">
        <v>36.18387819678064</v>
      </c>
      <c r="C475" s="67">
        <v>35.671987087270267</v>
      </c>
      <c r="D475" s="67">
        <v>36.055880804519916</v>
      </c>
      <c r="E475" s="67">
        <v>1855806.0895190197</v>
      </c>
      <c r="F475" s="67" t="s">
        <v>502</v>
      </c>
      <c r="G475" s="25">
        <f t="shared" si="3"/>
        <v>-8.1922446750382072E-4</v>
      </c>
    </row>
    <row r="476" spans="1:7">
      <c r="A476" s="67">
        <v>36.006651038265794</v>
      </c>
      <c r="B476" s="67">
        <v>36.282337729288891</v>
      </c>
      <c r="C476" s="67">
        <v>35.868807692754253</v>
      </c>
      <c r="D476" s="67">
        <v>36.223262009783937</v>
      </c>
      <c r="E476" s="67">
        <v>1618194.7642972542</v>
      </c>
      <c r="F476" s="67" t="s">
        <v>503</v>
      </c>
      <c r="G476" s="25">
        <f t="shared" si="3"/>
        <v>-5.9798858385431419E-3</v>
      </c>
    </row>
    <row r="477" spans="1:7">
      <c r="A477" s="67">
        <v>36.292183682539708</v>
      </c>
      <c r="B477" s="67">
        <v>36.420181074800432</v>
      </c>
      <c r="C477" s="67">
        <v>36.031265921392858</v>
      </c>
      <c r="D477" s="67">
        <v>36.331567495543005</v>
      </c>
      <c r="E477" s="67">
        <v>2015389.4188293023</v>
      </c>
      <c r="F477" s="67" t="s">
        <v>504</v>
      </c>
      <c r="G477" s="25">
        <f t="shared" si="3"/>
        <v>-1.0840108401083404E-3</v>
      </c>
    </row>
    <row r="478" spans="1:7">
      <c r="A478" s="67">
        <v>36.085418664272389</v>
      </c>
      <c r="B478" s="67">
        <v>36.430027028051256</v>
      </c>
      <c r="C478" s="67">
        <v>35.450354679594206</v>
      </c>
      <c r="D478" s="67">
        <v>35.957421272011679</v>
      </c>
      <c r="E478" s="67">
        <v>3929578.8852907075</v>
      </c>
      <c r="F478" s="67" t="s">
        <v>505</v>
      </c>
      <c r="G478" s="25">
        <f t="shared" si="3"/>
        <v>3.5596933187291846E-3</v>
      </c>
    </row>
    <row r="479" spans="1:7">
      <c r="A479" s="67">
        <v>36.193724150031464</v>
      </c>
      <c r="B479" s="67">
        <v>36.587562280064446</v>
      </c>
      <c r="C479" s="67">
        <v>36.085418664272389</v>
      </c>
      <c r="D479" s="67">
        <v>36.203570103282296</v>
      </c>
      <c r="E479" s="67">
        <v>2876389.8505843449</v>
      </c>
      <c r="F479" s="67" t="s">
        <v>506</v>
      </c>
      <c r="G479" s="25">
        <f t="shared" si="3"/>
        <v>-2.7196083763958434E-4</v>
      </c>
    </row>
    <row r="480" spans="1:7">
      <c r="A480" s="67">
        <v>36.085418664272389</v>
      </c>
      <c r="B480" s="67">
        <v>36.961708503595787</v>
      </c>
      <c r="C480" s="67">
        <v>36.02634294476745</v>
      </c>
      <c r="D480" s="67">
        <v>36.351259402044661</v>
      </c>
      <c r="E480" s="67">
        <v>3988741.2624786361</v>
      </c>
      <c r="F480" s="67" t="s">
        <v>507</v>
      </c>
      <c r="G480" s="25">
        <f t="shared" si="3"/>
        <v>-7.3131094257856688E-3</v>
      </c>
    </row>
    <row r="481" spans="1:7">
      <c r="A481" s="67">
        <v>36.34141344879383</v>
      </c>
      <c r="B481" s="67">
        <v>36.410335121549601</v>
      </c>
      <c r="C481" s="67">
        <v>35.75065625374436</v>
      </c>
      <c r="D481" s="67">
        <v>36.02634294476745</v>
      </c>
      <c r="E481" s="67">
        <v>2077657.6405424869</v>
      </c>
      <c r="F481" s="67" t="s">
        <v>508</v>
      </c>
      <c r="G481" s="25">
        <f t="shared" si="3"/>
        <v>8.745558895872918E-3</v>
      </c>
    </row>
    <row r="482" spans="1:7">
      <c r="A482" s="67">
        <v>35.977113178513321</v>
      </c>
      <c r="B482" s="67">
        <v>36.794327298331766</v>
      </c>
      <c r="C482" s="67">
        <v>35.927883412259199</v>
      </c>
      <c r="D482" s="67">
        <v>36.567870373562805</v>
      </c>
      <c r="E482" s="67">
        <v>3346408.3325035428</v>
      </c>
      <c r="F482" s="67" t="s">
        <v>509</v>
      </c>
      <c r="G482" s="25">
        <f t="shared" si="3"/>
        <v>-1.6155088852988775E-2</v>
      </c>
    </row>
    <row r="483" spans="1:7">
      <c r="A483" s="67">
        <v>36.45956488780373</v>
      </c>
      <c r="B483" s="67">
        <v>37.450067784836691</v>
      </c>
      <c r="C483" s="67">
        <v>36.34141344879383</v>
      </c>
      <c r="D483" s="67">
        <v>37.198011381615579</v>
      </c>
      <c r="E483" s="67">
        <v>3823318.9860866996</v>
      </c>
      <c r="F483" s="67" t="s">
        <v>510</v>
      </c>
      <c r="G483" s="25">
        <f t="shared" si="3"/>
        <v>-1.9851773425092589E-2</v>
      </c>
    </row>
    <row r="484" spans="1:7">
      <c r="A484" s="67">
        <v>37.257087101120533</v>
      </c>
      <c r="B484" s="67">
        <v>37.695232020782221</v>
      </c>
      <c r="C484" s="67">
        <v>36.282337729288891</v>
      </c>
      <c r="D484" s="67">
        <v>36.292183682539708</v>
      </c>
      <c r="E484" s="67">
        <v>4832758.0669768667</v>
      </c>
      <c r="F484" s="67" t="s">
        <v>511</v>
      </c>
      <c r="G484" s="25">
        <f t="shared" si="3"/>
        <v>2.6587086272382265E-2</v>
      </c>
    </row>
    <row r="485" spans="1:7">
      <c r="A485" s="67">
        <v>36.548178467061149</v>
      </c>
      <c r="B485" s="67">
        <v>36.814019204833421</v>
      </c>
      <c r="C485" s="67">
        <v>35.386355983463837</v>
      </c>
      <c r="D485" s="67">
        <v>35.406047889965492</v>
      </c>
      <c r="E485" s="67">
        <v>5113061.0432040635</v>
      </c>
      <c r="F485" s="67" t="s">
        <v>512</v>
      </c>
      <c r="G485" s="25">
        <f t="shared" si="3"/>
        <v>3.2258064516129004E-2</v>
      </c>
    </row>
    <row r="486" spans="1:7">
      <c r="A486" s="67">
        <v>35.218974778199829</v>
      </c>
      <c r="B486" s="67">
        <v>35.770348160246002</v>
      </c>
      <c r="C486" s="67">
        <v>35.041747619684983</v>
      </c>
      <c r="D486" s="67">
        <v>35.465123609470446</v>
      </c>
      <c r="E486" s="67">
        <v>3911053.5078738765</v>
      </c>
      <c r="F486" s="67" t="s">
        <v>513</v>
      </c>
      <c r="G486" s="25">
        <f t="shared" si="3"/>
        <v>-6.9405885619100438E-3</v>
      </c>
    </row>
    <row r="487" spans="1:7">
      <c r="A487" s="67">
        <v>35.760502206995177</v>
      </c>
      <c r="B487" s="67">
        <v>35.809731973249299</v>
      </c>
      <c r="C487" s="67">
        <v>34.40176065838137</v>
      </c>
      <c r="D487" s="67">
        <v>34.70698520915694</v>
      </c>
      <c r="E487" s="67">
        <v>5233361.2284503011</v>
      </c>
      <c r="F487" s="67" t="s">
        <v>514</v>
      </c>
      <c r="G487" s="25">
        <f t="shared" si="3"/>
        <v>3.0354609929077903E-2</v>
      </c>
    </row>
    <row r="488" spans="1:7">
      <c r="A488" s="67">
        <v>34.539604003892919</v>
      </c>
      <c r="B488" s="67">
        <v>35.494661469222912</v>
      </c>
      <c r="C488" s="67">
        <v>34.40176065838137</v>
      </c>
      <c r="D488" s="67">
        <v>35.356818123711363</v>
      </c>
      <c r="E488" s="67">
        <v>4200109.31867225</v>
      </c>
      <c r="F488" s="67" t="s">
        <v>515</v>
      </c>
      <c r="G488" s="25">
        <f t="shared" si="3"/>
        <v>-2.311333890281253E-2</v>
      </c>
    </row>
    <row r="489" spans="1:7">
      <c r="A489" s="67">
        <v>35.415893843216317</v>
      </c>
      <c r="B489" s="67">
        <v>36.282337729288891</v>
      </c>
      <c r="C489" s="67">
        <v>35.307588357457242</v>
      </c>
      <c r="D489" s="67">
        <v>36.282337729288891</v>
      </c>
      <c r="E489" s="67">
        <v>6564114.0429533133</v>
      </c>
      <c r="F489" s="67" t="s">
        <v>516</v>
      </c>
      <c r="G489" s="25">
        <f t="shared" si="3"/>
        <v>-2.3880597014925509E-2</v>
      </c>
    </row>
    <row r="490" spans="1:7">
      <c r="A490" s="67">
        <v>36.34141344879383</v>
      </c>
      <c r="B490" s="67">
        <v>37.503235932391149</v>
      </c>
      <c r="C490" s="67">
        <v>36.134648430526518</v>
      </c>
      <c r="D490" s="67">
        <v>37.424468306384547</v>
      </c>
      <c r="E490" s="67">
        <v>4383844.7025314486</v>
      </c>
      <c r="F490" s="67" t="s">
        <v>517</v>
      </c>
      <c r="G490" s="25">
        <f t="shared" si="3"/>
        <v>-2.8939752696658938E-2</v>
      </c>
    </row>
    <row r="491" spans="1:7">
      <c r="A491" s="67">
        <v>37.38508449338125</v>
      </c>
      <c r="B491" s="67">
        <v>37.542619745394447</v>
      </c>
      <c r="C491" s="67">
        <v>36.745097532077644</v>
      </c>
      <c r="D491" s="67">
        <v>37.168473521863106</v>
      </c>
      <c r="E491" s="67">
        <v>4942552.4131880328</v>
      </c>
      <c r="F491" s="67" t="s">
        <v>518</v>
      </c>
      <c r="G491" s="25">
        <f t="shared" si="3"/>
        <v>5.8278145695365158E-3</v>
      </c>
    </row>
    <row r="492" spans="1:7">
      <c r="A492" s="67">
        <v>38.310604098958763</v>
      </c>
      <c r="B492" s="67">
        <v>38.960437013513193</v>
      </c>
      <c r="C492" s="67">
        <v>38.005379548183207</v>
      </c>
      <c r="D492" s="67">
        <v>38.369679818463716</v>
      </c>
      <c r="E492" s="67">
        <v>2704247.0466503492</v>
      </c>
      <c r="F492" s="67" t="s">
        <v>519</v>
      </c>
      <c r="G492" s="25">
        <f t="shared" si="3"/>
        <v>-1.5396458814473934E-3</v>
      </c>
    </row>
    <row r="493" spans="1:7">
      <c r="A493" s="67">
        <v>38.113685033942275</v>
      </c>
      <c r="B493" s="67">
        <v>38.212144566450526</v>
      </c>
      <c r="C493" s="67">
        <v>37.823229413042945</v>
      </c>
      <c r="D493" s="67">
        <v>37.837998342919185</v>
      </c>
      <c r="E493" s="67">
        <v>2598785.444960027</v>
      </c>
      <c r="F493" s="67" t="s">
        <v>520</v>
      </c>
      <c r="G493" s="25">
        <f t="shared" si="3"/>
        <v>7.2859744990891873E-3</v>
      </c>
    </row>
    <row r="494" spans="1:7">
      <c r="A494" s="67">
        <v>37.749384763661766</v>
      </c>
      <c r="B494" s="67">
        <v>38.566598883480211</v>
      </c>
      <c r="C494" s="67">
        <v>37.335854727127128</v>
      </c>
      <c r="D494" s="67">
        <v>38.566598883480211</v>
      </c>
      <c r="E494" s="67">
        <v>3706040.3467733064</v>
      </c>
      <c r="F494" s="67" t="s">
        <v>521</v>
      </c>
      <c r="G494" s="25">
        <f t="shared" si="3"/>
        <v>-2.118968598417148E-2</v>
      </c>
    </row>
    <row r="495" spans="1:7">
      <c r="A495" s="67">
        <v>38.379525771714533</v>
      </c>
      <c r="B495" s="67">
        <v>38.610905673108924</v>
      </c>
      <c r="C495" s="67">
        <v>38.246605402828408</v>
      </c>
      <c r="D495" s="67">
        <v>38.349987911962067</v>
      </c>
      <c r="E495" s="67">
        <v>1781879.2709106707</v>
      </c>
      <c r="F495" s="67" t="s">
        <v>522</v>
      </c>
      <c r="G495" s="25">
        <f t="shared" si="3"/>
        <v>7.7021822849787647E-4</v>
      </c>
    </row>
    <row r="496" spans="1:7">
      <c r="A496" s="67">
        <v>38.399217678216189</v>
      </c>
      <c r="B496" s="67">
        <v>38.62567460298515</v>
      </c>
      <c r="C496" s="67">
        <v>37.665694161029755</v>
      </c>
      <c r="D496" s="67">
        <v>38.113685033942275</v>
      </c>
      <c r="E496" s="67">
        <v>3330083.8593006525</v>
      </c>
      <c r="F496" s="67" t="s">
        <v>523</v>
      </c>
      <c r="G496" s="25">
        <f t="shared" si="3"/>
        <v>7.4916042366313107E-3</v>
      </c>
    </row>
    <row r="497" spans="1:7">
      <c r="A497" s="67">
        <v>37.897074062424132</v>
      </c>
      <c r="B497" s="67">
        <v>38.202200153667185</v>
      </c>
      <c r="C497" s="67">
        <v>37.680463090905995</v>
      </c>
      <c r="D497" s="67">
        <v>37.906920015674956</v>
      </c>
      <c r="E497" s="67">
        <v>5305755.4377098568</v>
      </c>
      <c r="F497" s="67" t="s">
        <v>524</v>
      </c>
      <c r="G497" s="25">
        <f t="shared" si="3"/>
        <v>-2.5974025974029313E-4</v>
      </c>
    </row>
    <row r="498" spans="1:7">
      <c r="A498" s="67">
        <v>38.162914800196397</v>
      </c>
      <c r="B498" s="67">
        <v>39.098280359024741</v>
      </c>
      <c r="C498" s="67">
        <v>38.025071454684849</v>
      </c>
      <c r="D498" s="67">
        <v>39.068742499272268</v>
      </c>
      <c r="E498" s="67">
        <v>3393207.2546862583</v>
      </c>
      <c r="F498" s="67" t="s">
        <v>525</v>
      </c>
      <c r="G498" s="25">
        <f t="shared" si="3"/>
        <v>-2.3185483870967749E-2</v>
      </c>
    </row>
    <row r="499" spans="1:7">
      <c r="A499" s="67">
        <v>38.763517948496698</v>
      </c>
      <c r="B499" s="67">
        <v>39.433042769552777</v>
      </c>
      <c r="C499" s="67">
        <v>38.591213766607268</v>
      </c>
      <c r="D499" s="67">
        <v>39.137664172028039</v>
      </c>
      <c r="E499" s="67">
        <v>3149757.9980285312</v>
      </c>
      <c r="F499" s="67" t="s">
        <v>526</v>
      </c>
      <c r="G499" s="25">
        <f t="shared" si="3"/>
        <v>-9.5597484276730427E-3</v>
      </c>
    </row>
    <row r="500" spans="1:7">
      <c r="A500" s="67">
        <v>39.196739891532992</v>
      </c>
      <c r="B500" s="67">
        <v>39.866264712589064</v>
      </c>
      <c r="C500" s="67">
        <v>39.049050592770612</v>
      </c>
      <c r="D500" s="67">
        <v>39.541348255311846</v>
      </c>
      <c r="E500" s="67">
        <v>2233024.0089407805</v>
      </c>
      <c r="F500" s="67" t="s">
        <v>527</v>
      </c>
      <c r="G500" s="25">
        <f t="shared" si="3"/>
        <v>-8.7151394422307904E-3</v>
      </c>
    </row>
    <row r="501" spans="1:7">
      <c r="A501" s="67">
        <v>39.639807787820097</v>
      </c>
      <c r="B501" s="67">
        <v>39.68411457744881</v>
      </c>
      <c r="C501" s="67">
        <v>39.098280359024741</v>
      </c>
      <c r="D501" s="67">
        <v>39.265661564288763</v>
      </c>
      <c r="E501" s="67">
        <v>2658850.7311678878</v>
      </c>
      <c r="F501" s="67" t="s">
        <v>528</v>
      </c>
      <c r="G501" s="25">
        <f t="shared" si="3"/>
        <v>9.5285857572717791E-3</v>
      </c>
    </row>
    <row r="502" spans="1:7">
      <c r="A502" s="67">
        <v>39.108126312275566</v>
      </c>
      <c r="B502" s="67">
        <v>39.442888722803609</v>
      </c>
      <c r="C502" s="67">
        <v>38.857054504379541</v>
      </c>
      <c r="D502" s="67">
        <v>38.891515340757422</v>
      </c>
      <c r="E502" s="67">
        <v>3290531.5691283033</v>
      </c>
      <c r="F502" s="67" t="s">
        <v>529</v>
      </c>
      <c r="G502" s="25">
        <f t="shared" si="3"/>
        <v>5.5696202531645422E-3</v>
      </c>
    </row>
    <row r="503" spans="1:7">
      <c r="A503" s="67">
        <v>38.77336390174753</v>
      </c>
      <c r="B503" s="67">
        <v>38.793055808249171</v>
      </c>
      <c r="C503" s="67">
        <v>37.946303828678253</v>
      </c>
      <c r="D503" s="67">
        <v>38.586290789981852</v>
      </c>
      <c r="E503" s="67">
        <v>2922326.489574797</v>
      </c>
      <c r="F503" s="67" t="s">
        <v>530</v>
      </c>
      <c r="G503" s="25">
        <f t="shared" si="3"/>
        <v>4.8481755549887318E-3</v>
      </c>
    </row>
    <row r="504" spans="1:7">
      <c r="A504" s="67">
        <v>38.665058415988462</v>
      </c>
      <c r="B504" s="67">
        <v>38.743826041995057</v>
      </c>
      <c r="C504" s="67">
        <v>37.897074062424132</v>
      </c>
      <c r="D504" s="67">
        <v>38.428755537968662</v>
      </c>
      <c r="E504" s="67">
        <v>3706419.1826163149</v>
      </c>
      <c r="F504" s="67" t="s">
        <v>531</v>
      </c>
      <c r="G504" s="25">
        <f t="shared" ref="G504:G567" si="4">A504/D504-1</f>
        <v>6.1491160645659182E-3</v>
      </c>
    </row>
    <row r="505" spans="1:7">
      <c r="A505" s="67">
        <v>38.605982696483508</v>
      </c>
      <c r="B505" s="67">
        <v>38.812747714750827</v>
      </c>
      <c r="C505" s="67">
        <v>38.300758145707938</v>
      </c>
      <c r="D505" s="67">
        <v>38.62567460298515</v>
      </c>
      <c r="E505" s="67">
        <v>4647563.2002586769</v>
      </c>
      <c r="F505" s="67" t="s">
        <v>532</v>
      </c>
      <c r="G505" s="25">
        <f t="shared" si="4"/>
        <v>-5.0981391791971031E-4</v>
      </c>
    </row>
    <row r="506" spans="1:7">
      <c r="A506" s="67">
        <v>38.62567460298515</v>
      </c>
      <c r="B506" s="67">
        <v>39.108126312275566</v>
      </c>
      <c r="C506" s="67">
        <v>38.005379548183207</v>
      </c>
      <c r="D506" s="67">
        <v>38.448447444470311</v>
      </c>
      <c r="E506" s="67">
        <v>3446133.5673270738</v>
      </c>
      <c r="F506" s="67" t="s">
        <v>533</v>
      </c>
      <c r="G506" s="25">
        <f t="shared" si="4"/>
        <v>4.6094750320100353E-3</v>
      </c>
    </row>
    <row r="507" spans="1:7">
      <c r="A507" s="67">
        <v>38.359833865212892</v>
      </c>
      <c r="B507" s="67">
        <v>38.871823434255766</v>
      </c>
      <c r="C507" s="67">
        <v>37.818306436417529</v>
      </c>
      <c r="D507" s="67">
        <v>38.221990519701343</v>
      </c>
      <c r="E507" s="67">
        <v>6251235.2468101382</v>
      </c>
      <c r="F507" s="67" t="s">
        <v>534</v>
      </c>
      <c r="G507" s="25">
        <f t="shared" si="4"/>
        <v>3.606388459556964E-3</v>
      </c>
    </row>
    <row r="508" spans="1:7">
      <c r="A508" s="67">
        <v>38.221990519701343</v>
      </c>
      <c r="B508" s="67">
        <v>38.409063631467014</v>
      </c>
      <c r="C508" s="67">
        <v>36.55802442031198</v>
      </c>
      <c r="D508" s="67">
        <v>36.99124636334826</v>
      </c>
      <c r="E508" s="67">
        <v>6475495.9094143463</v>
      </c>
      <c r="F508" s="67" t="s">
        <v>535</v>
      </c>
      <c r="G508" s="25">
        <f t="shared" si="4"/>
        <v>3.3271227042853235E-2</v>
      </c>
    </row>
    <row r="509" spans="1:7">
      <c r="A509" s="67">
        <v>36.951862550344963</v>
      </c>
      <c r="B509" s="67">
        <v>37.74446178703635</v>
      </c>
      <c r="C509" s="67">
        <v>36.804173251582597</v>
      </c>
      <c r="D509" s="67">
        <v>37.02078422310074</v>
      </c>
      <c r="E509" s="67">
        <v>2681312.7512857951</v>
      </c>
      <c r="F509" s="67" t="s">
        <v>536</v>
      </c>
      <c r="G509" s="25">
        <f t="shared" si="4"/>
        <v>-1.8617021276596812E-3</v>
      </c>
    </row>
    <row r="510" spans="1:7">
      <c r="A510" s="67">
        <v>37.266933054371357</v>
      </c>
      <c r="B510" s="67">
        <v>37.808460483166705</v>
      </c>
      <c r="C510" s="67">
        <v>37.134012685485224</v>
      </c>
      <c r="D510" s="67">
        <v>37.247241147869701</v>
      </c>
      <c r="E510" s="67">
        <v>3306369.5480448636</v>
      </c>
      <c r="F510" s="67" t="s">
        <v>537</v>
      </c>
      <c r="G510" s="25">
        <f t="shared" si="4"/>
        <v>5.2868094105229524E-4</v>
      </c>
    </row>
    <row r="511" spans="1:7">
      <c r="A511" s="67">
        <v>37.355546633628769</v>
      </c>
      <c r="B511" s="67">
        <v>37.877382155922483</v>
      </c>
      <c r="C511" s="67">
        <v>37.158627568612282</v>
      </c>
      <c r="D511" s="67">
        <v>37.375238540130425</v>
      </c>
      <c r="E511" s="67">
        <v>4315360.7291849852</v>
      </c>
      <c r="F511" s="67" t="s">
        <v>538</v>
      </c>
      <c r="G511" s="25">
        <f t="shared" si="4"/>
        <v>-5.2687038988430412E-4</v>
      </c>
    </row>
    <row r="512" spans="1:7">
      <c r="A512" s="67">
        <v>37.286624960873013</v>
      </c>
      <c r="B512" s="67">
        <v>37.530903164233031</v>
      </c>
      <c r="C512" s="67">
        <v>36.749212913480974</v>
      </c>
      <c r="D512" s="67">
        <v>37.179142551394605</v>
      </c>
      <c r="E512" s="67">
        <v>2408584.7280154922</v>
      </c>
      <c r="F512" s="67" t="s">
        <v>539</v>
      </c>
      <c r="G512" s="25">
        <f t="shared" si="4"/>
        <v>2.8909329829172048E-3</v>
      </c>
    </row>
    <row r="513" spans="1:7">
      <c r="A513" s="67">
        <v>36.954406604303394</v>
      </c>
      <c r="B513" s="67">
        <v>37.223112627999406</v>
      </c>
      <c r="C513" s="67">
        <v>36.583103735196161</v>
      </c>
      <c r="D513" s="67">
        <v>37.071660141916198</v>
      </c>
      <c r="E513" s="67">
        <v>2394659.0074509503</v>
      </c>
      <c r="F513" s="67" t="s">
        <v>540</v>
      </c>
      <c r="G513" s="25">
        <f t="shared" si="4"/>
        <v>-3.162888771744754E-3</v>
      </c>
    </row>
    <row r="514" spans="1:7">
      <c r="A514" s="67">
        <v>37.042346757512995</v>
      </c>
      <c r="B514" s="67">
        <v>37.247540448335407</v>
      </c>
      <c r="C514" s="67">
        <v>36.94463547616899</v>
      </c>
      <c r="D514" s="67">
        <v>37.071660141916198</v>
      </c>
      <c r="E514" s="67">
        <v>2683357.50379638</v>
      </c>
      <c r="F514" s="67" t="s">
        <v>541</v>
      </c>
      <c r="G514" s="25">
        <f t="shared" si="4"/>
        <v>-7.9072219293618851E-4</v>
      </c>
    </row>
    <row r="515" spans="1:7">
      <c r="A515" s="67">
        <v>37.061889013781801</v>
      </c>
      <c r="B515" s="67">
        <v>37.511360907964232</v>
      </c>
      <c r="C515" s="67">
        <v>36.592874863330572</v>
      </c>
      <c r="D515" s="67">
        <v>36.758984041615378</v>
      </c>
      <c r="E515" s="67">
        <v>2453283.7631721725</v>
      </c>
      <c r="F515" s="67" t="s">
        <v>542</v>
      </c>
      <c r="G515" s="25">
        <f t="shared" si="4"/>
        <v>8.2402977139819367E-3</v>
      </c>
    </row>
    <row r="516" spans="1:7">
      <c r="A516" s="67">
        <v>36.680815016540173</v>
      </c>
      <c r="B516" s="67">
        <v>36.729670657212175</v>
      </c>
      <c r="C516" s="67">
        <v>35.713473331234503</v>
      </c>
      <c r="D516" s="67">
        <v>35.820955740712911</v>
      </c>
      <c r="E516" s="67">
        <v>2765561.9318779348</v>
      </c>
      <c r="F516" s="67" t="s">
        <v>543</v>
      </c>
      <c r="G516" s="25">
        <f t="shared" si="4"/>
        <v>2.4004364429896397E-2</v>
      </c>
    </row>
    <row r="517" spans="1:7">
      <c r="A517" s="67">
        <v>35.654846562428105</v>
      </c>
      <c r="B517" s="67">
        <v>35.889353637653713</v>
      </c>
      <c r="C517" s="67">
        <v>35.449652871605686</v>
      </c>
      <c r="D517" s="67">
        <v>35.557135281084093</v>
      </c>
      <c r="E517" s="67">
        <v>3472680.8955188501</v>
      </c>
      <c r="F517" s="67" t="s">
        <v>544</v>
      </c>
      <c r="G517" s="25">
        <f t="shared" si="4"/>
        <v>2.7480076944217391E-3</v>
      </c>
    </row>
    <row r="518" spans="1:7">
      <c r="A518" s="67">
        <v>35.351941590261681</v>
      </c>
      <c r="B518" s="67">
        <v>35.664617690562501</v>
      </c>
      <c r="C518" s="67">
        <v>35.215145796380071</v>
      </c>
      <c r="D518" s="67">
        <v>35.527821896680891</v>
      </c>
      <c r="E518" s="67">
        <v>2638252.1695977272</v>
      </c>
      <c r="F518" s="67" t="s">
        <v>545</v>
      </c>
      <c r="G518" s="25">
        <f t="shared" si="4"/>
        <v>-4.9504950495048439E-3</v>
      </c>
    </row>
    <row r="519" spans="1:7">
      <c r="A519" s="67">
        <v>35.39102610279928</v>
      </c>
      <c r="B519" s="67">
        <v>35.615762049890499</v>
      </c>
      <c r="C519" s="67">
        <v>35.156519027573658</v>
      </c>
      <c r="D519" s="67">
        <v>35.508279640412091</v>
      </c>
      <c r="E519" s="67">
        <v>3016286.3074364653</v>
      </c>
      <c r="F519" s="67" t="s">
        <v>546</v>
      </c>
      <c r="G519" s="25">
        <f t="shared" si="4"/>
        <v>-3.302146395156913E-3</v>
      </c>
    </row>
    <row r="520" spans="1:7">
      <c r="A520" s="67">
        <v>35.625533178024895</v>
      </c>
      <c r="B520" s="67">
        <v>35.654846562428105</v>
      </c>
      <c r="C520" s="67">
        <v>35.273772565186476</v>
      </c>
      <c r="D520" s="67">
        <v>35.293314821455269</v>
      </c>
      <c r="E520" s="67">
        <v>2534991.8309631562</v>
      </c>
      <c r="F520" s="67" t="s">
        <v>547</v>
      </c>
      <c r="G520" s="25">
        <f t="shared" si="4"/>
        <v>9.4130675526025165E-3</v>
      </c>
    </row>
    <row r="521" spans="1:7">
      <c r="A521" s="67">
        <v>35.293314821455269</v>
      </c>
      <c r="B521" s="67">
        <v>35.430110615336879</v>
      </c>
      <c r="C521" s="67">
        <v>34.794987286600836</v>
      </c>
      <c r="D521" s="67">
        <v>34.980638721154449</v>
      </c>
      <c r="E521" s="67">
        <v>2992387.3270129194</v>
      </c>
      <c r="F521" s="67" t="s">
        <v>548</v>
      </c>
      <c r="G521" s="25">
        <f t="shared" si="4"/>
        <v>8.9385474860335101E-3</v>
      </c>
    </row>
    <row r="522" spans="1:7">
      <c r="A522" s="67">
        <v>34.912240824213647</v>
      </c>
      <c r="B522" s="67">
        <v>35.273772565186476</v>
      </c>
      <c r="C522" s="67">
        <v>34.765673902197634</v>
      </c>
      <c r="D522" s="67">
        <v>34.951325336751253</v>
      </c>
      <c r="E522" s="67">
        <v>4398885.1040316764</v>
      </c>
      <c r="F522" s="67" t="s">
        <v>549</v>
      </c>
      <c r="G522" s="25">
        <f t="shared" si="4"/>
        <v>-1.1182555213867795E-3</v>
      </c>
    </row>
    <row r="523" spans="1:7">
      <c r="A523" s="67">
        <v>34.716818261525638</v>
      </c>
      <c r="B523" s="67">
        <v>34.814529542869643</v>
      </c>
      <c r="C523" s="67">
        <v>33.788561088757568</v>
      </c>
      <c r="D523" s="67">
        <v>34.023068163983183</v>
      </c>
      <c r="E523" s="67">
        <v>7131919.5738163618</v>
      </c>
      <c r="F523" s="67" t="s">
        <v>550</v>
      </c>
      <c r="G523" s="25">
        <f t="shared" si="4"/>
        <v>2.039058012636441E-2</v>
      </c>
    </row>
    <row r="524" spans="1:7">
      <c r="A524" s="67">
        <v>33.720163191816759</v>
      </c>
      <c r="B524" s="67">
        <v>35.351941590261681</v>
      </c>
      <c r="C524" s="67">
        <v>33.07526873494632</v>
      </c>
      <c r="D524" s="67">
        <v>34.687504877122429</v>
      </c>
      <c r="E524" s="67">
        <v>9950539.8621981647</v>
      </c>
      <c r="F524" s="67" t="s">
        <v>551</v>
      </c>
      <c r="G524" s="25">
        <f t="shared" si="4"/>
        <v>-2.7887323943662001E-2</v>
      </c>
    </row>
    <row r="525" spans="1:7">
      <c r="A525" s="67">
        <v>36.084776200341729</v>
      </c>
      <c r="B525" s="67">
        <v>36.641730504002567</v>
      </c>
      <c r="C525" s="67">
        <v>36.055462815938526</v>
      </c>
      <c r="D525" s="67">
        <v>36.299741019298544</v>
      </c>
      <c r="E525" s="67">
        <v>2906325.6165908221</v>
      </c>
      <c r="F525" s="67" t="s">
        <v>552</v>
      </c>
      <c r="G525" s="25">
        <f t="shared" si="4"/>
        <v>-5.9219380888291262E-3</v>
      </c>
    </row>
    <row r="526" spans="1:7">
      <c r="A526" s="67">
        <v>36.299741019298544</v>
      </c>
      <c r="B526" s="67">
        <v>36.822496374488985</v>
      </c>
      <c r="C526" s="67">
        <v>36.221571994223339</v>
      </c>
      <c r="D526" s="67">
        <v>36.544019222658562</v>
      </c>
      <c r="E526" s="67">
        <v>3984066.0632568514</v>
      </c>
      <c r="F526" s="67" t="s">
        <v>553</v>
      </c>
      <c r="G526" s="25">
        <f t="shared" si="4"/>
        <v>-6.6844919786096524E-3</v>
      </c>
    </row>
    <row r="527" spans="1:7">
      <c r="A527" s="67">
        <v>36.563561478927362</v>
      </c>
      <c r="B527" s="67">
        <v>36.680815016540173</v>
      </c>
      <c r="C527" s="67">
        <v>35.605990921756096</v>
      </c>
      <c r="D527" s="67">
        <v>35.840497996981711</v>
      </c>
      <c r="E527" s="67">
        <v>3818007.4487671414</v>
      </c>
      <c r="F527" s="67" t="s">
        <v>554</v>
      </c>
      <c r="G527" s="25">
        <f t="shared" si="4"/>
        <v>2.0174482006543037E-2</v>
      </c>
    </row>
    <row r="528" spans="1:7">
      <c r="A528" s="67">
        <v>35.752557843772109</v>
      </c>
      <c r="B528" s="67">
        <v>37.022804501244195</v>
      </c>
      <c r="C528" s="67">
        <v>35.689045510898502</v>
      </c>
      <c r="D528" s="67">
        <v>36.661272760271373</v>
      </c>
      <c r="E528" s="67">
        <v>5278429.398384247</v>
      </c>
      <c r="F528" s="67" t="s">
        <v>555</v>
      </c>
      <c r="G528" s="25">
        <f t="shared" si="4"/>
        <v>-2.4786780383795337E-2</v>
      </c>
    </row>
    <row r="529" spans="1:7">
      <c r="A529" s="67">
        <v>36.075005072207333</v>
      </c>
      <c r="B529" s="67">
        <v>36.798068554152977</v>
      </c>
      <c r="C529" s="67">
        <v>33.172980016290332</v>
      </c>
      <c r="D529" s="67">
        <v>34.179406214133593</v>
      </c>
      <c r="E529" s="67">
        <v>12052710.636899592</v>
      </c>
      <c r="F529" s="67" t="s">
        <v>556</v>
      </c>
      <c r="G529" s="25">
        <f t="shared" si="4"/>
        <v>5.5460263007433008E-2</v>
      </c>
    </row>
    <row r="530" spans="1:7">
      <c r="A530" s="67">
        <v>33.847187857563974</v>
      </c>
      <c r="B530" s="67">
        <v>34.687504877122429</v>
      </c>
      <c r="C530" s="67">
        <v>33.38794483524714</v>
      </c>
      <c r="D530" s="67">
        <v>34.452997801896814</v>
      </c>
      <c r="E530" s="67">
        <v>6164225.7855514567</v>
      </c>
      <c r="F530" s="67" t="s">
        <v>557</v>
      </c>
      <c r="G530" s="25">
        <f t="shared" si="4"/>
        <v>-1.7583664208735028E-2</v>
      </c>
    </row>
    <row r="531" spans="1:7">
      <c r="A531" s="67">
        <v>34.462768930031217</v>
      </c>
      <c r="B531" s="67">
        <v>35.23468805264887</v>
      </c>
      <c r="C531" s="67">
        <v>34.106122753125589</v>
      </c>
      <c r="D531" s="67">
        <v>35.136976771304866</v>
      </c>
      <c r="E531" s="67">
        <v>6166555.0969356634</v>
      </c>
      <c r="F531" s="67" t="s">
        <v>558</v>
      </c>
      <c r="G531" s="25">
        <f t="shared" si="4"/>
        <v>-1.9187986651835409E-2</v>
      </c>
    </row>
    <row r="532" spans="1:7">
      <c r="A532" s="67">
        <v>35.185832411976868</v>
      </c>
      <c r="B532" s="67">
        <v>35.25423030891767</v>
      </c>
      <c r="C532" s="67">
        <v>33.983983651445584</v>
      </c>
      <c r="D532" s="67">
        <v>35.127205643170463</v>
      </c>
      <c r="E532" s="67">
        <v>9684426.2707853671</v>
      </c>
      <c r="F532" s="67" t="s">
        <v>559</v>
      </c>
      <c r="G532" s="25">
        <f t="shared" si="4"/>
        <v>1.6689847009736525E-3</v>
      </c>
    </row>
    <row r="533" spans="1:7">
      <c r="A533" s="67">
        <v>35.000180977423256</v>
      </c>
      <c r="B533" s="67">
        <v>35.50339407634489</v>
      </c>
      <c r="C533" s="67">
        <v>34.902469696079244</v>
      </c>
      <c r="D533" s="67">
        <v>35.088121130632857</v>
      </c>
      <c r="E533" s="67">
        <v>5384184.8429743089</v>
      </c>
      <c r="F533" s="67" t="s">
        <v>560</v>
      </c>
      <c r="G533" s="25">
        <f t="shared" si="4"/>
        <v>-2.5062656641602343E-3</v>
      </c>
    </row>
    <row r="534" spans="1:7">
      <c r="A534" s="67">
        <v>35.088121130632857</v>
      </c>
      <c r="B534" s="67">
        <v>35.410568359068087</v>
      </c>
      <c r="C534" s="67">
        <v>34.946439772684052</v>
      </c>
      <c r="D534" s="67">
        <v>34.970867593020053</v>
      </c>
      <c r="E534" s="67">
        <v>3318894.1495739645</v>
      </c>
      <c r="F534" s="67" t="s">
        <v>561</v>
      </c>
      <c r="G534" s="25">
        <f t="shared" si="4"/>
        <v>3.3528918692371512E-3</v>
      </c>
    </row>
    <row r="535" spans="1:7">
      <c r="A535" s="67">
        <v>35.195603540111271</v>
      </c>
      <c r="B535" s="67">
        <v>35.369041064496876</v>
      </c>
      <c r="C535" s="67">
        <v>34.619106980181627</v>
      </c>
      <c r="D535" s="67">
        <v>34.746131645928841</v>
      </c>
      <c r="E535" s="67">
        <v>3914701.5036402592</v>
      </c>
      <c r="F535" s="67" t="s">
        <v>562</v>
      </c>
      <c r="G535" s="25">
        <f t="shared" si="4"/>
        <v>1.2935883014623117E-2</v>
      </c>
    </row>
    <row r="536" spans="1:7">
      <c r="A536" s="67">
        <v>34.697276005256832</v>
      </c>
      <c r="B536" s="67">
        <v>35.039265489960854</v>
      </c>
      <c r="C536" s="67">
        <v>34.296659751746404</v>
      </c>
      <c r="D536" s="67">
        <v>34.540937955106422</v>
      </c>
      <c r="E536" s="67">
        <v>3551765.9294444025</v>
      </c>
      <c r="F536" s="67" t="s">
        <v>563</v>
      </c>
      <c r="G536" s="25">
        <f t="shared" si="4"/>
        <v>4.5261669024045936E-3</v>
      </c>
    </row>
    <row r="537" spans="1:7">
      <c r="A537" s="67">
        <v>34.286888623612008</v>
      </c>
      <c r="B537" s="67">
        <v>35.273772565186476</v>
      </c>
      <c r="C537" s="67">
        <v>34.267346367343201</v>
      </c>
      <c r="D537" s="67">
        <v>34.638649236450433</v>
      </c>
      <c r="E537" s="67">
        <v>3483136.1877425113</v>
      </c>
      <c r="F537" s="67" t="s">
        <v>564</v>
      </c>
      <c r="G537" s="25">
        <f t="shared" si="4"/>
        <v>-1.0155148095909783E-2</v>
      </c>
    </row>
    <row r="538" spans="1:7">
      <c r="A538" s="67">
        <v>34.677733748988032</v>
      </c>
      <c r="B538" s="67">
        <v>34.80475841473524</v>
      </c>
      <c r="C538" s="67">
        <v>34.325973136149607</v>
      </c>
      <c r="D538" s="67">
        <v>34.619106980181627</v>
      </c>
      <c r="E538" s="67">
        <v>4071172.6888473472</v>
      </c>
      <c r="F538" s="67" t="s">
        <v>565</v>
      </c>
      <c r="G538" s="25">
        <f t="shared" si="4"/>
        <v>1.6934801016088574E-3</v>
      </c>
    </row>
    <row r="539" spans="1:7">
      <c r="A539" s="67">
        <v>34.462768930031217</v>
      </c>
      <c r="B539" s="67">
        <v>34.619106980181627</v>
      </c>
      <c r="C539" s="67">
        <v>34.311316443948009</v>
      </c>
      <c r="D539" s="67">
        <v>34.59956472391282</v>
      </c>
      <c r="E539" s="67">
        <v>4823074.6083538635</v>
      </c>
      <c r="F539" s="67" t="s">
        <v>566</v>
      </c>
      <c r="G539" s="25">
        <f t="shared" si="4"/>
        <v>-3.9536853996045007E-3</v>
      </c>
    </row>
    <row r="540" spans="1:7">
      <c r="A540" s="67">
        <v>34.550709083240825</v>
      </c>
      <c r="B540" s="67">
        <v>34.716818261525638</v>
      </c>
      <c r="C540" s="67">
        <v>34.159863957864793</v>
      </c>
      <c r="D540" s="67">
        <v>34.619106980181627</v>
      </c>
      <c r="E540" s="67">
        <v>3251682.8725374998</v>
      </c>
      <c r="F540" s="67" t="s">
        <v>567</v>
      </c>
      <c r="G540" s="25">
        <f t="shared" si="4"/>
        <v>-1.9757267852101856E-3</v>
      </c>
    </row>
    <row r="541" spans="1:7">
      <c r="A541" s="67">
        <v>34.540937955106422</v>
      </c>
      <c r="B541" s="67">
        <v>35.049036618095258</v>
      </c>
      <c r="C541" s="67">
        <v>34.360172084620011</v>
      </c>
      <c r="D541" s="67">
        <v>35.049036618095258</v>
      </c>
      <c r="E541" s="67">
        <v>4602792.9816681826</v>
      </c>
      <c r="F541" s="67" t="s">
        <v>568</v>
      </c>
      <c r="G541" s="25">
        <f t="shared" si="4"/>
        <v>-1.4496793978254763E-2</v>
      </c>
    </row>
    <row r="542" spans="1:7">
      <c r="A542" s="67">
        <v>34.863385183541645</v>
      </c>
      <c r="B542" s="67">
        <v>35.537593024815287</v>
      </c>
      <c r="C542" s="67">
        <v>34.667962620853629</v>
      </c>
      <c r="D542" s="67">
        <v>34.707047133391235</v>
      </c>
      <c r="E542" s="67">
        <v>6050719.9564655274</v>
      </c>
      <c r="F542" s="67" t="s">
        <v>569</v>
      </c>
      <c r="G542" s="25">
        <f t="shared" si="4"/>
        <v>4.5045045045044585E-3</v>
      </c>
    </row>
    <row r="543" spans="1:7">
      <c r="A543" s="67">
        <v>34.863385183541645</v>
      </c>
      <c r="B543" s="67">
        <v>35.537593024815287</v>
      </c>
      <c r="C543" s="67">
        <v>34.64842036458483</v>
      </c>
      <c r="D543" s="67">
        <v>34.80475841473524</v>
      </c>
      <c r="E543" s="67">
        <v>6211254.1320923427</v>
      </c>
      <c r="F543" s="67" t="s">
        <v>570</v>
      </c>
      <c r="G543" s="25">
        <f t="shared" si="4"/>
        <v>1.6844469399215356E-3</v>
      </c>
    </row>
    <row r="544" spans="1:7">
      <c r="A544" s="67">
        <v>34.726589389660035</v>
      </c>
      <c r="B544" s="67">
        <v>34.755902774063237</v>
      </c>
      <c r="C544" s="67">
        <v>33.104582119349523</v>
      </c>
      <c r="D544" s="67">
        <v>33.319546938306338</v>
      </c>
      <c r="E544" s="67">
        <v>11408686.741864879</v>
      </c>
      <c r="F544" s="67" t="s">
        <v>571</v>
      </c>
      <c r="G544" s="25">
        <f t="shared" si="4"/>
        <v>4.2228739002932558E-2</v>
      </c>
    </row>
    <row r="545" spans="1:7">
      <c r="A545" s="67">
        <v>33.192522272559124</v>
      </c>
      <c r="B545" s="67">
        <v>34.096351624991193</v>
      </c>
      <c r="C545" s="67">
        <v>33.158323324088727</v>
      </c>
      <c r="D545" s="67">
        <v>33.417258219650343</v>
      </c>
      <c r="E545" s="67">
        <v>3730500.6646743505</v>
      </c>
      <c r="F545" s="67" t="s">
        <v>572</v>
      </c>
      <c r="G545" s="25">
        <f t="shared" si="4"/>
        <v>-6.7251461988304673E-3</v>
      </c>
    </row>
    <row r="546" spans="1:7">
      <c r="A546" s="67">
        <v>34.511624570703219</v>
      </c>
      <c r="B546" s="67">
        <v>34.726589389660035</v>
      </c>
      <c r="C546" s="67">
        <v>34.218490726671199</v>
      </c>
      <c r="D546" s="67">
        <v>34.452997801896814</v>
      </c>
      <c r="E546" s="67">
        <v>3756904.9852861813</v>
      </c>
      <c r="F546" s="67" t="s">
        <v>573</v>
      </c>
      <c r="G546" s="25">
        <f t="shared" si="4"/>
        <v>1.701644923425949E-3</v>
      </c>
    </row>
    <row r="547" spans="1:7">
      <c r="A547" s="67">
        <v>34.413913289359215</v>
      </c>
      <c r="B547" s="67">
        <v>34.580022467644028</v>
      </c>
      <c r="C547" s="67">
        <v>33.690849807413557</v>
      </c>
      <c r="D547" s="67">
        <v>33.690849807413557</v>
      </c>
      <c r="E547" s="67">
        <v>4338508.2476559021</v>
      </c>
      <c r="F547" s="67" t="s">
        <v>574</v>
      </c>
      <c r="G547" s="25">
        <f t="shared" si="4"/>
        <v>2.1461716937355213E-2</v>
      </c>
    </row>
    <row r="548" spans="1:7">
      <c r="A548" s="67">
        <v>33.466113860322345</v>
      </c>
      <c r="B548" s="67">
        <v>33.514969500994347</v>
      </c>
      <c r="C548" s="67">
        <v>32.899388428527111</v>
      </c>
      <c r="D548" s="67">
        <v>33.124124375618322</v>
      </c>
      <c r="E548" s="67">
        <v>3060166.6039695223</v>
      </c>
      <c r="F548" s="67" t="s">
        <v>575</v>
      </c>
      <c r="G548" s="25">
        <f t="shared" si="4"/>
        <v>1.0324483775811188E-2</v>
      </c>
    </row>
    <row r="549" spans="1:7">
      <c r="A549" s="67">
        <v>33.23160678509673</v>
      </c>
      <c r="B549" s="67">
        <v>33.329318066440734</v>
      </c>
      <c r="C549" s="67">
        <v>32.616025712629487</v>
      </c>
      <c r="D549" s="67">
        <v>33.016641966139915</v>
      </c>
      <c r="E549" s="67">
        <v>4797382.5903445836</v>
      </c>
      <c r="F549" s="67" t="s">
        <v>576</v>
      </c>
      <c r="G549" s="25">
        <f t="shared" si="4"/>
        <v>6.5108020124298172E-3</v>
      </c>
    </row>
    <row r="550" spans="1:7">
      <c r="A550" s="67">
        <v>32.840761659720705</v>
      </c>
      <c r="B550" s="67">
        <v>34.071923804655185</v>
      </c>
      <c r="C550" s="67">
        <v>32.645339097032682</v>
      </c>
      <c r="D550" s="67">
        <v>33.974212523311188</v>
      </c>
      <c r="E550" s="67">
        <v>7536559.6466529984</v>
      </c>
      <c r="F550" s="67" t="s">
        <v>577</v>
      </c>
      <c r="G550" s="25">
        <f t="shared" si="4"/>
        <v>-3.3362093758987688E-2</v>
      </c>
    </row>
    <row r="551" spans="1:7">
      <c r="A551" s="67">
        <v>34.111008317192791</v>
      </c>
      <c r="B551" s="67">
        <v>34.394371033090415</v>
      </c>
      <c r="C551" s="67">
        <v>32.044414716767051</v>
      </c>
      <c r="D551" s="67">
        <v>32.518314431285482</v>
      </c>
      <c r="E551" s="67">
        <v>11549697.071588133</v>
      </c>
      <c r="F551" s="67" t="s">
        <v>578</v>
      </c>
      <c r="G551" s="25">
        <f t="shared" si="4"/>
        <v>4.8978365384615197E-2</v>
      </c>
    </row>
    <row r="552" spans="1:7">
      <c r="A552" s="67">
        <v>32.401060893672671</v>
      </c>
      <c r="B552" s="67">
        <v>32.445030970277472</v>
      </c>
      <c r="C552" s="67">
        <v>31.98090238389344</v>
      </c>
      <c r="D552" s="67">
        <v>32.14701156217825</v>
      </c>
      <c r="E552" s="67">
        <v>2035277.7823048958</v>
      </c>
      <c r="F552" s="67" t="s">
        <v>579</v>
      </c>
      <c r="G552" s="25">
        <f t="shared" si="4"/>
        <v>7.902735562310248E-3</v>
      </c>
    </row>
    <row r="553" spans="1:7">
      <c r="A553" s="67">
        <v>32.098155921506255</v>
      </c>
      <c r="B553" s="67">
        <v>32.518314431285482</v>
      </c>
      <c r="C553" s="67">
        <v>31.941817871355838</v>
      </c>
      <c r="D553" s="67">
        <v>32.342434124866266</v>
      </c>
      <c r="E553" s="67">
        <v>4024358.2377718822</v>
      </c>
      <c r="F553" s="67" t="s">
        <v>580</v>
      </c>
      <c r="G553" s="25">
        <f t="shared" si="4"/>
        <v>-7.5528700906342117E-3</v>
      </c>
    </row>
    <row r="554" spans="1:7">
      <c r="A554" s="67">
        <v>32.303349612328667</v>
      </c>
      <c r="B554" s="67">
        <v>33.397715963381543</v>
      </c>
      <c r="C554" s="67">
        <v>32.303349612328667</v>
      </c>
      <c r="D554" s="67">
        <v>32.733279250242298</v>
      </c>
      <c r="E554" s="67">
        <v>4579688.1777095515</v>
      </c>
      <c r="F554" s="67" t="s">
        <v>581</v>
      </c>
      <c r="G554" s="25">
        <f t="shared" si="4"/>
        <v>-1.3134328358208935E-2</v>
      </c>
    </row>
    <row r="555" spans="1:7">
      <c r="A555" s="67">
        <v>32.684423609570295</v>
      </c>
      <c r="B555" s="67">
        <v>32.980000235635913</v>
      </c>
      <c r="C555" s="67">
        <v>32.342434124866266</v>
      </c>
      <c r="D555" s="67">
        <v>32.8896173003927</v>
      </c>
      <c r="E555" s="67">
        <v>7491693.7935017552</v>
      </c>
      <c r="F555" s="67" t="s">
        <v>582</v>
      </c>
      <c r="G555" s="25">
        <f t="shared" si="4"/>
        <v>-6.2388591800354165E-3</v>
      </c>
    </row>
    <row r="556" spans="1:7">
      <c r="A556" s="67">
        <v>32.752821506511097</v>
      </c>
      <c r="B556" s="67">
        <v>33.124124375618322</v>
      </c>
      <c r="C556" s="67">
        <v>32.659995789234287</v>
      </c>
      <c r="D556" s="67">
        <v>33.124124375618322</v>
      </c>
      <c r="E556" s="67">
        <v>3712931.5572346873</v>
      </c>
      <c r="F556" s="67" t="s">
        <v>583</v>
      </c>
      <c r="G556" s="25">
        <f t="shared" si="4"/>
        <v>-1.1209439528023557E-2</v>
      </c>
    </row>
    <row r="557" spans="1:7">
      <c r="A557" s="67">
        <v>33.124124375618322</v>
      </c>
      <c r="B557" s="67">
        <v>33.192522272559124</v>
      </c>
      <c r="C557" s="67">
        <v>32.703965865839095</v>
      </c>
      <c r="D557" s="67">
        <v>32.8896173003927</v>
      </c>
      <c r="E557" s="67">
        <v>3356696.3352499027</v>
      </c>
      <c r="F557" s="67" t="s">
        <v>584</v>
      </c>
      <c r="G557" s="25">
        <f t="shared" si="4"/>
        <v>7.1301247771837772E-3</v>
      </c>
    </row>
    <row r="558" spans="1:7">
      <c r="A558" s="67">
        <v>33.182751144424728</v>
      </c>
      <c r="B558" s="67">
        <v>33.436800475919142</v>
      </c>
      <c r="C558" s="67">
        <v>33.060612042744715</v>
      </c>
      <c r="D558" s="67">
        <v>33.300004682037532</v>
      </c>
      <c r="E558" s="67">
        <v>3777588.3697654493</v>
      </c>
      <c r="F558" s="67" t="s">
        <v>585</v>
      </c>
      <c r="G558" s="25">
        <f t="shared" si="4"/>
        <v>-3.5211267605632646E-3</v>
      </c>
    </row>
    <row r="559" spans="1:7">
      <c r="A559" s="67">
        <v>33.407487091515939</v>
      </c>
      <c r="B559" s="67">
        <v>33.579458946681392</v>
      </c>
      <c r="C559" s="67">
        <v>33.143666631887129</v>
      </c>
      <c r="D559" s="67">
        <v>33.485656116591151</v>
      </c>
      <c r="E559" s="67">
        <v>3854796.445396347</v>
      </c>
      <c r="F559" s="67" t="s">
        <v>586</v>
      </c>
      <c r="G559" s="25">
        <f t="shared" si="4"/>
        <v>-2.3344032681648086E-3</v>
      </c>
    </row>
    <row r="560" spans="1:7">
      <c r="A560" s="67">
        <v>33.505198372859951</v>
      </c>
      <c r="B560" s="67">
        <v>33.573596269800753</v>
      </c>
      <c r="C560" s="67">
        <v>33.172980016290332</v>
      </c>
      <c r="D560" s="67">
        <v>33.309775810171942</v>
      </c>
      <c r="E560" s="67">
        <v>7112704.8017432177</v>
      </c>
      <c r="F560" s="67" t="s">
        <v>587</v>
      </c>
      <c r="G560" s="25">
        <f t="shared" si="4"/>
        <v>5.8668231152829708E-3</v>
      </c>
    </row>
    <row r="561" spans="1:7">
      <c r="A561" s="67">
        <v>33.221835656962327</v>
      </c>
      <c r="B561" s="67">
        <v>33.456342732187949</v>
      </c>
      <c r="C561" s="67">
        <v>32.733279250242298</v>
      </c>
      <c r="D561" s="67">
        <v>32.811448275317495</v>
      </c>
      <c r="E561" s="67">
        <v>4057623.5880496716</v>
      </c>
      <c r="F561" s="67" t="s">
        <v>588</v>
      </c>
      <c r="G561" s="25">
        <f t="shared" si="4"/>
        <v>1.2507444907683185E-2</v>
      </c>
    </row>
    <row r="562" spans="1:7">
      <c r="A562" s="67">
        <v>32.958015197333509</v>
      </c>
      <c r="B562" s="67">
        <v>33.380127932739619</v>
      </c>
      <c r="C562" s="67">
        <v>32.894502864459902</v>
      </c>
      <c r="D562" s="67">
        <v>33.221835656962327</v>
      </c>
      <c r="E562" s="67">
        <v>4318371.3712079022</v>
      </c>
      <c r="F562" s="67" t="s">
        <v>589</v>
      </c>
      <c r="G562" s="25">
        <f t="shared" si="4"/>
        <v>-7.9411764705882293E-3</v>
      </c>
    </row>
    <row r="563" spans="1:7">
      <c r="A563" s="67">
        <v>33.133895503752719</v>
      </c>
      <c r="B563" s="67">
        <v>33.407487091515939</v>
      </c>
      <c r="C563" s="67">
        <v>32.694194737704692</v>
      </c>
      <c r="D563" s="67">
        <v>32.743050378376694</v>
      </c>
      <c r="E563" s="67">
        <v>4104283.5022099274</v>
      </c>
      <c r="F563" s="67" t="s">
        <v>590</v>
      </c>
      <c r="G563" s="25">
        <f t="shared" si="4"/>
        <v>1.1936735302894519E-2</v>
      </c>
    </row>
    <row r="564" spans="1:7">
      <c r="A564" s="67">
        <v>33.006870838005518</v>
      </c>
      <c r="B564" s="67">
        <v>33.055726478677514</v>
      </c>
      <c r="C564" s="67">
        <v>32.640453532965488</v>
      </c>
      <c r="D564" s="67">
        <v>32.791906019048703</v>
      </c>
      <c r="E564" s="67">
        <v>4181091.4193385295</v>
      </c>
      <c r="F564" s="67" t="s">
        <v>591</v>
      </c>
      <c r="G564" s="25">
        <f t="shared" si="4"/>
        <v>6.5554231227651361E-3</v>
      </c>
    </row>
    <row r="565" spans="1:7">
      <c r="A565" s="67">
        <v>32.967786325467912</v>
      </c>
      <c r="B565" s="67">
        <v>33.016641966139915</v>
      </c>
      <c r="C565" s="67">
        <v>32.151897126245458</v>
      </c>
      <c r="D565" s="67">
        <v>32.391289765538268</v>
      </c>
      <c r="E565" s="67">
        <v>5605046.7506594816</v>
      </c>
      <c r="F565" s="67" t="s">
        <v>592</v>
      </c>
      <c r="G565" s="25">
        <f t="shared" si="4"/>
        <v>1.7797888386123839E-2</v>
      </c>
    </row>
    <row r="566" spans="1:7">
      <c r="A566" s="67">
        <v>32.547627815688685</v>
      </c>
      <c r="B566" s="67">
        <v>32.752821506511097</v>
      </c>
      <c r="C566" s="67">
        <v>32.142125998111055</v>
      </c>
      <c r="D566" s="67">
        <v>32.401060893672671</v>
      </c>
      <c r="E566" s="67">
        <v>4450954.8336475194</v>
      </c>
      <c r="F566" s="67" t="s">
        <v>593</v>
      </c>
      <c r="G566" s="25">
        <f t="shared" si="4"/>
        <v>4.5235223160435822E-3</v>
      </c>
    </row>
    <row r="567" spans="1:7">
      <c r="A567" s="67">
        <v>32.117698177775047</v>
      </c>
      <c r="B567" s="67">
        <v>32.137142722762505</v>
      </c>
      <c r="C567" s="67">
        <v>31.736624180533422</v>
      </c>
      <c r="D567" s="67">
        <v>32.088384793371851</v>
      </c>
      <c r="E567" s="67">
        <v>4543984.0097566461</v>
      </c>
      <c r="F567" s="67" t="s">
        <v>594</v>
      </c>
      <c r="G567" s="25">
        <f t="shared" si="4"/>
        <v>9.135200974419444E-4</v>
      </c>
    </row>
    <row r="568" spans="1:7">
      <c r="A568" s="67">
        <v>32.137240434043854</v>
      </c>
      <c r="B568" s="67">
        <v>32.366861945202267</v>
      </c>
      <c r="C568" s="67">
        <v>31.941817871355838</v>
      </c>
      <c r="D568" s="67">
        <v>32.322891868597466</v>
      </c>
      <c r="E568" s="67">
        <v>4435170.5764073543</v>
      </c>
      <c r="F568" s="67" t="s">
        <v>595</v>
      </c>
      <c r="G568" s="25">
        <f t="shared" ref="G568:G631" si="5">A568/D568-1</f>
        <v>-5.7436517533252518E-3</v>
      </c>
    </row>
    <row r="569" spans="1:7">
      <c r="A569" s="67">
        <v>32.401060893672671</v>
      </c>
      <c r="B569" s="67">
        <v>32.645339097032682</v>
      </c>
      <c r="C569" s="67">
        <v>32.126492193096013</v>
      </c>
      <c r="D569" s="67">
        <v>32.391289765538268</v>
      </c>
      <c r="E569" s="67">
        <v>5188238.1750292527</v>
      </c>
      <c r="F569" s="67" t="s">
        <v>596</v>
      </c>
      <c r="G569" s="25">
        <f t="shared" si="5"/>
        <v>3.0165912518853588E-4</v>
      </c>
    </row>
    <row r="570" spans="1:7">
      <c r="A570" s="67">
        <v>32.557398943823081</v>
      </c>
      <c r="B570" s="67">
        <v>32.7625926346455</v>
      </c>
      <c r="C570" s="67">
        <v>32.206029176110036</v>
      </c>
      <c r="D570" s="67">
        <v>32.391289765538268</v>
      </c>
      <c r="E570" s="67">
        <v>4959545.0324091297</v>
      </c>
      <c r="F570" s="67" t="s">
        <v>597</v>
      </c>
      <c r="G570" s="25">
        <f t="shared" si="5"/>
        <v>5.12820512820511E-3</v>
      </c>
    </row>
    <row r="571" spans="1:7">
      <c r="A571" s="67">
        <v>32.430374278075874</v>
      </c>
      <c r="B571" s="67">
        <v>32.508543303151079</v>
      </c>
      <c r="C571" s="67">
        <v>32.010215768296639</v>
      </c>
      <c r="D571" s="67">
        <v>32.508543303151079</v>
      </c>
      <c r="E571" s="67">
        <v>7290341.4037942318</v>
      </c>
      <c r="F571" s="67" t="s">
        <v>598</v>
      </c>
      <c r="G571" s="25">
        <f t="shared" si="5"/>
        <v>-2.4045686804928801E-3</v>
      </c>
    </row>
    <row r="572" spans="1:7">
      <c r="A572" s="67">
        <v>32.537856687554282</v>
      </c>
      <c r="B572" s="67">
        <v>33.378173707112737</v>
      </c>
      <c r="C572" s="67">
        <v>32.474344354680674</v>
      </c>
      <c r="D572" s="67">
        <v>33.221835656962327</v>
      </c>
      <c r="E572" s="67">
        <v>5753871.9405452134</v>
      </c>
      <c r="F572" s="67" t="s">
        <v>599</v>
      </c>
      <c r="G572" s="25">
        <f t="shared" si="5"/>
        <v>-2.0588235294117574E-2</v>
      </c>
    </row>
    <row r="573" spans="1:7">
      <c r="A573" s="67">
        <v>33.300004682037532</v>
      </c>
      <c r="B573" s="67">
        <v>33.593138526069559</v>
      </c>
      <c r="C573" s="67">
        <v>32.93847294106471</v>
      </c>
      <c r="D573" s="67">
        <v>33.124124375618322</v>
      </c>
      <c r="E573" s="67">
        <v>4547644.794827519</v>
      </c>
      <c r="F573" s="67" t="s">
        <v>600</v>
      </c>
      <c r="G573" s="25">
        <f t="shared" si="5"/>
        <v>5.3097345132742113E-3</v>
      </c>
    </row>
    <row r="574" spans="1:7">
      <c r="A574" s="67">
        <v>33.309775810171942</v>
      </c>
      <c r="B574" s="67">
        <v>33.329318066440734</v>
      </c>
      <c r="C574" s="67">
        <v>32.440145406210277</v>
      </c>
      <c r="D574" s="67">
        <v>32.469458790613473</v>
      </c>
      <c r="E574" s="67">
        <v>6061804.6540060984</v>
      </c>
      <c r="F574" s="67" t="s">
        <v>601</v>
      </c>
      <c r="G574" s="25">
        <f t="shared" si="5"/>
        <v>2.588022870899831E-2</v>
      </c>
    </row>
    <row r="575" spans="1:7">
      <c r="A575" s="67">
        <v>32.381518637403879</v>
      </c>
      <c r="B575" s="67">
        <v>32.521970931822771</v>
      </c>
      <c r="C575" s="67">
        <v>31.965004936713374</v>
      </c>
      <c r="D575" s="67">
        <v>31.965004936713374</v>
      </c>
      <c r="E575" s="67">
        <v>4014804.2602866297</v>
      </c>
      <c r="F575" s="67" t="s">
        <v>602</v>
      </c>
      <c r="G575" s="25">
        <f t="shared" si="5"/>
        <v>1.3030303030302948E-2</v>
      </c>
    </row>
    <row r="576" spans="1:7">
      <c r="A576" s="67">
        <v>32.149045874227781</v>
      </c>
      <c r="B576" s="67">
        <v>32.807718703226726</v>
      </c>
      <c r="C576" s="67">
        <v>32.110300413698432</v>
      </c>
      <c r="D576" s="67">
        <v>32.643050495976993</v>
      </c>
      <c r="E576" s="67">
        <v>4396744.2294551535</v>
      </c>
      <c r="F576" s="67" t="s">
        <v>603</v>
      </c>
      <c r="G576" s="25">
        <f t="shared" si="5"/>
        <v>-1.513353115727023E-2</v>
      </c>
    </row>
    <row r="577" spans="1:7">
      <c r="A577" s="67">
        <v>32.788345972962048</v>
      </c>
      <c r="B577" s="67">
        <v>33.015975553571977</v>
      </c>
      <c r="C577" s="67">
        <v>32.468695923594922</v>
      </c>
      <c r="D577" s="67">
        <v>32.701168686771013</v>
      </c>
      <c r="E577" s="67">
        <v>3687034.2499036044</v>
      </c>
      <c r="F577" s="67" t="s">
        <v>604</v>
      </c>
      <c r="G577" s="25">
        <f t="shared" si="5"/>
        <v>2.6658767772511638E-3</v>
      </c>
    </row>
    <row r="578" spans="1:7">
      <c r="A578" s="67">
        <v>32.836777798623736</v>
      </c>
      <c r="B578" s="67">
        <v>33.306566507542101</v>
      </c>
      <c r="C578" s="67">
        <v>32.72054141703569</v>
      </c>
      <c r="D578" s="67">
        <v>33.282350594711254</v>
      </c>
      <c r="E578" s="67">
        <v>5143476.352514673</v>
      </c>
      <c r="F578" s="67" t="s">
        <v>605</v>
      </c>
      <c r="G578" s="25">
        <f t="shared" si="5"/>
        <v>-1.3387660069848595E-2</v>
      </c>
    </row>
    <row r="579" spans="1:7">
      <c r="A579" s="67">
        <v>32.93364144994711</v>
      </c>
      <c r="B579" s="67">
        <v>33.12736875259386</v>
      </c>
      <c r="C579" s="67">
        <v>32.526814114388941</v>
      </c>
      <c r="D579" s="67">
        <v>32.972386910476459</v>
      </c>
      <c r="E579" s="67">
        <v>6534309.7369618565</v>
      </c>
      <c r="F579" s="67" t="s">
        <v>606</v>
      </c>
      <c r="G579" s="25">
        <f t="shared" si="5"/>
        <v>-1.1750881316098249E-3</v>
      </c>
    </row>
    <row r="580" spans="1:7">
      <c r="A580" s="67">
        <v>33.272664229578922</v>
      </c>
      <c r="B580" s="67">
        <v>33.611687009210733</v>
      </c>
      <c r="C580" s="67">
        <v>33.267821047012752</v>
      </c>
      <c r="D580" s="67">
        <v>33.301723324975931</v>
      </c>
      <c r="E580" s="67">
        <v>2871330.9502600376</v>
      </c>
      <c r="F580" s="67" t="s">
        <v>607</v>
      </c>
      <c r="G580" s="25">
        <f t="shared" si="5"/>
        <v>-8.7260034904002026E-4</v>
      </c>
    </row>
    <row r="581" spans="1:7">
      <c r="A581" s="67">
        <v>33.369527880902297</v>
      </c>
      <c r="B581" s="67">
        <v>33.999141614504225</v>
      </c>
      <c r="C581" s="67">
        <v>33.33562560293911</v>
      </c>
      <c r="D581" s="67">
        <v>33.921650693445528</v>
      </c>
      <c r="E581" s="67">
        <v>5121769.5515498752</v>
      </c>
      <c r="F581" s="67" t="s">
        <v>608</v>
      </c>
      <c r="G581" s="25">
        <f t="shared" si="5"/>
        <v>-1.6276413478012564E-2</v>
      </c>
    </row>
    <row r="582" spans="1:7">
      <c r="A582" s="67">
        <v>33.921650693445528</v>
      </c>
      <c r="B582" s="67">
        <v>34.231614377680323</v>
      </c>
      <c r="C582" s="67">
        <v>33.829630224688316</v>
      </c>
      <c r="D582" s="67">
        <v>34.0960052658276</v>
      </c>
      <c r="E582" s="67">
        <v>2382152.6119191409</v>
      </c>
      <c r="F582" s="67" t="s">
        <v>609</v>
      </c>
      <c r="G582" s="25">
        <f t="shared" si="5"/>
        <v>-5.1136363636363757E-3</v>
      </c>
    </row>
    <row r="583" spans="1:7">
      <c r="A583" s="67">
        <v>34.144437091489287</v>
      </c>
      <c r="B583" s="67">
        <v>34.323634846437528</v>
      </c>
      <c r="C583" s="67">
        <v>33.786041581592805</v>
      </c>
      <c r="D583" s="67">
        <v>34.076632535562922</v>
      </c>
      <c r="E583" s="67">
        <v>3699677.7955811406</v>
      </c>
      <c r="F583" s="67" t="s">
        <v>610</v>
      </c>
      <c r="G583" s="25">
        <f t="shared" si="5"/>
        <v>1.9897669130188866E-3</v>
      </c>
    </row>
    <row r="584" spans="1:7">
      <c r="A584" s="67">
        <v>34.06694617043059</v>
      </c>
      <c r="B584" s="67">
        <v>34.459243958290251</v>
      </c>
      <c r="C584" s="67">
        <v>34.013671162202733</v>
      </c>
      <c r="D584" s="67">
        <v>34.367223489533039</v>
      </c>
      <c r="E584" s="67">
        <v>6074521.1641429728</v>
      </c>
      <c r="F584" s="67" t="s">
        <v>611</v>
      </c>
      <c r="G584" s="25">
        <f t="shared" si="5"/>
        <v>-8.7373167981958932E-3</v>
      </c>
    </row>
    <row r="585" spans="1:7">
      <c r="A585" s="67">
        <v>34.318791663871359</v>
      </c>
      <c r="B585" s="67">
        <v>34.454400775724082</v>
      </c>
      <c r="C585" s="67">
        <v>34.139593908923111</v>
      </c>
      <c r="D585" s="67">
        <v>34.250987107944994</v>
      </c>
      <c r="E585" s="67">
        <v>5065905.4588167304</v>
      </c>
      <c r="F585" s="67" t="s">
        <v>612</v>
      </c>
      <c r="G585" s="25">
        <f t="shared" si="5"/>
        <v>1.9796380090497667E-3</v>
      </c>
    </row>
    <row r="586" spans="1:7">
      <c r="A586" s="67">
        <v>34.134750726356948</v>
      </c>
      <c r="B586" s="67">
        <v>34.633598530672323</v>
      </c>
      <c r="C586" s="67">
        <v>33.844159772386824</v>
      </c>
      <c r="D586" s="67">
        <v>34.357537124400707</v>
      </c>
      <c r="E586" s="67">
        <v>4617792.0601684405</v>
      </c>
      <c r="F586" s="67" t="s">
        <v>613</v>
      </c>
      <c r="G586" s="25">
        <f t="shared" si="5"/>
        <v>-6.484352974344465E-3</v>
      </c>
    </row>
    <row r="587" spans="1:7">
      <c r="A587" s="67">
        <v>34.318791663871359</v>
      </c>
      <c r="B587" s="67">
        <v>34.948405397473287</v>
      </c>
      <c r="C587" s="67">
        <v>34.28004620334201</v>
      </c>
      <c r="D587" s="67">
        <v>34.580323522444466</v>
      </c>
      <c r="E587" s="67">
        <v>4606188.1201492101</v>
      </c>
      <c r="F587" s="67" t="s">
        <v>614</v>
      </c>
      <c r="G587" s="25">
        <f t="shared" si="5"/>
        <v>-7.5630252100840067E-3</v>
      </c>
    </row>
    <row r="588" spans="1:7">
      <c r="A588" s="67">
        <v>34.570637157312127</v>
      </c>
      <c r="B588" s="67">
        <v>35.016209953399645</v>
      </c>
      <c r="C588" s="67">
        <v>34.430184862893242</v>
      </c>
      <c r="D588" s="67">
        <v>34.502832601385762</v>
      </c>
      <c r="E588" s="67">
        <v>4091313.8683671551</v>
      </c>
      <c r="F588" s="67" t="s">
        <v>615</v>
      </c>
      <c r="G588" s="25">
        <f t="shared" si="5"/>
        <v>1.9651880965749768E-3</v>
      </c>
    </row>
    <row r="589" spans="1:7">
      <c r="A589" s="67">
        <v>34.822482650752903</v>
      </c>
      <c r="B589" s="67">
        <v>34.822482650752903</v>
      </c>
      <c r="C589" s="67">
        <v>34.454400775724082</v>
      </c>
      <c r="D589" s="67">
        <v>34.628755348106154</v>
      </c>
      <c r="E589" s="67">
        <v>5232050.3416507775</v>
      </c>
      <c r="F589" s="67" t="s">
        <v>616</v>
      </c>
      <c r="G589" s="25">
        <f t="shared" si="5"/>
        <v>5.5944055944057158E-3</v>
      </c>
    </row>
    <row r="590" spans="1:7">
      <c r="A590" s="67">
        <v>34.628755348106154</v>
      </c>
      <c r="B590" s="67">
        <v>35.074328144193672</v>
      </c>
      <c r="C590" s="67">
        <v>34.590009887576805</v>
      </c>
      <c r="D590" s="67">
        <v>34.861228111282252</v>
      </c>
      <c r="E590" s="67">
        <v>5362557.5012229215</v>
      </c>
      <c r="F590" s="67" t="s">
        <v>617</v>
      </c>
      <c r="G590" s="25">
        <f t="shared" si="5"/>
        <v>-6.668519033064757E-3</v>
      </c>
    </row>
    <row r="591" spans="1:7">
      <c r="A591" s="67">
        <v>34.987150858002636</v>
      </c>
      <c r="B591" s="67">
        <v>35.65066686956775</v>
      </c>
      <c r="C591" s="67">
        <v>34.837012198451411</v>
      </c>
      <c r="D591" s="67">
        <v>35.616764591604571</v>
      </c>
      <c r="E591" s="67">
        <v>5902688.9053688953</v>
      </c>
      <c r="F591" s="67" t="s">
        <v>618</v>
      </c>
      <c r="G591" s="25">
        <f t="shared" si="5"/>
        <v>-1.7677454446559882E-2</v>
      </c>
    </row>
    <row r="592" spans="1:7">
      <c r="A592" s="67">
        <v>35.364919098163796</v>
      </c>
      <c r="B592" s="67">
        <v>35.941257823537867</v>
      </c>
      <c r="C592" s="67">
        <v>35.146975882686199</v>
      </c>
      <c r="D592" s="67">
        <v>35.887982815310011</v>
      </c>
      <c r="E592" s="67">
        <v>5971714.7980402224</v>
      </c>
      <c r="F592" s="67" t="s">
        <v>619</v>
      </c>
      <c r="G592" s="25">
        <f t="shared" si="5"/>
        <v>-1.457489878542495E-2</v>
      </c>
    </row>
    <row r="593" spans="1:7">
      <c r="A593" s="67">
        <v>35.733000973192617</v>
      </c>
      <c r="B593" s="67">
        <v>36.256064690338832</v>
      </c>
      <c r="C593" s="67">
        <v>35.355232733031457</v>
      </c>
      <c r="D593" s="67">
        <v>36.062337387692082</v>
      </c>
      <c r="E593" s="67">
        <v>6449053.8139486872</v>
      </c>
      <c r="F593" s="67" t="s">
        <v>620</v>
      </c>
      <c r="G593" s="25">
        <f t="shared" si="5"/>
        <v>-9.1324200913240894E-3</v>
      </c>
    </row>
    <row r="594" spans="1:7">
      <c r="A594" s="67">
        <v>35.752373703457287</v>
      </c>
      <c r="B594" s="67">
        <v>37.922119493100865</v>
      </c>
      <c r="C594" s="67">
        <v>35.06522296096928</v>
      </c>
      <c r="D594" s="67">
        <v>37.873687667439178</v>
      </c>
      <c r="E594" s="67">
        <v>11160798.557870688</v>
      </c>
      <c r="F594" s="67" t="s">
        <v>621</v>
      </c>
      <c r="G594" s="25">
        <f t="shared" si="5"/>
        <v>-5.6010230179028175E-2</v>
      </c>
    </row>
    <row r="595" spans="1:7">
      <c r="A595" s="67">
        <v>39.074796943849016</v>
      </c>
      <c r="B595" s="67">
        <v>39.423506088613159</v>
      </c>
      <c r="C595" s="67">
        <v>38.706715068820195</v>
      </c>
      <c r="D595" s="67">
        <v>38.871383276069928</v>
      </c>
      <c r="E595" s="67">
        <v>3466884.588924902</v>
      </c>
      <c r="F595" s="67" t="s">
        <v>622</v>
      </c>
      <c r="G595" s="25">
        <f t="shared" si="5"/>
        <v>5.2329927734862114E-3</v>
      </c>
    </row>
    <row r="596" spans="1:7">
      <c r="A596" s="67">
        <v>39.103856039246025</v>
      </c>
      <c r="B596" s="67">
        <v>39.433192453745498</v>
      </c>
      <c r="C596" s="67">
        <v>38.793892355011224</v>
      </c>
      <c r="D596" s="67">
        <v>39.03605148331966</v>
      </c>
      <c r="E596" s="67">
        <v>3577273.7788213575</v>
      </c>
      <c r="F596" s="67" t="s">
        <v>623</v>
      </c>
      <c r="G596" s="25">
        <f t="shared" si="5"/>
        <v>1.7369727047147343E-3</v>
      </c>
    </row>
    <row r="597" spans="1:7">
      <c r="A597" s="67">
        <v>39.365387897819133</v>
      </c>
      <c r="B597" s="67">
        <v>39.670508399487758</v>
      </c>
      <c r="C597" s="67">
        <v>38.813265085275901</v>
      </c>
      <c r="D597" s="67">
        <v>38.919815101731615</v>
      </c>
      <c r="E597" s="67">
        <v>3368608.3018972734</v>
      </c>
      <c r="F597" s="67" t="s">
        <v>624</v>
      </c>
      <c r="G597" s="25">
        <f t="shared" si="5"/>
        <v>1.1448481831757062E-2</v>
      </c>
    </row>
    <row r="598" spans="1:7">
      <c r="A598" s="67">
        <v>38.871383276069928</v>
      </c>
      <c r="B598" s="67">
        <v>39.152287864907713</v>
      </c>
      <c r="C598" s="67">
        <v>38.711558251386364</v>
      </c>
      <c r="D598" s="67">
        <v>38.948874197128632</v>
      </c>
      <c r="E598" s="67">
        <v>2078407.0933677431</v>
      </c>
      <c r="F598" s="67" t="s">
        <v>625</v>
      </c>
      <c r="G598" s="25">
        <f t="shared" si="5"/>
        <v>-1.9895548371052785E-3</v>
      </c>
    </row>
    <row r="599" spans="1:7">
      <c r="A599" s="67">
        <v>38.968246927393302</v>
      </c>
      <c r="B599" s="67">
        <v>39.510683374804195</v>
      </c>
      <c r="C599" s="67">
        <v>38.517830948739615</v>
      </c>
      <c r="D599" s="67">
        <v>39.471937914274847</v>
      </c>
      <c r="E599" s="67">
        <v>3683580.9421309778</v>
      </c>
      <c r="F599" s="67" t="s">
        <v>626</v>
      </c>
      <c r="G599" s="25">
        <f t="shared" si="5"/>
        <v>-1.2760736196319011E-2</v>
      </c>
    </row>
    <row r="600" spans="1:7">
      <c r="A600" s="67">
        <v>39.646292486656918</v>
      </c>
      <c r="B600" s="67">
        <v>39.77221523337731</v>
      </c>
      <c r="C600" s="67">
        <v>39.268524246495758</v>
      </c>
      <c r="D600" s="67">
        <v>39.500997009671856</v>
      </c>
      <c r="E600" s="67">
        <v>2231942.4990314287</v>
      </c>
      <c r="F600" s="67" t="s">
        <v>627</v>
      </c>
      <c r="G600" s="25">
        <f t="shared" si="5"/>
        <v>3.6782736635605495E-3</v>
      </c>
    </row>
    <row r="601" spans="1:7">
      <c r="A601" s="67">
        <v>39.733469772847961</v>
      </c>
      <c r="B601" s="67">
        <v>39.888451614965355</v>
      </c>
      <c r="C601" s="67">
        <v>38.98761965765798</v>
      </c>
      <c r="D601" s="67">
        <v>39.132915134643035</v>
      </c>
      <c r="E601" s="67">
        <v>2732028.9539420032</v>
      </c>
      <c r="F601" s="67" t="s">
        <v>628</v>
      </c>
      <c r="G601" s="25">
        <f t="shared" si="5"/>
        <v>1.5346534653465582E-2</v>
      </c>
    </row>
    <row r="602" spans="1:7">
      <c r="A602" s="67">
        <v>39.132915134643035</v>
      </c>
      <c r="B602" s="67">
        <v>39.539742470201212</v>
      </c>
      <c r="C602" s="67">
        <v>38.285358185563517</v>
      </c>
      <c r="D602" s="67">
        <v>38.532360496438123</v>
      </c>
      <c r="E602" s="67">
        <v>3378855.6959035788</v>
      </c>
      <c r="F602" s="67" t="s">
        <v>629</v>
      </c>
      <c r="G602" s="25">
        <f t="shared" si="5"/>
        <v>1.5585721468074354E-2</v>
      </c>
    </row>
    <row r="603" spans="1:7">
      <c r="A603" s="67">
        <v>38.23208317733566</v>
      </c>
      <c r="B603" s="67">
        <v>38.82295145040824</v>
      </c>
      <c r="C603" s="67">
        <v>38.154592256276963</v>
      </c>
      <c r="D603" s="67">
        <v>38.677655973423178</v>
      </c>
      <c r="E603" s="67">
        <v>2899318.7450928949</v>
      </c>
      <c r="F603" s="67" t="s">
        <v>630</v>
      </c>
      <c r="G603" s="25">
        <f t="shared" si="5"/>
        <v>-1.1520160280490854E-2</v>
      </c>
    </row>
    <row r="604" spans="1:7">
      <c r="A604" s="67">
        <v>38.406437749717732</v>
      </c>
      <c r="B604" s="67">
        <v>38.493615035908775</v>
      </c>
      <c r="C604" s="67">
        <v>38.057728604953589</v>
      </c>
      <c r="D604" s="67">
        <v>38.493615035908775</v>
      </c>
      <c r="E604" s="67">
        <v>2407649.2762122829</v>
      </c>
      <c r="F604" s="67" t="s">
        <v>631</v>
      </c>
      <c r="G604" s="25">
        <f t="shared" si="5"/>
        <v>-2.2647206844490508E-3</v>
      </c>
    </row>
    <row r="605" spans="1:7">
      <c r="A605" s="67">
        <v>38.280515002997348</v>
      </c>
      <c r="B605" s="67">
        <v>38.595321869798312</v>
      </c>
      <c r="C605" s="67">
        <v>38.222396812203321</v>
      </c>
      <c r="D605" s="67">
        <v>38.464555940511758</v>
      </c>
      <c r="E605" s="67">
        <v>2900415.1315964912</v>
      </c>
      <c r="F605" s="67" t="s">
        <v>632</v>
      </c>
      <c r="G605" s="25">
        <f t="shared" si="5"/>
        <v>-4.784688995215336E-3</v>
      </c>
    </row>
    <row r="606" spans="1:7">
      <c r="A606" s="67">
        <v>38.328946828659035</v>
      </c>
      <c r="B606" s="67">
        <v>38.793892355011224</v>
      </c>
      <c r="C606" s="67">
        <v>38.115846795747615</v>
      </c>
      <c r="D606" s="67">
        <v>38.745460529349543</v>
      </c>
      <c r="E606" s="67">
        <v>2744979.1161841042</v>
      </c>
      <c r="F606" s="67" t="s">
        <v>633</v>
      </c>
      <c r="G606" s="25">
        <f t="shared" si="5"/>
        <v>-1.0750000000000037E-2</v>
      </c>
    </row>
    <row r="607" spans="1:7">
      <c r="A607" s="67">
        <v>38.784205989878892</v>
      </c>
      <c r="B607" s="67">
        <v>39.568801565598221</v>
      </c>
      <c r="C607" s="67">
        <v>38.566262774401295</v>
      </c>
      <c r="D607" s="67">
        <v>39.433192453745498</v>
      </c>
      <c r="E607" s="67">
        <v>3161293.1767120818</v>
      </c>
      <c r="F607" s="67" t="s">
        <v>634</v>
      </c>
      <c r="G607" s="25">
        <f t="shared" si="5"/>
        <v>-1.6457872758536052E-2</v>
      </c>
    </row>
    <row r="608" spans="1:7">
      <c r="A608" s="67">
        <v>39.065110578716677</v>
      </c>
      <c r="B608" s="67">
        <v>40.585869904493642</v>
      </c>
      <c r="C608" s="67">
        <v>38.944031014562455</v>
      </c>
      <c r="D608" s="67">
        <v>40.430888062376248</v>
      </c>
      <c r="E608" s="67">
        <v>4260602.3452722486</v>
      </c>
      <c r="F608" s="67" t="s">
        <v>635</v>
      </c>
      <c r="G608" s="25">
        <f t="shared" si="5"/>
        <v>-3.3780546238620035E-2</v>
      </c>
    </row>
    <row r="609" spans="1:7">
      <c r="A609" s="67">
        <v>40.798969937405069</v>
      </c>
      <c r="B609" s="67">
        <v>41.14283589960305</v>
      </c>
      <c r="C609" s="67">
        <v>40.38245623671456</v>
      </c>
      <c r="D609" s="67">
        <v>41.108933621639864</v>
      </c>
      <c r="E609" s="67">
        <v>3159672.3416738086</v>
      </c>
      <c r="F609" s="67" t="s">
        <v>636</v>
      </c>
      <c r="G609" s="25">
        <f t="shared" si="5"/>
        <v>-7.5400565504241124E-3</v>
      </c>
    </row>
    <row r="610" spans="1:7">
      <c r="A610" s="67">
        <v>40.682733555817016</v>
      </c>
      <c r="B610" s="67">
        <v>40.939422231823961</v>
      </c>
      <c r="C610" s="67">
        <v>40.03374709195041</v>
      </c>
      <c r="D610" s="67">
        <v>40.915206318993121</v>
      </c>
      <c r="E610" s="67">
        <v>3732418.6633542585</v>
      </c>
      <c r="F610" s="67" t="s">
        <v>637</v>
      </c>
      <c r="G610" s="25">
        <f t="shared" si="5"/>
        <v>-5.6818181818183433E-3</v>
      </c>
    </row>
    <row r="611" spans="1:7">
      <c r="A611" s="67">
        <v>41.486701861801023</v>
      </c>
      <c r="B611" s="67">
        <v>41.515760957198033</v>
      </c>
      <c r="C611" s="67">
        <v>40.847401763066756</v>
      </c>
      <c r="D611" s="67">
        <v>41.079874526242847</v>
      </c>
      <c r="E611" s="67">
        <v>2862783.8844754109</v>
      </c>
      <c r="F611" s="67" t="s">
        <v>638</v>
      </c>
      <c r="G611" s="25">
        <f t="shared" si="5"/>
        <v>9.9033246875739334E-3</v>
      </c>
    </row>
    <row r="612" spans="1:7">
      <c r="A612" s="67">
        <v>40.924892684125453</v>
      </c>
      <c r="B612" s="67">
        <v>41.438270036139336</v>
      </c>
      <c r="C612" s="67">
        <v>40.779597207140398</v>
      </c>
      <c r="D612" s="67">
        <v>41.21548363809557</v>
      </c>
      <c r="E612" s="67">
        <v>2475586.0090330499</v>
      </c>
      <c r="F612" s="67" t="s">
        <v>639</v>
      </c>
      <c r="G612" s="25">
        <f t="shared" si="5"/>
        <v>-7.0505287896590607E-3</v>
      </c>
    </row>
    <row r="613" spans="1:7">
      <c r="A613" s="67">
        <v>41.283288194021935</v>
      </c>
      <c r="B613" s="67">
        <v>41.457642766404007</v>
      </c>
      <c r="C613" s="67">
        <v>41.050815430845844</v>
      </c>
      <c r="D613" s="67">
        <v>41.118619986772202</v>
      </c>
      <c r="E613" s="67">
        <v>3066391.7366526797</v>
      </c>
      <c r="F613" s="67" t="s">
        <v>640</v>
      </c>
      <c r="G613" s="25">
        <f t="shared" si="5"/>
        <v>4.0047114252059757E-3</v>
      </c>
    </row>
    <row r="614" spans="1:7">
      <c r="A614" s="67">
        <v>41.292974559154274</v>
      </c>
      <c r="B614" s="67">
        <v>42.329415628314379</v>
      </c>
      <c r="C614" s="67">
        <v>41.045972248279675</v>
      </c>
      <c r="D614" s="67">
        <v>42.213179246726327</v>
      </c>
      <c r="E614" s="67">
        <v>3227503.7718360387</v>
      </c>
      <c r="F614" s="67" t="s">
        <v>641</v>
      </c>
      <c r="G614" s="25">
        <f t="shared" si="5"/>
        <v>-2.1798990362551618E-2</v>
      </c>
    </row>
    <row r="615" spans="1:7">
      <c r="A615" s="67">
        <v>41.922588292756203</v>
      </c>
      <c r="B615" s="67">
        <v>42.343945176012888</v>
      </c>
      <c r="C615" s="67">
        <v>41.409210940742327</v>
      </c>
      <c r="D615" s="67">
        <v>41.612624608521408</v>
      </c>
      <c r="E615" s="67">
        <v>2627061.818581223</v>
      </c>
      <c r="F615" s="67" t="s">
        <v>642</v>
      </c>
      <c r="G615" s="25">
        <f t="shared" si="5"/>
        <v>7.4487895716945918E-3</v>
      </c>
    </row>
    <row r="616" spans="1:7">
      <c r="A616" s="67">
        <v>41.56419278285972</v>
      </c>
      <c r="B616" s="67">
        <v>41.951647388153219</v>
      </c>
      <c r="C616" s="67">
        <v>41.341406384815961</v>
      </c>
      <c r="D616" s="67">
        <v>41.631997338786078</v>
      </c>
      <c r="E616" s="67">
        <v>2994634.1691334099</v>
      </c>
      <c r="F616" s="67" t="s">
        <v>643</v>
      </c>
      <c r="G616" s="25">
        <f t="shared" si="5"/>
        <v>-1.6286644951138962E-3</v>
      </c>
    </row>
    <row r="617" spans="1:7">
      <c r="A617" s="67">
        <v>42.18412015132931</v>
      </c>
      <c r="B617" s="67">
        <v>42.610320217152164</v>
      </c>
      <c r="C617" s="67">
        <v>41.699801894712444</v>
      </c>
      <c r="D617" s="67">
        <v>42.13568832566763</v>
      </c>
      <c r="E617" s="67">
        <v>4700075.7640254376</v>
      </c>
      <c r="F617" s="67" t="s">
        <v>644</v>
      </c>
      <c r="G617" s="25">
        <f t="shared" si="5"/>
        <v>1.1494252873560651E-3</v>
      </c>
    </row>
    <row r="618" spans="1:7">
      <c r="A618" s="67">
        <v>41.399524575609988</v>
      </c>
      <c r="B618" s="67">
        <v>41.762763268072639</v>
      </c>
      <c r="C618" s="67">
        <v>41.273601828889596</v>
      </c>
      <c r="D618" s="67">
        <v>41.399524575609988</v>
      </c>
      <c r="E618" s="67">
        <v>4079602.5609313776</v>
      </c>
      <c r="F618" s="67" t="s">
        <v>645</v>
      </c>
      <c r="G618" s="25">
        <f t="shared" si="5"/>
        <v>0</v>
      </c>
    </row>
    <row r="619" spans="1:7">
      <c r="A619" s="67">
        <v>41.3510927499483</v>
      </c>
      <c r="B619" s="67">
        <v>41.443113218705498</v>
      </c>
      <c r="C619" s="67">
        <v>40.426044879810078</v>
      </c>
      <c r="D619" s="67">
        <v>40.537438078831961</v>
      </c>
      <c r="E619" s="67">
        <v>4303606.0927367508</v>
      </c>
      <c r="F619" s="67" t="s">
        <v>646</v>
      </c>
      <c r="G619" s="25">
        <f t="shared" si="5"/>
        <v>2.0071684587813499E-2</v>
      </c>
    </row>
    <row r="620" spans="1:7">
      <c r="A620" s="67">
        <v>40.237160759729498</v>
      </c>
      <c r="B620" s="67">
        <v>40.605242634758319</v>
      </c>
      <c r="C620" s="67">
        <v>39.951412988325544</v>
      </c>
      <c r="D620" s="67">
        <v>40.527751713699622</v>
      </c>
      <c r="E620" s="67">
        <v>4714243.1011147518</v>
      </c>
      <c r="F620" s="67" t="s">
        <v>647</v>
      </c>
      <c r="G620" s="25">
        <f t="shared" si="5"/>
        <v>-7.1701720841300665E-3</v>
      </c>
    </row>
    <row r="621" spans="1:7">
      <c r="A621" s="67">
        <v>40.479319888037935</v>
      </c>
      <c r="B621" s="67">
        <v>41.00238360518415</v>
      </c>
      <c r="C621" s="67">
        <v>40.256533489994176</v>
      </c>
      <c r="D621" s="67">
        <v>40.828029032802078</v>
      </c>
      <c r="E621" s="67">
        <v>4530248.385279594</v>
      </c>
      <c r="F621" s="67" t="s">
        <v>648</v>
      </c>
      <c r="G621" s="25">
        <f t="shared" si="5"/>
        <v>-8.5409252669038649E-3</v>
      </c>
    </row>
    <row r="622" spans="1:7">
      <c r="A622" s="67">
        <v>40.62461536502299</v>
      </c>
      <c r="B622" s="67">
        <v>40.895833588728443</v>
      </c>
      <c r="C622" s="67">
        <v>40.285592585391193</v>
      </c>
      <c r="D622" s="67">
        <v>40.750538111743381</v>
      </c>
      <c r="E622" s="67">
        <v>2127196.2927777763</v>
      </c>
      <c r="F622" s="67" t="s">
        <v>649</v>
      </c>
      <c r="G622" s="25">
        <f t="shared" si="5"/>
        <v>-3.090087948657172E-3</v>
      </c>
    </row>
    <row r="623" spans="1:7">
      <c r="A623" s="67">
        <v>40.692419920949355</v>
      </c>
      <c r="B623" s="67">
        <v>41.021756335448828</v>
      </c>
      <c r="C623" s="67">
        <v>40.179042568935472</v>
      </c>
      <c r="D623" s="67">
        <v>40.663360825552338</v>
      </c>
      <c r="E623" s="67">
        <v>3857084.6225145869</v>
      </c>
      <c r="F623" s="67" t="s">
        <v>650</v>
      </c>
      <c r="G623" s="25">
        <f t="shared" si="5"/>
        <v>7.1462601238692081E-4</v>
      </c>
    </row>
    <row r="624" spans="1:7">
      <c r="A624" s="67">
        <v>40.518065348567283</v>
      </c>
      <c r="B624" s="67">
        <v>40.828029032802078</v>
      </c>
      <c r="C624" s="67">
        <v>40.275906220258847</v>
      </c>
      <c r="D624" s="67">
        <v>40.605242634758319</v>
      </c>
      <c r="E624" s="67">
        <v>2126593.3834386989</v>
      </c>
      <c r="F624" s="67" t="s">
        <v>651</v>
      </c>
      <c r="G624" s="25">
        <f t="shared" si="5"/>
        <v>-2.1469465648854547E-3</v>
      </c>
    </row>
    <row r="625" spans="1:7">
      <c r="A625" s="67">
        <v>40.634301730155336</v>
      </c>
      <c r="B625" s="67">
        <v>40.663360825552338</v>
      </c>
      <c r="C625" s="67">
        <v>40.135453925839961</v>
      </c>
      <c r="D625" s="67">
        <v>40.246847124861837</v>
      </c>
      <c r="E625" s="67">
        <v>3481486.5575754344</v>
      </c>
      <c r="F625" s="67" t="s">
        <v>652</v>
      </c>
      <c r="G625" s="25">
        <f t="shared" si="5"/>
        <v>9.6269554753309894E-3</v>
      </c>
    </row>
    <row r="626" spans="1:7">
      <c r="A626" s="67">
        <v>40.237160759729498</v>
      </c>
      <c r="B626" s="67">
        <v>40.610085817324489</v>
      </c>
      <c r="C626" s="67">
        <v>39.946569805759381</v>
      </c>
      <c r="D626" s="67">
        <v>40.334024411052873</v>
      </c>
      <c r="E626" s="67">
        <v>2784673.0565577126</v>
      </c>
      <c r="F626" s="67" t="s">
        <v>653</v>
      </c>
      <c r="G626" s="25">
        <f t="shared" si="5"/>
        <v>-2.4015369836695166E-3</v>
      </c>
    </row>
    <row r="627" spans="1:7">
      <c r="A627" s="67">
        <v>40.304965315655863</v>
      </c>
      <c r="B627" s="67">
        <v>40.59555626962598</v>
      </c>
      <c r="C627" s="67">
        <v>40.0046879965534</v>
      </c>
      <c r="D627" s="67">
        <v>40.014374361685739</v>
      </c>
      <c r="E627" s="67">
        <v>5667095.8868503664</v>
      </c>
      <c r="F627" s="67" t="s">
        <v>654</v>
      </c>
      <c r="G627" s="25">
        <f t="shared" si="5"/>
        <v>7.2621641249093205E-3</v>
      </c>
    </row>
    <row r="628" spans="1:7">
      <c r="A628" s="67">
        <v>40.702106286081694</v>
      </c>
      <c r="B628" s="67">
        <v>41.302660924286613</v>
      </c>
      <c r="C628" s="67">
        <v>40.36308350644989</v>
      </c>
      <c r="D628" s="67">
        <v>41.070188161110515</v>
      </c>
      <c r="E628" s="67">
        <v>3918606.1521966089</v>
      </c>
      <c r="F628" s="67" t="s">
        <v>655</v>
      </c>
      <c r="G628" s="25">
        <f t="shared" si="5"/>
        <v>-8.9622641509433665E-3</v>
      </c>
    </row>
    <row r="629" spans="1:7">
      <c r="A629" s="67">
        <v>41.341406384815961</v>
      </c>
      <c r="B629" s="67">
        <v>41.990392848682568</v>
      </c>
      <c r="C629" s="67">
        <v>41.041129065713498</v>
      </c>
      <c r="D629" s="67">
        <v>41.612624608521408</v>
      </c>
      <c r="E629" s="67">
        <v>3976719.7987822364</v>
      </c>
      <c r="F629" s="67" t="s">
        <v>656</v>
      </c>
      <c r="G629" s="25">
        <f t="shared" si="5"/>
        <v>-6.5176908752327956E-3</v>
      </c>
    </row>
    <row r="630" spans="1:7">
      <c r="A630" s="67">
        <v>41.54482005259505</v>
      </c>
      <c r="B630" s="67">
        <v>42.009765578947238</v>
      </c>
      <c r="C630" s="67">
        <v>41.477015496668685</v>
      </c>
      <c r="D630" s="67">
        <v>41.903215562491525</v>
      </c>
      <c r="E630" s="67">
        <v>3766783.4633026654</v>
      </c>
      <c r="F630" s="67" t="s">
        <v>657</v>
      </c>
      <c r="G630" s="25">
        <f t="shared" si="5"/>
        <v>-8.552935737401568E-3</v>
      </c>
    </row>
    <row r="631" spans="1:7">
      <c r="A631" s="67">
        <v>42.116315595402952</v>
      </c>
      <c r="B631" s="67">
        <v>42.590947486887487</v>
      </c>
      <c r="C631" s="67">
        <v>42.014608761513408</v>
      </c>
      <c r="D631" s="67">
        <v>42.280983802652685</v>
      </c>
      <c r="E631" s="67">
        <v>2037125.35408403</v>
      </c>
      <c r="F631" s="67" t="s">
        <v>658</v>
      </c>
      <c r="G631" s="25">
        <f t="shared" si="5"/>
        <v>-3.8946162657502725E-3</v>
      </c>
    </row>
    <row r="632" spans="1:7">
      <c r="A632" s="67">
        <v>42.397220184240737</v>
      </c>
      <c r="B632" s="67">
        <v>42.624849764850666</v>
      </c>
      <c r="C632" s="67">
        <v>41.932274657888541</v>
      </c>
      <c r="D632" s="67">
        <v>42.019451944079584</v>
      </c>
      <c r="E632" s="67">
        <v>2907640.7522543725</v>
      </c>
      <c r="F632" s="67" t="s">
        <v>659</v>
      </c>
      <c r="G632" s="25">
        <f t="shared" ref="G632:G695" si="6">A632/D632-1</f>
        <v>8.9903181189487924E-3</v>
      </c>
    </row>
    <row r="633" spans="1:7">
      <c r="A633" s="67">
        <v>42.126001960535291</v>
      </c>
      <c r="B633" s="67">
        <v>42.310042898049701</v>
      </c>
      <c r="C633" s="67">
        <v>41.690115529580105</v>
      </c>
      <c r="D633" s="67">
        <v>41.94196102302088</v>
      </c>
      <c r="E633" s="67">
        <v>4077586.3247340862</v>
      </c>
      <c r="F633" s="67" t="s">
        <v>660</v>
      </c>
      <c r="G633" s="25">
        <f t="shared" si="6"/>
        <v>4.387990762124705E-3</v>
      </c>
    </row>
    <row r="634" spans="1:7">
      <c r="A634" s="67">
        <v>41.641683703918424</v>
      </c>
      <c r="B634" s="67">
        <v>41.670742799315434</v>
      </c>
      <c r="C634" s="67">
        <v>40.750538111743381</v>
      </c>
      <c r="D634" s="67">
        <v>41.118619986772202</v>
      </c>
      <c r="E634" s="67">
        <v>3557428.3572030612</v>
      </c>
      <c r="F634" s="67" t="s">
        <v>661</v>
      </c>
      <c r="G634" s="25">
        <f t="shared" si="6"/>
        <v>1.2720848056537282E-2</v>
      </c>
    </row>
    <row r="635" spans="1:7">
      <c r="A635" s="67">
        <v>41.079874526242847</v>
      </c>
      <c r="B635" s="67">
        <v>42.552202026358138</v>
      </c>
      <c r="C635" s="67">
        <v>40.915206318993121</v>
      </c>
      <c r="D635" s="67">
        <v>42.193806516461656</v>
      </c>
      <c r="E635" s="67">
        <v>7101964.365388317</v>
      </c>
      <c r="F635" s="67" t="s">
        <v>662</v>
      </c>
      <c r="G635" s="25">
        <f t="shared" si="6"/>
        <v>-2.6400367309458495E-2</v>
      </c>
    </row>
    <row r="636" spans="1:7">
      <c r="A636" s="67">
        <v>41.16705181243389</v>
      </c>
      <c r="B636" s="67">
        <v>41.302660924286613</v>
      </c>
      <c r="C636" s="67">
        <v>39.559115200465889</v>
      </c>
      <c r="D636" s="67">
        <v>39.714097042583283</v>
      </c>
      <c r="E636" s="67">
        <v>6639349.1388530051</v>
      </c>
      <c r="F636" s="67" t="s">
        <v>663</v>
      </c>
      <c r="G636" s="25">
        <f t="shared" si="6"/>
        <v>3.6585365853658569E-2</v>
      </c>
    </row>
    <row r="637" spans="1:7">
      <c r="A637" s="67">
        <v>39.723783407715615</v>
      </c>
      <c r="B637" s="67">
        <v>39.912667527796195</v>
      </c>
      <c r="C637" s="67">
        <v>39.006992387922658</v>
      </c>
      <c r="D637" s="67">
        <v>39.636606121524586</v>
      </c>
      <c r="E637" s="67">
        <v>2916497.5317405798</v>
      </c>
      <c r="F637" s="67" t="s">
        <v>664</v>
      </c>
      <c r="G637" s="25">
        <f t="shared" si="6"/>
        <v>2.1994134897358464E-3</v>
      </c>
    </row>
    <row r="638" spans="1:7">
      <c r="A638" s="67">
        <v>39.636606121524586</v>
      </c>
      <c r="B638" s="67">
        <v>40.101551647876775</v>
      </c>
      <c r="C638" s="67">
        <v>39.336328802422123</v>
      </c>
      <c r="D638" s="67">
        <v>40.101551647876775</v>
      </c>
      <c r="E638" s="67">
        <v>5419065.7984553548</v>
      </c>
      <c r="F638" s="67" t="s">
        <v>665</v>
      </c>
      <c r="G638" s="25">
        <f t="shared" si="6"/>
        <v>-1.1594202898550621E-2</v>
      </c>
    </row>
    <row r="639" spans="1:7">
      <c r="A639" s="67">
        <v>39.975628901156398</v>
      </c>
      <c r="B639" s="67">
        <v>40.061813125158885</v>
      </c>
      <c r="C639" s="67">
        <v>39.590877901145262</v>
      </c>
      <c r="D639" s="67">
        <v>40.052579101158621</v>
      </c>
      <c r="E639" s="67">
        <v>2902807.2700725719</v>
      </c>
      <c r="F639" s="67" t="s">
        <v>666</v>
      </c>
      <c r="G639" s="25">
        <f t="shared" si="6"/>
        <v>-1.9212295869355245E-3</v>
      </c>
    </row>
    <row r="640" spans="1:7">
      <c r="A640" s="67">
        <v>40.254573376164466</v>
      </c>
      <c r="B640" s="67">
        <v>40.571992951173648</v>
      </c>
      <c r="C640" s="67">
        <v>39.975628901156398</v>
      </c>
      <c r="D640" s="67">
        <v>40.321904801166411</v>
      </c>
      <c r="E640" s="67">
        <v>2222285.0622227527</v>
      </c>
      <c r="F640" s="67" t="s">
        <v>667</v>
      </c>
      <c r="G640" s="25">
        <f t="shared" si="6"/>
        <v>-1.6698473282442672E-3</v>
      </c>
    </row>
    <row r="641" spans="1:7">
      <c r="A641" s="67">
        <v>40.398855001168634</v>
      </c>
      <c r="B641" s="67">
        <v>40.918268851183662</v>
      </c>
      <c r="C641" s="67">
        <v>40.216098276163351</v>
      </c>
      <c r="D641" s="67">
        <v>40.822081101180878</v>
      </c>
      <c r="E641" s="67">
        <v>2439219.131263731</v>
      </c>
      <c r="F641" s="67" t="s">
        <v>668</v>
      </c>
      <c r="G641" s="25">
        <f t="shared" si="6"/>
        <v>-1.0367577756833168E-2</v>
      </c>
    </row>
    <row r="642" spans="1:7">
      <c r="A642" s="67">
        <v>40.927887626183939</v>
      </c>
      <c r="B642" s="67">
        <v>41.235688426192844</v>
      </c>
      <c r="C642" s="67">
        <v>40.03334155115806</v>
      </c>
      <c r="D642" s="67">
        <v>40.389236226168357</v>
      </c>
      <c r="E642" s="67">
        <v>3391901.7753358628</v>
      </c>
      <c r="F642" s="67" t="s">
        <v>669</v>
      </c>
      <c r="G642" s="25">
        <f t="shared" si="6"/>
        <v>1.3336508692545879E-2</v>
      </c>
    </row>
    <row r="643" spans="1:7">
      <c r="A643" s="67">
        <v>40.408473776168911</v>
      </c>
      <c r="B643" s="67">
        <v>40.523899076172256</v>
      </c>
      <c r="C643" s="67">
        <v>39.672637488647624</v>
      </c>
      <c r="D643" s="67">
        <v>40.466186426170587</v>
      </c>
      <c r="E643" s="67">
        <v>4279020.9770796569</v>
      </c>
      <c r="F643" s="67" t="s">
        <v>670</v>
      </c>
      <c r="G643" s="25">
        <f t="shared" si="6"/>
        <v>-1.4261944378418656E-3</v>
      </c>
    </row>
    <row r="644" spans="1:7">
      <c r="A644" s="67">
        <v>40.620086826175033</v>
      </c>
      <c r="B644" s="67">
        <v>40.668180701176432</v>
      </c>
      <c r="C644" s="67">
        <v>39.792872176151107</v>
      </c>
      <c r="D644" s="67">
        <v>40.081435426159459</v>
      </c>
      <c r="E644" s="67">
        <v>4065443.884368727</v>
      </c>
      <c r="F644" s="67" t="s">
        <v>671</v>
      </c>
      <c r="G644" s="25">
        <f t="shared" si="6"/>
        <v>1.3438924886008952E-2</v>
      </c>
    </row>
    <row r="645" spans="1:7">
      <c r="A645" s="67">
        <v>40.177623176162243</v>
      </c>
      <c r="B645" s="67">
        <v>40.446948876170026</v>
      </c>
      <c r="C645" s="67">
        <v>39.475452601141924</v>
      </c>
      <c r="D645" s="67">
        <v>39.590877901145262</v>
      </c>
      <c r="E645" s="67">
        <v>5201067.7033772822</v>
      </c>
      <c r="F645" s="67" t="s">
        <v>672</v>
      </c>
      <c r="G645" s="25">
        <f t="shared" si="6"/>
        <v>1.4820213799805915E-2</v>
      </c>
    </row>
    <row r="646" spans="1:7">
      <c r="A646" s="67">
        <v>39.648590551146931</v>
      </c>
      <c r="B646" s="67">
        <v>40.273810926165019</v>
      </c>
      <c r="C646" s="67">
        <v>39.215745676134418</v>
      </c>
      <c r="D646" s="67">
        <v>39.350408526138303</v>
      </c>
      <c r="E646" s="67">
        <v>5458124.3451979375</v>
      </c>
      <c r="F646" s="67" t="s">
        <v>673</v>
      </c>
      <c r="G646" s="25">
        <f t="shared" si="6"/>
        <v>7.5776093864581284E-3</v>
      </c>
    </row>
    <row r="647" spans="1:7">
      <c r="A647" s="67">
        <v>39.379264851139141</v>
      </c>
      <c r="B647" s="67">
        <v>39.687065651148046</v>
      </c>
      <c r="C647" s="67">
        <v>38.234630626106032</v>
      </c>
      <c r="D647" s="67">
        <v>38.234630626106032</v>
      </c>
      <c r="E647" s="67">
        <v>6784343.1204194166</v>
      </c>
      <c r="F647" s="67" t="s">
        <v>674</v>
      </c>
      <c r="G647" s="25">
        <f t="shared" si="6"/>
        <v>2.9937106918238809E-2</v>
      </c>
    </row>
    <row r="648" spans="1:7">
      <c r="A648" s="67">
        <v>38.128824101102971</v>
      </c>
      <c r="B648" s="67">
        <v>38.475100001112985</v>
      </c>
      <c r="C648" s="67">
        <v>37.974346574598499</v>
      </c>
      <c r="D648" s="67">
        <v>38.234630626106032</v>
      </c>
      <c r="E648" s="67">
        <v>4365102.6246882193</v>
      </c>
      <c r="F648" s="67" t="s">
        <v>675</v>
      </c>
      <c r="G648" s="25">
        <f t="shared" si="6"/>
        <v>-2.7672955974842317E-3</v>
      </c>
    </row>
    <row r="649" spans="1:7">
      <c r="A649" s="67">
        <v>38.10958655110241</v>
      </c>
      <c r="B649" s="67">
        <v>38.898326101125228</v>
      </c>
      <c r="C649" s="67">
        <v>37.585363313587251</v>
      </c>
      <c r="D649" s="67">
        <v>38.503956326113823</v>
      </c>
      <c r="E649" s="67">
        <v>3709176.0644123531</v>
      </c>
      <c r="F649" s="67" t="s">
        <v>676</v>
      </c>
      <c r="G649" s="25">
        <f t="shared" si="6"/>
        <v>-1.0242318261304173E-2</v>
      </c>
    </row>
    <row r="650" spans="1:7">
      <c r="A650" s="67">
        <v>38.773282026121613</v>
      </c>
      <c r="B650" s="67">
        <v>38.811757126122728</v>
      </c>
      <c r="C650" s="67">
        <v>37.667122901089613</v>
      </c>
      <c r="D650" s="67">
        <v>38.176917976104356</v>
      </c>
      <c r="E650" s="67">
        <v>3701587.780041642</v>
      </c>
      <c r="F650" s="67" t="s">
        <v>677</v>
      </c>
      <c r="G650" s="25">
        <f t="shared" si="6"/>
        <v>1.5621063240111033E-2</v>
      </c>
    </row>
    <row r="651" spans="1:7">
      <c r="A651" s="67">
        <v>38.042255126100464</v>
      </c>
      <c r="B651" s="67">
        <v>38.956038751126897</v>
      </c>
      <c r="C651" s="67">
        <v>37.306418838579177</v>
      </c>
      <c r="D651" s="67">
        <v>38.956038751126897</v>
      </c>
      <c r="E651" s="67">
        <v>4933199.9135677209</v>
      </c>
      <c r="F651" s="67" t="s">
        <v>678</v>
      </c>
      <c r="G651" s="25">
        <f t="shared" si="6"/>
        <v>-2.3456790123456805E-2</v>
      </c>
    </row>
    <row r="652" spans="1:7">
      <c r="A652" s="67">
        <v>38.917563651125789</v>
      </c>
      <c r="B652" s="67">
        <v>39.7303501386493</v>
      </c>
      <c r="C652" s="67">
        <v>36.657151526060396</v>
      </c>
      <c r="D652" s="67">
        <v>37.51322250108516</v>
      </c>
      <c r="E652" s="67">
        <v>8271633.3418443035</v>
      </c>
      <c r="F652" s="67" t="s">
        <v>679</v>
      </c>
      <c r="G652" s="25">
        <f t="shared" si="6"/>
        <v>3.7435897435897481E-2</v>
      </c>
    </row>
    <row r="653" spans="1:7">
      <c r="A653" s="67">
        <v>37.878735951095742</v>
      </c>
      <c r="B653" s="67">
        <v>38.369293476109924</v>
      </c>
      <c r="C653" s="67">
        <v>37.599791476087667</v>
      </c>
      <c r="D653" s="67">
        <v>38.277915113607285</v>
      </c>
      <c r="E653" s="67">
        <v>6032376.263954767</v>
      </c>
      <c r="F653" s="67" t="s">
        <v>680</v>
      </c>
      <c r="G653" s="25">
        <f t="shared" si="6"/>
        <v>-1.042844578464619E-2</v>
      </c>
    </row>
    <row r="654" spans="1:7">
      <c r="A654" s="67">
        <v>38.196155526104917</v>
      </c>
      <c r="B654" s="67">
        <v>38.215393076105471</v>
      </c>
      <c r="C654" s="67">
        <v>37.008236813570555</v>
      </c>
      <c r="D654" s="67">
        <v>37.070758851072362</v>
      </c>
      <c r="E654" s="67">
        <v>3796677.8512797719</v>
      </c>
      <c r="F654" s="67" t="s">
        <v>681</v>
      </c>
      <c r="G654" s="25">
        <f t="shared" si="6"/>
        <v>3.0358069538142241E-2</v>
      </c>
    </row>
    <row r="655" spans="1:7">
      <c r="A655" s="67">
        <v>37.061140076072085</v>
      </c>
      <c r="B655" s="67">
        <v>37.671932288589751</v>
      </c>
      <c r="C655" s="67">
        <v>37.051521301071809</v>
      </c>
      <c r="D655" s="67">
        <v>37.224659251076815</v>
      </c>
      <c r="E655" s="67">
        <v>2713269.621053101</v>
      </c>
      <c r="F655" s="67" t="s">
        <v>682</v>
      </c>
      <c r="G655" s="25">
        <f t="shared" si="6"/>
        <v>-4.3927648578810929E-3</v>
      </c>
    </row>
    <row r="656" spans="1:7">
      <c r="A656" s="67">
        <v>37.493984951084606</v>
      </c>
      <c r="B656" s="67">
        <v>37.772929426092681</v>
      </c>
      <c r="C656" s="67">
        <v>36.984189876069863</v>
      </c>
      <c r="D656" s="67">
        <v>37.542078826085998</v>
      </c>
      <c r="E656" s="67">
        <v>2795028.4728795812</v>
      </c>
      <c r="F656" s="67" t="s">
        <v>683</v>
      </c>
      <c r="G656" s="25">
        <f t="shared" si="6"/>
        <v>-1.281065846784557E-3</v>
      </c>
    </row>
    <row r="657" spans="1:7">
      <c r="A657" s="67">
        <v>37.695979226090444</v>
      </c>
      <c r="B657" s="67">
        <v>38.008589413599495</v>
      </c>
      <c r="C657" s="67">
        <v>36.974571101069579</v>
      </c>
      <c r="D657" s="67">
        <v>37.089996401072924</v>
      </c>
      <c r="E657" s="67">
        <v>2975498.4391642469</v>
      </c>
      <c r="F657" s="67" t="s">
        <v>684</v>
      </c>
      <c r="G657" s="25">
        <f t="shared" si="6"/>
        <v>1.6338174273858641E-2</v>
      </c>
    </row>
    <row r="658" spans="1:7">
      <c r="A658" s="67">
        <v>37.215040476076538</v>
      </c>
      <c r="B658" s="67">
        <v>37.883545338595873</v>
      </c>
      <c r="C658" s="67">
        <v>37.138090276074308</v>
      </c>
      <c r="D658" s="67">
        <v>37.51322250108516</v>
      </c>
      <c r="E658" s="67">
        <v>3202808.0497889626</v>
      </c>
      <c r="F658" s="67" t="s">
        <v>685</v>
      </c>
      <c r="G658" s="25">
        <f t="shared" si="6"/>
        <v>-7.9487179487178761E-3</v>
      </c>
    </row>
    <row r="659" spans="1:7">
      <c r="A659" s="67">
        <v>37.224659251076815</v>
      </c>
      <c r="B659" s="67">
        <v>37.676741676089897</v>
      </c>
      <c r="C659" s="67">
        <v>37.162137213575008</v>
      </c>
      <c r="D659" s="67">
        <v>37.676741676089897</v>
      </c>
      <c r="E659" s="67">
        <v>2106902.3861576719</v>
      </c>
      <c r="F659" s="67" t="s">
        <v>686</v>
      </c>
      <c r="G659" s="25">
        <f t="shared" si="6"/>
        <v>-1.1998978810314087E-2</v>
      </c>
    </row>
    <row r="660" spans="1:7">
      <c r="A660" s="67">
        <v>37.59017270108739</v>
      </c>
      <c r="B660" s="67">
        <v>37.869117176095457</v>
      </c>
      <c r="C660" s="67">
        <v>37.013046201070694</v>
      </c>
      <c r="D660" s="67">
        <v>37.138090276074308</v>
      </c>
      <c r="E660" s="67">
        <v>3173813.7131928853</v>
      </c>
      <c r="F660" s="67" t="s">
        <v>687</v>
      </c>
      <c r="G660" s="25">
        <f t="shared" si="6"/>
        <v>1.2173012173012365E-2</v>
      </c>
    </row>
    <row r="661" spans="1:7">
      <c r="A661" s="67">
        <v>37.311228226079315</v>
      </c>
      <c r="B661" s="67">
        <v>37.821023301094066</v>
      </c>
      <c r="C661" s="67">
        <v>37.152518438574731</v>
      </c>
      <c r="D661" s="67">
        <v>37.715216776091005</v>
      </c>
      <c r="E661" s="67">
        <v>2317242.0603824537</v>
      </c>
      <c r="F661" s="67" t="s">
        <v>688</v>
      </c>
      <c r="G661" s="25">
        <f t="shared" si="6"/>
        <v>-1.0711553175210442E-2</v>
      </c>
    </row>
    <row r="662" spans="1:7">
      <c r="A662" s="67">
        <v>37.503603726084883</v>
      </c>
      <c r="B662" s="67">
        <v>37.522841276085437</v>
      </c>
      <c r="C662" s="67">
        <v>36.695626626061511</v>
      </c>
      <c r="D662" s="67">
        <v>36.762958051063457</v>
      </c>
      <c r="E662" s="67">
        <v>2953282.5125006312</v>
      </c>
      <c r="F662" s="67" t="s">
        <v>689</v>
      </c>
      <c r="G662" s="25">
        <f t="shared" si="6"/>
        <v>2.0146520146520075E-2</v>
      </c>
    </row>
    <row r="663" spans="1:7">
      <c r="A663" s="67">
        <v>36.435919701054004</v>
      </c>
      <c r="B663" s="67">
        <v>37.118852726073754</v>
      </c>
      <c r="C663" s="67">
        <v>36.42630092605372</v>
      </c>
      <c r="D663" s="67">
        <v>36.83990825106568</v>
      </c>
      <c r="E663" s="67">
        <v>2156033.3825669163</v>
      </c>
      <c r="F663" s="67" t="s">
        <v>690</v>
      </c>
      <c r="G663" s="25">
        <f t="shared" si="6"/>
        <v>-1.0966057441253008E-2</v>
      </c>
    </row>
    <row r="664" spans="1:7">
      <c r="A664" s="67">
        <v>36.955333551069025</v>
      </c>
      <c r="B664" s="67">
        <v>37.532460051085721</v>
      </c>
      <c r="C664" s="67">
        <v>36.738911113562764</v>
      </c>
      <c r="D664" s="67">
        <v>37.465128626083775</v>
      </c>
      <c r="E664" s="67">
        <v>1957550.7275568165</v>
      </c>
      <c r="F664" s="67" t="s">
        <v>691</v>
      </c>
      <c r="G664" s="25">
        <f t="shared" si="6"/>
        <v>-1.3607188703466111E-2</v>
      </c>
    </row>
    <row r="665" spans="1:7">
      <c r="A665" s="67">
        <v>37.243896801077369</v>
      </c>
      <c r="B665" s="67">
        <v>37.763310651092397</v>
      </c>
      <c r="C665" s="67">
        <v>37.109233951073477</v>
      </c>
      <c r="D665" s="67">
        <v>37.234278026077092</v>
      </c>
      <c r="E665" s="67">
        <v>2909921.4816013812</v>
      </c>
      <c r="F665" s="67" t="s">
        <v>692</v>
      </c>
      <c r="G665" s="25">
        <f t="shared" si="6"/>
        <v>2.5833118057350113E-4</v>
      </c>
    </row>
    <row r="666" spans="1:7">
      <c r="A666" s="67">
        <v>37.128471501074031</v>
      </c>
      <c r="B666" s="67">
        <v>37.397797201081829</v>
      </c>
      <c r="C666" s="67">
        <v>36.868764576066518</v>
      </c>
      <c r="D666" s="67">
        <v>37.397797201081829</v>
      </c>
      <c r="E666" s="67">
        <v>2900776.8659931091</v>
      </c>
      <c r="F666" s="67" t="s">
        <v>693</v>
      </c>
      <c r="G666" s="25">
        <f t="shared" si="6"/>
        <v>-7.2016460905351964E-3</v>
      </c>
    </row>
    <row r="667" spans="1:7">
      <c r="A667" s="67">
        <v>37.359322101080714</v>
      </c>
      <c r="B667" s="67">
        <v>37.368940876080991</v>
      </c>
      <c r="C667" s="67">
        <v>36.562214216807654</v>
      </c>
      <c r="D667" s="67">
        <v>37.041902526071524</v>
      </c>
      <c r="E667" s="67">
        <v>3647528.9211968351</v>
      </c>
      <c r="F667" s="67" t="s">
        <v>694</v>
      </c>
      <c r="G667" s="25">
        <f t="shared" si="6"/>
        <v>8.5692028044666024E-3</v>
      </c>
    </row>
    <row r="668" spans="1:7">
      <c r="A668" s="67">
        <v>37.215040476076538</v>
      </c>
      <c r="B668" s="67">
        <v>37.662313513589474</v>
      </c>
      <c r="C668" s="67">
        <v>37.085187013572778</v>
      </c>
      <c r="D668" s="67">
        <v>37.340084551080153</v>
      </c>
      <c r="E668" s="67">
        <v>4161982.164968194</v>
      </c>
      <c r="F668" s="67" t="s">
        <v>695</v>
      </c>
      <c r="G668" s="25">
        <f t="shared" si="6"/>
        <v>-3.3487892838742761E-3</v>
      </c>
    </row>
    <row r="669" spans="1:7">
      <c r="A669" s="67">
        <v>37.561316376086552</v>
      </c>
      <c r="B669" s="67">
        <v>38.205774301105194</v>
      </c>
      <c r="C669" s="67">
        <v>37.45070046358336</v>
      </c>
      <c r="D669" s="67">
        <v>38.167299201104086</v>
      </c>
      <c r="E669" s="67">
        <v>4442180.0072009144</v>
      </c>
      <c r="F669" s="67" t="s">
        <v>696</v>
      </c>
      <c r="G669" s="25">
        <f t="shared" si="6"/>
        <v>-1.5877016129032362E-2</v>
      </c>
    </row>
    <row r="670" spans="1:7">
      <c r="A670" s="67">
        <v>38.475100001112985</v>
      </c>
      <c r="B670" s="67">
        <v>38.86946977612439</v>
      </c>
      <c r="C670" s="67">
        <v>38.335627763608947</v>
      </c>
      <c r="D670" s="67">
        <v>38.715569376119944</v>
      </c>
      <c r="E670" s="67">
        <v>3026127.5473392392</v>
      </c>
      <c r="F670" s="67" t="s">
        <v>697</v>
      </c>
      <c r="G670" s="25">
        <f t="shared" si="6"/>
        <v>-6.2111801242237252E-3</v>
      </c>
    </row>
    <row r="671" spans="1:7">
      <c r="A671" s="67">
        <v>38.5135751011141</v>
      </c>
      <c r="B671" s="67">
        <v>38.821375901123005</v>
      </c>
      <c r="C671" s="67">
        <v>38.2751256688572</v>
      </c>
      <c r="D671" s="67">
        <v>38.705950601119667</v>
      </c>
      <c r="E671" s="67">
        <v>2557175.9396896665</v>
      </c>
      <c r="F671" s="67" t="s">
        <v>698</v>
      </c>
      <c r="G671" s="25">
        <f t="shared" si="6"/>
        <v>-4.9701789264414709E-3</v>
      </c>
    </row>
    <row r="672" spans="1:7">
      <c r="A672" s="67">
        <v>38.754044476121052</v>
      </c>
      <c r="B672" s="67">
        <v>39.254220776135526</v>
      </c>
      <c r="C672" s="67">
        <v>38.590525301116323</v>
      </c>
      <c r="D672" s="67">
        <v>39.153223638632603</v>
      </c>
      <c r="E672" s="67">
        <v>2446778.305898536</v>
      </c>
      <c r="F672" s="67" t="s">
        <v>699</v>
      </c>
      <c r="G672" s="25">
        <f t="shared" si="6"/>
        <v>-1.0195307701756584E-2</v>
      </c>
    </row>
    <row r="673" spans="1:7">
      <c r="A673" s="67">
        <v>39.10993915113135</v>
      </c>
      <c r="B673" s="67">
        <v>39.667828101147492</v>
      </c>
      <c r="C673" s="67">
        <v>38.830994676123282</v>
      </c>
      <c r="D673" s="67">
        <v>38.907944876125512</v>
      </c>
      <c r="E673" s="67">
        <v>4308775.285709573</v>
      </c>
      <c r="F673" s="67" t="s">
        <v>700</v>
      </c>
      <c r="G673" s="25">
        <f t="shared" si="6"/>
        <v>5.1915945611864522E-3</v>
      </c>
    </row>
    <row r="674" spans="1:7">
      <c r="A674" s="67">
        <v>39.119557926131634</v>
      </c>
      <c r="B674" s="67">
        <v>40.624896213675171</v>
      </c>
      <c r="C674" s="67">
        <v>37.724835551091282</v>
      </c>
      <c r="D674" s="67">
        <v>37.869117176095457</v>
      </c>
      <c r="E674" s="67">
        <v>11475656.723107353</v>
      </c>
      <c r="F674" s="67" t="s">
        <v>701</v>
      </c>
      <c r="G674" s="25">
        <f t="shared" si="6"/>
        <v>3.3020066040132301E-2</v>
      </c>
    </row>
    <row r="675" spans="1:7">
      <c r="A675" s="67">
        <v>37.667122901089613</v>
      </c>
      <c r="B675" s="67">
        <v>38.13363348860311</v>
      </c>
      <c r="C675" s="67">
        <v>36.916858451067917</v>
      </c>
      <c r="D675" s="67">
        <v>37.013046201070694</v>
      </c>
      <c r="E675" s="67">
        <v>3590619.3875000635</v>
      </c>
      <c r="F675" s="67" t="s">
        <v>702</v>
      </c>
      <c r="G675" s="25">
        <f t="shared" si="6"/>
        <v>1.7671517671517645E-2</v>
      </c>
    </row>
    <row r="676" spans="1:7">
      <c r="A676" s="67">
        <v>37.157327826074869</v>
      </c>
      <c r="B676" s="67">
        <v>37.484366176084329</v>
      </c>
      <c r="C676" s="67">
        <v>36.50325112605595</v>
      </c>
      <c r="D676" s="67">
        <v>36.705245401061788</v>
      </c>
      <c r="E676" s="67">
        <v>4440698.5295699704</v>
      </c>
      <c r="F676" s="67" t="s">
        <v>703</v>
      </c>
      <c r="G676" s="25">
        <f t="shared" si="6"/>
        <v>1.2316561844863738E-2</v>
      </c>
    </row>
    <row r="677" spans="1:7">
      <c r="A677" s="67">
        <v>36.676389076060957</v>
      </c>
      <c r="B677" s="67">
        <v>37.396835323581797</v>
      </c>
      <c r="C677" s="67">
        <v>36.599438876058727</v>
      </c>
      <c r="D677" s="67">
        <v>37.128471501074031</v>
      </c>
      <c r="E677" s="67">
        <v>5106362.2965064859</v>
      </c>
      <c r="F677" s="67" t="s">
        <v>704</v>
      </c>
      <c r="G677" s="25">
        <f t="shared" si="6"/>
        <v>-1.2176165803108763E-2</v>
      </c>
    </row>
    <row r="678" spans="1:7">
      <c r="A678" s="67">
        <v>37.368940876080991</v>
      </c>
      <c r="B678" s="67">
        <v>38.277915113607285</v>
      </c>
      <c r="C678" s="67">
        <v>36.849527026065964</v>
      </c>
      <c r="D678" s="67">
        <v>37.003427426070417</v>
      </c>
      <c r="E678" s="67">
        <v>5933339.7442344856</v>
      </c>
      <c r="F678" s="67" t="s">
        <v>705</v>
      </c>
      <c r="G678" s="25">
        <f t="shared" si="6"/>
        <v>9.8778268780868039E-3</v>
      </c>
    </row>
    <row r="679" spans="1:7">
      <c r="A679" s="67">
        <v>37.1861841510757</v>
      </c>
      <c r="B679" s="67">
        <v>37.498794338584744</v>
      </c>
      <c r="C679" s="67">
        <v>37.128471501074031</v>
      </c>
      <c r="D679" s="67">
        <v>37.243896801077369</v>
      </c>
      <c r="E679" s="67">
        <v>2573686.3581156521</v>
      </c>
      <c r="F679" s="67" t="s">
        <v>706</v>
      </c>
      <c r="G679" s="25">
        <f t="shared" si="6"/>
        <v>-1.5495867768594573E-3</v>
      </c>
    </row>
    <row r="680" spans="1:7">
      <c r="A680" s="67">
        <v>37.320847001079592</v>
      </c>
      <c r="B680" s="67">
        <v>37.484366176084329</v>
      </c>
      <c r="C680" s="67">
        <v>36.945714776068741</v>
      </c>
      <c r="D680" s="67">
        <v>37.166946601075146</v>
      </c>
      <c r="E680" s="67">
        <v>2462708.6088732462</v>
      </c>
      <c r="F680" s="67" t="s">
        <v>707</v>
      </c>
      <c r="G680" s="25">
        <f t="shared" si="6"/>
        <v>4.1407867494822614E-3</v>
      </c>
    </row>
    <row r="681" spans="1:7">
      <c r="A681" s="67">
        <v>37.1861841510757</v>
      </c>
      <c r="B681" s="67">
        <v>37.277562513578346</v>
      </c>
      <c r="C681" s="67">
        <v>36.83028947606541</v>
      </c>
      <c r="D681" s="67">
        <v>36.878383351066802</v>
      </c>
      <c r="E681" s="67">
        <v>3003807.6573331011</v>
      </c>
      <c r="F681" s="67" t="s">
        <v>708</v>
      </c>
      <c r="G681" s="25">
        <f t="shared" si="6"/>
        <v>8.3463745435574666E-3</v>
      </c>
    </row>
    <row r="682" spans="1:7">
      <c r="A682" s="67">
        <v>37.109233951073477</v>
      </c>
      <c r="B682" s="67">
        <v>37.344893938580299</v>
      </c>
      <c r="C682" s="67">
        <v>36.743720501062903</v>
      </c>
      <c r="D682" s="67">
        <v>36.811051926064856</v>
      </c>
      <c r="E682" s="67">
        <v>2491343.2323041959</v>
      </c>
      <c r="F682" s="67" t="s">
        <v>709</v>
      </c>
      <c r="G682" s="25">
        <f t="shared" si="6"/>
        <v>8.1003396916643489E-3</v>
      </c>
    </row>
    <row r="683" spans="1:7">
      <c r="A683" s="67">
        <v>36.916858451067917</v>
      </c>
      <c r="B683" s="67">
        <v>37.955686151097964</v>
      </c>
      <c r="C683" s="67">
        <v>36.835098863565548</v>
      </c>
      <c r="D683" s="67">
        <v>37.657504126089336</v>
      </c>
      <c r="E683" s="67">
        <v>4577340.66954746</v>
      </c>
      <c r="F683" s="67" t="s">
        <v>710</v>
      </c>
      <c r="G683" s="25">
        <f t="shared" si="6"/>
        <v>-1.9667943805874666E-2</v>
      </c>
    </row>
    <row r="684" spans="1:7">
      <c r="A684" s="67">
        <v>37.426653526082653</v>
      </c>
      <c r="B684" s="67">
        <v>37.522745088335441</v>
      </c>
      <c r="C684" s="67">
        <v>36.676389076060957</v>
      </c>
      <c r="D684" s="67">
        <v>37.234278026077092</v>
      </c>
      <c r="E684" s="67">
        <v>5245543.2213083729</v>
      </c>
      <c r="F684" s="67" t="s">
        <v>711</v>
      </c>
      <c r="G684" s="25">
        <f t="shared" si="6"/>
        <v>5.1666236114698005E-3</v>
      </c>
    </row>
    <row r="685" spans="1:7">
      <c r="A685" s="67">
        <v>37.128471501074031</v>
      </c>
      <c r="B685" s="67">
        <v>37.397797201081829</v>
      </c>
      <c r="C685" s="67">
        <v>37.022664976070971</v>
      </c>
      <c r="D685" s="67">
        <v>37.234278026077092</v>
      </c>
      <c r="E685" s="67">
        <v>4888793.0114426948</v>
      </c>
      <c r="F685" s="67" t="s">
        <v>712</v>
      </c>
      <c r="G685" s="25">
        <f t="shared" si="6"/>
        <v>-2.8416429863084014E-3</v>
      </c>
    </row>
    <row r="686" spans="1:7">
      <c r="A686" s="67">
        <v>37.215040476076538</v>
      </c>
      <c r="B686" s="67">
        <v>37.243896801077369</v>
      </c>
      <c r="C686" s="67">
        <v>36.825480088565264</v>
      </c>
      <c r="D686" s="67">
        <v>36.984189876069863</v>
      </c>
      <c r="E686" s="67">
        <v>2284080.873018078</v>
      </c>
      <c r="F686" s="67" t="s">
        <v>713</v>
      </c>
      <c r="G686" s="25">
        <f t="shared" si="6"/>
        <v>6.2418725617685578E-3</v>
      </c>
    </row>
    <row r="687" spans="1:7">
      <c r="A687" s="67">
        <v>36.868764576066518</v>
      </c>
      <c r="B687" s="67">
        <v>37.368940876080991</v>
      </c>
      <c r="C687" s="67">
        <v>36.854336413566102</v>
      </c>
      <c r="D687" s="67">
        <v>37.368940876080991</v>
      </c>
      <c r="E687" s="67">
        <v>2829245.9278039844</v>
      </c>
      <c r="F687" s="67" t="s">
        <v>714</v>
      </c>
      <c r="G687" s="25">
        <f t="shared" si="6"/>
        <v>-1.3384813384813454E-2</v>
      </c>
    </row>
    <row r="688" spans="1:7">
      <c r="A688" s="67">
        <v>37.224659251076815</v>
      </c>
      <c r="B688" s="67">
        <v>37.676741676089897</v>
      </c>
      <c r="C688" s="67">
        <v>37.041902526071524</v>
      </c>
      <c r="D688" s="67">
        <v>37.272753126078207</v>
      </c>
      <c r="E688" s="67">
        <v>7152384.7889164547</v>
      </c>
      <c r="F688" s="67" t="s">
        <v>715</v>
      </c>
      <c r="G688" s="25">
        <f t="shared" si="6"/>
        <v>-1.290322580645209E-3</v>
      </c>
    </row>
    <row r="689" spans="1:7">
      <c r="A689" s="67">
        <v>37.465128626083775</v>
      </c>
      <c r="B689" s="67">
        <v>37.710407388590866</v>
      </c>
      <c r="C689" s="67">
        <v>36.686007851061234</v>
      </c>
      <c r="D689" s="67">
        <v>36.811051926064856</v>
      </c>
      <c r="E689" s="67">
        <v>6598788.3070519799</v>
      </c>
      <c r="F689" s="67" t="s">
        <v>716</v>
      </c>
      <c r="G689" s="25">
        <f t="shared" si="6"/>
        <v>1.7768487065586536E-2</v>
      </c>
    </row>
    <row r="690" spans="1:7">
      <c r="A690" s="67">
        <v>36.195450326047045</v>
      </c>
      <c r="B690" s="67">
        <v>36.23392542604816</v>
      </c>
      <c r="C690" s="67">
        <v>35.01715038851296</v>
      </c>
      <c r="D690" s="67">
        <v>35.175860176017551</v>
      </c>
      <c r="E690" s="67">
        <v>4040859.6727624508</v>
      </c>
      <c r="F690" s="67" t="s">
        <v>717</v>
      </c>
      <c r="G690" s="25">
        <f t="shared" si="6"/>
        <v>2.8985507246376718E-2</v>
      </c>
    </row>
    <row r="691" spans="1:7">
      <c r="A691" s="67">
        <v>35.291285476020889</v>
      </c>
      <c r="B691" s="67">
        <v>35.387473226023673</v>
      </c>
      <c r="C691" s="67">
        <v>34.589114901000578</v>
      </c>
      <c r="D691" s="67">
        <v>35.214335276018659</v>
      </c>
      <c r="E691" s="67">
        <v>3933462.4210365172</v>
      </c>
      <c r="F691" s="67" t="s">
        <v>718</v>
      </c>
      <c r="G691" s="25">
        <f t="shared" si="6"/>
        <v>2.1851953018301451E-3</v>
      </c>
    </row>
    <row r="692" spans="1:7">
      <c r="A692" s="67">
        <v>35.031578551013375</v>
      </c>
      <c r="B692" s="67">
        <v>35.098909976015328</v>
      </c>
      <c r="C692" s="67">
        <v>34.704540201003915</v>
      </c>
      <c r="D692" s="67">
        <v>34.819965501007253</v>
      </c>
      <c r="E692" s="67">
        <v>3589690.9948513382</v>
      </c>
      <c r="F692" s="67" t="s">
        <v>719</v>
      </c>
      <c r="G692" s="25">
        <f t="shared" si="6"/>
        <v>6.0773480662983381E-3</v>
      </c>
    </row>
    <row r="693" spans="1:7">
      <c r="A693" s="67">
        <v>34.771871626005861</v>
      </c>
      <c r="B693" s="67">
        <v>35.274356432020404</v>
      </c>
      <c r="C693" s="67">
        <v>34.699730813503777</v>
      </c>
      <c r="D693" s="67">
        <v>35.23357282601922</v>
      </c>
      <c r="E693" s="67">
        <v>3208856.637056917</v>
      </c>
      <c r="F693" s="67" t="s">
        <v>720</v>
      </c>
      <c r="G693" s="25">
        <f t="shared" si="6"/>
        <v>-1.3104013104013212E-2</v>
      </c>
    </row>
    <row r="694" spans="1:7">
      <c r="A694" s="67">
        <v>35.137385076016436</v>
      </c>
      <c r="B694" s="67">
        <v>35.185478951017828</v>
      </c>
      <c r="C694" s="67">
        <v>34.541021025999179</v>
      </c>
      <c r="D694" s="67">
        <v>34.694921426003638</v>
      </c>
      <c r="E694" s="67">
        <v>4131297.3844227022</v>
      </c>
      <c r="F694" s="67" t="s">
        <v>721</v>
      </c>
      <c r="G694" s="25">
        <f t="shared" si="6"/>
        <v>1.2752980316051987E-2</v>
      </c>
    </row>
    <row r="695" spans="1:7">
      <c r="A695" s="67">
        <v>34.56025857599974</v>
      </c>
      <c r="B695" s="67">
        <v>34.752634076005307</v>
      </c>
      <c r="C695" s="67">
        <v>34.262076550991111</v>
      </c>
      <c r="D695" s="67">
        <v>34.483308375997517</v>
      </c>
      <c r="E695" s="67">
        <v>3471069.8606666843</v>
      </c>
      <c r="F695" s="67" t="s">
        <v>722</v>
      </c>
      <c r="G695" s="25">
        <f t="shared" si="6"/>
        <v>2.2315202231519837E-3</v>
      </c>
    </row>
    <row r="696" spans="1:7">
      <c r="A696" s="67">
        <v>34.435214500996118</v>
      </c>
      <c r="B696" s="67">
        <v>35.397092001023942</v>
      </c>
      <c r="C696" s="67">
        <v>34.358264300993895</v>
      </c>
      <c r="D696" s="67">
        <v>35.291285476020889</v>
      </c>
      <c r="E696" s="67">
        <v>3135188.2125455313</v>
      </c>
      <c r="F696" s="67" t="s">
        <v>723</v>
      </c>
      <c r="G696" s="25">
        <f t="shared" ref="G696:G759" si="7">A696/D696-1</f>
        <v>-2.4257290814936106E-2</v>
      </c>
    </row>
    <row r="697" spans="1:7">
      <c r="A697" s="67">
        <v>35.483660976026457</v>
      </c>
      <c r="B697" s="67">
        <v>35.762605451034524</v>
      </c>
      <c r="C697" s="67">
        <v>34.786299788506277</v>
      </c>
      <c r="D697" s="67">
        <v>34.887296926009206</v>
      </c>
      <c r="E697" s="67">
        <v>4086550.5221676286</v>
      </c>
      <c r="F697" s="67" t="s">
        <v>724</v>
      </c>
      <c r="G697" s="25">
        <f t="shared" si="7"/>
        <v>1.7094017094017033E-2</v>
      </c>
    </row>
    <row r="698" spans="1:7">
      <c r="A698" s="67">
        <v>35.15662262601699</v>
      </c>
      <c r="B698" s="67">
        <v>35.272047926020335</v>
      </c>
      <c r="C698" s="67">
        <v>34.579496126000301</v>
      </c>
      <c r="D698" s="67">
        <v>34.723777751004469</v>
      </c>
      <c r="E698" s="67">
        <v>4373785.6430556914</v>
      </c>
      <c r="F698" s="67" t="s">
        <v>725</v>
      </c>
      <c r="G698" s="25">
        <f t="shared" si="7"/>
        <v>1.2465373961218829E-2</v>
      </c>
    </row>
    <row r="699" spans="1:7">
      <c r="A699" s="67">
        <v>34.704540201003915</v>
      </c>
      <c r="B699" s="67">
        <v>35.012341001012814</v>
      </c>
      <c r="C699" s="67">
        <v>34.541021025999179</v>
      </c>
      <c r="D699" s="67">
        <v>34.791109176006422</v>
      </c>
      <c r="E699" s="67">
        <v>5499837.5571182072</v>
      </c>
      <c r="F699" s="67" t="s">
        <v>726</v>
      </c>
      <c r="G699" s="25">
        <f t="shared" si="7"/>
        <v>-2.4882499308820361E-3</v>
      </c>
    </row>
    <row r="700" spans="1:7">
      <c r="A700" s="67">
        <v>34.733396526004746</v>
      </c>
      <c r="B700" s="67">
        <v>35.138937556871561</v>
      </c>
      <c r="C700" s="67">
        <v>34.604577610317641</v>
      </c>
      <c r="D700" s="67">
        <v>34.685685816491002</v>
      </c>
      <c r="E700" s="67">
        <v>3029021.187756028</v>
      </c>
      <c r="F700" s="67" t="s">
        <v>727</v>
      </c>
      <c r="G700" s="25">
        <f t="shared" si="7"/>
        <v>1.3755158184318717E-3</v>
      </c>
    </row>
    <row r="701" spans="1:7">
      <c r="A701" s="67">
        <v>34.676143674588261</v>
      </c>
      <c r="B701" s="67">
        <v>34.88129972549735</v>
      </c>
      <c r="C701" s="67">
        <v>34.466216552727786</v>
      </c>
      <c r="D701" s="67">
        <v>34.676143674588261</v>
      </c>
      <c r="E701" s="67">
        <v>2762561.0967289163</v>
      </c>
      <c r="F701" s="67" t="s">
        <v>728</v>
      </c>
      <c r="G701" s="25">
        <f t="shared" si="7"/>
        <v>0</v>
      </c>
    </row>
    <row r="702" spans="1:7">
      <c r="A702" s="67">
        <v>34.752480809810244</v>
      </c>
      <c r="B702" s="67">
        <v>34.828817945032235</v>
      </c>
      <c r="C702" s="67">
        <v>34.265831572770061</v>
      </c>
      <c r="D702" s="67">
        <v>34.284915856575566</v>
      </c>
      <c r="E702" s="67">
        <v>3698770.1880469541</v>
      </c>
      <c r="F702" s="67" t="s">
        <v>729</v>
      </c>
      <c r="G702" s="25">
        <f t="shared" si="7"/>
        <v>1.3637628722515949E-2</v>
      </c>
    </row>
    <row r="703" spans="1:7">
      <c r="A703" s="67">
        <v>34.370795133700305</v>
      </c>
      <c r="B703" s="67">
        <v>34.580722255560772</v>
      </c>
      <c r="C703" s="67">
        <v>34.179952295645329</v>
      </c>
      <c r="D703" s="67">
        <v>34.179952295645329</v>
      </c>
      <c r="E703" s="67">
        <v>1351253.2229567876</v>
      </c>
      <c r="F703" s="67" t="s">
        <v>730</v>
      </c>
      <c r="G703" s="25">
        <f t="shared" si="7"/>
        <v>5.5834729201564848E-3</v>
      </c>
    </row>
    <row r="704" spans="1:7">
      <c r="A704" s="67">
        <v>34.227663005159073</v>
      </c>
      <c r="B704" s="67">
        <v>34.332626566089303</v>
      </c>
      <c r="C704" s="67">
        <v>34.094073018520589</v>
      </c>
      <c r="D704" s="67">
        <v>34.304000140381063</v>
      </c>
      <c r="E704" s="67">
        <v>2518774.1122438149</v>
      </c>
      <c r="F704" s="67" t="s">
        <v>731</v>
      </c>
      <c r="G704" s="25">
        <f t="shared" si="7"/>
        <v>-2.2253129346314626E-3</v>
      </c>
    </row>
    <row r="705" spans="1:7">
      <c r="A705" s="67">
        <v>34.06544659281235</v>
      </c>
      <c r="B705" s="67">
        <v>34.189494437548078</v>
      </c>
      <c r="C705" s="67">
        <v>33.922314464271118</v>
      </c>
      <c r="D705" s="67">
        <v>34.122699444228836</v>
      </c>
      <c r="E705" s="67">
        <v>2817475.3922131476</v>
      </c>
      <c r="F705" s="67" t="s">
        <v>732</v>
      </c>
      <c r="G705" s="25">
        <f t="shared" si="7"/>
        <v>-1.6778523489930919E-3</v>
      </c>
    </row>
    <row r="706" spans="1:7">
      <c r="A706" s="67">
        <v>33.989109457590359</v>
      </c>
      <c r="B706" s="67">
        <v>34.227663005159073</v>
      </c>
      <c r="C706" s="67">
        <v>33.597881639577672</v>
      </c>
      <c r="D706" s="67">
        <v>33.874603754757374</v>
      </c>
      <c r="E706" s="67">
        <v>3896002.6353508341</v>
      </c>
      <c r="F706" s="67" t="s">
        <v>733</v>
      </c>
      <c r="G706" s="25">
        <f t="shared" si="7"/>
        <v>3.3802816901409294E-3</v>
      </c>
    </row>
    <row r="707" spans="1:7">
      <c r="A707" s="67">
        <v>33.836435187146385</v>
      </c>
      <c r="B707" s="67">
        <v>34.103615160423345</v>
      </c>
      <c r="C707" s="67">
        <v>33.650363420042787</v>
      </c>
      <c r="D707" s="67">
        <v>34.027278025201348</v>
      </c>
      <c r="E707" s="67">
        <v>4650124.7258981625</v>
      </c>
      <c r="F707" s="67" t="s">
        <v>734</v>
      </c>
      <c r="G707" s="25">
        <f t="shared" si="7"/>
        <v>-5.6085249579358454E-3</v>
      </c>
    </row>
    <row r="708" spans="1:7">
      <c r="A708" s="67">
        <v>33.826893045243636</v>
      </c>
      <c r="B708" s="67">
        <v>33.917543393319747</v>
      </c>
      <c r="C708" s="67">
        <v>33.411809872474073</v>
      </c>
      <c r="D708" s="67">
        <v>33.674218774799655</v>
      </c>
      <c r="E708" s="67">
        <v>5687163.3804113213</v>
      </c>
      <c r="F708" s="67" t="s">
        <v>735</v>
      </c>
      <c r="G708" s="25">
        <f t="shared" si="7"/>
        <v>4.5338622839332654E-3</v>
      </c>
    </row>
    <row r="709" spans="1:7">
      <c r="A709" s="67">
        <v>33.693303058605153</v>
      </c>
      <c r="B709" s="67">
        <v>33.712387342410651</v>
      </c>
      <c r="C709" s="67">
        <v>32.710462442622052</v>
      </c>
      <c r="D709" s="67">
        <v>32.767715294038545</v>
      </c>
      <c r="E709" s="67">
        <v>6125035.720037342</v>
      </c>
      <c r="F709" s="67" t="s">
        <v>736</v>
      </c>
      <c r="G709" s="25">
        <f t="shared" si="7"/>
        <v>2.8246942341292769E-2</v>
      </c>
    </row>
    <row r="710" spans="1:7">
      <c r="A710" s="67">
        <v>32.777257435941294</v>
      </c>
      <c r="B710" s="67">
        <v>33.139858828245735</v>
      </c>
      <c r="C710" s="67">
        <v>32.443282469345093</v>
      </c>
      <c r="D710" s="67">
        <v>32.443282469345093</v>
      </c>
      <c r="E710" s="67">
        <v>4448132.3409971567</v>
      </c>
      <c r="F710" s="67" t="s">
        <v>737</v>
      </c>
      <c r="G710" s="25">
        <f t="shared" si="7"/>
        <v>1.0294117647058787E-2</v>
      </c>
    </row>
    <row r="711" spans="1:7">
      <c r="A711" s="67">
        <v>32.166560354165384</v>
      </c>
      <c r="B711" s="67">
        <v>32.567330314080827</v>
      </c>
      <c r="C711" s="67">
        <v>31.498610420972984</v>
      </c>
      <c r="D711" s="67">
        <v>31.74670611044445</v>
      </c>
      <c r="E711" s="67">
        <v>9570976.9285335857</v>
      </c>
      <c r="F711" s="67" t="s">
        <v>738</v>
      </c>
      <c r="G711" s="25">
        <f t="shared" si="7"/>
        <v>1.3225127742711118E-2</v>
      </c>
    </row>
    <row r="712" spans="1:7">
      <c r="A712" s="67">
        <v>31.317309724820763</v>
      </c>
      <c r="B712" s="67">
        <v>31.489068279070235</v>
      </c>
      <c r="C712" s="67">
        <v>31.031045467738309</v>
      </c>
      <c r="D712" s="67">
        <v>31.489068279070235</v>
      </c>
      <c r="E712" s="67">
        <v>5074193.0368959708</v>
      </c>
      <c r="F712" s="67" t="s">
        <v>739</v>
      </c>
      <c r="G712" s="25">
        <f t="shared" si="7"/>
        <v>-5.4545454545453786E-3</v>
      </c>
    </row>
    <row r="713" spans="1:7">
      <c r="A713" s="67">
        <v>31.326851866723509</v>
      </c>
      <c r="B713" s="67">
        <v>32.514848533615712</v>
      </c>
      <c r="C713" s="67">
        <v>31.307767582918018</v>
      </c>
      <c r="D713" s="67">
        <v>32.395571759831356</v>
      </c>
      <c r="E713" s="67">
        <v>5140350.0911961347</v>
      </c>
      <c r="F713" s="67" t="s">
        <v>740</v>
      </c>
      <c r="G713" s="25">
        <f t="shared" si="7"/>
        <v>-3.29896907216497E-2</v>
      </c>
    </row>
    <row r="714" spans="1:7">
      <c r="A714" s="67">
        <v>32.49099317885883</v>
      </c>
      <c r="B714" s="67">
        <v>32.882220996871524</v>
      </c>
      <c r="C714" s="67">
        <v>32.281066056998363</v>
      </c>
      <c r="D714" s="67">
        <v>32.882220996871524</v>
      </c>
      <c r="E714" s="67">
        <v>4098384.8698304682</v>
      </c>
      <c r="F714" s="67" t="s">
        <v>741</v>
      </c>
      <c r="G714" s="25">
        <f t="shared" si="7"/>
        <v>-1.1897852582704704E-2</v>
      </c>
    </row>
    <row r="715" spans="1:7">
      <c r="A715" s="67">
        <v>32.643667449302811</v>
      </c>
      <c r="B715" s="67">
        <v>32.99672669970451</v>
      </c>
      <c r="C715" s="67">
        <v>32.591185668837696</v>
      </c>
      <c r="D715" s="67">
        <v>32.872678854968783</v>
      </c>
      <c r="E715" s="67">
        <v>4972724.2042305181</v>
      </c>
      <c r="F715" s="67" t="s">
        <v>742</v>
      </c>
      <c r="G715" s="25">
        <f t="shared" si="7"/>
        <v>-6.9666182873732163E-3</v>
      </c>
    </row>
    <row r="716" spans="1:7">
      <c r="A716" s="67">
        <v>32.910847422579771</v>
      </c>
      <c r="B716" s="67">
        <v>33.015810983510008</v>
      </c>
      <c r="C716" s="67">
        <v>32.290608198901118</v>
      </c>
      <c r="D716" s="67">
        <v>32.500535320761585</v>
      </c>
      <c r="E716" s="67">
        <v>4434652.1390350638</v>
      </c>
      <c r="F716" s="67" t="s">
        <v>743</v>
      </c>
      <c r="G716" s="25">
        <f t="shared" si="7"/>
        <v>1.2624779800352259E-2</v>
      </c>
    </row>
    <row r="717" spans="1:7">
      <c r="A717" s="67">
        <v>32.405113901734097</v>
      </c>
      <c r="B717" s="67">
        <v>33.669447703848277</v>
      </c>
      <c r="C717" s="67">
        <v>31.966175374207666</v>
      </c>
      <c r="D717" s="67">
        <v>33.483375936744686</v>
      </c>
      <c r="E717" s="67">
        <v>6814634.5613734368</v>
      </c>
      <c r="F717" s="67" t="s">
        <v>744</v>
      </c>
      <c r="G717" s="25">
        <f t="shared" si="7"/>
        <v>-3.2202906811057308E-2</v>
      </c>
    </row>
    <row r="718" spans="1:7">
      <c r="A718" s="67">
        <v>32.681836016913806</v>
      </c>
      <c r="B718" s="67">
        <v>32.958558132093515</v>
      </c>
      <c r="C718" s="67">
        <v>30.802034062072341</v>
      </c>
      <c r="D718" s="67">
        <v>31.374562576237256</v>
      </c>
      <c r="E718" s="67">
        <v>8947208.1708833203</v>
      </c>
      <c r="F718" s="67" t="s">
        <v>745</v>
      </c>
      <c r="G718" s="25">
        <f t="shared" si="7"/>
        <v>4.1666666666666519E-2</v>
      </c>
    </row>
    <row r="719" spans="1:7">
      <c r="A719" s="67">
        <v>31.288683299112517</v>
      </c>
      <c r="B719" s="67">
        <v>31.34593615052901</v>
      </c>
      <c r="C719" s="67">
        <v>30.744781210655848</v>
      </c>
      <c r="D719" s="67">
        <v>30.964250474419067</v>
      </c>
      <c r="E719" s="67">
        <v>5531881.6821195362</v>
      </c>
      <c r="F719" s="67" t="s">
        <v>746</v>
      </c>
      <c r="G719" s="25">
        <f t="shared" si="7"/>
        <v>1.047765793528499E-2</v>
      </c>
    </row>
    <row r="720" spans="1:7">
      <c r="A720" s="67">
        <v>30.94516619061357</v>
      </c>
      <c r="B720" s="67">
        <v>30.997647971078685</v>
      </c>
      <c r="C720" s="67">
        <v>30.5873358692605</v>
      </c>
      <c r="D720" s="67">
        <v>30.601649082114623</v>
      </c>
      <c r="E720" s="67">
        <v>6007048.5834516138</v>
      </c>
      <c r="F720" s="67" t="s">
        <v>747</v>
      </c>
      <c r="G720" s="25">
        <f t="shared" si="7"/>
        <v>1.1225444340505097E-2</v>
      </c>
    </row>
    <row r="721" spans="1:7">
      <c r="A721" s="67">
        <v>30.573022656406373</v>
      </c>
      <c r="B721" s="67">
        <v>31.069214035349301</v>
      </c>
      <c r="C721" s="67">
        <v>30.296300541226667</v>
      </c>
      <c r="D721" s="67">
        <v>30.964250474419067</v>
      </c>
      <c r="E721" s="67">
        <v>4956945.7761234464</v>
      </c>
      <c r="F721" s="67" t="s">
        <v>748</v>
      </c>
      <c r="G721" s="25">
        <f t="shared" si="7"/>
        <v>-1.2634822804314494E-2</v>
      </c>
    </row>
    <row r="722" spans="1:7">
      <c r="A722" s="67">
        <v>30.687528359239355</v>
      </c>
      <c r="B722" s="67">
        <v>31.264827944355645</v>
      </c>
      <c r="C722" s="67">
        <v>30.592106940211874</v>
      </c>
      <c r="D722" s="67">
        <v>31.183719738182283</v>
      </c>
      <c r="E722" s="67">
        <v>4830034.0185387917</v>
      </c>
      <c r="F722" s="67" t="s">
        <v>749</v>
      </c>
      <c r="G722" s="25">
        <f t="shared" si="7"/>
        <v>-1.5911872705018482E-2</v>
      </c>
    </row>
    <row r="723" spans="1:7">
      <c r="A723" s="67">
        <v>30.964250474419067</v>
      </c>
      <c r="B723" s="67">
        <v>31.16940652532816</v>
      </c>
      <c r="C723" s="67">
        <v>30.429890527865147</v>
      </c>
      <c r="D723" s="67">
        <v>30.534854088795381</v>
      </c>
      <c r="E723" s="67">
        <v>5368942.3739593681</v>
      </c>
      <c r="F723" s="67" t="s">
        <v>750</v>
      </c>
      <c r="G723" s="25">
        <f t="shared" si="7"/>
        <v>1.4062500000000089E-2</v>
      </c>
    </row>
    <row r="724" spans="1:7">
      <c r="A724" s="67">
        <v>30.687528359239355</v>
      </c>
      <c r="B724" s="67">
        <v>30.930852977759447</v>
      </c>
      <c r="C724" s="67">
        <v>30.420348385962399</v>
      </c>
      <c r="D724" s="67">
        <v>30.906997623002574</v>
      </c>
      <c r="E724" s="67">
        <v>4367044.6766251642</v>
      </c>
      <c r="F724" s="67" t="s">
        <v>751</v>
      </c>
      <c r="G724" s="25">
        <f t="shared" si="7"/>
        <v>-7.1009570855202764E-3</v>
      </c>
    </row>
    <row r="725" spans="1:7">
      <c r="A725" s="67">
        <v>31.07875617725205</v>
      </c>
      <c r="B725" s="67">
        <v>31.689453259027957</v>
      </c>
      <c r="C725" s="67">
        <v>31.002419042030063</v>
      </c>
      <c r="D725" s="67">
        <v>31.407960072896874</v>
      </c>
      <c r="E725" s="67">
        <v>4402970.5728750676</v>
      </c>
      <c r="F725" s="67" t="s">
        <v>752</v>
      </c>
      <c r="G725" s="25">
        <f t="shared" si="7"/>
        <v>-1.0481543369284529E-2</v>
      </c>
    </row>
    <row r="726" spans="1:7">
      <c r="A726" s="67">
        <v>31.34593615052901</v>
      </c>
      <c r="B726" s="67">
        <v>31.479621558586516</v>
      </c>
      <c r="C726" s="67">
        <v>31.011961183932808</v>
      </c>
      <c r="D726" s="67">
        <v>31.011961183932808</v>
      </c>
      <c r="E726" s="67">
        <v>4474222.9192485958</v>
      </c>
      <c r="F726" s="67" t="s">
        <v>753</v>
      </c>
      <c r="G726" s="25">
        <f t="shared" si="7"/>
        <v>1.0769230769230864E-2</v>
      </c>
    </row>
    <row r="727" spans="1:7">
      <c r="A727" s="67">
        <v>31.193261880085029</v>
      </c>
      <c r="B727" s="67">
        <v>31.617887194757341</v>
      </c>
      <c r="C727" s="67">
        <v>31.059671893446549</v>
      </c>
      <c r="D727" s="67">
        <v>31.088298319154795</v>
      </c>
      <c r="E727" s="67">
        <v>6089643.2470012074</v>
      </c>
      <c r="F727" s="67" t="s">
        <v>754</v>
      </c>
      <c r="G727" s="25">
        <f t="shared" si="7"/>
        <v>3.3763044812769039E-3</v>
      </c>
    </row>
    <row r="728" spans="1:7">
      <c r="A728" s="67">
        <v>31.116924744863041</v>
      </c>
      <c r="B728" s="67">
        <v>31.718079684736203</v>
      </c>
      <c r="C728" s="67">
        <v>30.248589831712923</v>
      </c>
      <c r="D728" s="67">
        <v>30.563480514503627</v>
      </c>
      <c r="E728" s="67">
        <v>6326870.9075276107</v>
      </c>
      <c r="F728" s="67" t="s">
        <v>755</v>
      </c>
      <c r="G728" s="25">
        <f t="shared" si="7"/>
        <v>1.8108023727755107E-2</v>
      </c>
    </row>
    <row r="729" spans="1:7">
      <c r="A729" s="67">
        <v>30.592106940211874</v>
      </c>
      <c r="B729" s="67">
        <v>30.940395119662192</v>
      </c>
      <c r="C729" s="67">
        <v>30.211852585387344</v>
      </c>
      <c r="D729" s="67">
        <v>30.353553392643157</v>
      </c>
      <c r="E729" s="67">
        <v>7976869.4257287374</v>
      </c>
      <c r="F729" s="67" t="s">
        <v>756</v>
      </c>
      <c r="G729" s="25">
        <f t="shared" si="7"/>
        <v>7.8591637849734219E-3</v>
      </c>
    </row>
    <row r="730" spans="1:7">
      <c r="A730" s="67">
        <v>30.382179818351403</v>
      </c>
      <c r="B730" s="67">
        <v>31.088298319154795</v>
      </c>
      <c r="C730" s="67">
        <v>29.885988439408479</v>
      </c>
      <c r="D730" s="67">
        <v>30.191336980296434</v>
      </c>
      <c r="E730" s="67">
        <v>6561622.1848435318</v>
      </c>
      <c r="F730" s="67" t="s">
        <v>757</v>
      </c>
      <c r="G730" s="25">
        <f t="shared" si="7"/>
        <v>6.321112515802696E-3</v>
      </c>
    </row>
    <row r="731" spans="1:7">
      <c r="A731" s="67">
        <v>30.515769804989883</v>
      </c>
      <c r="B731" s="67">
        <v>30.86692062701103</v>
      </c>
      <c r="C731" s="67">
        <v>29.590182040423276</v>
      </c>
      <c r="D731" s="67">
        <v>30.382179818351403</v>
      </c>
      <c r="E731" s="67">
        <v>9026547.8000479136</v>
      </c>
      <c r="F731" s="67" t="s">
        <v>758</v>
      </c>
      <c r="G731" s="25">
        <f t="shared" si="7"/>
        <v>4.3969849246230375E-3</v>
      </c>
    </row>
    <row r="732" spans="1:7">
      <c r="A732" s="67">
        <v>30.382179818351403</v>
      </c>
      <c r="B732" s="67">
        <v>30.716154784947602</v>
      </c>
      <c r="C732" s="67">
        <v>30.026735032474022</v>
      </c>
      <c r="D732" s="67">
        <v>30.105457703171698</v>
      </c>
      <c r="E732" s="67">
        <v>6654555.198105949</v>
      </c>
      <c r="F732" s="67" t="s">
        <v>759</v>
      </c>
      <c r="G732" s="25">
        <f t="shared" si="7"/>
        <v>9.1917591125196818E-3</v>
      </c>
    </row>
    <row r="733" spans="1:7">
      <c r="A733" s="67">
        <v>30.258131973615672</v>
      </c>
      <c r="B733" s="67">
        <v>31.79441681995819</v>
      </c>
      <c r="C733" s="67">
        <v>30.181794838393685</v>
      </c>
      <c r="D733" s="67">
        <v>31.489068279070235</v>
      </c>
      <c r="E733" s="67">
        <v>19277532.431897141</v>
      </c>
      <c r="F733" s="67" t="s">
        <v>760</v>
      </c>
      <c r="G733" s="25">
        <f t="shared" si="7"/>
        <v>-3.9090909090909065E-2</v>
      </c>
    </row>
    <row r="734" spans="1:7">
      <c r="A734" s="67">
        <v>31.240972589598776</v>
      </c>
      <c r="B734" s="67">
        <v>34.61411975222039</v>
      </c>
      <c r="C734" s="67">
        <v>30.821213767296864</v>
      </c>
      <c r="D734" s="67">
        <v>34.160868011839831</v>
      </c>
      <c r="E734" s="67">
        <v>20644950.788591415</v>
      </c>
      <c r="F734" s="67" t="s">
        <v>761</v>
      </c>
      <c r="G734" s="25">
        <f t="shared" si="7"/>
        <v>-8.5474860335195468E-2</v>
      </c>
    </row>
    <row r="735" spans="1:7">
      <c r="A735" s="67">
        <v>35.611273581057617</v>
      </c>
      <c r="B735" s="67">
        <v>35.649442148668605</v>
      </c>
      <c r="C735" s="67">
        <v>34.690456887442373</v>
      </c>
      <c r="D735" s="67">
        <v>35.019660783087204</v>
      </c>
      <c r="E735" s="67">
        <v>5757103.6523965625</v>
      </c>
      <c r="F735" s="67" t="s">
        <v>762</v>
      </c>
      <c r="G735" s="25">
        <f t="shared" si="7"/>
        <v>1.6893732970027386E-2</v>
      </c>
    </row>
    <row r="736" spans="1:7">
      <c r="A736" s="67">
        <v>34.819275803129486</v>
      </c>
      <c r="B736" s="67">
        <v>34.847902228837732</v>
      </c>
      <c r="C736" s="67">
        <v>34.361252991797549</v>
      </c>
      <c r="D736" s="67">
        <v>34.7047701002965</v>
      </c>
      <c r="E736" s="67">
        <v>6483200.5885576438</v>
      </c>
      <c r="F736" s="67" t="s">
        <v>763</v>
      </c>
      <c r="G736" s="25">
        <f t="shared" si="7"/>
        <v>3.2994226010449879E-3</v>
      </c>
    </row>
    <row r="737" spans="1:7">
      <c r="A737" s="67">
        <v>34.943323647865213</v>
      </c>
      <c r="B737" s="67">
        <v>35.34409360778065</v>
      </c>
      <c r="C737" s="67">
        <v>34.905155080254218</v>
      </c>
      <c r="D737" s="67">
        <v>35.07691363450369</v>
      </c>
      <c r="E737" s="67">
        <v>7090907.9627615092</v>
      </c>
      <c r="F737" s="67" t="s">
        <v>764</v>
      </c>
      <c r="G737" s="25">
        <f t="shared" si="7"/>
        <v>-3.808487486398171E-3</v>
      </c>
    </row>
    <row r="738" spans="1:7">
      <c r="A738" s="67">
        <v>35.325009323975159</v>
      </c>
      <c r="B738" s="67">
        <v>35.491996807273253</v>
      </c>
      <c r="C738" s="67">
        <v>35.105540060211936</v>
      </c>
      <c r="D738" s="67">
        <v>35.286840756364157</v>
      </c>
      <c r="E738" s="67">
        <v>5858553.6213727267</v>
      </c>
      <c r="F738" s="67" t="s">
        <v>765</v>
      </c>
      <c r="G738" s="25">
        <f t="shared" si="7"/>
        <v>1.0816657652787942E-3</v>
      </c>
    </row>
    <row r="739" spans="1:7">
      <c r="A739" s="67">
        <v>35.267756472558666</v>
      </c>
      <c r="B739" s="67">
        <v>35.34409360778065</v>
      </c>
      <c r="C739" s="67">
        <v>34.981492215476202</v>
      </c>
      <c r="D739" s="67">
        <v>35.200961479239425</v>
      </c>
      <c r="E739" s="67">
        <v>3863483.7309829774</v>
      </c>
      <c r="F739" s="67" t="s">
        <v>766</v>
      </c>
      <c r="G739" s="25">
        <f t="shared" si="7"/>
        <v>1.8975332068311701E-3</v>
      </c>
    </row>
    <row r="740" spans="1:7">
      <c r="A740" s="67">
        <v>35.095997918309195</v>
      </c>
      <c r="B740" s="67">
        <v>35.678068574376852</v>
      </c>
      <c r="C740" s="67">
        <v>34.981492215476202</v>
      </c>
      <c r="D740" s="67">
        <v>35.50631002012738</v>
      </c>
      <c r="E740" s="67">
        <v>5958128.749230165</v>
      </c>
      <c r="F740" s="67" t="s">
        <v>767</v>
      </c>
      <c r="G740" s="25">
        <f t="shared" si="7"/>
        <v>-1.1556033324375048E-2</v>
      </c>
    </row>
    <row r="741" spans="1:7">
      <c r="A741" s="67">
        <v>35.639900006765863</v>
      </c>
      <c r="B741" s="67">
        <v>35.973874973362058</v>
      </c>
      <c r="C741" s="67">
        <v>35.52539430393287</v>
      </c>
      <c r="D741" s="67">
        <v>35.735321425793344</v>
      </c>
      <c r="E741" s="67">
        <v>4143159.9323221436</v>
      </c>
      <c r="F741" s="67" t="s">
        <v>768</v>
      </c>
      <c r="G741" s="25">
        <f t="shared" si="7"/>
        <v>-2.6702269692923108E-3</v>
      </c>
    </row>
    <row r="742" spans="1:7">
      <c r="A742" s="67">
        <v>36.012043540973053</v>
      </c>
      <c r="B742" s="67">
        <v>36.193344237125274</v>
      </c>
      <c r="C742" s="67">
        <v>35.639900006765863</v>
      </c>
      <c r="D742" s="67">
        <v>36.059754250486797</v>
      </c>
      <c r="E742" s="67">
        <v>3783248.076577181</v>
      </c>
      <c r="F742" s="67" t="s">
        <v>769</v>
      </c>
      <c r="G742" s="25">
        <f t="shared" si="7"/>
        <v>-1.3231013495633714E-3</v>
      </c>
    </row>
    <row r="743" spans="1:7">
      <c r="A743" s="67">
        <v>35.821200702918084</v>
      </c>
      <c r="B743" s="67">
        <v>36.059754250486797</v>
      </c>
      <c r="C743" s="67">
        <v>35.66852643247411</v>
      </c>
      <c r="D743" s="67">
        <v>35.79257427720983</v>
      </c>
      <c r="E743" s="67">
        <v>4261246.6272680061</v>
      </c>
      <c r="F743" s="67" t="s">
        <v>770</v>
      </c>
      <c r="G743" s="25">
        <f t="shared" si="7"/>
        <v>7.9978672354052982E-4</v>
      </c>
    </row>
    <row r="744" spans="1:7">
      <c r="A744" s="67">
        <v>35.620815722960359</v>
      </c>
      <c r="B744" s="67">
        <v>35.911851050994194</v>
      </c>
      <c r="C744" s="67">
        <v>35.353635749683399</v>
      </c>
      <c r="D744" s="67">
        <v>35.6876107162796</v>
      </c>
      <c r="E744" s="67">
        <v>3813915.1954465527</v>
      </c>
      <c r="F744" s="67" t="s">
        <v>771</v>
      </c>
      <c r="G744" s="25">
        <f t="shared" si="7"/>
        <v>-1.8716577540107693E-3</v>
      </c>
    </row>
    <row r="745" spans="1:7">
      <c r="A745" s="67">
        <v>35.611273581057617</v>
      </c>
      <c r="B745" s="67">
        <v>35.768718922452962</v>
      </c>
      <c r="C745" s="67">
        <v>35.496767878224631</v>
      </c>
      <c r="D745" s="67">
        <v>35.630357864863115</v>
      </c>
      <c r="E745" s="67">
        <v>4434728.6417749561</v>
      </c>
      <c r="F745" s="67" t="s">
        <v>772</v>
      </c>
      <c r="G745" s="25">
        <f t="shared" si="7"/>
        <v>-5.3561863952866773E-4</v>
      </c>
    </row>
    <row r="746" spans="1:7">
      <c r="A746" s="67">
        <v>35.783032135307089</v>
      </c>
      <c r="B746" s="67">
        <v>35.964332831459309</v>
      </c>
      <c r="C746" s="67">
        <v>35.658984290571354</v>
      </c>
      <c r="D746" s="67">
        <v>35.878453554334577</v>
      </c>
      <c r="E746" s="67">
        <v>3090764.1387626883</v>
      </c>
      <c r="F746" s="67" t="s">
        <v>773</v>
      </c>
      <c r="G746" s="25">
        <f t="shared" si="7"/>
        <v>-2.6595744680851796E-3</v>
      </c>
    </row>
    <row r="747" spans="1:7">
      <c r="A747" s="67">
        <v>35.973874973362058</v>
      </c>
      <c r="B747" s="67">
        <v>36.38418707518025</v>
      </c>
      <c r="C747" s="67">
        <v>35.711466071036469</v>
      </c>
      <c r="D747" s="67">
        <v>36.269681372347264</v>
      </c>
      <c r="E747" s="67">
        <v>4599212.6764913024</v>
      </c>
      <c r="F747" s="67" t="s">
        <v>774</v>
      </c>
      <c r="G747" s="25">
        <f t="shared" si="7"/>
        <v>-8.1557484872402108E-3</v>
      </c>
    </row>
    <row r="748" spans="1:7">
      <c r="A748" s="67">
        <v>36.365102791374746</v>
      </c>
      <c r="B748" s="67">
        <v>36.688581401877926</v>
      </c>
      <c r="C748" s="67">
        <v>36.236283875687647</v>
      </c>
      <c r="D748" s="67">
        <v>36.498692778013229</v>
      </c>
      <c r="E748" s="67">
        <v>4161338.2408998054</v>
      </c>
      <c r="F748" s="67" t="s">
        <v>775</v>
      </c>
      <c r="G748" s="25">
        <f t="shared" si="7"/>
        <v>-3.6601307189543242E-3</v>
      </c>
    </row>
    <row r="749" spans="1:7">
      <c r="A749" s="67">
        <v>36.708619899873696</v>
      </c>
      <c r="B749" s="67">
        <v>37.471991252093588</v>
      </c>
      <c r="C749" s="67">
        <v>36.546403487526966</v>
      </c>
      <c r="D749" s="67">
        <v>37.443364826385341</v>
      </c>
      <c r="E749" s="67">
        <v>3273234.7012155969</v>
      </c>
      <c r="F749" s="67" t="s">
        <v>776</v>
      </c>
      <c r="G749" s="25">
        <f t="shared" si="7"/>
        <v>-1.9622833843017551E-2</v>
      </c>
    </row>
    <row r="750" spans="1:7">
      <c r="A750" s="67">
        <v>37.176184853108374</v>
      </c>
      <c r="B750" s="67">
        <v>37.195269136913872</v>
      </c>
      <c r="C750" s="67">
        <v>36.694306687019569</v>
      </c>
      <c r="D750" s="67">
        <v>36.84220988651218</v>
      </c>
      <c r="E750" s="67">
        <v>3858685.0180245368</v>
      </c>
      <c r="F750" s="67" t="s">
        <v>777</v>
      </c>
      <c r="G750" s="25">
        <f t="shared" si="7"/>
        <v>9.0650090650088444E-3</v>
      </c>
    </row>
    <row r="751" spans="1:7">
      <c r="A751" s="67">
        <v>36.956715589345158</v>
      </c>
      <c r="B751" s="67">
        <v>37.347943407357853</v>
      </c>
      <c r="C751" s="67">
        <v>36.804041318901184</v>
      </c>
      <c r="D751" s="67">
        <v>37.242979846427616</v>
      </c>
      <c r="E751" s="67">
        <v>3449796.73699026</v>
      </c>
      <c r="F751" s="67" t="s">
        <v>778</v>
      </c>
      <c r="G751" s="25">
        <f t="shared" si="7"/>
        <v>-7.6863950807071202E-3</v>
      </c>
    </row>
    <row r="752" spans="1:7">
      <c r="A752" s="67">
        <v>37.29069055594136</v>
      </c>
      <c r="B752" s="67">
        <v>37.799191297938833</v>
      </c>
      <c r="C752" s="67">
        <v>37.20004020786525</v>
      </c>
      <c r="D752" s="67">
        <v>37.519701961607325</v>
      </c>
      <c r="E752" s="67">
        <v>6911559.3408858432</v>
      </c>
      <c r="F752" s="67" t="s">
        <v>779</v>
      </c>
      <c r="G752" s="25">
        <f t="shared" si="7"/>
        <v>-6.1037639877924432E-3</v>
      </c>
    </row>
    <row r="753" spans="1:7">
      <c r="A753" s="67">
        <v>37.357485549260595</v>
      </c>
      <c r="B753" s="67">
        <v>37.596039096829308</v>
      </c>
      <c r="C753" s="67">
        <v>37.0235105826644</v>
      </c>
      <c r="D753" s="67">
        <v>37.500617677801827</v>
      </c>
      <c r="E753" s="67">
        <v>3388671.0478164284</v>
      </c>
      <c r="F753" s="67" t="s">
        <v>780</v>
      </c>
      <c r="G753" s="25">
        <f t="shared" si="7"/>
        <v>-3.8167938931298329E-3</v>
      </c>
    </row>
    <row r="754" spans="1:7">
      <c r="A754" s="67">
        <v>37.319316981649607</v>
      </c>
      <c r="B754" s="67">
        <v>37.338401265455104</v>
      </c>
      <c r="C754" s="67">
        <v>36.479608494207731</v>
      </c>
      <c r="D754" s="67">
        <v>36.479608494207731</v>
      </c>
      <c r="E754" s="67">
        <v>3699213.4847452333</v>
      </c>
      <c r="F754" s="67" t="s">
        <v>781</v>
      </c>
      <c r="G754" s="25">
        <f t="shared" si="7"/>
        <v>2.3018571802249532E-2</v>
      </c>
    </row>
    <row r="755" spans="1:7">
      <c r="A755" s="67">
        <v>36.575029913235213</v>
      </c>
      <c r="B755" s="67">
        <v>37.204811278816621</v>
      </c>
      <c r="C755" s="67">
        <v>36.470066352304983</v>
      </c>
      <c r="D755" s="67">
        <v>37.157100569302877</v>
      </c>
      <c r="E755" s="67">
        <v>2229999.3247711733</v>
      </c>
      <c r="F755" s="67" t="s">
        <v>782</v>
      </c>
      <c r="G755" s="25">
        <f t="shared" si="7"/>
        <v>-1.5665125834617433E-2</v>
      </c>
    </row>
    <row r="756" spans="1:7">
      <c r="A756" s="67">
        <v>36.928089163636919</v>
      </c>
      <c r="B756" s="67">
        <v>37.347943407357853</v>
      </c>
      <c r="C756" s="67">
        <v>36.799270247949806</v>
      </c>
      <c r="D756" s="67">
        <v>37.147558427400128</v>
      </c>
      <c r="E756" s="67">
        <v>2924625.3393026469</v>
      </c>
      <c r="F756" s="67" t="s">
        <v>783</v>
      </c>
      <c r="G756" s="25">
        <f t="shared" si="7"/>
        <v>-5.9080400719238035E-3</v>
      </c>
    </row>
    <row r="757" spans="1:7">
      <c r="A757" s="67">
        <v>36.899462737928673</v>
      </c>
      <c r="B757" s="67">
        <v>37.205288385911757</v>
      </c>
      <c r="C757" s="67">
        <v>36.508234919915978</v>
      </c>
      <c r="D757" s="67">
        <v>37.185726995011123</v>
      </c>
      <c r="E757" s="67">
        <v>2567429.8548152247</v>
      </c>
      <c r="F757" s="67" t="s">
        <v>784</v>
      </c>
      <c r="G757" s="25">
        <f t="shared" si="7"/>
        <v>-7.6982294072361901E-3</v>
      </c>
    </row>
    <row r="758" spans="1:7">
      <c r="A758" s="67">
        <v>37.185726995011123</v>
      </c>
      <c r="B758" s="67">
        <v>38.09223047577224</v>
      </c>
      <c r="C758" s="67">
        <v>37.0235105826644</v>
      </c>
      <c r="D758" s="67">
        <v>37.844134786300771</v>
      </c>
      <c r="E758" s="67">
        <v>6267329.7682540109</v>
      </c>
      <c r="F758" s="67" t="s">
        <v>785</v>
      </c>
      <c r="G758" s="25">
        <f t="shared" si="7"/>
        <v>-1.7397881996974229E-2</v>
      </c>
    </row>
    <row r="759" spans="1:7">
      <c r="A759" s="67">
        <v>37.82505050249528</v>
      </c>
      <c r="B759" s="67">
        <v>37.977724772939254</v>
      </c>
      <c r="C759" s="67">
        <v>36.250597088541767</v>
      </c>
      <c r="D759" s="67">
        <v>37.061679150275396</v>
      </c>
      <c r="E759" s="67">
        <v>7597705.0790994084</v>
      </c>
      <c r="F759" s="67" t="s">
        <v>786</v>
      </c>
      <c r="G759" s="25">
        <f t="shared" si="7"/>
        <v>2.059732234809486E-2</v>
      </c>
    </row>
    <row r="760" spans="1:7">
      <c r="A760" s="67">
        <v>37.204811278816621</v>
      </c>
      <c r="B760" s="67">
        <v>38.588421854715158</v>
      </c>
      <c r="C760" s="67">
        <v>36.861294170317677</v>
      </c>
      <c r="D760" s="67">
        <v>38.588421854715158</v>
      </c>
      <c r="E760" s="67">
        <v>5245462.7598424787</v>
      </c>
      <c r="F760" s="67" t="s">
        <v>787</v>
      </c>
      <c r="G760" s="25">
        <f t="shared" ref="G760:G823" si="8">A760/D760-1</f>
        <v>-3.5855588526211624E-2</v>
      </c>
    </row>
    <row r="761" spans="1:7">
      <c r="A761" s="67">
        <v>38.741096125159139</v>
      </c>
      <c r="B761" s="67">
        <v>39.167629868211996</v>
      </c>
      <c r="C761" s="67">
        <v>38.645674706131651</v>
      </c>
      <c r="D761" s="67">
        <v>39.008276098436099</v>
      </c>
      <c r="E761" s="67">
        <v>2671204.2495048251</v>
      </c>
      <c r="F761" s="67" t="s">
        <v>788</v>
      </c>
      <c r="G761" s="25">
        <f t="shared" si="8"/>
        <v>-6.8493150684931781E-3</v>
      </c>
    </row>
    <row r="762" spans="1:7">
      <c r="A762" s="67">
        <v>38.741096125159139</v>
      </c>
      <c r="B762" s="67">
        <v>39.905237437294467</v>
      </c>
      <c r="C762" s="67">
        <v>38.722011841353641</v>
      </c>
      <c r="D762" s="67">
        <v>39.905237437294467</v>
      </c>
      <c r="E762" s="67">
        <v>3848761.6694760597</v>
      </c>
      <c r="F762" s="67" t="s">
        <v>789</v>
      </c>
      <c r="G762" s="25">
        <f t="shared" si="8"/>
        <v>-2.917264466762326E-2</v>
      </c>
    </row>
    <row r="763" spans="1:7">
      <c r="A763" s="67">
        <v>39.771647450655976</v>
      </c>
      <c r="B763" s="67">
        <v>40.378124800391973</v>
      </c>
      <c r="C763" s="67">
        <v>39.705313990528602</v>
      </c>
      <c r="D763" s="67">
        <v>40.179124420009849</v>
      </c>
      <c r="E763" s="67">
        <v>2203633.4260162627</v>
      </c>
      <c r="F763" s="67" t="s">
        <v>790</v>
      </c>
      <c r="G763" s="25">
        <f t="shared" si="8"/>
        <v>-1.0141509433962193E-2</v>
      </c>
    </row>
    <row r="764" spans="1:7">
      <c r="A764" s="67">
        <v>40.112790959882474</v>
      </c>
      <c r="B764" s="67">
        <v>40.21229115007354</v>
      </c>
      <c r="C764" s="67">
        <v>39.454194462903537</v>
      </c>
      <c r="D764" s="67">
        <v>39.657932947580477</v>
      </c>
      <c r="E764" s="67">
        <v>2478188.378600202</v>
      </c>
      <c r="F764" s="67" t="s">
        <v>791</v>
      </c>
      <c r="G764" s="25">
        <f t="shared" si="8"/>
        <v>1.1469534050179142E-2</v>
      </c>
    </row>
    <row r="765" spans="1:7">
      <c r="A765" s="67">
        <v>39.468408775787978</v>
      </c>
      <c r="B765" s="67">
        <v>40.131838139147618</v>
      </c>
      <c r="C765" s="67">
        <v>39.217289248162913</v>
      </c>
      <c r="D765" s="67">
        <v>39.657932947580477</v>
      </c>
      <c r="E765" s="67">
        <v>2589184.2468371661</v>
      </c>
      <c r="F765" s="67" t="s">
        <v>792</v>
      </c>
      <c r="G765" s="25">
        <f t="shared" si="8"/>
        <v>-4.7789725209079759E-3</v>
      </c>
    </row>
    <row r="766" spans="1:7">
      <c r="A766" s="67">
        <v>39.354694272712479</v>
      </c>
      <c r="B766" s="67">
        <v>39.605813800337543</v>
      </c>
      <c r="C766" s="67">
        <v>39.041979389254855</v>
      </c>
      <c r="D766" s="67">
        <v>39.316789438353979</v>
      </c>
      <c r="E766" s="67">
        <v>4118763.28289484</v>
      </c>
      <c r="F766" s="67" t="s">
        <v>793</v>
      </c>
      <c r="G766" s="25">
        <f t="shared" si="8"/>
        <v>9.6408773198364273E-4</v>
      </c>
    </row>
    <row r="767" spans="1:7">
      <c r="A767" s="67">
        <v>39.288360812585104</v>
      </c>
      <c r="B767" s="67">
        <v>39.695837781938977</v>
      </c>
      <c r="C767" s="67">
        <v>38.786121757334982</v>
      </c>
      <c r="D767" s="67">
        <v>39.174646309509605</v>
      </c>
      <c r="E767" s="67">
        <v>2322226.2144053243</v>
      </c>
      <c r="F767" s="67" t="s">
        <v>794</v>
      </c>
      <c r="G767" s="25">
        <f t="shared" si="8"/>
        <v>2.9027576197386828E-3</v>
      </c>
    </row>
    <row r="768" spans="1:7">
      <c r="A768" s="67">
        <v>39.240979769636979</v>
      </c>
      <c r="B768" s="67">
        <v>40.036981291165475</v>
      </c>
      <c r="C768" s="67">
        <v>39.094098536497796</v>
      </c>
      <c r="D768" s="67">
        <v>39.695837781938977</v>
      </c>
      <c r="E768" s="67">
        <v>3330586.2467564242</v>
      </c>
      <c r="F768" s="67" t="s">
        <v>795</v>
      </c>
      <c r="G768" s="25">
        <f t="shared" si="8"/>
        <v>-1.1458582000477446E-2</v>
      </c>
    </row>
    <row r="769" spans="1:7">
      <c r="A769" s="67">
        <v>39.430503941429478</v>
      </c>
      <c r="B769" s="67">
        <v>39.800076076424851</v>
      </c>
      <c r="C769" s="67">
        <v>38.520787916825483</v>
      </c>
      <c r="D769" s="67">
        <v>39.705313990528602</v>
      </c>
      <c r="E769" s="67">
        <v>3806313.4278714205</v>
      </c>
      <c r="F769" s="67" t="s">
        <v>796</v>
      </c>
      <c r="G769" s="25">
        <f t="shared" si="8"/>
        <v>-6.9212410501192645E-3</v>
      </c>
    </row>
    <row r="770" spans="1:7">
      <c r="A770" s="67">
        <v>39.828504702193726</v>
      </c>
      <c r="B770" s="67">
        <v>40.003814561101791</v>
      </c>
      <c r="C770" s="67">
        <v>39.534742235915353</v>
      </c>
      <c r="D770" s="67">
        <v>39.856933327962601</v>
      </c>
      <c r="E770" s="67">
        <v>3293841.5933745615</v>
      </c>
      <c r="F770" s="67" t="s">
        <v>797</v>
      </c>
      <c r="G770" s="25">
        <f t="shared" si="8"/>
        <v>-7.1326676176886039E-4</v>
      </c>
    </row>
    <row r="771" spans="1:7">
      <c r="A771" s="67">
        <v>39.601075696042727</v>
      </c>
      <c r="B771" s="67">
        <v>39.818838969432306</v>
      </c>
      <c r="C771" s="67">
        <v>39.345218064122854</v>
      </c>
      <c r="D771" s="67">
        <v>39.364170481302104</v>
      </c>
      <c r="E771" s="67">
        <v>4175033.6778483456</v>
      </c>
      <c r="F771" s="67" t="s">
        <v>798</v>
      </c>
      <c r="G771" s="25">
        <f t="shared" si="8"/>
        <v>6.0182956186807246E-3</v>
      </c>
    </row>
    <row r="772" spans="1:7">
      <c r="A772" s="67">
        <v>39.563170861684227</v>
      </c>
      <c r="B772" s="67">
        <v>40.051195604049916</v>
      </c>
      <c r="C772" s="67">
        <v>39.326265646943604</v>
      </c>
      <c r="D772" s="67">
        <v>39.885361953731483</v>
      </c>
      <c r="E772" s="67">
        <v>3509329.6739383112</v>
      </c>
      <c r="F772" s="67" t="s">
        <v>799</v>
      </c>
      <c r="G772" s="25">
        <f t="shared" si="8"/>
        <v>-8.0779282489904514E-3</v>
      </c>
    </row>
    <row r="773" spans="1:7">
      <c r="A773" s="67">
        <v>39.875885745141851</v>
      </c>
      <c r="B773" s="67">
        <v>40.264410297316481</v>
      </c>
      <c r="C773" s="67">
        <v>39.837980910783351</v>
      </c>
      <c r="D773" s="67">
        <v>39.9706478310381</v>
      </c>
      <c r="E773" s="67">
        <v>3080568.5337024988</v>
      </c>
      <c r="F773" s="67" t="s">
        <v>800</v>
      </c>
      <c r="G773" s="25">
        <f t="shared" si="8"/>
        <v>-2.3707918444760834E-3</v>
      </c>
    </row>
    <row r="774" spans="1:7">
      <c r="A774" s="67">
        <v>40.131743377061724</v>
      </c>
      <c r="B774" s="67">
        <v>40.425505843340098</v>
      </c>
      <c r="C774" s="67">
        <v>39.942219205269225</v>
      </c>
      <c r="D774" s="67">
        <v>40.368648591802355</v>
      </c>
      <c r="E774" s="67">
        <v>2961918.7604977386</v>
      </c>
      <c r="F774" s="67" t="s">
        <v>801</v>
      </c>
      <c r="G774" s="25">
        <f t="shared" si="8"/>
        <v>-5.8685446009391073E-3</v>
      </c>
    </row>
    <row r="775" spans="1:7">
      <c r="A775" s="67">
        <v>40.567648972184479</v>
      </c>
      <c r="B775" s="67">
        <v>41.079364236024226</v>
      </c>
      <c r="C775" s="67">
        <v>40.529744137825979</v>
      </c>
      <c r="D775" s="67">
        <v>40.984602150127969</v>
      </c>
      <c r="E775" s="67">
        <v>2897396.1200116035</v>
      </c>
      <c r="F775" s="67" t="s">
        <v>802</v>
      </c>
      <c r="G775" s="25">
        <f t="shared" si="8"/>
        <v>-1.017341040462405E-2</v>
      </c>
    </row>
    <row r="776" spans="1:7">
      <c r="A776" s="67">
        <v>40.975125941538352</v>
      </c>
      <c r="B776" s="67">
        <v>41.084102340319035</v>
      </c>
      <c r="C776" s="67">
        <v>40.444458260519347</v>
      </c>
      <c r="D776" s="67">
        <v>40.596077597953354</v>
      </c>
      <c r="E776" s="67">
        <v>2769222.4956646459</v>
      </c>
      <c r="F776" s="67" t="s">
        <v>803</v>
      </c>
      <c r="G776" s="25">
        <f t="shared" si="8"/>
        <v>9.3370681605975392E-3</v>
      </c>
    </row>
    <row r="777" spans="1:7">
      <c r="A777" s="67">
        <v>40.738220726797728</v>
      </c>
      <c r="B777" s="67">
        <v>41.164650113330843</v>
      </c>
      <c r="C777" s="67">
        <v>40.596077597953354</v>
      </c>
      <c r="D777" s="67">
        <v>40.709792101028853</v>
      </c>
      <c r="E777" s="67">
        <v>3286004.0706672929</v>
      </c>
      <c r="F777" s="67" t="s">
        <v>804</v>
      </c>
      <c r="G777" s="25">
        <f t="shared" si="8"/>
        <v>6.9832402234637492E-4</v>
      </c>
    </row>
    <row r="778" spans="1:7">
      <c r="A778" s="67">
        <v>40.728744518208096</v>
      </c>
      <c r="B778" s="67">
        <v>41.022506984486469</v>
      </c>
      <c r="C778" s="67">
        <v>40.444458260519347</v>
      </c>
      <c r="D778" s="67">
        <v>40.577125180774097</v>
      </c>
      <c r="E778" s="67">
        <v>4375352.1894182907</v>
      </c>
      <c r="F778" s="67" t="s">
        <v>805</v>
      </c>
      <c r="G778" s="25">
        <f t="shared" si="8"/>
        <v>3.7365716954693706E-3</v>
      </c>
    </row>
    <row r="779" spans="1:7">
      <c r="A779" s="67">
        <v>40.529744137825979</v>
      </c>
      <c r="B779" s="67">
        <v>41.098316653203469</v>
      </c>
      <c r="C779" s="67">
        <v>40.06540991693435</v>
      </c>
      <c r="D779" s="67">
        <v>40.984602150127969</v>
      </c>
      <c r="E779" s="67">
        <v>3674750.2622647695</v>
      </c>
      <c r="F779" s="67" t="s">
        <v>806</v>
      </c>
      <c r="G779" s="25">
        <f t="shared" si="8"/>
        <v>-1.109826589595353E-2</v>
      </c>
    </row>
    <row r="780" spans="1:7">
      <c r="A780" s="67">
        <v>41.259412199227093</v>
      </c>
      <c r="B780" s="67">
        <v>41.989080260628221</v>
      </c>
      <c r="C780" s="67">
        <v>41.159912009036034</v>
      </c>
      <c r="D780" s="67">
        <v>41.534222248326216</v>
      </c>
      <c r="E780" s="67">
        <v>3292428.5810001125</v>
      </c>
      <c r="F780" s="67" t="s">
        <v>807</v>
      </c>
      <c r="G780" s="25">
        <f t="shared" si="8"/>
        <v>-6.616472735569201E-3</v>
      </c>
    </row>
    <row r="781" spans="1:7">
      <c r="A781" s="67">
        <v>41.619508125632848</v>
      </c>
      <c r="B781" s="67">
        <v>42.282842726906594</v>
      </c>
      <c r="C781" s="67">
        <v>41.467888788198842</v>
      </c>
      <c r="D781" s="67">
        <v>41.600555708453591</v>
      </c>
      <c r="E781" s="67">
        <v>4299437.862164286</v>
      </c>
      <c r="F781" s="67" t="s">
        <v>808</v>
      </c>
      <c r="G781" s="25">
        <f t="shared" si="8"/>
        <v>4.5558086560371081E-4</v>
      </c>
    </row>
    <row r="782" spans="1:7">
      <c r="A782" s="67">
        <v>41.638460542812091</v>
      </c>
      <c r="B782" s="67">
        <v>41.695317794349847</v>
      </c>
      <c r="C782" s="67">
        <v>41.27836461640635</v>
      </c>
      <c r="D782" s="67">
        <v>41.411031536661099</v>
      </c>
      <c r="E782" s="67">
        <v>3589109.4711905285</v>
      </c>
      <c r="F782" s="67" t="s">
        <v>809</v>
      </c>
      <c r="G782" s="25">
        <f t="shared" si="8"/>
        <v>5.4919908466817269E-3</v>
      </c>
    </row>
    <row r="783" spans="1:7">
      <c r="A783" s="67">
        <v>41.610031917043216</v>
      </c>
      <c r="B783" s="67">
        <v>42.500795524467968</v>
      </c>
      <c r="C783" s="67">
        <v>41.344698076533724</v>
      </c>
      <c r="D783" s="67">
        <v>42.406033438571718</v>
      </c>
      <c r="E783" s="67">
        <v>5760951.7016932359</v>
      </c>
      <c r="F783" s="67" t="s">
        <v>810</v>
      </c>
      <c r="G783" s="25">
        <f t="shared" si="8"/>
        <v>-1.8770949720670504E-2</v>
      </c>
    </row>
    <row r="784" spans="1:7">
      <c r="A784" s="67">
        <v>42.642938653312342</v>
      </c>
      <c r="B784" s="67">
        <v>43.097796665614339</v>
      </c>
      <c r="C784" s="67">
        <v>42.424985855750968</v>
      </c>
      <c r="D784" s="67">
        <v>42.92722491100109</v>
      </c>
      <c r="E784" s="67">
        <v>7082714.501819157</v>
      </c>
      <c r="F784" s="67" t="s">
        <v>811</v>
      </c>
      <c r="G784" s="25">
        <f t="shared" si="8"/>
        <v>-6.6225165562914245E-3</v>
      </c>
    </row>
    <row r="785" spans="1:7">
      <c r="A785" s="67">
        <v>42.860891450873716</v>
      </c>
      <c r="B785" s="67">
        <v>44.718228334440205</v>
      </c>
      <c r="C785" s="67">
        <v>42.510271733057593</v>
      </c>
      <c r="D785" s="67">
        <v>44.490799328289214</v>
      </c>
      <c r="E785" s="67">
        <v>12639052.725277767</v>
      </c>
      <c r="F785" s="67" t="s">
        <v>812</v>
      </c>
      <c r="G785" s="25">
        <f t="shared" si="8"/>
        <v>-3.6634717784877591E-2</v>
      </c>
    </row>
    <row r="786" spans="1:7">
      <c r="A786" s="67">
        <v>44.547656579826956</v>
      </c>
      <c r="B786" s="67">
        <v>45.021467009308203</v>
      </c>
      <c r="C786" s="67">
        <v>42.410771542866534</v>
      </c>
      <c r="D786" s="67">
        <v>43.183082542920964</v>
      </c>
      <c r="E786" s="67">
        <v>10042665.175626568</v>
      </c>
      <c r="F786" s="67" t="s">
        <v>813</v>
      </c>
      <c r="G786" s="25">
        <f t="shared" si="8"/>
        <v>3.1599736668860956E-2</v>
      </c>
    </row>
    <row r="787" spans="1:7">
      <c r="A787" s="67">
        <v>43.097796665614339</v>
      </c>
      <c r="B787" s="67">
        <v>45.229943598279952</v>
      </c>
      <c r="C787" s="67">
        <v>42.661891070491592</v>
      </c>
      <c r="D787" s="67">
        <v>44.751395064503896</v>
      </c>
      <c r="E787" s="67">
        <v>11697095.832330853</v>
      </c>
      <c r="F787" s="67" t="s">
        <v>814</v>
      </c>
      <c r="G787" s="25">
        <f t="shared" si="8"/>
        <v>-3.6950767601905743E-2</v>
      </c>
    </row>
    <row r="788" spans="1:7">
      <c r="A788" s="67">
        <v>46.386041046214203</v>
      </c>
      <c r="B788" s="67">
        <v>46.499755549289702</v>
      </c>
      <c r="C788" s="67">
        <v>46.006992702629205</v>
      </c>
      <c r="D788" s="67">
        <v>46.101754788525454</v>
      </c>
      <c r="E788" s="67">
        <v>7084493.6943981871</v>
      </c>
      <c r="F788" s="67" t="s">
        <v>815</v>
      </c>
      <c r="G788" s="25">
        <f t="shared" si="8"/>
        <v>6.1664953751283669E-3</v>
      </c>
    </row>
    <row r="789" spans="1:7">
      <c r="A789" s="67">
        <v>46.243897917369829</v>
      </c>
      <c r="B789" s="67">
        <v>46.708232138261451</v>
      </c>
      <c r="C789" s="67">
        <v>45.409991561482833</v>
      </c>
      <c r="D789" s="67">
        <v>45.495277438789451</v>
      </c>
      <c r="E789" s="67">
        <v>5190585.4049954647</v>
      </c>
      <c r="F789" s="67" t="s">
        <v>816</v>
      </c>
      <c r="G789" s="25">
        <f t="shared" si="8"/>
        <v>1.6454905228077576E-2</v>
      </c>
    </row>
    <row r="790" spans="1:7">
      <c r="A790" s="67">
        <v>45.751135070709331</v>
      </c>
      <c r="B790" s="67">
        <v>46.291278960317953</v>
      </c>
      <c r="C790" s="67">
        <v>45.239419806869584</v>
      </c>
      <c r="D790" s="67">
        <v>45.713230236350832</v>
      </c>
      <c r="E790" s="67">
        <v>4836606.2826202409</v>
      </c>
      <c r="F790" s="67" t="s">
        <v>817</v>
      </c>
      <c r="G790" s="25">
        <f t="shared" si="8"/>
        <v>8.2918739635151617E-4</v>
      </c>
    </row>
    <row r="791" spans="1:7">
      <c r="A791" s="67">
        <v>46.01646891121883</v>
      </c>
      <c r="B791" s="67">
        <v>46.812470432747325</v>
      </c>
      <c r="C791" s="67">
        <v>45.798516113657456</v>
      </c>
      <c r="D791" s="67">
        <v>46.755613181209583</v>
      </c>
      <c r="E791" s="67">
        <v>6602783.1076348517</v>
      </c>
      <c r="F791" s="67" t="s">
        <v>818</v>
      </c>
      <c r="G791" s="25">
        <f t="shared" si="8"/>
        <v>-1.5808674503445586E-2</v>
      </c>
    </row>
    <row r="792" spans="1:7">
      <c r="A792" s="67">
        <v>46.708232138261451</v>
      </c>
      <c r="B792" s="67">
        <v>47.580043328506946</v>
      </c>
      <c r="C792" s="67">
        <v>45.599515733275325</v>
      </c>
      <c r="D792" s="67">
        <v>46.765089389799201</v>
      </c>
      <c r="E792" s="67">
        <v>9863350.8450133335</v>
      </c>
      <c r="F792" s="67" t="s">
        <v>819</v>
      </c>
      <c r="G792" s="25">
        <f t="shared" si="8"/>
        <v>-1.2158054711246535E-3</v>
      </c>
    </row>
    <row r="793" spans="1:7">
      <c r="A793" s="67">
        <v>45.343658101355459</v>
      </c>
      <c r="B793" s="67">
        <v>45.381562935713958</v>
      </c>
      <c r="C793" s="67">
        <v>44.642418665723206</v>
      </c>
      <c r="D793" s="67">
        <v>44.727704543029837</v>
      </c>
      <c r="E793" s="67">
        <v>6763444.4085761234</v>
      </c>
      <c r="F793" s="67" t="s">
        <v>820</v>
      </c>
      <c r="G793" s="25">
        <f t="shared" si="8"/>
        <v>1.3771186440677985E-2</v>
      </c>
    </row>
    <row r="794" spans="1:7">
      <c r="A794" s="67">
        <v>44.585561414185456</v>
      </c>
      <c r="B794" s="67">
        <v>44.661371082902463</v>
      </c>
      <c r="C794" s="67">
        <v>43.988560273039091</v>
      </c>
      <c r="D794" s="67">
        <v>44.301275156496708</v>
      </c>
      <c r="E794" s="67">
        <v>4813097.9355958942</v>
      </c>
      <c r="F794" s="67" t="s">
        <v>821</v>
      </c>
      <c r="G794" s="25">
        <f t="shared" si="8"/>
        <v>6.4171122994651775E-3</v>
      </c>
    </row>
    <row r="795" spans="1:7">
      <c r="A795" s="67">
        <v>44.111750984704209</v>
      </c>
      <c r="B795" s="67">
        <v>44.343918095150023</v>
      </c>
      <c r="C795" s="67">
        <v>44.016988898807966</v>
      </c>
      <c r="D795" s="67">
        <v>44.15913202765234</v>
      </c>
      <c r="E795" s="67">
        <v>3578548.2853477458</v>
      </c>
      <c r="F795" s="67" t="s">
        <v>822</v>
      </c>
      <c r="G795" s="25">
        <f t="shared" si="8"/>
        <v>-1.0729613733907462E-3</v>
      </c>
    </row>
    <row r="796" spans="1:7">
      <c r="A796" s="67">
        <v>44.405513450982582</v>
      </c>
      <c r="B796" s="67">
        <v>45.00725269642377</v>
      </c>
      <c r="C796" s="67">
        <v>44.367608616624082</v>
      </c>
      <c r="D796" s="67">
        <v>44.405513450982582</v>
      </c>
      <c r="E796" s="67">
        <v>4527808.7321733478</v>
      </c>
      <c r="F796" s="67" t="s">
        <v>823</v>
      </c>
      <c r="G796" s="25">
        <f t="shared" si="8"/>
        <v>0</v>
      </c>
    </row>
    <row r="797" spans="1:7">
      <c r="A797" s="67">
        <v>44.272846530727833</v>
      </c>
      <c r="B797" s="67">
        <v>44.471846911109957</v>
      </c>
      <c r="C797" s="67">
        <v>44.054893733166466</v>
      </c>
      <c r="D797" s="67">
        <v>44.054893733166466</v>
      </c>
      <c r="E797" s="67">
        <v>4338014.4718434177</v>
      </c>
      <c r="F797" s="67" t="s">
        <v>824</v>
      </c>
      <c r="G797" s="25">
        <f t="shared" si="8"/>
        <v>4.9473004947298005E-3</v>
      </c>
    </row>
    <row r="798" spans="1:7">
      <c r="A798" s="67">
        <v>43.950655438680592</v>
      </c>
      <c r="B798" s="67">
        <v>44.263370322138215</v>
      </c>
      <c r="C798" s="67">
        <v>43.604773825159278</v>
      </c>
      <c r="D798" s="67">
        <v>44.035941315987209</v>
      </c>
      <c r="E798" s="67">
        <v>3946669.1394854723</v>
      </c>
      <c r="F798" s="67" t="s">
        <v>825</v>
      </c>
      <c r="G798" s="25">
        <f t="shared" si="8"/>
        <v>-1.9367333763716799E-3</v>
      </c>
    </row>
    <row r="799" spans="1:7">
      <c r="A799" s="67">
        <v>43.618988138043711</v>
      </c>
      <c r="B799" s="67">
        <v>44.206513070600458</v>
      </c>
      <c r="C799" s="67">
        <v>43.140439604267648</v>
      </c>
      <c r="D799" s="67">
        <v>43.239939794458714</v>
      </c>
      <c r="E799" s="67">
        <v>3620012.1256889338</v>
      </c>
      <c r="F799" s="67" t="s">
        <v>826</v>
      </c>
      <c r="G799" s="25">
        <f t="shared" si="8"/>
        <v>8.7661626123163305E-3</v>
      </c>
    </row>
    <row r="800" spans="1:7">
      <c r="A800" s="67">
        <v>43.258892211637963</v>
      </c>
      <c r="B800" s="67">
        <v>43.419987757661588</v>
      </c>
      <c r="C800" s="67">
        <v>42.756653156387841</v>
      </c>
      <c r="D800" s="67">
        <v>43.031463205486965</v>
      </c>
      <c r="E800" s="67">
        <v>3422751.7992281397</v>
      </c>
      <c r="F800" s="67" t="s">
        <v>827</v>
      </c>
      <c r="G800" s="25">
        <f t="shared" si="8"/>
        <v>5.2851794758863591E-3</v>
      </c>
    </row>
    <row r="801" spans="1:7">
      <c r="A801" s="67">
        <v>42.92722491100109</v>
      </c>
      <c r="B801" s="67">
        <v>43.301535150291279</v>
      </c>
      <c r="C801" s="67">
        <v>42.851415242284091</v>
      </c>
      <c r="D801" s="67">
        <v>43.050415622666215</v>
      </c>
      <c r="E801" s="67">
        <v>3312896.6825795094</v>
      </c>
      <c r="F801" s="67" t="s">
        <v>828</v>
      </c>
      <c r="G801" s="25">
        <f t="shared" si="8"/>
        <v>-2.8615452344266101E-3</v>
      </c>
    </row>
    <row r="802" spans="1:7">
      <c r="A802" s="67">
        <v>43.220987377279464</v>
      </c>
      <c r="B802" s="67">
        <v>43.363130506123838</v>
      </c>
      <c r="C802" s="67">
        <v>42.255551246168473</v>
      </c>
      <c r="D802" s="67">
        <v>42.453414481519843</v>
      </c>
      <c r="E802" s="67">
        <v>6737915.2111432105</v>
      </c>
      <c r="F802" s="67" t="s">
        <v>829</v>
      </c>
      <c r="G802" s="25">
        <f t="shared" si="8"/>
        <v>1.8080357142857162E-2</v>
      </c>
    </row>
    <row r="803" spans="1:7">
      <c r="A803" s="67">
        <v>42.775605573567091</v>
      </c>
      <c r="B803" s="67">
        <v>42.974605953949215</v>
      </c>
      <c r="C803" s="67">
        <v>41.932223009090471</v>
      </c>
      <c r="D803" s="67">
        <v>42.415509647161343</v>
      </c>
      <c r="E803" s="67">
        <v>4191979.2735980856</v>
      </c>
      <c r="F803" s="67" t="s">
        <v>830</v>
      </c>
      <c r="G803" s="25">
        <f t="shared" si="8"/>
        <v>8.4897229669347318E-3</v>
      </c>
    </row>
    <row r="804" spans="1:7">
      <c r="A804" s="67">
        <v>42.339699978444344</v>
      </c>
      <c r="B804" s="67">
        <v>43.353654297534213</v>
      </c>
      <c r="C804" s="67">
        <v>42.045937512165963</v>
      </c>
      <c r="D804" s="67">
        <v>42.936701119590715</v>
      </c>
      <c r="E804" s="67">
        <v>2275088.1638046801</v>
      </c>
      <c r="F804" s="67" t="s">
        <v>831</v>
      </c>
      <c r="G804" s="25">
        <f t="shared" si="8"/>
        <v>-1.3904215404987874E-2</v>
      </c>
    </row>
    <row r="805" spans="1:7">
      <c r="A805" s="67">
        <v>43.173606334331339</v>
      </c>
      <c r="B805" s="67">
        <v>43.353654297534213</v>
      </c>
      <c r="C805" s="67">
        <v>42.567128984595342</v>
      </c>
      <c r="D805" s="67">
        <v>42.718748322029342</v>
      </c>
      <c r="E805" s="67">
        <v>4501388.8831765549</v>
      </c>
      <c r="F805" s="67" t="s">
        <v>832</v>
      </c>
      <c r="G805" s="25">
        <f t="shared" si="8"/>
        <v>1.0647737355811815E-2</v>
      </c>
    </row>
    <row r="806" spans="1:7">
      <c r="A806" s="67">
        <v>42.358652395623594</v>
      </c>
      <c r="B806" s="67">
        <v>42.576605193184967</v>
      </c>
      <c r="C806" s="67">
        <v>41.657412959991348</v>
      </c>
      <c r="D806" s="67">
        <v>42.301795144085844</v>
      </c>
      <c r="E806" s="67">
        <v>5028224.057052522</v>
      </c>
      <c r="F806" s="67" t="s">
        <v>833</v>
      </c>
      <c r="G806" s="25">
        <f t="shared" si="8"/>
        <v>1.3440860215052641E-3</v>
      </c>
    </row>
    <row r="807" spans="1:7">
      <c r="A807" s="67">
        <v>42.718748322029342</v>
      </c>
      <c r="B807" s="67">
        <v>43.00303457971809</v>
      </c>
      <c r="C807" s="67">
        <v>42.486581211583534</v>
      </c>
      <c r="D807" s="67">
        <v>43.00303457971809</v>
      </c>
      <c r="E807" s="67">
        <v>3494602.2649033521</v>
      </c>
      <c r="F807" s="67" t="s">
        <v>834</v>
      </c>
      <c r="G807" s="25">
        <f t="shared" si="8"/>
        <v>-6.6108417805200714E-3</v>
      </c>
    </row>
    <row r="808" spans="1:7">
      <c r="A808" s="67">
        <v>43.02198699689734</v>
      </c>
      <c r="B808" s="67">
        <v>43.192558751510589</v>
      </c>
      <c r="C808" s="67">
        <v>41.913270591911214</v>
      </c>
      <c r="D808" s="67">
        <v>42.349176187033969</v>
      </c>
      <c r="E808" s="67">
        <v>4924737.5211953782</v>
      </c>
      <c r="F808" s="67" t="s">
        <v>835</v>
      </c>
      <c r="G808" s="25">
        <f t="shared" si="8"/>
        <v>1.5887223092414304E-2</v>
      </c>
    </row>
    <row r="809" spans="1:7">
      <c r="A809" s="67">
        <v>42.368128604213219</v>
      </c>
      <c r="B809" s="67">
        <v>42.661891070491592</v>
      </c>
      <c r="C809" s="67">
        <v>41.562650874095098</v>
      </c>
      <c r="D809" s="67">
        <v>42.538700358826468</v>
      </c>
      <c r="E809" s="67">
        <v>4177725.6827529157</v>
      </c>
      <c r="F809" s="67" t="s">
        <v>836</v>
      </c>
      <c r="G809" s="25">
        <f t="shared" si="8"/>
        <v>-4.0098017375806982E-3</v>
      </c>
    </row>
    <row r="810" spans="1:7">
      <c r="A810" s="67">
        <v>42.680843487670842</v>
      </c>
      <c r="B810" s="67">
        <v>42.94617732818034</v>
      </c>
      <c r="C810" s="67">
        <v>42.453414481519843</v>
      </c>
      <c r="D810" s="67">
        <v>42.652414861901967</v>
      </c>
      <c r="E810" s="67">
        <v>12701987.177844899</v>
      </c>
      <c r="F810" s="67" t="s">
        <v>837</v>
      </c>
      <c r="G810" s="25">
        <f t="shared" si="8"/>
        <v>6.6651855143295968E-4</v>
      </c>
    </row>
    <row r="811" spans="1:7">
      <c r="A811" s="67">
        <v>42.879843868052966</v>
      </c>
      <c r="B811" s="67">
        <v>43.126225291383214</v>
      </c>
      <c r="C811" s="67">
        <v>42.458152585814652</v>
      </c>
      <c r="D811" s="67">
        <v>42.699795904850092</v>
      </c>
      <c r="E811" s="67">
        <v>4873289.7300889464</v>
      </c>
      <c r="F811" s="67" t="s">
        <v>838</v>
      </c>
      <c r="G811" s="25">
        <f t="shared" si="8"/>
        <v>4.2166000887704502E-3</v>
      </c>
    </row>
    <row r="812" spans="1:7">
      <c r="A812" s="67">
        <v>42.491319315878343</v>
      </c>
      <c r="B812" s="67">
        <v>42.538700358826468</v>
      </c>
      <c r="C812" s="67">
        <v>41.685841585760222</v>
      </c>
      <c r="D812" s="67">
        <v>42.472366898699093</v>
      </c>
      <c r="E812" s="67">
        <v>3611275.509222867</v>
      </c>
      <c r="F812" s="67" t="s">
        <v>839</v>
      </c>
      <c r="G812" s="25">
        <f t="shared" si="8"/>
        <v>4.4622936189209206E-4</v>
      </c>
    </row>
    <row r="813" spans="1:7">
      <c r="A813" s="67">
        <v>42.586081401774592</v>
      </c>
      <c r="B813" s="67">
        <v>43.206773064395023</v>
      </c>
      <c r="C813" s="67">
        <v>42.12174718088297</v>
      </c>
      <c r="D813" s="67">
        <v>42.377604812802844</v>
      </c>
      <c r="E813" s="67">
        <v>5909153.3782094745</v>
      </c>
      <c r="F813" s="67" t="s">
        <v>840</v>
      </c>
      <c r="G813" s="25">
        <f t="shared" si="8"/>
        <v>4.9194991055456772E-3</v>
      </c>
    </row>
    <row r="814" spans="1:7">
      <c r="A814" s="67">
        <v>42.98408216253884</v>
      </c>
      <c r="B814" s="67">
        <v>43.145177708562464</v>
      </c>
      <c r="C814" s="67">
        <v>42.443938272930218</v>
      </c>
      <c r="D814" s="67">
        <v>42.804034199335966</v>
      </c>
      <c r="E814" s="67">
        <v>8356116.188355647</v>
      </c>
      <c r="F814" s="67" t="s">
        <v>841</v>
      </c>
      <c r="G814" s="25">
        <f t="shared" si="8"/>
        <v>4.2063316360416714E-3</v>
      </c>
    </row>
    <row r="815" spans="1:7">
      <c r="A815" s="67">
        <v>42.131223389472595</v>
      </c>
      <c r="B815" s="67">
        <v>42.249675996842903</v>
      </c>
      <c r="C815" s="67">
        <v>41.041459401665726</v>
      </c>
      <c r="D815" s="67">
        <v>41.107792861793101</v>
      </c>
      <c r="E815" s="67">
        <v>4594520.0116920499</v>
      </c>
      <c r="F815" s="67" t="s">
        <v>842</v>
      </c>
      <c r="G815" s="25">
        <f t="shared" si="8"/>
        <v>2.4896265560165887E-2</v>
      </c>
    </row>
    <row r="816" spans="1:7">
      <c r="A816" s="67">
        <v>41.174126321920475</v>
      </c>
      <c r="B816" s="67">
        <v>42.135961493767411</v>
      </c>
      <c r="C816" s="67">
        <v>41.174126321920475</v>
      </c>
      <c r="D816" s="67">
        <v>41.865889548963096</v>
      </c>
      <c r="E816" s="67">
        <v>6126501.9074783428</v>
      </c>
      <c r="F816" s="67" t="s">
        <v>843</v>
      </c>
      <c r="G816" s="25">
        <f t="shared" si="8"/>
        <v>-1.6523313716613863E-2</v>
      </c>
    </row>
    <row r="817" spans="1:7">
      <c r="A817" s="67">
        <v>41.193078739099718</v>
      </c>
      <c r="B817" s="67">
        <v>41.439460162429967</v>
      </c>
      <c r="C817" s="67">
        <v>40.558172763594847</v>
      </c>
      <c r="D817" s="67">
        <v>40.643458640901471</v>
      </c>
      <c r="E817" s="67">
        <v>4175846.2391092312</v>
      </c>
      <c r="F817" s="67" t="s">
        <v>844</v>
      </c>
      <c r="G817" s="25">
        <f t="shared" si="8"/>
        <v>1.3522965726276537E-2</v>
      </c>
    </row>
    <row r="818" spans="1:7">
      <c r="A818" s="67">
        <v>40.472886886288222</v>
      </c>
      <c r="B818" s="67">
        <v>40.885101959936911</v>
      </c>
      <c r="C818" s="67">
        <v>39.781123659245601</v>
      </c>
      <c r="D818" s="67">
        <v>39.923266788089983</v>
      </c>
      <c r="E818" s="67">
        <v>3256866.8901811754</v>
      </c>
      <c r="F818" s="67" t="s">
        <v>845</v>
      </c>
      <c r="G818" s="25">
        <f t="shared" si="8"/>
        <v>1.3766911939235404E-2</v>
      </c>
    </row>
    <row r="819" spans="1:7">
      <c r="A819" s="67">
        <v>39.771647450655976</v>
      </c>
      <c r="B819" s="67">
        <v>40.0085526653966</v>
      </c>
      <c r="C819" s="67">
        <v>39.079884223613355</v>
      </c>
      <c r="D819" s="67">
        <v>39.364170481302104</v>
      </c>
      <c r="E819" s="67">
        <v>3669331.4284015913</v>
      </c>
      <c r="F819" s="67" t="s">
        <v>846</v>
      </c>
      <c r="G819" s="25">
        <f t="shared" si="8"/>
        <v>1.0351468464131042E-2</v>
      </c>
    </row>
    <row r="820" spans="1:7">
      <c r="A820" s="67">
        <v>39.174646309509605</v>
      </c>
      <c r="B820" s="67">
        <v>40.160172002830606</v>
      </c>
      <c r="C820" s="67">
        <v>38.515007429585815</v>
      </c>
      <c r="D820" s="67">
        <v>40.036981291165475</v>
      </c>
      <c r="E820" s="67">
        <v>5248160.1190638468</v>
      </c>
      <c r="F820" s="67" t="s">
        <v>847</v>
      </c>
      <c r="G820" s="25">
        <f t="shared" si="8"/>
        <v>-2.1538461538461506E-2</v>
      </c>
    </row>
    <row r="821" spans="1:7">
      <c r="A821" s="67">
        <v>39.9327429966796</v>
      </c>
      <c r="B821" s="67">
        <v>40.0085526653966</v>
      </c>
      <c r="C821" s="67">
        <v>38.795597965924607</v>
      </c>
      <c r="D821" s="67">
        <v>39.023026972075606</v>
      </c>
      <c r="E821" s="67">
        <v>4941042.5654056929</v>
      </c>
      <c r="F821" s="67" t="s">
        <v>848</v>
      </c>
      <c r="G821" s="25">
        <f t="shared" si="8"/>
        <v>2.3312287518212571E-2</v>
      </c>
    </row>
    <row r="822" spans="1:7">
      <c r="A822" s="67">
        <v>38.814550383103857</v>
      </c>
      <c r="B822" s="67">
        <v>39.354694272712479</v>
      </c>
      <c r="C822" s="67">
        <v>38.700835880028357</v>
      </c>
      <c r="D822" s="67">
        <v>39.326265646943604</v>
      </c>
      <c r="E822" s="67">
        <v>3305669.1084550875</v>
      </c>
      <c r="F822" s="67" t="s">
        <v>849</v>
      </c>
      <c r="G822" s="25">
        <f t="shared" si="8"/>
        <v>-1.301204819277102E-2</v>
      </c>
    </row>
    <row r="823" spans="1:7">
      <c r="A823" s="67">
        <v>39.468408775787978</v>
      </c>
      <c r="B823" s="67">
        <v>39.563170861684227</v>
      </c>
      <c r="C823" s="67">
        <v>38.956693511948231</v>
      </c>
      <c r="D823" s="67">
        <v>39.250455978226604</v>
      </c>
      <c r="E823" s="67">
        <v>2753101.0691938042</v>
      </c>
      <c r="F823" s="67" t="s">
        <v>850</v>
      </c>
      <c r="G823" s="25">
        <f t="shared" si="8"/>
        <v>5.5528730082086142E-3</v>
      </c>
    </row>
    <row r="824" spans="1:7">
      <c r="A824" s="67">
        <v>39.16517010091998</v>
      </c>
      <c r="B824" s="67">
        <v>39.525266027325728</v>
      </c>
      <c r="C824" s="67">
        <v>38.681883462849108</v>
      </c>
      <c r="D824" s="67">
        <v>39.458932567198353</v>
      </c>
      <c r="E824" s="67">
        <v>3868957.6799882362</v>
      </c>
      <c r="F824" s="67" t="s">
        <v>851</v>
      </c>
      <c r="G824" s="25">
        <f t="shared" ref="G824:G887" si="9">A824/D824-1</f>
        <v>-7.4447646493756015E-3</v>
      </c>
    </row>
    <row r="825" spans="1:7">
      <c r="A825" s="67">
        <v>39.07040801502373</v>
      </c>
      <c r="B825" s="67">
        <v>39.160431996625171</v>
      </c>
      <c r="C825" s="67">
        <v>38.113310947471611</v>
      </c>
      <c r="D825" s="67">
        <v>38.444978248108484</v>
      </c>
      <c r="E825" s="67">
        <v>3711074.9164494472</v>
      </c>
      <c r="F825" s="67" t="s">
        <v>852</v>
      </c>
      <c r="G825" s="25">
        <f t="shared" si="9"/>
        <v>1.6268178456987803E-2</v>
      </c>
    </row>
    <row r="826" spans="1:7">
      <c r="A826" s="67">
        <v>38.312311327853728</v>
      </c>
      <c r="B826" s="67">
        <v>38.524007547126004</v>
      </c>
      <c r="C826" s="67">
        <v>37.559613659330083</v>
      </c>
      <c r="D826" s="67">
        <v>37.832466564169906</v>
      </c>
      <c r="E826" s="67">
        <v>13419969.826414617</v>
      </c>
      <c r="F826" s="67" t="s">
        <v>853</v>
      </c>
      <c r="G826" s="25">
        <f t="shared" si="9"/>
        <v>1.2683412086545554E-2</v>
      </c>
    </row>
    <row r="827" spans="1:7">
      <c r="A827" s="67">
        <v>37.94537121444845</v>
      </c>
      <c r="B827" s="67">
        <v>38.679251441259005</v>
      </c>
      <c r="C827" s="67">
        <v>37.851284005882995</v>
      </c>
      <c r="D827" s="67">
        <v>38.679251441259005</v>
      </c>
      <c r="E827" s="67">
        <v>10003488.405602027</v>
      </c>
      <c r="F827" s="67" t="s">
        <v>854</v>
      </c>
      <c r="G827" s="25">
        <f t="shared" si="9"/>
        <v>-1.8973485769885667E-2</v>
      </c>
    </row>
    <row r="828" spans="1:7">
      <c r="A828" s="67">
        <v>38.848608416676832</v>
      </c>
      <c r="B828" s="67">
        <v>39.196731088369013</v>
      </c>
      <c r="C828" s="67">
        <v>38.472259582415006</v>
      </c>
      <c r="D828" s="67">
        <v>39.008556671238104</v>
      </c>
      <c r="E828" s="67">
        <v>2864557.2985885451</v>
      </c>
      <c r="F828" s="67" t="s">
        <v>855</v>
      </c>
      <c r="G828" s="25">
        <f t="shared" si="9"/>
        <v>-4.1003376748672826E-3</v>
      </c>
    </row>
    <row r="829" spans="1:7">
      <c r="A829" s="67">
        <v>38.89565202095956</v>
      </c>
      <c r="B829" s="67">
        <v>39.168504925799382</v>
      </c>
      <c r="C829" s="67">
        <v>38.575755511837009</v>
      </c>
      <c r="D829" s="67">
        <v>39.074417717233928</v>
      </c>
      <c r="E829" s="67">
        <v>4215712.2742573014</v>
      </c>
      <c r="F829" s="67" t="s">
        <v>856</v>
      </c>
      <c r="G829" s="25">
        <f t="shared" si="9"/>
        <v>-4.5750060197448095E-3</v>
      </c>
    </row>
    <row r="830" spans="1:7">
      <c r="A830" s="67">
        <v>39.629532247770115</v>
      </c>
      <c r="B830" s="67">
        <v>39.888272071325126</v>
      </c>
      <c r="C830" s="67">
        <v>39.333157540788932</v>
      </c>
      <c r="D830" s="67">
        <v>39.808297944044483</v>
      </c>
      <c r="E830" s="67">
        <v>4590697.3603060059</v>
      </c>
      <c r="F830" s="67" t="s">
        <v>857</v>
      </c>
      <c r="G830" s="25">
        <f t="shared" si="9"/>
        <v>-4.4906641455920715E-3</v>
      </c>
    </row>
    <row r="831" spans="1:7">
      <c r="A831" s="67">
        <v>39.987063640318851</v>
      </c>
      <c r="B831" s="67">
        <v>40.692717704559769</v>
      </c>
      <c r="C831" s="67">
        <v>39.676575852052842</v>
      </c>
      <c r="D831" s="67">
        <v>40.081150848884306</v>
      </c>
      <c r="E831" s="67">
        <v>4217025.9491115613</v>
      </c>
      <c r="F831" s="67" t="s">
        <v>858</v>
      </c>
      <c r="G831" s="25">
        <f t="shared" si="9"/>
        <v>-2.3474178403755097E-3</v>
      </c>
    </row>
    <row r="832" spans="1:7">
      <c r="A832" s="67">
        <v>40.062333407171209</v>
      </c>
      <c r="B832" s="67">
        <v>40.730352587985955</v>
      </c>
      <c r="C832" s="67">
        <v>39.921202594323027</v>
      </c>
      <c r="D832" s="67">
        <v>40.448090962289584</v>
      </c>
      <c r="E832" s="67">
        <v>3853722.5785346823</v>
      </c>
      <c r="F832" s="67" t="s">
        <v>859</v>
      </c>
      <c r="G832" s="25">
        <f t="shared" si="9"/>
        <v>-9.5371016515469753E-3</v>
      </c>
    </row>
    <row r="833" spans="1:7">
      <c r="A833" s="67">
        <v>40.448090962289584</v>
      </c>
      <c r="B833" s="67">
        <v>40.796213633981772</v>
      </c>
      <c r="C833" s="67">
        <v>40.217577301304217</v>
      </c>
      <c r="D833" s="67">
        <v>40.692717704559769</v>
      </c>
      <c r="E833" s="67">
        <v>3345587.6181193199</v>
      </c>
      <c r="F833" s="67" t="s">
        <v>860</v>
      </c>
      <c r="G833" s="25">
        <f t="shared" si="9"/>
        <v>-6.0115606936416155E-3</v>
      </c>
    </row>
    <row r="834" spans="1:7">
      <c r="A834" s="67">
        <v>40.48572584571577</v>
      </c>
      <c r="B834" s="67">
        <v>40.53276944999849</v>
      </c>
      <c r="C834" s="67">
        <v>39.963541838177484</v>
      </c>
      <c r="D834" s="67">
        <v>40.071742128027765</v>
      </c>
      <c r="E834" s="67">
        <v>3548004.0814236873</v>
      </c>
      <c r="F834" s="67" t="s">
        <v>861</v>
      </c>
      <c r="G834" s="25">
        <f t="shared" si="9"/>
        <v>1.0331063629960058E-2</v>
      </c>
    </row>
    <row r="835" spans="1:7">
      <c r="A835" s="67">
        <v>40.250507824302126</v>
      </c>
      <c r="B835" s="67">
        <v>40.669195902418409</v>
      </c>
      <c r="C835" s="67">
        <v>39.987063640318851</v>
      </c>
      <c r="D835" s="67">
        <v>40.448090962289584</v>
      </c>
      <c r="E835" s="67">
        <v>4470941.4426653925</v>
      </c>
      <c r="F835" s="67" t="s">
        <v>862</v>
      </c>
      <c r="G835" s="25">
        <f t="shared" si="9"/>
        <v>-4.8848569434751798E-3</v>
      </c>
    </row>
    <row r="836" spans="1:7">
      <c r="A836" s="67">
        <v>40.466908404002673</v>
      </c>
      <c r="B836" s="67">
        <v>41.097292701391233</v>
      </c>
      <c r="C836" s="67">
        <v>40.071742128027765</v>
      </c>
      <c r="D836" s="67">
        <v>40.109377011453944</v>
      </c>
      <c r="E836" s="67">
        <v>4985998.7043152191</v>
      </c>
      <c r="F836" s="67" t="s">
        <v>863</v>
      </c>
      <c r="G836" s="25">
        <f t="shared" si="9"/>
        <v>8.9139103917428297E-3</v>
      </c>
    </row>
    <row r="837" spans="1:7">
      <c r="A837" s="67">
        <v>40.288142707728312</v>
      </c>
      <c r="B837" s="67">
        <v>40.589221775137766</v>
      </c>
      <c r="C837" s="67">
        <v>39.733028177192118</v>
      </c>
      <c r="D837" s="67">
        <v>40.052924686314668</v>
      </c>
      <c r="E837" s="67">
        <v>4050723.8530182918</v>
      </c>
      <c r="F837" s="67" t="s">
        <v>864</v>
      </c>
      <c r="G837" s="25">
        <f t="shared" si="9"/>
        <v>5.8726802912849596E-3</v>
      </c>
    </row>
    <row r="838" spans="1:7">
      <c r="A838" s="67">
        <v>39.958837477749213</v>
      </c>
      <c r="B838" s="67">
        <v>40.927935725973413</v>
      </c>
      <c r="C838" s="67">
        <v>39.780071781474845</v>
      </c>
      <c r="D838" s="67">
        <v>40.862074679977589</v>
      </c>
      <c r="E838" s="67">
        <v>5317595.320642666</v>
      </c>
      <c r="F838" s="67" t="s">
        <v>865</v>
      </c>
      <c r="G838" s="25">
        <f t="shared" si="9"/>
        <v>-2.2104536034998734E-2</v>
      </c>
    </row>
    <row r="839" spans="1:7">
      <c r="A839" s="67">
        <v>40.815031075694868</v>
      </c>
      <c r="B839" s="67">
        <v>41.276058397665594</v>
      </c>
      <c r="C839" s="67">
        <v>40.504543287428852</v>
      </c>
      <c r="D839" s="67">
        <v>41.219606072526325</v>
      </c>
      <c r="E839" s="67">
        <v>8370732.9828165146</v>
      </c>
      <c r="F839" s="67" t="s">
        <v>866</v>
      </c>
      <c r="G839" s="25">
        <f t="shared" si="9"/>
        <v>-9.815110705318264E-3</v>
      </c>
    </row>
    <row r="840" spans="1:7">
      <c r="A840" s="67">
        <v>41.247832235095963</v>
      </c>
      <c r="B840" s="67">
        <v>41.567728744218513</v>
      </c>
      <c r="C840" s="67">
        <v>40.551586891711587</v>
      </c>
      <c r="D840" s="67">
        <v>40.758578750555593</v>
      </c>
      <c r="E840" s="67">
        <v>7619773.3032034766</v>
      </c>
      <c r="F840" s="67" t="s">
        <v>867</v>
      </c>
      <c r="G840" s="25">
        <f t="shared" si="9"/>
        <v>1.2003693444136543E-2</v>
      </c>
    </row>
    <row r="841" spans="1:7">
      <c r="A841" s="67">
        <v>40.53276944999849</v>
      </c>
      <c r="B841" s="67">
        <v>42.325130773170436</v>
      </c>
      <c r="C841" s="67">
        <v>39.930611315179576</v>
      </c>
      <c r="D841" s="67">
        <v>42.207521762463614</v>
      </c>
      <c r="E841" s="67">
        <v>9915975.9782961216</v>
      </c>
      <c r="F841" s="67" t="s">
        <v>868</v>
      </c>
      <c r="G841" s="25">
        <f t="shared" si="9"/>
        <v>-3.9679001337494579E-2</v>
      </c>
    </row>
    <row r="842" spans="1:7">
      <c r="A842" s="67">
        <v>42.913175826704531</v>
      </c>
      <c r="B842" s="67">
        <v>44.465614768034555</v>
      </c>
      <c r="C842" s="67">
        <v>42.169886879037428</v>
      </c>
      <c r="D842" s="67">
        <v>43.750551982937097</v>
      </c>
      <c r="E842" s="67">
        <v>8131118.0516931647</v>
      </c>
      <c r="F842" s="67" t="s">
        <v>869</v>
      </c>
      <c r="G842" s="25">
        <f t="shared" si="9"/>
        <v>-1.9139784946236693E-2</v>
      </c>
    </row>
    <row r="843" spans="1:7">
      <c r="A843" s="67">
        <v>43.327159544392536</v>
      </c>
      <c r="B843" s="67">
        <v>43.440064194671088</v>
      </c>
      <c r="C843" s="67">
        <v>42.630914201008167</v>
      </c>
      <c r="D843" s="67">
        <v>42.847314780708714</v>
      </c>
      <c r="E843" s="67">
        <v>3497083.2381650959</v>
      </c>
      <c r="F843" s="67" t="s">
        <v>870</v>
      </c>
      <c r="G843" s="25">
        <f t="shared" si="9"/>
        <v>1.1198945981554687E-2</v>
      </c>
    </row>
    <row r="844" spans="1:7">
      <c r="A844" s="67">
        <v>42.612096759295071</v>
      </c>
      <c r="B844" s="67">
        <v>43.618829890945456</v>
      </c>
      <c r="C844" s="67">
        <v>42.546235713299254</v>
      </c>
      <c r="D844" s="67">
        <v>43.402429311244909</v>
      </c>
      <c r="E844" s="67">
        <v>4421271.5664808014</v>
      </c>
      <c r="F844" s="67" t="s">
        <v>871</v>
      </c>
      <c r="G844" s="25">
        <f t="shared" si="9"/>
        <v>-1.8209408194233889E-2</v>
      </c>
    </row>
    <row r="845" spans="1:7">
      <c r="A845" s="67">
        <v>43.750551982937097</v>
      </c>
      <c r="B845" s="67">
        <v>44.729058952017837</v>
      </c>
      <c r="C845" s="67">
        <v>43.722325820367459</v>
      </c>
      <c r="D845" s="67">
        <v>44.371527559469101</v>
      </c>
      <c r="E845" s="67">
        <v>3747785.755113401</v>
      </c>
      <c r="F845" s="67" t="s">
        <v>872</v>
      </c>
      <c r="G845" s="25">
        <f t="shared" si="9"/>
        <v>-1.3994910941475647E-2</v>
      </c>
    </row>
    <row r="846" spans="1:7">
      <c r="A846" s="67">
        <v>44.230396746620919</v>
      </c>
      <c r="B846" s="67">
        <v>44.757285114587475</v>
      </c>
      <c r="C846" s="67">
        <v>44.056335410774828</v>
      </c>
      <c r="D846" s="67">
        <v>44.399753722038739</v>
      </c>
      <c r="E846" s="67">
        <v>4495529.2695897138</v>
      </c>
      <c r="F846" s="67" t="s">
        <v>873</v>
      </c>
      <c r="G846" s="25">
        <f t="shared" si="9"/>
        <v>-3.8143674507310488E-3</v>
      </c>
    </row>
    <row r="847" spans="1:7">
      <c r="A847" s="67">
        <v>44.578519418313107</v>
      </c>
      <c r="B847" s="67">
        <v>45.378260691119479</v>
      </c>
      <c r="C847" s="67">
        <v>44.507954011889012</v>
      </c>
      <c r="D847" s="67">
        <v>44.776102556300572</v>
      </c>
      <c r="E847" s="67">
        <v>3964386.9308813284</v>
      </c>
      <c r="F847" s="67" t="s">
        <v>874</v>
      </c>
      <c r="G847" s="25">
        <f t="shared" si="9"/>
        <v>-4.4126917419627931E-3</v>
      </c>
    </row>
    <row r="848" spans="1:7">
      <c r="A848" s="67">
        <v>44.860781044009478</v>
      </c>
      <c r="B848" s="67">
        <v>45.044251100712117</v>
      </c>
      <c r="C848" s="67">
        <v>43.919908958354917</v>
      </c>
      <c r="D848" s="67">
        <v>44.164535700625102</v>
      </c>
      <c r="E848" s="67">
        <v>6363910.7709678002</v>
      </c>
      <c r="F848" s="67" t="s">
        <v>875</v>
      </c>
      <c r="G848" s="25">
        <f t="shared" si="9"/>
        <v>1.5764806135492249E-2</v>
      </c>
    </row>
    <row r="849" spans="1:7">
      <c r="A849" s="67">
        <v>44.032813608633461</v>
      </c>
      <c r="B849" s="67">
        <v>45.12892958842103</v>
      </c>
      <c r="C849" s="67">
        <v>42.39569617959453</v>
      </c>
      <c r="D849" s="67">
        <v>44.220988025764377</v>
      </c>
      <c r="E849" s="67">
        <v>11462902.51824915</v>
      </c>
      <c r="F849" s="67" t="s">
        <v>876</v>
      </c>
      <c r="G849" s="25">
        <f t="shared" si="9"/>
        <v>-4.2553191489362874E-3</v>
      </c>
    </row>
    <row r="850" spans="1:7">
      <c r="A850" s="67">
        <v>43.355385706962174</v>
      </c>
      <c r="B850" s="67">
        <v>43.83523047064601</v>
      </c>
      <c r="C850" s="67">
        <v>42.085208391328514</v>
      </c>
      <c r="D850" s="67">
        <v>42.169886879037428</v>
      </c>
      <c r="E850" s="67">
        <v>7034366.4148517884</v>
      </c>
      <c r="F850" s="67" t="s">
        <v>877</v>
      </c>
      <c r="G850" s="25">
        <f t="shared" si="9"/>
        <v>2.8112449799196693E-2</v>
      </c>
    </row>
    <row r="851" spans="1:7">
      <c r="A851" s="67">
        <v>42.75322757214326</v>
      </c>
      <c r="B851" s="67">
        <v>43.289524660966357</v>
      </c>
      <c r="C851" s="67">
        <v>42.405198987659631</v>
      </c>
      <c r="D851" s="67">
        <v>42.423922342164168</v>
      </c>
      <c r="E851" s="67">
        <v>6844374.5947887683</v>
      </c>
      <c r="F851" s="67" t="s">
        <v>878</v>
      </c>
      <c r="G851" s="25">
        <f t="shared" si="9"/>
        <v>7.7622532712351422E-3</v>
      </c>
    </row>
    <row r="852" spans="1:7">
      <c r="A852" s="67">
        <v>42.715592688717074</v>
      </c>
      <c r="B852" s="67">
        <v>43.261298498396719</v>
      </c>
      <c r="C852" s="67">
        <v>42.649731642721257</v>
      </c>
      <c r="D852" s="67">
        <v>42.809679897282535</v>
      </c>
      <c r="E852" s="67">
        <v>8322282.1883939272</v>
      </c>
      <c r="F852" s="67" t="s">
        <v>879</v>
      </c>
      <c r="G852" s="25">
        <f t="shared" si="9"/>
        <v>-2.197802197802301E-3</v>
      </c>
    </row>
    <row r="853" spans="1:7">
      <c r="A853" s="67">
        <v>42.612096759295071</v>
      </c>
      <c r="B853" s="67">
        <v>42.75793193257153</v>
      </c>
      <c r="C853" s="67">
        <v>40.909118284260316</v>
      </c>
      <c r="D853" s="67">
        <v>40.909118284260316</v>
      </c>
      <c r="E853" s="67">
        <v>12091011.279270437</v>
      </c>
      <c r="F853" s="67" t="s">
        <v>880</v>
      </c>
      <c r="G853" s="25">
        <f t="shared" si="9"/>
        <v>4.1628334866605332E-2</v>
      </c>
    </row>
    <row r="854" spans="1:7">
      <c r="A854" s="67">
        <v>40.692717704559769</v>
      </c>
      <c r="B854" s="67">
        <v>41.012614213682326</v>
      </c>
      <c r="C854" s="67">
        <v>40.579813054281225</v>
      </c>
      <c r="D854" s="67">
        <v>40.890300842547227</v>
      </c>
      <c r="E854" s="67">
        <v>3768849.1922183638</v>
      </c>
      <c r="F854" s="67" t="s">
        <v>881</v>
      </c>
      <c r="G854" s="25">
        <f t="shared" si="9"/>
        <v>-4.8320294523700458E-3</v>
      </c>
    </row>
    <row r="855" spans="1:7">
      <c r="A855" s="67">
        <v>41.040840376251957</v>
      </c>
      <c r="B855" s="67">
        <v>41.172562468243591</v>
      </c>
      <c r="C855" s="67">
        <v>40.382229916293767</v>
      </c>
      <c r="D855" s="67">
        <v>40.419864799719946</v>
      </c>
      <c r="E855" s="67">
        <v>6531122.6612967066</v>
      </c>
      <c r="F855" s="67" t="s">
        <v>882</v>
      </c>
      <c r="G855" s="25">
        <f t="shared" si="9"/>
        <v>1.5363128491620026E-2</v>
      </c>
    </row>
    <row r="856" spans="1:7">
      <c r="A856" s="67">
        <v>40.288142707728312</v>
      </c>
      <c r="B856" s="67">
        <v>40.513952008285408</v>
      </c>
      <c r="C856" s="67">
        <v>40.18935113873458</v>
      </c>
      <c r="D856" s="67">
        <v>40.466908404002673</v>
      </c>
      <c r="E856" s="67">
        <v>3865553.0921291593</v>
      </c>
      <c r="F856" s="67" t="s">
        <v>883</v>
      </c>
      <c r="G856" s="25">
        <f t="shared" si="9"/>
        <v>-4.4175773076027269E-3</v>
      </c>
    </row>
    <row r="857" spans="1:7">
      <c r="A857" s="67">
        <v>40.429273520576494</v>
      </c>
      <c r="B857" s="67">
        <v>40.739761308842496</v>
      </c>
      <c r="C857" s="67">
        <v>40.344595032867588</v>
      </c>
      <c r="D857" s="67">
        <v>40.645674100277041</v>
      </c>
      <c r="E857" s="67">
        <v>5222702.5064532785</v>
      </c>
      <c r="F857" s="67" t="s">
        <v>884</v>
      </c>
      <c r="G857" s="25">
        <f t="shared" si="9"/>
        <v>-5.3240740740739811E-3</v>
      </c>
    </row>
    <row r="858" spans="1:7">
      <c r="A858" s="67">
        <v>40.504543287428852</v>
      </c>
      <c r="B858" s="67">
        <v>40.777396192268682</v>
      </c>
      <c r="C858" s="67">
        <v>40.321073230726213</v>
      </c>
      <c r="D858" s="67">
        <v>40.598630495994314</v>
      </c>
      <c r="E858" s="67">
        <v>3753326.3594946791</v>
      </c>
      <c r="F858" s="67" t="s">
        <v>885</v>
      </c>
      <c r="G858" s="25">
        <f t="shared" si="9"/>
        <v>-2.317497103128785E-3</v>
      </c>
    </row>
    <row r="859" spans="1:7">
      <c r="A859" s="67">
        <v>40.626856658563952</v>
      </c>
      <c r="B859" s="67">
        <v>40.974979330256133</v>
      </c>
      <c r="C859" s="67">
        <v>40.241099103445585</v>
      </c>
      <c r="D859" s="67">
        <v>40.241099103445585</v>
      </c>
      <c r="E859" s="67">
        <v>8890071.3790237531</v>
      </c>
      <c r="F859" s="67" t="s">
        <v>886</v>
      </c>
      <c r="G859" s="25">
        <f t="shared" si="9"/>
        <v>9.5861585223286916E-3</v>
      </c>
    </row>
    <row r="860" spans="1:7">
      <c r="A860" s="67">
        <v>40.147011894880123</v>
      </c>
      <c r="B860" s="67">
        <v>40.866779040405866</v>
      </c>
      <c r="C860" s="67">
        <v>39.845932827470669</v>
      </c>
      <c r="D860" s="67">
        <v>40.542178170855045</v>
      </c>
      <c r="E860" s="67">
        <v>6648910.1923433952</v>
      </c>
      <c r="F860" s="67" t="s">
        <v>887</v>
      </c>
      <c r="G860" s="25">
        <f t="shared" si="9"/>
        <v>-9.7470410768161209E-3</v>
      </c>
    </row>
    <row r="861" spans="1:7">
      <c r="A861" s="67">
        <v>40.354003753724129</v>
      </c>
      <c r="B861" s="67">
        <v>40.65978718156186</v>
      </c>
      <c r="C861" s="67">
        <v>39.883567710896848</v>
      </c>
      <c r="D861" s="67">
        <v>39.940020036036124</v>
      </c>
      <c r="E861" s="67">
        <v>4996511.2916805027</v>
      </c>
      <c r="F861" s="67" t="s">
        <v>888</v>
      </c>
      <c r="G861" s="25">
        <f t="shared" si="9"/>
        <v>1.0365135453474617E-2</v>
      </c>
    </row>
    <row r="862" spans="1:7">
      <c r="A862" s="67">
        <v>39.676575852052842</v>
      </c>
      <c r="B862" s="67">
        <v>39.789480502331394</v>
      </c>
      <c r="C862" s="67">
        <v>39.149687484086286</v>
      </c>
      <c r="D862" s="67">
        <v>39.516627597491571</v>
      </c>
      <c r="E862" s="67">
        <v>7728409.7497071382</v>
      </c>
      <c r="F862" s="67" t="s">
        <v>889</v>
      </c>
      <c r="G862" s="25">
        <f t="shared" si="9"/>
        <v>4.0476190476188556E-3</v>
      </c>
    </row>
    <row r="863" spans="1:7">
      <c r="A863" s="67">
        <v>39.798889223187935</v>
      </c>
      <c r="B863" s="67">
        <v>40.191421057323019</v>
      </c>
      <c r="C863" s="67">
        <v>39.380201145071652</v>
      </c>
      <c r="D863" s="67">
        <v>39.949428756892665</v>
      </c>
      <c r="E863" s="67">
        <v>4669925.9835551903</v>
      </c>
      <c r="F863" s="67" t="s">
        <v>890</v>
      </c>
      <c r="G863" s="25">
        <f t="shared" si="9"/>
        <v>-3.7682524729156786E-3</v>
      </c>
    </row>
    <row r="864" spans="1:7">
      <c r="A864" s="67">
        <v>39.761254339761756</v>
      </c>
      <c r="B864" s="67">
        <v>39.958837477749213</v>
      </c>
      <c r="C864" s="67">
        <v>38.208815398431724</v>
      </c>
      <c r="D864" s="67">
        <v>38.28408516528409</v>
      </c>
      <c r="E864" s="67">
        <v>12242722.656594057</v>
      </c>
      <c r="F864" s="67" t="s">
        <v>891</v>
      </c>
      <c r="G864" s="25">
        <f t="shared" si="9"/>
        <v>3.8584418776112184E-2</v>
      </c>
    </row>
    <row r="865" spans="1:7">
      <c r="A865" s="67">
        <v>38.105319469009729</v>
      </c>
      <c r="B865" s="67">
        <v>38.279380804855819</v>
      </c>
      <c r="C865" s="67">
        <v>37.319691277488168</v>
      </c>
      <c r="D865" s="67">
        <v>37.60665726361281</v>
      </c>
      <c r="E865" s="67">
        <v>9205598.8609486409</v>
      </c>
      <c r="F865" s="67" t="s">
        <v>892</v>
      </c>
      <c r="G865" s="25">
        <f t="shared" si="9"/>
        <v>1.3259944958718961E-2</v>
      </c>
    </row>
    <row r="866" spans="1:7">
      <c r="A866" s="67">
        <v>37.616065984469351</v>
      </c>
      <c r="B866" s="67">
        <v>38.434624698988827</v>
      </c>
      <c r="C866" s="67">
        <v>37.479639532049447</v>
      </c>
      <c r="D866" s="67">
        <v>38.415807257275731</v>
      </c>
      <c r="E866" s="67">
        <v>6411314.6643131645</v>
      </c>
      <c r="F866" s="67" t="s">
        <v>893</v>
      </c>
      <c r="G866" s="25">
        <f t="shared" si="9"/>
        <v>-2.0818025961302999E-2</v>
      </c>
    </row>
    <row r="867" spans="1:7">
      <c r="A867" s="67">
        <v>38.161771794149004</v>
      </c>
      <c r="B867" s="67">
        <v>38.237041561001362</v>
      </c>
      <c r="C867" s="67">
        <v>37.888918889309181</v>
      </c>
      <c r="D867" s="67">
        <v>38.086502027296632</v>
      </c>
      <c r="E867" s="67">
        <v>4910492.1598197725</v>
      </c>
      <c r="F867" s="67" t="s">
        <v>894</v>
      </c>
      <c r="G867" s="25">
        <f t="shared" si="9"/>
        <v>1.9762845849804478E-3</v>
      </c>
    </row>
    <row r="868" spans="1:7">
      <c r="A868" s="67">
        <v>37.92655377273536</v>
      </c>
      <c r="B868" s="67">
        <v>38.679251441259005</v>
      </c>
      <c r="C868" s="67">
        <v>37.874805808024362</v>
      </c>
      <c r="D868" s="67">
        <v>38.566346790980461</v>
      </c>
      <c r="E868" s="67">
        <v>4672064.4251464298</v>
      </c>
      <c r="F868" s="67" t="s">
        <v>895</v>
      </c>
      <c r="G868" s="25">
        <f t="shared" si="9"/>
        <v>-1.6589412051719932E-2</v>
      </c>
    </row>
    <row r="869" spans="1:7">
      <c r="A869" s="67">
        <v>38.142954352435908</v>
      </c>
      <c r="B869" s="67">
        <v>38.208815398431724</v>
      </c>
      <c r="C869" s="67">
        <v>37.371439242199166</v>
      </c>
      <c r="D869" s="67">
        <v>37.550204938473534</v>
      </c>
      <c r="E869" s="67">
        <v>4423247.3929808578</v>
      </c>
      <c r="F869" s="67" t="s">
        <v>896</v>
      </c>
      <c r="G869" s="25">
        <f t="shared" si="9"/>
        <v>1.5785517414181882E-2</v>
      </c>
    </row>
    <row r="870" spans="1:7">
      <c r="A870" s="67">
        <v>37.493752613334266</v>
      </c>
      <c r="B870" s="67">
        <v>37.841875285026447</v>
      </c>
      <c r="C870" s="67">
        <v>37.324395637916446</v>
      </c>
      <c r="D870" s="67">
        <v>37.531387496760445</v>
      </c>
      <c r="E870" s="67">
        <v>3040192.2255032239</v>
      </c>
      <c r="F870" s="67" t="s">
        <v>897</v>
      </c>
      <c r="G870" s="25">
        <f t="shared" si="9"/>
        <v>-1.002757583354108E-3</v>
      </c>
    </row>
    <row r="871" spans="1:7">
      <c r="A871" s="67">
        <v>37.700744472178265</v>
      </c>
      <c r="B871" s="67">
        <v>38.020640981300815</v>
      </c>
      <c r="C871" s="67">
        <v>37.178560464639986</v>
      </c>
      <c r="D871" s="67">
        <v>37.616065984469351</v>
      </c>
      <c r="E871" s="67">
        <v>6005558.1265002619</v>
      </c>
      <c r="F871" s="67" t="s">
        <v>898</v>
      </c>
      <c r="G871" s="25">
        <f t="shared" si="9"/>
        <v>2.2511255627815085E-3</v>
      </c>
    </row>
    <row r="872" spans="1:7">
      <c r="A872" s="67">
        <v>36.910411920228434</v>
      </c>
      <c r="B872" s="67">
        <v>37.136221220785529</v>
      </c>
      <c r="C872" s="67">
        <v>35.884861346864966</v>
      </c>
      <c r="D872" s="67">
        <v>35.99776599714351</v>
      </c>
      <c r="E872" s="67">
        <v>8108084.1023068111</v>
      </c>
      <c r="F872" s="67" t="s">
        <v>899</v>
      </c>
      <c r="G872" s="25">
        <f t="shared" si="9"/>
        <v>2.5352848928384741E-2</v>
      </c>
    </row>
    <row r="873" spans="1:7">
      <c r="A873" s="67">
        <v>35.866043905151869</v>
      </c>
      <c r="B873" s="67">
        <v>37.079768895646254</v>
      </c>
      <c r="C873" s="67">
        <v>35.82840902172569</v>
      </c>
      <c r="D873" s="67">
        <v>36.929229361941523</v>
      </c>
      <c r="E873" s="67">
        <v>5160152.0270657884</v>
      </c>
      <c r="F873" s="67" t="s">
        <v>900</v>
      </c>
      <c r="G873" s="25">
        <f t="shared" si="9"/>
        <v>-2.8789808917197401E-2</v>
      </c>
    </row>
    <row r="874" spans="1:7">
      <c r="A874" s="67">
        <v>36.84455087423261</v>
      </c>
      <c r="B874" s="67">
        <v>37.771309878602359</v>
      </c>
      <c r="C874" s="67">
        <v>36.816324711662979</v>
      </c>
      <c r="D874" s="67">
        <v>37.258534591920622</v>
      </c>
      <c r="E874" s="67">
        <v>6970021.855242623</v>
      </c>
      <c r="F874" s="67" t="s">
        <v>901</v>
      </c>
      <c r="G874" s="25">
        <f t="shared" si="9"/>
        <v>-1.1111111111111294E-2</v>
      </c>
    </row>
    <row r="875" spans="1:7">
      <c r="A875" s="67">
        <v>37.26794331277717</v>
      </c>
      <c r="B875" s="67">
        <v>37.357326160914347</v>
      </c>
      <c r="C875" s="67">
        <v>36.303549424981242</v>
      </c>
      <c r="D875" s="67">
        <v>36.317662506266061</v>
      </c>
      <c r="E875" s="67">
        <v>9521297.4607145768</v>
      </c>
      <c r="F875" s="67" t="s">
        <v>902</v>
      </c>
      <c r="G875" s="25">
        <f t="shared" si="9"/>
        <v>2.6165803108808339E-2</v>
      </c>
    </row>
    <row r="876" spans="1:7">
      <c r="A876" s="67">
        <v>35.931904951147686</v>
      </c>
      <c r="B876" s="67">
        <v>36.063627043139327</v>
      </c>
      <c r="C876" s="67">
        <v>35.301520653759134</v>
      </c>
      <c r="D876" s="67">
        <v>35.367381699754958</v>
      </c>
      <c r="E876" s="67">
        <v>6649927.3337960877</v>
      </c>
      <c r="F876" s="67" t="s">
        <v>903</v>
      </c>
      <c r="G876" s="25">
        <f t="shared" si="9"/>
        <v>1.5961691939345268E-2</v>
      </c>
    </row>
    <row r="877" spans="1:7">
      <c r="A877" s="67">
        <v>35.35797297889841</v>
      </c>
      <c r="B877" s="67">
        <v>36.327071227122609</v>
      </c>
      <c r="C877" s="67">
        <v>35.136868038769585</v>
      </c>
      <c r="D877" s="67">
        <v>36.289436343696423</v>
      </c>
      <c r="E877" s="67">
        <v>12437033.873588884</v>
      </c>
      <c r="F877" s="67" t="s">
        <v>904</v>
      </c>
      <c r="G877" s="25">
        <f t="shared" si="9"/>
        <v>-2.5667617319159897E-2</v>
      </c>
    </row>
    <row r="878" spans="1:7">
      <c r="A878" s="67">
        <v>36.101261926565506</v>
      </c>
      <c r="B878" s="67">
        <v>36.33647994797915</v>
      </c>
      <c r="C878" s="67">
        <v>35.588486639883776</v>
      </c>
      <c r="D878" s="67">
        <v>35.621417162881684</v>
      </c>
      <c r="E878" s="67">
        <v>8418604.5274044964</v>
      </c>
      <c r="F878" s="67" t="s">
        <v>905</v>
      </c>
      <c r="G878" s="25">
        <f t="shared" si="9"/>
        <v>1.3470681458003009E-2</v>
      </c>
    </row>
    <row r="879" spans="1:7">
      <c r="A879" s="67">
        <v>35.969539834573872</v>
      </c>
      <c r="B879" s="67">
        <v>36.581106690249342</v>
      </c>
      <c r="C879" s="67">
        <v>35.748434894445047</v>
      </c>
      <c r="D879" s="67">
        <v>36.48701948168388</v>
      </c>
      <c r="E879" s="67">
        <v>7456874.4327439787</v>
      </c>
      <c r="F879" s="67" t="s">
        <v>906</v>
      </c>
      <c r="G879" s="25">
        <f t="shared" si="9"/>
        <v>-1.4182568334192847E-2</v>
      </c>
    </row>
    <row r="880" spans="1:7">
      <c r="A880" s="67">
        <v>37.042134012220068</v>
      </c>
      <c r="B880" s="67">
        <v>37.220899708494443</v>
      </c>
      <c r="C880" s="67">
        <v>36.515245644253518</v>
      </c>
      <c r="D880" s="67">
        <v>37.032725291363526</v>
      </c>
      <c r="E880" s="67">
        <v>6565776.6812183587</v>
      </c>
      <c r="F880" s="67" t="s">
        <v>907</v>
      </c>
      <c r="G880" s="25">
        <f t="shared" si="9"/>
        <v>2.5406504065039748E-4</v>
      </c>
    </row>
    <row r="881" spans="1:7">
      <c r="A881" s="67">
        <v>36.599924131962425</v>
      </c>
      <c r="B881" s="67">
        <v>36.924525001513253</v>
      </c>
      <c r="C881" s="67">
        <v>35.513216873031411</v>
      </c>
      <c r="D881" s="67">
        <v>35.753139254873325</v>
      </c>
      <c r="E881" s="67">
        <v>6504536.68815393</v>
      </c>
      <c r="F881" s="67" t="s">
        <v>908</v>
      </c>
      <c r="G881" s="25">
        <f t="shared" si="9"/>
        <v>2.368421052631553E-2</v>
      </c>
    </row>
    <row r="882" spans="1:7">
      <c r="A882" s="67">
        <v>35.771956696586415</v>
      </c>
      <c r="B882" s="67">
        <v>36.722237503097524</v>
      </c>
      <c r="C882" s="67">
        <v>35.706095650590598</v>
      </c>
      <c r="D882" s="67">
        <v>36.496428202540429</v>
      </c>
      <c r="E882" s="67">
        <v>6196834.9246367458</v>
      </c>
      <c r="F882" s="67" t="s">
        <v>909</v>
      </c>
      <c r="G882" s="25">
        <f t="shared" si="9"/>
        <v>-1.9850476927043115E-2</v>
      </c>
    </row>
    <row r="883" spans="1:7">
      <c r="A883" s="67">
        <v>36.684602619671338</v>
      </c>
      <c r="B883" s="67">
        <v>37.484343892477717</v>
      </c>
      <c r="C883" s="67">
        <v>36.67519389881479</v>
      </c>
      <c r="D883" s="67">
        <v>37.45611772990808</v>
      </c>
      <c r="E883" s="67">
        <v>4491071.7029725872</v>
      </c>
      <c r="F883" s="67" t="s">
        <v>910</v>
      </c>
      <c r="G883" s="25">
        <f t="shared" si="9"/>
        <v>-2.0597839738759172E-2</v>
      </c>
    </row>
    <row r="884" spans="1:7">
      <c r="A884" s="67">
        <v>37.107995058215892</v>
      </c>
      <c r="B884" s="67">
        <v>37.211490987637887</v>
      </c>
      <c r="C884" s="67">
        <v>36.49812177229461</v>
      </c>
      <c r="D884" s="67">
        <v>36.50583692339697</v>
      </c>
      <c r="E884" s="67">
        <v>5168232.8279694635</v>
      </c>
      <c r="F884" s="67" t="s">
        <v>911</v>
      </c>
      <c r="G884" s="25">
        <f t="shared" si="9"/>
        <v>1.6494845360824906E-2</v>
      </c>
    </row>
    <row r="885" spans="1:7">
      <c r="A885" s="67">
        <v>36.684602619671338</v>
      </c>
      <c r="B885" s="67">
        <v>37.493752613334266</v>
      </c>
      <c r="C885" s="67">
        <v>36.665785177958249</v>
      </c>
      <c r="D885" s="67">
        <v>37.277352033633711</v>
      </c>
      <c r="E885" s="67">
        <v>6631198.9643730102</v>
      </c>
      <c r="F885" s="67" t="s">
        <v>912</v>
      </c>
      <c r="G885" s="25">
        <f t="shared" si="9"/>
        <v>-1.590106007067138E-2</v>
      </c>
    </row>
    <row r="886" spans="1:7">
      <c r="A886" s="67">
        <v>37.362030521342625</v>
      </c>
      <c r="B886" s="67">
        <v>37.77601423903063</v>
      </c>
      <c r="C886" s="67">
        <v>37.352621800486084</v>
      </c>
      <c r="D886" s="67">
        <v>37.634883426182448</v>
      </c>
      <c r="E886" s="67">
        <v>4602505.5541820852</v>
      </c>
      <c r="F886" s="67" t="s">
        <v>913</v>
      </c>
      <c r="G886" s="25">
        <f t="shared" si="9"/>
        <v>-7.2499999999999787E-3</v>
      </c>
    </row>
    <row r="887" spans="1:7">
      <c r="A887" s="67">
        <v>37.578431101043172</v>
      </c>
      <c r="B887" s="67">
        <v>37.94537121444845</v>
      </c>
      <c r="C887" s="67">
        <v>37.343213079629528</v>
      </c>
      <c r="D887" s="67">
        <v>37.691335751321724</v>
      </c>
      <c r="E887" s="67">
        <v>4362339.0071611935</v>
      </c>
      <c r="F887" s="67" t="s">
        <v>914</v>
      </c>
      <c r="G887" s="25">
        <f t="shared" si="9"/>
        <v>-2.9955067398902413E-3</v>
      </c>
    </row>
    <row r="888" spans="1:7">
      <c r="A888" s="67">
        <v>37.277352033633711</v>
      </c>
      <c r="B888" s="67">
        <v>37.409074125625352</v>
      </c>
      <c r="C888" s="67">
        <v>36.327071227122609</v>
      </c>
      <c r="D888" s="67">
        <v>36.421158435688064</v>
      </c>
      <c r="E888" s="67">
        <v>4502863.9541926682</v>
      </c>
      <c r="F888" s="67" t="s">
        <v>915</v>
      </c>
      <c r="G888" s="25">
        <f t="shared" ref="G888:G951" si="10">A888/D888-1</f>
        <v>2.3508137432187937E-2</v>
      </c>
    </row>
    <row r="889" spans="1:7">
      <c r="A889" s="67">
        <v>36.750463665667162</v>
      </c>
      <c r="B889" s="67">
        <v>37.587839821899721</v>
      </c>
      <c r="C889" s="67">
        <v>36.593902550614239</v>
      </c>
      <c r="D889" s="67">
        <v>37.305578196203349</v>
      </c>
      <c r="E889" s="67">
        <v>6735877.3808141584</v>
      </c>
      <c r="F889" s="67" t="s">
        <v>916</v>
      </c>
      <c r="G889" s="25">
        <f t="shared" si="10"/>
        <v>-1.4880201765447576E-2</v>
      </c>
    </row>
    <row r="890" spans="1:7">
      <c r="A890" s="67">
        <v>37.587839821899721</v>
      </c>
      <c r="B890" s="67">
        <v>37.700744472178265</v>
      </c>
      <c r="C890" s="67">
        <v>37.032725291363526</v>
      </c>
      <c r="D890" s="67">
        <v>37.362030521342625</v>
      </c>
      <c r="E890" s="67">
        <v>8722934.950599907</v>
      </c>
      <c r="F890" s="67" t="s">
        <v>917</v>
      </c>
      <c r="G890" s="25">
        <f t="shared" si="10"/>
        <v>6.0438176781667519E-3</v>
      </c>
    </row>
    <row r="891" spans="1:7">
      <c r="A891" s="67">
        <v>37.465526450764628</v>
      </c>
      <c r="B891" s="67">
        <v>38.175884875433823</v>
      </c>
      <c r="C891" s="67">
        <v>37.362030521342625</v>
      </c>
      <c r="D891" s="67">
        <v>37.907736331022271</v>
      </c>
      <c r="E891" s="67">
        <v>5415156.9354461702</v>
      </c>
      <c r="F891" s="67" t="s">
        <v>918</v>
      </c>
      <c r="G891" s="25">
        <f t="shared" si="10"/>
        <v>-1.1665425663936468E-2</v>
      </c>
    </row>
    <row r="892" spans="1:7">
      <c r="A892" s="67">
        <v>37.785422959887171</v>
      </c>
      <c r="B892" s="67">
        <v>37.978301737446365</v>
      </c>
      <c r="C892" s="67">
        <v>37.305578196203349</v>
      </c>
      <c r="D892" s="67">
        <v>37.710153193034806</v>
      </c>
      <c r="E892" s="67">
        <v>4664231.2668325957</v>
      </c>
      <c r="F892" s="67" t="s">
        <v>919</v>
      </c>
      <c r="G892" s="25">
        <f t="shared" si="10"/>
        <v>1.9960079840319889E-3</v>
      </c>
    </row>
    <row r="893" spans="1:7">
      <c r="A893" s="67">
        <v>38.11472818986627</v>
      </c>
      <c r="B893" s="67">
        <v>38.613390395263188</v>
      </c>
      <c r="C893" s="67">
        <v>37.691335751321724</v>
      </c>
      <c r="D893" s="67">
        <v>38.237041561001362</v>
      </c>
      <c r="E893" s="67">
        <v>5420295.7848962909</v>
      </c>
      <c r="F893" s="67" t="s">
        <v>920</v>
      </c>
      <c r="G893" s="25">
        <f t="shared" si="10"/>
        <v>-3.1988188976377341E-3</v>
      </c>
    </row>
    <row r="894" spans="1:7">
      <c r="A894" s="67">
        <v>38.312311327853735</v>
      </c>
      <c r="B894" s="67">
        <v>38.66731445647077</v>
      </c>
      <c r="C894" s="67">
        <v>37.79849101011856</v>
      </c>
      <c r="D894" s="67">
        <v>38.134809763545221</v>
      </c>
      <c r="E894" s="67">
        <v>6562422.2780109849</v>
      </c>
      <c r="F894" s="67" t="s">
        <v>921</v>
      </c>
      <c r="G894" s="25">
        <f t="shared" si="10"/>
        <v>4.6545810877021143E-3</v>
      </c>
    </row>
    <row r="895" spans="1:7">
      <c r="A895" s="67">
        <v>38.022703512403005</v>
      </c>
      <c r="B895" s="67">
        <v>38.153494138735596</v>
      </c>
      <c r="C895" s="67">
        <v>37.482818491277264</v>
      </c>
      <c r="D895" s="67">
        <v>38.106783200759665</v>
      </c>
      <c r="E895" s="67">
        <v>6453460.6467411686</v>
      </c>
      <c r="F895" s="67" t="s">
        <v>922</v>
      </c>
      <c r="G895" s="25">
        <f t="shared" si="10"/>
        <v>-2.206423142927072E-3</v>
      </c>
    </row>
    <row r="896" spans="1:7">
      <c r="A896" s="67">
        <v>38.302969140258554</v>
      </c>
      <c r="B896" s="67">
        <v>38.34033789063929</v>
      </c>
      <c r="C896" s="67">
        <v>36.976378501742282</v>
      </c>
      <c r="D896" s="67">
        <v>37.294012879978574</v>
      </c>
      <c r="E896" s="67">
        <v>11045295.221130323</v>
      </c>
      <c r="F896" s="67" t="s">
        <v>923</v>
      </c>
      <c r="G896" s="25">
        <f t="shared" si="10"/>
        <v>2.7054108216432837E-2</v>
      </c>
    </row>
    <row r="897" spans="1:7">
      <c r="A897" s="67">
        <v>37.181906628836352</v>
      </c>
      <c r="B897" s="67">
        <v>37.649016008595602</v>
      </c>
      <c r="C897" s="67">
        <v>36.649401935910802</v>
      </c>
      <c r="D897" s="67">
        <v>37.097826940479685</v>
      </c>
      <c r="E897" s="67">
        <v>5928321.3311349889</v>
      </c>
      <c r="F897" s="67" t="s">
        <v>924</v>
      </c>
      <c r="G897" s="25">
        <f t="shared" si="10"/>
        <v>2.2664316293126152E-3</v>
      </c>
    </row>
    <row r="898" spans="1:7">
      <c r="A898" s="67">
        <v>37.424803506311164</v>
      </c>
      <c r="B898" s="67">
        <v>37.490198819477463</v>
      </c>
      <c r="C898" s="67">
        <v>36.882956625790428</v>
      </c>
      <c r="D898" s="67">
        <v>37.191248816431539</v>
      </c>
      <c r="E898" s="67">
        <v>6618860.879208819</v>
      </c>
      <c r="F898" s="67" t="s">
        <v>925</v>
      </c>
      <c r="G898" s="25">
        <f t="shared" si="10"/>
        <v>6.2798291886461133E-3</v>
      </c>
    </row>
    <row r="899" spans="1:7">
      <c r="A899" s="67">
        <v>37.284670692383386</v>
      </c>
      <c r="B899" s="67">
        <v>38.041387887593373</v>
      </c>
      <c r="C899" s="67">
        <v>37.275328504788199</v>
      </c>
      <c r="D899" s="67">
        <v>37.835859760499304</v>
      </c>
      <c r="E899" s="67">
        <v>6317820.0393257169</v>
      </c>
      <c r="F899" s="67" t="s">
        <v>926</v>
      </c>
      <c r="G899" s="25">
        <f t="shared" si="10"/>
        <v>-1.456790123456797E-2</v>
      </c>
    </row>
    <row r="900" spans="1:7">
      <c r="A900" s="67">
        <v>37.835859760499304</v>
      </c>
      <c r="B900" s="67">
        <v>38.302969140258554</v>
      </c>
      <c r="C900" s="67">
        <v>37.368750380740053</v>
      </c>
      <c r="D900" s="67">
        <v>38.302969140258554</v>
      </c>
      <c r="E900" s="67">
        <v>7866279.632179088</v>
      </c>
      <c r="F900" s="67" t="s">
        <v>927</v>
      </c>
      <c r="G900" s="25">
        <f t="shared" si="10"/>
        <v>-1.2195121951219523E-2</v>
      </c>
    </row>
    <row r="901" spans="1:7">
      <c r="A901" s="67">
        <v>38.256258202282631</v>
      </c>
      <c r="B901" s="67">
        <v>38.854158208374471</v>
      </c>
      <c r="C901" s="67">
        <v>37.247301942002643</v>
      </c>
      <c r="D901" s="67">
        <v>37.649016008595602</v>
      </c>
      <c r="E901" s="67">
        <v>13166313.429993166</v>
      </c>
      <c r="F901" s="67" t="s">
        <v>928</v>
      </c>
      <c r="G901" s="25">
        <f t="shared" si="10"/>
        <v>1.6129032258064502E-2</v>
      </c>
    </row>
    <row r="902" spans="1:7">
      <c r="A902" s="67">
        <v>37.499541007072644</v>
      </c>
      <c r="B902" s="67">
        <v>38.770078520017805</v>
      </c>
      <c r="C902" s="67">
        <v>36.042159742223781</v>
      </c>
      <c r="D902" s="67">
        <v>38.704683206851506</v>
      </c>
      <c r="E902" s="67">
        <v>23587629.530536737</v>
      </c>
      <c r="F902" s="67" t="s">
        <v>929</v>
      </c>
      <c r="G902" s="25">
        <f t="shared" si="10"/>
        <v>-3.1136857349746472E-2</v>
      </c>
    </row>
    <row r="903" spans="1:7">
      <c r="A903" s="67">
        <v>42.675112934805142</v>
      </c>
      <c r="B903" s="67">
        <v>43.079162548296885</v>
      </c>
      <c r="C903" s="67">
        <v>42.35747855656885</v>
      </c>
      <c r="D903" s="67">
        <v>42.385505119354399</v>
      </c>
      <c r="E903" s="67">
        <v>4302394.8717017816</v>
      </c>
      <c r="F903" s="67" t="s">
        <v>930</v>
      </c>
      <c r="G903" s="25">
        <f t="shared" si="10"/>
        <v>6.8327088384396717E-3</v>
      </c>
    </row>
    <row r="904" spans="1:7">
      <c r="A904" s="67">
        <v>42.609717621638843</v>
      </c>
      <c r="B904" s="67">
        <v>42.810574654935323</v>
      </c>
      <c r="C904" s="67">
        <v>41.610103548954051</v>
      </c>
      <c r="D904" s="67">
        <v>41.918395739595148</v>
      </c>
      <c r="E904" s="67">
        <v>6405156.1147028068</v>
      </c>
      <c r="F904" s="67" t="s">
        <v>931</v>
      </c>
      <c r="G904" s="25">
        <f t="shared" si="10"/>
        <v>1.6492088254958848E-2</v>
      </c>
    </row>
    <row r="905" spans="1:7">
      <c r="A905" s="67">
        <v>42.189319179855516</v>
      </c>
      <c r="B905" s="67">
        <v>43.590647319133268</v>
      </c>
      <c r="C905" s="67">
        <v>42.161292617069968</v>
      </c>
      <c r="D905" s="67">
        <v>43.478541067991053</v>
      </c>
      <c r="E905" s="67">
        <v>4209370.6211024988</v>
      </c>
      <c r="F905" s="67" t="s">
        <v>932</v>
      </c>
      <c r="G905" s="25">
        <f t="shared" si="10"/>
        <v>-2.9651912333476638E-2</v>
      </c>
    </row>
    <row r="906" spans="1:7">
      <c r="A906" s="67">
        <v>43.609331694323643</v>
      </c>
      <c r="B906" s="67">
        <v>44.048414511297338</v>
      </c>
      <c r="C906" s="67">
        <v>43.296368409884941</v>
      </c>
      <c r="D906" s="67">
        <v>43.730780133061046</v>
      </c>
      <c r="E906" s="67">
        <v>5084362.6844403278</v>
      </c>
      <c r="F906" s="67" t="s">
        <v>933</v>
      </c>
      <c r="G906" s="25">
        <f t="shared" si="10"/>
        <v>-2.7771843623156656E-3</v>
      </c>
    </row>
    <row r="907" spans="1:7">
      <c r="A907" s="67">
        <v>43.917623884964748</v>
      </c>
      <c r="B907" s="67">
        <v>44.123152012058817</v>
      </c>
      <c r="C907" s="67">
        <v>42.974062937851059</v>
      </c>
      <c r="D907" s="67">
        <v>43.36643481684883</v>
      </c>
      <c r="E907" s="67">
        <v>9617995.6872532219</v>
      </c>
      <c r="F907" s="67" t="s">
        <v>934</v>
      </c>
      <c r="G907" s="25">
        <f t="shared" si="10"/>
        <v>1.2710038776389432E-2</v>
      </c>
    </row>
    <row r="908" spans="1:7">
      <c r="A908" s="67">
        <v>43.23564419051624</v>
      </c>
      <c r="B908" s="67">
        <v>43.315052785075316</v>
      </c>
      <c r="C908" s="67">
        <v>42.315438712390517</v>
      </c>
      <c r="D908" s="67">
        <v>42.871298874304024</v>
      </c>
      <c r="E908" s="67">
        <v>8146656.1471347511</v>
      </c>
      <c r="F908" s="67" t="s">
        <v>935</v>
      </c>
      <c r="G908" s="25">
        <f t="shared" si="10"/>
        <v>8.4985835694051381E-3</v>
      </c>
    </row>
    <row r="909" spans="1:7">
      <c r="A909" s="67">
        <v>42.684455122400323</v>
      </c>
      <c r="B909" s="67">
        <v>42.749850435566621</v>
      </c>
      <c r="C909" s="67">
        <v>41.815631676048113</v>
      </c>
      <c r="D909" s="67">
        <v>42.320109806188107</v>
      </c>
      <c r="E909" s="67">
        <v>5436478.2854688736</v>
      </c>
      <c r="F909" s="67" t="s">
        <v>936</v>
      </c>
      <c r="G909" s="25">
        <f t="shared" si="10"/>
        <v>8.6092715231789185E-3</v>
      </c>
    </row>
    <row r="910" spans="1:7">
      <c r="A910" s="67">
        <v>42.170634804665148</v>
      </c>
      <c r="B910" s="67">
        <v>43.123537939374017</v>
      </c>
      <c r="C910" s="67">
        <v>42.100568397701259</v>
      </c>
      <c r="D910" s="67">
        <v>42.918009812279948</v>
      </c>
      <c r="E910" s="67">
        <v>4617357.5043850029</v>
      </c>
      <c r="F910" s="67" t="s">
        <v>937</v>
      </c>
      <c r="G910" s="25">
        <f t="shared" si="10"/>
        <v>-1.7414018284719113E-2</v>
      </c>
    </row>
    <row r="911" spans="1:7">
      <c r="A911" s="67">
        <v>42.974062937851059</v>
      </c>
      <c r="B911" s="67">
        <v>43.282355128492163</v>
      </c>
      <c r="C911" s="67">
        <v>42.786004701559982</v>
      </c>
      <c r="D911" s="67">
        <v>43.011431688231802</v>
      </c>
      <c r="E911" s="67">
        <v>3143626.6613974357</v>
      </c>
      <c r="F911" s="67" t="s">
        <v>938</v>
      </c>
      <c r="G911" s="25">
        <f t="shared" si="10"/>
        <v>-8.6880973066905121E-4</v>
      </c>
    </row>
    <row r="912" spans="1:7">
      <c r="A912" s="67">
        <v>43.123537939374017</v>
      </c>
      <c r="B912" s="67">
        <v>43.318509394485531</v>
      </c>
      <c r="C912" s="67">
        <v>42.833930123923288</v>
      </c>
      <c r="D912" s="67">
        <v>43.263670753301795</v>
      </c>
      <c r="E912" s="67">
        <v>3304174.711275286</v>
      </c>
      <c r="F912" s="67" t="s">
        <v>939</v>
      </c>
      <c r="G912" s="25">
        <f t="shared" si="10"/>
        <v>-3.2390412437919291E-3</v>
      </c>
    </row>
    <row r="913" spans="1:7">
      <c r="A913" s="67">
        <v>43.104853564183649</v>
      </c>
      <c r="B913" s="67">
        <v>43.216959815325872</v>
      </c>
      <c r="C913" s="67">
        <v>41.488655110216641</v>
      </c>
      <c r="D913" s="67">
        <v>41.572734798573308</v>
      </c>
      <c r="E913" s="67">
        <v>4821384.6640389562</v>
      </c>
      <c r="F913" s="67" t="s">
        <v>940</v>
      </c>
      <c r="G913" s="25">
        <f t="shared" si="10"/>
        <v>3.6853932584269611E-2</v>
      </c>
    </row>
    <row r="914" spans="1:7">
      <c r="A914" s="67">
        <v>41.955764489975891</v>
      </c>
      <c r="B914" s="67">
        <v>42.310767618592926</v>
      </c>
      <c r="C914" s="67">
        <v>41.628787924144419</v>
      </c>
      <c r="D914" s="67">
        <v>41.937080114785523</v>
      </c>
      <c r="E914" s="67">
        <v>4744595.3689524671</v>
      </c>
      <c r="F914" s="67" t="s">
        <v>941</v>
      </c>
      <c r="G914" s="25">
        <f t="shared" si="10"/>
        <v>4.4553352639775667E-4</v>
      </c>
    </row>
    <row r="915" spans="1:7">
      <c r="A915" s="67">
        <v>42.170634804665148</v>
      </c>
      <c r="B915" s="67">
        <v>42.586362152650885</v>
      </c>
      <c r="C915" s="67">
        <v>41.096283231218877</v>
      </c>
      <c r="D915" s="67">
        <v>41.105625418814057</v>
      </c>
      <c r="E915" s="67">
        <v>7763636.649448338</v>
      </c>
      <c r="F915" s="67" t="s">
        <v>942</v>
      </c>
      <c r="G915" s="25">
        <f t="shared" si="10"/>
        <v>2.5909090909090882E-2</v>
      </c>
    </row>
    <row r="916" spans="1:7">
      <c r="A916" s="67">
        <v>40.993519167671842</v>
      </c>
      <c r="B916" s="67">
        <v>41.105625418814057</v>
      </c>
      <c r="C916" s="67">
        <v>40.404961349175181</v>
      </c>
      <c r="D916" s="67">
        <v>40.862728541339251</v>
      </c>
      <c r="E916" s="67">
        <v>9846915.3035861496</v>
      </c>
      <c r="F916" s="67" t="s">
        <v>943</v>
      </c>
      <c r="G916" s="25">
        <f t="shared" si="10"/>
        <v>3.2007315957933713E-3</v>
      </c>
    </row>
    <row r="917" spans="1:7">
      <c r="A917" s="67">
        <v>40.769306665387397</v>
      </c>
      <c r="B917" s="67">
        <v>41.245758232741828</v>
      </c>
      <c r="C917" s="67">
        <v>40.507725412722216</v>
      </c>
      <c r="D917" s="67">
        <v>41.105625418814057</v>
      </c>
      <c r="E917" s="67">
        <v>13754298.839623684</v>
      </c>
      <c r="F917" s="67" t="s">
        <v>944</v>
      </c>
      <c r="G917" s="25">
        <f t="shared" si="10"/>
        <v>-8.181818181818179E-3</v>
      </c>
    </row>
    <row r="918" spans="1:7">
      <c r="A918" s="67">
        <v>41.105625418814057</v>
      </c>
      <c r="B918" s="67">
        <v>42.021159803142183</v>
      </c>
      <c r="C918" s="67">
        <v>41.030887918052578</v>
      </c>
      <c r="D918" s="67">
        <v>41.853000426428856</v>
      </c>
      <c r="E918" s="67">
        <v>8295055.0083088232</v>
      </c>
      <c r="F918" s="67" t="s">
        <v>945</v>
      </c>
      <c r="G918" s="25">
        <f t="shared" si="10"/>
        <v>-1.7857142857142794E-2</v>
      </c>
    </row>
    <row r="919" spans="1:7">
      <c r="A919" s="67">
        <v>41.796947300857752</v>
      </c>
      <c r="B919" s="67">
        <v>42.14727933567719</v>
      </c>
      <c r="C919" s="67">
        <v>41.320495733503307</v>
      </c>
      <c r="D919" s="67">
        <v>42.067870741118114</v>
      </c>
      <c r="E919" s="67">
        <v>6745547.4810289321</v>
      </c>
      <c r="F919" s="67" t="s">
        <v>946</v>
      </c>
      <c r="G919" s="25">
        <f t="shared" si="10"/>
        <v>-6.4401510104373783E-3</v>
      </c>
    </row>
    <row r="920" spans="1:7">
      <c r="A920" s="67">
        <v>41.8903691768096</v>
      </c>
      <c r="B920" s="67">
        <v>42.095897303903669</v>
      </c>
      <c r="C920" s="67">
        <v>41.413917609455162</v>
      </c>
      <c r="D920" s="67">
        <v>42.011817615547002</v>
      </c>
      <c r="E920" s="67">
        <v>6978306.6691574957</v>
      </c>
      <c r="F920" s="67" t="s">
        <v>947</v>
      </c>
      <c r="G920" s="25">
        <f t="shared" si="10"/>
        <v>-2.8908160996219401E-3</v>
      </c>
    </row>
    <row r="921" spans="1:7">
      <c r="A921" s="67">
        <v>42.123923866689225</v>
      </c>
      <c r="B921" s="67">
        <v>42.637744184424399</v>
      </c>
      <c r="C921" s="67">
        <v>41.796947300857752</v>
      </c>
      <c r="D921" s="67">
        <v>42.404189494544774</v>
      </c>
      <c r="E921" s="67">
        <v>9127433.9260697868</v>
      </c>
      <c r="F921" s="67" t="s">
        <v>948</v>
      </c>
      <c r="G921" s="25">
        <f t="shared" si="10"/>
        <v>-6.6093853271644853E-3</v>
      </c>
    </row>
    <row r="922" spans="1:7">
      <c r="A922" s="67">
        <v>42.450900432520697</v>
      </c>
      <c r="B922" s="67">
        <v>42.988076219243837</v>
      </c>
      <c r="C922" s="67">
        <v>42.292083243402558</v>
      </c>
      <c r="D922" s="67">
        <v>42.880641061899212</v>
      </c>
      <c r="E922" s="67">
        <v>5740152.3415820468</v>
      </c>
      <c r="F922" s="67" t="s">
        <v>949</v>
      </c>
      <c r="G922" s="25">
        <f t="shared" si="10"/>
        <v>-1.002178649237484E-2</v>
      </c>
    </row>
    <row r="923" spans="1:7">
      <c r="A923" s="67">
        <v>42.731166060376253</v>
      </c>
      <c r="B923" s="67">
        <v>43.36643481684883</v>
      </c>
      <c r="C923" s="67">
        <v>42.058528553522933</v>
      </c>
      <c r="D923" s="67">
        <v>42.338794181378482</v>
      </c>
      <c r="E923" s="67">
        <v>6250933.1358426334</v>
      </c>
      <c r="F923" s="67" t="s">
        <v>950</v>
      </c>
      <c r="G923" s="25">
        <f t="shared" si="10"/>
        <v>9.2674315975287413E-3</v>
      </c>
    </row>
    <row r="924" spans="1:7">
      <c r="A924" s="67">
        <v>41.759578550477009</v>
      </c>
      <c r="B924" s="67">
        <v>44.795789518912137</v>
      </c>
      <c r="C924" s="67">
        <v>41.544708235787752</v>
      </c>
      <c r="D924" s="67">
        <v>44.468812953080665</v>
      </c>
      <c r="E924" s="67">
        <v>14875894.814146874</v>
      </c>
      <c r="F924" s="67" t="s">
        <v>951</v>
      </c>
      <c r="G924" s="25">
        <f t="shared" si="10"/>
        <v>-6.0924369747899165E-2</v>
      </c>
    </row>
    <row r="925" spans="1:7">
      <c r="A925" s="67">
        <v>45.262898898671388</v>
      </c>
      <c r="B925" s="67">
        <v>47.065941104542098</v>
      </c>
      <c r="C925" s="67">
        <v>44.711709830555471</v>
      </c>
      <c r="D925" s="67">
        <v>46.710937975925063</v>
      </c>
      <c r="E925" s="67">
        <v>11880521.437741686</v>
      </c>
      <c r="F925" s="67" t="s">
        <v>952</v>
      </c>
      <c r="G925" s="25">
        <f t="shared" si="10"/>
        <v>-3.0999999999999917E-2</v>
      </c>
    </row>
    <row r="926" spans="1:7">
      <c r="A926" s="67">
        <v>49.111880187887614</v>
      </c>
      <c r="B926" s="67">
        <v>49.625700505622788</v>
      </c>
      <c r="C926" s="67">
        <v>48.420558305843919</v>
      </c>
      <c r="D926" s="67">
        <v>48.420558305843919</v>
      </c>
      <c r="E926" s="67">
        <v>3266312.0590435639</v>
      </c>
      <c r="F926" s="67" t="s">
        <v>953</v>
      </c>
      <c r="G926" s="25">
        <f t="shared" si="10"/>
        <v>1.4277445494887298E-2</v>
      </c>
    </row>
    <row r="927" spans="1:7">
      <c r="A927" s="67">
        <v>48.887667685603169</v>
      </c>
      <c r="B927" s="67">
        <v>49.046484874721315</v>
      </c>
      <c r="C927" s="67">
        <v>48.112266115202814</v>
      </c>
      <c r="D927" s="67">
        <v>48.215030178749849</v>
      </c>
      <c r="E927" s="67">
        <v>3496638.1981920665</v>
      </c>
      <c r="F927" s="67" t="s">
        <v>954</v>
      </c>
      <c r="G927" s="25">
        <f t="shared" si="10"/>
        <v>1.395078473164113E-2</v>
      </c>
    </row>
    <row r="928" spans="1:7">
      <c r="A928" s="67">
        <v>47.682525485824307</v>
      </c>
      <c r="B928" s="67">
        <v>47.981475488870224</v>
      </c>
      <c r="C928" s="67">
        <v>46.813702039472098</v>
      </c>
      <c r="D928" s="67">
        <v>47.084625479732466</v>
      </c>
      <c r="E928" s="67">
        <v>2983680.1836827151</v>
      </c>
      <c r="F928" s="67" t="s">
        <v>955</v>
      </c>
      <c r="G928" s="25">
        <f t="shared" si="10"/>
        <v>1.2698412698412653E-2</v>
      </c>
    </row>
    <row r="929" spans="1:7">
      <c r="A929" s="67">
        <v>47.617130172658008</v>
      </c>
      <c r="B929" s="67">
        <v>47.682525485824307</v>
      </c>
      <c r="C929" s="67">
        <v>47.1266653239108</v>
      </c>
      <c r="D929" s="67">
        <v>47.467655171135057</v>
      </c>
      <c r="E929" s="67">
        <v>1951362.013903016</v>
      </c>
      <c r="F929" s="67" t="s">
        <v>956</v>
      </c>
      <c r="G929" s="25">
        <f t="shared" si="10"/>
        <v>3.1489864199958362E-3</v>
      </c>
    </row>
    <row r="930" spans="1:7">
      <c r="A930" s="67">
        <v>47.757262986585786</v>
      </c>
      <c r="B930" s="67">
        <v>48.056212989631703</v>
      </c>
      <c r="C930" s="67">
        <v>47.297160247522925</v>
      </c>
      <c r="D930" s="67">
        <v>47.383575482778383</v>
      </c>
      <c r="E930" s="67">
        <v>3088018.7007664852</v>
      </c>
      <c r="F930" s="67" t="s">
        <v>957</v>
      </c>
      <c r="G930" s="25">
        <f t="shared" si="10"/>
        <v>7.8864353312302349E-3</v>
      </c>
    </row>
    <row r="931" spans="1:7">
      <c r="A931" s="67">
        <v>47.047256729351723</v>
      </c>
      <c r="B931" s="67">
        <v>48.294438773308926</v>
      </c>
      <c r="C931" s="67">
        <v>46.972519228590244</v>
      </c>
      <c r="D931" s="67">
        <v>47.701209861014682</v>
      </c>
      <c r="E931" s="67">
        <v>2406219.0756676639</v>
      </c>
      <c r="F931" s="67" t="s">
        <v>958</v>
      </c>
      <c r="G931" s="25">
        <f t="shared" si="10"/>
        <v>-1.3709361535448661E-2</v>
      </c>
    </row>
    <row r="932" spans="1:7">
      <c r="A932" s="67">
        <v>47.495681733920613</v>
      </c>
      <c r="B932" s="67">
        <v>47.663841110633939</v>
      </c>
      <c r="C932" s="67">
        <v>46.281197346546556</v>
      </c>
      <c r="D932" s="67">
        <v>46.851070789852841</v>
      </c>
      <c r="E932" s="67">
        <v>2829295.5724441907</v>
      </c>
      <c r="F932" s="67" t="s">
        <v>959</v>
      </c>
      <c r="G932" s="25">
        <f t="shared" si="10"/>
        <v>1.3758723828514619E-2</v>
      </c>
    </row>
    <row r="933" spans="1:7">
      <c r="A933" s="67">
        <v>46.869755165043209</v>
      </c>
      <c r="B933" s="67">
        <v>46.907123915423952</v>
      </c>
      <c r="C933" s="67">
        <v>46.276526252748958</v>
      </c>
      <c r="D933" s="67">
        <v>46.673569225544327</v>
      </c>
      <c r="E933" s="67">
        <v>1966316.7553462307</v>
      </c>
      <c r="F933" s="67" t="s">
        <v>960</v>
      </c>
      <c r="G933" s="25">
        <f t="shared" si="10"/>
        <v>4.2033626901520904E-3</v>
      </c>
    </row>
    <row r="934" spans="1:7">
      <c r="A934" s="67">
        <v>46.841728602257653</v>
      </c>
      <c r="B934" s="67">
        <v>47.075283292137279</v>
      </c>
      <c r="C934" s="67">
        <v>45.788864060280304</v>
      </c>
      <c r="D934" s="67">
        <v>46.841728602257653</v>
      </c>
      <c r="E934" s="67">
        <v>3227387.5570150004</v>
      </c>
      <c r="F934" s="67" t="s">
        <v>961</v>
      </c>
      <c r="G934" s="25">
        <f t="shared" si="10"/>
        <v>0</v>
      </c>
    </row>
    <row r="935" spans="1:7">
      <c r="A935" s="67">
        <v>47.019230166566167</v>
      </c>
      <c r="B935" s="67">
        <v>47.056598916946911</v>
      </c>
      <c r="C935" s="67">
        <v>46.542778599211736</v>
      </c>
      <c r="D935" s="67">
        <v>46.776333289091362</v>
      </c>
      <c r="E935" s="67">
        <v>3831834.8497358621</v>
      </c>
      <c r="F935" s="67" t="s">
        <v>962</v>
      </c>
      <c r="G935" s="25">
        <f t="shared" si="10"/>
        <v>5.1927301777510149E-3</v>
      </c>
    </row>
    <row r="936" spans="1:7">
      <c r="A936" s="67">
        <v>46.645542662758771</v>
      </c>
      <c r="B936" s="67">
        <v>47.037914541756543</v>
      </c>
      <c r="C936" s="67">
        <v>46.327908284522486</v>
      </c>
      <c r="D936" s="67">
        <v>46.570805161997292</v>
      </c>
      <c r="E936" s="67">
        <v>8640952.579629859</v>
      </c>
      <c r="F936" s="67" t="s">
        <v>963</v>
      </c>
      <c r="G936" s="25">
        <f t="shared" si="10"/>
        <v>1.6048144433300493E-3</v>
      </c>
    </row>
    <row r="937" spans="1:7">
      <c r="A937" s="67">
        <v>46.664227037949146</v>
      </c>
      <c r="B937" s="67">
        <v>46.967848134792654</v>
      </c>
      <c r="C937" s="67">
        <v>45.776719216406562</v>
      </c>
      <c r="D937" s="67">
        <v>45.776719216406562</v>
      </c>
      <c r="E937" s="67">
        <v>5947984.8198123816</v>
      </c>
      <c r="F937" s="67" t="s">
        <v>964</v>
      </c>
      <c r="G937" s="25">
        <f t="shared" si="10"/>
        <v>1.9387755102040938E-2</v>
      </c>
    </row>
    <row r="938" spans="1:7">
      <c r="A938" s="67">
        <v>46.440014535664702</v>
      </c>
      <c r="B938" s="67">
        <v>47.523708296706161</v>
      </c>
      <c r="C938" s="67">
        <v>46.215802033380257</v>
      </c>
      <c r="D938" s="67">
        <v>47.084625479732466</v>
      </c>
      <c r="E938" s="67">
        <v>10054267.166333843</v>
      </c>
      <c r="F938" s="67" t="s">
        <v>965</v>
      </c>
      <c r="G938" s="25">
        <f t="shared" si="10"/>
        <v>-1.3690476190476142E-2</v>
      </c>
    </row>
    <row r="939" spans="1:7">
      <c r="A939" s="67">
        <v>47.420944233159126</v>
      </c>
      <c r="B939" s="67">
        <v>48.102923927607634</v>
      </c>
      <c r="C939" s="67">
        <v>46.636200475163584</v>
      </c>
      <c r="D939" s="67">
        <v>47.551734859491717</v>
      </c>
      <c r="E939" s="67">
        <v>7884752.8214874407</v>
      </c>
      <c r="F939" s="67" t="s">
        <v>966</v>
      </c>
      <c r="G939" s="25">
        <f t="shared" si="10"/>
        <v>-2.7504911591356151E-3</v>
      </c>
    </row>
    <row r="940" spans="1:7">
      <c r="A940" s="67">
        <v>48.859641122817614</v>
      </c>
      <c r="B940" s="67">
        <v>49.840570820312045</v>
      </c>
      <c r="C940" s="67">
        <v>48.640099714330766</v>
      </c>
      <c r="D940" s="67">
        <v>49.494909879290198</v>
      </c>
      <c r="E940" s="67">
        <v>7463923.1218112865</v>
      </c>
      <c r="F940" s="67" t="s">
        <v>967</v>
      </c>
      <c r="G940" s="25">
        <f t="shared" si="10"/>
        <v>-1.28350320875803E-2</v>
      </c>
    </row>
    <row r="941" spans="1:7">
      <c r="A941" s="67">
        <v>49.672411443598719</v>
      </c>
      <c r="B941" s="67">
        <v>50.260969262095365</v>
      </c>
      <c r="C941" s="67">
        <v>49.055827062316503</v>
      </c>
      <c r="D941" s="67">
        <v>50.102152072977226</v>
      </c>
      <c r="E941" s="67">
        <v>4854187.4735391578</v>
      </c>
      <c r="F941" s="67" t="s">
        <v>968</v>
      </c>
      <c r="G941" s="25">
        <f t="shared" si="10"/>
        <v>-8.5772888308781603E-3</v>
      </c>
    </row>
    <row r="942" spans="1:7">
      <c r="A942" s="67">
        <v>49.167933313458725</v>
      </c>
      <c r="B942" s="67">
        <v>49.219315345232246</v>
      </c>
      <c r="C942" s="67">
        <v>48.364505180272815</v>
      </c>
      <c r="D942" s="67">
        <v>48.784903622056135</v>
      </c>
      <c r="E942" s="67">
        <v>3843410.2970171538</v>
      </c>
      <c r="F942" s="67" t="s">
        <v>969</v>
      </c>
      <c r="G942" s="25">
        <f t="shared" si="10"/>
        <v>7.8513979318270977E-3</v>
      </c>
    </row>
    <row r="943" spans="1:7">
      <c r="A943" s="67">
        <v>48.9343786235791</v>
      </c>
      <c r="B943" s="67">
        <v>49.60701613043242</v>
      </c>
      <c r="C943" s="67">
        <v>48.822272372436878</v>
      </c>
      <c r="D943" s="67">
        <v>48.990431749150204</v>
      </c>
      <c r="E943" s="67">
        <v>4810695.5188058345</v>
      </c>
      <c r="F943" s="67" t="s">
        <v>970</v>
      </c>
      <c r="G943" s="25">
        <f t="shared" si="10"/>
        <v>-1.1441647597252302E-3</v>
      </c>
    </row>
    <row r="944" spans="1:7">
      <c r="A944" s="67">
        <v>49.158591125863538</v>
      </c>
      <c r="B944" s="67">
        <v>49.658398162205941</v>
      </c>
      <c r="C944" s="67">
        <v>48.672797370913919</v>
      </c>
      <c r="D944" s="67">
        <v>48.981089561555024</v>
      </c>
      <c r="E944" s="67">
        <v>3409091.2514339499</v>
      </c>
      <c r="F944" s="67" t="s">
        <v>971</v>
      </c>
      <c r="G944" s="25">
        <f t="shared" si="10"/>
        <v>3.6238794583254297E-3</v>
      </c>
    </row>
    <row r="945" spans="1:7">
      <c r="A945" s="67">
        <v>48.906352060793544</v>
      </c>
      <c r="B945" s="67">
        <v>49.298723939791316</v>
      </c>
      <c r="C945" s="67">
        <v>47.953448926084668</v>
      </c>
      <c r="D945" s="67">
        <v>48.093581740012446</v>
      </c>
      <c r="E945" s="67">
        <v>5495445.2024128158</v>
      </c>
      <c r="F945" s="67" t="s">
        <v>972</v>
      </c>
      <c r="G945" s="25">
        <f t="shared" si="10"/>
        <v>1.6899766899767021E-2</v>
      </c>
    </row>
    <row r="946" spans="1:7">
      <c r="A946" s="67">
        <v>48.121608302798002</v>
      </c>
      <c r="B946" s="67">
        <v>48.457927056224662</v>
      </c>
      <c r="C946" s="67">
        <v>47.528379390503751</v>
      </c>
      <c r="D946" s="67">
        <v>47.645156735443564</v>
      </c>
      <c r="E946" s="67">
        <v>5319106.4184593586</v>
      </c>
      <c r="F946" s="67" t="s">
        <v>973</v>
      </c>
      <c r="G946" s="25">
        <f t="shared" si="10"/>
        <v>1.0000000000000009E-2</v>
      </c>
    </row>
    <row r="947" spans="1:7">
      <c r="A947" s="67">
        <v>47.925422363299113</v>
      </c>
      <c r="B947" s="67">
        <v>49.494909879290198</v>
      </c>
      <c r="C947" s="67">
        <v>47.766605174180974</v>
      </c>
      <c r="D947" s="67">
        <v>49.308066127386503</v>
      </c>
      <c r="E947" s="67">
        <v>5371619.8148134258</v>
      </c>
      <c r="F947" s="67" t="s">
        <v>974</v>
      </c>
      <c r="G947" s="25">
        <f t="shared" si="10"/>
        <v>-2.8040924592648953E-2</v>
      </c>
    </row>
    <row r="948" spans="1:7">
      <c r="A948" s="67">
        <v>49.719122381574635</v>
      </c>
      <c r="B948" s="67">
        <v>50.083467697786851</v>
      </c>
      <c r="C948" s="67">
        <v>48.373847367867995</v>
      </c>
      <c r="D948" s="67">
        <v>48.46726924381985</v>
      </c>
      <c r="E948" s="67">
        <v>7967001.2233923674</v>
      </c>
      <c r="F948" s="67" t="s">
        <v>975</v>
      </c>
      <c r="G948" s="25">
        <f t="shared" si="10"/>
        <v>2.5828835774865055E-2</v>
      </c>
    </row>
    <row r="949" spans="1:7">
      <c r="A949" s="67">
        <v>48.9343786235791</v>
      </c>
      <c r="B949" s="67">
        <v>53.175731791793098</v>
      </c>
      <c r="C949" s="67">
        <v>48.859641122817614</v>
      </c>
      <c r="D949" s="67">
        <v>52.783359912795326</v>
      </c>
      <c r="E949" s="67">
        <v>11903055.774357717</v>
      </c>
      <c r="F949" s="67" t="s">
        <v>976</v>
      </c>
      <c r="G949" s="25">
        <f t="shared" si="10"/>
        <v>-7.2920353982300901E-2</v>
      </c>
    </row>
    <row r="950" spans="1:7">
      <c r="A950" s="67">
        <v>52.540463035320542</v>
      </c>
      <c r="B950" s="67">
        <v>52.55905155930261</v>
      </c>
      <c r="C950" s="67">
        <v>51.016204068790813</v>
      </c>
      <c r="D950" s="67">
        <v>51.564565526261866</v>
      </c>
      <c r="E950" s="67">
        <v>7979508.2247021589</v>
      </c>
      <c r="F950" s="67" t="s">
        <v>977</v>
      </c>
      <c r="G950" s="25">
        <f t="shared" si="10"/>
        <v>1.8925739005047015E-2</v>
      </c>
    </row>
    <row r="951" spans="1:7">
      <c r="A951" s="67">
        <v>51.434445858387384</v>
      </c>
      <c r="B951" s="67">
        <v>51.917747481921197</v>
      </c>
      <c r="C951" s="67">
        <v>50.858201614943212</v>
      </c>
      <c r="D951" s="67">
        <v>51.127735212683227</v>
      </c>
      <c r="E951" s="67">
        <v>4262905.4397452092</v>
      </c>
      <c r="F951" s="67" t="s">
        <v>978</v>
      </c>
      <c r="G951" s="25">
        <f t="shared" si="10"/>
        <v>5.9989092892203111E-3</v>
      </c>
    </row>
    <row r="952" spans="1:7">
      <c r="A952" s="67">
        <v>51.295031928521858</v>
      </c>
      <c r="B952" s="67">
        <v>52.075749935768798</v>
      </c>
      <c r="C952" s="67">
        <v>51.137029474674264</v>
      </c>
      <c r="D952" s="67">
        <v>51.76903929006464</v>
      </c>
      <c r="E952" s="67">
        <v>4649579.4977249121</v>
      </c>
      <c r="F952" s="67" t="s">
        <v>979</v>
      </c>
      <c r="G952" s="25">
        <f t="shared" ref="G952:G1015" si="11">A952/D952-1</f>
        <v>-9.1561938958707456E-3</v>
      </c>
    </row>
    <row r="953" spans="1:7">
      <c r="A953" s="67">
        <v>52.047867149795692</v>
      </c>
      <c r="B953" s="67">
        <v>52.726348275141234</v>
      </c>
      <c r="C953" s="67">
        <v>51.76903929006464</v>
      </c>
      <c r="D953" s="67">
        <v>52.475403201383294</v>
      </c>
      <c r="E953" s="67">
        <v>2286481.7045719647</v>
      </c>
      <c r="F953" s="67" t="s">
        <v>980</v>
      </c>
      <c r="G953" s="25">
        <f t="shared" si="11"/>
        <v>-8.1473609635138722E-3</v>
      </c>
    </row>
    <row r="954" spans="1:7">
      <c r="A954" s="67">
        <v>52.326695009526738</v>
      </c>
      <c r="B954" s="67">
        <v>52.475403201383294</v>
      </c>
      <c r="C954" s="67">
        <v>51.41585733440531</v>
      </c>
      <c r="D954" s="67">
        <v>51.480917168342557</v>
      </c>
      <c r="E954" s="67">
        <v>3723162.746367421</v>
      </c>
      <c r="F954" s="67" t="s">
        <v>981</v>
      </c>
      <c r="G954" s="25">
        <f t="shared" si="11"/>
        <v>1.642895829572133E-2</v>
      </c>
    </row>
    <row r="955" spans="1:7">
      <c r="A955" s="67">
        <v>51.41585733440531</v>
      </c>
      <c r="B955" s="67">
        <v>51.899158957939136</v>
      </c>
      <c r="C955" s="67">
        <v>50.895378662907355</v>
      </c>
      <c r="D955" s="67">
        <v>51.889864695948091</v>
      </c>
      <c r="E955" s="67">
        <v>3690198.3216185248</v>
      </c>
      <c r="F955" s="67" t="s">
        <v>982</v>
      </c>
      <c r="G955" s="25">
        <f t="shared" si="11"/>
        <v>-9.1348737238043931E-3</v>
      </c>
    </row>
    <row r="956" spans="1:7">
      <c r="A956" s="67">
        <v>51.889864695948091</v>
      </c>
      <c r="B956" s="67">
        <v>52.521874511338467</v>
      </c>
      <c r="C956" s="67">
        <v>51.146323736665302</v>
      </c>
      <c r="D956" s="67">
        <v>51.146323736665302</v>
      </c>
      <c r="E956" s="67">
        <v>2729760.5796428435</v>
      </c>
      <c r="F956" s="67" t="s">
        <v>983</v>
      </c>
      <c r="G956" s="25">
        <f t="shared" si="11"/>
        <v>1.4537524986370842E-2</v>
      </c>
    </row>
    <row r="957" spans="1:7">
      <c r="A957" s="67">
        <v>51.118440950692197</v>
      </c>
      <c r="B957" s="67">
        <v>51.387974548432204</v>
      </c>
      <c r="C957" s="67">
        <v>50.67231637512252</v>
      </c>
      <c r="D957" s="67">
        <v>51.118440950692197</v>
      </c>
      <c r="E957" s="67">
        <v>4996049.180105947</v>
      </c>
      <c r="F957" s="67" t="s">
        <v>984</v>
      </c>
      <c r="G957" s="25">
        <f t="shared" si="11"/>
        <v>0</v>
      </c>
    </row>
    <row r="958" spans="1:7">
      <c r="A958" s="67">
        <v>50.486431135301821</v>
      </c>
      <c r="B958" s="67">
        <v>50.732729078064246</v>
      </c>
      <c r="C958" s="67">
        <v>49.910186891857656</v>
      </c>
      <c r="D958" s="67">
        <v>50.449254087337678</v>
      </c>
      <c r="E958" s="67">
        <v>5442601.0423197905</v>
      </c>
      <c r="F958" s="67" t="s">
        <v>985</v>
      </c>
      <c r="G958" s="25">
        <f t="shared" si="11"/>
        <v>7.3691967575539863E-4</v>
      </c>
    </row>
    <row r="959" spans="1:7">
      <c r="A959" s="67">
        <v>51.062675378745986</v>
      </c>
      <c r="B959" s="67">
        <v>51.685390932145324</v>
      </c>
      <c r="C959" s="67">
        <v>50.709493423086656</v>
      </c>
      <c r="D959" s="67">
        <v>50.709493423086656</v>
      </c>
      <c r="E959" s="67">
        <v>6340023.5604331642</v>
      </c>
      <c r="F959" s="67" t="s">
        <v>986</v>
      </c>
      <c r="G959" s="25">
        <f t="shared" si="11"/>
        <v>6.9648093841643277E-3</v>
      </c>
    </row>
    <row r="960" spans="1:7">
      <c r="A960" s="67">
        <v>50.505019659283889</v>
      </c>
      <c r="B960" s="67">
        <v>51.006909806799776</v>
      </c>
      <c r="C960" s="67">
        <v>49.873009843893506</v>
      </c>
      <c r="D960" s="67">
        <v>50.216897537561806</v>
      </c>
      <c r="E960" s="67">
        <v>4448011.0459417505</v>
      </c>
      <c r="F960" s="67" t="s">
        <v>987</v>
      </c>
      <c r="G960" s="25">
        <f t="shared" si="11"/>
        <v>5.7375532111789695E-3</v>
      </c>
    </row>
    <row r="961" spans="1:7">
      <c r="A961" s="67">
        <v>49.891598367875581</v>
      </c>
      <c r="B961" s="67">
        <v>51.16491226064737</v>
      </c>
      <c r="C961" s="67">
        <v>49.845127057920408</v>
      </c>
      <c r="D961" s="67">
        <v>50.988321282817708</v>
      </c>
      <c r="E961" s="67">
        <v>4442111.707182752</v>
      </c>
      <c r="F961" s="67" t="s">
        <v>988</v>
      </c>
      <c r="G961" s="25">
        <f t="shared" si="11"/>
        <v>-2.1509296390813004E-2</v>
      </c>
    </row>
    <row r="962" spans="1:7">
      <c r="A962" s="67">
        <v>51.006909806799776</v>
      </c>
      <c r="B962" s="67">
        <v>51.285737666530821</v>
      </c>
      <c r="C962" s="67">
        <v>50.003129511768002</v>
      </c>
      <c r="D962" s="67">
        <v>50.161131965615596</v>
      </c>
      <c r="E962" s="67">
        <v>10994260.770630756</v>
      </c>
      <c r="F962" s="67" t="s">
        <v>989</v>
      </c>
      <c r="G962" s="25">
        <f t="shared" si="11"/>
        <v>1.6861219195849486E-2</v>
      </c>
    </row>
    <row r="963" spans="1:7">
      <c r="A963" s="67">
        <v>49.938069677830754</v>
      </c>
      <c r="B963" s="67">
        <v>50.300545895481115</v>
      </c>
      <c r="C963" s="67">
        <v>49.152704539588299</v>
      </c>
      <c r="D963" s="67">
        <v>49.5755934601804</v>
      </c>
      <c r="E963" s="67">
        <v>6286994.0675616041</v>
      </c>
      <c r="F963" s="67" t="s">
        <v>990</v>
      </c>
      <c r="G963" s="25">
        <f t="shared" si="11"/>
        <v>7.3115860517434239E-3</v>
      </c>
    </row>
    <row r="964" spans="1:7">
      <c r="A964" s="67">
        <v>48.004863183695484</v>
      </c>
      <c r="B964" s="67">
        <v>49.315354124431416</v>
      </c>
      <c r="C964" s="67">
        <v>47.986274659713423</v>
      </c>
      <c r="D964" s="67">
        <v>49.082997574655543</v>
      </c>
      <c r="E964" s="67">
        <v>3613173.3786278353</v>
      </c>
      <c r="F964" s="67" t="s">
        <v>991</v>
      </c>
      <c r="G964" s="25">
        <f t="shared" si="11"/>
        <v>-2.1965536830145904E-2</v>
      </c>
    </row>
    <row r="965" spans="1:7">
      <c r="A965" s="67">
        <v>48.93428938279898</v>
      </c>
      <c r="B965" s="67">
        <v>49.4965922332566</v>
      </c>
      <c r="C965" s="67">
        <v>47.410030416269251</v>
      </c>
      <c r="D965" s="67">
        <v>48.581107427139656</v>
      </c>
      <c r="E965" s="67">
        <v>5019401.2224961175</v>
      </c>
      <c r="F965" s="67" t="s">
        <v>992</v>
      </c>
      <c r="G965" s="25">
        <f t="shared" si="11"/>
        <v>7.26994451884444E-3</v>
      </c>
    </row>
    <row r="966" spans="1:7">
      <c r="A966" s="67">
        <v>48.646167261076904</v>
      </c>
      <c r="B966" s="67">
        <v>48.655461523067935</v>
      </c>
      <c r="C966" s="67">
        <v>47.07078985359648</v>
      </c>
      <c r="D966" s="67">
        <v>47.214850914457514</v>
      </c>
      <c r="E966" s="67">
        <v>4974411.0984385712</v>
      </c>
      <c r="F966" s="67" t="s">
        <v>993</v>
      </c>
      <c r="G966" s="25">
        <f t="shared" si="11"/>
        <v>3.0314960629921339E-2</v>
      </c>
    </row>
    <row r="967" spans="1:7">
      <c r="A967" s="67">
        <v>47.010377150654747</v>
      </c>
      <c r="B967" s="67">
        <v>47.358911975318556</v>
      </c>
      <c r="C967" s="67">
        <v>46.313307501327124</v>
      </c>
      <c r="D967" s="67">
        <v>47.270616486403725</v>
      </c>
      <c r="E967" s="67">
        <v>4157375.8128693923</v>
      </c>
      <c r="F967" s="67" t="s">
        <v>994</v>
      </c>
      <c r="G967" s="25">
        <f t="shared" si="11"/>
        <v>-5.5053086905230142E-3</v>
      </c>
    </row>
    <row r="968" spans="1:7">
      <c r="A968" s="67">
        <v>46.880257482780259</v>
      </c>
      <c r="B968" s="67">
        <v>47.781800895910649</v>
      </c>
      <c r="C968" s="67">
        <v>46.866316089793706</v>
      </c>
      <c r="D968" s="67">
        <v>47.781800895910649</v>
      </c>
      <c r="E968" s="67">
        <v>3417923.8793399497</v>
      </c>
      <c r="F968" s="67" t="s">
        <v>995</v>
      </c>
      <c r="G968" s="25">
        <f t="shared" si="11"/>
        <v>-1.8867924528301883E-2</v>
      </c>
    </row>
    <row r="969" spans="1:7">
      <c r="A969" s="67">
        <v>48.265102519444468</v>
      </c>
      <c r="B969" s="67">
        <v>50.170426227606626</v>
      </c>
      <c r="C969" s="67">
        <v>48.246513995462394</v>
      </c>
      <c r="D969" s="67">
        <v>49.705713128054882</v>
      </c>
      <c r="E969" s="67">
        <v>4246946.1306421217</v>
      </c>
      <c r="F969" s="67" t="s">
        <v>996</v>
      </c>
      <c r="G969" s="25">
        <f t="shared" si="11"/>
        <v>-2.8982797307404606E-2</v>
      </c>
    </row>
    <row r="970" spans="1:7">
      <c r="A970" s="67">
        <v>49.947363939821791</v>
      </c>
      <c r="B970" s="67">
        <v>51.090558164719091</v>
      </c>
      <c r="C970" s="67">
        <v>49.919481153848686</v>
      </c>
      <c r="D970" s="67">
        <v>50.830318828970107</v>
      </c>
      <c r="E970" s="67">
        <v>3825581.8519314984</v>
      </c>
      <c r="F970" s="67" t="s">
        <v>997</v>
      </c>
      <c r="G970" s="25">
        <f t="shared" si="11"/>
        <v>-1.7370634485280645E-2</v>
      </c>
    </row>
    <row r="971" spans="1:7">
      <c r="A971" s="67">
        <v>50.514313921274926</v>
      </c>
      <c r="B971" s="67">
        <v>51.16491226064737</v>
      </c>
      <c r="C971" s="67">
        <v>50.309840157472159</v>
      </c>
      <c r="D971" s="67">
        <v>51.006909806799776</v>
      </c>
      <c r="E971" s="67">
        <v>5128649.2726349467</v>
      </c>
      <c r="F971" s="67" t="s">
        <v>998</v>
      </c>
      <c r="G971" s="25">
        <f t="shared" si="11"/>
        <v>-9.6574344023323544E-3</v>
      </c>
    </row>
    <row r="972" spans="1:7">
      <c r="A972" s="67">
        <v>51.118440950692197</v>
      </c>
      <c r="B972" s="67">
        <v>51.703979456127399</v>
      </c>
      <c r="C972" s="67">
        <v>49.817244271947303</v>
      </c>
      <c r="D972" s="67">
        <v>49.817244271947303</v>
      </c>
      <c r="E972" s="67">
        <v>6867815.8697883002</v>
      </c>
      <c r="F972" s="67" t="s">
        <v>999</v>
      </c>
      <c r="G972" s="25">
        <f t="shared" si="11"/>
        <v>2.6119402985074647E-2</v>
      </c>
    </row>
    <row r="973" spans="1:7">
      <c r="A973" s="67">
        <v>50.161131965615596</v>
      </c>
      <c r="B973" s="67">
        <v>53.553537592343346</v>
      </c>
      <c r="C973" s="67">
        <v>49.789361485974197</v>
      </c>
      <c r="D973" s="67">
        <v>53.395535138495759</v>
      </c>
      <c r="E973" s="67">
        <v>9598818.0757174622</v>
      </c>
      <c r="F973" s="67" t="s">
        <v>1000</v>
      </c>
      <c r="G973" s="25">
        <f t="shared" si="11"/>
        <v>-6.0574412532637179E-2</v>
      </c>
    </row>
    <row r="974" spans="1:7">
      <c r="A974" s="67">
        <v>53.562831854334384</v>
      </c>
      <c r="B974" s="67">
        <v>54.018250691895098</v>
      </c>
      <c r="C974" s="67">
        <v>53.060941706818504</v>
      </c>
      <c r="D974" s="67">
        <v>53.423417924468858</v>
      </c>
      <c r="E974" s="67">
        <v>5413431.4320525629</v>
      </c>
      <c r="F974" s="67" t="s">
        <v>1001</v>
      </c>
      <c r="G974" s="25">
        <f t="shared" si="11"/>
        <v>2.6096033402922547E-3</v>
      </c>
    </row>
    <row r="975" spans="1:7">
      <c r="A975" s="67">
        <v>53.079530230800565</v>
      </c>
      <c r="B975" s="67">
        <v>53.163178588719887</v>
      </c>
      <c r="C975" s="67">
        <v>52.01069010183155</v>
      </c>
      <c r="D975" s="67">
        <v>52.224458127625354</v>
      </c>
      <c r="E975" s="67">
        <v>5107892.379813754</v>
      </c>
      <c r="F975" s="67" t="s">
        <v>1002</v>
      </c>
      <c r="G975" s="25">
        <f t="shared" si="11"/>
        <v>1.6373020110339809E-2</v>
      </c>
    </row>
    <row r="976" spans="1:7">
      <c r="A976" s="67">
        <v>52.447520415410189</v>
      </c>
      <c r="B976" s="67">
        <v>53.311886780576444</v>
      </c>
      <c r="C976" s="67">
        <v>52.215163865634317</v>
      </c>
      <c r="D976" s="67">
        <v>52.902939252970903</v>
      </c>
      <c r="E976" s="67">
        <v>4198433.403065159</v>
      </c>
      <c r="F976" s="67" t="s">
        <v>1003</v>
      </c>
      <c r="G976" s="25">
        <f t="shared" si="11"/>
        <v>-8.6085734364019784E-3</v>
      </c>
    </row>
    <row r="977" spans="1:7">
      <c r="A977" s="67">
        <v>52.447520415410189</v>
      </c>
      <c r="B977" s="67">
        <v>52.549757297311572</v>
      </c>
      <c r="C977" s="67">
        <v>50.491078266297336</v>
      </c>
      <c r="D977" s="67">
        <v>51.025498330781843</v>
      </c>
      <c r="E977" s="67">
        <v>4858934.4741476644</v>
      </c>
      <c r="F977" s="67" t="s">
        <v>1004</v>
      </c>
      <c r="G977" s="25">
        <f t="shared" si="11"/>
        <v>2.7868852459016269E-2</v>
      </c>
    </row>
    <row r="978" spans="1:7">
      <c r="A978" s="67">
        <v>51.118440950692197</v>
      </c>
      <c r="B978" s="67">
        <v>52.36387205749088</v>
      </c>
      <c r="C978" s="67">
        <v>51.014531101632421</v>
      </c>
      <c r="D978" s="67">
        <v>51.694685194136362</v>
      </c>
      <c r="E978" s="67">
        <v>4122044.3362748283</v>
      </c>
      <c r="F978" s="67" t="s">
        <v>1005</v>
      </c>
      <c r="G978" s="25">
        <f t="shared" si="11"/>
        <v>-1.1147069399496612E-2</v>
      </c>
    </row>
    <row r="979" spans="1:7">
      <c r="A979" s="67">
        <v>51.41585733440531</v>
      </c>
      <c r="B979" s="67">
        <v>52.493991725365362</v>
      </c>
      <c r="C979" s="67">
        <v>50.68161063711355</v>
      </c>
      <c r="D979" s="67">
        <v>51.490211430333588</v>
      </c>
      <c r="E979" s="67">
        <v>7011428.133062942</v>
      </c>
      <c r="F979" s="67" t="s">
        <v>1006</v>
      </c>
      <c r="G979" s="25">
        <f t="shared" si="11"/>
        <v>-1.4440433212996595E-3</v>
      </c>
    </row>
    <row r="980" spans="1:7">
      <c r="A980" s="67">
        <v>51.676096670154294</v>
      </c>
      <c r="B980" s="67">
        <v>52.800702371069519</v>
      </c>
      <c r="C980" s="67">
        <v>51.536682740288768</v>
      </c>
      <c r="D980" s="67">
        <v>52.633405655230895</v>
      </c>
      <c r="E980" s="67">
        <v>4706311.2748696283</v>
      </c>
      <c r="F980" s="67" t="s">
        <v>1007</v>
      </c>
      <c r="G980" s="25">
        <f t="shared" si="11"/>
        <v>-1.8188239449055343E-2</v>
      </c>
    </row>
    <row r="981" spans="1:7">
      <c r="A981" s="67">
        <v>51.350797500468069</v>
      </c>
      <c r="B981" s="67">
        <v>51.927041743912234</v>
      </c>
      <c r="C981" s="67">
        <v>50.997615544808738</v>
      </c>
      <c r="D981" s="67">
        <v>51.360091762459099</v>
      </c>
      <c r="E981" s="67">
        <v>4905346.9811779251</v>
      </c>
      <c r="F981" s="67" t="s">
        <v>1008</v>
      </c>
      <c r="G981" s="25">
        <f t="shared" si="11"/>
        <v>-1.8096272167922312E-4</v>
      </c>
    </row>
    <row r="982" spans="1:7">
      <c r="A982" s="67">
        <v>50.653727851140445</v>
      </c>
      <c r="B982" s="67">
        <v>52.744936799123309</v>
      </c>
      <c r="C982" s="67">
        <v>50.560785231230099</v>
      </c>
      <c r="D982" s="67">
        <v>52.438226153419158</v>
      </c>
      <c r="E982" s="67">
        <v>4191835.7840116881</v>
      </c>
      <c r="F982" s="67" t="s">
        <v>1009</v>
      </c>
      <c r="G982" s="25">
        <f t="shared" si="11"/>
        <v>-3.4030485643388952E-2</v>
      </c>
    </row>
    <row r="983" spans="1:7">
      <c r="A983" s="67">
        <v>52.122221245723964</v>
      </c>
      <c r="B983" s="67">
        <v>52.428931891428121</v>
      </c>
      <c r="C983" s="67">
        <v>50.049600821723175</v>
      </c>
      <c r="D983" s="67">
        <v>50.467842611319746</v>
      </c>
      <c r="E983" s="67">
        <v>4908659.7778292038</v>
      </c>
      <c r="F983" s="67" t="s">
        <v>1010</v>
      </c>
      <c r="G983" s="25">
        <f t="shared" si="11"/>
        <v>3.2780847145488012E-2</v>
      </c>
    </row>
    <row r="984" spans="1:7">
      <c r="A984" s="67">
        <v>51.118440950692197</v>
      </c>
      <c r="B984" s="67">
        <v>51.71327371811843</v>
      </c>
      <c r="C984" s="67">
        <v>50.988321282817708</v>
      </c>
      <c r="D984" s="67">
        <v>51.71327371811843</v>
      </c>
      <c r="E984" s="67">
        <v>2573019.7860860028</v>
      </c>
      <c r="F984" s="67" t="s">
        <v>1011</v>
      </c>
      <c r="G984" s="25">
        <f t="shared" si="11"/>
        <v>-1.1502516175413313E-2</v>
      </c>
    </row>
    <row r="985" spans="1:7">
      <c r="A985" s="67">
        <v>51.871276171966024</v>
      </c>
      <c r="B985" s="67">
        <v>52.196575341652242</v>
      </c>
      <c r="C985" s="67">
        <v>50.644433589149415</v>
      </c>
      <c r="D985" s="67">
        <v>51.034792592772874</v>
      </c>
      <c r="E985" s="67">
        <v>3401914.0014019776</v>
      </c>
      <c r="F985" s="67" t="s">
        <v>1012</v>
      </c>
      <c r="G985" s="25">
        <f t="shared" si="11"/>
        <v>1.6390457111637335E-2</v>
      </c>
    </row>
    <row r="986" spans="1:7">
      <c r="A986" s="67">
        <v>51.099852426710122</v>
      </c>
      <c r="B986" s="67">
        <v>52.047867149795692</v>
      </c>
      <c r="C986" s="67">
        <v>50.672688145602159</v>
      </c>
      <c r="D986" s="67">
        <v>51.936336005903271</v>
      </c>
      <c r="E986" s="67">
        <v>2085072.4908220568</v>
      </c>
      <c r="F986" s="67" t="s">
        <v>1013</v>
      </c>
      <c r="G986" s="25">
        <f t="shared" si="11"/>
        <v>-1.6105941302791749E-2</v>
      </c>
    </row>
    <row r="987" spans="1:7">
      <c r="A987" s="67">
        <v>51.694685194136362</v>
      </c>
      <c r="B987" s="67">
        <v>52.177986817670181</v>
      </c>
      <c r="C987" s="67">
        <v>51.360091762459099</v>
      </c>
      <c r="D987" s="67">
        <v>51.945630267894302</v>
      </c>
      <c r="E987" s="67">
        <v>2890634.0305356891</v>
      </c>
      <c r="F987" s="67" t="s">
        <v>1014</v>
      </c>
      <c r="G987" s="25">
        <f t="shared" si="11"/>
        <v>-4.8309178743960457E-3</v>
      </c>
    </row>
    <row r="988" spans="1:7">
      <c r="A988" s="67">
        <v>52.280223699571565</v>
      </c>
      <c r="B988" s="67">
        <v>53.627891688271632</v>
      </c>
      <c r="C988" s="67">
        <v>52.01069010183155</v>
      </c>
      <c r="D988" s="67">
        <v>53.469889234424038</v>
      </c>
      <c r="E988" s="67">
        <v>3438611.9124710867</v>
      </c>
      <c r="F988" s="67" t="s">
        <v>1015</v>
      </c>
      <c r="G988" s="25">
        <f t="shared" si="11"/>
        <v>-2.2249261254997377E-2</v>
      </c>
    </row>
    <row r="989" spans="1:7">
      <c r="A989" s="67">
        <v>53.637185950262662</v>
      </c>
      <c r="B989" s="67">
        <v>54.120487573796481</v>
      </c>
      <c r="C989" s="67">
        <v>52.717054013150204</v>
      </c>
      <c r="D989" s="67">
        <v>52.921527776952971</v>
      </c>
      <c r="E989" s="67">
        <v>2496447.8107439615</v>
      </c>
      <c r="F989" s="67" t="s">
        <v>1016</v>
      </c>
      <c r="G989" s="25">
        <f t="shared" si="11"/>
        <v>1.3523006673691551E-2</v>
      </c>
    </row>
    <row r="990" spans="1:7">
      <c r="A990" s="67">
        <v>53.395535138495759</v>
      </c>
      <c r="B990" s="67">
        <v>53.544243330352316</v>
      </c>
      <c r="C990" s="67">
        <v>52.112926983732933</v>
      </c>
      <c r="D990" s="67">
        <v>52.205869603643286</v>
      </c>
      <c r="E990" s="67">
        <v>3573104.5705439635</v>
      </c>
      <c r="F990" s="67" t="s">
        <v>1017</v>
      </c>
      <c r="G990" s="25">
        <f t="shared" si="11"/>
        <v>2.2787965105928398E-2</v>
      </c>
    </row>
    <row r="991" spans="1:7">
      <c r="A991" s="67">
        <v>51.694685194136362</v>
      </c>
      <c r="B991" s="67">
        <v>51.982807315858444</v>
      </c>
      <c r="C991" s="67">
        <v>50.012423773759039</v>
      </c>
      <c r="D991" s="67">
        <v>50.421371301364573</v>
      </c>
      <c r="E991" s="67">
        <v>3500913.7929817219</v>
      </c>
      <c r="F991" s="67" t="s">
        <v>1018</v>
      </c>
      <c r="G991" s="25">
        <f t="shared" si="11"/>
        <v>2.5253456221198123E-2</v>
      </c>
    </row>
    <row r="992" spans="1:7">
      <c r="A992" s="67">
        <v>50.058895083714212</v>
      </c>
      <c r="B992" s="67">
        <v>51.778333552055678</v>
      </c>
      <c r="C992" s="67">
        <v>50.049600821723175</v>
      </c>
      <c r="D992" s="67">
        <v>51.583154050243941</v>
      </c>
      <c r="E992" s="67">
        <v>4274446.9693581536</v>
      </c>
      <c r="F992" s="67" t="s">
        <v>1019</v>
      </c>
      <c r="G992" s="25">
        <f t="shared" si="11"/>
        <v>-2.954954954954947E-2</v>
      </c>
    </row>
    <row r="993" spans="1:7">
      <c r="A993" s="67">
        <v>51.397268810423242</v>
      </c>
      <c r="B993" s="67">
        <v>52.029278625813618</v>
      </c>
      <c r="C993" s="67">
        <v>50.821024566979077</v>
      </c>
      <c r="D993" s="67">
        <v>51.508799954315663</v>
      </c>
      <c r="E993" s="67">
        <v>3405315.0245311395</v>
      </c>
      <c r="F993" s="67" t="s">
        <v>1020</v>
      </c>
      <c r="G993" s="25">
        <f t="shared" si="11"/>
        <v>-2.1652832912306685E-3</v>
      </c>
    </row>
    <row r="994" spans="1:7">
      <c r="A994" s="67">
        <v>51.638919622190151</v>
      </c>
      <c r="B994" s="67">
        <v>51.968865922871892</v>
      </c>
      <c r="C994" s="67">
        <v>50.700199161095618</v>
      </c>
      <c r="D994" s="67">
        <v>50.997615544808738</v>
      </c>
      <c r="E994" s="67">
        <v>3261698.4575258698</v>
      </c>
      <c r="F994" s="67" t="s">
        <v>1021</v>
      </c>
      <c r="G994" s="25">
        <f t="shared" si="11"/>
        <v>1.2575177692728312E-2</v>
      </c>
    </row>
    <row r="995" spans="1:7">
      <c r="A995" s="67">
        <v>50.467842611319746</v>
      </c>
      <c r="B995" s="67">
        <v>51.592448312234971</v>
      </c>
      <c r="C995" s="67">
        <v>49.984540987785934</v>
      </c>
      <c r="D995" s="67">
        <v>51.434445858387384</v>
      </c>
      <c r="E995" s="67">
        <v>2739992.6992120715</v>
      </c>
      <c r="F995" s="67" t="s">
        <v>1022</v>
      </c>
      <c r="G995" s="25">
        <f t="shared" si="11"/>
        <v>-1.8792916516082503E-2</v>
      </c>
    </row>
    <row r="996" spans="1:7">
      <c r="A996" s="67">
        <v>51.034792592772874</v>
      </c>
      <c r="B996" s="67">
        <v>51.573488017773265</v>
      </c>
      <c r="C996" s="67">
        <v>50.021718035750069</v>
      </c>
      <c r="D996" s="67">
        <v>51.267149142548753</v>
      </c>
      <c r="E996" s="67">
        <v>2847698.9378532451</v>
      </c>
      <c r="F996" s="67" t="s">
        <v>1023</v>
      </c>
      <c r="G996" s="25">
        <f t="shared" si="11"/>
        <v>-4.5322697606963169E-3</v>
      </c>
    </row>
    <row r="997" spans="1:7">
      <c r="A997" s="67">
        <v>51.499505692324625</v>
      </c>
      <c r="B997" s="67">
        <v>51.657508146172219</v>
      </c>
      <c r="C997" s="67">
        <v>50.70484629209114</v>
      </c>
      <c r="D997" s="67">
        <v>51.295031928521858</v>
      </c>
      <c r="E997" s="67">
        <v>2809094.4741157168</v>
      </c>
      <c r="F997" s="67" t="s">
        <v>1024</v>
      </c>
      <c r="G997" s="25">
        <f t="shared" si="11"/>
        <v>3.9862293893822009E-3</v>
      </c>
    </row>
    <row r="998" spans="1:7">
      <c r="A998" s="67">
        <v>51.462328644360483</v>
      </c>
      <c r="B998" s="67">
        <v>52.038572887804655</v>
      </c>
      <c r="C998" s="67">
        <v>51.118440950692197</v>
      </c>
      <c r="D998" s="67">
        <v>51.322914714494964</v>
      </c>
      <c r="E998" s="67">
        <v>2960966.6723990813</v>
      </c>
      <c r="F998" s="67" t="s">
        <v>1025</v>
      </c>
      <c r="G998" s="25">
        <f t="shared" si="11"/>
        <v>2.716407098877216E-3</v>
      </c>
    </row>
    <row r="999" spans="1:7">
      <c r="A999" s="67">
        <v>51.555271264270836</v>
      </c>
      <c r="B999" s="67">
        <v>53.060941706818504</v>
      </c>
      <c r="C999" s="67">
        <v>51.536682740288768</v>
      </c>
      <c r="D999" s="67">
        <v>52.549757297311572</v>
      </c>
      <c r="E999" s="67">
        <v>2047861.3598755007</v>
      </c>
      <c r="F999" s="67" t="s">
        <v>1026</v>
      </c>
      <c r="G999" s="25">
        <f t="shared" si="11"/>
        <v>-1.8924655111425492E-2</v>
      </c>
    </row>
    <row r="1000" spans="1:7">
      <c r="A1000" s="67">
        <v>52.586934345275715</v>
      </c>
      <c r="B1000" s="67">
        <v>53.934602333975782</v>
      </c>
      <c r="C1000" s="67">
        <v>52.224458127625354</v>
      </c>
      <c r="D1000" s="67">
        <v>53.934602333975782</v>
      </c>
      <c r="E1000" s="67">
        <v>2044846.5965702455</v>
      </c>
      <c r="F1000" s="67" t="s">
        <v>1027</v>
      </c>
      <c r="G1000" s="25">
        <f t="shared" si="11"/>
        <v>-2.4987075650525603E-2</v>
      </c>
    </row>
    <row r="1001" spans="1:7">
      <c r="A1001" s="67">
        <v>54.30637281361718</v>
      </c>
      <c r="B1001" s="67">
        <v>54.441139612487191</v>
      </c>
      <c r="C1001" s="67">
        <v>52.61481713124882</v>
      </c>
      <c r="D1001" s="67">
        <v>53.804482666101293</v>
      </c>
      <c r="E1001" s="67">
        <v>2862301.4958757018</v>
      </c>
      <c r="F1001" s="67" t="s">
        <v>1028</v>
      </c>
      <c r="G1001" s="25">
        <f t="shared" si="11"/>
        <v>9.3280359302123639E-3</v>
      </c>
    </row>
    <row r="1002" spans="1:7">
      <c r="A1002" s="67">
        <v>54.074016263841308</v>
      </c>
      <c r="B1002" s="67">
        <v>54.673496162263064</v>
      </c>
      <c r="C1002" s="67">
        <v>53.99966216791303</v>
      </c>
      <c r="D1002" s="67">
        <v>54.585200673348226</v>
      </c>
      <c r="E1002" s="67">
        <v>4595292.239577177</v>
      </c>
      <c r="F1002" s="67" t="s">
        <v>1029</v>
      </c>
      <c r="G1002" s="25">
        <f t="shared" si="11"/>
        <v>-9.3648901753787817E-3</v>
      </c>
    </row>
    <row r="1003" spans="1:7">
      <c r="A1003" s="67">
        <v>54.808262961133067</v>
      </c>
      <c r="B1003" s="67">
        <v>56.072282591913819</v>
      </c>
      <c r="C1003" s="67">
        <v>54.445786743482699</v>
      </c>
      <c r="D1003" s="67">
        <v>54.947676890998586</v>
      </c>
      <c r="E1003" s="67">
        <v>3000484.6029625065</v>
      </c>
      <c r="F1003" s="67" t="s">
        <v>1030</v>
      </c>
      <c r="G1003" s="25">
        <f t="shared" si="11"/>
        <v>-2.5372124492556436E-3</v>
      </c>
    </row>
    <row r="1004" spans="1:7">
      <c r="A1004" s="67">
        <v>54.938382629007556</v>
      </c>
      <c r="B1004" s="67">
        <v>55.282270322675849</v>
      </c>
      <c r="C1004" s="67">
        <v>54.046133477868203</v>
      </c>
      <c r="D1004" s="67">
        <v>54.185547407733722</v>
      </c>
      <c r="E1004" s="67">
        <v>3280011.9072827394</v>
      </c>
      <c r="F1004" s="67" t="s">
        <v>1031</v>
      </c>
      <c r="G1004" s="25">
        <f t="shared" si="11"/>
        <v>1.3893653516295013E-2</v>
      </c>
    </row>
    <row r="1005" spans="1:7">
      <c r="A1005" s="67">
        <v>54.027544953886135</v>
      </c>
      <c r="B1005" s="67">
        <v>54.989501069958251</v>
      </c>
      <c r="C1005" s="67">
        <v>53.888131024020602</v>
      </c>
      <c r="D1005" s="67">
        <v>54.594494935339263</v>
      </c>
      <c r="E1005" s="67">
        <v>2282760.0535109802</v>
      </c>
      <c r="F1005" s="67" t="s">
        <v>1032</v>
      </c>
      <c r="G1005" s="25">
        <f t="shared" si="11"/>
        <v>-1.0384746339802464E-2</v>
      </c>
    </row>
    <row r="1006" spans="1:7">
      <c r="A1006" s="67">
        <v>55.561098182406901</v>
      </c>
      <c r="B1006" s="67">
        <v>56.128048163860029</v>
      </c>
      <c r="C1006" s="67">
        <v>55.430978514532406</v>
      </c>
      <c r="D1006" s="67">
        <v>55.561098182406901</v>
      </c>
      <c r="E1006" s="67">
        <v>2423330.6551639382</v>
      </c>
      <c r="F1006" s="67" t="s">
        <v>1033</v>
      </c>
      <c r="G1006" s="25">
        <f t="shared" si="11"/>
        <v>0</v>
      </c>
    </row>
    <row r="1007" spans="1:7">
      <c r="A1007" s="67">
        <v>55.328741632631022</v>
      </c>
      <c r="B1007" s="67">
        <v>55.588980968380007</v>
      </c>
      <c r="C1007" s="67">
        <v>54.538729363393053</v>
      </c>
      <c r="D1007" s="67">
        <v>54.771085913168925</v>
      </c>
      <c r="E1007" s="67">
        <v>2564630.7391584245</v>
      </c>
      <c r="F1007" s="67" t="s">
        <v>1034</v>
      </c>
      <c r="G1007" s="25">
        <f t="shared" si="11"/>
        <v>1.0181571355845964E-2</v>
      </c>
    </row>
    <row r="1008" spans="1:7">
      <c r="A1008" s="67">
        <v>54.557317887375127</v>
      </c>
      <c r="B1008" s="67">
        <v>54.929088367016526</v>
      </c>
      <c r="C1008" s="67">
        <v>53.906719548002677</v>
      </c>
      <c r="D1008" s="67">
        <v>54.027544953886135</v>
      </c>
      <c r="E1008" s="67">
        <v>4573227.0126449233</v>
      </c>
      <c r="F1008" s="67" t="s">
        <v>1035</v>
      </c>
      <c r="G1008" s="25">
        <f t="shared" si="11"/>
        <v>9.8056081197317457E-3</v>
      </c>
    </row>
    <row r="1009" spans="1:7">
      <c r="A1009" s="67">
        <v>54.585200673348226</v>
      </c>
      <c r="B1009" s="67">
        <v>54.733908865204789</v>
      </c>
      <c r="C1009" s="67">
        <v>50.658374982135967</v>
      </c>
      <c r="D1009" s="67">
        <v>50.895378662907355</v>
      </c>
      <c r="E1009" s="67">
        <v>6809224.8810120784</v>
      </c>
      <c r="F1009" s="67" t="s">
        <v>1036</v>
      </c>
      <c r="G1009" s="25">
        <f t="shared" si="11"/>
        <v>7.2498173849525172E-2</v>
      </c>
    </row>
    <row r="1010" spans="1:7">
      <c r="A1010" s="67">
        <v>50.802436042997002</v>
      </c>
      <c r="B1010" s="67">
        <v>52.540463035320542</v>
      </c>
      <c r="C1010" s="67">
        <v>50.609208336203395</v>
      </c>
      <c r="D1010" s="67">
        <v>52.503285987356406</v>
      </c>
      <c r="E1010" s="67">
        <v>3315354.143203875</v>
      </c>
      <c r="F1010" s="67" t="s">
        <v>1037</v>
      </c>
      <c r="G1010" s="25">
        <f t="shared" si="11"/>
        <v>-3.2395114179501028E-2</v>
      </c>
    </row>
    <row r="1011" spans="1:7">
      <c r="A1011" s="67">
        <v>52.243046651607422</v>
      </c>
      <c r="B1011" s="67">
        <v>53.302592518585406</v>
      </c>
      <c r="C1011" s="67">
        <v>51.931688874907749</v>
      </c>
      <c r="D1011" s="67">
        <v>53.005176134872286</v>
      </c>
      <c r="E1011" s="67">
        <v>2858218.3314419249</v>
      </c>
      <c r="F1011" s="67" t="s">
        <v>1038</v>
      </c>
      <c r="G1011" s="25">
        <f t="shared" si="11"/>
        <v>-1.4378397334736115E-2</v>
      </c>
    </row>
    <row r="1012" spans="1:7">
      <c r="A1012" s="67">
        <v>52.754231061114339</v>
      </c>
      <c r="B1012" s="67">
        <v>53.163178588719887</v>
      </c>
      <c r="C1012" s="67">
        <v>52.177986817670181</v>
      </c>
      <c r="D1012" s="67">
        <v>52.921527776952971</v>
      </c>
      <c r="E1012" s="67">
        <v>4793307.9617265221</v>
      </c>
      <c r="F1012" s="67" t="s">
        <v>1039</v>
      </c>
      <c r="G1012" s="25">
        <f t="shared" si="11"/>
        <v>-3.1612223393046035E-3</v>
      </c>
    </row>
    <row r="1013" spans="1:7">
      <c r="A1013" s="67">
        <v>53.135295802746789</v>
      </c>
      <c r="B1013" s="67">
        <v>54.457667417747274</v>
      </c>
      <c r="C1013" s="67">
        <v>52.647035514131225</v>
      </c>
      <c r="D1013" s="67">
        <v>52.959596077676792</v>
      </c>
      <c r="E1013" s="67">
        <v>4474092.8290402144</v>
      </c>
      <c r="F1013" s="67" t="s">
        <v>1040</v>
      </c>
      <c r="G1013" s="25">
        <f t="shared" si="11"/>
        <v>3.3176182992842307E-3</v>
      </c>
    </row>
    <row r="1014" spans="1:7">
      <c r="A1014" s="67">
        <v>52.229055115543652</v>
      </c>
      <c r="B1014" s="67">
        <v>52.959596077676792</v>
      </c>
      <c r="C1014" s="67">
        <v>52.155076283935237</v>
      </c>
      <c r="D1014" s="67">
        <v>52.885617246068371</v>
      </c>
      <c r="E1014" s="67">
        <v>2969202.8817470935</v>
      </c>
      <c r="F1014" s="67" t="s">
        <v>1041</v>
      </c>
      <c r="G1014" s="25">
        <f t="shared" si="11"/>
        <v>-1.241475782479462E-2</v>
      </c>
    </row>
    <row r="1015" spans="1:7">
      <c r="A1015" s="67">
        <v>52.700670167047328</v>
      </c>
      <c r="B1015" s="67">
        <v>53.005832847432053</v>
      </c>
      <c r="C1015" s="67">
        <v>52.155076283935237</v>
      </c>
      <c r="D1015" s="67">
        <v>52.524970441977331</v>
      </c>
      <c r="E1015" s="67">
        <v>2010454.0280827365</v>
      </c>
      <c r="F1015" s="67" t="s">
        <v>1042</v>
      </c>
      <c r="G1015" s="25">
        <f t="shared" si="11"/>
        <v>3.3450704225352901E-3</v>
      </c>
    </row>
    <row r="1016" spans="1:7">
      <c r="A1016" s="67">
        <v>52.867122538166271</v>
      </c>
      <c r="B1016" s="67">
        <v>55.585844599775662</v>
      </c>
      <c r="C1016" s="67">
        <v>52.820885768411003</v>
      </c>
      <c r="D1016" s="67">
        <v>55.484123706314087</v>
      </c>
      <c r="E1016" s="67">
        <v>2751876.9298437061</v>
      </c>
      <c r="F1016" s="67" t="s">
        <v>1043</v>
      </c>
      <c r="G1016" s="25">
        <f t="shared" ref="G1016:G1079" si="12">A1016/D1016-1</f>
        <v>-4.716666666666669E-2</v>
      </c>
    </row>
    <row r="1017" spans="1:7">
      <c r="A1017" s="67">
        <v>55.410144874705665</v>
      </c>
      <c r="B1017" s="67">
        <v>55.437886936558826</v>
      </c>
      <c r="C1017" s="67">
        <v>54.041536489949912</v>
      </c>
      <c r="D1017" s="67">
        <v>54.58713037306201</v>
      </c>
      <c r="E1017" s="67">
        <v>2348310.6751341298</v>
      </c>
      <c r="F1017" s="67" t="s">
        <v>1044</v>
      </c>
      <c r="G1017" s="25">
        <f t="shared" si="12"/>
        <v>1.5077079451126574E-2</v>
      </c>
    </row>
    <row r="1018" spans="1:7">
      <c r="A1018" s="67">
        <v>54.291215046628331</v>
      </c>
      <c r="B1018" s="67">
        <v>54.651861850719371</v>
      </c>
      <c r="C1018" s="67">
        <v>53.949062950439398</v>
      </c>
      <c r="D1018" s="67">
        <v>54.143257383411488</v>
      </c>
      <c r="E1018" s="67">
        <v>3177574.9209487205</v>
      </c>
      <c r="F1018" s="67" t="s">
        <v>1045</v>
      </c>
      <c r="G1018" s="25">
        <f t="shared" si="12"/>
        <v>2.7327070879590298E-3</v>
      </c>
    </row>
    <row r="1019" spans="1:7">
      <c r="A1019" s="67">
        <v>54.244978276873063</v>
      </c>
      <c r="B1019" s="67">
        <v>55.067992778516725</v>
      </c>
      <c r="C1019" s="67">
        <v>54.244978276873063</v>
      </c>
      <c r="D1019" s="67">
        <v>54.846056283691475</v>
      </c>
      <c r="E1019" s="67">
        <v>2631337.5835723169</v>
      </c>
      <c r="F1019" s="67" t="s">
        <v>1046</v>
      </c>
      <c r="G1019" s="25">
        <f t="shared" si="12"/>
        <v>-1.0959366042825991E-2</v>
      </c>
    </row>
    <row r="1020" spans="1:7">
      <c r="A1020" s="67">
        <v>55.178961025929361</v>
      </c>
      <c r="B1020" s="67">
        <v>56.547569410685099</v>
      </c>
      <c r="C1020" s="67">
        <v>55.049498070614625</v>
      </c>
      <c r="D1020" s="67">
        <v>56.445848517223524</v>
      </c>
      <c r="E1020" s="67">
        <v>4059160.0795953479</v>
      </c>
      <c r="F1020" s="67" t="s">
        <v>1047</v>
      </c>
      <c r="G1020" s="25">
        <f t="shared" si="12"/>
        <v>-2.2444298820445407E-2</v>
      </c>
    </row>
    <row r="1021" spans="1:7">
      <c r="A1021" s="67">
        <v>56.640042950195628</v>
      </c>
      <c r="B1021" s="67">
        <v>57.444562743937176</v>
      </c>
      <c r="C1021" s="67">
        <v>56.219288345422747</v>
      </c>
      <c r="D1021" s="67">
        <v>56.880474152922986</v>
      </c>
      <c r="E1021" s="67">
        <v>6479993.1220520437</v>
      </c>
      <c r="F1021" s="67" t="s">
        <v>1048</v>
      </c>
      <c r="G1021" s="25">
        <f t="shared" si="12"/>
        <v>-4.2269549666720252E-3</v>
      </c>
    </row>
    <row r="1022" spans="1:7">
      <c r="A1022" s="67">
        <v>56.455095871174578</v>
      </c>
      <c r="B1022" s="67">
        <v>56.926710922678254</v>
      </c>
      <c r="C1022" s="67">
        <v>55.604339307677769</v>
      </c>
      <c r="D1022" s="67">
        <v>56.797247967363518</v>
      </c>
      <c r="E1022" s="67">
        <v>2712559.7368472572</v>
      </c>
      <c r="F1022" s="67" t="s">
        <v>1049</v>
      </c>
      <c r="G1022" s="25">
        <f t="shared" si="12"/>
        <v>-6.0240963855422436E-3</v>
      </c>
    </row>
    <row r="1023" spans="1:7">
      <c r="A1023" s="67">
        <v>56.760258551559311</v>
      </c>
      <c r="B1023" s="67">
        <v>57.111658001699297</v>
      </c>
      <c r="C1023" s="67">
        <v>56.334880269810903</v>
      </c>
      <c r="D1023" s="67">
        <v>56.917463568727193</v>
      </c>
      <c r="E1023" s="67">
        <v>2297282.0238574799</v>
      </c>
      <c r="F1023" s="67" t="s">
        <v>1050</v>
      </c>
      <c r="G1023" s="25">
        <f t="shared" si="12"/>
        <v>-2.7619821283507706E-3</v>
      </c>
    </row>
    <row r="1024" spans="1:7">
      <c r="A1024" s="67">
        <v>57.185636833307719</v>
      </c>
      <c r="B1024" s="67">
        <v>57.213378895160872</v>
      </c>
      <c r="C1024" s="67">
        <v>56.242406730300374</v>
      </c>
      <c r="D1024" s="67">
        <v>57.037679170090875</v>
      </c>
      <c r="E1024" s="67">
        <v>3124707.9059531102</v>
      </c>
      <c r="F1024" s="67" t="s">
        <v>1051</v>
      </c>
      <c r="G1024" s="25">
        <f t="shared" si="12"/>
        <v>2.5940337224383825E-3</v>
      </c>
    </row>
    <row r="1025" spans="1:7">
      <c r="A1025" s="67">
        <v>57.352089204426662</v>
      </c>
      <c r="B1025" s="67">
        <v>57.555530991349812</v>
      </c>
      <c r="C1025" s="67">
        <v>55.604339307677769</v>
      </c>
      <c r="D1025" s="67">
        <v>55.789286386698812</v>
      </c>
      <c r="E1025" s="67">
        <v>3235388.215738757</v>
      </c>
      <c r="F1025" s="67" t="s">
        <v>1052</v>
      </c>
      <c r="G1025" s="25">
        <f t="shared" si="12"/>
        <v>2.8012597381070758E-2</v>
      </c>
    </row>
    <row r="1026" spans="1:7">
      <c r="A1026" s="67">
        <v>55.909501988062495</v>
      </c>
      <c r="B1026" s="67">
        <v>56.140685836838799</v>
      </c>
      <c r="C1026" s="67">
        <v>55.493371060265133</v>
      </c>
      <c r="D1026" s="67">
        <v>55.493371060265133</v>
      </c>
      <c r="E1026" s="67">
        <v>2286044.2145825173</v>
      </c>
      <c r="F1026" s="67" t="s">
        <v>1053</v>
      </c>
      <c r="G1026" s="25">
        <f t="shared" si="12"/>
        <v>7.4987502082988211E-3</v>
      </c>
    </row>
    <row r="1027" spans="1:7">
      <c r="A1027" s="67">
        <v>55.456381644460926</v>
      </c>
      <c r="B1027" s="67">
        <v>56.464343225125631</v>
      </c>
      <c r="C1027" s="67">
        <v>55.197455733831461</v>
      </c>
      <c r="D1027" s="67">
        <v>55.548855183971448</v>
      </c>
      <c r="E1027" s="67">
        <v>2242320.355612678</v>
      </c>
      <c r="F1027" s="67" t="s">
        <v>1054</v>
      </c>
      <c r="G1027" s="25">
        <f t="shared" si="12"/>
        <v>-1.6647244880971801E-3</v>
      </c>
    </row>
    <row r="1028" spans="1:7">
      <c r="A1028" s="67">
        <v>55.391650166803558</v>
      </c>
      <c r="B1028" s="67">
        <v>55.534984153044874</v>
      </c>
      <c r="C1028" s="67">
        <v>54.58713037306201</v>
      </c>
      <c r="D1028" s="67">
        <v>54.744335390229899</v>
      </c>
      <c r="E1028" s="67">
        <v>3385200.8007585341</v>
      </c>
      <c r="F1028" s="67" t="s">
        <v>1055</v>
      </c>
      <c r="G1028" s="25">
        <f t="shared" si="12"/>
        <v>1.182432432432412E-2</v>
      </c>
    </row>
    <row r="1029" spans="1:7">
      <c r="A1029" s="67">
        <v>54.513151541453588</v>
      </c>
      <c r="B1029" s="67">
        <v>55.317671335195143</v>
      </c>
      <c r="C1029" s="67">
        <v>54.309709754530431</v>
      </c>
      <c r="D1029" s="67">
        <v>55.067992778516725</v>
      </c>
      <c r="E1029" s="67">
        <v>2736874.8005065662</v>
      </c>
      <c r="F1029" s="67" t="s">
        <v>1056</v>
      </c>
      <c r="G1029" s="25">
        <f t="shared" si="12"/>
        <v>-1.0075566750629705E-2</v>
      </c>
    </row>
    <row r="1030" spans="1:7">
      <c r="A1030" s="67">
        <v>55.215950441733568</v>
      </c>
      <c r="B1030" s="67">
        <v>55.400897520754611</v>
      </c>
      <c r="C1030" s="67">
        <v>54.069278551803073</v>
      </c>
      <c r="D1030" s="67">
        <v>54.550140957257796</v>
      </c>
      <c r="E1030" s="67">
        <v>3301775.8551921099</v>
      </c>
      <c r="F1030" s="67" t="s">
        <v>1057</v>
      </c>
      <c r="G1030" s="25">
        <f t="shared" si="12"/>
        <v>1.2205458552297044E-2</v>
      </c>
    </row>
    <row r="1031" spans="1:7">
      <c r="A1031" s="67">
        <v>54.180246799215709</v>
      </c>
      <c r="B1031" s="67">
        <v>54.198741507117809</v>
      </c>
      <c r="C1031" s="67">
        <v>53.163037864599943</v>
      </c>
      <c r="D1031" s="67">
        <v>53.421963775229415</v>
      </c>
      <c r="E1031" s="67">
        <v>2647676.3114721836</v>
      </c>
      <c r="F1031" s="67" t="s">
        <v>1058</v>
      </c>
      <c r="G1031" s="25">
        <f t="shared" si="12"/>
        <v>1.419421845248392E-2</v>
      </c>
    </row>
    <row r="1032" spans="1:7">
      <c r="A1032" s="67">
        <v>53.551426730544136</v>
      </c>
      <c r="B1032" s="67">
        <v>54.189494153166756</v>
      </c>
      <c r="C1032" s="67">
        <v>53.403469067327308</v>
      </c>
      <c r="D1032" s="67">
        <v>54.041536489949912</v>
      </c>
      <c r="E1032" s="67">
        <v>4859232.19094327</v>
      </c>
      <c r="F1032" s="67" t="s">
        <v>1059</v>
      </c>
      <c r="G1032" s="25">
        <f t="shared" si="12"/>
        <v>-9.0691307323751413E-3</v>
      </c>
    </row>
    <row r="1033" spans="1:7">
      <c r="A1033" s="67">
        <v>53.801105287222555</v>
      </c>
      <c r="B1033" s="67">
        <v>54.642614496768324</v>
      </c>
      <c r="C1033" s="67">
        <v>53.421963775229415</v>
      </c>
      <c r="D1033" s="67">
        <v>54.513151541453588</v>
      </c>
      <c r="E1033" s="67">
        <v>4386420.1818925682</v>
      </c>
      <c r="F1033" s="67" t="s">
        <v>1060</v>
      </c>
      <c r="G1033" s="25">
        <f t="shared" si="12"/>
        <v>-1.3061916878710833E-2</v>
      </c>
    </row>
    <row r="1034" spans="1:7">
      <c r="A1034" s="67">
        <v>54.44842006379622</v>
      </c>
      <c r="B1034" s="67">
        <v>55.021756008761464</v>
      </c>
      <c r="C1034" s="67">
        <v>53.939815596488337</v>
      </c>
      <c r="D1034" s="67">
        <v>54.346699170334645</v>
      </c>
      <c r="E1034" s="67">
        <v>4181526.9756814684</v>
      </c>
      <c r="F1034" s="67" t="s">
        <v>1061</v>
      </c>
      <c r="G1034" s="25">
        <f t="shared" si="12"/>
        <v>1.871703249957557E-3</v>
      </c>
    </row>
    <row r="1035" spans="1:7">
      <c r="A1035" s="67">
        <v>54.254225630824124</v>
      </c>
      <c r="B1035" s="67">
        <v>54.716593328376739</v>
      </c>
      <c r="C1035" s="67">
        <v>53.662394977956772</v>
      </c>
      <c r="D1035" s="67">
        <v>53.949062950439398</v>
      </c>
      <c r="E1035" s="67">
        <v>5620909.5353254918</v>
      </c>
      <c r="F1035" s="67" t="s">
        <v>1062</v>
      </c>
      <c r="G1035" s="25">
        <f t="shared" si="12"/>
        <v>5.6564964004113261E-3</v>
      </c>
    </row>
    <row r="1036" spans="1:7">
      <c r="A1036" s="67">
        <v>54.244978276873063</v>
      </c>
      <c r="B1036" s="67">
        <v>55.336166043097251</v>
      </c>
      <c r="C1036" s="67">
        <v>53.560674084495197</v>
      </c>
      <c r="D1036" s="67">
        <v>54.94777717715305</v>
      </c>
      <c r="E1036" s="67">
        <v>6739349.475522981</v>
      </c>
      <c r="F1036" s="67" t="s">
        <v>1063</v>
      </c>
      <c r="G1036" s="25">
        <f t="shared" si="12"/>
        <v>-1.2790306294177212E-2</v>
      </c>
    </row>
    <row r="1037" spans="1:7">
      <c r="A1037" s="67">
        <v>55.021756008761464</v>
      </c>
      <c r="B1037" s="67">
        <v>57.943919857294006</v>
      </c>
      <c r="C1037" s="67">
        <v>54.471538448673854</v>
      </c>
      <c r="D1037" s="67">
        <v>57.102410647748243</v>
      </c>
      <c r="E1037" s="67">
        <v>9790841.8428924344</v>
      </c>
      <c r="F1037" s="67" t="s">
        <v>1064</v>
      </c>
      <c r="G1037" s="25">
        <f t="shared" si="12"/>
        <v>-3.6437246963562764E-2</v>
      </c>
    </row>
    <row r="1038" spans="1:7">
      <c r="A1038" s="67">
        <v>61.772324393029677</v>
      </c>
      <c r="B1038" s="67">
        <v>62.017379272732562</v>
      </c>
      <c r="C1038" s="67">
        <v>60.838341643973401</v>
      </c>
      <c r="D1038" s="67">
        <v>61.864797932540206</v>
      </c>
      <c r="E1038" s="67">
        <v>3391697.7944194246</v>
      </c>
      <c r="F1038" s="67" t="s">
        <v>1065</v>
      </c>
      <c r="G1038" s="25">
        <f t="shared" si="12"/>
        <v>-1.494768310911887E-3</v>
      </c>
    </row>
    <row r="1039" spans="1:7">
      <c r="A1039" s="67">
        <v>61.716840269323363</v>
      </c>
      <c r="B1039" s="67">
        <v>61.753829685127577</v>
      </c>
      <c r="C1039" s="67">
        <v>60.940062537434976</v>
      </c>
      <c r="D1039" s="67">
        <v>61.615119375861788</v>
      </c>
      <c r="E1039" s="67">
        <v>2635920.5161846429</v>
      </c>
      <c r="F1039" s="67" t="s">
        <v>1066</v>
      </c>
      <c r="G1039" s="25">
        <f t="shared" si="12"/>
        <v>1.6509079993995979E-3</v>
      </c>
    </row>
    <row r="1040" spans="1:7">
      <c r="A1040" s="67">
        <v>61.272967279672855</v>
      </c>
      <c r="B1040" s="67">
        <v>61.471785389620472</v>
      </c>
      <c r="C1040" s="67">
        <v>60.898449444655235</v>
      </c>
      <c r="D1040" s="67">
        <v>61.291461987574955</v>
      </c>
      <c r="E1040" s="67">
        <v>2288162.6584210135</v>
      </c>
      <c r="F1040" s="67" t="s">
        <v>1067</v>
      </c>
      <c r="G1040" s="25">
        <f t="shared" si="12"/>
        <v>-3.017501508749687E-4</v>
      </c>
    </row>
    <row r="1041" spans="1:7">
      <c r="A1041" s="67">
        <v>61.180493740162326</v>
      </c>
      <c r="B1041" s="67">
        <v>61.434795973816271</v>
      </c>
      <c r="C1041" s="67">
        <v>60.66264191890339</v>
      </c>
      <c r="D1041" s="67">
        <v>61.282214633623902</v>
      </c>
      <c r="E1041" s="67">
        <v>1601100.1718297035</v>
      </c>
      <c r="F1041" s="67" t="s">
        <v>1068</v>
      </c>
      <c r="G1041" s="25">
        <f t="shared" si="12"/>
        <v>-1.6598762637693998E-3</v>
      </c>
    </row>
    <row r="1042" spans="1:7">
      <c r="A1042" s="67">
        <v>61.060278138798651</v>
      </c>
      <c r="B1042" s="67">
        <v>61.578129960057581</v>
      </c>
      <c r="C1042" s="67">
        <v>60.547049994515241</v>
      </c>
      <c r="D1042" s="67">
        <v>60.967804599288129</v>
      </c>
      <c r="E1042" s="67">
        <v>2485039.517427023</v>
      </c>
      <c r="F1042" s="67" t="s">
        <v>1069</v>
      </c>
      <c r="G1042" s="25">
        <f t="shared" si="12"/>
        <v>1.5167602002124081E-3</v>
      </c>
    </row>
    <row r="1043" spans="1:7">
      <c r="A1043" s="67">
        <v>60.65339456495235</v>
      </c>
      <c r="B1043" s="67">
        <v>60.708878688658665</v>
      </c>
      <c r="C1043" s="67">
        <v>59.908982571892629</v>
      </c>
      <c r="D1043" s="67">
        <v>60.29274776086131</v>
      </c>
      <c r="E1043" s="67">
        <v>2732239.9611539403</v>
      </c>
      <c r="F1043" s="67" t="s">
        <v>1070</v>
      </c>
      <c r="G1043" s="25">
        <f t="shared" si="12"/>
        <v>5.9815950920245609E-3</v>
      </c>
    </row>
    <row r="1044" spans="1:7">
      <c r="A1044" s="67">
        <v>60.403716008273925</v>
      </c>
      <c r="B1044" s="67">
        <v>60.65339456495235</v>
      </c>
      <c r="C1044" s="67">
        <v>59.996832434427624</v>
      </c>
      <c r="D1044" s="67">
        <v>60.237263637154989</v>
      </c>
      <c r="E1044" s="67">
        <v>2471225.8361646696</v>
      </c>
      <c r="F1044" s="67" t="s">
        <v>1071</v>
      </c>
      <c r="G1044" s="25">
        <f t="shared" si="12"/>
        <v>2.763279091188009E-3</v>
      </c>
    </row>
    <row r="1045" spans="1:7">
      <c r="A1045" s="67">
        <v>59.515970028972909</v>
      </c>
      <c r="B1045" s="67">
        <v>60.523931609637614</v>
      </c>
      <c r="C1045" s="67">
        <v>59.358765011805012</v>
      </c>
      <c r="D1045" s="67">
        <v>60.043069204182899</v>
      </c>
      <c r="E1045" s="67">
        <v>2058370.4377222287</v>
      </c>
      <c r="F1045" s="67" t="s">
        <v>1072</v>
      </c>
      <c r="G1045" s="25">
        <f t="shared" si="12"/>
        <v>-8.7786847374096144E-3</v>
      </c>
    </row>
    <row r="1046" spans="1:7">
      <c r="A1046" s="67">
        <v>60.024574496280785</v>
      </c>
      <c r="B1046" s="67">
        <v>60.272403582168984</v>
      </c>
      <c r="C1046" s="67">
        <v>59.210807348588183</v>
      </c>
      <c r="D1046" s="67">
        <v>59.562206798728162</v>
      </c>
      <c r="E1046" s="67">
        <v>2006089.5363358399</v>
      </c>
      <c r="F1046" s="67" t="s">
        <v>1073</v>
      </c>
      <c r="G1046" s="25">
        <f t="shared" si="12"/>
        <v>7.7627697562490106E-3</v>
      </c>
    </row>
    <row r="1047" spans="1:7">
      <c r="A1047" s="67">
        <v>58.646718757573986</v>
      </c>
      <c r="B1047" s="67">
        <v>58.88714996030135</v>
      </c>
      <c r="C1047" s="67">
        <v>57.978874855228987</v>
      </c>
      <c r="D1047" s="67">
        <v>58.249082537678738</v>
      </c>
      <c r="E1047" s="67">
        <v>2474876.6102324408</v>
      </c>
      <c r="F1047" s="67" t="s">
        <v>1074</v>
      </c>
      <c r="G1047" s="25">
        <f t="shared" si="12"/>
        <v>6.8264803937132523E-3</v>
      </c>
    </row>
    <row r="1048" spans="1:7">
      <c r="A1048" s="67">
        <v>58.979623499811872</v>
      </c>
      <c r="B1048" s="67">
        <v>59.595497272951953</v>
      </c>
      <c r="C1048" s="67">
        <v>58.655966111525039</v>
      </c>
      <c r="D1048" s="67">
        <v>59.266291472294498</v>
      </c>
      <c r="E1048" s="67">
        <v>2789555.8163494347</v>
      </c>
      <c r="F1048" s="67" t="s">
        <v>1075</v>
      </c>
      <c r="G1048" s="25">
        <f t="shared" si="12"/>
        <v>-4.8369480418162247E-3</v>
      </c>
    </row>
    <row r="1049" spans="1:7">
      <c r="A1049" s="67">
        <v>59.811885355406588</v>
      </c>
      <c r="B1049" s="67">
        <v>60.228016283203935</v>
      </c>
      <c r="C1049" s="67">
        <v>59.312528242049758</v>
      </c>
      <c r="D1049" s="67">
        <v>59.414249135511334</v>
      </c>
      <c r="E1049" s="67">
        <v>2864381.5452728155</v>
      </c>
      <c r="F1049" s="67" t="s">
        <v>1076</v>
      </c>
      <c r="G1049" s="25">
        <f t="shared" si="12"/>
        <v>6.6926070038910712E-3</v>
      </c>
    </row>
    <row r="1050" spans="1:7">
      <c r="A1050" s="67">
        <v>59.654680338238698</v>
      </c>
      <c r="B1050" s="67">
        <v>60.10780068184026</v>
      </c>
      <c r="C1050" s="67">
        <v>59.386507073658173</v>
      </c>
      <c r="D1050" s="67">
        <v>59.774895939602374</v>
      </c>
      <c r="E1050" s="67">
        <v>2736629.3248805637</v>
      </c>
      <c r="F1050" s="67" t="s">
        <v>1077</v>
      </c>
      <c r="G1050" s="25">
        <f t="shared" si="12"/>
        <v>-2.011138613861263E-3</v>
      </c>
    </row>
    <row r="1051" spans="1:7">
      <c r="A1051" s="67">
        <v>60.274253052959203</v>
      </c>
      <c r="B1051" s="67">
        <v>60.912320475581815</v>
      </c>
      <c r="C1051" s="67">
        <v>59.950595664672363</v>
      </c>
      <c r="D1051" s="67">
        <v>60.4499527780292</v>
      </c>
      <c r="E1051" s="67">
        <v>2453452.1031735912</v>
      </c>
      <c r="F1051" s="67" t="s">
        <v>1078</v>
      </c>
      <c r="G1051" s="25">
        <f t="shared" si="12"/>
        <v>-2.9065320483402379E-3</v>
      </c>
    </row>
    <row r="1052" spans="1:7">
      <c r="A1052" s="67">
        <v>60.30199511481235</v>
      </c>
      <c r="B1052" s="67">
        <v>60.4869421938334</v>
      </c>
      <c r="C1052" s="67">
        <v>59.710164461944998</v>
      </c>
      <c r="D1052" s="67">
        <v>60.209521575301835</v>
      </c>
      <c r="E1052" s="67">
        <v>2713421.6050143228</v>
      </c>
      <c r="F1052" s="67" t="s">
        <v>1079</v>
      </c>
      <c r="G1052" s="25">
        <f t="shared" si="12"/>
        <v>1.5358623867300913E-3</v>
      </c>
    </row>
    <row r="1053" spans="1:7">
      <c r="A1053" s="67">
        <v>60.209521575301835</v>
      </c>
      <c r="B1053" s="67">
        <v>60.793029609613235</v>
      </c>
      <c r="C1053" s="67">
        <v>59.969090372574463</v>
      </c>
      <c r="D1053" s="67">
        <v>60.551673671490775</v>
      </c>
      <c r="E1053" s="67">
        <v>2424740.1060546981</v>
      </c>
      <c r="F1053" s="67" t="s">
        <v>1080</v>
      </c>
      <c r="G1053" s="25">
        <f t="shared" si="12"/>
        <v>-5.6505803298717572E-3</v>
      </c>
    </row>
    <row r="1054" spans="1:7">
      <c r="A1054" s="67">
        <v>60.4684474859313</v>
      </c>
      <c r="B1054" s="67">
        <v>60.505436901735514</v>
      </c>
      <c r="C1054" s="67">
        <v>58.757687004986614</v>
      </c>
      <c r="D1054" s="67">
        <v>60.117048035791314</v>
      </c>
      <c r="E1054" s="67">
        <v>2095264.2347809186</v>
      </c>
      <c r="F1054" s="67" t="s">
        <v>1081</v>
      </c>
      <c r="G1054" s="25">
        <f t="shared" si="12"/>
        <v>5.8452545762190944E-3</v>
      </c>
    </row>
    <row r="1055" spans="1:7">
      <c r="A1055" s="67">
        <v>60.560921025441814</v>
      </c>
      <c r="B1055" s="67">
        <v>60.67651294982997</v>
      </c>
      <c r="C1055" s="67">
        <v>58.914892022154504</v>
      </c>
      <c r="D1055" s="67">
        <v>59.275538826245544</v>
      </c>
      <c r="E1055" s="67">
        <v>2722601.5283144731</v>
      </c>
      <c r="F1055" s="67" t="s">
        <v>1082</v>
      </c>
      <c r="G1055" s="25">
        <f t="shared" si="12"/>
        <v>2.1684867394695662E-2</v>
      </c>
    </row>
    <row r="1056" spans="1:7">
      <c r="A1056" s="67">
        <v>59.395754427609234</v>
      </c>
      <c r="B1056" s="67">
        <v>60.579415733343929</v>
      </c>
      <c r="C1056" s="67">
        <v>59.266291472294498</v>
      </c>
      <c r="D1056" s="67">
        <v>60.394468654322885</v>
      </c>
      <c r="E1056" s="67">
        <v>3688430.2450776733</v>
      </c>
      <c r="F1056" s="67" t="s">
        <v>1083</v>
      </c>
      <c r="G1056" s="25">
        <f t="shared" si="12"/>
        <v>-1.6536518144235179E-2</v>
      </c>
    </row>
    <row r="1057" spans="1:7">
      <c r="A1057" s="67">
        <v>60.856836351875501</v>
      </c>
      <c r="B1057" s="67">
        <v>60.958557245337076</v>
      </c>
      <c r="C1057" s="67">
        <v>59.92285360281921</v>
      </c>
      <c r="D1057" s="67">
        <v>60.560921025441814</v>
      </c>
      <c r="E1057" s="67">
        <v>2800361.0694552301</v>
      </c>
      <c r="F1057" s="67" t="s">
        <v>1084</v>
      </c>
      <c r="G1057" s="25">
        <f t="shared" si="12"/>
        <v>4.8862421743780526E-3</v>
      </c>
    </row>
    <row r="1058" spans="1:7">
      <c r="A1058" s="67">
        <v>60.338984530616564</v>
      </c>
      <c r="B1058" s="67">
        <v>62.049745011561242</v>
      </c>
      <c r="C1058" s="67">
        <v>60.274253052959203</v>
      </c>
      <c r="D1058" s="67">
        <v>61.957271472050728</v>
      </c>
      <c r="E1058" s="67">
        <v>2756389.5720785428</v>
      </c>
      <c r="F1058" s="67" t="s">
        <v>1085</v>
      </c>
      <c r="G1058" s="25">
        <f t="shared" si="12"/>
        <v>-2.6119402985074647E-2</v>
      </c>
    </row>
    <row r="1059" spans="1:7">
      <c r="A1059" s="67">
        <v>61.689098207470202</v>
      </c>
      <c r="B1059" s="67">
        <v>62.345660337994929</v>
      </c>
      <c r="C1059" s="67">
        <v>61.319204049428116</v>
      </c>
      <c r="D1059" s="67">
        <v>61.744582331176517</v>
      </c>
      <c r="E1059" s="67">
        <v>2487853.2953074556</v>
      </c>
      <c r="F1059" s="67" t="s">
        <v>1086</v>
      </c>
      <c r="G1059" s="25">
        <f t="shared" si="12"/>
        <v>-8.9860715890366372E-4</v>
      </c>
    </row>
    <row r="1060" spans="1:7">
      <c r="A1060" s="67">
        <v>61.753829685127577</v>
      </c>
      <c r="B1060" s="67">
        <v>61.985013533903881</v>
      </c>
      <c r="C1060" s="67">
        <v>58.951881437958711</v>
      </c>
      <c r="D1060" s="67">
        <v>58.951881437958711</v>
      </c>
      <c r="E1060" s="67">
        <v>4412449.249372202</v>
      </c>
      <c r="F1060" s="67" t="s">
        <v>1087</v>
      </c>
      <c r="G1060" s="25">
        <f t="shared" si="12"/>
        <v>4.7529411764706042E-2</v>
      </c>
    </row>
    <row r="1061" spans="1:7">
      <c r="A1061" s="67">
        <v>60.181779513448674</v>
      </c>
      <c r="B1061" s="67">
        <v>60.62565250309919</v>
      </c>
      <c r="C1061" s="67">
        <v>59.506722675021848</v>
      </c>
      <c r="D1061" s="67">
        <v>60.043069204182899</v>
      </c>
      <c r="E1061" s="67">
        <v>2609691.3914767695</v>
      </c>
      <c r="F1061" s="67" t="s">
        <v>1088</v>
      </c>
      <c r="G1061" s="25">
        <f t="shared" si="12"/>
        <v>2.3101801940550448E-3</v>
      </c>
    </row>
    <row r="1062" spans="1:7">
      <c r="A1062" s="67">
        <v>59.876616833063949</v>
      </c>
      <c r="B1062" s="67">
        <v>60.64414721100129</v>
      </c>
      <c r="C1062" s="67">
        <v>58.49876109435715</v>
      </c>
      <c r="D1062" s="67">
        <v>58.776181712888722</v>
      </c>
      <c r="E1062" s="67">
        <v>2748650.0608217195</v>
      </c>
      <c r="F1062" s="67" t="s">
        <v>1089</v>
      </c>
      <c r="G1062" s="25">
        <f t="shared" si="12"/>
        <v>1.8722466960352291E-2</v>
      </c>
    </row>
    <row r="1063" spans="1:7">
      <c r="A1063" s="67">
        <v>59.201559994637122</v>
      </c>
      <c r="B1063" s="67">
        <v>59.811885355406588</v>
      </c>
      <c r="C1063" s="67">
        <v>58.490438475801199</v>
      </c>
      <c r="D1063" s="67">
        <v>59.710164461944998</v>
      </c>
      <c r="E1063" s="67">
        <v>3998941.7725047418</v>
      </c>
      <c r="F1063" s="67" t="s">
        <v>1090</v>
      </c>
      <c r="G1063" s="25">
        <f t="shared" si="12"/>
        <v>-8.5178875638840523E-3</v>
      </c>
    </row>
    <row r="1064" spans="1:7">
      <c r="A1064" s="67">
        <v>59.025860269567133</v>
      </c>
      <c r="B1064" s="67">
        <v>61.37468817313443</v>
      </c>
      <c r="C1064" s="67">
        <v>58.508008448308203</v>
      </c>
      <c r="D1064" s="67">
        <v>60.505436901735514</v>
      </c>
      <c r="E1064" s="67">
        <v>7833658.1884330567</v>
      </c>
      <c r="F1064" s="67" t="s">
        <v>1091</v>
      </c>
      <c r="G1064" s="25">
        <f t="shared" si="12"/>
        <v>-2.4453614549900804E-2</v>
      </c>
    </row>
    <row r="1065" spans="1:7">
      <c r="A1065" s="67">
        <v>60.375973946420778</v>
      </c>
      <c r="B1065" s="67">
        <v>61.772324393029677</v>
      </c>
      <c r="C1065" s="67">
        <v>59.90435889491711</v>
      </c>
      <c r="D1065" s="67">
        <v>61.494903774498113</v>
      </c>
      <c r="E1065" s="67">
        <v>3155647.5673432141</v>
      </c>
      <c r="F1065" s="67" t="s">
        <v>1092</v>
      </c>
      <c r="G1065" s="25">
        <f t="shared" si="12"/>
        <v>-1.8195488721804542E-2</v>
      </c>
    </row>
    <row r="1066" spans="1:7">
      <c r="A1066" s="67">
        <v>62.724801849988069</v>
      </c>
      <c r="B1066" s="67">
        <v>63.566311059533831</v>
      </c>
      <c r="C1066" s="67">
        <v>61.874045286491253</v>
      </c>
      <c r="D1066" s="67">
        <v>62.734049203939129</v>
      </c>
      <c r="E1066" s="67">
        <v>4051138.3254381428</v>
      </c>
      <c r="F1066" s="67" t="s">
        <v>1093</v>
      </c>
      <c r="G1066" s="25">
        <f t="shared" si="12"/>
        <v>-1.4740566037751979E-4</v>
      </c>
    </row>
    <row r="1067" spans="1:7">
      <c r="A1067" s="67">
        <v>62.401144461701243</v>
      </c>
      <c r="B1067" s="67">
        <v>66.719658756842691</v>
      </c>
      <c r="C1067" s="67">
        <v>62.169960612924932</v>
      </c>
      <c r="D1067" s="67">
        <v>66.109333396073225</v>
      </c>
      <c r="E1067" s="67">
        <v>6497426.2170599028</v>
      </c>
      <c r="F1067" s="67" t="s">
        <v>1094</v>
      </c>
      <c r="G1067" s="25">
        <f t="shared" si="12"/>
        <v>-5.6091761085466318E-2</v>
      </c>
    </row>
    <row r="1068" spans="1:7">
      <c r="A1068" s="67">
        <v>66.18331222768164</v>
      </c>
      <c r="B1068" s="67">
        <v>67.182026454395313</v>
      </c>
      <c r="C1068" s="67">
        <v>65.892020578223494</v>
      </c>
      <c r="D1068" s="67">
        <v>66.423743430409004</v>
      </c>
      <c r="E1068" s="67">
        <v>4087183.2310148422</v>
      </c>
      <c r="F1068" s="67" t="s">
        <v>1095</v>
      </c>
      <c r="G1068" s="25">
        <f t="shared" si="12"/>
        <v>-3.6196575247111618E-3</v>
      </c>
    </row>
    <row r="1069" spans="1:7">
      <c r="A1069" s="67">
        <v>67.61665209009476</v>
      </c>
      <c r="B1069" s="67">
        <v>68.088267141598422</v>
      </c>
      <c r="C1069" s="67">
        <v>65.83191277754166</v>
      </c>
      <c r="D1069" s="67">
        <v>66.053849272366918</v>
      </c>
      <c r="E1069" s="67">
        <v>3534864.1538999486</v>
      </c>
      <c r="F1069" s="67" t="s">
        <v>1096</v>
      </c>
      <c r="G1069" s="25">
        <f t="shared" si="12"/>
        <v>2.3659526809463705E-2</v>
      </c>
    </row>
    <row r="1070" spans="1:7">
      <c r="A1070" s="67">
        <v>66.608690509430062</v>
      </c>
      <c r="B1070" s="67">
        <v>67.366973533416342</v>
      </c>
      <c r="C1070" s="67">
        <v>66.118580750024279</v>
      </c>
      <c r="D1070" s="67">
        <v>66.858369066108466</v>
      </c>
      <c r="E1070" s="67">
        <v>3098381.456107174</v>
      </c>
      <c r="F1070" s="67" t="s">
        <v>1097</v>
      </c>
      <c r="G1070" s="25">
        <f t="shared" si="12"/>
        <v>-3.734439834024772E-3</v>
      </c>
    </row>
    <row r="1071" spans="1:7">
      <c r="A1071" s="67">
        <v>67.366973533416342</v>
      </c>
      <c r="B1071" s="67">
        <v>67.551920612437399</v>
      </c>
      <c r="C1071" s="67">
        <v>66.74277714172031</v>
      </c>
      <c r="D1071" s="67">
        <v>67.043316145129523</v>
      </c>
      <c r="E1071" s="67">
        <v>1650376.9706212261</v>
      </c>
      <c r="F1071" s="67" t="s">
        <v>1098</v>
      </c>
      <c r="G1071" s="25">
        <f t="shared" si="12"/>
        <v>4.8275862068962727E-3</v>
      </c>
    </row>
    <row r="1072" spans="1:7">
      <c r="A1072" s="67">
        <v>67.117294976737938</v>
      </c>
      <c r="B1072" s="67">
        <v>67.154284392542152</v>
      </c>
      <c r="C1072" s="67">
        <v>66.423743430409004</v>
      </c>
      <c r="D1072" s="67">
        <v>66.858369066108466</v>
      </c>
      <c r="E1072" s="67">
        <v>2150895.2836975069</v>
      </c>
      <c r="F1072" s="67" t="s">
        <v>1099</v>
      </c>
      <c r="G1072" s="25">
        <f t="shared" si="12"/>
        <v>3.872752420470249E-3</v>
      </c>
    </row>
    <row r="1073" spans="1:7">
      <c r="A1073" s="67">
        <v>67.043316145129523</v>
      </c>
      <c r="B1073" s="67">
        <v>67.75536239936055</v>
      </c>
      <c r="C1073" s="67">
        <v>66.543959031772687</v>
      </c>
      <c r="D1073" s="67">
        <v>66.784390234500052</v>
      </c>
      <c r="E1073" s="67">
        <v>2073835.4021603775</v>
      </c>
      <c r="F1073" s="67" t="s">
        <v>1100</v>
      </c>
      <c r="G1073" s="25">
        <f t="shared" si="12"/>
        <v>3.8770423705345447E-3</v>
      </c>
    </row>
    <row r="1074" spans="1:7">
      <c r="A1074" s="67">
        <v>67.080305560933738</v>
      </c>
      <c r="B1074" s="67">
        <v>68.828055457682623</v>
      </c>
      <c r="C1074" s="67">
        <v>67.015574083276363</v>
      </c>
      <c r="D1074" s="67">
        <v>68.430419237787376</v>
      </c>
      <c r="E1074" s="67">
        <v>2034925.8933533686</v>
      </c>
      <c r="F1074" s="67" t="s">
        <v>1101</v>
      </c>
      <c r="G1074" s="25">
        <f t="shared" si="12"/>
        <v>-1.9729729729729639E-2</v>
      </c>
    </row>
    <row r="1075" spans="1:7">
      <c r="A1075" s="67">
        <v>68.670850440514741</v>
      </c>
      <c r="B1075" s="67">
        <v>68.892786935339984</v>
      </c>
      <c r="C1075" s="67">
        <v>66.858369066108466</v>
      </c>
      <c r="D1075" s="67">
        <v>68.892786935339984</v>
      </c>
      <c r="E1075" s="67">
        <v>2367549.6921482622</v>
      </c>
      <c r="F1075" s="67" t="s">
        <v>1102</v>
      </c>
      <c r="G1075" s="25">
        <f t="shared" si="12"/>
        <v>-3.2214765100668785E-3</v>
      </c>
    </row>
    <row r="1076" spans="1:7">
      <c r="A1076" s="67">
        <v>68.596871608906326</v>
      </c>
      <c r="B1076" s="67">
        <v>70.448351559677135</v>
      </c>
      <c r="C1076" s="67">
        <v>68.200783858243923</v>
      </c>
      <c r="D1076" s="67">
        <v>70.218067983710611</v>
      </c>
      <c r="E1076" s="67">
        <v>2021895.1700997448</v>
      </c>
      <c r="F1076" s="67" t="s">
        <v>1103</v>
      </c>
      <c r="G1076" s="25">
        <f t="shared" si="12"/>
        <v>-2.3088023088023046E-2</v>
      </c>
    </row>
    <row r="1077" spans="1:7">
      <c r="A1077" s="67">
        <v>70.052263809014718</v>
      </c>
      <c r="B1077" s="67">
        <v>70.475985588793108</v>
      </c>
      <c r="C1077" s="67">
        <v>68.854789213988823</v>
      </c>
      <c r="D1077" s="67">
        <v>69.435103825424449</v>
      </c>
      <c r="E1077" s="67">
        <v>4183362.8210640093</v>
      </c>
      <c r="F1077" s="67" t="s">
        <v>1104</v>
      </c>
      <c r="G1077" s="25">
        <f t="shared" si="12"/>
        <v>8.8882992836296637E-3</v>
      </c>
    </row>
    <row r="1078" spans="1:7">
      <c r="A1078" s="67">
        <v>70.15358858243998</v>
      </c>
      <c r="B1078" s="67">
        <v>70.614155734373014</v>
      </c>
      <c r="C1078" s="67">
        <v>69.637753372274972</v>
      </c>
      <c r="D1078" s="67">
        <v>70.15358858243998</v>
      </c>
      <c r="E1078" s="67">
        <v>2796756.1181768412</v>
      </c>
      <c r="F1078" s="67" t="s">
        <v>1105</v>
      </c>
      <c r="G1078" s="25">
        <f t="shared" si="12"/>
        <v>0</v>
      </c>
    </row>
    <row r="1079" spans="1:7">
      <c r="A1079" s="67">
        <v>69.775923517854892</v>
      </c>
      <c r="B1079" s="67">
        <v>70.282547384981228</v>
      </c>
      <c r="C1079" s="67">
        <v>68.817943841834179</v>
      </c>
      <c r="D1079" s="67">
        <v>69.250876964651241</v>
      </c>
      <c r="E1079" s="67">
        <v>1980438.6747334055</v>
      </c>
      <c r="F1079" s="67" t="s">
        <v>1106</v>
      </c>
      <c r="G1079" s="25">
        <f t="shared" si="12"/>
        <v>7.5818036711889913E-3</v>
      </c>
    </row>
    <row r="1080" spans="1:7">
      <c r="A1080" s="67">
        <v>69.260088307689898</v>
      </c>
      <c r="B1080" s="67">
        <v>71.00103214199676</v>
      </c>
      <c r="C1080" s="67">
        <v>67.740216706310875</v>
      </c>
      <c r="D1080" s="67">
        <v>68.007345654432029</v>
      </c>
      <c r="E1080" s="67">
        <v>4396723.673195052</v>
      </c>
      <c r="F1080" s="67" t="s">
        <v>1107</v>
      </c>
      <c r="G1080" s="25">
        <f t="shared" ref="G1080:G1143" si="13">A1080/D1080-1</f>
        <v>1.8420696193959252E-2</v>
      </c>
    </row>
    <row r="1081" spans="1:7">
      <c r="A1081" s="67">
        <v>68.071825055702661</v>
      </c>
      <c r="B1081" s="67">
        <v>68.12709311393462</v>
      </c>
      <c r="C1081" s="67">
        <v>67.178324780952579</v>
      </c>
      <c r="D1081" s="67">
        <v>67.694159991117573</v>
      </c>
      <c r="E1081" s="67">
        <v>3538726.0970729599</v>
      </c>
      <c r="F1081" s="67" t="s">
        <v>1108</v>
      </c>
      <c r="G1081" s="25">
        <f t="shared" si="13"/>
        <v>5.5789903388216988E-3</v>
      </c>
    </row>
    <row r="1082" spans="1:7">
      <c r="A1082" s="67">
        <v>67.583623874653654</v>
      </c>
      <c r="B1082" s="67">
        <v>68.615294294983642</v>
      </c>
      <c r="C1082" s="67">
        <v>67.247409853742525</v>
      </c>
      <c r="D1082" s="67">
        <v>68.338954003823815</v>
      </c>
      <c r="E1082" s="67">
        <v>2521761.4741419256</v>
      </c>
      <c r="F1082" s="67" t="s">
        <v>1109</v>
      </c>
      <c r="G1082" s="25">
        <f t="shared" si="13"/>
        <v>-1.1052702520555124E-2</v>
      </c>
    </row>
    <row r="1083" spans="1:7">
      <c r="A1083" s="67">
        <v>67.454665072112391</v>
      </c>
      <c r="B1083" s="67">
        <v>67.514538801863694</v>
      </c>
      <c r="C1083" s="67">
        <v>66.386149279627745</v>
      </c>
      <c r="D1083" s="67">
        <v>67.371762984764445</v>
      </c>
      <c r="E1083" s="67">
        <v>1840713.1217279304</v>
      </c>
      <c r="F1083" s="67" t="s">
        <v>1110</v>
      </c>
      <c r="G1083" s="25">
        <f t="shared" si="13"/>
        <v>1.2305168170632097E-3</v>
      </c>
    </row>
    <row r="1084" spans="1:7">
      <c r="A1084" s="67">
        <v>66.874350460676766</v>
      </c>
      <c r="B1084" s="67">
        <v>66.975675234102027</v>
      </c>
      <c r="C1084" s="67">
        <v>65.547917063109622</v>
      </c>
      <c r="D1084" s="67">
        <v>65.907159441617395</v>
      </c>
      <c r="E1084" s="67">
        <v>2801622.9437647974</v>
      </c>
      <c r="F1084" s="67" t="s">
        <v>1111</v>
      </c>
      <c r="G1084" s="25">
        <f t="shared" si="13"/>
        <v>1.467505241090139E-2</v>
      </c>
    </row>
    <row r="1085" spans="1:7">
      <c r="A1085" s="67">
        <v>66.432205994821061</v>
      </c>
      <c r="B1085" s="67">
        <v>68.302108631669185</v>
      </c>
      <c r="C1085" s="67">
        <v>66.155865703661235</v>
      </c>
      <c r="D1085" s="67">
        <v>68.071825055702661</v>
      </c>
      <c r="E1085" s="67">
        <v>2165015.4506567568</v>
      </c>
      <c r="F1085" s="67" t="s">
        <v>1112</v>
      </c>
      <c r="G1085" s="25">
        <f t="shared" si="13"/>
        <v>-2.4086603518267857E-2</v>
      </c>
    </row>
    <row r="1086" spans="1:7">
      <c r="A1086" s="67">
        <v>68.477124149403735</v>
      </c>
      <c r="B1086" s="67">
        <v>68.495546835481051</v>
      </c>
      <c r="C1086" s="67">
        <v>67.629680589846956</v>
      </c>
      <c r="D1086" s="67">
        <v>68.3205313177465</v>
      </c>
      <c r="E1086" s="67">
        <v>2150563.7035617582</v>
      </c>
      <c r="F1086" s="67" t="s">
        <v>1113</v>
      </c>
      <c r="G1086" s="25">
        <f t="shared" si="13"/>
        <v>2.2920318187946709E-3</v>
      </c>
    </row>
    <row r="1087" spans="1:7">
      <c r="A1087" s="67">
        <v>67.878386851890781</v>
      </c>
      <c r="B1087" s="67">
        <v>67.961288939238727</v>
      </c>
      <c r="C1087" s="67">
        <v>66.819082402444806</v>
      </c>
      <c r="D1087" s="67">
        <v>67.29807224045517</v>
      </c>
      <c r="E1087" s="67">
        <v>3109259.950453891</v>
      </c>
      <c r="F1087" s="67" t="s">
        <v>1114</v>
      </c>
      <c r="G1087" s="25">
        <f t="shared" si="13"/>
        <v>8.623049548316164E-3</v>
      </c>
    </row>
    <row r="1088" spans="1:7">
      <c r="A1088" s="67">
        <v>67.270438211339183</v>
      </c>
      <c r="B1088" s="67">
        <v>67.70337133415623</v>
      </c>
      <c r="C1088" s="67">
        <v>66.860533446118779</v>
      </c>
      <c r="D1088" s="67">
        <v>67.058577321449974</v>
      </c>
      <c r="E1088" s="67">
        <v>2246560.5626830277</v>
      </c>
      <c r="F1088" s="67" t="s">
        <v>1115</v>
      </c>
      <c r="G1088" s="25">
        <f t="shared" si="13"/>
        <v>3.1593406593408702E-3</v>
      </c>
    </row>
    <row r="1089" spans="1:7">
      <c r="A1089" s="67">
        <v>66.920407175870082</v>
      </c>
      <c r="B1089" s="67">
        <v>67.067788664488646</v>
      </c>
      <c r="C1089" s="67">
        <v>65.649241836534884</v>
      </c>
      <c r="D1089" s="67">
        <v>66.432205994821061</v>
      </c>
      <c r="E1089" s="67">
        <v>2464956.5111952759</v>
      </c>
      <c r="F1089" s="67" t="s">
        <v>1116</v>
      </c>
      <c r="G1089" s="25">
        <f t="shared" si="13"/>
        <v>7.3488630061009363E-3</v>
      </c>
    </row>
    <row r="1090" spans="1:7">
      <c r="A1090" s="67">
        <v>66.321669878357127</v>
      </c>
      <c r="B1090" s="67">
        <v>68.385010719017117</v>
      </c>
      <c r="C1090" s="67">
        <v>66.238767791009181</v>
      </c>
      <c r="D1090" s="67">
        <v>66.671700913826228</v>
      </c>
      <c r="E1090" s="67">
        <v>2761166.3025957611</v>
      </c>
      <c r="F1090" s="67" t="s">
        <v>1117</v>
      </c>
      <c r="G1090" s="25">
        <f t="shared" si="13"/>
        <v>-5.2500690798562566E-3</v>
      </c>
    </row>
    <row r="1091" spans="1:7">
      <c r="A1091" s="67">
        <v>66.745391658135517</v>
      </c>
      <c r="B1091" s="67">
        <v>68.366588032939802</v>
      </c>
      <c r="C1091" s="67">
        <v>66.524319425207665</v>
      </c>
      <c r="D1091" s="67">
        <v>68.034979683548016</v>
      </c>
      <c r="E1091" s="67">
        <v>3710048.5625784299</v>
      </c>
      <c r="F1091" s="67" t="s">
        <v>1118</v>
      </c>
      <c r="G1091" s="25">
        <f t="shared" si="13"/>
        <v>-1.8954779312212233E-2</v>
      </c>
    </row>
    <row r="1092" spans="1:7">
      <c r="A1092" s="67">
        <v>67.813907450620164</v>
      </c>
      <c r="B1092" s="67">
        <v>68.633716981060971</v>
      </c>
      <c r="C1092" s="67">
        <v>66.211133761893194</v>
      </c>
      <c r="D1092" s="67">
        <v>66.469051366975691</v>
      </c>
      <c r="E1092" s="67">
        <v>4735913.0820452813</v>
      </c>
      <c r="F1092" s="67" t="s">
        <v>1119</v>
      </c>
      <c r="G1092" s="25">
        <f t="shared" si="13"/>
        <v>2.023281596452331E-2</v>
      </c>
    </row>
    <row r="1093" spans="1:7">
      <c r="A1093" s="67">
        <v>67.049365978411331</v>
      </c>
      <c r="B1093" s="67">
        <v>67.422425371477075</v>
      </c>
      <c r="C1093" s="67">
        <v>66.128231674545262</v>
      </c>
      <c r="D1093" s="67">
        <v>66.791448373328834</v>
      </c>
      <c r="E1093" s="67">
        <v>3446170.6470781285</v>
      </c>
      <c r="F1093" s="67" t="s">
        <v>1120</v>
      </c>
      <c r="G1093" s="25">
        <f t="shared" si="13"/>
        <v>3.8615363398151192E-3</v>
      </c>
    </row>
    <row r="1094" spans="1:7">
      <c r="A1094" s="67">
        <v>67.233592839184539</v>
      </c>
      <c r="B1094" s="67">
        <v>67.602046560730969</v>
      </c>
      <c r="C1094" s="67">
        <v>66.413783308743731</v>
      </c>
      <c r="D1094" s="67">
        <v>67.003309263218014</v>
      </c>
      <c r="E1094" s="67">
        <v>3289067.6064111721</v>
      </c>
      <c r="F1094" s="67" t="s">
        <v>1121</v>
      </c>
      <c r="G1094" s="25">
        <f t="shared" si="13"/>
        <v>3.4368985427550847E-3</v>
      </c>
    </row>
    <row r="1095" spans="1:7">
      <c r="A1095" s="67">
        <v>67.427031042996418</v>
      </c>
      <c r="B1095" s="67">
        <v>67.823118793658821</v>
      </c>
      <c r="C1095" s="67">
        <v>65.99466720048467</v>
      </c>
      <c r="D1095" s="67">
        <v>66.275613163163825</v>
      </c>
      <c r="E1095" s="67">
        <v>3854807.0407290678</v>
      </c>
      <c r="F1095" s="67" t="s">
        <v>1122</v>
      </c>
      <c r="G1095" s="25">
        <f t="shared" si="13"/>
        <v>1.737317581653941E-2</v>
      </c>
    </row>
    <row r="1096" spans="1:7">
      <c r="A1096" s="67">
        <v>66.367726593550429</v>
      </c>
      <c r="B1096" s="67">
        <v>67.141479408797935</v>
      </c>
      <c r="C1096" s="67">
        <v>65.409746917529716</v>
      </c>
      <c r="D1096" s="67">
        <v>65.511071690954992</v>
      </c>
      <c r="E1096" s="67">
        <v>4881535.7121406021</v>
      </c>
      <c r="F1096" s="67" t="s">
        <v>1123</v>
      </c>
      <c r="G1096" s="25">
        <f t="shared" si="13"/>
        <v>1.3076490438695076E-2</v>
      </c>
    </row>
    <row r="1097" spans="1:7">
      <c r="A1097" s="67">
        <v>65.041293195983286</v>
      </c>
      <c r="B1097" s="67">
        <v>66.717757629019545</v>
      </c>
      <c r="C1097" s="67">
        <v>64.21687799402315</v>
      </c>
      <c r="D1097" s="67">
        <v>65.704509894766858</v>
      </c>
      <c r="E1097" s="67">
        <v>4184757.8402209408</v>
      </c>
      <c r="F1097" s="67" t="s">
        <v>1124</v>
      </c>
      <c r="G1097" s="25">
        <f t="shared" si="13"/>
        <v>-1.0093929622879583E-2</v>
      </c>
    </row>
    <row r="1098" spans="1:7">
      <c r="A1098" s="67">
        <v>65.455803632723018</v>
      </c>
      <c r="B1098" s="67">
        <v>66.427600323301718</v>
      </c>
      <c r="C1098" s="67">
        <v>64.221483665542479</v>
      </c>
      <c r="D1098" s="67">
        <v>64.700473503552843</v>
      </c>
      <c r="E1098" s="67">
        <v>4363336.576578497</v>
      </c>
      <c r="F1098" s="67" t="s">
        <v>1125</v>
      </c>
      <c r="G1098" s="25">
        <f t="shared" si="13"/>
        <v>1.1674259681093258E-2</v>
      </c>
    </row>
    <row r="1099" spans="1:7">
      <c r="A1099" s="67">
        <v>65.216308713717837</v>
      </c>
      <c r="B1099" s="67">
        <v>68.762675783602219</v>
      </c>
      <c r="C1099" s="67">
        <v>64.368865154161057</v>
      </c>
      <c r="D1099" s="67">
        <v>65.547917063109622</v>
      </c>
      <c r="E1099" s="67">
        <v>9163661.5470432825</v>
      </c>
      <c r="F1099" s="67" t="s">
        <v>1126</v>
      </c>
      <c r="G1099" s="25">
        <f t="shared" si="13"/>
        <v>-5.0590219224283528E-3</v>
      </c>
    </row>
    <row r="1100" spans="1:7">
      <c r="A1100" s="67">
        <v>65.465014975761676</v>
      </c>
      <c r="B1100" s="67">
        <v>66.432205994821061</v>
      </c>
      <c r="C1100" s="67">
        <v>64.755741561784802</v>
      </c>
      <c r="D1100" s="67">
        <v>65.142617969408548</v>
      </c>
      <c r="E1100" s="67">
        <v>5036506.5990143968</v>
      </c>
      <c r="F1100" s="67" t="s">
        <v>1127</v>
      </c>
      <c r="G1100" s="25">
        <f t="shared" si="13"/>
        <v>4.9490950226245278E-3</v>
      </c>
    </row>
    <row r="1101" spans="1:7">
      <c r="A1101" s="67">
        <v>64.967602451673997</v>
      </c>
      <c r="B1101" s="67">
        <v>66.915801504350739</v>
      </c>
      <c r="C1101" s="67">
        <v>64.939968422558024</v>
      </c>
      <c r="D1101" s="67">
        <v>66.54274211128498</v>
      </c>
      <c r="E1101" s="67">
        <v>2476233.9111969918</v>
      </c>
      <c r="F1101" s="67" t="s">
        <v>1128</v>
      </c>
      <c r="G1101" s="25">
        <f t="shared" si="13"/>
        <v>-2.3671096345515008E-2</v>
      </c>
    </row>
    <row r="1102" spans="1:7">
      <c r="A1102" s="67">
        <v>67.15990209487525</v>
      </c>
      <c r="B1102" s="67">
        <v>67.445453729073733</v>
      </c>
      <c r="C1102" s="67">
        <v>66.441417337859718</v>
      </c>
      <c r="D1102" s="67">
        <v>67.058577321449974</v>
      </c>
      <c r="E1102" s="67">
        <v>3408989.3154783235</v>
      </c>
      <c r="F1102" s="67" t="s">
        <v>1129</v>
      </c>
      <c r="G1102" s="25">
        <f t="shared" si="13"/>
        <v>1.5109890109892277E-3</v>
      </c>
    </row>
    <row r="1103" spans="1:7">
      <c r="A1103" s="67">
        <v>67.316494926532485</v>
      </c>
      <c r="B1103" s="67">
        <v>71.295795119233915</v>
      </c>
      <c r="C1103" s="67">
        <v>67.141479408797935</v>
      </c>
      <c r="D1103" s="67">
        <v>71.295795119233915</v>
      </c>
      <c r="E1103" s="67">
        <v>4631809.9131615153</v>
      </c>
      <c r="F1103" s="67" t="s">
        <v>1130</v>
      </c>
      <c r="G1103" s="25">
        <f t="shared" si="13"/>
        <v>-5.5813953488372148E-2</v>
      </c>
    </row>
    <row r="1104" spans="1:7">
      <c r="A1104" s="67">
        <v>71.830053015476238</v>
      </c>
      <c r="B1104" s="67">
        <v>72.456424342105151</v>
      </c>
      <c r="C1104" s="67">
        <v>71.650431826222345</v>
      </c>
      <c r="D1104" s="67">
        <v>72.456424342105151</v>
      </c>
      <c r="E1104" s="67">
        <v>2414686.9687347962</v>
      </c>
      <c r="F1104" s="67" t="s">
        <v>1131</v>
      </c>
      <c r="G1104" s="25">
        <f t="shared" si="13"/>
        <v>-8.6448004068139239E-3</v>
      </c>
    </row>
    <row r="1105" spans="1:7">
      <c r="A1105" s="67">
        <v>72.364310911718562</v>
      </c>
      <c r="B1105" s="67">
        <v>72.517679773312253</v>
      </c>
      <c r="C1105" s="67">
        <v>69.895670977357483</v>
      </c>
      <c r="D1105" s="67">
        <v>70.457562902715779</v>
      </c>
      <c r="E1105" s="67">
        <v>2705603.286665088</v>
      </c>
      <c r="F1105" s="67" t="s">
        <v>1132</v>
      </c>
      <c r="G1105" s="25">
        <f t="shared" si="13"/>
        <v>2.7062361092953457E-2</v>
      </c>
    </row>
    <row r="1106" spans="1:7">
      <c r="A1106" s="67">
        <v>70.475985588793108</v>
      </c>
      <c r="B1106" s="67">
        <v>70.581916033737713</v>
      </c>
      <c r="C1106" s="67">
        <v>69.158763534264622</v>
      </c>
      <c r="D1106" s="67">
        <v>69.287722336805871</v>
      </c>
      <c r="E1106" s="67">
        <v>2740142.2240018803</v>
      </c>
      <c r="F1106" s="67" t="s">
        <v>1133</v>
      </c>
      <c r="G1106" s="25">
        <f t="shared" si="13"/>
        <v>1.7149694230258028E-2</v>
      </c>
    </row>
    <row r="1107" spans="1:7">
      <c r="A1107" s="67">
        <v>69.057438760839361</v>
      </c>
      <c r="B1107" s="67">
        <v>70.34702678625186</v>
      </c>
      <c r="C1107" s="67">
        <v>68.716619068408903</v>
      </c>
      <c r="D1107" s="67">
        <v>70.236490669787926</v>
      </c>
      <c r="E1107" s="67">
        <v>1980155.3284299353</v>
      </c>
      <c r="F1107" s="67" t="s">
        <v>1134</v>
      </c>
      <c r="G1107" s="25">
        <f t="shared" si="13"/>
        <v>-1.6786885245901551E-2</v>
      </c>
    </row>
    <row r="1108" spans="1:7">
      <c r="A1108" s="67">
        <v>70.411506187522477</v>
      </c>
      <c r="B1108" s="67">
        <v>72.546234936732091</v>
      </c>
      <c r="C1108" s="67">
        <v>69.978573064705429</v>
      </c>
      <c r="D1108" s="67">
        <v>72.474847028182495</v>
      </c>
      <c r="E1108" s="67">
        <v>4172107.1334227123</v>
      </c>
      <c r="F1108" s="67" t="s">
        <v>1135</v>
      </c>
      <c r="G1108" s="25">
        <f t="shared" si="13"/>
        <v>-2.8469750889679957E-2</v>
      </c>
    </row>
    <row r="1109" spans="1:7">
      <c r="A1109" s="67">
        <v>72.253774795254628</v>
      </c>
      <c r="B1109" s="67">
        <v>72.585383144646414</v>
      </c>
      <c r="C1109" s="67">
        <v>71.470810636968466</v>
      </c>
      <c r="D1109" s="67">
        <v>71.894532416746856</v>
      </c>
      <c r="E1109" s="67">
        <v>2669644.3609568821</v>
      </c>
      <c r="F1109" s="67" t="s">
        <v>1136</v>
      </c>
      <c r="G1109" s="25">
        <f t="shared" si="13"/>
        <v>4.9967969250481747E-3</v>
      </c>
    </row>
    <row r="1110" spans="1:7">
      <c r="A1110" s="67">
        <v>71.912955102824171</v>
      </c>
      <c r="B1110" s="67">
        <v>73.290050887103959</v>
      </c>
      <c r="C1110" s="67">
        <v>71.802418986360252</v>
      </c>
      <c r="D1110" s="67">
        <v>72.032702562326776</v>
      </c>
      <c r="E1110" s="67">
        <v>3305770.9252816383</v>
      </c>
      <c r="F1110" s="67" t="s">
        <v>1137</v>
      </c>
      <c r="G1110" s="25">
        <f t="shared" si="13"/>
        <v>-1.6624040920718564E-3</v>
      </c>
    </row>
    <row r="1111" spans="1:7">
      <c r="A1111" s="67">
        <v>72.557749115530427</v>
      </c>
      <c r="B1111" s="67">
        <v>74.225002205528014</v>
      </c>
      <c r="C1111" s="67">
        <v>72.401156283873192</v>
      </c>
      <c r="D1111" s="67">
        <v>73.690744309285691</v>
      </c>
      <c r="E1111" s="67">
        <v>3898241.5321295937</v>
      </c>
      <c r="F1111" s="67" t="s">
        <v>1138</v>
      </c>
      <c r="G1111" s="25">
        <f t="shared" si="13"/>
        <v>-1.5374999999999917E-2</v>
      </c>
    </row>
    <row r="1112" spans="1:7">
      <c r="A1112" s="67">
        <v>73.690744309285691</v>
      </c>
      <c r="B1112" s="67">
        <v>73.976295943484175</v>
      </c>
      <c r="C1112" s="67">
        <v>71.710305555973633</v>
      </c>
      <c r="D1112" s="67">
        <v>71.710305555973633</v>
      </c>
      <c r="E1112" s="67">
        <v>4625669.6576349745</v>
      </c>
      <c r="F1112" s="67" t="s">
        <v>1139</v>
      </c>
      <c r="G1112" s="25">
        <f t="shared" si="13"/>
        <v>2.7617212588310958E-2</v>
      </c>
    </row>
    <row r="1113" spans="1:7">
      <c r="A1113" s="67">
        <v>71.857687044592225</v>
      </c>
      <c r="B1113" s="67">
        <v>72.090734023470333</v>
      </c>
      <c r="C1113" s="67">
        <v>70.512830960947753</v>
      </c>
      <c r="D1113" s="67">
        <v>70.586521705257027</v>
      </c>
      <c r="E1113" s="67">
        <v>3231181.367915648</v>
      </c>
      <c r="F1113" s="67" t="s">
        <v>1140</v>
      </c>
      <c r="G1113" s="25">
        <f t="shared" si="13"/>
        <v>1.8008612814824687E-2</v>
      </c>
    </row>
    <row r="1114" spans="1:7">
      <c r="A1114" s="67">
        <v>70.927341397687485</v>
      </c>
      <c r="B1114" s="67">
        <v>71.010243485035431</v>
      </c>
      <c r="C1114" s="67">
        <v>69.803557546970879</v>
      </c>
      <c r="D1114" s="67">
        <v>70.043052465976061</v>
      </c>
      <c r="E1114" s="67">
        <v>3813966.0907806121</v>
      </c>
      <c r="F1114" s="67" t="s">
        <v>1141</v>
      </c>
      <c r="G1114" s="25">
        <f t="shared" si="13"/>
        <v>1.2624934245134112E-2</v>
      </c>
    </row>
    <row r="1115" spans="1:7">
      <c r="A1115" s="67">
        <v>70.457562902715779</v>
      </c>
      <c r="B1115" s="67">
        <v>71.848475701553554</v>
      </c>
      <c r="C1115" s="67">
        <v>69.379835767192475</v>
      </c>
      <c r="D1115" s="67">
        <v>69.379835767192475</v>
      </c>
      <c r="E1115" s="67">
        <v>4628497.6925795712</v>
      </c>
      <c r="F1115" s="67" t="s">
        <v>1142</v>
      </c>
      <c r="G1115" s="25">
        <f t="shared" si="13"/>
        <v>1.5533722782793413E-2</v>
      </c>
    </row>
    <row r="1116" spans="1:7">
      <c r="A1116" s="67">
        <v>69.518005912772395</v>
      </c>
      <c r="B1116" s="67">
        <v>70.9457640837648</v>
      </c>
      <c r="C1116" s="67">
        <v>69.471949197579093</v>
      </c>
      <c r="D1116" s="67">
        <v>70.144377239401322</v>
      </c>
      <c r="E1116" s="67">
        <v>5869713.0020098826</v>
      </c>
      <c r="F1116" s="67" t="s">
        <v>1143</v>
      </c>
      <c r="G1116" s="25">
        <f t="shared" si="13"/>
        <v>-8.9297439264609535E-3</v>
      </c>
    </row>
    <row r="1117" spans="1:7">
      <c r="A1117" s="67">
        <v>72.382733597795877</v>
      </c>
      <c r="B1117" s="67">
        <v>72.419578969950521</v>
      </c>
      <c r="C1117" s="67">
        <v>70.872073339455511</v>
      </c>
      <c r="D1117" s="67">
        <v>71.553712724316412</v>
      </c>
      <c r="E1117" s="67">
        <v>3455911.8975801882</v>
      </c>
      <c r="F1117" s="67" t="s">
        <v>1144</v>
      </c>
      <c r="G1117" s="25">
        <f t="shared" si="13"/>
        <v>1.1585993820803386E-2</v>
      </c>
    </row>
    <row r="1118" spans="1:7">
      <c r="A1118" s="67">
        <v>71.424753921775164</v>
      </c>
      <c r="B1118" s="67">
        <v>73.395981332048564</v>
      </c>
      <c r="C1118" s="67">
        <v>71.102356915422035</v>
      </c>
      <c r="D1118" s="67">
        <v>72.815666720612924</v>
      </c>
      <c r="E1118" s="67">
        <v>5061315.1420293385</v>
      </c>
      <c r="F1118" s="67" t="s">
        <v>1145</v>
      </c>
      <c r="G1118" s="25">
        <f t="shared" si="13"/>
        <v>-1.9101834282099883E-2</v>
      </c>
    </row>
    <row r="1119" spans="1:7">
      <c r="A1119" s="67">
        <v>73.119641040888723</v>
      </c>
      <c r="B1119" s="67">
        <v>73.72758968144035</v>
      </c>
      <c r="C1119" s="67">
        <v>72.396550612353863</v>
      </c>
      <c r="D1119" s="67">
        <v>73.34071327381659</v>
      </c>
      <c r="E1119" s="67">
        <v>3106054.1204380007</v>
      </c>
      <c r="F1119" s="67" t="s">
        <v>1146</v>
      </c>
      <c r="G1119" s="25">
        <f t="shared" si="13"/>
        <v>-3.0143180105502987E-3</v>
      </c>
    </row>
    <row r="1120" spans="1:7">
      <c r="A1120" s="67">
        <v>73.239388500391328</v>
      </c>
      <c r="B1120" s="67">
        <v>74.353961008069263</v>
      </c>
      <c r="C1120" s="67">
        <v>72.695919261110348</v>
      </c>
      <c r="D1120" s="67">
        <v>73.368347302932577</v>
      </c>
      <c r="E1120" s="67">
        <v>7350767.387102413</v>
      </c>
      <c r="F1120" s="67" t="s">
        <v>1147</v>
      </c>
      <c r="G1120" s="25">
        <f t="shared" si="13"/>
        <v>-1.7576898932830654E-3</v>
      </c>
    </row>
    <row r="1121" spans="1:7">
      <c r="A1121" s="67">
        <v>72.695919261110348</v>
      </c>
      <c r="B1121" s="67">
        <v>72.705130604149005</v>
      </c>
      <c r="C1121" s="67">
        <v>70.697057821720961</v>
      </c>
      <c r="D1121" s="67">
        <v>71.249738404040599</v>
      </c>
      <c r="E1121" s="67">
        <v>3839525.8814660572</v>
      </c>
      <c r="F1121" s="67" t="s">
        <v>1148</v>
      </c>
      <c r="G1121" s="25">
        <f t="shared" si="13"/>
        <v>2.0297349709114565E-2</v>
      </c>
    </row>
    <row r="1122" spans="1:7">
      <c r="A1122" s="67">
        <v>71.120779601499351</v>
      </c>
      <c r="B1122" s="67">
        <v>72.152450021829353</v>
      </c>
      <c r="C1122" s="67">
        <v>70.706269164759632</v>
      </c>
      <c r="D1122" s="67">
        <v>71.480021980007123</v>
      </c>
      <c r="E1122" s="67">
        <v>3246123.8143561198</v>
      </c>
      <c r="F1122" s="67" t="s">
        <v>1149</v>
      </c>
      <c r="G1122" s="25">
        <f t="shared" si="13"/>
        <v>-5.0257731958763818E-3</v>
      </c>
    </row>
    <row r="1123" spans="1:7">
      <c r="A1123" s="67">
        <v>71.553712724316412</v>
      </c>
      <c r="B1123" s="67">
        <v>71.848475701553554</v>
      </c>
      <c r="C1123" s="67">
        <v>70.798382595146236</v>
      </c>
      <c r="D1123" s="67">
        <v>71.272766761637257</v>
      </c>
      <c r="E1123" s="67">
        <v>8269605.168355057</v>
      </c>
      <c r="F1123" s="67" t="s">
        <v>1150</v>
      </c>
      <c r="G1123" s="25">
        <f t="shared" si="13"/>
        <v>3.9418416801293432E-3</v>
      </c>
    </row>
    <row r="1124" spans="1:7">
      <c r="A1124" s="67">
        <v>70.991820798958102</v>
      </c>
      <c r="B1124" s="67">
        <v>71.949800474978815</v>
      </c>
      <c r="C1124" s="67">
        <v>70.853650653378196</v>
      </c>
      <c r="D1124" s="67">
        <v>71.87610973066954</v>
      </c>
      <c r="E1124" s="67">
        <v>5016218.5694387257</v>
      </c>
      <c r="F1124" s="67" t="s">
        <v>1151</v>
      </c>
      <c r="G1124" s="25">
        <f t="shared" si="13"/>
        <v>-1.2302960399846352E-2</v>
      </c>
    </row>
    <row r="1125" spans="1:7">
      <c r="A1125" s="67">
        <v>71.857687044592225</v>
      </c>
      <c r="B1125" s="67">
        <v>73.018316267463462</v>
      </c>
      <c r="C1125" s="67">
        <v>71.857687044592225</v>
      </c>
      <c r="D1125" s="67">
        <v>73.009104924424804</v>
      </c>
      <c r="E1125" s="67">
        <v>4552003.9612048194</v>
      </c>
      <c r="F1125" s="67" t="s">
        <v>1152</v>
      </c>
      <c r="G1125" s="25">
        <f t="shared" si="13"/>
        <v>-1.5770880645975094E-2</v>
      </c>
    </row>
    <row r="1126" spans="1:7">
      <c r="A1126" s="67">
        <v>72.815666720612924</v>
      </c>
      <c r="B1126" s="67">
        <v>73.619816967888013</v>
      </c>
      <c r="C1126" s="67">
        <v>72.631439859839702</v>
      </c>
      <c r="D1126" s="67">
        <v>72.778821348458294</v>
      </c>
      <c r="E1126" s="67">
        <v>3275009.9386577816</v>
      </c>
      <c r="F1126" s="67" t="s">
        <v>1153</v>
      </c>
      <c r="G1126" s="25">
        <f t="shared" si="13"/>
        <v>5.0626502974293608E-4</v>
      </c>
    </row>
    <row r="1127" spans="1:7">
      <c r="A1127" s="67">
        <v>72.880146121883556</v>
      </c>
      <c r="B1127" s="67">
        <v>73.349924616855247</v>
      </c>
      <c r="C1127" s="67">
        <v>71.650431826222345</v>
      </c>
      <c r="D1127" s="67">
        <v>73.248599843429972</v>
      </c>
      <c r="E1127" s="67">
        <v>4229140.0761537636</v>
      </c>
      <c r="F1127" s="67" t="s">
        <v>1154</v>
      </c>
      <c r="G1127" s="25">
        <f t="shared" si="13"/>
        <v>-5.0301810865189811E-3</v>
      </c>
    </row>
    <row r="1128" spans="1:7">
      <c r="A1128" s="67">
        <v>73.174909099120697</v>
      </c>
      <c r="B1128" s="67">
        <v>73.317684916219932</v>
      </c>
      <c r="C1128" s="67">
        <v>71.820841672437567</v>
      </c>
      <c r="D1128" s="67">
        <v>72.49326971425981</v>
      </c>
      <c r="E1128" s="67">
        <v>2890874.8581218524</v>
      </c>
      <c r="F1128" s="67" t="s">
        <v>1155</v>
      </c>
      <c r="G1128" s="25">
        <f t="shared" si="13"/>
        <v>9.402795425667021E-3</v>
      </c>
    </row>
    <row r="1129" spans="1:7">
      <c r="A1129" s="67">
        <v>72.732764633264978</v>
      </c>
      <c r="B1129" s="67">
        <v>73.414404018125879</v>
      </c>
      <c r="C1129" s="67">
        <v>71.830053015476238</v>
      </c>
      <c r="D1129" s="67">
        <v>72.898568807960871</v>
      </c>
      <c r="E1129" s="67">
        <v>2484868.9169356953</v>
      </c>
      <c r="F1129" s="67" t="s">
        <v>1156</v>
      </c>
      <c r="G1129" s="25">
        <f t="shared" si="13"/>
        <v>-2.2744503411675776E-3</v>
      </c>
    </row>
    <row r="1130" spans="1:7">
      <c r="A1130" s="67">
        <v>72.465635685143823</v>
      </c>
      <c r="B1130" s="67">
        <v>72.709736275668334</v>
      </c>
      <c r="C1130" s="67">
        <v>71.802418986360252</v>
      </c>
      <c r="D1130" s="67">
        <v>72.391944940834534</v>
      </c>
      <c r="E1130" s="67">
        <v>1868002.3019207623</v>
      </c>
      <c r="F1130" s="67" t="s">
        <v>1157</v>
      </c>
      <c r="G1130" s="25">
        <f t="shared" si="13"/>
        <v>1.0179412138948685E-3</v>
      </c>
    </row>
    <row r="1131" spans="1:7">
      <c r="A1131" s="67">
        <v>71.839264358514882</v>
      </c>
      <c r="B1131" s="67">
        <v>72.594594487685072</v>
      </c>
      <c r="C1131" s="67">
        <v>71.111568258460693</v>
      </c>
      <c r="D1131" s="67">
        <v>71.341851834427217</v>
      </c>
      <c r="E1131" s="67">
        <v>2662707.2618029579</v>
      </c>
      <c r="F1131" s="67" t="s">
        <v>1158</v>
      </c>
      <c r="G1131" s="25">
        <f t="shared" si="13"/>
        <v>6.9722401549385804E-3</v>
      </c>
    </row>
    <row r="1132" spans="1:7">
      <c r="A1132" s="67">
        <v>70.789171252107565</v>
      </c>
      <c r="B1132" s="67">
        <v>73.156486413043382</v>
      </c>
      <c r="C1132" s="67">
        <v>70.623367077411686</v>
      </c>
      <c r="D1132" s="67">
        <v>73.156486413043382</v>
      </c>
      <c r="E1132" s="67">
        <v>4161146.7338831159</v>
      </c>
      <c r="F1132" s="67" t="s">
        <v>1159</v>
      </c>
      <c r="G1132" s="25">
        <f t="shared" si="13"/>
        <v>-3.2359607151851155E-2</v>
      </c>
    </row>
    <row r="1133" spans="1:7">
      <c r="A1133" s="67">
        <v>72.751187319342307</v>
      </c>
      <c r="B1133" s="67">
        <v>73.28544521558463</v>
      </c>
      <c r="C1133" s="67">
        <v>71.56292406735507</v>
      </c>
      <c r="D1133" s="67">
        <v>72.640651202878374</v>
      </c>
      <c r="E1133" s="67">
        <v>2986554.7167810025</v>
      </c>
      <c r="F1133" s="67" t="s">
        <v>1160</v>
      </c>
      <c r="G1133" s="25">
        <f t="shared" si="13"/>
        <v>1.5216839969567353E-3</v>
      </c>
    </row>
    <row r="1134" spans="1:7">
      <c r="A1134" s="67">
        <v>73.451249390280509</v>
      </c>
      <c r="B1134" s="67">
        <v>75.31194068408999</v>
      </c>
      <c r="C1134" s="67">
        <v>73.009104924424804</v>
      </c>
      <c r="D1134" s="67">
        <v>74.915852933427573</v>
      </c>
      <c r="E1134" s="67">
        <v>3749346.8493191036</v>
      </c>
      <c r="F1134" s="67" t="s">
        <v>1161</v>
      </c>
      <c r="G1134" s="25">
        <f t="shared" si="13"/>
        <v>-1.9549981556621354E-2</v>
      </c>
    </row>
    <row r="1135" spans="1:7">
      <c r="A1135" s="67">
        <v>74.105254746025437</v>
      </c>
      <c r="B1135" s="67">
        <v>77.955596136185605</v>
      </c>
      <c r="C1135" s="67">
        <v>74.096043402986766</v>
      </c>
      <c r="D1135" s="67">
        <v>77.854271362760329</v>
      </c>
      <c r="E1135" s="67">
        <v>3430358.620602869</v>
      </c>
      <c r="F1135" s="67" t="s">
        <v>1162</v>
      </c>
      <c r="G1135" s="25">
        <f t="shared" si="13"/>
        <v>-4.8154283009938292E-2</v>
      </c>
    </row>
    <row r="1136" spans="1:7">
      <c r="A1136" s="67">
        <v>78.277993142538733</v>
      </c>
      <c r="B1136" s="67">
        <v>78.867519097013016</v>
      </c>
      <c r="C1136" s="67">
        <v>77.209477350054087</v>
      </c>
      <c r="D1136" s="67">
        <v>78.867519097013016</v>
      </c>
      <c r="E1136" s="67">
        <v>3479067.0443492108</v>
      </c>
      <c r="F1136" s="67" t="s">
        <v>1163</v>
      </c>
      <c r="G1136" s="25">
        <f t="shared" si="13"/>
        <v>-7.4748890446156846E-3</v>
      </c>
    </row>
    <row r="1137" spans="1:7">
      <c r="A1137" s="67">
        <v>79.235972818559446</v>
      </c>
      <c r="B1137" s="67">
        <v>79.355720278062037</v>
      </c>
      <c r="C1137" s="67">
        <v>77.467394955136584</v>
      </c>
      <c r="D1137" s="67">
        <v>77.504240327291228</v>
      </c>
      <c r="E1137" s="67">
        <v>2153905.2358302684</v>
      </c>
      <c r="F1137" s="67" t="s">
        <v>1164</v>
      </c>
      <c r="G1137" s="25">
        <f t="shared" si="13"/>
        <v>2.234371285951986E-2</v>
      </c>
    </row>
    <row r="1138" spans="1:7">
      <c r="A1138" s="67">
        <v>78.471431346350599</v>
      </c>
      <c r="B1138" s="67">
        <v>79.1530707312115</v>
      </c>
      <c r="C1138" s="67">
        <v>78.213513741268102</v>
      </c>
      <c r="D1138" s="67">
        <v>78.72934895143311</v>
      </c>
      <c r="E1138" s="67">
        <v>1672356.5646557191</v>
      </c>
      <c r="F1138" s="67" t="s">
        <v>1165</v>
      </c>
      <c r="G1138" s="25">
        <f t="shared" si="13"/>
        <v>-3.2760032760034141E-3</v>
      </c>
    </row>
    <row r="1139" spans="1:7">
      <c r="A1139" s="67">
        <v>78.508276718505257</v>
      </c>
      <c r="B1139" s="67">
        <v>79.383354307178024</v>
      </c>
      <c r="C1139" s="67">
        <v>77.716101217180437</v>
      </c>
      <c r="D1139" s="67">
        <v>77.881905391876316</v>
      </c>
      <c r="E1139" s="67">
        <v>2664278.1510792845</v>
      </c>
      <c r="F1139" s="67" t="s">
        <v>1166</v>
      </c>
      <c r="G1139" s="25">
        <f t="shared" si="13"/>
        <v>8.0425783560025277E-3</v>
      </c>
    </row>
    <row r="1140" spans="1:7">
      <c r="A1140" s="67">
        <v>77.504240327291228</v>
      </c>
      <c r="B1140" s="67">
        <v>79.03295481798736</v>
      </c>
      <c r="C1140" s="67">
        <v>76.89629168673963</v>
      </c>
      <c r="D1140" s="67">
        <v>78.130611653920155</v>
      </c>
      <c r="E1140" s="67">
        <v>3215249.9234580831</v>
      </c>
      <c r="F1140" s="67" t="s">
        <v>1167</v>
      </c>
      <c r="G1140" s="25">
        <f t="shared" si="13"/>
        <v>-8.0169771280358404E-3</v>
      </c>
    </row>
    <row r="1141" spans="1:7">
      <c r="A1141" s="67">
        <v>78.268781799500076</v>
      </c>
      <c r="B1141" s="67">
        <v>79.622849226183192</v>
      </c>
      <c r="C1141" s="67">
        <v>77.720706888699752</v>
      </c>
      <c r="D1141" s="67">
        <v>78.526699404582573</v>
      </c>
      <c r="E1141" s="67">
        <v>4750875.06961013</v>
      </c>
      <c r="F1141" s="67" t="s">
        <v>1168</v>
      </c>
      <c r="G1141" s="25">
        <f t="shared" si="13"/>
        <v>-3.2844574780058755E-3</v>
      </c>
    </row>
    <row r="1142" spans="1:7">
      <c r="A1142" s="67">
        <v>79.457045051487313</v>
      </c>
      <c r="B1142" s="67">
        <v>80.101839064193541</v>
      </c>
      <c r="C1142" s="67">
        <v>77.808214647567027</v>
      </c>
      <c r="D1142" s="67">
        <v>78.075343595688196</v>
      </c>
      <c r="E1142" s="67">
        <v>3445926.3830234129</v>
      </c>
      <c r="F1142" s="67" t="s">
        <v>1169</v>
      </c>
      <c r="G1142" s="25">
        <f t="shared" si="13"/>
        <v>1.7697026899480939E-2</v>
      </c>
    </row>
    <row r="1143" spans="1:7">
      <c r="A1143" s="67">
        <v>77.974018822262934</v>
      </c>
      <c r="B1143" s="67">
        <v>78.379317915963995</v>
      </c>
      <c r="C1143" s="67">
        <v>76.831812285468999</v>
      </c>
      <c r="D1143" s="67">
        <v>78.222725084306774</v>
      </c>
      <c r="E1143" s="67">
        <v>5717852.410766134</v>
      </c>
      <c r="F1143" s="67" t="s">
        <v>1170</v>
      </c>
      <c r="G1143" s="25">
        <f t="shared" si="13"/>
        <v>-3.1794630240226107E-3</v>
      </c>
    </row>
    <row r="1144" spans="1:7">
      <c r="A1144" s="67">
        <v>78.720137608394481</v>
      </c>
      <c r="B1144" s="67">
        <v>79.041481767047827</v>
      </c>
      <c r="C1144" s="67">
        <v>77.297042048643931</v>
      </c>
      <c r="D1144" s="67">
        <v>77.590842422269859</v>
      </c>
      <c r="E1144" s="67">
        <v>3434436.4765334162</v>
      </c>
      <c r="F1144" s="67" t="s">
        <v>1171</v>
      </c>
      <c r="G1144" s="25">
        <f t="shared" ref="G1144:G1207" si="14">A1144/D1144-1</f>
        <v>1.4554490592829206E-2</v>
      </c>
    </row>
    <row r="1145" spans="1:7">
      <c r="A1145" s="67">
        <v>77.544936113890799</v>
      </c>
      <c r="B1145" s="67">
        <v>77.820373964165114</v>
      </c>
      <c r="C1145" s="67">
        <v>75.231258171586703</v>
      </c>
      <c r="D1145" s="67">
        <v>75.745408825432051</v>
      </c>
      <c r="E1145" s="67">
        <v>4235029.0595077556</v>
      </c>
      <c r="F1145" s="67" t="s">
        <v>1172</v>
      </c>
      <c r="G1145" s="25">
        <f t="shared" si="14"/>
        <v>2.3757575757575644E-2</v>
      </c>
    </row>
    <row r="1146" spans="1:7">
      <c r="A1146" s="67">
        <v>75.607689900294901</v>
      </c>
      <c r="B1146" s="67">
        <v>76.333009572683892</v>
      </c>
      <c r="C1146" s="67">
        <v>74.533482284225144</v>
      </c>
      <c r="D1146" s="67">
        <v>75.644414946998154</v>
      </c>
      <c r="E1146" s="67">
        <v>5477407.3298116289</v>
      </c>
      <c r="F1146" s="67" t="s">
        <v>1173</v>
      </c>
      <c r="G1146" s="25">
        <f t="shared" si="14"/>
        <v>-4.8549581259882402E-4</v>
      </c>
    </row>
    <row r="1147" spans="1:7">
      <c r="A1147" s="67">
        <v>76.020846675706352</v>
      </c>
      <c r="B1147" s="67">
        <v>76.929791581611539</v>
      </c>
      <c r="C1147" s="67">
        <v>73.046117892743936</v>
      </c>
      <c r="D1147" s="67">
        <v>74.184594340544365</v>
      </c>
      <c r="E1147" s="67">
        <v>5652023.8538372954</v>
      </c>
      <c r="F1147" s="67" t="s">
        <v>1174</v>
      </c>
      <c r="G1147" s="25">
        <f t="shared" si="14"/>
        <v>2.4752475247524774E-2</v>
      </c>
    </row>
    <row r="1148" spans="1:7">
      <c r="A1148" s="67">
        <v>78.160080646170073</v>
      </c>
      <c r="B1148" s="67">
        <v>78.398793449741135</v>
      </c>
      <c r="C1148" s="67">
        <v>76.938972843287345</v>
      </c>
      <c r="D1148" s="67">
        <v>78.288618309631403</v>
      </c>
      <c r="E1148" s="67">
        <v>3136506.8349889503</v>
      </c>
      <c r="F1148" s="67" t="s">
        <v>1175</v>
      </c>
      <c r="G1148" s="25">
        <f t="shared" si="14"/>
        <v>-1.6418435557639111E-3</v>
      </c>
    </row>
    <row r="1149" spans="1:7">
      <c r="A1149" s="67">
        <v>78.58241868325733</v>
      </c>
      <c r="B1149" s="67">
        <v>79.528088635865757</v>
      </c>
      <c r="C1149" s="67">
        <v>78.279437047955611</v>
      </c>
      <c r="D1149" s="67">
        <v>79.170019430509171</v>
      </c>
      <c r="E1149" s="67">
        <v>1857967.9571647919</v>
      </c>
      <c r="F1149" s="67" t="s">
        <v>1176</v>
      </c>
      <c r="G1149" s="25">
        <f t="shared" si="14"/>
        <v>-7.422010901078524E-3</v>
      </c>
    </row>
    <row r="1150" spans="1:7">
      <c r="A1150" s="67">
        <v>78.453881019796</v>
      </c>
      <c r="B1150" s="67">
        <v>78.784406440125153</v>
      </c>
      <c r="C1150" s="67">
        <v>77.425579712105275</v>
      </c>
      <c r="D1150" s="67">
        <v>78.58241868325733</v>
      </c>
      <c r="E1150" s="67">
        <v>2597529.7123743226</v>
      </c>
      <c r="F1150" s="67" t="s">
        <v>1177</v>
      </c>
      <c r="G1150" s="25">
        <f t="shared" si="14"/>
        <v>-1.635705105736518E-3</v>
      </c>
    </row>
    <row r="1151" spans="1:7">
      <c r="A1151" s="67">
        <v>78.876219056883244</v>
      </c>
      <c r="B1151" s="67">
        <v>80.501302373501616</v>
      </c>
      <c r="C1151" s="67">
        <v>78.793587701800959</v>
      </c>
      <c r="D1151" s="67">
        <v>80.198320738199882</v>
      </c>
      <c r="E1151" s="67">
        <v>3801232.4702553698</v>
      </c>
      <c r="F1151" s="67" t="s">
        <v>1178</v>
      </c>
      <c r="G1151" s="25">
        <f t="shared" si="14"/>
        <v>-1.6485403548941124E-2</v>
      </c>
    </row>
    <row r="1152" spans="1:7">
      <c r="A1152" s="67">
        <v>80.565571205232274</v>
      </c>
      <c r="B1152" s="67">
        <v>81.933579194927958</v>
      </c>
      <c r="C1152" s="67">
        <v>80.400308495067691</v>
      </c>
      <c r="D1152" s="67">
        <v>81.621416297950432</v>
      </c>
      <c r="E1152" s="67">
        <v>3588955.5448372667</v>
      </c>
      <c r="F1152" s="67" t="s">
        <v>1179</v>
      </c>
      <c r="G1152" s="25">
        <f t="shared" si="14"/>
        <v>-1.2935883014623339E-2</v>
      </c>
    </row>
    <row r="1153" spans="1:7">
      <c r="A1153" s="67">
        <v>82.126385690119974</v>
      </c>
      <c r="B1153" s="67">
        <v>82.355917232015216</v>
      </c>
      <c r="C1153" s="67">
        <v>81.345978447676117</v>
      </c>
      <c r="D1153" s="67">
        <v>81.566328727895566</v>
      </c>
      <c r="E1153" s="67">
        <v>3145474.0121490257</v>
      </c>
      <c r="F1153" s="67" t="s">
        <v>1180</v>
      </c>
      <c r="G1153" s="25">
        <f t="shared" si="14"/>
        <v>6.8662764520486252E-3</v>
      </c>
    </row>
    <row r="1154" spans="1:7">
      <c r="A1154" s="67">
        <v>81.171534475835728</v>
      </c>
      <c r="B1154" s="67">
        <v>81.208259522538981</v>
      </c>
      <c r="C1154" s="67">
        <v>79.656626299327101</v>
      </c>
      <c r="D1154" s="67">
        <v>79.757620177761012</v>
      </c>
      <c r="E1154" s="67">
        <v>5167379.1331968214</v>
      </c>
      <c r="F1154" s="67" t="s">
        <v>1181</v>
      </c>
      <c r="G1154" s="25">
        <f t="shared" si="14"/>
        <v>1.7727639000805651E-2</v>
      </c>
    </row>
    <row r="1155" spans="1:7">
      <c r="A1155" s="67">
        <v>79.757620177761012</v>
      </c>
      <c r="B1155" s="67">
        <v>80.17536758401036</v>
      </c>
      <c r="C1155" s="67">
        <v>79.013937982020394</v>
      </c>
      <c r="D1155" s="67">
        <v>79.858614056194924</v>
      </c>
      <c r="E1155" s="67">
        <v>2914882.6103618382</v>
      </c>
      <c r="F1155" s="67" t="s">
        <v>1182</v>
      </c>
      <c r="G1155" s="25">
        <f t="shared" si="14"/>
        <v>-1.2646585421935974E-3</v>
      </c>
    </row>
    <row r="1156" spans="1:7">
      <c r="A1156" s="67">
        <v>79.610719990948041</v>
      </c>
      <c r="B1156" s="67">
        <v>80.106508121441777</v>
      </c>
      <c r="C1156" s="67">
        <v>78.13253686114264</v>
      </c>
      <c r="D1156" s="67">
        <v>78.646687514988002</v>
      </c>
      <c r="E1156" s="67">
        <v>4000715.9470007848</v>
      </c>
      <c r="F1156" s="67" t="s">
        <v>1183</v>
      </c>
      <c r="G1156" s="25">
        <f t="shared" si="14"/>
        <v>1.2257763250058229E-2</v>
      </c>
    </row>
    <row r="1157" spans="1:7">
      <c r="A1157" s="67">
        <v>79.050663028723633</v>
      </c>
      <c r="B1157" s="67">
        <v>79.151656907157545</v>
      </c>
      <c r="C1157" s="67">
        <v>78.003999197681296</v>
      </c>
      <c r="D1157" s="67">
        <v>78.44469975812018</v>
      </c>
      <c r="E1157" s="67">
        <v>4993973.7716881</v>
      </c>
      <c r="F1157" s="67" t="s">
        <v>1184</v>
      </c>
      <c r="G1157" s="25">
        <f t="shared" si="14"/>
        <v>7.7247191011236005E-3</v>
      </c>
    </row>
    <row r="1158" spans="1:7">
      <c r="A1158" s="67">
        <v>78.545693636554091</v>
      </c>
      <c r="B1158" s="67">
        <v>78.655868776663809</v>
      </c>
      <c r="C1158" s="67">
        <v>77.095054291776123</v>
      </c>
      <c r="D1158" s="67">
        <v>77.636748730648904</v>
      </c>
      <c r="E1158" s="67">
        <v>3489183.8541541132</v>
      </c>
      <c r="F1158" s="67" t="s">
        <v>1185</v>
      </c>
      <c r="G1158" s="25">
        <f t="shared" si="14"/>
        <v>1.1707663197729534E-2</v>
      </c>
    </row>
    <row r="1159" spans="1:7">
      <c r="A1159" s="67">
        <v>77.976455412653877</v>
      </c>
      <c r="B1159" s="67">
        <v>78.58241868325733</v>
      </c>
      <c r="C1159" s="67">
        <v>76.929791581611539</v>
      </c>
      <c r="D1159" s="67">
        <v>78.58241868325733</v>
      </c>
      <c r="E1159" s="67">
        <v>3638625.1889561689</v>
      </c>
      <c r="F1159" s="67" t="s">
        <v>1186</v>
      </c>
      <c r="G1159" s="25">
        <f t="shared" si="14"/>
        <v>-7.7111812127584889E-3</v>
      </c>
    </row>
    <row r="1160" spans="1:7">
      <c r="A1160" s="67">
        <v>78.44469975812018</v>
      </c>
      <c r="B1160" s="67">
        <v>78.545693636554091</v>
      </c>
      <c r="C1160" s="67">
        <v>77.499029805511753</v>
      </c>
      <c r="D1160" s="67">
        <v>78.306980832983044</v>
      </c>
      <c r="E1160" s="67">
        <v>2797502.2286612014</v>
      </c>
      <c r="F1160" s="67" t="s">
        <v>1187</v>
      </c>
      <c r="G1160" s="25">
        <f t="shared" si="14"/>
        <v>1.7587055926835404E-3</v>
      </c>
    </row>
    <row r="1161" spans="1:7">
      <c r="A1161" s="67">
        <v>78.306980832983044</v>
      </c>
      <c r="B1161" s="67">
        <v>78.362068403037881</v>
      </c>
      <c r="C1161" s="67">
        <v>76.360553357711325</v>
      </c>
      <c r="D1161" s="67">
        <v>77.976455412653877</v>
      </c>
      <c r="E1161" s="67">
        <v>2819387.0204354511</v>
      </c>
      <c r="F1161" s="67" t="s">
        <v>1188</v>
      </c>
      <c r="G1161" s="25">
        <f t="shared" si="14"/>
        <v>4.2387848816674012E-3</v>
      </c>
    </row>
    <row r="1162" spans="1:7">
      <c r="A1162" s="67">
        <v>77.701017562379576</v>
      </c>
      <c r="B1162" s="67">
        <v>79.133294383805932</v>
      </c>
      <c r="C1162" s="67">
        <v>77.177685646858407</v>
      </c>
      <c r="D1162" s="67">
        <v>77.682655039027949</v>
      </c>
      <c r="E1162" s="67">
        <v>2903077.043346405</v>
      </c>
      <c r="F1162" s="67" t="s">
        <v>1189</v>
      </c>
      <c r="G1162" s="25">
        <f t="shared" si="14"/>
        <v>2.3637867864323425E-4</v>
      </c>
    </row>
    <row r="1163" spans="1:7">
      <c r="A1163" s="67">
        <v>77.370492142050409</v>
      </c>
      <c r="B1163" s="67">
        <v>78.536512374878285</v>
      </c>
      <c r="C1163" s="67">
        <v>77.058329245072883</v>
      </c>
      <c r="D1163" s="67">
        <v>77.847917749192547</v>
      </c>
      <c r="E1163" s="67">
        <v>4234672.8993071793</v>
      </c>
      <c r="F1163" s="67" t="s">
        <v>1190</v>
      </c>
      <c r="G1163" s="25">
        <f t="shared" si="14"/>
        <v>-6.1327986790897793E-3</v>
      </c>
    </row>
    <row r="1164" spans="1:7">
      <c r="A1164" s="67">
        <v>78.104993076115207</v>
      </c>
      <c r="B1164" s="67">
        <v>78.89458158023487</v>
      </c>
      <c r="C1164" s="67">
        <v>77.039966721721257</v>
      </c>
      <c r="D1164" s="67">
        <v>77.967274150978071</v>
      </c>
      <c r="E1164" s="67">
        <v>2938489.3876930024</v>
      </c>
      <c r="F1164" s="67" t="s">
        <v>1191</v>
      </c>
      <c r="G1164" s="25">
        <f t="shared" si="14"/>
        <v>1.7663683466790925E-3</v>
      </c>
    </row>
    <row r="1165" spans="1:7">
      <c r="A1165" s="67">
        <v>78.922125365262289</v>
      </c>
      <c r="B1165" s="67">
        <v>79.004756720344588</v>
      </c>
      <c r="C1165" s="67">
        <v>77.150141861830974</v>
      </c>
      <c r="D1165" s="67">
        <v>78.215168216224924</v>
      </c>
      <c r="E1165" s="67">
        <v>3823682.5438158554</v>
      </c>
      <c r="F1165" s="67" t="s">
        <v>1192</v>
      </c>
      <c r="G1165" s="25">
        <f t="shared" si="14"/>
        <v>9.0386195562859317E-3</v>
      </c>
    </row>
    <row r="1166" spans="1:7">
      <c r="A1166" s="67">
        <v>79.215925738888217</v>
      </c>
      <c r="B1166" s="67">
        <v>79.711713869381953</v>
      </c>
      <c r="C1166" s="67">
        <v>78.508968589850852</v>
      </c>
      <c r="D1166" s="67">
        <v>79.55563242089319</v>
      </c>
      <c r="E1166" s="67">
        <v>2557771.5600757389</v>
      </c>
      <c r="F1166" s="67" t="s">
        <v>1193</v>
      </c>
      <c r="G1166" s="25">
        <f t="shared" si="14"/>
        <v>-4.2700519330640674E-3</v>
      </c>
    </row>
    <row r="1167" spans="1:7">
      <c r="A1167" s="67">
        <v>78.949669150289722</v>
      </c>
      <c r="B1167" s="67">
        <v>80.395717864229795</v>
      </c>
      <c r="C1167" s="67">
        <v>78.692593823367048</v>
      </c>
      <c r="D1167" s="67">
        <v>78.738500131746108</v>
      </c>
      <c r="E1167" s="67">
        <v>2728253.5760849295</v>
      </c>
      <c r="F1167" s="67" t="s">
        <v>1194</v>
      </c>
      <c r="G1167" s="25">
        <f t="shared" si="14"/>
        <v>2.6819029850744247E-3</v>
      </c>
    </row>
    <row r="1168" spans="1:7">
      <c r="A1168" s="67">
        <v>78.591599944933137</v>
      </c>
      <c r="B1168" s="67">
        <v>79.307738355646308</v>
      </c>
      <c r="C1168" s="67">
        <v>78.224349477900745</v>
      </c>
      <c r="D1168" s="67">
        <v>78.949669150289722</v>
      </c>
      <c r="E1168" s="67">
        <v>1989885.5565935385</v>
      </c>
      <c r="F1168" s="67" t="s">
        <v>1195</v>
      </c>
      <c r="G1168" s="25">
        <f t="shared" si="14"/>
        <v>-4.5354110943132131E-3</v>
      </c>
    </row>
    <row r="1169" spans="1:7">
      <c r="A1169" s="67">
        <v>78.830312748504198</v>
      </c>
      <c r="B1169" s="67">
        <v>79.261832047267262</v>
      </c>
      <c r="C1169" s="67">
        <v>78.205986954549132</v>
      </c>
      <c r="D1169" s="67">
        <v>78.58241868325733</v>
      </c>
      <c r="E1169" s="67">
        <v>2460402.5892778193</v>
      </c>
      <c r="F1169" s="67" t="s">
        <v>1196</v>
      </c>
      <c r="G1169" s="25">
        <f t="shared" si="14"/>
        <v>3.154574132492094E-3</v>
      </c>
    </row>
    <row r="1170" spans="1:7">
      <c r="A1170" s="67">
        <v>78.720137608394481</v>
      </c>
      <c r="B1170" s="67">
        <v>79.0231192436962</v>
      </c>
      <c r="C1170" s="67">
        <v>77.416398450429455</v>
      </c>
      <c r="D1170" s="67">
        <v>78.628324991636376</v>
      </c>
      <c r="E1170" s="67">
        <v>2447015.5402708366</v>
      </c>
      <c r="F1170" s="67" t="s">
        <v>1197</v>
      </c>
      <c r="G1170" s="25">
        <f t="shared" si="14"/>
        <v>1.1676786548342477E-3</v>
      </c>
    </row>
    <row r="1171" spans="1:7">
      <c r="A1171" s="67">
        <v>78.857856533531631</v>
      </c>
      <c r="B1171" s="67">
        <v>79.601538729272235</v>
      </c>
      <c r="C1171" s="67">
        <v>78.472243543147613</v>
      </c>
      <c r="D1171" s="67">
        <v>79.289375832294695</v>
      </c>
      <c r="E1171" s="67">
        <v>2797454.3049644874</v>
      </c>
      <c r="F1171" s="67" t="s">
        <v>1198</v>
      </c>
      <c r="G1171" s="25">
        <f t="shared" si="14"/>
        <v>-5.4423344140805963E-3</v>
      </c>
    </row>
    <row r="1172" spans="1:7">
      <c r="A1172" s="67">
        <v>79.362825925701173</v>
      </c>
      <c r="B1172" s="67">
        <v>79.720895131057759</v>
      </c>
      <c r="C1172" s="67">
        <v>78.58241868325733</v>
      </c>
      <c r="D1172" s="67">
        <v>78.958850411965543</v>
      </c>
      <c r="E1172" s="67">
        <v>2362840.8345181192</v>
      </c>
      <c r="F1172" s="67" t="s">
        <v>1199</v>
      </c>
      <c r="G1172" s="25">
        <f t="shared" si="14"/>
        <v>5.1162790697674154E-3</v>
      </c>
    </row>
    <row r="1173" spans="1:7">
      <c r="A1173" s="67">
        <v>79.289375832294695</v>
      </c>
      <c r="B1173" s="67">
        <v>79.491363589162518</v>
      </c>
      <c r="C1173" s="67">
        <v>77.866280272544159</v>
      </c>
      <c r="D1173" s="67">
        <v>79.225107000564037</v>
      </c>
      <c r="E1173" s="67">
        <v>2617644.5948949438</v>
      </c>
      <c r="F1173" s="67" t="s">
        <v>1200</v>
      </c>
      <c r="G1173" s="25">
        <f t="shared" si="14"/>
        <v>8.1121798586147875E-4</v>
      </c>
    </row>
    <row r="1174" spans="1:7">
      <c r="A1174" s="67">
        <v>79.24346952391565</v>
      </c>
      <c r="B1174" s="67">
        <v>80.510483635177422</v>
      </c>
      <c r="C1174" s="67">
        <v>78.899172211072781</v>
      </c>
      <c r="D1174" s="67">
        <v>80.216683261551509</v>
      </c>
      <c r="E1174" s="67">
        <v>3172499.7095707376</v>
      </c>
      <c r="F1174" s="67" t="s">
        <v>1201</v>
      </c>
      <c r="G1174" s="25">
        <f t="shared" si="14"/>
        <v>-1.2132310861851958E-2</v>
      </c>
    </row>
    <row r="1175" spans="1:7">
      <c r="A1175" s="67">
        <v>80.290133354957987</v>
      </c>
      <c r="B1175" s="67">
        <v>80.799693377965426</v>
      </c>
      <c r="C1175" s="67">
        <v>79.99633298133206</v>
      </c>
      <c r="D1175" s="67">
        <v>80.161595691496643</v>
      </c>
      <c r="E1175" s="67">
        <v>1906719.4268216584</v>
      </c>
      <c r="F1175" s="67" t="s">
        <v>1202</v>
      </c>
      <c r="G1175" s="25">
        <f t="shared" si="14"/>
        <v>1.6034818462948852E-3</v>
      </c>
    </row>
    <row r="1176" spans="1:7">
      <c r="A1176" s="67">
        <v>79.674988822678714</v>
      </c>
      <c r="B1176" s="67">
        <v>80.960365457292113</v>
      </c>
      <c r="C1176" s="67">
        <v>79.647445037651281</v>
      </c>
      <c r="D1176" s="67">
        <v>80.758377700424276</v>
      </c>
      <c r="E1176" s="67">
        <v>1641731.8808931874</v>
      </c>
      <c r="F1176" s="67" t="s">
        <v>1203</v>
      </c>
      <c r="G1176" s="25">
        <f t="shared" si="14"/>
        <v>-1.341518872214631E-2</v>
      </c>
    </row>
    <row r="1177" spans="1:7">
      <c r="A1177" s="67">
        <v>80.666565083666185</v>
      </c>
      <c r="B1177" s="67">
        <v>81.630597559626224</v>
      </c>
      <c r="C1177" s="67">
        <v>80.565571205232274</v>
      </c>
      <c r="D1177" s="67">
        <v>80.804284008803336</v>
      </c>
      <c r="E1177" s="67">
        <v>3228141.299805114</v>
      </c>
      <c r="F1177" s="67" t="s">
        <v>1204</v>
      </c>
      <c r="G1177" s="25">
        <f t="shared" si="14"/>
        <v>-1.7043517782070472E-3</v>
      </c>
    </row>
    <row r="1178" spans="1:7">
      <c r="A1178" s="67">
        <v>80.79510274712753</v>
      </c>
      <c r="B1178" s="67">
        <v>80.804284008803336</v>
      </c>
      <c r="C1178" s="67">
        <v>79.463819804135085</v>
      </c>
      <c r="D1178" s="67">
        <v>79.858614056194924</v>
      </c>
      <c r="E1178" s="67">
        <v>3644737.6386370077</v>
      </c>
      <c r="F1178" s="67" t="s">
        <v>1205</v>
      </c>
      <c r="G1178" s="25">
        <f t="shared" si="14"/>
        <v>1.1726833754886146E-2</v>
      </c>
    </row>
    <row r="1179" spans="1:7">
      <c r="A1179" s="67">
        <v>79.757620177761012</v>
      </c>
      <c r="B1179" s="67">
        <v>79.812707747815864</v>
      </c>
      <c r="C1179" s="67">
        <v>78.215168216224924</v>
      </c>
      <c r="D1179" s="67">
        <v>78.518149851526658</v>
      </c>
      <c r="E1179" s="67">
        <v>2069216.7014534029</v>
      </c>
      <c r="F1179" s="67" t="s">
        <v>1206</v>
      </c>
      <c r="G1179" s="25">
        <f t="shared" si="14"/>
        <v>1.578578110383555E-2</v>
      </c>
    </row>
    <row r="1180" spans="1:7">
      <c r="A1180" s="67">
        <v>78.811950225152586</v>
      </c>
      <c r="B1180" s="67">
        <v>79.619901252623848</v>
      </c>
      <c r="C1180" s="67">
        <v>78.793587701800959</v>
      </c>
      <c r="D1180" s="67">
        <v>79.197563215536604</v>
      </c>
      <c r="E1180" s="67">
        <v>1947562.3973458505</v>
      </c>
      <c r="F1180" s="67" t="s">
        <v>1207</v>
      </c>
      <c r="G1180" s="25">
        <f t="shared" si="14"/>
        <v>-4.8690006955715015E-3</v>
      </c>
    </row>
    <row r="1181" spans="1:7">
      <c r="A1181" s="67">
        <v>79.372007187376994</v>
      </c>
      <c r="B1181" s="67">
        <v>80.345220925012839</v>
      </c>
      <c r="C1181" s="67">
        <v>79.298557093970516</v>
      </c>
      <c r="D1181" s="67">
        <v>80.253408308254734</v>
      </c>
      <c r="E1181" s="67">
        <v>1466694.935346351</v>
      </c>
      <c r="F1181" s="67" t="s">
        <v>1208</v>
      </c>
      <c r="G1181" s="25">
        <f t="shared" si="14"/>
        <v>-1.0982725088662493E-2</v>
      </c>
    </row>
    <row r="1182" spans="1:7">
      <c r="A1182" s="67">
        <v>80.051420551386926</v>
      </c>
      <c r="B1182" s="67">
        <v>80.267180200768451</v>
      </c>
      <c r="C1182" s="67">
        <v>79.518907374189951</v>
      </c>
      <c r="D1182" s="67">
        <v>79.757620177761012</v>
      </c>
      <c r="E1182" s="67">
        <v>1394512.0455212949</v>
      </c>
      <c r="F1182" s="67" t="s">
        <v>1209</v>
      </c>
      <c r="G1182" s="25">
        <f t="shared" si="14"/>
        <v>3.6836652469205422E-3</v>
      </c>
    </row>
    <row r="1183" spans="1:7">
      <c r="A1183" s="67">
        <v>79.647445037651281</v>
      </c>
      <c r="B1183" s="67">
        <v>79.968789196304627</v>
      </c>
      <c r="C1183" s="67">
        <v>79.330691509835844</v>
      </c>
      <c r="D1183" s="67">
        <v>79.537269897541563</v>
      </c>
      <c r="E1183" s="67">
        <v>1337290.0624702941</v>
      </c>
      <c r="F1183" s="67" t="s">
        <v>1210</v>
      </c>
      <c r="G1183" s="25">
        <f t="shared" si="14"/>
        <v>1.3852014313748828E-3</v>
      </c>
    </row>
    <row r="1184" spans="1:7">
      <c r="A1184" s="67">
        <v>79.50972611251413</v>
      </c>
      <c r="B1184" s="67">
        <v>79.573994944244802</v>
      </c>
      <c r="C1184" s="67">
        <v>78.490606066499225</v>
      </c>
      <c r="D1184" s="67">
        <v>78.775225178449332</v>
      </c>
      <c r="E1184" s="67">
        <v>1329666.9271680508</v>
      </c>
      <c r="F1184" s="67" t="s">
        <v>1211</v>
      </c>
      <c r="G1184" s="25">
        <f t="shared" si="14"/>
        <v>9.3240093240094524E-3</v>
      </c>
    </row>
    <row r="1185" spans="1:7">
      <c r="A1185" s="67">
        <v>78.545693636554091</v>
      </c>
      <c r="B1185" s="67">
        <v>79.032300505372021</v>
      </c>
      <c r="C1185" s="67">
        <v>78.343705879686269</v>
      </c>
      <c r="D1185" s="67">
        <v>78.545693636554091</v>
      </c>
      <c r="E1185" s="67">
        <v>2215048.5105529823</v>
      </c>
      <c r="F1185" s="67" t="s">
        <v>1212</v>
      </c>
      <c r="G1185" s="25">
        <f t="shared" si="14"/>
        <v>0</v>
      </c>
    </row>
    <row r="1186" spans="1:7">
      <c r="A1186" s="67">
        <v>78.334524618010462</v>
      </c>
      <c r="B1186" s="67">
        <v>78.398793449741135</v>
      </c>
      <c r="C1186" s="67">
        <v>76.691078778040477</v>
      </c>
      <c r="D1186" s="67">
        <v>77.232773216913273</v>
      </c>
      <c r="E1186" s="67">
        <v>2506231.8026100793</v>
      </c>
      <c r="F1186" s="67" t="s">
        <v>1213</v>
      </c>
      <c r="G1186" s="25">
        <f t="shared" si="14"/>
        <v>1.4265335235377874E-2</v>
      </c>
    </row>
    <row r="1187" spans="1:7">
      <c r="A1187" s="67">
        <v>77.003241675018018</v>
      </c>
      <c r="B1187" s="67">
        <v>77.453123497132708</v>
      </c>
      <c r="C1187" s="67">
        <v>75.837221442190156</v>
      </c>
      <c r="D1187" s="67">
        <v>75.974940367327306</v>
      </c>
      <c r="E1187" s="67">
        <v>2974506.2241231469</v>
      </c>
      <c r="F1187" s="67" t="s">
        <v>1214</v>
      </c>
      <c r="G1187" s="25">
        <f t="shared" si="14"/>
        <v>1.3534743202416877E-2</v>
      </c>
    </row>
    <row r="1188" spans="1:7">
      <c r="A1188" s="67">
        <v>75.754590087107871</v>
      </c>
      <c r="B1188" s="67">
        <v>76.443184712793624</v>
      </c>
      <c r="C1188" s="67">
        <v>75.194533124883463</v>
      </c>
      <c r="D1188" s="67">
        <v>76.323828311008086</v>
      </c>
      <c r="E1188" s="67">
        <v>2866332.638066154</v>
      </c>
      <c r="F1188" s="67" t="s">
        <v>1215</v>
      </c>
      <c r="G1188" s="25">
        <f t="shared" si="14"/>
        <v>-7.4581980031276363E-3</v>
      </c>
    </row>
    <row r="1189" spans="1:7">
      <c r="A1189" s="67">
        <v>76.782891394798582</v>
      </c>
      <c r="B1189" s="67">
        <v>78.118764968628923</v>
      </c>
      <c r="C1189" s="67">
        <v>76.424822189441983</v>
      </c>
      <c r="D1189" s="67">
        <v>77.443942235456888</v>
      </c>
      <c r="E1189" s="67">
        <v>5106110.8652982954</v>
      </c>
      <c r="F1189" s="67" t="s">
        <v>1216</v>
      </c>
      <c r="G1189" s="25">
        <f t="shared" si="14"/>
        <v>-8.5358624777710501E-3</v>
      </c>
    </row>
    <row r="1190" spans="1:7">
      <c r="A1190" s="67">
        <v>77.039966721721257</v>
      </c>
      <c r="B1190" s="67">
        <v>77.214410693561646</v>
      </c>
      <c r="C1190" s="67">
        <v>75.433245928454511</v>
      </c>
      <c r="D1190" s="67">
        <v>75.82804018051435</v>
      </c>
      <c r="E1190" s="67">
        <v>3350356.528999201</v>
      </c>
      <c r="F1190" s="67" t="s">
        <v>1217</v>
      </c>
      <c r="G1190" s="25">
        <f t="shared" si="14"/>
        <v>1.5982564475117922E-2</v>
      </c>
    </row>
    <row r="1191" spans="1:7">
      <c r="A1191" s="67">
        <v>75.929034058948261</v>
      </c>
      <c r="B1191" s="67">
        <v>76.369734619387145</v>
      </c>
      <c r="C1191" s="67">
        <v>74.864007704554311</v>
      </c>
      <c r="D1191" s="67">
        <v>75.993302890678919</v>
      </c>
      <c r="E1191" s="67">
        <v>2505612.0620775782</v>
      </c>
      <c r="F1191" s="67" t="s">
        <v>1218</v>
      </c>
      <c r="G1191" s="25">
        <f t="shared" si="14"/>
        <v>-8.4571704723923613E-4</v>
      </c>
    </row>
    <row r="1192" spans="1:7">
      <c r="A1192" s="67">
        <v>75.754590087107871</v>
      </c>
      <c r="B1192" s="67">
        <v>76.90224779658412</v>
      </c>
      <c r="C1192" s="67">
        <v>75.566374222753765</v>
      </c>
      <c r="D1192" s="67">
        <v>76.415640927766191</v>
      </c>
      <c r="E1192" s="67">
        <v>2900128.6468235916</v>
      </c>
      <c r="F1192" s="67" t="s">
        <v>1219</v>
      </c>
      <c r="G1192" s="25">
        <f t="shared" si="14"/>
        <v>-8.6507269013577082E-3</v>
      </c>
    </row>
    <row r="1193" spans="1:7">
      <c r="A1193" s="67">
        <v>76.388097142738758</v>
      </c>
      <c r="B1193" s="67">
        <v>76.911429058259912</v>
      </c>
      <c r="C1193" s="67">
        <v>73.835706396863586</v>
      </c>
      <c r="D1193" s="67">
        <v>74.340675789033128</v>
      </c>
      <c r="E1193" s="67">
        <v>3380538.6553544607</v>
      </c>
      <c r="F1193" s="67" t="s">
        <v>1220</v>
      </c>
      <c r="G1193" s="25">
        <f t="shared" si="14"/>
        <v>2.7541064591824371E-2</v>
      </c>
    </row>
    <row r="1194" spans="1:7">
      <c r="A1194" s="67">
        <v>74.239681910599231</v>
      </c>
      <c r="B1194" s="67">
        <v>74.597751115955816</v>
      </c>
      <c r="C1194" s="67">
        <v>73.835706396863586</v>
      </c>
      <c r="D1194" s="67">
        <v>74.285588218978276</v>
      </c>
      <c r="E1194" s="67">
        <v>2321377.0342865004</v>
      </c>
      <c r="F1194" s="67" t="s">
        <v>1221</v>
      </c>
      <c r="G1194" s="25">
        <f t="shared" si="14"/>
        <v>-6.1797058460011378E-4</v>
      </c>
    </row>
    <row r="1195" spans="1:7">
      <c r="A1195" s="67">
        <v>73.96424406032493</v>
      </c>
      <c r="B1195" s="67">
        <v>74.616113639307429</v>
      </c>
      <c r="C1195" s="67">
        <v>73.289421327152894</v>
      </c>
      <c r="D1195" s="67">
        <v>73.881612705242631</v>
      </c>
      <c r="E1195" s="67">
        <v>2108049.0550654731</v>
      </c>
      <c r="F1195" s="67" t="s">
        <v>1222</v>
      </c>
      <c r="G1195" s="25">
        <f t="shared" si="14"/>
        <v>1.1184292282839792E-3</v>
      </c>
    </row>
    <row r="1196" spans="1:7">
      <c r="A1196" s="67">
        <v>74.010150368703975</v>
      </c>
      <c r="B1196" s="67">
        <v>74.322313265681515</v>
      </c>
      <c r="C1196" s="67">
        <v>73.284830696314984</v>
      </c>
      <c r="D1196" s="67">
        <v>73.505180976534433</v>
      </c>
      <c r="E1196" s="67">
        <v>2054950.6882816954</v>
      </c>
      <c r="F1196" s="67" t="s">
        <v>1223</v>
      </c>
      <c r="G1196" s="25">
        <f t="shared" si="14"/>
        <v>6.8698476142892151E-3</v>
      </c>
    </row>
    <row r="1197" spans="1:7">
      <c r="A1197" s="67">
        <v>73.33991826636985</v>
      </c>
      <c r="B1197" s="67">
        <v>74.313132004005709</v>
      </c>
      <c r="C1197" s="67">
        <v>72.935942752634205</v>
      </c>
      <c r="D1197" s="67">
        <v>73.009392846040683</v>
      </c>
      <c r="E1197" s="67">
        <v>3042707.0904212706</v>
      </c>
      <c r="F1197" s="67" t="s">
        <v>1224</v>
      </c>
      <c r="G1197" s="25">
        <f t="shared" si="14"/>
        <v>4.5271629778673717E-3</v>
      </c>
    </row>
    <row r="1198" spans="1:7">
      <c r="A1198" s="67">
        <v>72.752317519118009</v>
      </c>
      <c r="B1198" s="67">
        <v>74.000969107028169</v>
      </c>
      <c r="C1198" s="67">
        <v>71.815828828185403</v>
      </c>
      <c r="D1198" s="67">
        <v>71.971910276674166</v>
      </c>
      <c r="E1198" s="67">
        <v>3318028.7280410812</v>
      </c>
      <c r="F1198" s="67" t="s">
        <v>1225</v>
      </c>
      <c r="G1198" s="25">
        <f t="shared" si="14"/>
        <v>1.0843219798443604E-2</v>
      </c>
    </row>
    <row r="1199" spans="1:7">
      <c r="A1199" s="67">
        <v>71.659747379696626</v>
      </c>
      <c r="B1199" s="67">
        <v>71.742378734778924</v>
      </c>
      <c r="C1199" s="67">
        <v>70.199926773242851</v>
      </c>
      <c r="D1199" s="67">
        <v>70.37437074508324</v>
      </c>
      <c r="E1199" s="67">
        <v>2734213.5412762249</v>
      </c>
      <c r="F1199" s="67" t="s">
        <v>1226</v>
      </c>
      <c r="G1199" s="25">
        <f t="shared" si="14"/>
        <v>1.8264840182648401E-2</v>
      </c>
    </row>
    <row r="1200" spans="1:7">
      <c r="A1200" s="67">
        <v>69.988757754699222</v>
      </c>
      <c r="B1200" s="67">
        <v>70.337645698380001</v>
      </c>
      <c r="C1200" s="67">
        <v>68.657474811706777</v>
      </c>
      <c r="D1200" s="67">
        <v>68.758468690140688</v>
      </c>
      <c r="E1200" s="67">
        <v>2970028.6260051983</v>
      </c>
      <c r="F1200" s="67" t="s">
        <v>1227</v>
      </c>
      <c r="G1200" s="25">
        <f t="shared" si="14"/>
        <v>1.7892909600747853E-2</v>
      </c>
    </row>
    <row r="1201" spans="1:7">
      <c r="A1201" s="67">
        <v>68.675837335058375</v>
      </c>
      <c r="B1201" s="67">
        <v>70.075331622786663</v>
      </c>
      <c r="C1201" s="67">
        <v>68.163604131706848</v>
      </c>
      <c r="D1201" s="67">
        <v>68.465455840824717</v>
      </c>
      <c r="E1201" s="67">
        <v>2735767.050692929</v>
      </c>
      <c r="F1201" s="67" t="s">
        <v>1228</v>
      </c>
      <c r="G1201" s="25">
        <f t="shared" si="14"/>
        <v>3.0728122912491163E-3</v>
      </c>
    </row>
    <row r="1202" spans="1:7">
      <c r="A1202" s="67">
        <v>68.209339239148946</v>
      </c>
      <c r="B1202" s="67">
        <v>69.663715655807749</v>
      </c>
      <c r="C1202" s="67">
        <v>67.98066370193844</v>
      </c>
      <c r="D1202" s="67">
        <v>69.42589309710884</v>
      </c>
      <c r="E1202" s="67">
        <v>3761495.4817322344</v>
      </c>
      <c r="F1202" s="67" t="s">
        <v>1229</v>
      </c>
      <c r="G1202" s="25">
        <f t="shared" si="14"/>
        <v>-1.7523056653491631E-2</v>
      </c>
    </row>
    <row r="1203" spans="1:7">
      <c r="A1203" s="67">
        <v>69.544804376458302</v>
      </c>
      <c r="B1203" s="67">
        <v>70.409197907113992</v>
      </c>
      <c r="C1203" s="67">
        <v>69.508216290504606</v>
      </c>
      <c r="D1203" s="67">
        <v>69.810067999622476</v>
      </c>
      <c r="E1203" s="67">
        <v>2740380.5743468772</v>
      </c>
      <c r="F1203" s="67" t="s">
        <v>1230</v>
      </c>
      <c r="G1203" s="25">
        <f t="shared" si="14"/>
        <v>-3.799790356393995E-3</v>
      </c>
    </row>
    <row r="1204" spans="1:7">
      <c r="A1204" s="67">
        <v>69.782626935157225</v>
      </c>
      <c r="B1204" s="67">
        <v>71.34219409893285</v>
      </c>
      <c r="C1204" s="67">
        <v>69.563098419435136</v>
      </c>
      <c r="D1204" s="67">
        <v>71.099798029489719</v>
      </c>
      <c r="E1204" s="67">
        <v>1400605.6524759259</v>
      </c>
      <c r="F1204" s="67" t="s">
        <v>1231</v>
      </c>
      <c r="G1204" s="25">
        <f t="shared" si="14"/>
        <v>-1.8525665766113364E-2</v>
      </c>
    </row>
    <row r="1205" spans="1:7">
      <c r="A1205" s="67">
        <v>70.999180793117105</v>
      </c>
      <c r="B1205" s="67">
        <v>72.023647199820147</v>
      </c>
      <c r="C1205" s="67">
        <v>70.797946320371864</v>
      </c>
      <c r="D1205" s="67">
        <v>71.740089533679139</v>
      </c>
      <c r="E1205" s="67">
        <v>1463618.5141740951</v>
      </c>
      <c r="F1205" s="67" t="s">
        <v>1232</v>
      </c>
      <c r="G1205" s="25">
        <f t="shared" si="14"/>
        <v>-1.0327680734412925E-2</v>
      </c>
    </row>
    <row r="1206" spans="1:7">
      <c r="A1206" s="67">
        <v>71.721795490702291</v>
      </c>
      <c r="B1206" s="67">
        <v>72.325498908938016</v>
      </c>
      <c r="C1206" s="67">
        <v>71.401649738607588</v>
      </c>
      <c r="D1206" s="67">
        <v>72.197440608100138</v>
      </c>
      <c r="E1206" s="67">
        <v>1866545.303475491</v>
      </c>
      <c r="F1206" s="67" t="s">
        <v>1233</v>
      </c>
      <c r="G1206" s="25">
        <f t="shared" si="14"/>
        <v>-6.5881160521981119E-3</v>
      </c>
    </row>
    <row r="1207" spans="1:7">
      <c r="A1207" s="67">
        <v>72.490145295729576</v>
      </c>
      <c r="B1207" s="67">
        <v>73.112142756942148</v>
      </c>
      <c r="C1207" s="67">
        <v>72.069382307262259</v>
      </c>
      <c r="D1207" s="67">
        <v>72.627350618055885</v>
      </c>
      <c r="E1207" s="67">
        <v>1867318.2326753349</v>
      </c>
      <c r="F1207" s="67" t="s">
        <v>1234</v>
      </c>
      <c r="G1207" s="25">
        <f t="shared" si="14"/>
        <v>-1.8891687657431877E-3</v>
      </c>
    </row>
    <row r="1208" spans="1:7">
      <c r="A1208" s="67">
        <v>72.499292317218007</v>
      </c>
      <c r="B1208" s="67">
        <v>72.837732112289544</v>
      </c>
      <c r="C1208" s="67">
        <v>72.041941242796995</v>
      </c>
      <c r="D1208" s="67">
        <v>72.645644661032719</v>
      </c>
      <c r="E1208" s="67">
        <v>2603448.5684927688</v>
      </c>
      <c r="F1208" s="67" t="s">
        <v>1235</v>
      </c>
      <c r="G1208" s="25">
        <f t="shared" ref="G1208:G1271" si="15">A1208/D1208-1</f>
        <v>-2.0146058927220656E-3</v>
      </c>
    </row>
    <row r="1209" spans="1:7">
      <c r="A1209" s="67">
        <v>72.362086994891698</v>
      </c>
      <c r="B1209" s="67">
        <v>73.203612971826345</v>
      </c>
      <c r="C1209" s="67">
        <v>72.343792951914864</v>
      </c>
      <c r="D1209" s="67">
        <v>73.176171907361095</v>
      </c>
      <c r="E1209" s="67">
        <v>2294691.2310824036</v>
      </c>
      <c r="F1209" s="67" t="s">
        <v>1236</v>
      </c>
      <c r="G1209" s="25">
        <f t="shared" si="15"/>
        <v>-1.1125000000000052E-2</v>
      </c>
    </row>
    <row r="1210" spans="1:7">
      <c r="A1210" s="67">
        <v>72.791997004847445</v>
      </c>
      <c r="B1210" s="67">
        <v>73.31337722968739</v>
      </c>
      <c r="C1210" s="67">
        <v>71.996206135354882</v>
      </c>
      <c r="D1210" s="67">
        <v>72.462704231264311</v>
      </c>
      <c r="E1210" s="67">
        <v>2459525.2157744425</v>
      </c>
      <c r="F1210" s="67" t="s">
        <v>1237</v>
      </c>
      <c r="G1210" s="25">
        <f t="shared" si="15"/>
        <v>4.5443069931836444E-3</v>
      </c>
    </row>
    <row r="1211" spans="1:7">
      <c r="A1211" s="67">
        <v>72.545027424660105</v>
      </c>
      <c r="B1211" s="67">
        <v>73.130436799918996</v>
      </c>
      <c r="C1211" s="67">
        <v>72.435263166799061</v>
      </c>
      <c r="D1211" s="67">
        <v>72.554174446148508</v>
      </c>
      <c r="E1211" s="67">
        <v>2162534.550185747</v>
      </c>
      <c r="F1211" s="67" t="s">
        <v>1238</v>
      </c>
      <c r="G1211" s="25">
        <f t="shared" si="15"/>
        <v>-1.2607160867350586E-4</v>
      </c>
    </row>
    <row r="1212" spans="1:7">
      <c r="A1212" s="67">
        <v>72.764555940382181</v>
      </c>
      <c r="B1212" s="67">
        <v>72.910908284196893</v>
      </c>
      <c r="C1212" s="67">
        <v>71.950471027912783</v>
      </c>
      <c r="D1212" s="67">
        <v>72.791997004847445</v>
      </c>
      <c r="E1212" s="67">
        <v>1759777.2149522093</v>
      </c>
      <c r="F1212" s="67" t="s">
        <v>1239</v>
      </c>
      <c r="G1212" s="25">
        <f t="shared" si="15"/>
        <v>-3.7697914048762104E-4</v>
      </c>
    </row>
    <row r="1213" spans="1:7">
      <c r="A1213" s="67">
        <v>72.682232746986401</v>
      </c>
      <c r="B1213" s="67">
        <v>72.910908284196893</v>
      </c>
      <c r="C1213" s="67">
        <v>72.270616780007501</v>
      </c>
      <c r="D1213" s="67">
        <v>72.782849983359014</v>
      </c>
      <c r="E1213" s="67">
        <v>1329638.2888568733</v>
      </c>
      <c r="F1213" s="67" t="s">
        <v>1240</v>
      </c>
      <c r="G1213" s="25">
        <f t="shared" si="15"/>
        <v>-1.3824305642828882E-3</v>
      </c>
    </row>
    <row r="1214" spans="1:7">
      <c r="A1214" s="67">
        <v>72.407822102333796</v>
      </c>
      <c r="B1214" s="67">
        <v>72.57246848912537</v>
      </c>
      <c r="C1214" s="67">
        <v>71.964191560145423</v>
      </c>
      <c r="D1214" s="67">
        <v>72.316351887449599</v>
      </c>
      <c r="E1214" s="67">
        <v>1941707.4752130744</v>
      </c>
      <c r="F1214" s="67" t="s">
        <v>1241</v>
      </c>
      <c r="G1214" s="25">
        <f t="shared" si="15"/>
        <v>1.2648621300277441E-3</v>
      </c>
    </row>
    <row r="1215" spans="1:7">
      <c r="A1215" s="67">
        <v>72.279763801495918</v>
      </c>
      <c r="B1215" s="67">
        <v>72.782849983359014</v>
      </c>
      <c r="C1215" s="67">
        <v>71.154680158420248</v>
      </c>
      <c r="D1215" s="67">
        <v>71.154680158420248</v>
      </c>
      <c r="E1215" s="67">
        <v>2727049.458840658</v>
      </c>
      <c r="F1215" s="67" t="s">
        <v>1242</v>
      </c>
      <c r="G1215" s="25">
        <f t="shared" si="15"/>
        <v>1.5811801002699521E-2</v>
      </c>
    </row>
    <row r="1216" spans="1:7">
      <c r="A1216" s="67">
        <v>71.072356965024454</v>
      </c>
      <c r="B1216" s="67">
        <v>71.987059113866479</v>
      </c>
      <c r="C1216" s="67">
        <v>70.944298664186576</v>
      </c>
      <c r="D1216" s="67">
        <v>71.941324006424381</v>
      </c>
      <c r="E1216" s="67">
        <v>2707769.9589265869</v>
      </c>
      <c r="F1216" s="67" t="s">
        <v>1243</v>
      </c>
      <c r="G1216" s="25">
        <f t="shared" si="15"/>
        <v>-1.2078830260648599E-2</v>
      </c>
    </row>
    <row r="1217" spans="1:7">
      <c r="A1217" s="67">
        <v>72.023647199820147</v>
      </c>
      <c r="B1217" s="67">
        <v>72.343792951914864</v>
      </c>
      <c r="C1217" s="67">
        <v>71.182121222885499</v>
      </c>
      <c r="D1217" s="67">
        <v>71.639472297306497</v>
      </c>
      <c r="E1217" s="67">
        <v>1778045.4567193838</v>
      </c>
      <c r="F1217" s="67" t="s">
        <v>1244</v>
      </c>
      <c r="G1217" s="25">
        <f t="shared" si="15"/>
        <v>5.3626149131766887E-3</v>
      </c>
    </row>
    <row r="1218" spans="1:7">
      <c r="A1218" s="67">
        <v>71.383355695630755</v>
      </c>
      <c r="B1218" s="67">
        <v>72.535880403171674</v>
      </c>
      <c r="C1218" s="67">
        <v>71.127239093954984</v>
      </c>
      <c r="D1218" s="67">
        <v>71.483972932003368</v>
      </c>
      <c r="E1218" s="67">
        <v>2849924.4298268827</v>
      </c>
      <c r="F1218" s="67" t="s">
        <v>1245</v>
      </c>
      <c r="G1218" s="25">
        <f t="shared" si="15"/>
        <v>-1.4075495841329166E-3</v>
      </c>
    </row>
    <row r="1219" spans="1:7">
      <c r="A1219" s="67">
        <v>71.630325275818095</v>
      </c>
      <c r="B1219" s="67">
        <v>73.386553401594753</v>
      </c>
      <c r="C1219" s="67">
        <v>71.204988776606555</v>
      </c>
      <c r="D1219" s="67">
        <v>73.258495100756875</v>
      </c>
      <c r="E1219" s="67">
        <v>2884966.4378079269</v>
      </c>
      <c r="F1219" s="67" t="s">
        <v>1246</v>
      </c>
      <c r="G1219" s="25">
        <f t="shared" si="15"/>
        <v>-2.2224996878511649E-2</v>
      </c>
    </row>
    <row r="1220" spans="1:7">
      <c r="A1220" s="67">
        <v>73.212759993314776</v>
      </c>
      <c r="B1220" s="67">
        <v>74.035991927272576</v>
      </c>
      <c r="C1220" s="67">
        <v>72.791997004847445</v>
      </c>
      <c r="D1220" s="67">
        <v>73.505464680944215</v>
      </c>
      <c r="E1220" s="67">
        <v>1802689.544446233</v>
      </c>
      <c r="F1220" s="67" t="s">
        <v>1247</v>
      </c>
      <c r="G1220" s="25">
        <f t="shared" si="15"/>
        <v>-3.9820806371327899E-3</v>
      </c>
    </row>
    <row r="1221" spans="1:7">
      <c r="A1221" s="67">
        <v>73.441435530525283</v>
      </c>
      <c r="B1221" s="67">
        <v>73.926227669411531</v>
      </c>
      <c r="C1221" s="67">
        <v>72.57246848912537</v>
      </c>
      <c r="D1221" s="67">
        <v>73.331671272664238</v>
      </c>
      <c r="E1221" s="67">
        <v>2352873.0119685354</v>
      </c>
      <c r="F1221" s="67" t="s">
        <v>1248</v>
      </c>
      <c r="G1221" s="25">
        <f t="shared" si="15"/>
        <v>1.4968192590745222E-3</v>
      </c>
    </row>
    <row r="1222" spans="1:7">
      <c r="A1222" s="67">
        <v>73.011525520569521</v>
      </c>
      <c r="B1222" s="67">
        <v>73.322524251175807</v>
      </c>
      <c r="C1222" s="67">
        <v>72.133411457681191</v>
      </c>
      <c r="D1222" s="67">
        <v>72.444410188287478</v>
      </c>
      <c r="E1222" s="67">
        <v>3690420.9794122134</v>
      </c>
      <c r="F1222" s="67" t="s">
        <v>1249</v>
      </c>
      <c r="G1222" s="25">
        <f t="shared" si="15"/>
        <v>7.8282828282827399E-3</v>
      </c>
    </row>
    <row r="1223" spans="1:7">
      <c r="A1223" s="67">
        <v>72.224881672565388</v>
      </c>
      <c r="B1223" s="67">
        <v>72.636497639544302</v>
      </c>
      <c r="C1223" s="67">
        <v>70.944298664186576</v>
      </c>
      <c r="D1223" s="67">
        <v>71.447384846049687</v>
      </c>
      <c r="E1223" s="67">
        <v>8741112.076889826</v>
      </c>
      <c r="F1223" s="67" t="s">
        <v>1250</v>
      </c>
      <c r="G1223" s="25">
        <f t="shared" si="15"/>
        <v>1.0882089361157199E-2</v>
      </c>
    </row>
    <row r="1224" spans="1:7">
      <c r="A1224" s="67">
        <v>71.904735920470685</v>
      </c>
      <c r="B1224" s="67">
        <v>77.109391147381743</v>
      </c>
      <c r="C1224" s="67">
        <v>71.648619318794928</v>
      </c>
      <c r="D1224" s="67">
        <v>75.298280892674555</v>
      </c>
      <c r="E1224" s="67">
        <v>8029507.7575777648</v>
      </c>
      <c r="F1224" s="67" t="s">
        <v>1251</v>
      </c>
      <c r="G1224" s="25">
        <f t="shared" si="15"/>
        <v>-4.5068027210884321E-2</v>
      </c>
    </row>
    <row r="1225" spans="1:7">
      <c r="A1225" s="67">
        <v>74.950694076114587</v>
      </c>
      <c r="B1225" s="67">
        <v>75.362310043093501</v>
      </c>
      <c r="C1225" s="67">
        <v>74.79062120006725</v>
      </c>
      <c r="D1225" s="67">
        <v>75.215957699278789</v>
      </c>
      <c r="E1225" s="67">
        <v>3005401.2702169921</v>
      </c>
      <c r="F1225" s="67" t="s">
        <v>1252</v>
      </c>
      <c r="G1225" s="25">
        <f t="shared" si="15"/>
        <v>-3.5266934208928458E-3</v>
      </c>
    </row>
    <row r="1226" spans="1:7">
      <c r="A1226" s="67">
        <v>74.813488753788306</v>
      </c>
      <c r="B1226" s="67">
        <v>75.115340462906161</v>
      </c>
      <c r="C1226" s="67">
        <v>74.246373421506249</v>
      </c>
      <c r="D1226" s="67">
        <v>74.539078109135687</v>
      </c>
      <c r="E1226" s="67">
        <v>1702951.0666089437</v>
      </c>
      <c r="F1226" s="67" t="s">
        <v>1253</v>
      </c>
      <c r="G1226" s="25">
        <f t="shared" si="15"/>
        <v>3.6814333047001657E-3</v>
      </c>
    </row>
    <row r="1227" spans="1:7">
      <c r="A1227" s="67">
        <v>74.420166829786226</v>
      </c>
      <c r="B1227" s="67">
        <v>75.554397494350326</v>
      </c>
      <c r="C1227" s="67">
        <v>74.310402571925181</v>
      </c>
      <c r="D1227" s="67">
        <v>75.344016000116667</v>
      </c>
      <c r="E1227" s="67">
        <v>2865549.1881354679</v>
      </c>
      <c r="F1227" s="67" t="s">
        <v>1254</v>
      </c>
      <c r="G1227" s="25">
        <f t="shared" si="15"/>
        <v>-1.2261745781231181E-2</v>
      </c>
    </row>
    <row r="1228" spans="1:7">
      <c r="A1228" s="67">
        <v>75.179369613325093</v>
      </c>
      <c r="B1228" s="67">
        <v>75.220531210022983</v>
      </c>
      <c r="C1228" s="67">
        <v>74.520784066158853</v>
      </c>
      <c r="D1228" s="67">
        <v>74.639695345508301</v>
      </c>
      <c r="E1228" s="67">
        <v>1474179.3289838443</v>
      </c>
      <c r="F1228" s="67" t="s">
        <v>1255</v>
      </c>
      <c r="G1228" s="25">
        <f t="shared" si="15"/>
        <v>7.2303921568628304E-3</v>
      </c>
    </row>
    <row r="1229" spans="1:7">
      <c r="A1229" s="67">
        <v>74.511637044670422</v>
      </c>
      <c r="B1229" s="67">
        <v>74.804341732299875</v>
      </c>
      <c r="C1229" s="67">
        <v>73.898786604946281</v>
      </c>
      <c r="D1229" s="67">
        <v>74.731165560392512</v>
      </c>
      <c r="E1229" s="67">
        <v>1474854.958751176</v>
      </c>
      <c r="F1229" s="67" t="s">
        <v>1256</v>
      </c>
      <c r="G1229" s="25">
        <f t="shared" si="15"/>
        <v>-2.9375764993880837E-3</v>
      </c>
    </row>
    <row r="1230" spans="1:7">
      <c r="A1230" s="67">
        <v>74.319549593413612</v>
      </c>
      <c r="B1230" s="67">
        <v>74.758606624857777</v>
      </c>
      <c r="C1230" s="67">
        <v>72.974937434615853</v>
      </c>
      <c r="D1230" s="67">
        <v>73.048113606523202</v>
      </c>
      <c r="E1230" s="67">
        <v>2481704.0201269663</v>
      </c>
      <c r="F1230" s="67" t="s">
        <v>1257</v>
      </c>
      <c r="G1230" s="25">
        <f t="shared" si="15"/>
        <v>1.7405459554220126E-2</v>
      </c>
    </row>
    <row r="1231" spans="1:7">
      <c r="A1231" s="67">
        <v>72.883467219731656</v>
      </c>
      <c r="B1231" s="67">
        <v>72.929202327173755</v>
      </c>
      <c r="C1231" s="67">
        <v>71.703501447725444</v>
      </c>
      <c r="D1231" s="67">
        <v>71.749236555167542</v>
      </c>
      <c r="E1231" s="67">
        <v>2763519.253999914</v>
      </c>
      <c r="F1231" s="67" t="s">
        <v>1258</v>
      </c>
      <c r="G1231" s="25">
        <f t="shared" si="15"/>
        <v>1.5808261091280196E-2</v>
      </c>
    </row>
    <row r="1232" spans="1:7">
      <c r="A1232" s="67">
        <v>71.511413996468633</v>
      </c>
      <c r="B1232" s="67">
        <v>72.810291047824279</v>
      </c>
      <c r="C1232" s="67">
        <v>71.291885480746544</v>
      </c>
      <c r="D1232" s="67">
        <v>72.810291047824279</v>
      </c>
      <c r="E1232" s="67">
        <v>1992836.6871201491</v>
      </c>
      <c r="F1232" s="67" t="s">
        <v>1259</v>
      </c>
      <c r="G1232" s="25">
        <f t="shared" si="15"/>
        <v>-1.7839195979899358E-2</v>
      </c>
    </row>
    <row r="1233" spans="1:7">
      <c r="A1233" s="67">
        <v>72.90176126270849</v>
      </c>
      <c r="B1233" s="67">
        <v>73.505464680944215</v>
      </c>
      <c r="C1233" s="67">
        <v>72.883467219731656</v>
      </c>
      <c r="D1233" s="67">
        <v>73.176171907361095</v>
      </c>
      <c r="E1233" s="67">
        <v>1949886.0938043511</v>
      </c>
      <c r="F1233" s="67" t="s">
        <v>1260</v>
      </c>
      <c r="G1233" s="25">
        <f t="shared" si="15"/>
        <v>-3.7500000000000311E-3</v>
      </c>
    </row>
    <row r="1234" spans="1:7">
      <c r="A1234" s="67">
        <v>73.075554670988467</v>
      </c>
      <c r="B1234" s="67">
        <v>73.102995735453732</v>
      </c>
      <c r="C1234" s="67">
        <v>72.352939973403267</v>
      </c>
      <c r="D1234" s="67">
        <v>72.352939973403267</v>
      </c>
      <c r="E1234" s="67">
        <v>1917577.2159500537</v>
      </c>
      <c r="F1234" s="67" t="s">
        <v>1261</v>
      </c>
      <c r="G1234" s="25">
        <f t="shared" si="15"/>
        <v>9.9873577749685083E-3</v>
      </c>
    </row>
    <row r="1235" spans="1:7">
      <c r="A1235" s="67">
        <v>72.078529328750676</v>
      </c>
      <c r="B1235" s="67">
        <v>72.499292317218007</v>
      </c>
      <c r="C1235" s="67">
        <v>71.776677619632807</v>
      </c>
      <c r="D1235" s="67">
        <v>72.005353156843313</v>
      </c>
      <c r="E1235" s="67">
        <v>1630122.987999602</v>
      </c>
      <c r="F1235" s="67" t="s">
        <v>1262</v>
      </c>
      <c r="G1235" s="25">
        <f t="shared" si="15"/>
        <v>1.0162601626015899E-3</v>
      </c>
    </row>
    <row r="1236" spans="1:7">
      <c r="A1236" s="67">
        <v>71.996206135354882</v>
      </c>
      <c r="B1236" s="67">
        <v>72.288910822984334</v>
      </c>
      <c r="C1236" s="67">
        <v>71.60288421135283</v>
      </c>
      <c r="D1236" s="67">
        <v>72.105970393215927</v>
      </c>
      <c r="E1236" s="67">
        <v>1524475.4828282867</v>
      </c>
      <c r="F1236" s="67" t="s">
        <v>1263</v>
      </c>
      <c r="G1236" s="25">
        <f t="shared" si="15"/>
        <v>-1.5222630978054541E-3</v>
      </c>
    </row>
    <row r="1237" spans="1:7">
      <c r="A1237" s="67">
        <v>72.188293586611721</v>
      </c>
      <c r="B1237" s="67">
        <v>73.263068611501083</v>
      </c>
      <c r="C1237" s="67">
        <v>72.115117414704358</v>
      </c>
      <c r="D1237" s="67">
        <v>73.102995735453732</v>
      </c>
      <c r="E1237" s="67">
        <v>2197991.9939460563</v>
      </c>
      <c r="F1237" s="67" t="s">
        <v>1264</v>
      </c>
      <c r="G1237" s="25">
        <f t="shared" si="15"/>
        <v>-1.2512512512512508E-2</v>
      </c>
    </row>
    <row r="1238" spans="1:7">
      <c r="A1238" s="67">
        <v>73.359112337129488</v>
      </c>
      <c r="B1238" s="67">
        <v>74.191491292575719</v>
      </c>
      <c r="C1238" s="67">
        <v>73.157877864384247</v>
      </c>
      <c r="D1238" s="67">
        <v>73.825610433038918</v>
      </c>
      <c r="E1238" s="67">
        <v>2887535.5801270683</v>
      </c>
      <c r="F1238" s="67" t="s">
        <v>1265</v>
      </c>
      <c r="G1238" s="25">
        <f t="shared" si="15"/>
        <v>-6.3189195886507177E-3</v>
      </c>
    </row>
    <row r="1239" spans="1:7">
      <c r="A1239" s="67">
        <v>73.706699153689456</v>
      </c>
      <c r="B1239" s="67">
        <v>74.91410599016092</v>
      </c>
      <c r="C1239" s="67">
        <v>73.615228938805259</v>
      </c>
      <c r="D1239" s="67">
        <v>74.228079378529415</v>
      </c>
      <c r="E1239" s="67">
        <v>3625205.2148318863</v>
      </c>
      <c r="F1239" s="67" t="s">
        <v>1266</v>
      </c>
      <c r="G1239" s="25">
        <f t="shared" si="15"/>
        <v>-7.0240295748614789E-3</v>
      </c>
    </row>
    <row r="1240" spans="1:7">
      <c r="A1240" s="67">
        <v>73.962815755365227</v>
      </c>
      <c r="B1240" s="67">
        <v>74.022271395039951</v>
      </c>
      <c r="C1240" s="67">
        <v>72.874320198243225</v>
      </c>
      <c r="D1240" s="67">
        <v>73.624375960293676</v>
      </c>
      <c r="E1240" s="67">
        <v>3224648.5959764053</v>
      </c>
      <c r="F1240" s="67" t="s">
        <v>1267</v>
      </c>
      <c r="G1240" s="25">
        <f t="shared" si="15"/>
        <v>4.5968443284880589E-3</v>
      </c>
    </row>
    <row r="1241" spans="1:7">
      <c r="A1241" s="67">
        <v>73.962815755365227</v>
      </c>
      <c r="B1241" s="67">
        <v>75.179369613325093</v>
      </c>
      <c r="C1241" s="67">
        <v>73.624375960293676</v>
      </c>
      <c r="D1241" s="67">
        <v>73.889639583457864</v>
      </c>
      <c r="E1241" s="67">
        <v>3013307.6690476448</v>
      </c>
      <c r="F1241" s="67" t="s">
        <v>1268</v>
      </c>
      <c r="G1241" s="25">
        <f t="shared" si="15"/>
        <v>9.9034414459020503E-4</v>
      </c>
    </row>
    <row r="1242" spans="1:7">
      <c r="A1242" s="67">
        <v>73.56034680987473</v>
      </c>
      <c r="B1242" s="67">
        <v>74.630548324019898</v>
      </c>
      <c r="C1242" s="67">
        <v>72.993231477592687</v>
      </c>
      <c r="D1242" s="67">
        <v>74.090874056203106</v>
      </c>
      <c r="E1242" s="67">
        <v>3452816.8584695193</v>
      </c>
      <c r="F1242" s="67" t="s">
        <v>1269</v>
      </c>
      <c r="G1242" s="25">
        <f t="shared" si="15"/>
        <v>-7.1604938271605523E-3</v>
      </c>
    </row>
    <row r="1243" spans="1:7">
      <c r="A1243" s="67">
        <v>74.356137679367293</v>
      </c>
      <c r="B1243" s="67">
        <v>74.69457747443883</v>
      </c>
      <c r="C1243" s="67">
        <v>72.956643391639005</v>
      </c>
      <c r="D1243" s="67">
        <v>73.697552132201025</v>
      </c>
      <c r="E1243" s="67">
        <v>3154003.7417123085</v>
      </c>
      <c r="F1243" s="67" t="s">
        <v>1270</v>
      </c>
      <c r="G1243" s="25">
        <f t="shared" si="15"/>
        <v>8.9363286583097334E-3</v>
      </c>
    </row>
    <row r="1244" spans="1:7">
      <c r="A1244" s="67">
        <v>73.569493831363161</v>
      </c>
      <c r="B1244" s="67">
        <v>75.49036834393138</v>
      </c>
      <c r="C1244" s="67">
        <v>73.551199788386313</v>
      </c>
      <c r="D1244" s="67">
        <v>75.014723226533548</v>
      </c>
      <c r="E1244" s="67">
        <v>3383990.0823657345</v>
      </c>
      <c r="F1244" s="67" t="s">
        <v>1271</v>
      </c>
      <c r="G1244" s="25">
        <f t="shared" si="15"/>
        <v>-1.9265943177661282E-2</v>
      </c>
    </row>
    <row r="1245" spans="1:7">
      <c r="A1245" s="67">
        <v>74.83178279676514</v>
      </c>
      <c r="B1245" s="67">
        <v>75.270839828209304</v>
      </c>
      <c r="C1245" s="67">
        <v>73.880492561969433</v>
      </c>
      <c r="D1245" s="67">
        <v>73.898786604946281</v>
      </c>
      <c r="E1245" s="67">
        <v>2785970.278113062</v>
      </c>
      <c r="F1245" s="67" t="s">
        <v>1272</v>
      </c>
      <c r="G1245" s="25">
        <f t="shared" si="15"/>
        <v>1.2625324916450076E-2</v>
      </c>
    </row>
    <row r="1246" spans="1:7">
      <c r="A1246" s="67">
        <v>73.843904476015766</v>
      </c>
      <c r="B1246" s="67">
        <v>74.081727034714675</v>
      </c>
      <c r="C1246" s="67">
        <v>73.221907014803193</v>
      </c>
      <c r="D1246" s="67">
        <v>73.606081917316828</v>
      </c>
      <c r="E1246" s="67">
        <v>3206425.1775433091</v>
      </c>
      <c r="F1246" s="67" t="s">
        <v>1273</v>
      </c>
      <c r="G1246" s="25">
        <f t="shared" si="15"/>
        <v>3.231017770597866E-3</v>
      </c>
    </row>
    <row r="1247" spans="1:7">
      <c r="A1247" s="67">
        <v>73.697552132201025</v>
      </c>
      <c r="B1247" s="67">
        <v>73.962815755365227</v>
      </c>
      <c r="C1247" s="67">
        <v>73.075554670988467</v>
      </c>
      <c r="D1247" s="67">
        <v>73.569493831363161</v>
      </c>
      <c r="E1247" s="67">
        <v>2475301.9361180752</v>
      </c>
      <c r="F1247" s="67" t="s">
        <v>1274</v>
      </c>
      <c r="G1247" s="25">
        <f t="shared" si="15"/>
        <v>1.7406440382938815E-3</v>
      </c>
    </row>
    <row r="1248" spans="1:7">
      <c r="A1248" s="67">
        <v>73.953668733876796</v>
      </c>
      <c r="B1248" s="67">
        <v>74.154903206622038</v>
      </c>
      <c r="C1248" s="67">
        <v>73.660964046247358</v>
      </c>
      <c r="D1248" s="67">
        <v>73.734140218154721</v>
      </c>
      <c r="E1248" s="67">
        <v>2196100.6678983476</v>
      </c>
      <c r="F1248" s="67" t="s">
        <v>1275</v>
      </c>
      <c r="G1248" s="25">
        <f t="shared" si="15"/>
        <v>2.9772981019724476E-3</v>
      </c>
    </row>
    <row r="1249" spans="1:7">
      <c r="A1249" s="67">
        <v>73.898786604946281</v>
      </c>
      <c r="B1249" s="67">
        <v>74.465901937228324</v>
      </c>
      <c r="C1249" s="67">
        <v>73.843904476015766</v>
      </c>
      <c r="D1249" s="67">
        <v>74.228079378529415</v>
      </c>
      <c r="E1249" s="67">
        <v>2993830.2905123974</v>
      </c>
      <c r="F1249" s="67" t="s">
        <v>1276</v>
      </c>
      <c r="G1249" s="25">
        <f t="shared" si="15"/>
        <v>-4.4362292051757235E-3</v>
      </c>
    </row>
    <row r="1250" spans="1:7">
      <c r="A1250" s="67">
        <v>74.136609163645204</v>
      </c>
      <c r="B1250" s="67">
        <v>75.362310043093501</v>
      </c>
      <c r="C1250" s="67">
        <v>74.100021077691522</v>
      </c>
      <c r="D1250" s="67">
        <v>75.215957699278789</v>
      </c>
      <c r="E1250" s="67">
        <v>2673538.0507151107</v>
      </c>
      <c r="F1250" s="67" t="s">
        <v>1277</v>
      </c>
      <c r="G1250" s="25">
        <f t="shared" si="15"/>
        <v>-1.4349993919494208E-2</v>
      </c>
    </row>
    <row r="1251" spans="1:7">
      <c r="A1251" s="67">
        <v>74.959841097603018</v>
      </c>
      <c r="B1251" s="67">
        <v>76.1306598481208</v>
      </c>
      <c r="C1251" s="67">
        <v>74.923253011649336</v>
      </c>
      <c r="D1251" s="67">
        <v>75.783073031560818</v>
      </c>
      <c r="E1251" s="67">
        <v>2189440.5764054917</v>
      </c>
      <c r="F1251" s="67" t="s">
        <v>1278</v>
      </c>
      <c r="G1251" s="25">
        <f t="shared" si="15"/>
        <v>-1.0863005431502537E-2</v>
      </c>
    </row>
    <row r="1252" spans="1:7">
      <c r="A1252" s="67">
        <v>75.270839828209304</v>
      </c>
      <c r="B1252" s="67">
        <v>76.07577771919027</v>
      </c>
      <c r="C1252" s="67">
        <v>74.932400033137753</v>
      </c>
      <c r="D1252" s="67">
        <v>75.783073031560818</v>
      </c>
      <c r="E1252" s="67">
        <v>3074113.2548554535</v>
      </c>
      <c r="F1252" s="67" t="s">
        <v>1279</v>
      </c>
      <c r="G1252" s="25">
        <f t="shared" si="15"/>
        <v>-6.7592033796014528E-3</v>
      </c>
    </row>
    <row r="1253" spans="1:7">
      <c r="A1253" s="67">
        <v>76.478246664680753</v>
      </c>
      <c r="B1253" s="67">
        <v>76.496540707657601</v>
      </c>
      <c r="C1253" s="67">
        <v>75.655014730722939</v>
      </c>
      <c r="D1253" s="67">
        <v>75.865396224956612</v>
      </c>
      <c r="E1253" s="67">
        <v>4928218.4432460442</v>
      </c>
      <c r="F1253" s="67" t="s">
        <v>1280</v>
      </c>
      <c r="G1253" s="25">
        <f t="shared" si="15"/>
        <v>8.0781287677837987E-3</v>
      </c>
    </row>
    <row r="1254" spans="1:7">
      <c r="A1254" s="67">
        <v>76.121512826632369</v>
      </c>
      <c r="B1254" s="67">
        <v>76.716069223379691</v>
      </c>
      <c r="C1254" s="67">
        <v>75.225104720767192</v>
      </c>
      <c r="D1254" s="67">
        <v>76.432511557238655</v>
      </c>
      <c r="E1254" s="67">
        <v>2942697.7988491706</v>
      </c>
      <c r="F1254" s="67" t="s">
        <v>1281</v>
      </c>
      <c r="G1254" s="25">
        <f t="shared" si="15"/>
        <v>-4.0689325035903057E-3</v>
      </c>
    </row>
    <row r="1255" spans="1:7">
      <c r="A1255" s="67">
        <v>76.441658578727072</v>
      </c>
      <c r="B1255" s="67">
        <v>76.990479868032281</v>
      </c>
      <c r="C1255" s="67">
        <v>74.502490023182006</v>
      </c>
      <c r="D1255" s="67">
        <v>74.813488753788306</v>
      </c>
      <c r="E1255" s="67">
        <v>6445456.5974987056</v>
      </c>
      <c r="F1255" s="67" t="s">
        <v>1282</v>
      </c>
      <c r="G1255" s="25">
        <f t="shared" si="15"/>
        <v>2.1763051717813564E-2</v>
      </c>
    </row>
    <row r="1256" spans="1:7">
      <c r="A1256" s="67">
        <v>74.795194710811444</v>
      </c>
      <c r="B1256" s="67">
        <v>74.808915243044083</v>
      </c>
      <c r="C1256" s="67">
        <v>73.706699153689456</v>
      </c>
      <c r="D1256" s="67">
        <v>73.889639583457864</v>
      </c>
      <c r="E1256" s="67">
        <v>3135142.9573336556</v>
      </c>
      <c r="F1256" s="67" t="s">
        <v>1283</v>
      </c>
      <c r="G1256" s="25">
        <f t="shared" si="15"/>
        <v>1.2255508789304148E-2</v>
      </c>
    </row>
    <row r="1257" spans="1:7">
      <c r="A1257" s="67">
        <v>73.752434261131555</v>
      </c>
      <c r="B1257" s="67">
        <v>75.24339876374404</v>
      </c>
      <c r="C1257" s="67">
        <v>73.481408014429661</v>
      </c>
      <c r="D1257" s="67">
        <v>75.215957699278789</v>
      </c>
      <c r="E1257" s="67">
        <v>3177693.420398898</v>
      </c>
      <c r="F1257" s="67" t="s">
        <v>1284</v>
      </c>
      <c r="G1257" s="25">
        <f t="shared" si="15"/>
        <v>-1.9457618873890525E-2</v>
      </c>
    </row>
    <row r="1258" spans="1:7">
      <c r="A1258" s="67">
        <v>74.017697884295742</v>
      </c>
      <c r="B1258" s="67">
        <v>74.993776547325055</v>
      </c>
      <c r="C1258" s="67">
        <v>73.825610433038918</v>
      </c>
      <c r="D1258" s="67">
        <v>74.959841097603018</v>
      </c>
      <c r="E1258" s="67">
        <v>2746668.960142496</v>
      </c>
      <c r="F1258" s="67" t="s">
        <v>1285</v>
      </c>
      <c r="G1258" s="25">
        <f t="shared" si="15"/>
        <v>-1.2568639414276994E-2</v>
      </c>
    </row>
    <row r="1259" spans="1:7">
      <c r="A1259" s="67">
        <v>74.749459603369345</v>
      </c>
      <c r="B1259" s="67">
        <v>75.856249203468195</v>
      </c>
      <c r="C1259" s="67">
        <v>74.438460872763059</v>
      </c>
      <c r="D1259" s="67">
        <v>75.856249203468195</v>
      </c>
      <c r="E1259" s="67">
        <v>3848039.5005696416</v>
      </c>
      <c r="F1259" s="67" t="s">
        <v>1286</v>
      </c>
      <c r="G1259" s="25">
        <f t="shared" si="15"/>
        <v>-1.4590618593995131E-2</v>
      </c>
    </row>
    <row r="1260" spans="1:7">
      <c r="A1260" s="67">
        <v>75.700749838165052</v>
      </c>
      <c r="B1260" s="67">
        <v>76.752657309333358</v>
      </c>
      <c r="C1260" s="67">
        <v>75.645867709234523</v>
      </c>
      <c r="D1260" s="67">
        <v>76.07577771919027</v>
      </c>
      <c r="E1260" s="67">
        <v>3335212.4556197124</v>
      </c>
      <c r="F1260" s="67" t="s">
        <v>1287</v>
      </c>
      <c r="G1260" s="25">
        <f t="shared" si="15"/>
        <v>-4.929662137790003E-3</v>
      </c>
    </row>
    <row r="1261" spans="1:7">
      <c r="A1261" s="67">
        <v>76.24042410598183</v>
      </c>
      <c r="B1261" s="67">
        <v>76.606304965518646</v>
      </c>
      <c r="C1261" s="67">
        <v>74.996429183556685</v>
      </c>
      <c r="D1261" s="67">
        <v>75.307427914162986</v>
      </c>
      <c r="E1261" s="67">
        <v>6354513.3324092878</v>
      </c>
      <c r="F1261" s="67" t="s">
        <v>1288</v>
      </c>
      <c r="G1261" s="25">
        <f t="shared" si="15"/>
        <v>1.2389165553261083E-2</v>
      </c>
    </row>
    <row r="1262" spans="1:7">
      <c r="A1262" s="67">
        <v>75.655014730722939</v>
      </c>
      <c r="B1262" s="67">
        <v>76.057483676213437</v>
      </c>
      <c r="C1262" s="67">
        <v>73.889639583457864</v>
      </c>
      <c r="D1262" s="67">
        <v>74.136609163645204</v>
      </c>
      <c r="E1262" s="67">
        <v>5576583.5976854414</v>
      </c>
      <c r="F1262" s="67" t="s">
        <v>1289</v>
      </c>
      <c r="G1262" s="25">
        <f t="shared" si="15"/>
        <v>2.048118445404068E-2</v>
      </c>
    </row>
    <row r="1263" spans="1:7">
      <c r="A1263" s="67">
        <v>74.145756185133621</v>
      </c>
      <c r="B1263" s="67">
        <v>75.901984310910294</v>
      </c>
      <c r="C1263" s="67">
        <v>73.359112337129488</v>
      </c>
      <c r="D1263" s="67">
        <v>74.090874056203106</v>
      </c>
      <c r="E1263" s="67">
        <v>8971037.1954284124</v>
      </c>
      <c r="F1263" s="67" t="s">
        <v>1290</v>
      </c>
      <c r="G1263" s="25">
        <f t="shared" si="15"/>
        <v>7.407407407407085E-4</v>
      </c>
    </row>
    <row r="1264" spans="1:7">
      <c r="A1264" s="67">
        <v>70.724770148464529</v>
      </c>
      <c r="B1264" s="67">
        <v>70.984519626458251</v>
      </c>
      <c r="C1264" s="67">
        <v>69.120703196643689</v>
      </c>
      <c r="D1264" s="67">
        <v>69.76779838743505</v>
      </c>
      <c r="E1264" s="67">
        <v>4390516.3883624375</v>
      </c>
      <c r="F1264" s="67" t="s">
        <v>1291</v>
      </c>
      <c r="G1264" s="25">
        <f t="shared" si="15"/>
        <v>1.3716525146962644E-2</v>
      </c>
    </row>
    <row r="1265" spans="1:7">
      <c r="A1265" s="67">
        <v>69.467035833968637</v>
      </c>
      <c r="B1265" s="67">
        <v>69.603746085544287</v>
      </c>
      <c r="C1265" s="67">
        <v>68.628546290971371</v>
      </c>
      <c r="D1265" s="67">
        <v>69.24829943144762</v>
      </c>
      <c r="E1265" s="67">
        <v>5720252.8046502713</v>
      </c>
      <c r="F1265" s="67" t="s">
        <v>1292</v>
      </c>
      <c r="G1265" s="25">
        <f t="shared" si="15"/>
        <v>3.1587259805210266E-3</v>
      </c>
    </row>
    <row r="1266" spans="1:7">
      <c r="A1266" s="67">
        <v>69.266527464991029</v>
      </c>
      <c r="B1266" s="67">
        <v>69.922736672554109</v>
      </c>
      <c r="C1266" s="67">
        <v>67.671574529941893</v>
      </c>
      <c r="D1266" s="67">
        <v>67.671574529941893</v>
      </c>
      <c r="E1266" s="67">
        <v>10244706.844278524</v>
      </c>
      <c r="F1266" s="67" t="s">
        <v>1293</v>
      </c>
      <c r="G1266" s="25">
        <f t="shared" si="15"/>
        <v>2.3569023569023573E-2</v>
      </c>
    </row>
    <row r="1267" spans="1:7">
      <c r="A1267" s="67">
        <v>67.416382060334044</v>
      </c>
      <c r="B1267" s="67">
        <v>67.799170764745824</v>
      </c>
      <c r="C1267" s="67">
        <v>67.261443775214971</v>
      </c>
      <c r="D1267" s="67">
        <v>67.534864278366257</v>
      </c>
      <c r="E1267" s="67">
        <v>2874626.0464787656</v>
      </c>
      <c r="F1267" s="67" t="s">
        <v>1294</v>
      </c>
      <c r="G1267" s="25">
        <f t="shared" si="15"/>
        <v>-1.7543859649121751E-3</v>
      </c>
    </row>
    <row r="1268" spans="1:7">
      <c r="A1268" s="67">
        <v>67.234101724899844</v>
      </c>
      <c r="B1268" s="67">
        <v>67.439167102263312</v>
      </c>
      <c r="C1268" s="67">
        <v>66.641690634738751</v>
      </c>
      <c r="D1268" s="67">
        <v>67.088277456552504</v>
      </c>
      <c r="E1268" s="67">
        <v>3390695.9767646035</v>
      </c>
      <c r="F1268" s="67" t="s">
        <v>1295</v>
      </c>
      <c r="G1268" s="25">
        <f t="shared" si="15"/>
        <v>2.173617714984255E-3</v>
      </c>
    </row>
    <row r="1269" spans="1:7">
      <c r="A1269" s="67">
        <v>67.261443775214971</v>
      </c>
      <c r="B1269" s="67">
        <v>67.780942731202416</v>
      </c>
      <c r="C1269" s="67">
        <v>67.079163439780785</v>
      </c>
      <c r="D1269" s="67">
        <v>67.726258630572161</v>
      </c>
      <c r="E1269" s="67">
        <v>3238201.1948464727</v>
      </c>
      <c r="F1269" s="67" t="s">
        <v>1296</v>
      </c>
      <c r="G1269" s="25">
        <f t="shared" si="15"/>
        <v>-6.8631408962456231E-3</v>
      </c>
    </row>
    <row r="1270" spans="1:7">
      <c r="A1270" s="67">
        <v>67.926766999549756</v>
      </c>
      <c r="B1270" s="67">
        <v>68.387024846521086</v>
      </c>
      <c r="C1270" s="67">
        <v>67.776385722816556</v>
      </c>
      <c r="D1270" s="67">
        <v>68.127275368527364</v>
      </c>
      <c r="E1270" s="67">
        <v>2325302.9406073005</v>
      </c>
      <c r="F1270" s="67" t="s">
        <v>1297</v>
      </c>
      <c r="G1270" s="25">
        <f t="shared" si="15"/>
        <v>-2.9431438127091036E-3</v>
      </c>
    </row>
    <row r="1271" spans="1:7">
      <c r="A1271" s="67">
        <v>68.181959469157619</v>
      </c>
      <c r="B1271" s="67">
        <v>68.756142525775303</v>
      </c>
      <c r="C1271" s="67">
        <v>67.990565116951728</v>
      </c>
      <c r="D1271" s="67">
        <v>68.756142525775303</v>
      </c>
      <c r="E1271" s="67">
        <v>2778316.1512935087</v>
      </c>
      <c r="F1271" s="67" t="s">
        <v>1298</v>
      </c>
      <c r="G1271" s="25">
        <f t="shared" si="15"/>
        <v>-8.3510074231176734E-3</v>
      </c>
    </row>
    <row r="1272" spans="1:7">
      <c r="A1272" s="67">
        <v>68.528292106482581</v>
      </c>
      <c r="B1272" s="67">
        <v>68.924751836051939</v>
      </c>
      <c r="C1272" s="67">
        <v>68.031578192424419</v>
      </c>
      <c r="D1272" s="67">
        <v>68.181959469157619</v>
      </c>
      <c r="E1272" s="67">
        <v>3606295.7555689896</v>
      </c>
      <c r="F1272" s="67" t="s">
        <v>1299</v>
      </c>
      <c r="G1272" s="25">
        <f t="shared" ref="G1272:G1335" si="16">A1272/D1272-1</f>
        <v>5.079534821547993E-3</v>
      </c>
    </row>
    <row r="1273" spans="1:7">
      <c r="A1273" s="67">
        <v>68.373353821363523</v>
      </c>
      <c r="B1273" s="67">
        <v>68.929308844437784</v>
      </c>
      <c r="C1273" s="67">
        <v>68.191073485929323</v>
      </c>
      <c r="D1273" s="67">
        <v>68.555634156797709</v>
      </c>
      <c r="E1273" s="67">
        <v>3314355.3228654657</v>
      </c>
      <c r="F1273" s="67" t="s">
        <v>1300</v>
      </c>
      <c r="G1273" s="25">
        <f t="shared" si="16"/>
        <v>-2.6588673225206305E-3</v>
      </c>
    </row>
    <row r="1274" spans="1:7">
      <c r="A1274" s="67">
        <v>68.601204240656244</v>
      </c>
      <c r="B1274" s="67">
        <v>69.448807800425229</v>
      </c>
      <c r="C1274" s="67">
        <v>68.566570976923757</v>
      </c>
      <c r="D1274" s="67">
        <v>69.321211565621297</v>
      </c>
      <c r="E1274" s="67">
        <v>3477206.6799758859</v>
      </c>
      <c r="F1274" s="67" t="s">
        <v>1301</v>
      </c>
      <c r="G1274" s="25">
        <f t="shared" si="16"/>
        <v>-1.0386536944517744E-2</v>
      </c>
    </row>
    <row r="1275" spans="1:7">
      <c r="A1275" s="67">
        <v>69.20272934758907</v>
      </c>
      <c r="B1275" s="67">
        <v>69.430579766881806</v>
      </c>
      <c r="C1275" s="67">
        <v>68.801712609633853</v>
      </c>
      <c r="D1275" s="67">
        <v>69.075133112785139</v>
      </c>
      <c r="E1275" s="67">
        <v>3269564.9729873361</v>
      </c>
      <c r="F1275" s="67" t="s">
        <v>1302</v>
      </c>
      <c r="G1275" s="25">
        <f t="shared" si="16"/>
        <v>1.8472093943793233E-3</v>
      </c>
    </row>
    <row r="1276" spans="1:7">
      <c r="A1276" s="67">
        <v>68.974878928296349</v>
      </c>
      <c r="B1276" s="67">
        <v>69.102475163100266</v>
      </c>
      <c r="C1276" s="67">
        <v>68.017907167266856</v>
      </c>
      <c r="D1276" s="67">
        <v>68.154617418842491</v>
      </c>
      <c r="E1276" s="67">
        <v>3987922.2202905007</v>
      </c>
      <c r="F1276" s="67" t="s">
        <v>1303</v>
      </c>
      <c r="G1276" s="25">
        <f t="shared" si="16"/>
        <v>1.2035303557101029E-2</v>
      </c>
    </row>
    <row r="1277" spans="1:7">
      <c r="A1277" s="67">
        <v>67.954109049864897</v>
      </c>
      <c r="B1277" s="67">
        <v>68.136389385299083</v>
      </c>
      <c r="C1277" s="67">
        <v>67.03359335592225</v>
      </c>
      <c r="D1277" s="67">
        <v>67.261443775214971</v>
      </c>
      <c r="E1277" s="67">
        <v>3257218.0569327925</v>
      </c>
      <c r="F1277" s="67" t="s">
        <v>1304</v>
      </c>
      <c r="G1277" s="25">
        <f t="shared" si="16"/>
        <v>1.0298102981030066E-2</v>
      </c>
    </row>
    <row r="1278" spans="1:7">
      <c r="A1278" s="67">
        <v>67.31612787584524</v>
      </c>
      <c r="B1278" s="67">
        <v>67.680688546713611</v>
      </c>
      <c r="C1278" s="67">
        <v>67.027942665523796</v>
      </c>
      <c r="D1278" s="67">
        <v>67.525750261594553</v>
      </c>
      <c r="E1278" s="67">
        <v>1586115.1413361707</v>
      </c>
      <c r="F1278" s="67" t="s">
        <v>1305</v>
      </c>
      <c r="G1278" s="25">
        <f t="shared" si="16"/>
        <v>-3.1043325684977363E-3</v>
      </c>
    </row>
    <row r="1279" spans="1:7">
      <c r="A1279" s="67">
        <v>67.425496077105748</v>
      </c>
      <c r="B1279" s="67">
        <v>67.79005674797412</v>
      </c>
      <c r="C1279" s="67">
        <v>67.279671808758394</v>
      </c>
      <c r="D1279" s="67">
        <v>67.443724110649171</v>
      </c>
      <c r="E1279" s="67">
        <v>1946551.1688621426</v>
      </c>
      <c r="F1279" s="67" t="s">
        <v>1306</v>
      </c>
      <c r="G1279" s="25">
        <f t="shared" si="16"/>
        <v>-2.7027027027037853E-4</v>
      </c>
    </row>
    <row r="1280" spans="1:7">
      <c r="A1280" s="67">
        <v>67.307013859073521</v>
      </c>
      <c r="B1280" s="67">
        <v>67.735372647343866</v>
      </c>
      <c r="C1280" s="67">
        <v>67.206759674584717</v>
      </c>
      <c r="D1280" s="67">
        <v>67.626004446083357</v>
      </c>
      <c r="E1280" s="67">
        <v>2608823.375638864</v>
      </c>
      <c r="F1280" s="67" t="s">
        <v>1307</v>
      </c>
      <c r="G1280" s="25">
        <f t="shared" si="16"/>
        <v>-4.7169811320756372E-3</v>
      </c>
    </row>
    <row r="1281" spans="1:7">
      <c r="A1281" s="67">
        <v>67.443724110649171</v>
      </c>
      <c r="B1281" s="67">
        <v>68.277656645260578</v>
      </c>
      <c r="C1281" s="67">
        <v>67.389040010018903</v>
      </c>
      <c r="D1281" s="67">
        <v>68.181959469157619</v>
      </c>
      <c r="E1281" s="67">
        <v>2508476.8409650559</v>
      </c>
      <c r="F1281" s="67" t="s">
        <v>1308</v>
      </c>
      <c r="G1281" s="25">
        <f t="shared" si="16"/>
        <v>-1.0827429488036167E-2</v>
      </c>
    </row>
    <row r="1282" spans="1:7">
      <c r="A1282" s="67">
        <v>68.200187502701041</v>
      </c>
      <c r="B1282" s="67">
        <v>68.551077148411849</v>
      </c>
      <c r="C1282" s="67">
        <v>67.862968882147797</v>
      </c>
      <c r="D1282" s="67">
        <v>67.972337083408306</v>
      </c>
      <c r="E1282" s="67">
        <v>3281987.5966049978</v>
      </c>
      <c r="F1282" s="67" t="s">
        <v>1309</v>
      </c>
      <c r="G1282" s="25">
        <f t="shared" si="16"/>
        <v>3.3521051220166687E-3</v>
      </c>
    </row>
    <row r="1283" spans="1:7">
      <c r="A1283" s="67">
        <v>67.862968882147797</v>
      </c>
      <c r="B1283" s="67">
        <v>68.327783737504973</v>
      </c>
      <c r="C1283" s="67">
        <v>67.088277456552504</v>
      </c>
      <c r="D1283" s="67">
        <v>68.327783737504973</v>
      </c>
      <c r="E1283" s="67">
        <v>7667737.7001241986</v>
      </c>
      <c r="F1283" s="67" t="s">
        <v>1310</v>
      </c>
      <c r="G1283" s="25">
        <f t="shared" si="16"/>
        <v>-6.8027210884353817E-3</v>
      </c>
    </row>
    <row r="1284" spans="1:7">
      <c r="A1284" s="67">
        <v>68.49183603939575</v>
      </c>
      <c r="B1284" s="67">
        <v>69.603746085544287</v>
      </c>
      <c r="C1284" s="67">
        <v>68.327783737504973</v>
      </c>
      <c r="D1284" s="67">
        <v>69.48526386751206</v>
      </c>
      <c r="E1284" s="67">
        <v>5492074.5982577493</v>
      </c>
      <c r="F1284" s="67" t="s">
        <v>1311</v>
      </c>
      <c r="G1284" s="25">
        <f t="shared" si="16"/>
        <v>-1.4296956977964181E-2</v>
      </c>
    </row>
    <row r="1285" spans="1:7">
      <c r="A1285" s="67">
        <v>69.521719934598892</v>
      </c>
      <c r="B1285" s="67">
        <v>70.182486150547817</v>
      </c>
      <c r="C1285" s="67">
        <v>69.261970456605184</v>
      </c>
      <c r="D1285" s="67">
        <v>70.032104873814617</v>
      </c>
      <c r="E1285" s="67">
        <v>4879421.5672327951</v>
      </c>
      <c r="F1285" s="67" t="s">
        <v>1312</v>
      </c>
      <c r="G1285" s="25">
        <f t="shared" si="16"/>
        <v>-7.2878709005727016E-3</v>
      </c>
    </row>
    <row r="1286" spans="1:7">
      <c r="A1286" s="67">
        <v>70.369323494367862</v>
      </c>
      <c r="B1286" s="67">
        <v>71.071102785789492</v>
      </c>
      <c r="C1286" s="67">
        <v>70.013876840271195</v>
      </c>
      <c r="D1286" s="67">
        <v>70.724770148464529</v>
      </c>
      <c r="E1286" s="67">
        <v>3678077.4975151699</v>
      </c>
      <c r="F1286" s="67" t="s">
        <v>1313</v>
      </c>
      <c r="G1286" s="25">
        <f t="shared" si="16"/>
        <v>-5.0257731958763818E-3</v>
      </c>
    </row>
    <row r="1287" spans="1:7">
      <c r="A1287" s="67">
        <v>70.496919729171793</v>
      </c>
      <c r="B1287" s="67">
        <v>71.089330819332901</v>
      </c>
      <c r="C1287" s="67">
        <v>69.621974119087696</v>
      </c>
      <c r="D1287" s="67">
        <v>70.214385209248817</v>
      </c>
      <c r="E1287" s="67">
        <v>8236328.9294146495</v>
      </c>
      <c r="F1287" s="67" t="s">
        <v>1314</v>
      </c>
      <c r="G1287" s="25">
        <f t="shared" si="16"/>
        <v>4.0238836967807501E-3</v>
      </c>
    </row>
    <row r="1288" spans="1:7">
      <c r="A1288" s="67">
        <v>70.52426177948692</v>
      </c>
      <c r="B1288" s="67">
        <v>73.358720995488525</v>
      </c>
      <c r="C1288" s="67">
        <v>70.460463662084962</v>
      </c>
      <c r="D1288" s="67">
        <v>72.228582915796579</v>
      </c>
      <c r="E1288" s="67">
        <v>8039826.1091039386</v>
      </c>
      <c r="F1288" s="67" t="s">
        <v>1315</v>
      </c>
      <c r="G1288" s="25">
        <f t="shared" si="16"/>
        <v>-2.3596214511041214E-2</v>
      </c>
    </row>
    <row r="1289" spans="1:7">
      <c r="A1289" s="67">
        <v>74.652911377071263</v>
      </c>
      <c r="B1289" s="67">
        <v>78.088895700005693</v>
      </c>
      <c r="C1289" s="67">
        <v>74.115184387540396</v>
      </c>
      <c r="D1289" s="67">
        <v>74.908103846679126</v>
      </c>
      <c r="E1289" s="67">
        <v>5007454.0285754297</v>
      </c>
      <c r="F1289" s="67" t="s">
        <v>1316</v>
      </c>
      <c r="G1289" s="25">
        <f t="shared" si="16"/>
        <v>-3.4067404793770573E-3</v>
      </c>
    </row>
    <row r="1290" spans="1:7">
      <c r="A1290" s="67">
        <v>74.835191712505448</v>
      </c>
      <c r="B1290" s="67">
        <v>75.778492448377364</v>
      </c>
      <c r="C1290" s="67">
        <v>73.495431247064175</v>
      </c>
      <c r="D1290" s="67">
        <v>73.705053632813488</v>
      </c>
      <c r="E1290" s="67">
        <v>2524230.5973598966</v>
      </c>
      <c r="F1290" s="67" t="s">
        <v>1317</v>
      </c>
      <c r="G1290" s="25">
        <f t="shared" si="16"/>
        <v>1.5333250896500505E-2</v>
      </c>
    </row>
    <row r="1291" spans="1:7">
      <c r="A1291" s="67">
        <v>73.613913465096388</v>
      </c>
      <c r="B1291" s="67">
        <v>73.914676018562801</v>
      </c>
      <c r="C1291" s="67">
        <v>73.103528525880662</v>
      </c>
      <c r="D1291" s="67">
        <v>73.513659280607584</v>
      </c>
      <c r="E1291" s="67">
        <v>2074230.3282435611</v>
      </c>
      <c r="F1291" s="67" t="s">
        <v>1318</v>
      </c>
      <c r="G1291" s="25">
        <f t="shared" si="16"/>
        <v>1.3637490701710053E-3</v>
      </c>
    </row>
    <row r="1292" spans="1:7">
      <c r="A1292" s="67">
        <v>73.951132085649647</v>
      </c>
      <c r="B1292" s="67">
        <v>74.115184387540396</v>
      </c>
      <c r="C1292" s="67">
        <v>73.349606978716821</v>
      </c>
      <c r="D1292" s="67">
        <v>73.695939616041784</v>
      </c>
      <c r="E1292" s="67">
        <v>2004287.5120333992</v>
      </c>
      <c r="F1292" s="67" t="s">
        <v>1319</v>
      </c>
      <c r="G1292" s="25">
        <f t="shared" si="16"/>
        <v>3.4627751669551454E-3</v>
      </c>
    </row>
    <row r="1293" spans="1:7">
      <c r="A1293" s="67">
        <v>73.376949029031962</v>
      </c>
      <c r="B1293" s="67">
        <v>73.568343381237852</v>
      </c>
      <c r="C1293" s="67">
        <v>72.966818274305027</v>
      </c>
      <c r="D1293" s="67">
        <v>73.203782710369467</v>
      </c>
      <c r="E1293" s="67">
        <v>959617.50116021361</v>
      </c>
      <c r="F1293" s="67" t="s">
        <v>1320</v>
      </c>
      <c r="G1293" s="25">
        <f t="shared" si="16"/>
        <v>2.3655378486058254E-3</v>
      </c>
    </row>
    <row r="1294" spans="1:7">
      <c r="A1294" s="67">
        <v>73.158212626510917</v>
      </c>
      <c r="B1294" s="67">
        <v>73.632141498639825</v>
      </c>
      <c r="C1294" s="67">
        <v>72.49471220553049</v>
      </c>
      <c r="D1294" s="67">
        <v>73.632141498639825</v>
      </c>
      <c r="E1294" s="67">
        <v>1941934.1047230223</v>
      </c>
      <c r="F1294" s="67" t="s">
        <v>1321</v>
      </c>
      <c r="G1294" s="25">
        <f t="shared" si="16"/>
        <v>-6.4364401534846571E-3</v>
      </c>
    </row>
    <row r="1295" spans="1:7">
      <c r="A1295" s="67">
        <v>73.40429107934709</v>
      </c>
      <c r="B1295" s="67">
        <v>74.425060957778527</v>
      </c>
      <c r="C1295" s="67">
        <v>73.149098609739227</v>
      </c>
      <c r="D1295" s="67">
        <v>73.449861163205625</v>
      </c>
      <c r="E1295" s="67">
        <v>2313021.8572163372</v>
      </c>
      <c r="F1295" s="67" t="s">
        <v>1322</v>
      </c>
      <c r="G1295" s="25">
        <f t="shared" si="16"/>
        <v>-6.2042437026910147E-4</v>
      </c>
    </row>
    <row r="1296" spans="1:7">
      <c r="A1296" s="67">
        <v>73.158212626510917</v>
      </c>
      <c r="B1296" s="67">
        <v>74.197210538485791</v>
      </c>
      <c r="C1296" s="67">
        <v>72.693397771153755</v>
      </c>
      <c r="D1296" s="67">
        <v>73.914676018562801</v>
      </c>
      <c r="E1296" s="67">
        <v>3410807.8554884805</v>
      </c>
      <c r="F1296" s="67" t="s">
        <v>1323</v>
      </c>
      <c r="G1296" s="25">
        <f t="shared" si="16"/>
        <v>-1.0234278668310837E-2</v>
      </c>
    </row>
    <row r="1297" spans="1:7">
      <c r="A1297" s="67">
        <v>74.20632455525751</v>
      </c>
      <c r="B1297" s="67">
        <v>74.570885226125867</v>
      </c>
      <c r="C1297" s="67">
        <v>73.951132085649647</v>
      </c>
      <c r="D1297" s="67">
        <v>74.115184387540396</v>
      </c>
      <c r="E1297" s="67">
        <v>1740050.5613756569</v>
      </c>
      <c r="F1297" s="67" t="s">
        <v>1324</v>
      </c>
      <c r="G1297" s="25">
        <f t="shared" si="16"/>
        <v>1.2297097884901298E-3</v>
      </c>
    </row>
    <row r="1298" spans="1:7">
      <c r="A1298" s="67">
        <v>73.87821995147597</v>
      </c>
      <c r="B1298" s="67">
        <v>74.178982504942368</v>
      </c>
      <c r="C1298" s="67">
        <v>73.513659280607584</v>
      </c>
      <c r="D1298" s="67">
        <v>73.668597565726643</v>
      </c>
      <c r="E1298" s="67">
        <v>1797087.9811018994</v>
      </c>
      <c r="F1298" s="67" t="s">
        <v>1325</v>
      </c>
      <c r="G1298" s="25">
        <f t="shared" si="16"/>
        <v>2.8454781640481208E-3</v>
      </c>
    </row>
    <row r="1299" spans="1:7">
      <c r="A1299" s="67">
        <v>73.823535850845715</v>
      </c>
      <c r="B1299" s="67">
        <v>74.033158236595028</v>
      </c>
      <c r="C1299" s="67">
        <v>73.340492961945117</v>
      </c>
      <c r="D1299" s="67">
        <v>73.887333968247674</v>
      </c>
      <c r="E1299" s="67">
        <v>1921385.5359973938</v>
      </c>
      <c r="F1299" s="67" t="s">
        <v>1326</v>
      </c>
      <c r="G1299" s="25">
        <f t="shared" si="16"/>
        <v>-8.6345133834953014E-4</v>
      </c>
    </row>
    <row r="1300" spans="1:7">
      <c r="A1300" s="67">
        <v>73.905562001791097</v>
      </c>
      <c r="B1300" s="67">
        <v>74.178982504942368</v>
      </c>
      <c r="C1300" s="67">
        <v>73.568343381237852</v>
      </c>
      <c r="D1300" s="67">
        <v>73.568343381237852</v>
      </c>
      <c r="E1300" s="67">
        <v>2182777.4183773943</v>
      </c>
      <c r="F1300" s="67" t="s">
        <v>1327</v>
      </c>
      <c r="G1300" s="25">
        <f t="shared" si="16"/>
        <v>4.5837462834490417E-3</v>
      </c>
    </row>
    <row r="1301" spans="1:7">
      <c r="A1301" s="67">
        <v>73.650369532183234</v>
      </c>
      <c r="B1301" s="67">
        <v>73.914676018562801</v>
      </c>
      <c r="C1301" s="67">
        <v>73.158212626510917</v>
      </c>
      <c r="D1301" s="67">
        <v>73.258466810999721</v>
      </c>
      <c r="E1301" s="67">
        <v>2550879.6595773282</v>
      </c>
      <c r="F1301" s="67" t="s">
        <v>1328</v>
      </c>
      <c r="G1301" s="25">
        <f t="shared" si="16"/>
        <v>5.3495894501121022E-3</v>
      </c>
    </row>
    <row r="1302" spans="1:7">
      <c r="A1302" s="67">
        <v>73.304036894858285</v>
      </c>
      <c r="B1302" s="67">
        <v>74.3977189074634</v>
      </c>
      <c r="C1302" s="67">
        <v>73.121756559424099</v>
      </c>
      <c r="D1302" s="67">
        <v>74.279236689431173</v>
      </c>
      <c r="E1302" s="67">
        <v>2678580.7631799406</v>
      </c>
      <c r="F1302" s="67" t="s">
        <v>1329</v>
      </c>
      <c r="G1302" s="25">
        <f t="shared" si="16"/>
        <v>-1.3128834355828012E-2</v>
      </c>
    </row>
    <row r="1303" spans="1:7">
      <c r="A1303" s="67">
        <v>74.124298404312114</v>
      </c>
      <c r="B1303" s="67">
        <v>74.525315142267331</v>
      </c>
      <c r="C1303" s="67">
        <v>73.650369532183234</v>
      </c>
      <c r="D1303" s="67">
        <v>74.279236689431173</v>
      </c>
      <c r="E1303" s="67">
        <v>2085284.7296698056</v>
      </c>
      <c r="F1303" s="67" t="s">
        <v>1330</v>
      </c>
      <c r="G1303" s="25">
        <f t="shared" si="16"/>
        <v>-2.085889570552113E-3</v>
      </c>
    </row>
    <row r="1304" spans="1:7">
      <c r="A1304" s="67">
        <v>74.598227276440994</v>
      </c>
      <c r="B1304" s="67">
        <v>74.616455309984431</v>
      </c>
      <c r="C1304" s="67">
        <v>73.585751153271801</v>
      </c>
      <c r="D1304" s="67">
        <v>73.969360119193055</v>
      </c>
      <c r="E1304" s="67">
        <v>1839300.9822008477</v>
      </c>
      <c r="F1304" s="67" t="s">
        <v>1331</v>
      </c>
      <c r="G1304" s="25">
        <f t="shared" si="16"/>
        <v>8.5017249876786494E-3</v>
      </c>
    </row>
    <row r="1305" spans="1:7">
      <c r="A1305" s="67">
        <v>73.887333968247674</v>
      </c>
      <c r="B1305" s="67">
        <v>74.479745058408781</v>
      </c>
      <c r="C1305" s="67">
        <v>73.112642542652381</v>
      </c>
      <c r="D1305" s="67">
        <v>74.279236689431173</v>
      </c>
      <c r="E1305" s="67">
        <v>3634625.745129846</v>
      </c>
      <c r="F1305" s="67" t="s">
        <v>1332</v>
      </c>
      <c r="G1305" s="25">
        <f t="shared" si="16"/>
        <v>-5.2760736196318936E-3</v>
      </c>
    </row>
    <row r="1306" spans="1:7">
      <c r="A1306" s="67">
        <v>74.516201125495627</v>
      </c>
      <c r="B1306" s="67">
        <v>74.570885226125867</v>
      </c>
      <c r="C1306" s="67">
        <v>74.078728320453578</v>
      </c>
      <c r="D1306" s="67">
        <v>74.251894639116045</v>
      </c>
      <c r="E1306" s="67">
        <v>3101102.4785177284</v>
      </c>
      <c r="F1306" s="67" t="s">
        <v>1333</v>
      </c>
      <c r="G1306" s="25">
        <f t="shared" si="16"/>
        <v>3.5595924880325036E-3</v>
      </c>
    </row>
    <row r="1307" spans="1:7">
      <c r="A1307" s="67">
        <v>74.251894639116045</v>
      </c>
      <c r="B1307" s="67">
        <v>74.388604890691695</v>
      </c>
      <c r="C1307" s="67">
        <v>73.234770367393281</v>
      </c>
      <c r="D1307" s="67">
        <v>73.322264928401694</v>
      </c>
      <c r="E1307" s="67">
        <v>5281102.8557030801</v>
      </c>
      <c r="F1307" s="67" t="s">
        <v>1334</v>
      </c>
      <c r="G1307" s="25">
        <f t="shared" si="16"/>
        <v>1.2678682411435549E-2</v>
      </c>
    </row>
    <row r="1308" spans="1:7">
      <c r="A1308" s="67">
        <v>73.367835012260244</v>
      </c>
      <c r="B1308" s="67">
        <v>74.725823511244926</v>
      </c>
      <c r="C1308" s="67">
        <v>73.167326643282635</v>
      </c>
      <c r="D1308" s="67">
        <v>74.68025342738639</v>
      </c>
      <c r="E1308" s="67">
        <v>3444126.8637376879</v>
      </c>
      <c r="F1308" s="67" t="s">
        <v>1335</v>
      </c>
      <c r="G1308" s="25">
        <f t="shared" si="16"/>
        <v>-1.7573834513058384E-2</v>
      </c>
    </row>
    <row r="1309" spans="1:7">
      <c r="A1309" s="67">
        <v>74.607341293212713</v>
      </c>
      <c r="B1309" s="67">
        <v>74.77139359510349</v>
      </c>
      <c r="C1309" s="67">
        <v>74.087842337225283</v>
      </c>
      <c r="D1309" s="67">
        <v>74.361262840376568</v>
      </c>
      <c r="E1309" s="67">
        <v>1909816.5425841608</v>
      </c>
      <c r="F1309" s="67" t="s">
        <v>1336</v>
      </c>
      <c r="G1309" s="25">
        <f t="shared" si="16"/>
        <v>3.3092290721901119E-3</v>
      </c>
    </row>
    <row r="1310" spans="1:7">
      <c r="A1310" s="67">
        <v>74.415946941006823</v>
      </c>
      <c r="B1310" s="67">
        <v>75.126840249200157</v>
      </c>
      <c r="C1310" s="67">
        <v>74.028601228209169</v>
      </c>
      <c r="D1310" s="67">
        <v>75.126840249200157</v>
      </c>
      <c r="E1310" s="67">
        <v>2512953.4620885374</v>
      </c>
      <c r="F1310" s="67" t="s">
        <v>1337</v>
      </c>
      <c r="G1310" s="25">
        <f t="shared" si="16"/>
        <v>-9.4625743054713718E-3</v>
      </c>
    </row>
    <row r="1311" spans="1:7">
      <c r="A1311" s="67">
        <v>74.908103846679126</v>
      </c>
      <c r="B1311" s="67">
        <v>75.217980416917243</v>
      </c>
      <c r="C1311" s="67">
        <v>74.343034806833131</v>
      </c>
      <c r="D1311" s="67">
        <v>74.370376857148258</v>
      </c>
      <c r="E1311" s="67">
        <v>7020271.2593867565</v>
      </c>
      <c r="F1311" s="67" t="s">
        <v>1338</v>
      </c>
      <c r="G1311" s="25">
        <f t="shared" si="16"/>
        <v>7.2303921568630525E-3</v>
      </c>
    </row>
    <row r="1312" spans="1:7">
      <c r="A1312" s="67">
        <v>74.188096521714087</v>
      </c>
      <c r="B1312" s="67">
        <v>74.534429159039036</v>
      </c>
      <c r="C1312" s="67">
        <v>73.805307817302293</v>
      </c>
      <c r="D1312" s="67">
        <v>74.042272253366733</v>
      </c>
      <c r="E1312" s="67">
        <v>2164433.1466706567</v>
      </c>
      <c r="F1312" s="67" t="s">
        <v>1339</v>
      </c>
      <c r="G1312" s="25">
        <f t="shared" si="16"/>
        <v>1.969473165928104E-3</v>
      </c>
    </row>
    <row r="1313" spans="1:7">
      <c r="A1313" s="67">
        <v>73.759737733443743</v>
      </c>
      <c r="B1313" s="67">
        <v>74.3977189074634</v>
      </c>
      <c r="C1313" s="67">
        <v>73.74150969990032</v>
      </c>
      <c r="D1313" s="67">
        <v>74.087842337225283</v>
      </c>
      <c r="E1313" s="67">
        <v>3409287.1209597681</v>
      </c>
      <c r="F1313" s="67" t="s">
        <v>1340</v>
      </c>
      <c r="G1313" s="25">
        <f t="shared" si="16"/>
        <v>-4.4285890023373353E-3</v>
      </c>
    </row>
    <row r="1314" spans="1:7">
      <c r="A1314" s="67">
        <v>74.124298404312114</v>
      </c>
      <c r="B1314" s="67">
        <v>74.44328899132195</v>
      </c>
      <c r="C1314" s="67">
        <v>73.951132085649647</v>
      </c>
      <c r="D1314" s="67">
        <v>74.297464722974595</v>
      </c>
      <c r="E1314" s="67">
        <v>2125662.0966659146</v>
      </c>
      <c r="F1314" s="67" t="s">
        <v>1341</v>
      </c>
      <c r="G1314" s="25">
        <f t="shared" si="16"/>
        <v>-2.3307163886163718E-3</v>
      </c>
    </row>
    <row r="1315" spans="1:7">
      <c r="A1315" s="67">
        <v>74.288350706202891</v>
      </c>
      <c r="B1315" s="67">
        <v>74.479745058408781</v>
      </c>
      <c r="C1315" s="67">
        <v>73.285808861314848</v>
      </c>
      <c r="D1315" s="67">
        <v>73.951132085649647</v>
      </c>
      <c r="E1315" s="67">
        <v>2240867.0635098666</v>
      </c>
      <c r="F1315" s="67" t="s">
        <v>1342</v>
      </c>
      <c r="G1315" s="25">
        <f t="shared" si="16"/>
        <v>4.5600197190041047E-3</v>
      </c>
    </row>
    <row r="1316" spans="1:7">
      <c r="A1316" s="67">
        <v>73.659483548954938</v>
      </c>
      <c r="B1316" s="67">
        <v>74.233666605572637</v>
      </c>
      <c r="C1316" s="67">
        <v>73.167326643282635</v>
      </c>
      <c r="D1316" s="67">
        <v>73.468089196749048</v>
      </c>
      <c r="E1316" s="67">
        <v>4730447.7356051682</v>
      </c>
      <c r="F1316" s="67" t="s">
        <v>1343</v>
      </c>
      <c r="G1316" s="25">
        <f t="shared" si="16"/>
        <v>2.6051358392258361E-3</v>
      </c>
    </row>
    <row r="1317" spans="1:7">
      <c r="A1317" s="67">
        <v>73.960246102421351</v>
      </c>
      <c r="B1317" s="67">
        <v>74.693924452543953</v>
      </c>
      <c r="C1317" s="67">
        <v>73.613913465096388</v>
      </c>
      <c r="D1317" s="67">
        <v>74.279236689431173</v>
      </c>
      <c r="E1317" s="67">
        <v>2927682.7844805</v>
      </c>
      <c r="F1317" s="67" t="s">
        <v>1344</v>
      </c>
      <c r="G1317" s="25">
        <f t="shared" si="16"/>
        <v>-4.2944785276073372E-3</v>
      </c>
    </row>
    <row r="1318" spans="1:7">
      <c r="A1318" s="67">
        <v>74.525315142267331</v>
      </c>
      <c r="B1318" s="67">
        <v>75.172410333058693</v>
      </c>
      <c r="C1318" s="67">
        <v>74.333920790061441</v>
      </c>
      <c r="D1318" s="67">
        <v>74.798735645418603</v>
      </c>
      <c r="E1318" s="67">
        <v>2096986.4856212595</v>
      </c>
      <c r="F1318" s="67" t="s">
        <v>1345</v>
      </c>
      <c r="G1318" s="25">
        <f t="shared" si="16"/>
        <v>-3.6554161082001935E-3</v>
      </c>
    </row>
    <row r="1319" spans="1:7">
      <c r="A1319" s="67">
        <v>74.689367444158094</v>
      </c>
      <c r="B1319" s="67">
        <v>75.555199037470487</v>
      </c>
      <c r="C1319" s="67">
        <v>74.324806773289723</v>
      </c>
      <c r="D1319" s="67">
        <v>75.43671681943826</v>
      </c>
      <c r="E1319" s="67">
        <v>2508524.0210406221</v>
      </c>
      <c r="F1319" s="67" t="s">
        <v>1346</v>
      </c>
      <c r="G1319" s="25">
        <f t="shared" si="16"/>
        <v>-9.906971124803654E-3</v>
      </c>
    </row>
    <row r="1320" spans="1:7">
      <c r="A1320" s="67">
        <v>75.43671681943826</v>
      </c>
      <c r="B1320" s="67">
        <v>75.48228690329681</v>
      </c>
      <c r="C1320" s="67">
        <v>74.388604890691695</v>
      </c>
      <c r="D1320" s="67">
        <v>75.008358031167916</v>
      </c>
      <c r="E1320" s="67">
        <v>3285607.2958908719</v>
      </c>
      <c r="F1320" s="67" t="s">
        <v>1347</v>
      </c>
      <c r="G1320" s="25">
        <f t="shared" si="16"/>
        <v>5.7108140947752517E-3</v>
      </c>
    </row>
    <row r="1321" spans="1:7">
      <c r="A1321" s="67">
        <v>74.953673930537661</v>
      </c>
      <c r="B1321" s="67">
        <v>77.013441720943973</v>
      </c>
      <c r="C1321" s="67">
        <v>74.839748720891293</v>
      </c>
      <c r="D1321" s="67">
        <v>76.785591301651252</v>
      </c>
      <c r="E1321" s="67">
        <v>6700838.0091609098</v>
      </c>
      <c r="F1321" s="67" t="s">
        <v>1348</v>
      </c>
      <c r="G1321" s="25">
        <f t="shared" si="16"/>
        <v>-2.3857566765578819E-2</v>
      </c>
    </row>
    <row r="1322" spans="1:7">
      <c r="A1322" s="67">
        <v>76.639767033303897</v>
      </c>
      <c r="B1322" s="67">
        <v>76.713408288819309</v>
      </c>
      <c r="C1322" s="67">
        <v>74.999244014396226</v>
      </c>
      <c r="D1322" s="67">
        <v>75.044814098254761</v>
      </c>
      <c r="E1322" s="67">
        <v>3791577.3983723843</v>
      </c>
      <c r="F1322" s="67" t="s">
        <v>1349</v>
      </c>
      <c r="G1322" s="25">
        <f t="shared" si="16"/>
        <v>2.1253339810541672E-2</v>
      </c>
    </row>
    <row r="1323" spans="1:7">
      <c r="A1323" s="67">
        <v>75.053928115026466</v>
      </c>
      <c r="B1323" s="67">
        <v>75.081270165341593</v>
      </c>
      <c r="C1323" s="67">
        <v>73.978474135964774</v>
      </c>
      <c r="D1323" s="67">
        <v>74.16075447139896</v>
      </c>
      <c r="E1323" s="67">
        <v>1873200.4151006243</v>
      </c>
      <c r="F1323" s="67" t="s">
        <v>1350</v>
      </c>
      <c r="G1323" s="25">
        <f t="shared" si="16"/>
        <v>1.2043750768096162E-2</v>
      </c>
    </row>
    <row r="1324" spans="1:7">
      <c r="A1324" s="67">
        <v>73.905562001791097</v>
      </c>
      <c r="B1324" s="67">
        <v>74.452403008093654</v>
      </c>
      <c r="C1324" s="67">
        <v>73.144541601353353</v>
      </c>
      <c r="D1324" s="67">
        <v>74.388604890691695</v>
      </c>
      <c r="E1324" s="67">
        <v>2731512.4191208724</v>
      </c>
      <c r="F1324" s="67" t="s">
        <v>1351</v>
      </c>
      <c r="G1324" s="25">
        <f t="shared" si="16"/>
        <v>-6.4935064935065512E-3</v>
      </c>
    </row>
    <row r="1325" spans="1:7">
      <c r="A1325" s="67">
        <v>74.060500286910155</v>
      </c>
      <c r="B1325" s="67">
        <v>75.10861221565672</v>
      </c>
      <c r="C1325" s="67">
        <v>73.960246102421351</v>
      </c>
      <c r="D1325" s="67">
        <v>75.017472047939634</v>
      </c>
      <c r="E1325" s="67">
        <v>3020588.0337475799</v>
      </c>
      <c r="F1325" s="67" t="s">
        <v>1352</v>
      </c>
      <c r="G1325" s="25">
        <f t="shared" si="16"/>
        <v>-1.2756651682663045E-2</v>
      </c>
    </row>
    <row r="1326" spans="1:7">
      <c r="A1326" s="67">
        <v>74.96278794730938</v>
      </c>
      <c r="B1326" s="67">
        <v>75.135954265971847</v>
      </c>
      <c r="C1326" s="67">
        <v>74.671139410614686</v>
      </c>
      <c r="D1326" s="67">
        <v>74.853419746048857</v>
      </c>
      <c r="E1326" s="67">
        <v>2126695.6694841301</v>
      </c>
      <c r="F1326" s="67" t="s">
        <v>1353</v>
      </c>
      <c r="G1326" s="25">
        <f t="shared" si="16"/>
        <v>1.4610982588580956E-3</v>
      </c>
    </row>
    <row r="1327" spans="1:7">
      <c r="A1327" s="67">
        <v>74.452403008093654</v>
      </c>
      <c r="B1327" s="67">
        <v>74.616455309984431</v>
      </c>
      <c r="C1327" s="67">
        <v>73.513659280607584</v>
      </c>
      <c r="D1327" s="67">
        <v>73.942018068877928</v>
      </c>
      <c r="E1327" s="67">
        <v>2630201.435925608</v>
      </c>
      <c r="F1327" s="67" t="s">
        <v>1354</v>
      </c>
      <c r="G1327" s="25">
        <f t="shared" si="16"/>
        <v>6.90250215703192E-3</v>
      </c>
    </row>
    <row r="1328" spans="1:7">
      <c r="A1328" s="67">
        <v>74.115184387540367</v>
      </c>
      <c r="B1328" s="67">
        <v>74.869052071874435</v>
      </c>
      <c r="C1328" s="67">
        <v>73.84270209199795</v>
      </c>
      <c r="D1328" s="67">
        <v>74.741893667287968</v>
      </c>
      <c r="E1328" s="67">
        <v>2709619.7150358954</v>
      </c>
      <c r="F1328" s="67" t="s">
        <v>1355</v>
      </c>
      <c r="G1328" s="25">
        <f t="shared" si="16"/>
        <v>-8.3849799489612575E-3</v>
      </c>
    </row>
    <row r="1329" spans="1:7">
      <c r="A1329" s="67">
        <v>74.605652519516738</v>
      </c>
      <c r="B1329" s="67">
        <v>75.186948083340596</v>
      </c>
      <c r="C1329" s="67">
        <v>74.492118229707401</v>
      </c>
      <c r="D1329" s="67">
        <v>74.896300301428667</v>
      </c>
      <c r="E1329" s="67">
        <v>3694443.3325329674</v>
      </c>
      <c r="F1329" s="67" t="s">
        <v>1356</v>
      </c>
      <c r="G1329" s="25">
        <f t="shared" si="16"/>
        <v>-3.8806694154742694E-3</v>
      </c>
    </row>
    <row r="1330" spans="1:7">
      <c r="A1330" s="67">
        <v>74.587487033147255</v>
      </c>
      <c r="B1330" s="67">
        <v>75.059789678754129</v>
      </c>
      <c r="C1330" s="67">
        <v>74.369501196713301</v>
      </c>
      <c r="D1330" s="67">
        <v>74.741893667287968</v>
      </c>
      <c r="E1330" s="67">
        <v>3982621.6886484865</v>
      </c>
      <c r="F1330" s="67" t="s">
        <v>1357</v>
      </c>
      <c r="G1330" s="25">
        <f t="shared" si="16"/>
        <v>-2.0658646251063839E-3</v>
      </c>
    </row>
    <row r="1331" spans="1:7">
      <c r="A1331" s="67">
        <v>74.305921994420075</v>
      </c>
      <c r="B1331" s="67">
        <v>74.959879503721908</v>
      </c>
      <c r="C1331" s="67">
        <v>73.742791916965714</v>
      </c>
      <c r="D1331" s="67">
        <v>74.950796760537145</v>
      </c>
      <c r="E1331" s="67">
        <v>5558401.132025728</v>
      </c>
      <c r="F1331" s="67" t="s">
        <v>1358</v>
      </c>
      <c r="G1331" s="25">
        <f t="shared" si="16"/>
        <v>-8.6039747939892219E-3</v>
      </c>
    </row>
    <row r="1332" spans="1:7">
      <c r="A1332" s="67">
        <v>74.859969328689672</v>
      </c>
      <c r="B1332" s="67">
        <v>75.132451624232104</v>
      </c>
      <c r="C1332" s="67">
        <v>74.006191469323412</v>
      </c>
      <c r="D1332" s="67">
        <v>74.2332600489421</v>
      </c>
      <c r="E1332" s="67">
        <v>3297260.4631485292</v>
      </c>
      <c r="F1332" s="67" t="s">
        <v>1359</v>
      </c>
      <c r="G1332" s="25">
        <f t="shared" si="16"/>
        <v>8.4424323993637085E-3</v>
      </c>
    </row>
    <row r="1333" spans="1:7">
      <c r="A1333" s="67">
        <v>74.796390126396432</v>
      </c>
      <c r="B1333" s="67">
        <v>75.250527285633822</v>
      </c>
      <c r="C1333" s="67">
        <v>74.696479951364211</v>
      </c>
      <c r="D1333" s="67">
        <v>74.978044990091391</v>
      </c>
      <c r="E1333" s="67">
        <v>2565908.72668692</v>
      </c>
      <c r="F1333" s="67" t="s">
        <v>1360</v>
      </c>
      <c r="G1333" s="25">
        <f t="shared" si="16"/>
        <v>-2.4227740763175243E-3</v>
      </c>
    </row>
    <row r="1334" spans="1:7">
      <c r="A1334" s="67">
        <v>75.177865340155833</v>
      </c>
      <c r="B1334" s="67">
        <v>75.86815382219666</v>
      </c>
      <c r="C1334" s="67">
        <v>75.150617110601601</v>
      </c>
      <c r="D1334" s="67">
        <v>75.595671526654229</v>
      </c>
      <c r="E1334" s="67">
        <v>1845744.1390781628</v>
      </c>
      <c r="F1334" s="67" t="s">
        <v>1361</v>
      </c>
      <c r="G1334" s="25">
        <f t="shared" si="16"/>
        <v>-5.5268532980897733E-3</v>
      </c>
    </row>
    <row r="1335" spans="1:7">
      <c r="A1335" s="67">
        <v>75.44126489251353</v>
      </c>
      <c r="B1335" s="67">
        <v>76.190591205255203</v>
      </c>
      <c r="C1335" s="67">
        <v>75.423099406144033</v>
      </c>
      <c r="D1335" s="67">
        <v>75.450347635698265</v>
      </c>
      <c r="E1335" s="67">
        <v>1757367.7550196603</v>
      </c>
      <c r="F1335" s="67" t="s">
        <v>1362</v>
      </c>
      <c r="G1335" s="25">
        <f t="shared" si="16"/>
        <v>-1.2038040207040801E-4</v>
      </c>
    </row>
    <row r="1336" spans="1:7">
      <c r="A1336" s="67">
        <v>75.350437460666043</v>
      </c>
      <c r="B1336" s="67">
        <v>75.768243647164439</v>
      </c>
      <c r="C1336" s="67">
        <v>74.87813481505917</v>
      </c>
      <c r="D1336" s="67">
        <v>74.94171401735241</v>
      </c>
      <c r="E1336" s="67">
        <v>2147251.067579533</v>
      </c>
      <c r="F1336" s="67" t="s">
        <v>1363</v>
      </c>
      <c r="G1336" s="25">
        <f t="shared" ref="G1336:G1399" si="17">A1336/D1336-1</f>
        <v>5.4538843776510415E-3</v>
      </c>
    </row>
    <row r="1337" spans="1:7">
      <c r="A1337" s="67">
        <v>74.914465787798164</v>
      </c>
      <c r="B1337" s="67">
        <v>75.277775515188068</v>
      </c>
      <c r="C1337" s="67">
        <v>74.505742344484517</v>
      </c>
      <c r="D1337" s="67">
        <v>75.114286137862607</v>
      </c>
      <c r="E1337" s="67">
        <v>1943866.4774369751</v>
      </c>
      <c r="F1337" s="67" t="s">
        <v>1364</v>
      </c>
      <c r="G1337" s="25">
        <f t="shared" si="17"/>
        <v>-2.6602176541716815E-3</v>
      </c>
    </row>
    <row r="1338" spans="1:7">
      <c r="A1338" s="67">
        <v>75.323189231111812</v>
      </c>
      <c r="B1338" s="67">
        <v>75.750078160794942</v>
      </c>
      <c r="C1338" s="67">
        <v>74.55115606040826</v>
      </c>
      <c r="D1338" s="67">
        <v>74.94171401735241</v>
      </c>
      <c r="E1338" s="67">
        <v>2323950.988226315</v>
      </c>
      <c r="F1338" s="67" t="s">
        <v>1365</v>
      </c>
      <c r="G1338" s="25">
        <f t="shared" si="17"/>
        <v>5.0902920858078016E-3</v>
      </c>
    </row>
    <row r="1339" spans="1:7">
      <c r="A1339" s="67">
        <v>75.250527285633822</v>
      </c>
      <c r="B1339" s="67">
        <v>76.458532129205253</v>
      </c>
      <c r="C1339" s="67">
        <v>75.186948083340596</v>
      </c>
      <c r="D1339" s="67">
        <v>76.158801604108575</v>
      </c>
      <c r="E1339" s="67">
        <v>2612279.0788408001</v>
      </c>
      <c r="F1339" s="67" t="s">
        <v>1366</v>
      </c>
      <c r="G1339" s="25">
        <f t="shared" si="17"/>
        <v>-1.1926058437686238E-2</v>
      </c>
    </row>
    <row r="1340" spans="1:7">
      <c r="A1340" s="67">
        <v>76.167884347293324</v>
      </c>
      <c r="B1340" s="67">
        <v>76.640186992900198</v>
      </c>
      <c r="C1340" s="67">
        <v>75.845446964234782</v>
      </c>
      <c r="D1340" s="67">
        <v>76.040725942706857</v>
      </c>
      <c r="E1340" s="67">
        <v>2414973.0487628612</v>
      </c>
      <c r="F1340" s="67" t="s">
        <v>1367</v>
      </c>
      <c r="G1340" s="25">
        <f t="shared" si="17"/>
        <v>1.6722408026756952E-3</v>
      </c>
    </row>
    <row r="1341" spans="1:7">
      <c r="A1341" s="67">
        <v>75.750078160794942</v>
      </c>
      <c r="B1341" s="67">
        <v>76.140636117739092</v>
      </c>
      <c r="C1341" s="67">
        <v>75.250527285633822</v>
      </c>
      <c r="D1341" s="67">
        <v>75.432182149328767</v>
      </c>
      <c r="E1341" s="67">
        <v>3254975.8810362723</v>
      </c>
      <c r="F1341" s="67" t="s">
        <v>1368</v>
      </c>
      <c r="G1341" s="25">
        <f t="shared" si="17"/>
        <v>4.2143287176401589E-3</v>
      </c>
    </row>
    <row r="1342" spans="1:7">
      <c r="A1342" s="67">
        <v>75.477595865252511</v>
      </c>
      <c r="B1342" s="67">
        <v>76.222380806401816</v>
      </c>
      <c r="C1342" s="67">
        <v>75.409475291366917</v>
      </c>
      <c r="D1342" s="67">
        <v>75.795491876718685</v>
      </c>
      <c r="E1342" s="67">
        <v>2671136.8478128128</v>
      </c>
      <c r="F1342" s="67" t="s">
        <v>1369</v>
      </c>
      <c r="G1342" s="25">
        <f t="shared" si="17"/>
        <v>-4.1941282204914776E-3</v>
      </c>
    </row>
    <row r="1343" spans="1:7">
      <c r="A1343" s="67">
        <v>75.91356753812039</v>
      </c>
      <c r="B1343" s="67">
        <v>78.799427530210252</v>
      </c>
      <c r="C1343" s="67">
        <v>75.877236565381409</v>
      </c>
      <c r="D1343" s="67">
        <v>78.529397575327692</v>
      </c>
      <c r="E1343" s="67">
        <v>4669561.7323213592</v>
      </c>
      <c r="F1343" s="67" t="s">
        <v>1370</v>
      </c>
      <c r="G1343" s="25">
        <f t="shared" si="17"/>
        <v>-3.3310201249132532E-2</v>
      </c>
    </row>
    <row r="1344" spans="1:7">
      <c r="A1344" s="67">
        <v>78.556645804881938</v>
      </c>
      <c r="B1344" s="67">
        <v>79.537582068834681</v>
      </c>
      <c r="C1344" s="67">
        <v>78.529397575327692</v>
      </c>
      <c r="D1344" s="67">
        <v>79.18335508462954</v>
      </c>
      <c r="E1344" s="67">
        <v>3946422.272534627</v>
      </c>
      <c r="F1344" s="67" t="s">
        <v>1371</v>
      </c>
      <c r="G1344" s="25">
        <f t="shared" si="17"/>
        <v>-7.9146593255335906E-3</v>
      </c>
    </row>
    <row r="1345" spans="1:7">
      <c r="A1345" s="67">
        <v>78.674721466283671</v>
      </c>
      <c r="B1345" s="67">
        <v>79.855478080300855</v>
      </c>
      <c r="C1345" s="67">
        <v>78.474901116219229</v>
      </c>
      <c r="D1345" s="67">
        <v>79.446754636987208</v>
      </c>
      <c r="E1345" s="67">
        <v>2737635.4801879157</v>
      </c>
      <c r="F1345" s="67" t="s">
        <v>1372</v>
      </c>
      <c r="G1345" s="25">
        <f t="shared" si="17"/>
        <v>-9.7176174688463623E-3</v>
      </c>
    </row>
    <row r="1346" spans="1:7">
      <c r="A1346" s="67">
        <v>79.5012510960957</v>
      </c>
      <c r="B1346" s="67">
        <v>79.546664812019429</v>
      </c>
      <c r="C1346" s="67">
        <v>78.429487400295471</v>
      </c>
      <c r="D1346" s="67">
        <v>78.602059520805696</v>
      </c>
      <c r="E1346" s="67">
        <v>2190016.7818686124</v>
      </c>
      <c r="F1346" s="67" t="s">
        <v>1373</v>
      </c>
      <c r="G1346" s="25">
        <f t="shared" si="17"/>
        <v>1.1439796625837717E-2</v>
      </c>
    </row>
    <row r="1347" spans="1:7">
      <c r="A1347" s="67">
        <v>78.747383411761646</v>
      </c>
      <c r="B1347" s="67">
        <v>79.365009948324484</v>
      </c>
      <c r="C1347" s="67">
        <v>78.238749793415778</v>
      </c>
      <c r="D1347" s="67">
        <v>79.365009948324484</v>
      </c>
      <c r="E1347" s="67">
        <v>2668757.6106638107</v>
      </c>
      <c r="F1347" s="67" t="s">
        <v>1374</v>
      </c>
      <c r="G1347" s="25">
        <f t="shared" si="17"/>
        <v>-7.7821011673151474E-3</v>
      </c>
    </row>
    <row r="1348" spans="1:7">
      <c r="A1348" s="67">
        <v>79.419506407432962</v>
      </c>
      <c r="B1348" s="67">
        <v>79.619326757497419</v>
      </c>
      <c r="C1348" s="67">
        <v>78.356825454817496</v>
      </c>
      <c r="D1348" s="67">
        <v>78.956286505010851</v>
      </c>
      <c r="E1348" s="67">
        <v>3008684.6500173733</v>
      </c>
      <c r="F1348" s="67" t="s">
        <v>1375</v>
      </c>
      <c r="G1348" s="25">
        <f t="shared" si="17"/>
        <v>5.8667893707577967E-3</v>
      </c>
    </row>
    <row r="1349" spans="1:7">
      <c r="A1349" s="67">
        <v>78.602059520805696</v>
      </c>
      <c r="B1349" s="67">
        <v>78.888165931125243</v>
      </c>
      <c r="C1349" s="67">
        <v>77.839109093286893</v>
      </c>
      <c r="D1349" s="67">
        <v>78.129756875198808</v>
      </c>
      <c r="E1349" s="67">
        <v>2207525.8093469026</v>
      </c>
      <c r="F1349" s="67" t="s">
        <v>1376</v>
      </c>
      <c r="G1349" s="25">
        <f t="shared" si="17"/>
        <v>6.0451057893515792E-3</v>
      </c>
    </row>
    <row r="1350" spans="1:7">
      <c r="A1350" s="67">
        <v>77.830026350102145</v>
      </c>
      <c r="B1350" s="67">
        <v>78.075260416090316</v>
      </c>
      <c r="C1350" s="67">
        <v>77.12157238169182</v>
      </c>
      <c r="D1350" s="67">
        <v>77.748281661439407</v>
      </c>
      <c r="E1350" s="67">
        <v>3088843.252456184</v>
      </c>
      <c r="F1350" s="67" t="s">
        <v>1377</v>
      </c>
      <c r="G1350" s="25">
        <f t="shared" si="17"/>
        <v>1.0514018691589744E-3</v>
      </c>
    </row>
    <row r="1351" spans="1:7">
      <c r="A1351" s="67">
        <v>77.521213081820719</v>
      </c>
      <c r="B1351" s="67">
        <v>79.528499325649946</v>
      </c>
      <c r="C1351" s="67">
        <v>76.140636117739092</v>
      </c>
      <c r="D1351" s="67">
        <v>79.528499325649946</v>
      </c>
      <c r="E1351" s="67">
        <v>2738032.9372035521</v>
      </c>
      <c r="F1351" s="67" t="s">
        <v>1378</v>
      </c>
      <c r="G1351" s="25">
        <f t="shared" si="17"/>
        <v>-2.5239835541343236E-2</v>
      </c>
    </row>
    <row r="1352" spans="1:7">
      <c r="A1352" s="67">
        <v>79.010782964119329</v>
      </c>
      <c r="B1352" s="67">
        <v>79.228768800553269</v>
      </c>
      <c r="C1352" s="67">
        <v>78.511232088958209</v>
      </c>
      <c r="D1352" s="67">
        <v>78.919955532271857</v>
      </c>
      <c r="E1352" s="67">
        <v>2201524.3185096923</v>
      </c>
      <c r="F1352" s="67" t="s">
        <v>1379</v>
      </c>
      <c r="G1352" s="25">
        <f t="shared" si="17"/>
        <v>1.1508804235238479E-3</v>
      </c>
    </row>
    <row r="1353" spans="1:7">
      <c r="A1353" s="67">
        <v>78.801879870870138</v>
      </c>
      <c r="B1353" s="67">
        <v>79.210603314183771</v>
      </c>
      <c r="C1353" s="67">
        <v>78.265998022970024</v>
      </c>
      <c r="D1353" s="67">
        <v>78.992617477749832</v>
      </c>
      <c r="E1353" s="67">
        <v>1824619.463845442</v>
      </c>
      <c r="F1353" s="67" t="s">
        <v>1380</v>
      </c>
      <c r="G1353" s="25">
        <f t="shared" si="17"/>
        <v>-2.4146257330113219E-3</v>
      </c>
    </row>
    <row r="1354" spans="1:7">
      <c r="A1354" s="67">
        <v>79.346844461954987</v>
      </c>
      <c r="B1354" s="67">
        <v>79.928140025778831</v>
      </c>
      <c r="C1354" s="67">
        <v>79.028948450488826</v>
      </c>
      <c r="D1354" s="67">
        <v>79.928140025778831</v>
      </c>
      <c r="E1354" s="67">
        <v>1810312.1122715012</v>
      </c>
      <c r="F1354" s="67" t="s">
        <v>1381</v>
      </c>
      <c r="G1354" s="25">
        <f t="shared" si="17"/>
        <v>-7.2727272727272085E-3</v>
      </c>
    </row>
    <row r="1355" spans="1:7">
      <c r="A1355" s="67">
        <v>79.810064364377126</v>
      </c>
      <c r="B1355" s="67">
        <v>80.218787807690745</v>
      </c>
      <c r="C1355" s="67">
        <v>79.455837380171957</v>
      </c>
      <c r="D1355" s="67">
        <v>79.800981621192363</v>
      </c>
      <c r="E1355" s="67">
        <v>2617405.2834524405</v>
      </c>
      <c r="F1355" s="67" t="s">
        <v>1382</v>
      </c>
      <c r="G1355" s="25">
        <f t="shared" si="17"/>
        <v>1.1381743683158696E-4</v>
      </c>
    </row>
    <row r="1356" spans="1:7">
      <c r="A1356" s="67">
        <v>79.937222768963593</v>
      </c>
      <c r="B1356" s="67">
        <v>80.200622321321262</v>
      </c>
      <c r="C1356" s="67">
        <v>79.283265259661761</v>
      </c>
      <c r="D1356" s="67">
        <v>79.828229850746609</v>
      </c>
      <c r="E1356" s="67">
        <v>2667732.5899392748</v>
      </c>
      <c r="F1356" s="67" t="s">
        <v>1383</v>
      </c>
      <c r="G1356" s="25">
        <f t="shared" si="17"/>
        <v>1.3653430424396262E-3</v>
      </c>
    </row>
    <row r="1357" spans="1:7">
      <c r="A1357" s="67">
        <v>79.837312593931358</v>
      </c>
      <c r="B1357" s="67">
        <v>80.031047506062023</v>
      </c>
      <c r="C1357" s="67">
        <v>79.355927205139736</v>
      </c>
      <c r="D1357" s="67">
        <v>79.691988702975394</v>
      </c>
      <c r="E1357" s="67">
        <v>2025627.0188169235</v>
      </c>
      <c r="F1357" s="67" t="s">
        <v>1384</v>
      </c>
      <c r="G1357" s="25">
        <f t="shared" si="17"/>
        <v>1.8235696375654697E-3</v>
      </c>
    </row>
    <row r="1358" spans="1:7">
      <c r="A1358" s="67">
        <v>79.083444909597304</v>
      </c>
      <c r="B1358" s="67">
        <v>79.891809053039836</v>
      </c>
      <c r="C1358" s="67">
        <v>78.629307750359928</v>
      </c>
      <c r="D1358" s="67">
        <v>78.711052439022652</v>
      </c>
      <c r="E1358" s="67">
        <v>2247574.2828753446</v>
      </c>
      <c r="F1358" s="67" t="s">
        <v>1385</v>
      </c>
      <c r="G1358" s="25">
        <f t="shared" si="17"/>
        <v>4.7311331640895737E-3</v>
      </c>
    </row>
    <row r="1359" spans="1:7">
      <c r="A1359" s="67">
        <v>78.583894034436184</v>
      </c>
      <c r="B1359" s="67">
        <v>78.765548898131144</v>
      </c>
      <c r="C1359" s="67">
        <v>77.877256614662826</v>
      </c>
      <c r="D1359" s="67">
        <v>78.502149345773475</v>
      </c>
      <c r="E1359" s="67">
        <v>2979921.3133594887</v>
      </c>
      <c r="F1359" s="67" t="s">
        <v>1386</v>
      </c>
      <c r="G1359" s="25">
        <f t="shared" si="17"/>
        <v>1.0413051023947517E-3</v>
      </c>
    </row>
    <row r="1360" spans="1:7">
      <c r="A1360" s="67">
        <v>78.620225007175179</v>
      </c>
      <c r="B1360" s="67">
        <v>78.883624559532862</v>
      </c>
      <c r="C1360" s="67">
        <v>78.021672231300315</v>
      </c>
      <c r="D1360" s="67">
        <v>78.347742711632762</v>
      </c>
      <c r="E1360" s="67">
        <v>3175927.0754721467</v>
      </c>
      <c r="F1360" s="67" t="s">
        <v>1387</v>
      </c>
      <c r="G1360" s="25">
        <f t="shared" si="17"/>
        <v>3.4778576396938821E-3</v>
      </c>
    </row>
    <row r="1361" spans="1:7">
      <c r="A1361" s="67">
        <v>77.929936525134366</v>
      </c>
      <c r="B1361" s="67">
        <v>78.488525230996345</v>
      </c>
      <c r="C1361" s="67">
        <v>76.885421058888397</v>
      </c>
      <c r="D1361" s="67">
        <v>76.930834774812126</v>
      </c>
      <c r="E1361" s="67">
        <v>3170520.118674946</v>
      </c>
      <c r="F1361" s="67" t="s">
        <v>1388</v>
      </c>
      <c r="G1361" s="25">
        <f t="shared" si="17"/>
        <v>1.2987012987013102E-2</v>
      </c>
    </row>
    <row r="1362" spans="1:7">
      <c r="A1362" s="67">
        <v>76.876338315703649</v>
      </c>
      <c r="B1362" s="67">
        <v>77.148820611246066</v>
      </c>
      <c r="C1362" s="67">
        <v>76.449449386020504</v>
      </c>
      <c r="D1362" s="67">
        <v>77.021662206659599</v>
      </c>
      <c r="E1362" s="67">
        <v>1735733.3218970792</v>
      </c>
      <c r="F1362" s="67" t="s">
        <v>1389</v>
      </c>
      <c r="G1362" s="25">
        <f t="shared" si="17"/>
        <v>-1.8867924528300772E-3</v>
      </c>
    </row>
    <row r="1363" spans="1:7">
      <c r="A1363" s="67">
        <v>77.012579463474864</v>
      </c>
      <c r="B1363" s="67">
        <v>77.430385649973246</v>
      </c>
      <c r="C1363" s="67">
        <v>76.04980868589162</v>
      </c>
      <c r="D1363" s="67">
        <v>76.095222401815349</v>
      </c>
      <c r="E1363" s="67">
        <v>1656707.6371011762</v>
      </c>
      <c r="F1363" s="67" t="s">
        <v>1390</v>
      </c>
      <c r="G1363" s="25">
        <f t="shared" si="17"/>
        <v>1.2055383146335696E-2</v>
      </c>
    </row>
    <row r="1364" spans="1:7">
      <c r="A1364" s="67">
        <v>76.785510883856176</v>
      </c>
      <c r="B1364" s="67">
        <v>77.648280658975352</v>
      </c>
      <c r="C1364" s="67">
        <v>76.643820090174103</v>
      </c>
      <c r="D1364" s="67">
        <v>77.203317070354558</v>
      </c>
      <c r="E1364" s="67">
        <v>1900728.6288784079</v>
      </c>
      <c r="F1364" s="67" t="s">
        <v>1391</v>
      </c>
      <c r="G1364" s="25">
        <f t="shared" si="17"/>
        <v>-5.4117647058822271E-3</v>
      </c>
    </row>
    <row r="1365" spans="1:7">
      <c r="A1365" s="67">
        <v>77.130655124876583</v>
      </c>
      <c r="B1365" s="67">
        <v>77.13519649646895</v>
      </c>
      <c r="C1365" s="67">
        <v>76.113387888184846</v>
      </c>
      <c r="D1365" s="67">
        <v>76.576607790606971</v>
      </c>
      <c r="E1365" s="67">
        <v>3062223.541309224</v>
      </c>
      <c r="F1365" s="67" t="s">
        <v>1392</v>
      </c>
      <c r="G1365" s="25">
        <f t="shared" si="17"/>
        <v>7.2352034159650636E-3</v>
      </c>
    </row>
    <row r="1366" spans="1:7">
      <c r="A1366" s="67">
        <v>76.295042751879791</v>
      </c>
      <c r="B1366" s="67">
        <v>77.466716622712241</v>
      </c>
      <c r="C1366" s="67">
        <v>76.249629035956062</v>
      </c>
      <c r="D1366" s="67">
        <v>77.057993179398593</v>
      </c>
      <c r="E1366" s="67">
        <v>2394337.2126297043</v>
      </c>
      <c r="F1366" s="67" t="s">
        <v>1393</v>
      </c>
      <c r="G1366" s="25">
        <f t="shared" si="17"/>
        <v>-9.9009900990099098E-3</v>
      </c>
    </row>
    <row r="1367" spans="1:7">
      <c r="A1367" s="67">
        <v>76.921752031627378</v>
      </c>
      <c r="B1367" s="67">
        <v>77.412220163603749</v>
      </c>
      <c r="C1367" s="67">
        <v>76.571793936719047</v>
      </c>
      <c r="D1367" s="67">
        <v>77.239648043093553</v>
      </c>
      <c r="E1367" s="67">
        <v>1119974.4166588683</v>
      </c>
      <c r="F1367" s="67" t="s">
        <v>1394</v>
      </c>
      <c r="G1367" s="25">
        <f t="shared" si="17"/>
        <v>-4.1157102539982615E-3</v>
      </c>
    </row>
    <row r="1368" spans="1:7">
      <c r="A1368" s="67">
        <v>77.130655124876583</v>
      </c>
      <c r="B1368" s="67">
        <v>77.439468393157995</v>
      </c>
      <c r="C1368" s="67">
        <v>76.685600708823955</v>
      </c>
      <c r="D1368" s="67">
        <v>76.894503802073132</v>
      </c>
      <c r="E1368" s="67">
        <v>2076309.9447388011</v>
      </c>
      <c r="F1368" s="67" t="s">
        <v>1395</v>
      </c>
      <c r="G1368" s="25">
        <f t="shared" si="17"/>
        <v>3.0711079612568692E-3</v>
      </c>
    </row>
    <row r="1369" spans="1:7">
      <c r="A1369" s="67">
        <v>77.457633879527492</v>
      </c>
      <c r="B1369" s="67">
        <v>77.834567721694512</v>
      </c>
      <c r="C1369" s="67">
        <v>76.603856020161217</v>
      </c>
      <c r="D1369" s="67">
        <v>76.97624849073587</v>
      </c>
      <c r="E1369" s="67">
        <v>2085157.492045318</v>
      </c>
      <c r="F1369" s="67" t="s">
        <v>1396</v>
      </c>
      <c r="G1369" s="25">
        <f t="shared" si="17"/>
        <v>6.2536873156342487E-3</v>
      </c>
    </row>
    <row r="1370" spans="1:7">
      <c r="A1370" s="67">
        <v>76.58569053379172</v>
      </c>
      <c r="B1370" s="67">
        <v>76.785510883856176</v>
      </c>
      <c r="C1370" s="67">
        <v>75.731912674425445</v>
      </c>
      <c r="D1370" s="67">
        <v>76.413118413281509</v>
      </c>
      <c r="E1370" s="67">
        <v>2530764.0579995965</v>
      </c>
      <c r="F1370" s="67" t="s">
        <v>1397</v>
      </c>
      <c r="G1370" s="25">
        <f t="shared" si="17"/>
        <v>2.2584096041839974E-3</v>
      </c>
    </row>
    <row r="1371" spans="1:7">
      <c r="A1371" s="67">
        <v>76.603856020161217</v>
      </c>
      <c r="B1371" s="67">
        <v>77.984432984242844</v>
      </c>
      <c r="C1371" s="67">
        <v>76.558442304237488</v>
      </c>
      <c r="D1371" s="67">
        <v>77.79369537736315</v>
      </c>
      <c r="E1371" s="67">
        <v>3413230.93358623</v>
      </c>
      <c r="F1371" s="67" t="s">
        <v>1398</v>
      </c>
      <c r="G1371" s="25">
        <f t="shared" si="17"/>
        <v>-1.5294804436660758E-2</v>
      </c>
    </row>
    <row r="1372" spans="1:7">
      <c r="A1372" s="67">
        <v>77.730116175069909</v>
      </c>
      <c r="B1372" s="67">
        <v>78.456735629849717</v>
      </c>
      <c r="C1372" s="67">
        <v>77.307768616979146</v>
      </c>
      <c r="D1372" s="67">
        <v>77.90268829558012</v>
      </c>
      <c r="E1372" s="67">
        <v>4160472.1427615839</v>
      </c>
      <c r="F1372" s="67" t="s">
        <v>1399</v>
      </c>
      <c r="G1372" s="25">
        <f t="shared" si="17"/>
        <v>-2.215226769266776E-3</v>
      </c>
    </row>
    <row r="1373" spans="1:7">
      <c r="A1373" s="67">
        <v>78.138839618383557</v>
      </c>
      <c r="B1373" s="67">
        <v>78.615683635582812</v>
      </c>
      <c r="C1373" s="67">
        <v>76.949000261181624</v>
      </c>
      <c r="D1373" s="67">
        <v>77.639288743222437</v>
      </c>
      <c r="E1373" s="67">
        <v>3439570.9935365925</v>
      </c>
      <c r="F1373" s="67" t="s">
        <v>1400</v>
      </c>
      <c r="G1373" s="25">
        <f t="shared" si="17"/>
        <v>6.4342536265793449E-3</v>
      </c>
    </row>
    <row r="1374" spans="1:7">
      <c r="A1374" s="67">
        <v>78.066177672905582</v>
      </c>
      <c r="B1374" s="67">
        <v>78.193336077492049</v>
      </c>
      <c r="C1374" s="67">
        <v>75.541175067545751</v>
      </c>
      <c r="D1374" s="67">
        <v>75.759160903979691</v>
      </c>
      <c r="E1374" s="67">
        <v>5102111.6701636435</v>
      </c>
      <c r="F1374" s="67" t="s">
        <v>1401</v>
      </c>
      <c r="G1374" s="25">
        <f t="shared" si="17"/>
        <v>3.045198417455941E-2</v>
      </c>
    </row>
    <row r="1375" spans="1:7">
      <c r="A1375" s="67">
        <v>75.759160903979691</v>
      </c>
      <c r="B1375" s="67">
        <v>75.949898510859398</v>
      </c>
      <c r="C1375" s="67">
        <v>74.592028404739622</v>
      </c>
      <c r="D1375" s="67">
        <v>74.959879503721908</v>
      </c>
      <c r="E1375" s="67">
        <v>4002236.9080129601</v>
      </c>
      <c r="F1375" s="67" t="s">
        <v>1402</v>
      </c>
      <c r="G1375" s="25">
        <f t="shared" si="17"/>
        <v>1.0662789288743424E-2</v>
      </c>
    </row>
    <row r="1376" spans="1:7">
      <c r="A1376" s="67">
        <v>74.55115606040826</v>
      </c>
      <c r="B1376" s="67">
        <v>74.887217558243918</v>
      </c>
      <c r="C1376" s="67">
        <v>73.597468026009764</v>
      </c>
      <c r="D1376" s="67">
        <v>73.742791916965714</v>
      </c>
      <c r="E1376" s="67">
        <v>2513496.147104199</v>
      </c>
      <c r="F1376" s="67" t="s">
        <v>1403</v>
      </c>
      <c r="G1376" s="25">
        <f t="shared" si="17"/>
        <v>1.0961941125754437E-2</v>
      </c>
    </row>
    <row r="1377" spans="1:7">
      <c r="A1377" s="67">
        <v>74.115184387540367</v>
      </c>
      <c r="B1377" s="67">
        <v>75.001660122371732</v>
      </c>
      <c r="C1377" s="67">
        <v>73.797288376074206</v>
      </c>
      <c r="D1377" s="67">
        <v>73.933529523845422</v>
      </c>
      <c r="E1377" s="67">
        <v>3008402.7968428503</v>
      </c>
      <c r="F1377" s="67" t="s">
        <v>1404</v>
      </c>
      <c r="G1377" s="25">
        <f t="shared" si="17"/>
        <v>2.4570024570023108E-3</v>
      </c>
    </row>
    <row r="1378" spans="1:7">
      <c r="A1378" s="67">
        <v>73.788205632889458</v>
      </c>
      <c r="B1378" s="67">
        <v>74.060687928431889</v>
      </c>
      <c r="C1378" s="67">
        <v>72.216891061928138</v>
      </c>
      <c r="D1378" s="67">
        <v>72.480290614285806</v>
      </c>
      <c r="E1378" s="67">
        <v>3436637.9589392105</v>
      </c>
      <c r="F1378" s="67" t="s">
        <v>1405</v>
      </c>
      <c r="G1378" s="25">
        <f t="shared" si="17"/>
        <v>1.8045112781954753E-2</v>
      </c>
    </row>
    <row r="1379" spans="1:7">
      <c r="A1379" s="67">
        <v>72.934427773523183</v>
      </c>
      <c r="B1379" s="67">
        <v>73.415813162314805</v>
      </c>
      <c r="C1379" s="67">
        <v>72.180560089189129</v>
      </c>
      <c r="D1379" s="67">
        <v>72.471207871101058</v>
      </c>
      <c r="E1379" s="67">
        <v>4378059.4905265998</v>
      </c>
      <c r="F1379" s="67" t="s">
        <v>1406</v>
      </c>
      <c r="G1379" s="25">
        <f t="shared" si="17"/>
        <v>6.3917784183480375E-3</v>
      </c>
    </row>
    <row r="1380" spans="1:7">
      <c r="A1380" s="67">
        <v>72.534787073394298</v>
      </c>
      <c r="B1380" s="67">
        <v>73.134248123587625</v>
      </c>
      <c r="C1380" s="67">
        <v>72.216891061928138</v>
      </c>
      <c r="D1380" s="67">
        <v>72.289553007406113</v>
      </c>
      <c r="E1380" s="67">
        <v>2268117.6359356111</v>
      </c>
      <c r="F1380" s="67" t="s">
        <v>1407</v>
      </c>
      <c r="G1380" s="25">
        <f t="shared" si="17"/>
        <v>3.3923859781379573E-3</v>
      </c>
    </row>
    <row r="1381" spans="1:7">
      <c r="A1381" s="67">
        <v>72.380380439253585</v>
      </c>
      <c r="B1381" s="67">
        <v>72.852683084860459</v>
      </c>
      <c r="C1381" s="67">
        <v>71.463023377594084</v>
      </c>
      <c r="D1381" s="67">
        <v>71.871746820907717</v>
      </c>
      <c r="E1381" s="67">
        <v>4175707.6280313181</v>
      </c>
      <c r="F1381" s="67" t="s">
        <v>1408</v>
      </c>
      <c r="G1381" s="25">
        <f t="shared" si="17"/>
        <v>7.0769619613295642E-3</v>
      </c>
    </row>
    <row r="1382" spans="1:7">
      <c r="A1382" s="67">
        <v>71.690091957212772</v>
      </c>
      <c r="B1382" s="67">
        <v>71.717340186767004</v>
      </c>
      <c r="C1382" s="67">
        <v>70.86810369899311</v>
      </c>
      <c r="D1382" s="67">
        <v>71.463023377594084</v>
      </c>
      <c r="E1382" s="67">
        <v>2113677.5101423836</v>
      </c>
      <c r="F1382" s="67" t="s">
        <v>1409</v>
      </c>
      <c r="G1382" s="25">
        <f t="shared" si="17"/>
        <v>3.1774275546516684E-3</v>
      </c>
    </row>
    <row r="1383" spans="1:7">
      <c r="A1383" s="67">
        <v>71.453940634409335</v>
      </c>
      <c r="B1383" s="67">
        <v>71.472106120778818</v>
      </c>
      <c r="C1383" s="67">
        <v>70.445756140902347</v>
      </c>
      <c r="D1383" s="67">
        <v>70.854479584215994</v>
      </c>
      <c r="E1383" s="67">
        <v>1632473.7690369966</v>
      </c>
      <c r="F1383" s="67" t="s">
        <v>1410</v>
      </c>
      <c r="G1383" s="25">
        <f t="shared" si="17"/>
        <v>8.4604537879759967E-3</v>
      </c>
    </row>
    <row r="1384" spans="1:7">
      <c r="A1384" s="67">
        <v>70.809065868292237</v>
      </c>
      <c r="B1384" s="67">
        <v>71.190541082051638</v>
      </c>
      <c r="C1384" s="67">
        <v>70.436673397717598</v>
      </c>
      <c r="D1384" s="67">
        <v>70.845396841031246</v>
      </c>
      <c r="E1384" s="67">
        <v>1610222.7820951461</v>
      </c>
      <c r="F1384" s="67" t="s">
        <v>1411</v>
      </c>
      <c r="G1384" s="25">
        <f t="shared" si="17"/>
        <v>-5.1282051282075525E-4</v>
      </c>
    </row>
    <row r="1385" spans="1:7">
      <c r="A1385" s="67">
        <v>70.609245518227794</v>
      </c>
      <c r="B1385" s="67">
        <v>70.88172781377024</v>
      </c>
      <c r="C1385" s="67">
        <v>70.032491325996332</v>
      </c>
      <c r="D1385" s="67">
        <v>70.518418086380322</v>
      </c>
      <c r="E1385" s="67">
        <v>1802940.9911643418</v>
      </c>
      <c r="F1385" s="67" t="s">
        <v>1412</v>
      </c>
      <c r="G1385" s="25">
        <f t="shared" si="17"/>
        <v>1.2879958784131063E-3</v>
      </c>
    </row>
    <row r="1386" spans="1:7">
      <c r="A1386" s="67">
        <v>70.591080031858311</v>
      </c>
      <c r="B1386" s="67">
        <v>70.727321179629527</v>
      </c>
      <c r="C1386" s="67">
        <v>69.900791549817484</v>
      </c>
      <c r="D1386" s="67">
        <v>70.255018534022639</v>
      </c>
      <c r="E1386" s="67">
        <v>2300408.5412308876</v>
      </c>
      <c r="F1386" s="67" t="s">
        <v>1413</v>
      </c>
      <c r="G1386" s="25">
        <f t="shared" si="17"/>
        <v>4.7834518422755767E-3</v>
      </c>
    </row>
    <row r="1387" spans="1:7">
      <c r="A1387" s="67">
        <v>70.182356588544664</v>
      </c>
      <c r="B1387" s="67">
        <v>71.898995050461963</v>
      </c>
      <c r="C1387" s="67">
        <v>70.155108358990418</v>
      </c>
      <c r="D1387" s="67">
        <v>71.344947716192351</v>
      </c>
      <c r="E1387" s="67">
        <v>2176192.7644494204</v>
      </c>
      <c r="F1387" s="67" t="s">
        <v>1414</v>
      </c>
      <c r="G1387" s="25">
        <f t="shared" si="17"/>
        <v>-1.6295353278166669E-2</v>
      </c>
    </row>
    <row r="1388" spans="1:7">
      <c r="A1388" s="67">
        <v>71.09971365020418</v>
      </c>
      <c r="B1388" s="67">
        <v>72.02615345504843</v>
      </c>
      <c r="C1388" s="67">
        <v>70.527500829565085</v>
      </c>
      <c r="D1388" s="67">
        <v>71.036134447910939</v>
      </c>
      <c r="E1388" s="67">
        <v>1710433.6965167338</v>
      </c>
      <c r="F1388" s="67" t="s">
        <v>1415</v>
      </c>
      <c r="G1388" s="25">
        <f t="shared" si="17"/>
        <v>8.9502621148196404E-4</v>
      </c>
    </row>
    <row r="1389" spans="1:7">
      <c r="A1389" s="67">
        <v>70.899893300139723</v>
      </c>
      <c r="B1389" s="67">
        <v>71.117879136573663</v>
      </c>
      <c r="C1389" s="67">
        <v>69.782715888415765</v>
      </c>
      <c r="D1389" s="67">
        <v>69.855377833893755</v>
      </c>
      <c r="E1389" s="67">
        <v>2704436.2589981798</v>
      </c>
      <c r="F1389" s="67" t="s">
        <v>1416</v>
      </c>
      <c r="G1389" s="25">
        <f t="shared" si="17"/>
        <v>1.495254193212836E-2</v>
      </c>
    </row>
    <row r="1390" spans="1:7">
      <c r="A1390" s="67">
        <v>69.410323417841127</v>
      </c>
      <c r="B1390" s="67">
        <v>70.189622783092474</v>
      </c>
      <c r="C1390" s="67">
        <v>68.938020772234253</v>
      </c>
      <c r="D1390" s="67">
        <v>70.091529156697192</v>
      </c>
      <c r="E1390" s="67">
        <v>4316309.4235488353</v>
      </c>
      <c r="F1390" s="67" t="s">
        <v>1417</v>
      </c>
      <c r="G1390" s="25">
        <f t="shared" si="17"/>
        <v>-9.7188026435142127E-3</v>
      </c>
    </row>
    <row r="1391" spans="1:7">
      <c r="A1391" s="67">
        <v>70.073363670327694</v>
      </c>
      <c r="B1391" s="67">
        <v>70.463921627271844</v>
      </c>
      <c r="C1391" s="67">
        <v>69.492068106503851</v>
      </c>
      <c r="D1391" s="67">
        <v>70.173273845359915</v>
      </c>
      <c r="E1391" s="67">
        <v>2719176.2992345723</v>
      </c>
      <c r="F1391" s="67" t="s">
        <v>1418</v>
      </c>
      <c r="G1391" s="25">
        <f t="shared" si="17"/>
        <v>-1.4237639140564085E-3</v>
      </c>
    </row>
    <row r="1392" spans="1:7">
      <c r="A1392" s="67">
        <v>70.554749059119317</v>
      </c>
      <c r="B1392" s="67">
        <v>71.74458841632125</v>
      </c>
      <c r="C1392" s="67">
        <v>70.509335343195573</v>
      </c>
      <c r="D1392" s="67">
        <v>71.226872054790647</v>
      </c>
      <c r="E1392" s="67">
        <v>3780178.444069278</v>
      </c>
      <c r="F1392" s="67" t="s">
        <v>1419</v>
      </c>
      <c r="G1392" s="25">
        <f t="shared" si="17"/>
        <v>-9.4363682733997756E-3</v>
      </c>
    </row>
    <row r="1393" spans="1:7">
      <c r="A1393" s="67">
        <v>70.790900381922754</v>
      </c>
      <c r="B1393" s="67">
        <v>71.199623825236401</v>
      </c>
      <c r="C1393" s="67">
        <v>70.482087113641327</v>
      </c>
      <c r="D1393" s="67">
        <v>70.908976043324472</v>
      </c>
      <c r="E1393" s="67">
        <v>4309424.9395633135</v>
      </c>
      <c r="F1393" s="67" t="s">
        <v>1420</v>
      </c>
      <c r="G1393" s="25">
        <f t="shared" si="17"/>
        <v>-1.6651722812860426E-3</v>
      </c>
    </row>
    <row r="1394" spans="1:7">
      <c r="A1394" s="67">
        <v>70.563831802304065</v>
      </c>
      <c r="B1394" s="67">
        <v>71.699174700397506</v>
      </c>
      <c r="C1394" s="67">
        <v>69.755467658861519</v>
      </c>
      <c r="D1394" s="67">
        <v>71.581099038995802</v>
      </c>
      <c r="E1394" s="67">
        <v>5367742.8733062707</v>
      </c>
      <c r="F1394" s="67" t="s">
        <v>1421</v>
      </c>
      <c r="G1394" s="25">
        <f t="shared" si="17"/>
        <v>-1.4211394493084728E-2</v>
      </c>
    </row>
    <row r="1395" spans="1:7">
      <c r="A1395" s="67">
        <v>71.435775148039838</v>
      </c>
      <c r="B1395" s="67">
        <v>71.662843727658526</v>
      </c>
      <c r="C1395" s="67">
        <v>70.827231354661748</v>
      </c>
      <c r="D1395" s="67">
        <v>71.045217191095688</v>
      </c>
      <c r="E1395" s="67">
        <v>2877004.1680668932</v>
      </c>
      <c r="F1395" s="67" t="s">
        <v>1422</v>
      </c>
      <c r="G1395" s="25">
        <f t="shared" si="17"/>
        <v>5.4973152646382584E-3</v>
      </c>
    </row>
    <row r="1396" spans="1:7">
      <c r="A1396" s="67">
        <v>71.086089535427064</v>
      </c>
      <c r="B1396" s="67">
        <v>71.230959925513275</v>
      </c>
      <c r="C1396" s="67">
        <v>70.1534863992471</v>
      </c>
      <c r="D1396" s="67">
        <v>70.850675151536976</v>
      </c>
      <c r="E1396" s="67">
        <v>2765191.6983285085</v>
      </c>
      <c r="F1396" s="67" t="s">
        <v>1423</v>
      </c>
      <c r="G1396" s="25">
        <f t="shared" si="17"/>
        <v>3.3226837060702508E-3</v>
      </c>
    </row>
    <row r="1397" spans="1:7">
      <c r="A1397" s="67">
        <v>70.75107675835271</v>
      </c>
      <c r="B1397" s="67">
        <v>72.78831661894003</v>
      </c>
      <c r="C1397" s="67">
        <v>70.579043170125331</v>
      </c>
      <c r="D1397" s="67">
        <v>71.937203077183554</v>
      </c>
      <c r="E1397" s="67">
        <v>3793095.3293699152</v>
      </c>
      <c r="F1397" s="67" t="s">
        <v>1424</v>
      </c>
      <c r="G1397" s="25">
        <f t="shared" si="17"/>
        <v>-1.6488357457520419E-2</v>
      </c>
    </row>
    <row r="1398" spans="1:7">
      <c r="A1398" s="67">
        <v>71.412047913121043</v>
      </c>
      <c r="B1398" s="67">
        <v>71.620299098869964</v>
      </c>
      <c r="C1398" s="67">
        <v>70.334574386854854</v>
      </c>
      <c r="D1398" s="67">
        <v>70.579043170125331</v>
      </c>
      <c r="E1398" s="67">
        <v>2930572.0772019457</v>
      </c>
      <c r="F1398" s="67" t="s">
        <v>1425</v>
      </c>
      <c r="G1398" s="25">
        <f t="shared" si="17"/>
        <v>1.1802437459910387E-2</v>
      </c>
    </row>
    <row r="1399" spans="1:7">
      <c r="A1399" s="67">
        <v>71.02270873976434</v>
      </c>
      <c r="B1399" s="67">
        <v>71.65651669639152</v>
      </c>
      <c r="C1399" s="67">
        <v>70.48849917632144</v>
      </c>
      <c r="D1399" s="67">
        <v>71.375830315599487</v>
      </c>
      <c r="E1399" s="67">
        <v>3232077.4433019976</v>
      </c>
      <c r="F1399" s="67" t="s">
        <v>1426</v>
      </c>
      <c r="G1399" s="25">
        <f t="shared" si="17"/>
        <v>-4.9473550678676981E-3</v>
      </c>
    </row>
    <row r="1400" spans="1:7">
      <c r="A1400" s="67">
        <v>71.375830315599487</v>
      </c>
      <c r="B1400" s="67">
        <v>71.828550284618885</v>
      </c>
      <c r="C1400" s="67">
        <v>70.198758396149032</v>
      </c>
      <c r="D1400" s="67">
        <v>70.443227179419509</v>
      </c>
      <c r="E1400" s="67">
        <v>2413603.4961452354</v>
      </c>
      <c r="F1400" s="67" t="s">
        <v>1427</v>
      </c>
      <c r="G1400" s="25">
        <f t="shared" ref="G1400:G1463" si="18">A1400/D1400-1</f>
        <v>1.3239074550128516E-2</v>
      </c>
    </row>
    <row r="1401" spans="1:7">
      <c r="A1401" s="67">
        <v>70.334574386854854</v>
      </c>
      <c r="B1401" s="67">
        <v>70.506607975082233</v>
      </c>
      <c r="C1401" s="67">
        <v>69.58305923828263</v>
      </c>
      <c r="D1401" s="67">
        <v>70.026724807921653</v>
      </c>
      <c r="E1401" s="67">
        <v>3943371.4485067846</v>
      </c>
      <c r="F1401" s="67" t="s">
        <v>1428</v>
      </c>
      <c r="G1401" s="25">
        <f t="shared" si="18"/>
        <v>4.3961727437291653E-3</v>
      </c>
    </row>
    <row r="1402" spans="1:7">
      <c r="A1402" s="67">
        <v>70.443227179419509</v>
      </c>
      <c r="B1402" s="67">
        <v>71.611244699489575</v>
      </c>
      <c r="C1402" s="67">
        <v>69.954289612878554</v>
      </c>
      <c r="D1402" s="67">
        <v>71.240014324893664</v>
      </c>
      <c r="E1402" s="67">
        <v>2944198.6022553076</v>
      </c>
      <c r="F1402" s="67" t="s">
        <v>1429</v>
      </c>
      <c r="G1402" s="25">
        <f t="shared" si="18"/>
        <v>-1.1184544992374201E-2</v>
      </c>
    </row>
    <row r="1403" spans="1:7">
      <c r="A1403" s="67">
        <v>71.28528632179561</v>
      </c>
      <c r="B1403" s="67">
        <v>71.511646306305309</v>
      </c>
      <c r="C1403" s="67">
        <v>70.407009581897967</v>
      </c>
      <c r="D1403" s="67">
        <v>70.624315167027277</v>
      </c>
      <c r="E1403" s="67">
        <v>3912791.8387096152</v>
      </c>
      <c r="F1403" s="67" t="s">
        <v>1430</v>
      </c>
      <c r="G1403" s="25">
        <f t="shared" si="18"/>
        <v>9.3589743589743701E-3</v>
      </c>
    </row>
    <row r="1404" spans="1:7">
      <c r="A1404" s="67">
        <v>70.497553575701843</v>
      </c>
      <c r="B1404" s="67">
        <v>70.778239956493877</v>
      </c>
      <c r="C1404" s="67">
        <v>70.280247990572533</v>
      </c>
      <c r="D1404" s="67">
        <v>70.742022358972307</v>
      </c>
      <c r="E1404" s="67">
        <v>1986760.1642317786</v>
      </c>
      <c r="F1404" s="67" t="s">
        <v>1431</v>
      </c>
      <c r="G1404" s="25">
        <f t="shared" si="18"/>
        <v>-3.4557788301546877E-3</v>
      </c>
    </row>
    <row r="1405" spans="1:7">
      <c r="A1405" s="67">
        <v>70.27119359119213</v>
      </c>
      <c r="B1405" s="67">
        <v>70.678641563309597</v>
      </c>
      <c r="C1405" s="67">
        <v>69.746038427129619</v>
      </c>
      <c r="D1405" s="67">
        <v>70.198758396149032</v>
      </c>
      <c r="E1405" s="67">
        <v>6074014.1548342658</v>
      </c>
      <c r="F1405" s="67" t="s">
        <v>1432</v>
      </c>
      <c r="G1405" s="25">
        <f t="shared" si="18"/>
        <v>1.0318586353668113E-3</v>
      </c>
    </row>
    <row r="1406" spans="1:7">
      <c r="A1406" s="67">
        <v>69.709820829608063</v>
      </c>
      <c r="B1406" s="67">
        <v>70.366264784686209</v>
      </c>
      <c r="C1406" s="67">
        <v>69.497042444168954</v>
      </c>
      <c r="D1406" s="67">
        <v>70.307411188713687</v>
      </c>
      <c r="E1406" s="67">
        <v>1992567.286028713</v>
      </c>
      <c r="F1406" s="67" t="s">
        <v>1433</v>
      </c>
      <c r="G1406" s="25">
        <f t="shared" si="18"/>
        <v>-8.4996780424985152E-3</v>
      </c>
    </row>
    <row r="1407" spans="1:7">
      <c r="A1407" s="67">
        <v>70.262139191811741</v>
      </c>
      <c r="B1407" s="67">
        <v>70.773712756803675</v>
      </c>
      <c r="C1407" s="67">
        <v>69.727929628368855</v>
      </c>
      <c r="D1407" s="67">
        <v>70.207812795529421</v>
      </c>
      <c r="E1407" s="67">
        <v>2434809.7619540859</v>
      </c>
      <c r="F1407" s="67" t="s">
        <v>1434</v>
      </c>
      <c r="G1407" s="25">
        <f t="shared" si="18"/>
        <v>7.7379417075040813E-4</v>
      </c>
    </row>
    <row r="1408" spans="1:7">
      <c r="A1408" s="67">
        <v>69.990507210400096</v>
      </c>
      <c r="B1408" s="67">
        <v>70.678641563309597</v>
      </c>
      <c r="C1408" s="67">
        <v>69.845636820313899</v>
      </c>
      <c r="D1408" s="67">
        <v>70.1534863992471</v>
      </c>
      <c r="E1408" s="67">
        <v>2015051.3836974059</v>
      </c>
      <c r="F1408" s="67" t="s">
        <v>1435</v>
      </c>
      <c r="G1408" s="25">
        <f t="shared" si="18"/>
        <v>-2.3231801755294601E-3</v>
      </c>
    </row>
    <row r="1409" spans="1:7">
      <c r="A1409" s="67">
        <v>69.881854417835456</v>
      </c>
      <c r="B1409" s="67">
        <v>72.878860612743907</v>
      </c>
      <c r="C1409" s="67">
        <v>69.320481656251388</v>
      </c>
      <c r="D1409" s="67">
        <v>69.429134448816043</v>
      </c>
      <c r="E1409" s="67">
        <v>3860899.9372967286</v>
      </c>
      <c r="F1409" s="67" t="s">
        <v>1436</v>
      </c>
      <c r="G1409" s="25">
        <f t="shared" si="18"/>
        <v>6.520605112154465E-3</v>
      </c>
    </row>
    <row r="1410" spans="1:7">
      <c r="A1410" s="67">
        <v>69.981452811019722</v>
      </c>
      <c r="B1410" s="67">
        <v>70.506607975082233</v>
      </c>
      <c r="C1410" s="67">
        <v>68.670828500708538</v>
      </c>
      <c r="D1410" s="67">
        <v>69.112230470502453</v>
      </c>
      <c r="E1410" s="67">
        <v>2748826.1732644211</v>
      </c>
      <c r="F1410" s="67" t="s">
        <v>1437</v>
      </c>
      <c r="G1410" s="25">
        <f t="shared" si="18"/>
        <v>1.257696842656908E-2</v>
      </c>
    </row>
    <row r="1411" spans="1:7">
      <c r="A1411" s="67">
        <v>69.284264058729832</v>
      </c>
      <c r="B1411" s="67">
        <v>70.443227179419509</v>
      </c>
      <c r="C1411" s="67">
        <v>69.229937662447497</v>
      </c>
      <c r="D1411" s="67">
        <v>69.727929628368855</v>
      </c>
      <c r="E1411" s="67">
        <v>4564155.8610184258</v>
      </c>
      <c r="F1411" s="67" t="s">
        <v>1438</v>
      </c>
      <c r="G1411" s="25">
        <f t="shared" si="18"/>
        <v>-6.3628100246722052E-3</v>
      </c>
    </row>
    <row r="1412" spans="1:7">
      <c r="A1412" s="67">
        <v>69.157502467404399</v>
      </c>
      <c r="B1412" s="67">
        <v>70.542825572603775</v>
      </c>
      <c r="C1412" s="67">
        <v>68.976414479796645</v>
      </c>
      <c r="D1412" s="67">
        <v>70.144431999866697</v>
      </c>
      <c r="E1412" s="67">
        <v>3635461.4610106843</v>
      </c>
      <c r="F1412" s="67" t="s">
        <v>1439</v>
      </c>
      <c r="G1412" s="25">
        <f t="shared" si="18"/>
        <v>-1.4069962566154559E-2</v>
      </c>
    </row>
    <row r="1413" spans="1:7">
      <c r="A1413" s="67">
        <v>69.564950439521866</v>
      </c>
      <c r="B1413" s="67">
        <v>70.425118380658731</v>
      </c>
      <c r="C1413" s="67">
        <v>67.89966530548088</v>
      </c>
      <c r="D1413" s="67">
        <v>68.089083340518599</v>
      </c>
      <c r="E1413" s="67">
        <v>4510738.7341963407</v>
      </c>
      <c r="F1413" s="67" t="s">
        <v>1440</v>
      </c>
      <c r="G1413" s="25">
        <f t="shared" si="18"/>
        <v>2.1675531914893797E-2</v>
      </c>
    </row>
    <row r="1414" spans="1:7">
      <c r="A1414" s="67">
        <v>69.854691219694288</v>
      </c>
      <c r="B1414" s="67">
        <v>71.728951891434619</v>
      </c>
      <c r="C1414" s="67">
        <v>69.827528021553121</v>
      </c>
      <c r="D1414" s="67">
        <v>70.823511953395808</v>
      </c>
      <c r="E1414" s="67">
        <v>5467545.4351206208</v>
      </c>
      <c r="F1414" s="67" t="s">
        <v>1441</v>
      </c>
      <c r="G1414" s="25">
        <f t="shared" si="18"/>
        <v>-1.3679365891076323E-2</v>
      </c>
    </row>
    <row r="1415" spans="1:7">
      <c r="A1415" s="67">
        <v>70.642423965788041</v>
      </c>
      <c r="B1415" s="67">
        <v>72.833588615841975</v>
      </c>
      <c r="C1415" s="67">
        <v>70.407009581897967</v>
      </c>
      <c r="D1415" s="67">
        <v>72.534793436289164</v>
      </c>
      <c r="E1415" s="67">
        <v>3116805.3025280107</v>
      </c>
      <c r="F1415" s="67" t="s">
        <v>1442</v>
      </c>
      <c r="G1415" s="25">
        <f t="shared" si="18"/>
        <v>-2.6089127449756666E-2</v>
      </c>
    </row>
    <row r="1416" spans="1:7">
      <c r="A1416" s="67">
        <v>73.168601392916329</v>
      </c>
      <c r="B1416" s="67">
        <v>73.385906978045639</v>
      </c>
      <c r="C1416" s="67">
        <v>71.647462297011131</v>
      </c>
      <c r="D1416" s="67">
        <v>72.516684637528385</v>
      </c>
      <c r="E1416" s="67">
        <v>1774141.9750927128</v>
      </c>
      <c r="F1416" s="67" t="s">
        <v>1443</v>
      </c>
      <c r="G1416" s="25">
        <f t="shared" si="18"/>
        <v>8.9898863778250515E-3</v>
      </c>
    </row>
    <row r="1417" spans="1:7">
      <c r="A1417" s="67">
        <v>72.525739036908774</v>
      </c>
      <c r="B1417" s="67">
        <v>73.087111798492842</v>
      </c>
      <c r="C1417" s="67">
        <v>71.65651669639152</v>
      </c>
      <c r="D1417" s="67">
        <v>71.964366275324721</v>
      </c>
      <c r="E1417" s="67">
        <v>1859377.8883297232</v>
      </c>
      <c r="F1417" s="67" t="s">
        <v>1444</v>
      </c>
      <c r="G1417" s="25">
        <f t="shared" si="18"/>
        <v>7.8007045797683361E-3</v>
      </c>
    </row>
    <row r="1418" spans="1:7">
      <c r="A1418" s="67">
        <v>71.991529473465874</v>
      </c>
      <c r="B1418" s="67">
        <v>72.561956634430331</v>
      </c>
      <c r="C1418" s="67">
        <v>71.991529473465874</v>
      </c>
      <c r="D1418" s="67">
        <v>72.462358241246065</v>
      </c>
      <c r="E1418" s="67">
        <v>1429812.1229378632</v>
      </c>
      <c r="F1418" s="67" t="s">
        <v>1445</v>
      </c>
      <c r="G1418" s="25">
        <f t="shared" si="18"/>
        <v>-6.4975634137199867E-3</v>
      </c>
    </row>
    <row r="1419" spans="1:7">
      <c r="A1419" s="67">
        <v>72.444249442485287</v>
      </c>
      <c r="B1419" s="67">
        <v>72.743044622038099</v>
      </c>
      <c r="C1419" s="67">
        <v>71.393939114360251</v>
      </c>
      <c r="D1419" s="67">
        <v>71.683679894532688</v>
      </c>
      <c r="E1419" s="67">
        <v>2516511.4816288687</v>
      </c>
      <c r="F1419" s="67" t="s">
        <v>1446</v>
      </c>
      <c r="G1419" s="25">
        <f t="shared" si="18"/>
        <v>1.0610079575596787E-2</v>
      </c>
    </row>
    <row r="1420" spans="1:7">
      <c r="A1420" s="67">
        <v>72.000583872846263</v>
      </c>
      <c r="B1420" s="67">
        <v>72.208835058595184</v>
      </c>
      <c r="C1420" s="67">
        <v>71.095143934807453</v>
      </c>
      <c r="D1420" s="67">
        <v>71.221905526132886</v>
      </c>
      <c r="E1420" s="67">
        <v>3206985.7734456742</v>
      </c>
      <c r="F1420" s="67" t="s">
        <v>1447</v>
      </c>
      <c r="G1420" s="25">
        <f t="shared" si="18"/>
        <v>1.093312992626494E-2</v>
      </c>
    </row>
    <row r="1421" spans="1:7">
      <c r="A1421" s="67">
        <v>71.375830315599487</v>
      </c>
      <c r="B1421" s="67">
        <v>73.023731002830132</v>
      </c>
      <c r="C1421" s="67">
        <v>71.126834332638822</v>
      </c>
      <c r="D1421" s="67">
        <v>72.94224140840663</v>
      </c>
      <c r="E1421" s="67">
        <v>3333345.34208566</v>
      </c>
      <c r="F1421" s="67" t="s">
        <v>1448</v>
      </c>
      <c r="G1421" s="25">
        <f t="shared" si="18"/>
        <v>-2.1474677259185726E-2</v>
      </c>
    </row>
    <row r="1422" spans="1:7">
      <c r="A1422" s="67">
        <v>72.471412640626454</v>
      </c>
      <c r="B1422" s="67">
        <v>72.679663826375375</v>
      </c>
      <c r="C1422" s="67">
        <v>71.728951891434619</v>
      </c>
      <c r="D1422" s="67">
        <v>72.480467040006829</v>
      </c>
      <c r="E1422" s="67">
        <v>1818150.4159908567</v>
      </c>
      <c r="F1422" s="67" t="s">
        <v>1449</v>
      </c>
      <c r="G1422" s="25">
        <f t="shared" si="18"/>
        <v>-1.249219237974275E-4</v>
      </c>
    </row>
    <row r="1423" spans="1:7">
      <c r="A1423" s="67">
        <v>72.480467040006829</v>
      </c>
      <c r="B1423" s="67">
        <v>74.590142095637262</v>
      </c>
      <c r="C1423" s="67">
        <v>72.290324653018686</v>
      </c>
      <c r="D1423" s="67">
        <v>74.218911721041351</v>
      </c>
      <c r="E1423" s="67">
        <v>3654370.5010040873</v>
      </c>
      <c r="F1423" s="67" t="s">
        <v>1450</v>
      </c>
      <c r="G1423" s="25">
        <f t="shared" si="18"/>
        <v>-2.3423203611077303E-2</v>
      </c>
    </row>
    <row r="1424" spans="1:7">
      <c r="A1424" s="67">
        <v>74.60825089439804</v>
      </c>
      <c r="B1424" s="67">
        <v>75.015155602552682</v>
      </c>
      <c r="C1424" s="67">
        <v>72.64797342854402</v>
      </c>
      <c r="D1424" s="67">
        <v>72.815479817081197</v>
      </c>
      <c r="E1424" s="67">
        <v>4572422.5606475724</v>
      </c>
      <c r="F1424" s="67" t="s">
        <v>1451</v>
      </c>
      <c r="G1424" s="25">
        <f t="shared" si="18"/>
        <v>2.462074110917678E-2</v>
      </c>
    </row>
    <row r="1425" spans="1:7">
      <c r="A1425" s="67">
        <v>72.94224140840663</v>
      </c>
      <c r="B1425" s="67">
        <v>74.572033296876484</v>
      </c>
      <c r="C1425" s="67">
        <v>72.335596649920632</v>
      </c>
      <c r="D1425" s="67">
        <v>74.282292516704075</v>
      </c>
      <c r="E1425" s="67">
        <v>3200299.5210001357</v>
      </c>
      <c r="F1425" s="67" t="s">
        <v>1452</v>
      </c>
      <c r="G1425" s="25">
        <f t="shared" si="18"/>
        <v>-1.8039980497318475E-2</v>
      </c>
    </row>
    <row r="1426" spans="1:7">
      <c r="A1426" s="67">
        <v>74.671631690060764</v>
      </c>
      <c r="B1426" s="67">
        <v>75.051916464037063</v>
      </c>
      <c r="C1426" s="67">
        <v>73.630375761316117</v>
      </c>
      <c r="D1426" s="67">
        <v>74.427162906790286</v>
      </c>
      <c r="E1426" s="67">
        <v>2524134.2953683971</v>
      </c>
      <c r="F1426" s="67" t="s">
        <v>1453</v>
      </c>
      <c r="G1426" s="25">
        <f t="shared" si="18"/>
        <v>3.284671532846728E-3</v>
      </c>
    </row>
    <row r="1427" spans="1:7">
      <c r="A1427" s="67">
        <v>73.974442937770874</v>
      </c>
      <c r="B1427" s="67">
        <v>74.372836510507952</v>
      </c>
      <c r="C1427" s="67">
        <v>73.376852578665265</v>
      </c>
      <c r="D1427" s="67">
        <v>73.820518148304274</v>
      </c>
      <c r="E1427" s="67">
        <v>1908822.3607007673</v>
      </c>
      <c r="F1427" s="67" t="s">
        <v>1454</v>
      </c>
      <c r="G1427" s="25">
        <f t="shared" si="18"/>
        <v>2.0851220409665583E-3</v>
      </c>
    </row>
    <row r="1428" spans="1:7">
      <c r="A1428" s="67">
        <v>73.784300550782717</v>
      </c>
      <c r="B1428" s="67">
        <v>73.992551736531652</v>
      </c>
      <c r="C1428" s="67">
        <v>72.770207820179252</v>
      </c>
      <c r="D1428" s="67">
        <v>73.304417383622152</v>
      </c>
      <c r="E1428" s="67">
        <v>1864688.014156969</v>
      </c>
      <c r="F1428" s="67" t="s">
        <v>1455</v>
      </c>
      <c r="G1428" s="25">
        <f t="shared" si="18"/>
        <v>6.5464426877470672E-3</v>
      </c>
    </row>
    <row r="1429" spans="1:7">
      <c r="A1429" s="67">
        <v>73.286308584861374</v>
      </c>
      <c r="B1429" s="67">
        <v>73.730064698494189</v>
      </c>
      <c r="C1429" s="67">
        <v>72.073019067889362</v>
      </c>
      <c r="D1429" s="67">
        <v>72.073019067889362</v>
      </c>
      <c r="E1429" s="67">
        <v>3381984.6809858098</v>
      </c>
      <c r="F1429" s="67" t="s">
        <v>1456</v>
      </c>
      <c r="G1429" s="25">
        <f t="shared" si="18"/>
        <v>1.6834170854271413E-2</v>
      </c>
    </row>
    <row r="1430" spans="1:7">
      <c r="A1430" s="67">
        <v>73.53983176751224</v>
      </c>
      <c r="B1430" s="67">
        <v>74.001606135912041</v>
      </c>
      <c r="C1430" s="67">
        <v>71.973420674705096</v>
      </c>
      <c r="D1430" s="67">
        <v>72.552902235049942</v>
      </c>
      <c r="E1430" s="67">
        <v>2997548.3585126125</v>
      </c>
      <c r="F1430" s="67" t="s">
        <v>1457</v>
      </c>
      <c r="G1430" s="25">
        <f t="shared" si="18"/>
        <v>1.3602895295145245E-2</v>
      </c>
    </row>
    <row r="1431" spans="1:7">
      <c r="A1431" s="67">
        <v>72.543847835669553</v>
      </c>
      <c r="B1431" s="67">
        <v>73.331580581763319</v>
      </c>
      <c r="C1431" s="67">
        <v>71.810441485858121</v>
      </c>
      <c r="D1431" s="67">
        <v>72.878860612743907</v>
      </c>
      <c r="E1431" s="67">
        <v>3829242.3984630802</v>
      </c>
      <c r="F1431" s="67" t="s">
        <v>1458</v>
      </c>
      <c r="G1431" s="25">
        <f t="shared" si="18"/>
        <v>-4.5968443284879479E-3</v>
      </c>
    </row>
    <row r="1432" spans="1:7">
      <c r="A1432" s="67">
        <v>72.652500628234208</v>
      </c>
      <c r="B1432" s="67">
        <v>72.697772625136153</v>
      </c>
      <c r="C1432" s="67">
        <v>71.276231922415221</v>
      </c>
      <c r="D1432" s="67">
        <v>71.710843092673841</v>
      </c>
      <c r="E1432" s="67">
        <v>1955066.1790270198</v>
      </c>
      <c r="F1432" s="67" t="s">
        <v>1459</v>
      </c>
      <c r="G1432" s="25">
        <f t="shared" si="18"/>
        <v>1.3131313131313105E-2</v>
      </c>
    </row>
    <row r="1433" spans="1:7">
      <c r="A1433" s="67">
        <v>71.710843092673841</v>
      </c>
      <c r="B1433" s="67">
        <v>72.752099021418474</v>
      </c>
      <c r="C1433" s="67">
        <v>71.620299098869964</v>
      </c>
      <c r="D1433" s="67">
        <v>72.589119832571498</v>
      </c>
      <c r="E1433" s="67">
        <v>1485184.1005740552</v>
      </c>
      <c r="F1433" s="67" t="s">
        <v>1460</v>
      </c>
      <c r="G1433" s="25">
        <f t="shared" si="18"/>
        <v>-1.209928901085211E-2</v>
      </c>
    </row>
    <row r="1434" spans="1:7">
      <c r="A1434" s="67">
        <v>72.435195043104898</v>
      </c>
      <c r="B1434" s="67">
        <v>72.842643015222365</v>
      </c>
      <c r="C1434" s="67">
        <v>72.163563061693253</v>
      </c>
      <c r="D1434" s="67">
        <v>72.308433451779464</v>
      </c>
      <c r="E1434" s="67">
        <v>1508806.8712310782</v>
      </c>
      <c r="F1434" s="67" t="s">
        <v>1461</v>
      </c>
      <c r="G1434" s="25">
        <f t="shared" si="18"/>
        <v>1.753067868770275E-3</v>
      </c>
    </row>
    <row r="1435" spans="1:7">
      <c r="A1435" s="67">
        <v>71.765169488956175</v>
      </c>
      <c r="B1435" s="67">
        <v>72.580065433191095</v>
      </c>
      <c r="C1435" s="67">
        <v>71.384069819035645</v>
      </c>
      <c r="D1435" s="67">
        <v>72.326542250540228</v>
      </c>
      <c r="E1435" s="67">
        <v>1385577.2727646392</v>
      </c>
      <c r="F1435" s="67" t="s">
        <v>1462</v>
      </c>
      <c r="G1435" s="25">
        <f t="shared" si="18"/>
        <v>-7.7616424636953729E-3</v>
      </c>
    </row>
    <row r="1436" spans="1:7">
      <c r="A1436" s="67">
        <v>72.063964668508987</v>
      </c>
      <c r="B1436" s="67">
        <v>72.082073467269751</v>
      </c>
      <c r="C1436" s="67">
        <v>71.208323927062295</v>
      </c>
      <c r="D1436" s="67">
        <v>71.357721516838708</v>
      </c>
      <c r="E1436" s="67">
        <v>820859.52781126543</v>
      </c>
      <c r="F1436" s="67" t="s">
        <v>1463</v>
      </c>
      <c r="G1436" s="25">
        <f t="shared" si="18"/>
        <v>9.8972211648269415E-3</v>
      </c>
    </row>
    <row r="1437" spans="1:7">
      <c r="A1437" s="67">
        <v>71.303395120556374</v>
      </c>
      <c r="B1437" s="67">
        <v>71.882876680901219</v>
      </c>
      <c r="C1437" s="67">
        <v>71.02270873976434</v>
      </c>
      <c r="D1437" s="67">
        <v>71.529755105066087</v>
      </c>
      <c r="E1437" s="67">
        <v>2185903.1359793656</v>
      </c>
      <c r="F1437" s="67" t="s">
        <v>1464</v>
      </c>
      <c r="G1437" s="25">
        <f t="shared" si="18"/>
        <v>-3.1645569620254443E-3</v>
      </c>
    </row>
    <row r="1438" spans="1:7">
      <c r="A1438" s="67">
        <v>71.221905526132886</v>
      </c>
      <c r="B1438" s="67">
        <v>71.964366275324721</v>
      </c>
      <c r="C1438" s="67">
        <v>70.696750362070375</v>
      </c>
      <c r="D1438" s="67">
        <v>70.868783950297754</v>
      </c>
      <c r="E1438" s="67">
        <v>2620015.862276128</v>
      </c>
      <c r="F1438" s="67" t="s">
        <v>1465</v>
      </c>
      <c r="G1438" s="25">
        <f t="shared" si="18"/>
        <v>4.9827520122651681E-3</v>
      </c>
    </row>
    <row r="1439" spans="1:7">
      <c r="A1439" s="67">
        <v>71.575027101968018</v>
      </c>
      <c r="B1439" s="67">
        <v>72.543847835669553</v>
      </c>
      <c r="C1439" s="67">
        <v>70.651478365168444</v>
      </c>
      <c r="D1439" s="67">
        <v>72.471412640626454</v>
      </c>
      <c r="E1439" s="67">
        <v>2730501.3796442742</v>
      </c>
      <c r="F1439" s="67" t="s">
        <v>1466</v>
      </c>
      <c r="G1439" s="25">
        <f t="shared" si="18"/>
        <v>-1.2368815592204041E-2</v>
      </c>
    </row>
    <row r="1440" spans="1:7">
      <c r="A1440" s="67">
        <v>73.213873389818275</v>
      </c>
      <c r="B1440" s="67">
        <v>73.576049365033796</v>
      </c>
      <c r="C1440" s="67">
        <v>72.733990222657695</v>
      </c>
      <c r="D1440" s="67">
        <v>73.32252618238293</v>
      </c>
      <c r="E1440" s="67">
        <v>4985178.8179090898</v>
      </c>
      <c r="F1440" s="67" t="s">
        <v>1467</v>
      </c>
      <c r="G1440" s="25">
        <f t="shared" si="18"/>
        <v>-1.4818473697209011E-3</v>
      </c>
    </row>
    <row r="1441" spans="1:7">
      <c r="A1441" s="67">
        <v>73.376852578665265</v>
      </c>
      <c r="B1441" s="67">
        <v>73.91106214210815</v>
      </c>
      <c r="C1441" s="67">
        <v>72.444249442485287</v>
      </c>
      <c r="D1441" s="67">
        <v>72.670609426994986</v>
      </c>
      <c r="E1441" s="67">
        <v>2729486.4034306221</v>
      </c>
      <c r="F1441" s="67" t="s">
        <v>1468</v>
      </c>
      <c r="G1441" s="25">
        <f t="shared" si="18"/>
        <v>9.7184151507601069E-3</v>
      </c>
    </row>
    <row r="1442" spans="1:7">
      <c r="A1442" s="67">
        <v>72.435195043104898</v>
      </c>
      <c r="B1442" s="67">
        <v>73.254618187030019</v>
      </c>
      <c r="C1442" s="67">
        <v>71.87382228152083</v>
      </c>
      <c r="D1442" s="67">
        <v>72.109236665410918</v>
      </c>
      <c r="E1442" s="67">
        <v>2574904.0903252768</v>
      </c>
      <c r="F1442" s="67" t="s">
        <v>1469</v>
      </c>
      <c r="G1442" s="25">
        <f t="shared" si="18"/>
        <v>4.5203415369161615E-3</v>
      </c>
    </row>
    <row r="1443" spans="1:7">
      <c r="A1443" s="67">
        <v>72.091127866650154</v>
      </c>
      <c r="B1443" s="67">
        <v>72.389923046202952</v>
      </c>
      <c r="C1443" s="67">
        <v>70.782767156184065</v>
      </c>
      <c r="D1443" s="67">
        <v>70.895947148438907</v>
      </c>
      <c r="E1443" s="67">
        <v>3286582.4390799557</v>
      </c>
      <c r="F1443" s="67" t="s">
        <v>1470</v>
      </c>
      <c r="G1443" s="25">
        <f t="shared" si="18"/>
        <v>1.6858237547892951E-2</v>
      </c>
    </row>
    <row r="1444" spans="1:7">
      <c r="A1444" s="67">
        <v>71.375830315599487</v>
      </c>
      <c r="B1444" s="67">
        <v>72.976919758033503</v>
      </c>
      <c r="C1444" s="67">
        <v>71.366775916219098</v>
      </c>
      <c r="D1444" s="67">
        <v>72.263161454877519</v>
      </c>
      <c r="E1444" s="67">
        <v>4071871.4131228942</v>
      </c>
      <c r="F1444" s="67" t="s">
        <v>1471</v>
      </c>
      <c r="G1444" s="25">
        <f t="shared" si="18"/>
        <v>-1.2279163012153815E-2</v>
      </c>
    </row>
    <row r="1445" spans="1:7">
      <c r="A1445" s="67">
        <v>71.837604683999288</v>
      </c>
      <c r="B1445" s="67">
        <v>71.991529473465874</v>
      </c>
      <c r="C1445" s="67">
        <v>70.379846383756799</v>
      </c>
      <c r="D1445" s="67">
        <v>71.276231922415221</v>
      </c>
      <c r="E1445" s="67">
        <v>4286855.3030776763</v>
      </c>
      <c r="F1445" s="67" t="s">
        <v>1472</v>
      </c>
      <c r="G1445" s="25">
        <f t="shared" si="18"/>
        <v>7.8760162601627659E-3</v>
      </c>
    </row>
    <row r="1446" spans="1:7">
      <c r="A1446" s="67">
        <v>71.674625495152284</v>
      </c>
      <c r="B1446" s="67">
        <v>72.498575838767607</v>
      </c>
      <c r="C1446" s="67">
        <v>71.638407897630742</v>
      </c>
      <c r="D1446" s="67">
        <v>72.054910269128598</v>
      </c>
      <c r="E1446" s="67">
        <v>3085559.7181314593</v>
      </c>
      <c r="F1446" s="67" t="s">
        <v>1473</v>
      </c>
      <c r="G1446" s="25">
        <f t="shared" si="18"/>
        <v>-5.2777079668260285E-3</v>
      </c>
    </row>
    <row r="1447" spans="1:7">
      <c r="A1447" s="67">
        <v>71.801387086477718</v>
      </c>
      <c r="B1447" s="67">
        <v>72.978459005928173</v>
      </c>
      <c r="C1447" s="67">
        <v>70.551879971984164</v>
      </c>
      <c r="D1447" s="67">
        <v>70.58809756950572</v>
      </c>
      <c r="E1447" s="67">
        <v>5862271.7830373393</v>
      </c>
      <c r="F1447" s="67" t="s">
        <v>1474</v>
      </c>
      <c r="G1447" s="25">
        <f t="shared" si="18"/>
        <v>1.7188301693175756E-2</v>
      </c>
    </row>
    <row r="1448" spans="1:7">
      <c r="A1448" s="67">
        <v>70.560934371364567</v>
      </c>
      <c r="B1448" s="67">
        <v>70.855202351227163</v>
      </c>
      <c r="C1448" s="67">
        <v>69.524205642310108</v>
      </c>
      <c r="D1448" s="67">
        <v>70.207812795529421</v>
      </c>
      <c r="E1448" s="67">
        <v>4007539.150370969</v>
      </c>
      <c r="F1448" s="67" t="s">
        <v>1475</v>
      </c>
      <c r="G1448" s="25">
        <f t="shared" si="18"/>
        <v>5.0296621098788741E-3</v>
      </c>
    </row>
    <row r="1449" spans="1:7">
      <c r="A1449" s="67">
        <v>70.416063981278342</v>
      </c>
      <c r="B1449" s="67">
        <v>71.199269527681921</v>
      </c>
      <c r="C1449" s="67">
        <v>70.171595198007864</v>
      </c>
      <c r="D1449" s="67">
        <v>70.434172780039134</v>
      </c>
      <c r="E1449" s="67">
        <v>4214930.0463444032</v>
      </c>
      <c r="F1449" s="67" t="s">
        <v>1476</v>
      </c>
      <c r="G1449" s="25">
        <f t="shared" si="18"/>
        <v>-2.5710245532872822E-4</v>
      </c>
    </row>
    <row r="1450" spans="1:7">
      <c r="A1450" s="67">
        <v>70.624315167027277</v>
      </c>
      <c r="B1450" s="67">
        <v>70.873311149987956</v>
      </c>
      <c r="C1450" s="67">
        <v>68.903979284753532</v>
      </c>
      <c r="D1450" s="67">
        <v>68.994523278557409</v>
      </c>
      <c r="E1450" s="67">
        <v>3560104.723215587</v>
      </c>
      <c r="F1450" s="67" t="s">
        <v>1477</v>
      </c>
      <c r="G1450" s="25">
        <f t="shared" si="18"/>
        <v>2.3622047244094668E-2</v>
      </c>
    </row>
    <row r="1451" spans="1:7">
      <c r="A1451" s="67">
        <v>69.103176071122064</v>
      </c>
      <c r="B1451" s="67">
        <v>69.279736859039645</v>
      </c>
      <c r="C1451" s="67">
        <v>68.252062529365588</v>
      </c>
      <c r="D1451" s="67">
        <v>68.387878520071411</v>
      </c>
      <c r="E1451" s="67">
        <v>5985734.4173917882</v>
      </c>
      <c r="F1451" s="67" t="s">
        <v>1478</v>
      </c>
      <c r="G1451" s="25">
        <f t="shared" si="18"/>
        <v>1.0459420097974181E-2</v>
      </c>
    </row>
    <row r="1452" spans="1:7">
      <c r="A1452" s="67">
        <v>68.908506484443706</v>
      </c>
      <c r="B1452" s="67">
        <v>68.917531829104405</v>
      </c>
      <c r="C1452" s="67">
        <v>67.500552717374532</v>
      </c>
      <c r="D1452" s="67">
        <v>68.421137872765925</v>
      </c>
      <c r="E1452" s="67">
        <v>4557217.6516536949</v>
      </c>
      <c r="F1452" s="67" t="s">
        <v>1479</v>
      </c>
      <c r="G1452" s="25">
        <f t="shared" si="18"/>
        <v>7.1230708349820926E-3</v>
      </c>
    </row>
    <row r="1453" spans="1:7">
      <c r="A1453" s="67">
        <v>68.15037753294493</v>
      </c>
      <c r="B1453" s="67">
        <v>69.576381989335502</v>
      </c>
      <c r="C1453" s="67">
        <v>68.051098741677222</v>
      </c>
      <c r="D1453" s="67">
        <v>69.143165445621904</v>
      </c>
      <c r="E1453" s="67">
        <v>3366415.4824247849</v>
      </c>
      <c r="F1453" s="67" t="s">
        <v>1480</v>
      </c>
      <c r="G1453" s="25">
        <f t="shared" si="18"/>
        <v>-1.4358438846103438E-2</v>
      </c>
    </row>
    <row r="1454" spans="1:7">
      <c r="A1454" s="67">
        <v>68.655796833944109</v>
      </c>
      <c r="B1454" s="67">
        <v>69.391362423791165</v>
      </c>
      <c r="C1454" s="67">
        <v>68.240630979551923</v>
      </c>
      <c r="D1454" s="67">
        <v>68.70092355724762</v>
      </c>
      <c r="E1454" s="67">
        <v>6453549.6637181258</v>
      </c>
      <c r="F1454" s="67" t="s">
        <v>1481</v>
      </c>
      <c r="G1454" s="25">
        <f t="shared" si="18"/>
        <v>-6.5685759327394067E-4</v>
      </c>
    </row>
    <row r="1455" spans="1:7">
      <c r="A1455" s="67">
        <v>68.565543387337115</v>
      </c>
      <c r="B1455" s="67">
        <v>68.804715020845663</v>
      </c>
      <c r="C1455" s="67">
        <v>68.014997363034425</v>
      </c>
      <c r="D1455" s="67">
        <v>68.376011149462428</v>
      </c>
      <c r="E1455" s="67">
        <v>899519.11037272564</v>
      </c>
      <c r="F1455" s="67" t="s">
        <v>1482</v>
      </c>
      <c r="G1455" s="25">
        <f t="shared" si="18"/>
        <v>2.7719112988382477E-3</v>
      </c>
    </row>
    <row r="1456" spans="1:7">
      <c r="A1456" s="67">
        <v>68.042073397016523</v>
      </c>
      <c r="B1456" s="67">
        <v>68.737024935890403</v>
      </c>
      <c r="C1456" s="67">
        <v>67.870591848463221</v>
      </c>
      <c r="D1456" s="67">
        <v>68.727999591229718</v>
      </c>
      <c r="E1456" s="67">
        <v>2117133.5520518753</v>
      </c>
      <c r="F1456" s="67" t="s">
        <v>1483</v>
      </c>
      <c r="G1456" s="25">
        <f t="shared" si="18"/>
        <v>-9.980302035456412E-3</v>
      </c>
    </row>
    <row r="1457" spans="1:7">
      <c r="A1457" s="67">
        <v>68.619695455301311</v>
      </c>
      <c r="B1457" s="67">
        <v>69.093526049988071</v>
      </c>
      <c r="C1457" s="67">
        <v>67.942794605748816</v>
      </c>
      <c r="D1457" s="67">
        <v>68.601644765979913</v>
      </c>
      <c r="E1457" s="67">
        <v>5084675.6246139025</v>
      </c>
      <c r="F1457" s="67" t="s">
        <v>1484</v>
      </c>
      <c r="G1457" s="25">
        <f t="shared" si="18"/>
        <v>2.6312327325350715E-4</v>
      </c>
    </row>
    <row r="1458" spans="1:7">
      <c r="A1458" s="67">
        <v>68.385036494123113</v>
      </c>
      <c r="B1458" s="67">
        <v>69.513204576710606</v>
      </c>
      <c r="C1458" s="67">
        <v>67.969870639730928</v>
      </c>
      <c r="D1458" s="67">
        <v>69.260494926210995</v>
      </c>
      <c r="E1458" s="67">
        <v>3378806.1449650149</v>
      </c>
      <c r="F1458" s="67" t="s">
        <v>1485</v>
      </c>
      <c r="G1458" s="25">
        <f t="shared" si="18"/>
        <v>-1.2640083398488322E-2</v>
      </c>
    </row>
    <row r="1459" spans="1:7">
      <c r="A1459" s="67">
        <v>69.513204576710606</v>
      </c>
      <c r="B1459" s="67">
        <v>71.264121440886385</v>
      </c>
      <c r="C1459" s="67">
        <v>69.486128542728494</v>
      </c>
      <c r="D1459" s="67">
        <v>70.97531041174399</v>
      </c>
      <c r="E1459" s="67">
        <v>3189690.9295170945</v>
      </c>
      <c r="F1459" s="67" t="s">
        <v>1486</v>
      </c>
      <c r="G1459" s="25">
        <f t="shared" si="18"/>
        <v>-2.0600203458799649E-2</v>
      </c>
    </row>
    <row r="1460" spans="1:7">
      <c r="A1460" s="67">
        <v>71.191918683600775</v>
      </c>
      <c r="B1460" s="67">
        <v>72.523157021054018</v>
      </c>
      <c r="C1460" s="67">
        <v>70.596245935994588</v>
      </c>
      <c r="D1460" s="67">
        <v>72.50059365940227</v>
      </c>
      <c r="E1460" s="67">
        <v>2906056.3320322065</v>
      </c>
      <c r="F1460" s="67" t="s">
        <v>1487</v>
      </c>
      <c r="G1460" s="25">
        <f t="shared" si="18"/>
        <v>-1.8050541516245633E-2</v>
      </c>
    </row>
    <row r="1461" spans="1:7">
      <c r="A1461" s="67">
        <v>72.581821761348564</v>
      </c>
      <c r="B1461" s="67">
        <v>73.448254848775761</v>
      </c>
      <c r="C1461" s="67">
        <v>72.536695038045067</v>
      </c>
      <c r="D1461" s="67">
        <v>72.870632790490959</v>
      </c>
      <c r="E1461" s="67">
        <v>4372242.9983011736</v>
      </c>
      <c r="F1461" s="67" t="s">
        <v>1488</v>
      </c>
      <c r="G1461" s="25">
        <f t="shared" si="18"/>
        <v>-3.9633391132027906E-3</v>
      </c>
    </row>
    <row r="1462" spans="1:7">
      <c r="A1462" s="67">
        <v>72.90673416913377</v>
      </c>
      <c r="B1462" s="67">
        <v>72.996987615740764</v>
      </c>
      <c r="C1462" s="67">
        <v>72.274960042884771</v>
      </c>
      <c r="D1462" s="67">
        <v>72.608897795330677</v>
      </c>
      <c r="E1462" s="67">
        <v>4295900.2074269056</v>
      </c>
      <c r="F1462" s="67" t="s">
        <v>1489</v>
      </c>
      <c r="G1462" s="25">
        <f t="shared" si="18"/>
        <v>4.101926662523292E-3</v>
      </c>
    </row>
    <row r="1463" spans="1:7">
      <c r="A1463" s="67">
        <v>73.087241062347772</v>
      </c>
      <c r="B1463" s="67">
        <v>74.802056547880738</v>
      </c>
      <c r="C1463" s="67">
        <v>72.419365557455961</v>
      </c>
      <c r="D1463" s="67">
        <v>74.756929824577242</v>
      </c>
      <c r="E1463" s="67">
        <v>3757466.4763406566</v>
      </c>
      <c r="F1463" s="67" t="s">
        <v>1490</v>
      </c>
      <c r="G1463" s="25">
        <f t="shared" si="18"/>
        <v>-2.2334902812990332E-2</v>
      </c>
    </row>
    <row r="1464" spans="1:7">
      <c r="A1464" s="67">
        <v>74.332738625524343</v>
      </c>
      <c r="B1464" s="67">
        <v>74.729853790595143</v>
      </c>
      <c r="C1464" s="67">
        <v>73.700964499275358</v>
      </c>
      <c r="D1464" s="67">
        <v>73.908547426471458</v>
      </c>
      <c r="E1464" s="67">
        <v>2432112.1048797457</v>
      </c>
      <c r="F1464" s="67" t="s">
        <v>1491</v>
      </c>
      <c r="G1464" s="25">
        <f t="shared" ref="G1464:G1502" si="19">A1464/D1464-1</f>
        <v>5.7394065209426248E-3</v>
      </c>
    </row>
    <row r="1465" spans="1:7">
      <c r="A1465" s="67">
        <v>73.700964499275358</v>
      </c>
      <c r="B1465" s="67">
        <v>74.170282421631754</v>
      </c>
      <c r="C1465" s="67">
        <v>72.667562535625223</v>
      </c>
      <c r="D1465" s="67">
        <v>72.933810203115868</v>
      </c>
      <c r="E1465" s="67">
        <v>3644380.4903345718</v>
      </c>
      <c r="F1465" s="67" t="s">
        <v>1492</v>
      </c>
      <c r="G1465" s="25">
        <f t="shared" si="19"/>
        <v>1.0518500185620505E-2</v>
      </c>
    </row>
    <row r="1466" spans="1:7">
      <c r="A1466" s="67">
        <v>73.042114339044275</v>
      </c>
      <c r="B1466" s="67">
        <v>74.305662591542244</v>
      </c>
      <c r="C1466" s="67">
        <v>72.541207710375417</v>
      </c>
      <c r="D1466" s="67">
        <v>73.998800873078451</v>
      </c>
      <c r="E1466" s="67">
        <v>6121796.1282506166</v>
      </c>
      <c r="F1466" s="67" t="s">
        <v>1493</v>
      </c>
      <c r="G1466" s="25">
        <f t="shared" si="19"/>
        <v>-1.2928405903158802E-2</v>
      </c>
    </row>
    <row r="1467" spans="1:7">
      <c r="A1467" s="67">
        <v>73.601685708007651</v>
      </c>
      <c r="B1467" s="67">
        <v>73.917572771132157</v>
      </c>
      <c r="C1467" s="67">
        <v>71.444628334100372</v>
      </c>
      <c r="D1467" s="67">
        <v>73.285798644883158</v>
      </c>
      <c r="E1467" s="67">
        <v>5776049.775361971</v>
      </c>
      <c r="F1467" s="67" t="s">
        <v>1494</v>
      </c>
      <c r="G1467" s="25">
        <f t="shared" si="19"/>
        <v>4.3103448275860767E-3</v>
      </c>
    </row>
    <row r="1468" spans="1:7">
      <c r="A1468" s="67">
        <v>73.078215717687058</v>
      </c>
      <c r="B1468" s="67">
        <v>74.765955169237941</v>
      </c>
      <c r="C1468" s="67">
        <v>72.987962271080065</v>
      </c>
      <c r="D1468" s="67">
        <v>73.773167256560953</v>
      </c>
      <c r="E1468" s="67">
        <v>6637889.4382692929</v>
      </c>
      <c r="F1468" s="67" t="s">
        <v>1495</v>
      </c>
      <c r="G1468" s="25">
        <f t="shared" si="19"/>
        <v>-9.4201125519941531E-3</v>
      </c>
    </row>
    <row r="1469" spans="1:7">
      <c r="A1469" s="67">
        <v>71.237045406904286</v>
      </c>
      <c r="B1469" s="67">
        <v>71.498780402064583</v>
      </c>
      <c r="C1469" s="67">
        <v>70.126928013638192</v>
      </c>
      <c r="D1469" s="67">
        <v>70.533068523369693</v>
      </c>
      <c r="E1469" s="67">
        <v>3480333.5696172877</v>
      </c>
      <c r="F1469" s="67" t="s">
        <v>1496</v>
      </c>
      <c r="G1469" s="25">
        <f t="shared" si="19"/>
        <v>9.9808061420345595E-3</v>
      </c>
    </row>
    <row r="1470" spans="1:7">
      <c r="A1470" s="67">
        <v>70.181080081602403</v>
      </c>
      <c r="B1470" s="67">
        <v>70.758702139887191</v>
      </c>
      <c r="C1470" s="67">
        <v>68.64677148928341</v>
      </c>
      <c r="D1470" s="67">
        <v>69.585407333996201</v>
      </c>
      <c r="E1470" s="67">
        <v>5108951.7058315044</v>
      </c>
      <c r="F1470" s="67" t="s">
        <v>1497</v>
      </c>
      <c r="G1470" s="25">
        <f t="shared" si="19"/>
        <v>8.5603112840468842E-3</v>
      </c>
    </row>
    <row r="1471" spans="1:7">
      <c r="A1471" s="67">
        <v>68.29478304751612</v>
      </c>
      <c r="B1471" s="67">
        <v>71.137766615636579</v>
      </c>
      <c r="C1471" s="67">
        <v>68.159402877605615</v>
      </c>
      <c r="D1471" s="67">
        <v>70.542093868030392</v>
      </c>
      <c r="E1471" s="67">
        <v>7444998.7813306702</v>
      </c>
      <c r="F1471" s="67" t="s">
        <v>1498</v>
      </c>
      <c r="G1471" s="25">
        <f t="shared" si="19"/>
        <v>-3.1857727737973351E-2</v>
      </c>
    </row>
    <row r="1472" spans="1:7">
      <c r="A1472" s="67">
        <v>69.729812848567406</v>
      </c>
      <c r="B1472" s="67">
        <v>72.392289523473863</v>
      </c>
      <c r="C1472" s="67">
        <v>69.693711469924594</v>
      </c>
      <c r="D1472" s="67">
        <v>71.11971592631518</v>
      </c>
      <c r="E1472" s="67">
        <v>4218918.1057875734</v>
      </c>
      <c r="F1472" s="67" t="s">
        <v>1499</v>
      </c>
      <c r="G1472" s="25">
        <f t="shared" si="19"/>
        <v>-1.954314720812167E-2</v>
      </c>
    </row>
    <row r="1473" spans="1:7">
      <c r="A1473" s="67">
        <v>71.002386445726088</v>
      </c>
      <c r="B1473" s="67">
        <v>71.986149013742377</v>
      </c>
      <c r="C1473" s="67">
        <v>70.280358872870096</v>
      </c>
      <c r="D1473" s="67">
        <v>70.533068523369693</v>
      </c>
      <c r="E1473" s="67">
        <v>2469453.6151123163</v>
      </c>
      <c r="F1473" s="67" t="s">
        <v>1500</v>
      </c>
      <c r="G1473" s="25">
        <f t="shared" si="19"/>
        <v>6.653870761356373E-3</v>
      </c>
    </row>
    <row r="1474" spans="1:7">
      <c r="A1474" s="67">
        <v>70.009598533049086</v>
      </c>
      <c r="B1474" s="67">
        <v>70.505992489387594</v>
      </c>
      <c r="C1474" s="67">
        <v>68.616987851903104</v>
      </c>
      <c r="D1474" s="67">
        <v>69.729812848567406</v>
      </c>
      <c r="E1474" s="67">
        <v>2929705.2903849445</v>
      </c>
      <c r="F1474" s="67" t="s">
        <v>1501</v>
      </c>
      <c r="G1474" s="25">
        <f t="shared" si="19"/>
        <v>4.01242557597703E-3</v>
      </c>
    </row>
    <row r="1475" spans="1:7">
      <c r="A1475" s="67">
        <v>70.469891110744797</v>
      </c>
      <c r="B1475" s="67">
        <v>72.121529183652868</v>
      </c>
      <c r="C1475" s="67">
        <v>69.576381989335502</v>
      </c>
      <c r="D1475" s="67">
        <v>71.363400232154078</v>
      </c>
      <c r="E1475" s="67">
        <v>3685671.9882230414</v>
      </c>
      <c r="F1475" s="67" t="s">
        <v>1502</v>
      </c>
      <c r="G1475" s="25">
        <f t="shared" si="19"/>
        <v>-1.2520551410142744E-2</v>
      </c>
    </row>
    <row r="1476" spans="1:7">
      <c r="A1476" s="67">
        <v>70.533068523369693</v>
      </c>
      <c r="B1476" s="67">
        <v>72.148605217634966</v>
      </c>
      <c r="C1476" s="67">
        <v>70.496967144726895</v>
      </c>
      <c r="D1476" s="67">
        <v>71.697337984599983</v>
      </c>
      <c r="E1476" s="67">
        <v>3433196.311596273</v>
      </c>
      <c r="F1476" s="67" t="s">
        <v>1503</v>
      </c>
      <c r="G1476" s="25">
        <f t="shared" si="19"/>
        <v>-1.6238670694864066E-2</v>
      </c>
    </row>
    <row r="1477" spans="1:7">
      <c r="A1477" s="67">
        <v>72.762328654562566</v>
      </c>
      <c r="B1477" s="67">
        <v>74.007826217739151</v>
      </c>
      <c r="C1477" s="67">
        <v>72.50510633173262</v>
      </c>
      <c r="D1477" s="67">
        <v>72.735252620580468</v>
      </c>
      <c r="E1477" s="67">
        <v>3693427.9247142882</v>
      </c>
      <c r="F1477" s="67" t="s">
        <v>1504</v>
      </c>
      <c r="G1477" s="25">
        <f t="shared" si="19"/>
        <v>3.7225462216161631E-4</v>
      </c>
    </row>
    <row r="1478" spans="1:7">
      <c r="A1478" s="67">
        <v>72.211782630259876</v>
      </c>
      <c r="B1478" s="67">
        <v>73.042114339044275</v>
      </c>
      <c r="C1478" s="67">
        <v>71.778566086546277</v>
      </c>
      <c r="D1478" s="67">
        <v>72.437416246777374</v>
      </c>
      <c r="E1478" s="67">
        <v>2637648.8538614898</v>
      </c>
      <c r="F1478" s="67" t="s">
        <v>1505</v>
      </c>
      <c r="G1478" s="25">
        <f t="shared" si="19"/>
        <v>-3.1148766508846126E-3</v>
      </c>
    </row>
    <row r="1479" spans="1:7">
      <c r="A1479" s="67">
        <v>73.186519853615465</v>
      </c>
      <c r="B1479" s="67">
        <v>73.944648805114255</v>
      </c>
      <c r="C1479" s="67">
        <v>72.960886237097967</v>
      </c>
      <c r="D1479" s="67">
        <v>73.764141911900253</v>
      </c>
      <c r="E1479" s="67">
        <v>1858064.2214166198</v>
      </c>
      <c r="F1479" s="67" t="s">
        <v>1506</v>
      </c>
      <c r="G1479" s="25">
        <f t="shared" si="19"/>
        <v>-7.8306619356416363E-3</v>
      </c>
    </row>
    <row r="1480" spans="1:7">
      <c r="A1480" s="67">
        <v>73.511432261400657</v>
      </c>
      <c r="B1480" s="67">
        <v>74.386890693488553</v>
      </c>
      <c r="C1480" s="67">
        <v>73.348976057508054</v>
      </c>
      <c r="D1480" s="67">
        <v>73.890496737150059</v>
      </c>
      <c r="E1480" s="67">
        <v>2142650.5831080768</v>
      </c>
      <c r="F1480" s="67" t="s">
        <v>1507</v>
      </c>
      <c r="G1480" s="25">
        <f t="shared" si="19"/>
        <v>-5.1300842799560931E-3</v>
      </c>
    </row>
    <row r="1481" spans="1:7">
      <c r="A1481" s="67">
        <v>73.773167256560953</v>
      </c>
      <c r="B1481" s="67">
        <v>74.215409144935251</v>
      </c>
      <c r="C1481" s="67">
        <v>72.91575951379447</v>
      </c>
      <c r="D1481" s="67">
        <v>73.394102780811551</v>
      </c>
      <c r="E1481" s="67">
        <v>3089208.3403092856</v>
      </c>
      <c r="F1481" s="67" t="s">
        <v>1508</v>
      </c>
      <c r="G1481" s="25">
        <f t="shared" si="19"/>
        <v>5.1647811116577458E-3</v>
      </c>
    </row>
    <row r="1482" spans="1:7">
      <c r="A1482" s="67">
        <v>73.231646576918962</v>
      </c>
      <c r="B1482" s="67">
        <v>73.863420703167961</v>
      </c>
      <c r="C1482" s="67">
        <v>72.90673416913377</v>
      </c>
      <c r="D1482" s="67">
        <v>73.565584329364867</v>
      </c>
      <c r="E1482" s="67">
        <v>3536304.8393018325</v>
      </c>
      <c r="F1482" s="67" t="s">
        <v>1509</v>
      </c>
      <c r="G1482" s="25">
        <f t="shared" si="19"/>
        <v>-4.5393203287941164E-3</v>
      </c>
    </row>
    <row r="1483" spans="1:7">
      <c r="A1483" s="67">
        <v>73.276773300222459</v>
      </c>
      <c r="B1483" s="67">
        <v>74.558372242041841</v>
      </c>
      <c r="C1483" s="67">
        <v>72.879658135151672</v>
      </c>
      <c r="D1483" s="67">
        <v>73.890496737150059</v>
      </c>
      <c r="E1483" s="67">
        <v>2911725.9216073076</v>
      </c>
      <c r="F1483" s="67" t="s">
        <v>1510</v>
      </c>
      <c r="G1483" s="25">
        <f t="shared" si="19"/>
        <v>-8.3058507389764946E-3</v>
      </c>
    </row>
    <row r="1484" spans="1:7">
      <c r="A1484" s="67">
        <v>73.845370013846548</v>
      </c>
      <c r="B1484" s="67">
        <v>74.287611902220846</v>
      </c>
      <c r="C1484" s="67">
        <v>72.771353999223265</v>
      </c>
      <c r="D1484" s="67">
        <v>72.771353999223265</v>
      </c>
      <c r="E1484" s="67">
        <v>1971998.9284730323</v>
      </c>
      <c r="F1484" s="67" t="s">
        <v>1511</v>
      </c>
      <c r="G1484" s="25">
        <f t="shared" si="19"/>
        <v>1.4758774649634043E-2</v>
      </c>
    </row>
    <row r="1485" spans="1:7">
      <c r="A1485" s="67">
        <v>72.70817658659837</v>
      </c>
      <c r="B1485" s="67">
        <v>72.861607445830273</v>
      </c>
      <c r="C1485" s="67">
        <v>71.507896000171883</v>
      </c>
      <c r="D1485" s="67">
        <v>71.516831091385981</v>
      </c>
      <c r="E1485" s="67">
        <v>2386820.7597436476</v>
      </c>
      <c r="F1485" s="67" t="s">
        <v>1512</v>
      </c>
      <c r="G1485" s="25">
        <f t="shared" si="19"/>
        <v>1.6658253407370038E-2</v>
      </c>
    </row>
    <row r="1486" spans="1:7">
      <c r="A1486" s="67">
        <v>72.238858664241974</v>
      </c>
      <c r="B1486" s="67">
        <v>73.412153470132964</v>
      </c>
      <c r="C1486" s="67">
        <v>72.202757285599176</v>
      </c>
      <c r="D1486" s="67">
        <v>72.491568314741556</v>
      </c>
      <c r="E1486" s="67">
        <v>1837966.3739859452</v>
      </c>
      <c r="F1486" s="67" t="s">
        <v>1513</v>
      </c>
      <c r="G1486" s="25">
        <f t="shared" si="19"/>
        <v>-3.4860557768922051E-3</v>
      </c>
    </row>
    <row r="1487" spans="1:7">
      <c r="A1487" s="67">
        <v>72.29301073220617</v>
      </c>
      <c r="B1487" s="67">
        <v>72.951860892437267</v>
      </c>
      <c r="C1487" s="67">
        <v>71.561957814689492</v>
      </c>
      <c r="D1487" s="67">
        <v>71.73343936324278</v>
      </c>
      <c r="E1487" s="67">
        <v>2185598.5274328911</v>
      </c>
      <c r="F1487" s="67" t="s">
        <v>1514</v>
      </c>
      <c r="G1487" s="25">
        <f t="shared" si="19"/>
        <v>7.8007045797683361E-3</v>
      </c>
    </row>
    <row r="1488" spans="1:7">
      <c r="A1488" s="67">
        <v>71.868819533153271</v>
      </c>
      <c r="B1488" s="67">
        <v>72.193731940938463</v>
      </c>
      <c r="C1488" s="67">
        <v>70.885056965136997</v>
      </c>
      <c r="D1488" s="67">
        <v>71.146791960297278</v>
      </c>
      <c r="E1488" s="67">
        <v>3007674.6119405194</v>
      </c>
      <c r="F1488" s="67" t="s">
        <v>1515</v>
      </c>
      <c r="G1488" s="25">
        <f t="shared" si="19"/>
        <v>1.0148420652036139E-2</v>
      </c>
    </row>
    <row r="1489" spans="1:7">
      <c r="A1489" s="67">
        <v>70.848955586494185</v>
      </c>
      <c r="B1489" s="67">
        <v>71.336324198171994</v>
      </c>
      <c r="C1489" s="67">
        <v>70.154004047620305</v>
      </c>
      <c r="D1489" s="67">
        <v>71.164842649618677</v>
      </c>
      <c r="E1489" s="67">
        <v>4475306.0983787123</v>
      </c>
      <c r="F1489" s="67" t="s">
        <v>1516</v>
      </c>
      <c r="G1489" s="25">
        <f t="shared" si="19"/>
        <v>-4.4388078630309691E-3</v>
      </c>
    </row>
    <row r="1490" spans="1:7">
      <c r="A1490" s="67">
        <v>71.164842649618677</v>
      </c>
      <c r="B1490" s="67">
        <v>73.376052091490152</v>
      </c>
      <c r="C1490" s="67">
        <v>70.903107654458395</v>
      </c>
      <c r="D1490" s="67">
        <v>73.105291751669156</v>
      </c>
      <c r="E1490" s="67">
        <v>4791410.3699887414</v>
      </c>
      <c r="F1490" s="67" t="s">
        <v>1517</v>
      </c>
      <c r="G1490" s="25">
        <f t="shared" si="19"/>
        <v>-2.6543209876543239E-2</v>
      </c>
    </row>
    <row r="1491" spans="1:7">
      <c r="A1491" s="67">
        <v>73.691939154614658</v>
      </c>
      <c r="B1491" s="67">
        <v>74.02587690706055</v>
      </c>
      <c r="C1491" s="67">
        <v>72.44644159143806</v>
      </c>
      <c r="D1491" s="67">
        <v>73.024063649722862</v>
      </c>
      <c r="E1491" s="67">
        <v>1669273.6473104043</v>
      </c>
      <c r="F1491" s="67" t="s">
        <v>1518</v>
      </c>
      <c r="G1491" s="25">
        <f t="shared" si="19"/>
        <v>9.1459646520826166E-3</v>
      </c>
    </row>
    <row r="1492" spans="1:7">
      <c r="A1492" s="67">
        <v>72.617923139991362</v>
      </c>
      <c r="B1492" s="67">
        <v>73.980750183757053</v>
      </c>
      <c r="C1492" s="67">
        <v>72.450954263768423</v>
      </c>
      <c r="D1492" s="67">
        <v>72.635973829312775</v>
      </c>
      <c r="E1492" s="67">
        <v>2842532.996187042</v>
      </c>
      <c r="F1492" s="67" t="s">
        <v>1519</v>
      </c>
      <c r="G1492" s="25">
        <f t="shared" si="19"/>
        <v>-2.4850894632222342E-4</v>
      </c>
    </row>
    <row r="1493" spans="1:7">
      <c r="A1493" s="67">
        <v>72.717201931259055</v>
      </c>
      <c r="B1493" s="67">
        <v>72.820993394857112</v>
      </c>
      <c r="C1493" s="67">
        <v>71.363400232154078</v>
      </c>
      <c r="D1493" s="67">
        <v>71.453653678761086</v>
      </c>
      <c r="E1493" s="67">
        <v>2657813.1807478038</v>
      </c>
      <c r="F1493" s="67" t="s">
        <v>1520</v>
      </c>
      <c r="G1493" s="25">
        <f t="shared" si="19"/>
        <v>1.7683465959327904E-2</v>
      </c>
    </row>
    <row r="1494" spans="1:7">
      <c r="A1494" s="67">
        <v>71.146791960297278</v>
      </c>
      <c r="B1494" s="67">
        <v>72.139579872974281</v>
      </c>
      <c r="C1494" s="67">
        <v>70.97531041174399</v>
      </c>
      <c r="D1494" s="67">
        <v>71.607084537992989</v>
      </c>
      <c r="E1494" s="67">
        <v>1702637.4701138926</v>
      </c>
      <c r="F1494" s="67" t="s">
        <v>1521</v>
      </c>
      <c r="G1494" s="25">
        <f t="shared" si="19"/>
        <v>-6.4280312578777199E-3</v>
      </c>
    </row>
    <row r="1495" spans="1:7">
      <c r="A1495" s="67">
        <v>71.95004763509958</v>
      </c>
      <c r="B1495" s="67">
        <v>74.355663000962537</v>
      </c>
      <c r="C1495" s="67">
        <v>71.697337984599983</v>
      </c>
      <c r="D1495" s="67">
        <v>74.02587690706055</v>
      </c>
      <c r="E1495" s="67">
        <v>2338150.0422792207</v>
      </c>
      <c r="F1495" s="67" t="s">
        <v>1522</v>
      </c>
      <c r="G1495" s="25">
        <f t="shared" si="19"/>
        <v>-2.8041940990002345E-2</v>
      </c>
    </row>
    <row r="1496" spans="1:7">
      <c r="A1496" s="67">
        <v>72.581821761348564</v>
      </c>
      <c r="B1496" s="67">
        <v>73.285798644883158</v>
      </c>
      <c r="C1496" s="67">
        <v>71.32729885351128</v>
      </c>
      <c r="D1496" s="67">
        <v>71.74246470790348</v>
      </c>
      <c r="E1496" s="67">
        <v>3385498.4101660335</v>
      </c>
      <c r="F1496" s="67" t="s">
        <v>1523</v>
      </c>
      <c r="G1496" s="25">
        <f t="shared" si="19"/>
        <v>1.1699584853440692E-2</v>
      </c>
    </row>
    <row r="1497" spans="1:7">
      <c r="A1497" s="67">
        <v>71.381450921475491</v>
      </c>
      <c r="B1497" s="67">
        <v>72.572796416687865</v>
      </c>
      <c r="C1497" s="67">
        <v>71.318273508850581</v>
      </c>
      <c r="D1497" s="67">
        <v>71.652211261296486</v>
      </c>
      <c r="E1497" s="67">
        <v>3978262.4763734648</v>
      </c>
      <c r="F1497" s="67" t="s">
        <v>1524</v>
      </c>
      <c r="G1497" s="25">
        <f t="shared" si="19"/>
        <v>-3.7788134525759132E-3</v>
      </c>
    </row>
    <row r="1498" spans="1:7">
      <c r="A1498" s="67">
        <v>71.787591431206977</v>
      </c>
      <c r="B1498" s="67">
        <v>73.19554519827615</v>
      </c>
      <c r="C1498" s="67">
        <v>71.643185916635773</v>
      </c>
      <c r="D1498" s="67">
        <v>72.70817658659837</v>
      </c>
      <c r="E1498" s="67">
        <v>1986871.4906904614</v>
      </c>
      <c r="F1498" s="67" t="s">
        <v>1525</v>
      </c>
      <c r="G1498" s="25">
        <f t="shared" si="19"/>
        <v>-1.2661370407149986E-2</v>
      </c>
    </row>
    <row r="1499" spans="1:7">
      <c r="A1499" s="67">
        <v>71.87784487781397</v>
      </c>
      <c r="B1499" s="67">
        <v>72.166655906956365</v>
      </c>
      <c r="C1499" s="67">
        <v>70.623321969976686</v>
      </c>
      <c r="D1499" s="67">
        <v>70.821879552512087</v>
      </c>
      <c r="E1499" s="67">
        <v>2472277.8839860572</v>
      </c>
      <c r="F1499" s="67" t="s">
        <v>1526</v>
      </c>
      <c r="G1499" s="25">
        <f t="shared" si="19"/>
        <v>1.4910156747801606E-2</v>
      </c>
    </row>
    <row r="1500" spans="1:7">
      <c r="A1500" s="67">
        <v>71.029462479708187</v>
      </c>
      <c r="B1500" s="67">
        <v>71.625135227314374</v>
      </c>
      <c r="C1500" s="67">
        <v>70.144978702959591</v>
      </c>
      <c r="D1500" s="67">
        <v>70.758702139887191</v>
      </c>
      <c r="E1500" s="67">
        <v>4207437.1037986744</v>
      </c>
      <c r="F1500" s="67" t="s">
        <v>1527</v>
      </c>
      <c r="G1500" s="25">
        <f t="shared" si="19"/>
        <v>3.8265306122449161E-3</v>
      </c>
    </row>
    <row r="1501" spans="1:7">
      <c r="A1501" s="67">
        <v>70.695524727262296</v>
      </c>
      <c r="B1501" s="67">
        <v>72.085427805010085</v>
      </c>
      <c r="C1501" s="67">
        <v>70.650398003958799</v>
      </c>
      <c r="D1501" s="67">
        <v>71.661236605957185</v>
      </c>
      <c r="E1501" s="67">
        <v>2247233.8467379003</v>
      </c>
      <c r="F1501" s="67" t="s">
        <v>1528</v>
      </c>
      <c r="G1501" s="25">
        <f t="shared" si="19"/>
        <v>-1.3476070528967266E-2</v>
      </c>
    </row>
    <row r="1502" spans="1:7">
      <c r="A1502" s="67">
        <v>71.345349542832679</v>
      </c>
      <c r="B1502" s="67">
        <v>72.401314868134563</v>
      </c>
      <c r="C1502" s="67">
        <v>70.4247643874413</v>
      </c>
      <c r="D1502" s="67">
        <v>72.29301073220617</v>
      </c>
      <c r="E1502" s="67">
        <v>3528244.2053055726</v>
      </c>
      <c r="F1502" s="67" t="s">
        <v>1529</v>
      </c>
      <c r="G1502" s="25">
        <f t="shared" si="19"/>
        <v>-1.310861423220977E-2</v>
      </c>
    </row>
    <row r="1503" spans="1:7">
      <c r="A1503" s="67">
        <v>72.428390902116675</v>
      </c>
      <c r="B1503" s="67">
        <v>73.87695872015901</v>
      </c>
      <c r="C1503" s="67">
        <v>71.516831091385981</v>
      </c>
      <c r="D1503" s="67">
        <v>73.836344669185863</v>
      </c>
      <c r="E1503" s="67">
        <v>3014830.0173491579</v>
      </c>
      <c r="F1503" s="67" t="s">
        <v>1530</v>
      </c>
      <c r="G1503" s="25">
        <f>A1503/D1503-1</f>
        <v>-1.9068573524019139E-2</v>
      </c>
    </row>
    <row r="1504" spans="1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  <row r="1565" spans="7:7">
      <c r="G1565" s="25"/>
    </row>
    <row r="1566" spans="7:7">
      <c r="G1566" s="25"/>
    </row>
    <row r="1567" spans="7:7">
      <c r="G1567" s="25"/>
    </row>
    <row r="1568" spans="7:7">
      <c r="G1568" s="25"/>
    </row>
    <row r="1569" spans="7:7">
      <c r="G1569" s="25"/>
    </row>
    <row r="1570" spans="7:7">
      <c r="G1570" s="25"/>
    </row>
    <row r="1571" spans="7:7">
      <c r="G1571" s="25"/>
    </row>
    <row r="1572" spans="7:7">
      <c r="G1572" s="25"/>
    </row>
    <row r="1573" spans="7:7">
      <c r="G1573" s="25"/>
    </row>
    <row r="1574" spans="7:7">
      <c r="G1574" s="25"/>
    </row>
    <row r="1575" spans="7:7">
      <c r="G1575" s="25"/>
    </row>
    <row r="1576" spans="7:7">
      <c r="G1576" s="25"/>
    </row>
    <row r="1577" spans="7:7">
      <c r="G1577" s="25"/>
    </row>
    <row r="1578" spans="7:7">
      <c r="G1578" s="25"/>
    </row>
    <row r="1579" spans="7:7">
      <c r="G1579" s="25"/>
    </row>
    <row r="1580" spans="7:7">
      <c r="G1580" s="25"/>
    </row>
    <row r="1581" spans="7:7">
      <c r="G1581" s="25"/>
    </row>
    <row r="1582" spans="7:7">
      <c r="G1582" s="25"/>
    </row>
    <row r="1583" spans="7:7">
      <c r="G1583" s="25"/>
    </row>
    <row r="1584" spans="7:7">
      <c r="G1584" s="25"/>
    </row>
    <row r="1585" spans="7:7">
      <c r="G1585" s="25"/>
    </row>
    <row r="1586" spans="7:7">
      <c r="G1586" s="25"/>
    </row>
    <row r="1587" spans="7:7">
      <c r="G1587" s="25"/>
    </row>
    <row r="1588" spans="7:7">
      <c r="G1588" s="25"/>
    </row>
    <row r="1589" spans="7:7">
      <c r="G1589" s="25"/>
    </row>
    <row r="1590" spans="7:7">
      <c r="G1590" s="25"/>
    </row>
    <row r="1591" spans="7:7">
      <c r="G1591" s="25"/>
    </row>
    <row r="1592" spans="7:7">
      <c r="G1592" s="25"/>
    </row>
    <row r="1593" spans="7:7">
      <c r="G1593" s="25"/>
    </row>
    <row r="1594" spans="7:7">
      <c r="G1594" s="25"/>
    </row>
    <row r="1595" spans="7:7">
      <c r="G1595" s="25"/>
    </row>
    <row r="1596" spans="7:7">
      <c r="G1596" s="25"/>
    </row>
    <row r="1597" spans="7:7">
      <c r="G1597" s="25"/>
    </row>
    <row r="1598" spans="7:7">
      <c r="G1598" s="25"/>
    </row>
    <row r="1599" spans="7:7">
      <c r="G1599" s="25"/>
    </row>
    <row r="1600" spans="7:7">
      <c r="G1600" s="25"/>
    </row>
    <row r="1601" spans="7:7">
      <c r="G1601" s="25"/>
    </row>
    <row r="1602" spans="7:7">
      <c r="G1602" s="25"/>
    </row>
    <row r="1603" spans="7:7">
      <c r="G1603" s="25"/>
    </row>
    <row r="1604" spans="7:7">
      <c r="G1604" s="25"/>
    </row>
    <row r="1605" spans="7:7">
      <c r="G1605" s="25"/>
    </row>
    <row r="1606" spans="7:7">
      <c r="G1606" s="25"/>
    </row>
    <row r="1607" spans="7:7">
      <c r="G1607" s="25"/>
    </row>
    <row r="1608" spans="7:7">
      <c r="G1608" s="25"/>
    </row>
    <row r="1609" spans="7:7">
      <c r="G1609" s="25"/>
    </row>
    <row r="1610" spans="7:7">
      <c r="G1610" s="25"/>
    </row>
    <row r="1611" spans="7:7">
      <c r="G1611" s="25"/>
    </row>
    <row r="1612" spans="7:7">
      <c r="G1612" s="25"/>
    </row>
    <row r="1613" spans="7:7">
      <c r="G1613" s="25"/>
    </row>
    <row r="1614" spans="7:7">
      <c r="G1614" s="25"/>
    </row>
    <row r="1615" spans="7:7">
      <c r="G1615" s="25"/>
    </row>
    <row r="1616" spans="7:7">
      <c r="G1616" s="25"/>
    </row>
    <row r="1617" spans="7:7">
      <c r="G1617" s="25"/>
    </row>
    <row r="1618" spans="7:7">
      <c r="G1618" s="25"/>
    </row>
  </sheetData>
  <sortState xmlns:xlrd2="http://schemas.microsoft.com/office/spreadsheetml/2017/richdata2" ref="I281:I375">
    <sortCondition ref="I28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2025-12-25T10:54:56Z</dcterms:modified>
</cp:coreProperties>
</file>