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chart4.xml" ContentType="application/vnd.openxmlformats-officedocument.drawingml.chart+xml"/>
  <Override PartName="/xl/drawings/drawing4.xml" ContentType="application/vnd.openxmlformats-officedocument.drawing+xml"/>
  <Override PartName="/xl/tables/table1.xml" ContentType="application/vnd.openxmlformats-officedocument.spreadsheetml.table+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User\OneDrive\Desktop\Equity Research\Models\Technology\"/>
    </mc:Choice>
  </mc:AlternateContent>
  <xr:revisionPtr revIDLastSave="0" documentId="13_ncr:1_{E7A6CFD2-0C0D-4819-B88C-10D8B498DDDF}" xr6:coauthVersionLast="47" xr6:coauthVersionMax="47" xr10:uidLastSave="{00000000-0000-0000-0000-000000000000}"/>
  <bookViews>
    <workbookView xWindow="28695" yWindow="0" windowWidth="12435" windowHeight="15585" activeTab="1" xr2:uid="{00000000-000D-0000-FFFF-FFFF00000000}"/>
  </bookViews>
  <sheets>
    <sheet name="Main" sheetId="1" r:id="rId1"/>
    <sheet name="Model" sheetId="2" r:id="rId2"/>
    <sheet name="Notes | Quant Analysis" sheetId="3" r:id="rId3"/>
    <sheet name="Product Lines" sheetId="5" r:id="rId4"/>
    <sheet name="M&amp;A" sheetId="7" r:id="rId5"/>
    <sheet name="Management" sheetId="6" r:id="rId6"/>
    <sheet name="Table Formatting" sheetId="4" r:id="rId7"/>
  </sheets>
  <externalReferences>
    <externalReference r:id="rId8"/>
  </externalReferences>
  <definedNames>
    <definedName name="ExternalData_2" localSheetId="4" hidden="1">'M&amp;A'!$B$2:$H$282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1" l="1"/>
  <c r="C6" i="1"/>
  <c r="BN37" i="2"/>
  <c r="BN36" i="2"/>
  <c r="BN35" i="2"/>
  <c r="BN34" i="2"/>
  <c r="BN33" i="2"/>
  <c r="BN32" i="2"/>
  <c r="BN31" i="2"/>
  <c r="BN30" i="2"/>
  <c r="BN29" i="2"/>
  <c r="BN28" i="2"/>
  <c r="BO37" i="2"/>
  <c r="BO36" i="2"/>
  <c r="BO35" i="2"/>
  <c r="BO34" i="2"/>
  <c r="BO33" i="2"/>
  <c r="BO32" i="2"/>
  <c r="BO31" i="2"/>
  <c r="BO30" i="2"/>
  <c r="BO29" i="2"/>
  <c r="BO28" i="2"/>
  <c r="C48" i="2"/>
  <c r="D48" i="2"/>
  <c r="E48" i="2"/>
  <c r="F48" i="2"/>
  <c r="G48" i="2"/>
  <c r="H48" i="2"/>
  <c r="I48" i="2"/>
  <c r="J48" i="2"/>
  <c r="K48" i="2"/>
  <c r="L48" i="2"/>
  <c r="M48" i="2"/>
  <c r="N48" i="2"/>
  <c r="O48" i="2"/>
  <c r="P48" i="2"/>
  <c r="Q48" i="2"/>
  <c r="R48" i="2"/>
  <c r="S48" i="2"/>
  <c r="T48" i="2"/>
  <c r="U48" i="2"/>
  <c r="V48" i="2"/>
  <c r="W48" i="2"/>
  <c r="X48" i="2"/>
  <c r="Y48" i="2"/>
  <c r="Z48" i="2"/>
  <c r="AA48" i="2"/>
  <c r="AB48" i="2"/>
  <c r="AC48" i="2"/>
  <c r="AD48" i="2"/>
  <c r="AE48" i="2"/>
  <c r="AF48" i="2"/>
  <c r="AG48" i="2"/>
  <c r="AH48" i="2"/>
  <c r="AI48" i="2"/>
  <c r="AJ48" i="2"/>
  <c r="AK48" i="2"/>
  <c r="AL48" i="2"/>
  <c r="AM57" i="2"/>
  <c r="AN57" i="2"/>
  <c r="AO57" i="2"/>
  <c r="AP57" i="2"/>
  <c r="AQ57" i="2"/>
  <c r="AR57" i="2"/>
  <c r="AS57" i="2"/>
  <c r="AT57" i="2"/>
  <c r="AU57" i="2"/>
  <c r="AV57" i="2"/>
  <c r="AW57" i="2"/>
  <c r="AX57" i="2"/>
  <c r="AY57" i="2"/>
  <c r="AZ57" i="2"/>
  <c r="BA57" i="2"/>
  <c r="BB57" i="2"/>
  <c r="BC57" i="2"/>
  <c r="BD57" i="2"/>
  <c r="BE57" i="2"/>
  <c r="BF57" i="2"/>
  <c r="BG57" i="2"/>
  <c r="BH57" i="2"/>
  <c r="BI57" i="2"/>
  <c r="BJ57" i="2"/>
  <c r="BK57" i="2"/>
  <c r="BL57" i="2"/>
  <c r="BM57" i="2"/>
  <c r="BO112" i="2"/>
  <c r="BO111" i="2"/>
  <c r="BO104" i="2"/>
  <c r="BO102" i="2"/>
  <c r="BO101" i="2"/>
  <c r="BO100" i="2"/>
  <c r="BO96" i="2"/>
  <c r="BO98" i="2" s="1"/>
  <c r="BO81" i="2"/>
  <c r="BO52" i="2"/>
  <c r="BO44" i="2"/>
  <c r="BO43" i="2"/>
  <c r="BO41" i="2"/>
  <c r="BO25" i="2"/>
  <c r="BO24" i="2"/>
  <c r="BO23" i="2"/>
  <c r="BO22" i="2"/>
  <c r="BO21" i="2"/>
  <c r="BO20" i="2"/>
  <c r="BO19" i="2"/>
  <c r="BO18" i="2"/>
  <c r="BO17" i="2"/>
  <c r="BO16" i="2"/>
  <c r="BO14" i="2"/>
  <c r="BO46" i="2" s="1"/>
  <c r="CY75" i="2"/>
  <c r="CT74" i="2"/>
  <c r="CY82" i="2"/>
  <c r="CY80" i="2"/>
  <c r="CY76" i="2"/>
  <c r="CP54" i="2"/>
  <c r="BN51" i="2"/>
  <c r="CO51" i="2" s="1"/>
  <c r="BN50" i="2"/>
  <c r="BN49" i="2"/>
  <c r="CO49" i="2" s="1"/>
  <c r="BN47" i="2"/>
  <c r="CO47" i="2" s="1"/>
  <c r="CO110" i="2"/>
  <c r="CO109" i="2"/>
  <c r="CO102" i="2"/>
  <c r="CO101" i="2"/>
  <c r="CO100" i="2"/>
  <c r="CO58" i="2"/>
  <c r="CO50" i="2"/>
  <c r="BN40" i="2"/>
  <c r="BN39" i="2"/>
  <c r="BJ46" i="2"/>
  <c r="BJ5" i="2"/>
  <c r="BJ4" i="2"/>
  <c r="BJ13" i="2"/>
  <c r="BJ12" i="2"/>
  <c r="BJ11" i="2"/>
  <c r="BJ10" i="2"/>
  <c r="BJ9" i="2"/>
  <c r="BJ8" i="2"/>
  <c r="BJ7" i="2"/>
  <c r="CN7" i="2" s="1"/>
  <c r="BJ6" i="2"/>
  <c r="BN13" i="2"/>
  <c r="BN12" i="2"/>
  <c r="BN11" i="2"/>
  <c r="BN10" i="2"/>
  <c r="BN9" i="2"/>
  <c r="BN8" i="2"/>
  <c r="BN7" i="2"/>
  <c r="BN6" i="2"/>
  <c r="BN5" i="2"/>
  <c r="BN4" i="2"/>
  <c r="BN112" i="2"/>
  <c r="BN111" i="2"/>
  <c r="BN102" i="2"/>
  <c r="BN101" i="2"/>
  <c r="BN100" i="2"/>
  <c r="BN96" i="2"/>
  <c r="BN98" i="2" s="1"/>
  <c r="BN81" i="2"/>
  <c r="CO56" i="2"/>
  <c r="CO54" i="2"/>
  <c r="BO113" i="2" l="1"/>
  <c r="BO64" i="2"/>
  <c r="BO48" i="2"/>
  <c r="BO63" i="2"/>
  <c r="BO62" i="2"/>
  <c r="BO103" i="2"/>
  <c r="BO65" i="2"/>
  <c r="CO13" i="2"/>
  <c r="CP13" i="2" s="1"/>
  <c r="CQ13" i="2" s="1"/>
  <c r="CR13" i="2" s="1"/>
  <c r="CS13" i="2" s="1"/>
  <c r="CT13" i="2" s="1"/>
  <c r="CU13" i="2" s="1"/>
  <c r="CV13" i="2" s="1"/>
  <c r="CW13" i="2" s="1"/>
  <c r="CX13" i="2" s="1"/>
  <c r="CY13" i="2" s="1"/>
  <c r="CY77" i="2"/>
  <c r="BN104" i="2"/>
  <c r="CO10" i="2"/>
  <c r="CP10" i="2" s="1"/>
  <c r="CQ10" i="2" s="1"/>
  <c r="CR10" i="2" s="1"/>
  <c r="CS10" i="2" s="1"/>
  <c r="CT10" i="2" s="1"/>
  <c r="CU10" i="2" s="1"/>
  <c r="CV10" i="2" s="1"/>
  <c r="CW10" i="2" s="1"/>
  <c r="CX10" i="2" s="1"/>
  <c r="CY10" i="2" s="1"/>
  <c r="BN23" i="2"/>
  <c r="BN17" i="2"/>
  <c r="CO5" i="2"/>
  <c r="CP5" i="2" s="1"/>
  <c r="CQ5" i="2" s="1"/>
  <c r="CR5" i="2" s="1"/>
  <c r="CO6" i="2"/>
  <c r="CP6" i="2" s="1"/>
  <c r="CQ6" i="2" s="1"/>
  <c r="CR6" i="2" s="1"/>
  <c r="CS6" i="2" s="1"/>
  <c r="CT6" i="2" s="1"/>
  <c r="CU6" i="2" s="1"/>
  <c r="CV6" i="2" s="1"/>
  <c r="CW6" i="2" s="1"/>
  <c r="CX6" i="2" s="1"/>
  <c r="CY6" i="2" s="1"/>
  <c r="BN21" i="2"/>
  <c r="CO11" i="2"/>
  <c r="CP11" i="2" s="1"/>
  <c r="CQ11" i="2" s="1"/>
  <c r="CR11" i="2" s="1"/>
  <c r="CS11" i="2" s="1"/>
  <c r="CT11" i="2" s="1"/>
  <c r="CU11" i="2" s="1"/>
  <c r="CV11" i="2" s="1"/>
  <c r="CW11" i="2" s="1"/>
  <c r="CX11" i="2" s="1"/>
  <c r="CY11" i="2" s="1"/>
  <c r="BN113" i="2"/>
  <c r="BN22" i="2"/>
  <c r="CO4" i="2"/>
  <c r="CP4" i="2" s="1"/>
  <c r="CQ4" i="2" s="1"/>
  <c r="CR4" i="2" s="1"/>
  <c r="CS4" i="2" s="1"/>
  <c r="CT4" i="2" s="1"/>
  <c r="CU4" i="2" s="1"/>
  <c r="CV4" i="2" s="1"/>
  <c r="CW4" i="2" s="1"/>
  <c r="CX4" i="2" s="1"/>
  <c r="CY4" i="2" s="1"/>
  <c r="CO12" i="2"/>
  <c r="CP12" i="2" s="1"/>
  <c r="CQ12" i="2" s="1"/>
  <c r="CR12" i="2" s="1"/>
  <c r="CS12" i="2" s="1"/>
  <c r="CT12" i="2" s="1"/>
  <c r="CU12" i="2" s="1"/>
  <c r="CV12" i="2" s="1"/>
  <c r="CW12" i="2" s="1"/>
  <c r="CX12" i="2" s="1"/>
  <c r="CY12" i="2" s="1"/>
  <c r="BN24" i="2"/>
  <c r="CO39" i="2"/>
  <c r="BN19" i="2"/>
  <c r="BN41" i="2"/>
  <c r="BN25" i="2"/>
  <c r="CO7" i="2"/>
  <c r="CP7" i="2" s="1"/>
  <c r="CQ7" i="2" s="1"/>
  <c r="CR7" i="2" s="1"/>
  <c r="CS7" i="2" s="1"/>
  <c r="CT7" i="2" s="1"/>
  <c r="CU7" i="2" s="1"/>
  <c r="CV7" i="2" s="1"/>
  <c r="CW7" i="2" s="1"/>
  <c r="CX7" i="2" s="1"/>
  <c r="CY7" i="2" s="1"/>
  <c r="CO40" i="2"/>
  <c r="BN18" i="2"/>
  <c r="BN16" i="2"/>
  <c r="CO8" i="2"/>
  <c r="CP8" i="2" s="1"/>
  <c r="CQ8" i="2" s="1"/>
  <c r="CR8" i="2" s="1"/>
  <c r="CS8" i="2" s="1"/>
  <c r="CT8" i="2" s="1"/>
  <c r="CU8" i="2" s="1"/>
  <c r="CV8" i="2" s="1"/>
  <c r="CW8" i="2" s="1"/>
  <c r="CX8" i="2" s="1"/>
  <c r="CY8" i="2" s="1"/>
  <c r="CO9" i="2"/>
  <c r="CP9" i="2" s="1"/>
  <c r="CQ9" i="2" s="1"/>
  <c r="CR9" i="2" s="1"/>
  <c r="CS9" i="2" s="1"/>
  <c r="CT9" i="2" s="1"/>
  <c r="CU9" i="2" s="1"/>
  <c r="CV9" i="2" s="1"/>
  <c r="CW9" i="2" s="1"/>
  <c r="CX9" i="2" s="1"/>
  <c r="CY9" i="2" s="1"/>
  <c r="BN20" i="2"/>
  <c r="BN14" i="2"/>
  <c r="BN52" i="2"/>
  <c r="G2982" i="3"/>
  <c r="G2981" i="3"/>
  <c r="G2980" i="3"/>
  <c r="G2979" i="3"/>
  <c r="G2978" i="3"/>
  <c r="G2977" i="3"/>
  <c r="G2976" i="3"/>
  <c r="G2975" i="3"/>
  <c r="G2974" i="3"/>
  <c r="G2973" i="3"/>
  <c r="G2972" i="3"/>
  <c r="G2971" i="3"/>
  <c r="G2970" i="3"/>
  <c r="G2969" i="3"/>
  <c r="G2968" i="3"/>
  <c r="G2967" i="3"/>
  <c r="G2966" i="3"/>
  <c r="G2965" i="3"/>
  <c r="G2964" i="3"/>
  <c r="G2963" i="3"/>
  <c r="G2962" i="3"/>
  <c r="G2961" i="3"/>
  <c r="G2960" i="3"/>
  <c r="G2959" i="3"/>
  <c r="G2958" i="3"/>
  <c r="G2957" i="3"/>
  <c r="G2956" i="3"/>
  <c r="G2955" i="3"/>
  <c r="G2954" i="3"/>
  <c r="G2953" i="3"/>
  <c r="G2952" i="3"/>
  <c r="G2951" i="3"/>
  <c r="G2950" i="3"/>
  <c r="G2949" i="3"/>
  <c r="G2948" i="3"/>
  <c r="G2947" i="3"/>
  <c r="G2946" i="3"/>
  <c r="G2945" i="3"/>
  <c r="G2944" i="3"/>
  <c r="G2943" i="3"/>
  <c r="G2942" i="3"/>
  <c r="G2941" i="3"/>
  <c r="G2940" i="3"/>
  <c r="G2939" i="3"/>
  <c r="G2938" i="3"/>
  <c r="G2937" i="3"/>
  <c r="G2936" i="3"/>
  <c r="G2935" i="3"/>
  <c r="G2934" i="3"/>
  <c r="G2933" i="3"/>
  <c r="G2932" i="3"/>
  <c r="G2931" i="3"/>
  <c r="G2930" i="3"/>
  <c r="G2929" i="3"/>
  <c r="G2928" i="3"/>
  <c r="G2927" i="3"/>
  <c r="G2926" i="3"/>
  <c r="G2925" i="3"/>
  <c r="G2924" i="3"/>
  <c r="G2923" i="3"/>
  <c r="G2922" i="3"/>
  <c r="G2921" i="3"/>
  <c r="G2920" i="3"/>
  <c r="G2919" i="3"/>
  <c r="G2918" i="3"/>
  <c r="G2917" i="3"/>
  <c r="G2916" i="3"/>
  <c r="G2915" i="3"/>
  <c r="G2914" i="3"/>
  <c r="G2913" i="3"/>
  <c r="G2912" i="3"/>
  <c r="G2911" i="3"/>
  <c r="G2910" i="3"/>
  <c r="G2909" i="3"/>
  <c r="G2908" i="3"/>
  <c r="G2907" i="3"/>
  <c r="G2906" i="3"/>
  <c r="G2905" i="3"/>
  <c r="G2904" i="3"/>
  <c r="G2903" i="3"/>
  <c r="G2902" i="3"/>
  <c r="G2901" i="3"/>
  <c r="G2900" i="3"/>
  <c r="G2899" i="3"/>
  <c r="G2898" i="3"/>
  <c r="G2897" i="3"/>
  <c r="G2896" i="3"/>
  <c r="G2895" i="3"/>
  <c r="G2894" i="3"/>
  <c r="G2893" i="3"/>
  <c r="G2892" i="3"/>
  <c r="G2891" i="3"/>
  <c r="G2890" i="3"/>
  <c r="G2889" i="3"/>
  <c r="G2888" i="3"/>
  <c r="G2887" i="3"/>
  <c r="G2886" i="3"/>
  <c r="G2885" i="3"/>
  <c r="G2884" i="3"/>
  <c r="G2883" i="3"/>
  <c r="G2882" i="3"/>
  <c r="G2881" i="3"/>
  <c r="G2880" i="3"/>
  <c r="G2879" i="3"/>
  <c r="G2878" i="3"/>
  <c r="G2877" i="3"/>
  <c r="G2876" i="3"/>
  <c r="G2875" i="3"/>
  <c r="G2874" i="3"/>
  <c r="G2873" i="3"/>
  <c r="G2872" i="3"/>
  <c r="G2871" i="3"/>
  <c r="G2870" i="3"/>
  <c r="G2869" i="3"/>
  <c r="G2868" i="3"/>
  <c r="G2867" i="3"/>
  <c r="G2866" i="3"/>
  <c r="G2865" i="3"/>
  <c r="G2864" i="3"/>
  <c r="G2863" i="3"/>
  <c r="G2862" i="3"/>
  <c r="G2861" i="3"/>
  <c r="G2860" i="3"/>
  <c r="G2859" i="3"/>
  <c r="G2858" i="3"/>
  <c r="G2857" i="3"/>
  <c r="G2856" i="3"/>
  <c r="G2855" i="3"/>
  <c r="G2854" i="3"/>
  <c r="G2853" i="3"/>
  <c r="G2852" i="3"/>
  <c r="G2851" i="3"/>
  <c r="G2850" i="3"/>
  <c r="G2849" i="3"/>
  <c r="G2848" i="3"/>
  <c r="G2847" i="3"/>
  <c r="G2846" i="3"/>
  <c r="G2845" i="3"/>
  <c r="G2844" i="3"/>
  <c r="G2843" i="3"/>
  <c r="G2842" i="3"/>
  <c r="G2841" i="3"/>
  <c r="G2840" i="3"/>
  <c r="G2839" i="3"/>
  <c r="G2838" i="3"/>
  <c r="G2837" i="3"/>
  <c r="G2836" i="3"/>
  <c r="G2835" i="3"/>
  <c r="G2834" i="3"/>
  <c r="G2833" i="3"/>
  <c r="G2832" i="3"/>
  <c r="G2831" i="3"/>
  <c r="G2830" i="3"/>
  <c r="G2829" i="3"/>
  <c r="G2828" i="3"/>
  <c r="G2827" i="3"/>
  <c r="G2826" i="3"/>
  <c r="G2825" i="3"/>
  <c r="G2824" i="3"/>
  <c r="G2823" i="3"/>
  <c r="G2822" i="3"/>
  <c r="G2821" i="3"/>
  <c r="G2820" i="3"/>
  <c r="G2819" i="3"/>
  <c r="G2818" i="3"/>
  <c r="G2817" i="3"/>
  <c r="G2816" i="3"/>
  <c r="G2815" i="3"/>
  <c r="G2814" i="3"/>
  <c r="G2813" i="3"/>
  <c r="G2812" i="3"/>
  <c r="G2811" i="3"/>
  <c r="G2810" i="3"/>
  <c r="G2809" i="3"/>
  <c r="G2808" i="3"/>
  <c r="G2807" i="3"/>
  <c r="G2806" i="3"/>
  <c r="G2805" i="3"/>
  <c r="G2804" i="3"/>
  <c r="G2803" i="3"/>
  <c r="G2802" i="3"/>
  <c r="G2801" i="3"/>
  <c r="G2800" i="3"/>
  <c r="G2799" i="3"/>
  <c r="G2798" i="3"/>
  <c r="G2797" i="3"/>
  <c r="G2796" i="3"/>
  <c r="G2795" i="3"/>
  <c r="G2794" i="3"/>
  <c r="G2793" i="3"/>
  <c r="G2792" i="3"/>
  <c r="G2791" i="3"/>
  <c r="G2790" i="3"/>
  <c r="G2789" i="3"/>
  <c r="G2788" i="3"/>
  <c r="G2787" i="3"/>
  <c r="G2786" i="3"/>
  <c r="G2785" i="3"/>
  <c r="G2784" i="3"/>
  <c r="G2783" i="3"/>
  <c r="G2782" i="3"/>
  <c r="G2781" i="3"/>
  <c r="G2780" i="3"/>
  <c r="G2779" i="3"/>
  <c r="G2778" i="3"/>
  <c r="G2777" i="3"/>
  <c r="G2776" i="3"/>
  <c r="G2775" i="3"/>
  <c r="G2774" i="3"/>
  <c r="G2773" i="3"/>
  <c r="G2772" i="3"/>
  <c r="G2771" i="3"/>
  <c r="G2770" i="3"/>
  <c r="G2769" i="3"/>
  <c r="G2768" i="3"/>
  <c r="G2767" i="3"/>
  <c r="G2766" i="3"/>
  <c r="G2765" i="3"/>
  <c r="G2764" i="3"/>
  <c r="G2763" i="3"/>
  <c r="G2762" i="3"/>
  <c r="G2761" i="3"/>
  <c r="G2760" i="3"/>
  <c r="G2759" i="3"/>
  <c r="G2758" i="3"/>
  <c r="G2757" i="3"/>
  <c r="G2756" i="3"/>
  <c r="G2755" i="3"/>
  <c r="G2754" i="3"/>
  <c r="G2753" i="3"/>
  <c r="G2752" i="3"/>
  <c r="G2751" i="3"/>
  <c r="G2750" i="3"/>
  <c r="G2749" i="3"/>
  <c r="G2748" i="3"/>
  <c r="G2747" i="3"/>
  <c r="G2746" i="3"/>
  <c r="G2745" i="3"/>
  <c r="G2744" i="3"/>
  <c r="G2743" i="3"/>
  <c r="G2742" i="3"/>
  <c r="G2741" i="3"/>
  <c r="G2740" i="3"/>
  <c r="G2739" i="3"/>
  <c r="G2738" i="3"/>
  <c r="G2737" i="3"/>
  <c r="G2736" i="3"/>
  <c r="G2735" i="3"/>
  <c r="G2734" i="3"/>
  <c r="G2733" i="3"/>
  <c r="G2732" i="3"/>
  <c r="G2731" i="3"/>
  <c r="G2730" i="3"/>
  <c r="G2729" i="3"/>
  <c r="G2728" i="3"/>
  <c r="G2727" i="3"/>
  <c r="G2726" i="3"/>
  <c r="G2725" i="3"/>
  <c r="G2724" i="3"/>
  <c r="G2723" i="3"/>
  <c r="G2722" i="3"/>
  <c r="G2721" i="3"/>
  <c r="G2720" i="3"/>
  <c r="G2719" i="3"/>
  <c r="G2718" i="3"/>
  <c r="G2717" i="3"/>
  <c r="G2716" i="3"/>
  <c r="G2715" i="3"/>
  <c r="G2714" i="3"/>
  <c r="G2713" i="3"/>
  <c r="G2712" i="3"/>
  <c r="G2711" i="3"/>
  <c r="G2710" i="3"/>
  <c r="G2709" i="3"/>
  <c r="G2708" i="3"/>
  <c r="G2707" i="3"/>
  <c r="G2706" i="3"/>
  <c r="G2705" i="3"/>
  <c r="G2704" i="3"/>
  <c r="G2703" i="3"/>
  <c r="G2702" i="3"/>
  <c r="G2701" i="3"/>
  <c r="G2700" i="3"/>
  <c r="G2699" i="3"/>
  <c r="G2698" i="3"/>
  <c r="G2697" i="3"/>
  <c r="G2696" i="3"/>
  <c r="G2695" i="3"/>
  <c r="G2694" i="3"/>
  <c r="G2693" i="3"/>
  <c r="G2692" i="3"/>
  <c r="G2691" i="3"/>
  <c r="G2690" i="3"/>
  <c r="G2689" i="3"/>
  <c r="G2688" i="3"/>
  <c r="G2687" i="3"/>
  <c r="G2686" i="3"/>
  <c r="G2685" i="3"/>
  <c r="G2684" i="3"/>
  <c r="G2683" i="3"/>
  <c r="G2682" i="3"/>
  <c r="G2681" i="3"/>
  <c r="G2680" i="3"/>
  <c r="G2679" i="3"/>
  <c r="G2678" i="3"/>
  <c r="G2677" i="3"/>
  <c r="G2676" i="3"/>
  <c r="G2675" i="3"/>
  <c r="G2674" i="3"/>
  <c r="G2673" i="3"/>
  <c r="G2672" i="3"/>
  <c r="G2671" i="3"/>
  <c r="G2670" i="3"/>
  <c r="G2669" i="3"/>
  <c r="G2668" i="3"/>
  <c r="G2667" i="3"/>
  <c r="G2666" i="3"/>
  <c r="G2665" i="3"/>
  <c r="G2664" i="3"/>
  <c r="G2663" i="3"/>
  <c r="G2662" i="3"/>
  <c r="G2661" i="3"/>
  <c r="G2660" i="3"/>
  <c r="G2659" i="3"/>
  <c r="G2658" i="3"/>
  <c r="G2657" i="3"/>
  <c r="G2656" i="3"/>
  <c r="G2655" i="3"/>
  <c r="G2654" i="3"/>
  <c r="G2653" i="3"/>
  <c r="G2652" i="3"/>
  <c r="G2651" i="3"/>
  <c r="G2650" i="3"/>
  <c r="G2649" i="3"/>
  <c r="G2648" i="3"/>
  <c r="G2647" i="3"/>
  <c r="G2646" i="3"/>
  <c r="G2645" i="3"/>
  <c r="G2644" i="3"/>
  <c r="G2643" i="3"/>
  <c r="G2642" i="3"/>
  <c r="G2641" i="3"/>
  <c r="G2640" i="3"/>
  <c r="G2639" i="3"/>
  <c r="G2638" i="3"/>
  <c r="G2637" i="3"/>
  <c r="G2636" i="3"/>
  <c r="G2635" i="3"/>
  <c r="G2634" i="3"/>
  <c r="G2633" i="3"/>
  <c r="G2632" i="3"/>
  <c r="G2631" i="3"/>
  <c r="G2630" i="3"/>
  <c r="G2629" i="3"/>
  <c r="G2628" i="3"/>
  <c r="G2627" i="3"/>
  <c r="G2626" i="3"/>
  <c r="G2625" i="3"/>
  <c r="G2624" i="3"/>
  <c r="G2623" i="3"/>
  <c r="G2622" i="3"/>
  <c r="G2621" i="3"/>
  <c r="G2620" i="3"/>
  <c r="G2619" i="3"/>
  <c r="G2618" i="3"/>
  <c r="G2617" i="3"/>
  <c r="G2616" i="3"/>
  <c r="G2615" i="3"/>
  <c r="G2614" i="3"/>
  <c r="G2613" i="3"/>
  <c r="G2612" i="3"/>
  <c r="G2611" i="3"/>
  <c r="G2610" i="3"/>
  <c r="G2609" i="3"/>
  <c r="G2608" i="3"/>
  <c r="G2607" i="3"/>
  <c r="G2606" i="3"/>
  <c r="G2605" i="3"/>
  <c r="G2604" i="3"/>
  <c r="G2603" i="3"/>
  <c r="G2602" i="3"/>
  <c r="G2601" i="3"/>
  <c r="G2600" i="3"/>
  <c r="G2599" i="3"/>
  <c r="G2598" i="3"/>
  <c r="G2597" i="3"/>
  <c r="G2596" i="3"/>
  <c r="G2595" i="3"/>
  <c r="G2594" i="3"/>
  <c r="G2593" i="3"/>
  <c r="G2592" i="3"/>
  <c r="G2591" i="3"/>
  <c r="G2590" i="3"/>
  <c r="G2589" i="3"/>
  <c r="G2588" i="3"/>
  <c r="G2587" i="3"/>
  <c r="G2586" i="3"/>
  <c r="G2585" i="3"/>
  <c r="G2584" i="3"/>
  <c r="G2583" i="3"/>
  <c r="G2582" i="3"/>
  <c r="G2581" i="3"/>
  <c r="G2580" i="3"/>
  <c r="G2579" i="3"/>
  <c r="G2578" i="3"/>
  <c r="G2577" i="3"/>
  <c r="G2576" i="3"/>
  <c r="G2575" i="3"/>
  <c r="G2574" i="3"/>
  <c r="G2573" i="3"/>
  <c r="G2572" i="3"/>
  <c r="G2571" i="3"/>
  <c r="G2570" i="3"/>
  <c r="G2569" i="3"/>
  <c r="G2568" i="3"/>
  <c r="G2567" i="3"/>
  <c r="G2566" i="3"/>
  <c r="G2565" i="3"/>
  <c r="G2564" i="3"/>
  <c r="G2563" i="3"/>
  <c r="G2562" i="3"/>
  <c r="G2561" i="3"/>
  <c r="G2560" i="3"/>
  <c r="G2559" i="3"/>
  <c r="G2558" i="3"/>
  <c r="G2557" i="3"/>
  <c r="G2556" i="3"/>
  <c r="G2555" i="3"/>
  <c r="G2554" i="3"/>
  <c r="G2553" i="3"/>
  <c r="G2552" i="3"/>
  <c r="G2551" i="3"/>
  <c r="G2550" i="3"/>
  <c r="G2549" i="3"/>
  <c r="G2548" i="3"/>
  <c r="G2547" i="3"/>
  <c r="G2546" i="3"/>
  <c r="G2545" i="3"/>
  <c r="G2544" i="3"/>
  <c r="G2543" i="3"/>
  <c r="G2542" i="3"/>
  <c r="G2541" i="3"/>
  <c r="G2540" i="3"/>
  <c r="G2539" i="3"/>
  <c r="G2538" i="3"/>
  <c r="G2537" i="3"/>
  <c r="G2536" i="3"/>
  <c r="G2535" i="3"/>
  <c r="G2534" i="3"/>
  <c r="G2533" i="3"/>
  <c r="G2532" i="3"/>
  <c r="G2531" i="3"/>
  <c r="G2530" i="3"/>
  <c r="G2529" i="3"/>
  <c r="G2528" i="3"/>
  <c r="G2527" i="3"/>
  <c r="G2526" i="3"/>
  <c r="G2525" i="3"/>
  <c r="G2524" i="3"/>
  <c r="G2523" i="3"/>
  <c r="G2522" i="3"/>
  <c r="G2521" i="3"/>
  <c r="G2520" i="3"/>
  <c r="G2519" i="3"/>
  <c r="G2518" i="3"/>
  <c r="G2517" i="3"/>
  <c r="G2516" i="3"/>
  <c r="G2515" i="3"/>
  <c r="G2514" i="3"/>
  <c r="G2513" i="3"/>
  <c r="G2512" i="3"/>
  <c r="G2511" i="3"/>
  <c r="G2510" i="3"/>
  <c r="G2509" i="3"/>
  <c r="G2508" i="3"/>
  <c r="G2507" i="3"/>
  <c r="G2506" i="3"/>
  <c r="G2505" i="3"/>
  <c r="G2504" i="3"/>
  <c r="G2503" i="3"/>
  <c r="G2502" i="3"/>
  <c r="G2501" i="3"/>
  <c r="G2500" i="3"/>
  <c r="G2499" i="3"/>
  <c r="G2498" i="3"/>
  <c r="G2497" i="3"/>
  <c r="G2496" i="3"/>
  <c r="G2495" i="3"/>
  <c r="G2494" i="3"/>
  <c r="G2493" i="3"/>
  <c r="G2492" i="3"/>
  <c r="G2491" i="3"/>
  <c r="G2490" i="3"/>
  <c r="G2489" i="3"/>
  <c r="G2488" i="3"/>
  <c r="G2487" i="3"/>
  <c r="G2486" i="3"/>
  <c r="G2485" i="3"/>
  <c r="G2484" i="3"/>
  <c r="G2483" i="3"/>
  <c r="G2482" i="3"/>
  <c r="G2481" i="3"/>
  <c r="G2480" i="3"/>
  <c r="G2479" i="3"/>
  <c r="G2478" i="3"/>
  <c r="G2477" i="3"/>
  <c r="G2476" i="3"/>
  <c r="G2475" i="3"/>
  <c r="G2474" i="3"/>
  <c r="G2473" i="3"/>
  <c r="G2472" i="3"/>
  <c r="G2471" i="3"/>
  <c r="G2470" i="3"/>
  <c r="G2469" i="3"/>
  <c r="G2468" i="3"/>
  <c r="G2467" i="3"/>
  <c r="G2466" i="3"/>
  <c r="G2465" i="3"/>
  <c r="G2464" i="3"/>
  <c r="G2463" i="3"/>
  <c r="G2462" i="3"/>
  <c r="G2461" i="3"/>
  <c r="G2460" i="3"/>
  <c r="G2459" i="3"/>
  <c r="G2458" i="3"/>
  <c r="G2457" i="3"/>
  <c r="G2456" i="3"/>
  <c r="G2455" i="3"/>
  <c r="G2454" i="3"/>
  <c r="G2453" i="3"/>
  <c r="G2452" i="3"/>
  <c r="G2451" i="3"/>
  <c r="G2450" i="3"/>
  <c r="G2449" i="3"/>
  <c r="G2448" i="3"/>
  <c r="G2447" i="3"/>
  <c r="G2446" i="3"/>
  <c r="G2445" i="3"/>
  <c r="G2444" i="3"/>
  <c r="G2443" i="3"/>
  <c r="G2442" i="3"/>
  <c r="G2441" i="3"/>
  <c r="G2440" i="3"/>
  <c r="G2439" i="3"/>
  <c r="G2438" i="3"/>
  <c r="G2437" i="3"/>
  <c r="G2436" i="3"/>
  <c r="G2435" i="3"/>
  <c r="G2434" i="3"/>
  <c r="G2433" i="3"/>
  <c r="G2432" i="3"/>
  <c r="G2431" i="3"/>
  <c r="G2430" i="3"/>
  <c r="G2429" i="3"/>
  <c r="G2428" i="3"/>
  <c r="G2427" i="3"/>
  <c r="G2426" i="3"/>
  <c r="G2425" i="3"/>
  <c r="G2424" i="3"/>
  <c r="G2423" i="3"/>
  <c r="G2422" i="3"/>
  <c r="G2421" i="3"/>
  <c r="G2420" i="3"/>
  <c r="G2419" i="3"/>
  <c r="G2418" i="3"/>
  <c r="G2417" i="3"/>
  <c r="G2416" i="3"/>
  <c r="G2415" i="3"/>
  <c r="G2414" i="3"/>
  <c r="G2413" i="3"/>
  <c r="G2412" i="3"/>
  <c r="G2411" i="3"/>
  <c r="G2410" i="3"/>
  <c r="G2409" i="3"/>
  <c r="G2408" i="3"/>
  <c r="G2407" i="3"/>
  <c r="G2406" i="3"/>
  <c r="G2405" i="3"/>
  <c r="G2404" i="3"/>
  <c r="G2403" i="3"/>
  <c r="G2402" i="3"/>
  <c r="G2401" i="3"/>
  <c r="G2400" i="3"/>
  <c r="G2399" i="3"/>
  <c r="G2398" i="3"/>
  <c r="G2397" i="3"/>
  <c r="G2396" i="3"/>
  <c r="G2395" i="3"/>
  <c r="G2394" i="3"/>
  <c r="G2393" i="3"/>
  <c r="G2392" i="3"/>
  <c r="G2391" i="3"/>
  <c r="G2390" i="3"/>
  <c r="G2389" i="3"/>
  <c r="G2388" i="3"/>
  <c r="G2387" i="3"/>
  <c r="G2386" i="3"/>
  <c r="G2385" i="3"/>
  <c r="G2384" i="3"/>
  <c r="G2383" i="3"/>
  <c r="G2382" i="3"/>
  <c r="G2381" i="3"/>
  <c r="G2380" i="3"/>
  <c r="G2379" i="3"/>
  <c r="G2378" i="3"/>
  <c r="G2377" i="3"/>
  <c r="G2376" i="3"/>
  <c r="G2375" i="3"/>
  <c r="G2374" i="3"/>
  <c r="G2373" i="3"/>
  <c r="G2372" i="3"/>
  <c r="G2371" i="3"/>
  <c r="G2370" i="3"/>
  <c r="G2369" i="3"/>
  <c r="G2368" i="3"/>
  <c r="G2367" i="3"/>
  <c r="G2366" i="3"/>
  <c r="G2365" i="3"/>
  <c r="G2364" i="3"/>
  <c r="G2363" i="3"/>
  <c r="G2362" i="3"/>
  <c r="G2361" i="3"/>
  <c r="G2360" i="3"/>
  <c r="G2359" i="3"/>
  <c r="G2358" i="3"/>
  <c r="G2357" i="3"/>
  <c r="G2356" i="3"/>
  <c r="G2355" i="3"/>
  <c r="G2354" i="3"/>
  <c r="G2353" i="3"/>
  <c r="G2352" i="3"/>
  <c r="G2351" i="3"/>
  <c r="G2350" i="3"/>
  <c r="G2349" i="3"/>
  <c r="G2348" i="3"/>
  <c r="G2347" i="3"/>
  <c r="G2346" i="3"/>
  <c r="G2345" i="3"/>
  <c r="G2344" i="3"/>
  <c r="G2343" i="3"/>
  <c r="G2342" i="3"/>
  <c r="G2341" i="3"/>
  <c r="G2340" i="3"/>
  <c r="G2339" i="3"/>
  <c r="G2338" i="3"/>
  <c r="G2337" i="3"/>
  <c r="G2336" i="3"/>
  <c r="G2335" i="3"/>
  <c r="G2334" i="3"/>
  <c r="G2333" i="3"/>
  <c r="G2332" i="3"/>
  <c r="G2331" i="3"/>
  <c r="G2330" i="3"/>
  <c r="G2329" i="3"/>
  <c r="G2328" i="3"/>
  <c r="G2327" i="3"/>
  <c r="G2326" i="3"/>
  <c r="G2325" i="3"/>
  <c r="G2324" i="3"/>
  <c r="G2323" i="3"/>
  <c r="G2322" i="3"/>
  <c r="G2321" i="3"/>
  <c r="G2320" i="3"/>
  <c r="G2319" i="3"/>
  <c r="G2318" i="3"/>
  <c r="G2317" i="3"/>
  <c r="G2316" i="3"/>
  <c r="G2315" i="3"/>
  <c r="G2314" i="3"/>
  <c r="G2313" i="3"/>
  <c r="G2312" i="3"/>
  <c r="G2311" i="3"/>
  <c r="G2310" i="3"/>
  <c r="G2309" i="3"/>
  <c r="G2308" i="3"/>
  <c r="G2307" i="3"/>
  <c r="G2306" i="3"/>
  <c r="G2305" i="3"/>
  <c r="G2304" i="3"/>
  <c r="G2303" i="3"/>
  <c r="G2302" i="3"/>
  <c r="G2301" i="3"/>
  <c r="G2300" i="3"/>
  <c r="G2299" i="3"/>
  <c r="G2298" i="3"/>
  <c r="G2297" i="3"/>
  <c r="G2296" i="3"/>
  <c r="G2295" i="3"/>
  <c r="G2294" i="3"/>
  <c r="G2293" i="3"/>
  <c r="G2292" i="3"/>
  <c r="G2291" i="3"/>
  <c r="G2290" i="3"/>
  <c r="G2289" i="3"/>
  <c r="G2288" i="3"/>
  <c r="G2287" i="3"/>
  <c r="G2286" i="3"/>
  <c r="G2285" i="3"/>
  <c r="G2284" i="3"/>
  <c r="G2283" i="3"/>
  <c r="G2282" i="3"/>
  <c r="G2281" i="3"/>
  <c r="G2280" i="3"/>
  <c r="G2279" i="3"/>
  <c r="G2278" i="3"/>
  <c r="G2277" i="3"/>
  <c r="G2276" i="3"/>
  <c r="G2275" i="3"/>
  <c r="G2274" i="3"/>
  <c r="G2273" i="3"/>
  <c r="G2272" i="3"/>
  <c r="G2271" i="3"/>
  <c r="G2270" i="3"/>
  <c r="G2269" i="3"/>
  <c r="G2268" i="3"/>
  <c r="G2267" i="3"/>
  <c r="G2266" i="3"/>
  <c r="G2265" i="3"/>
  <c r="G2264" i="3"/>
  <c r="G2263" i="3"/>
  <c r="G2262" i="3"/>
  <c r="G2261" i="3"/>
  <c r="G2260" i="3"/>
  <c r="G2259" i="3"/>
  <c r="G2258" i="3"/>
  <c r="G2257" i="3"/>
  <c r="G2256" i="3"/>
  <c r="G2255" i="3"/>
  <c r="G2254" i="3"/>
  <c r="G2253" i="3"/>
  <c r="G2252" i="3"/>
  <c r="G2251" i="3"/>
  <c r="G2250" i="3"/>
  <c r="G2249" i="3"/>
  <c r="G2248" i="3"/>
  <c r="G2247" i="3"/>
  <c r="G2246" i="3"/>
  <c r="G2245" i="3"/>
  <c r="G2244" i="3"/>
  <c r="G2243" i="3"/>
  <c r="G2242" i="3"/>
  <c r="G2241" i="3"/>
  <c r="G2240" i="3"/>
  <c r="G2239" i="3"/>
  <c r="G2238" i="3"/>
  <c r="G2237" i="3"/>
  <c r="G2236" i="3"/>
  <c r="G2235" i="3"/>
  <c r="G2234" i="3"/>
  <c r="G2233" i="3"/>
  <c r="G2232" i="3"/>
  <c r="G2231" i="3"/>
  <c r="G2230" i="3"/>
  <c r="G2229" i="3"/>
  <c r="G2228" i="3"/>
  <c r="G2227" i="3"/>
  <c r="G2226" i="3"/>
  <c r="G2225" i="3"/>
  <c r="G2224" i="3"/>
  <c r="G2223" i="3"/>
  <c r="G2222" i="3"/>
  <c r="G2221" i="3"/>
  <c r="G2220" i="3"/>
  <c r="G2219" i="3"/>
  <c r="G2218" i="3"/>
  <c r="G2217" i="3"/>
  <c r="G2216" i="3"/>
  <c r="G2215" i="3"/>
  <c r="G2214" i="3"/>
  <c r="G2213" i="3"/>
  <c r="G2212" i="3"/>
  <c r="G2211" i="3"/>
  <c r="G2210" i="3"/>
  <c r="G2209" i="3"/>
  <c r="G2208" i="3"/>
  <c r="G2207" i="3"/>
  <c r="G2206" i="3"/>
  <c r="G2205" i="3"/>
  <c r="G2204" i="3"/>
  <c r="G2203" i="3"/>
  <c r="G2202" i="3"/>
  <c r="G2201" i="3"/>
  <c r="G2200" i="3"/>
  <c r="G2199" i="3"/>
  <c r="G2198" i="3"/>
  <c r="G2197" i="3"/>
  <c r="G2196" i="3"/>
  <c r="G2195" i="3"/>
  <c r="G2194" i="3"/>
  <c r="G2193" i="3"/>
  <c r="G2192" i="3"/>
  <c r="G2191" i="3"/>
  <c r="G2190" i="3"/>
  <c r="G2189" i="3"/>
  <c r="G2188" i="3"/>
  <c r="G2187" i="3"/>
  <c r="G2186" i="3"/>
  <c r="G2185" i="3"/>
  <c r="G2184" i="3"/>
  <c r="G2183" i="3"/>
  <c r="G2182" i="3"/>
  <c r="G2181" i="3"/>
  <c r="G2180" i="3"/>
  <c r="G2179" i="3"/>
  <c r="G2178" i="3"/>
  <c r="G2177" i="3"/>
  <c r="G2176" i="3"/>
  <c r="G2175" i="3"/>
  <c r="G2174" i="3"/>
  <c r="G2173" i="3"/>
  <c r="G2172" i="3"/>
  <c r="G2171" i="3"/>
  <c r="G2170" i="3"/>
  <c r="G2169" i="3"/>
  <c r="G2168" i="3"/>
  <c r="G2167" i="3"/>
  <c r="G2166" i="3"/>
  <c r="G2165" i="3"/>
  <c r="G2164" i="3"/>
  <c r="G2163" i="3"/>
  <c r="G2162" i="3"/>
  <c r="G2161" i="3"/>
  <c r="G2160" i="3"/>
  <c r="G2159" i="3"/>
  <c r="G2158" i="3"/>
  <c r="G2157" i="3"/>
  <c r="G2156" i="3"/>
  <c r="G2155" i="3"/>
  <c r="G2154" i="3"/>
  <c r="G2153" i="3"/>
  <c r="G2152" i="3"/>
  <c r="G2151" i="3"/>
  <c r="G2150" i="3"/>
  <c r="G2149" i="3"/>
  <c r="G2148" i="3"/>
  <c r="G2147" i="3"/>
  <c r="G2146" i="3"/>
  <c r="G2145" i="3"/>
  <c r="G2144" i="3"/>
  <c r="G2143" i="3"/>
  <c r="G2142" i="3"/>
  <c r="G2141" i="3"/>
  <c r="G2140" i="3"/>
  <c r="G2139" i="3"/>
  <c r="G2138" i="3"/>
  <c r="G2137" i="3"/>
  <c r="G2136" i="3"/>
  <c r="G2135" i="3"/>
  <c r="G2134" i="3"/>
  <c r="G2133" i="3"/>
  <c r="G2132" i="3"/>
  <c r="G2131" i="3"/>
  <c r="G2130" i="3"/>
  <c r="G2129" i="3"/>
  <c r="G2128" i="3"/>
  <c r="G2127" i="3"/>
  <c r="G2126" i="3"/>
  <c r="G2125" i="3"/>
  <c r="G2124" i="3"/>
  <c r="G2123" i="3"/>
  <c r="G2122" i="3"/>
  <c r="G2121" i="3"/>
  <c r="G2120" i="3"/>
  <c r="G2119" i="3"/>
  <c r="G2118" i="3"/>
  <c r="G2117" i="3"/>
  <c r="G2116" i="3"/>
  <c r="G2115" i="3"/>
  <c r="G2114" i="3"/>
  <c r="G2113" i="3"/>
  <c r="G2112" i="3"/>
  <c r="G2111" i="3"/>
  <c r="G2110" i="3"/>
  <c r="G2109" i="3"/>
  <c r="G2108" i="3"/>
  <c r="G2107" i="3"/>
  <c r="G2106" i="3"/>
  <c r="G2105" i="3"/>
  <c r="G2104" i="3"/>
  <c r="G2103" i="3"/>
  <c r="G2102" i="3"/>
  <c r="G2101" i="3"/>
  <c r="G2100" i="3"/>
  <c r="G2099" i="3"/>
  <c r="G2098" i="3"/>
  <c r="G2097" i="3"/>
  <c r="G2096" i="3"/>
  <c r="G2095" i="3"/>
  <c r="G2094" i="3"/>
  <c r="G2093" i="3"/>
  <c r="G2092" i="3"/>
  <c r="G2091" i="3"/>
  <c r="G2090" i="3"/>
  <c r="G2089" i="3"/>
  <c r="G2088" i="3"/>
  <c r="G2087" i="3"/>
  <c r="G2086" i="3"/>
  <c r="G2085" i="3"/>
  <c r="G2084" i="3"/>
  <c r="G2083" i="3"/>
  <c r="G2082" i="3"/>
  <c r="G2081" i="3"/>
  <c r="G2080" i="3"/>
  <c r="G2079" i="3"/>
  <c r="G2078" i="3"/>
  <c r="G2077" i="3"/>
  <c r="G2076" i="3"/>
  <c r="G2075" i="3"/>
  <c r="G2074" i="3"/>
  <c r="G2073" i="3"/>
  <c r="G2072" i="3"/>
  <c r="G2071" i="3"/>
  <c r="G2070" i="3"/>
  <c r="G2069" i="3"/>
  <c r="G2068" i="3"/>
  <c r="G2067" i="3"/>
  <c r="G2066" i="3"/>
  <c r="G2065" i="3"/>
  <c r="G2064" i="3"/>
  <c r="G2063" i="3"/>
  <c r="G2062" i="3"/>
  <c r="G2061" i="3"/>
  <c r="G2060" i="3"/>
  <c r="G2059" i="3"/>
  <c r="G2058" i="3"/>
  <c r="G2057" i="3"/>
  <c r="G2056" i="3"/>
  <c r="G2055" i="3"/>
  <c r="G2054" i="3"/>
  <c r="G2053" i="3"/>
  <c r="G2052" i="3"/>
  <c r="G2051" i="3"/>
  <c r="G2050" i="3"/>
  <c r="G2049" i="3"/>
  <c r="G2048" i="3"/>
  <c r="G2047" i="3"/>
  <c r="G2046" i="3"/>
  <c r="G2045" i="3"/>
  <c r="G2044" i="3"/>
  <c r="G2043" i="3"/>
  <c r="G2042" i="3"/>
  <c r="G2041" i="3"/>
  <c r="G2040" i="3"/>
  <c r="G2039" i="3"/>
  <c r="G2038" i="3"/>
  <c r="G2037" i="3"/>
  <c r="G2036" i="3"/>
  <c r="G2035" i="3"/>
  <c r="G2034" i="3"/>
  <c r="G2033" i="3"/>
  <c r="G2032" i="3"/>
  <c r="G2031" i="3"/>
  <c r="G2030" i="3"/>
  <c r="G2029" i="3"/>
  <c r="G2028" i="3"/>
  <c r="G2027" i="3"/>
  <c r="G2026" i="3"/>
  <c r="G2025" i="3"/>
  <c r="G2024" i="3"/>
  <c r="G2023" i="3"/>
  <c r="G2022" i="3"/>
  <c r="G2021" i="3"/>
  <c r="G2020" i="3"/>
  <c r="G2019" i="3"/>
  <c r="G2018" i="3"/>
  <c r="G2017" i="3"/>
  <c r="G2016" i="3"/>
  <c r="G2015" i="3"/>
  <c r="G2014" i="3"/>
  <c r="G2013" i="3"/>
  <c r="G2012" i="3"/>
  <c r="G2011" i="3"/>
  <c r="G2010" i="3"/>
  <c r="G2009" i="3"/>
  <c r="G2008" i="3"/>
  <c r="G2007" i="3"/>
  <c r="G2006" i="3"/>
  <c r="G2005" i="3"/>
  <c r="G2004" i="3"/>
  <c r="G2003" i="3"/>
  <c r="G2002" i="3"/>
  <c r="G2001" i="3"/>
  <c r="G2000" i="3"/>
  <c r="G1999" i="3"/>
  <c r="G1998" i="3"/>
  <c r="G1997" i="3"/>
  <c r="G1996" i="3"/>
  <c r="G1995" i="3"/>
  <c r="G1994" i="3"/>
  <c r="G1993" i="3"/>
  <c r="G1992" i="3"/>
  <c r="G1991" i="3"/>
  <c r="G1990" i="3"/>
  <c r="G1989" i="3"/>
  <c r="G1988" i="3"/>
  <c r="G1987" i="3"/>
  <c r="G1986" i="3"/>
  <c r="G1985" i="3"/>
  <c r="G1984" i="3"/>
  <c r="G1983" i="3"/>
  <c r="G1982" i="3"/>
  <c r="G1981" i="3"/>
  <c r="G1980" i="3"/>
  <c r="G1979" i="3"/>
  <c r="G1978" i="3"/>
  <c r="G1977" i="3"/>
  <c r="G1976" i="3"/>
  <c r="G1975" i="3"/>
  <c r="G1974" i="3"/>
  <c r="G1973" i="3"/>
  <c r="G1972" i="3"/>
  <c r="G1971" i="3"/>
  <c r="G1970" i="3"/>
  <c r="G1969" i="3"/>
  <c r="G1968" i="3"/>
  <c r="G1967" i="3"/>
  <c r="G1966" i="3"/>
  <c r="G1965" i="3"/>
  <c r="G1964" i="3"/>
  <c r="G1963" i="3"/>
  <c r="G1962" i="3"/>
  <c r="G1961" i="3"/>
  <c r="G1960" i="3"/>
  <c r="G1959" i="3"/>
  <c r="G1958" i="3"/>
  <c r="G1957" i="3"/>
  <c r="G1956" i="3"/>
  <c r="G1955" i="3"/>
  <c r="G1954" i="3"/>
  <c r="G1953" i="3"/>
  <c r="G1952" i="3"/>
  <c r="G1951" i="3"/>
  <c r="G1950" i="3"/>
  <c r="G1949" i="3"/>
  <c r="G1948" i="3"/>
  <c r="G1947" i="3"/>
  <c r="G1946" i="3"/>
  <c r="G1945" i="3"/>
  <c r="G1944" i="3"/>
  <c r="G1943" i="3"/>
  <c r="G1942" i="3"/>
  <c r="G1941" i="3"/>
  <c r="G1940" i="3"/>
  <c r="G1939" i="3"/>
  <c r="G1938" i="3"/>
  <c r="G1937" i="3"/>
  <c r="G1936" i="3"/>
  <c r="G1935" i="3"/>
  <c r="G1934" i="3"/>
  <c r="G1933" i="3"/>
  <c r="G1932" i="3"/>
  <c r="G1931" i="3"/>
  <c r="G1930" i="3"/>
  <c r="G1929" i="3"/>
  <c r="G1928" i="3"/>
  <c r="G1927" i="3"/>
  <c r="G1926" i="3"/>
  <c r="G1925" i="3"/>
  <c r="G1924" i="3"/>
  <c r="G1923" i="3"/>
  <c r="G1922" i="3"/>
  <c r="G1921" i="3"/>
  <c r="G1920" i="3"/>
  <c r="G1919" i="3"/>
  <c r="G1918" i="3"/>
  <c r="G1917" i="3"/>
  <c r="G1916" i="3"/>
  <c r="G1915" i="3"/>
  <c r="G1914" i="3"/>
  <c r="G1913" i="3"/>
  <c r="G1912" i="3"/>
  <c r="G1911" i="3"/>
  <c r="G1910" i="3"/>
  <c r="G1909" i="3"/>
  <c r="G1908" i="3"/>
  <c r="G1907" i="3"/>
  <c r="G1906" i="3"/>
  <c r="G1905" i="3"/>
  <c r="G1904" i="3"/>
  <c r="G1903" i="3"/>
  <c r="G1902" i="3"/>
  <c r="G1901" i="3"/>
  <c r="G1900" i="3"/>
  <c r="G1899" i="3"/>
  <c r="G1898" i="3"/>
  <c r="G1897" i="3"/>
  <c r="G1896" i="3"/>
  <c r="G1895" i="3"/>
  <c r="G1894" i="3"/>
  <c r="G1893" i="3"/>
  <c r="G1892" i="3"/>
  <c r="G1891" i="3"/>
  <c r="G1890" i="3"/>
  <c r="G1889" i="3"/>
  <c r="G1888" i="3"/>
  <c r="G1887" i="3"/>
  <c r="G1886" i="3"/>
  <c r="G1885" i="3"/>
  <c r="G1884" i="3"/>
  <c r="G1883" i="3"/>
  <c r="G1882" i="3"/>
  <c r="G1881" i="3"/>
  <c r="G1880" i="3"/>
  <c r="G1879" i="3"/>
  <c r="G1878" i="3"/>
  <c r="G1877" i="3"/>
  <c r="G1876" i="3"/>
  <c r="G1875" i="3"/>
  <c r="G1874" i="3"/>
  <c r="G1873" i="3"/>
  <c r="G1872" i="3"/>
  <c r="G1871" i="3"/>
  <c r="G1870" i="3"/>
  <c r="G1869" i="3"/>
  <c r="G1868" i="3"/>
  <c r="G1867" i="3"/>
  <c r="G1866" i="3"/>
  <c r="G1865" i="3"/>
  <c r="G1864" i="3"/>
  <c r="G1863" i="3"/>
  <c r="G1862" i="3"/>
  <c r="G1861" i="3"/>
  <c r="G1860" i="3"/>
  <c r="G1859" i="3"/>
  <c r="G1858" i="3"/>
  <c r="G1857" i="3"/>
  <c r="G1856" i="3"/>
  <c r="G1855" i="3"/>
  <c r="G1854" i="3"/>
  <c r="G1853" i="3"/>
  <c r="G1852" i="3"/>
  <c r="G1851" i="3"/>
  <c r="G1850" i="3"/>
  <c r="G1849" i="3"/>
  <c r="G1848" i="3"/>
  <c r="G1847" i="3"/>
  <c r="G1846" i="3"/>
  <c r="G1845" i="3"/>
  <c r="G1844" i="3"/>
  <c r="G1843" i="3"/>
  <c r="G1842" i="3"/>
  <c r="G1841" i="3"/>
  <c r="G1840" i="3"/>
  <c r="G1839" i="3"/>
  <c r="G1838" i="3"/>
  <c r="G1837" i="3"/>
  <c r="G1836" i="3"/>
  <c r="G1835" i="3"/>
  <c r="G1834" i="3"/>
  <c r="G1833" i="3"/>
  <c r="G1832" i="3"/>
  <c r="G1831" i="3"/>
  <c r="G1830" i="3"/>
  <c r="G1829" i="3"/>
  <c r="G1828" i="3"/>
  <c r="G1827" i="3"/>
  <c r="G1826" i="3"/>
  <c r="G1825" i="3"/>
  <c r="G1824" i="3"/>
  <c r="G1823" i="3"/>
  <c r="G1822" i="3"/>
  <c r="G1821" i="3"/>
  <c r="G1820" i="3"/>
  <c r="G1819" i="3"/>
  <c r="G1818" i="3"/>
  <c r="G1817" i="3"/>
  <c r="G1816" i="3"/>
  <c r="G1815" i="3"/>
  <c r="G1814" i="3"/>
  <c r="G1813" i="3"/>
  <c r="G1812" i="3"/>
  <c r="G1811" i="3"/>
  <c r="G1810" i="3"/>
  <c r="G1809" i="3"/>
  <c r="G1808" i="3"/>
  <c r="G1807" i="3"/>
  <c r="G1806" i="3"/>
  <c r="G1805" i="3"/>
  <c r="G1804" i="3"/>
  <c r="G1803" i="3"/>
  <c r="G1802" i="3"/>
  <c r="G1801" i="3"/>
  <c r="G1800" i="3"/>
  <c r="G1799" i="3"/>
  <c r="G1798" i="3"/>
  <c r="G1797" i="3"/>
  <c r="G1796" i="3"/>
  <c r="G1795" i="3"/>
  <c r="G1794" i="3"/>
  <c r="G1793" i="3"/>
  <c r="G1792" i="3"/>
  <c r="G1791" i="3"/>
  <c r="G1790" i="3"/>
  <c r="G1789" i="3"/>
  <c r="G1788" i="3"/>
  <c r="G1787" i="3"/>
  <c r="G1786" i="3"/>
  <c r="G1785" i="3"/>
  <c r="G1784" i="3"/>
  <c r="G1783" i="3"/>
  <c r="G1782" i="3"/>
  <c r="G1781" i="3"/>
  <c r="G1780" i="3"/>
  <c r="G1779" i="3"/>
  <c r="G1778" i="3"/>
  <c r="G1777" i="3"/>
  <c r="G1776" i="3"/>
  <c r="G1775" i="3"/>
  <c r="G1774" i="3"/>
  <c r="G1773" i="3"/>
  <c r="G1772" i="3"/>
  <c r="G1771" i="3"/>
  <c r="G1770" i="3"/>
  <c r="G1769" i="3"/>
  <c r="G1768" i="3"/>
  <c r="G1767" i="3"/>
  <c r="G1766" i="3"/>
  <c r="G1765" i="3"/>
  <c r="G1764" i="3"/>
  <c r="G1763" i="3"/>
  <c r="G1762" i="3"/>
  <c r="G1761" i="3"/>
  <c r="G1760" i="3"/>
  <c r="G1759" i="3"/>
  <c r="G1758" i="3"/>
  <c r="G1757" i="3"/>
  <c r="G1756" i="3"/>
  <c r="G1755" i="3"/>
  <c r="G1754" i="3"/>
  <c r="G1753" i="3"/>
  <c r="G1752" i="3"/>
  <c r="G1751" i="3"/>
  <c r="G1750" i="3"/>
  <c r="G1749" i="3"/>
  <c r="G1748" i="3"/>
  <c r="G1747" i="3"/>
  <c r="G1746" i="3"/>
  <c r="G1745" i="3"/>
  <c r="G1744" i="3"/>
  <c r="G1743" i="3"/>
  <c r="G1742" i="3"/>
  <c r="G1741" i="3"/>
  <c r="G1740" i="3"/>
  <c r="G1739" i="3"/>
  <c r="G1738" i="3"/>
  <c r="G1737" i="3"/>
  <c r="G1736" i="3"/>
  <c r="G1735" i="3"/>
  <c r="G1734" i="3"/>
  <c r="G1733" i="3"/>
  <c r="G1732" i="3"/>
  <c r="G1731" i="3"/>
  <c r="G1730" i="3"/>
  <c r="G1729" i="3"/>
  <c r="G1728" i="3"/>
  <c r="G1727" i="3"/>
  <c r="G1726" i="3"/>
  <c r="G1725" i="3"/>
  <c r="G1724" i="3"/>
  <c r="G1723" i="3"/>
  <c r="G1722" i="3"/>
  <c r="G1721" i="3"/>
  <c r="G1720" i="3"/>
  <c r="G1719" i="3"/>
  <c r="G1718" i="3"/>
  <c r="G1717" i="3"/>
  <c r="G1716" i="3"/>
  <c r="G1715" i="3"/>
  <c r="G1714" i="3"/>
  <c r="G1713" i="3"/>
  <c r="G1712" i="3"/>
  <c r="G1711" i="3"/>
  <c r="G1710" i="3"/>
  <c r="G1709" i="3"/>
  <c r="G1708" i="3"/>
  <c r="G1707" i="3"/>
  <c r="G1706" i="3"/>
  <c r="G1705" i="3"/>
  <c r="G1704" i="3"/>
  <c r="G1703" i="3"/>
  <c r="G1702" i="3"/>
  <c r="G1701" i="3"/>
  <c r="G1700" i="3"/>
  <c r="G1699" i="3"/>
  <c r="G1698" i="3"/>
  <c r="G1697" i="3"/>
  <c r="G1696" i="3"/>
  <c r="G1695" i="3"/>
  <c r="G1694" i="3"/>
  <c r="G1693" i="3"/>
  <c r="G1692" i="3"/>
  <c r="G1691" i="3"/>
  <c r="G1690" i="3"/>
  <c r="G1689" i="3"/>
  <c r="G1688" i="3"/>
  <c r="G1687" i="3"/>
  <c r="G1686" i="3"/>
  <c r="G1685" i="3"/>
  <c r="G1684" i="3"/>
  <c r="G1683" i="3"/>
  <c r="G1682" i="3"/>
  <c r="G1681" i="3"/>
  <c r="G1680" i="3"/>
  <c r="G1679" i="3"/>
  <c r="G1678" i="3"/>
  <c r="G1677" i="3"/>
  <c r="G1676" i="3"/>
  <c r="G1675" i="3"/>
  <c r="G1674" i="3"/>
  <c r="G1673" i="3"/>
  <c r="G1672" i="3"/>
  <c r="G1671" i="3"/>
  <c r="G1670" i="3"/>
  <c r="G1669" i="3"/>
  <c r="G1668" i="3"/>
  <c r="G1667" i="3"/>
  <c r="G1666" i="3"/>
  <c r="G1665" i="3"/>
  <c r="G1664" i="3"/>
  <c r="G1663" i="3"/>
  <c r="G1662" i="3"/>
  <c r="G1661" i="3"/>
  <c r="G1660" i="3"/>
  <c r="G1659" i="3"/>
  <c r="G1658" i="3"/>
  <c r="G1657" i="3"/>
  <c r="G1656" i="3"/>
  <c r="G1655" i="3"/>
  <c r="G1654" i="3"/>
  <c r="G1653" i="3"/>
  <c r="G1652" i="3"/>
  <c r="G1651" i="3"/>
  <c r="G1650" i="3"/>
  <c r="G1649" i="3"/>
  <c r="G1648" i="3"/>
  <c r="G1647" i="3"/>
  <c r="G1646" i="3"/>
  <c r="G1645" i="3"/>
  <c r="G1644" i="3"/>
  <c r="G1643" i="3"/>
  <c r="G1642" i="3"/>
  <c r="G1641" i="3"/>
  <c r="G1640" i="3"/>
  <c r="G1639" i="3"/>
  <c r="G1638" i="3"/>
  <c r="G1637" i="3"/>
  <c r="G1636" i="3"/>
  <c r="G1635" i="3"/>
  <c r="G1634" i="3"/>
  <c r="G1633" i="3"/>
  <c r="G1632" i="3"/>
  <c r="G1631" i="3"/>
  <c r="G1630" i="3"/>
  <c r="G1629" i="3"/>
  <c r="G1628" i="3"/>
  <c r="G1627" i="3"/>
  <c r="G1626" i="3"/>
  <c r="G1625" i="3"/>
  <c r="G1624" i="3"/>
  <c r="G1623" i="3"/>
  <c r="G1622" i="3"/>
  <c r="G1621" i="3"/>
  <c r="G1620" i="3"/>
  <c r="G1619" i="3"/>
  <c r="G1618" i="3"/>
  <c r="G1617" i="3"/>
  <c r="G1616" i="3"/>
  <c r="G1615" i="3"/>
  <c r="G1614" i="3"/>
  <c r="G1613" i="3"/>
  <c r="G1612" i="3"/>
  <c r="G1611" i="3"/>
  <c r="G1610" i="3"/>
  <c r="G1609" i="3"/>
  <c r="G1608" i="3"/>
  <c r="G1607" i="3"/>
  <c r="G1606" i="3"/>
  <c r="G1605" i="3"/>
  <c r="G1604" i="3"/>
  <c r="G1603" i="3"/>
  <c r="G1602" i="3"/>
  <c r="G1601" i="3"/>
  <c r="G1600" i="3"/>
  <c r="G1599" i="3"/>
  <c r="G1598" i="3"/>
  <c r="G1597" i="3"/>
  <c r="G1596" i="3"/>
  <c r="G1595" i="3"/>
  <c r="G1594" i="3"/>
  <c r="G1593" i="3"/>
  <c r="G1592" i="3"/>
  <c r="G1591" i="3"/>
  <c r="G1590" i="3"/>
  <c r="G1589" i="3"/>
  <c r="G1588" i="3"/>
  <c r="G1587" i="3"/>
  <c r="G1586" i="3"/>
  <c r="G1585" i="3"/>
  <c r="G1584" i="3"/>
  <c r="G1583" i="3"/>
  <c r="G1582" i="3"/>
  <c r="G1581" i="3"/>
  <c r="G1580" i="3"/>
  <c r="G1579" i="3"/>
  <c r="G1578" i="3"/>
  <c r="G1577" i="3"/>
  <c r="G1576" i="3"/>
  <c r="G1575" i="3"/>
  <c r="G1574" i="3"/>
  <c r="G1573" i="3"/>
  <c r="G1572" i="3"/>
  <c r="G1571" i="3"/>
  <c r="G1570" i="3"/>
  <c r="G1569" i="3"/>
  <c r="G1568" i="3"/>
  <c r="G1567" i="3"/>
  <c r="G1566" i="3"/>
  <c r="G1565" i="3"/>
  <c r="G1564" i="3"/>
  <c r="G1563" i="3"/>
  <c r="G1562" i="3"/>
  <c r="G1561" i="3"/>
  <c r="G1560" i="3"/>
  <c r="G1559" i="3"/>
  <c r="G1558" i="3"/>
  <c r="G1557" i="3"/>
  <c r="G1556" i="3"/>
  <c r="G1555" i="3"/>
  <c r="G1554" i="3"/>
  <c r="G1553" i="3"/>
  <c r="G1552" i="3"/>
  <c r="G1551" i="3"/>
  <c r="G1550" i="3"/>
  <c r="G1549" i="3"/>
  <c r="G1548" i="3"/>
  <c r="G1547" i="3"/>
  <c r="G1546" i="3"/>
  <c r="G1545" i="3"/>
  <c r="G1544" i="3"/>
  <c r="G1543" i="3"/>
  <c r="G1542" i="3"/>
  <c r="G1541" i="3"/>
  <c r="G1540" i="3"/>
  <c r="G1539" i="3"/>
  <c r="G1538" i="3"/>
  <c r="G1537" i="3"/>
  <c r="G1536" i="3"/>
  <c r="G1535" i="3"/>
  <c r="G1534" i="3"/>
  <c r="G1533" i="3"/>
  <c r="G1532" i="3"/>
  <c r="G1531" i="3"/>
  <c r="G1530" i="3"/>
  <c r="G1529" i="3"/>
  <c r="G1528" i="3"/>
  <c r="G1527" i="3"/>
  <c r="G1526" i="3"/>
  <c r="G1525" i="3"/>
  <c r="G1524" i="3"/>
  <c r="G1523" i="3"/>
  <c r="G1522" i="3"/>
  <c r="G1521" i="3"/>
  <c r="G1520" i="3"/>
  <c r="G1519" i="3"/>
  <c r="G1518" i="3"/>
  <c r="G1517" i="3"/>
  <c r="G1516" i="3"/>
  <c r="G1515" i="3"/>
  <c r="G1514" i="3"/>
  <c r="G1513" i="3"/>
  <c r="G1512" i="3"/>
  <c r="G1511" i="3"/>
  <c r="G1510" i="3"/>
  <c r="G1509" i="3"/>
  <c r="G1508" i="3"/>
  <c r="G1507" i="3"/>
  <c r="G1506" i="3"/>
  <c r="G1505" i="3"/>
  <c r="G1504" i="3"/>
  <c r="G1503" i="3"/>
  <c r="G1502" i="3"/>
  <c r="G1501" i="3"/>
  <c r="G1500" i="3"/>
  <c r="G1499" i="3"/>
  <c r="G1498" i="3"/>
  <c r="G1497" i="3"/>
  <c r="G1496" i="3"/>
  <c r="G1495" i="3"/>
  <c r="G1494" i="3"/>
  <c r="G1493" i="3"/>
  <c r="G1492" i="3"/>
  <c r="G1491" i="3"/>
  <c r="G1490" i="3"/>
  <c r="G1489" i="3"/>
  <c r="G1488" i="3"/>
  <c r="G1487" i="3"/>
  <c r="G1486" i="3"/>
  <c r="G1485" i="3"/>
  <c r="G1484" i="3"/>
  <c r="G1483" i="3"/>
  <c r="G1482" i="3"/>
  <c r="G1481" i="3"/>
  <c r="G1480" i="3"/>
  <c r="G1479" i="3"/>
  <c r="G1478" i="3"/>
  <c r="G1477" i="3"/>
  <c r="G1476" i="3"/>
  <c r="G1475" i="3"/>
  <c r="G1474" i="3"/>
  <c r="G1473" i="3"/>
  <c r="G1472" i="3"/>
  <c r="G1471" i="3"/>
  <c r="G1470" i="3"/>
  <c r="G1469" i="3"/>
  <c r="G1468" i="3"/>
  <c r="G1467" i="3"/>
  <c r="G1466" i="3"/>
  <c r="G1465" i="3"/>
  <c r="G1464" i="3"/>
  <c r="G1463" i="3"/>
  <c r="G1462" i="3"/>
  <c r="G1461" i="3"/>
  <c r="G1460" i="3"/>
  <c r="G1459" i="3"/>
  <c r="G1458" i="3"/>
  <c r="G1457" i="3"/>
  <c r="G1456" i="3"/>
  <c r="G1455" i="3"/>
  <c r="G1454" i="3"/>
  <c r="G1453" i="3"/>
  <c r="G1452" i="3"/>
  <c r="G1451" i="3"/>
  <c r="G1450" i="3"/>
  <c r="G1449" i="3"/>
  <c r="G1448" i="3"/>
  <c r="G1447" i="3"/>
  <c r="G1446" i="3"/>
  <c r="G1445" i="3"/>
  <c r="G1444" i="3"/>
  <c r="G1443" i="3"/>
  <c r="G1442" i="3"/>
  <c r="G1441" i="3"/>
  <c r="G1440" i="3"/>
  <c r="G1439" i="3"/>
  <c r="G1438" i="3"/>
  <c r="G1437" i="3"/>
  <c r="G1436" i="3"/>
  <c r="G1435" i="3"/>
  <c r="G1434" i="3"/>
  <c r="G1433" i="3"/>
  <c r="G1432" i="3"/>
  <c r="G1431" i="3"/>
  <c r="G1430" i="3"/>
  <c r="G1429" i="3"/>
  <c r="G1428" i="3"/>
  <c r="G1427" i="3"/>
  <c r="G1426" i="3"/>
  <c r="G1425" i="3"/>
  <c r="G1424" i="3"/>
  <c r="G1423" i="3"/>
  <c r="G1422" i="3"/>
  <c r="G1421" i="3"/>
  <c r="G1420" i="3"/>
  <c r="G1419" i="3"/>
  <c r="G1418" i="3"/>
  <c r="G1417" i="3"/>
  <c r="G1416" i="3"/>
  <c r="G1415" i="3"/>
  <c r="G1414" i="3"/>
  <c r="G1413" i="3"/>
  <c r="G1412" i="3"/>
  <c r="G1411" i="3"/>
  <c r="G1410" i="3"/>
  <c r="G1409" i="3"/>
  <c r="G1408" i="3"/>
  <c r="G1407" i="3"/>
  <c r="G1406" i="3"/>
  <c r="G1405" i="3"/>
  <c r="G1404" i="3"/>
  <c r="G1403" i="3"/>
  <c r="G1402" i="3"/>
  <c r="G1401" i="3"/>
  <c r="G1400" i="3"/>
  <c r="G1399" i="3"/>
  <c r="G1398" i="3"/>
  <c r="G1397" i="3"/>
  <c r="G1396" i="3"/>
  <c r="G1395" i="3"/>
  <c r="G1394" i="3"/>
  <c r="G1393" i="3"/>
  <c r="G1392" i="3"/>
  <c r="G1391" i="3"/>
  <c r="G1390" i="3"/>
  <c r="G1389" i="3"/>
  <c r="G1388" i="3"/>
  <c r="G1387" i="3"/>
  <c r="G1386" i="3"/>
  <c r="G1385" i="3"/>
  <c r="G1384" i="3"/>
  <c r="G1383" i="3"/>
  <c r="G1382" i="3"/>
  <c r="G1381" i="3"/>
  <c r="G1380" i="3"/>
  <c r="G1379" i="3"/>
  <c r="G1378" i="3"/>
  <c r="G1377" i="3"/>
  <c r="G1376" i="3"/>
  <c r="G1375" i="3"/>
  <c r="G1374" i="3"/>
  <c r="G1373" i="3"/>
  <c r="G1372" i="3"/>
  <c r="G1371" i="3"/>
  <c r="G1370" i="3"/>
  <c r="G1369" i="3"/>
  <c r="G1368" i="3"/>
  <c r="G1367" i="3"/>
  <c r="G1366" i="3"/>
  <c r="G1365" i="3"/>
  <c r="G1364" i="3"/>
  <c r="G1363" i="3"/>
  <c r="G1362" i="3"/>
  <c r="G1361" i="3"/>
  <c r="G1360" i="3"/>
  <c r="G1359" i="3"/>
  <c r="G1358" i="3"/>
  <c r="G1357" i="3"/>
  <c r="G1356" i="3"/>
  <c r="G1355" i="3"/>
  <c r="G1354" i="3"/>
  <c r="G1353" i="3"/>
  <c r="G1352" i="3"/>
  <c r="G1351" i="3"/>
  <c r="G1350" i="3"/>
  <c r="G1349" i="3"/>
  <c r="G1348" i="3"/>
  <c r="G1347" i="3"/>
  <c r="G1346" i="3"/>
  <c r="G1345" i="3"/>
  <c r="G1344" i="3"/>
  <c r="G1343" i="3"/>
  <c r="G1342" i="3"/>
  <c r="G1341" i="3"/>
  <c r="G1340" i="3"/>
  <c r="G1339" i="3"/>
  <c r="G1338" i="3"/>
  <c r="G1337" i="3"/>
  <c r="G1336" i="3"/>
  <c r="G1335" i="3"/>
  <c r="G1334" i="3"/>
  <c r="G1333" i="3"/>
  <c r="G1332" i="3"/>
  <c r="G1331" i="3"/>
  <c r="G1330" i="3"/>
  <c r="G1329" i="3"/>
  <c r="G1328" i="3"/>
  <c r="G1327" i="3"/>
  <c r="G1326" i="3"/>
  <c r="G1325" i="3"/>
  <c r="G1324" i="3"/>
  <c r="G1323" i="3"/>
  <c r="G1322" i="3"/>
  <c r="G1321" i="3"/>
  <c r="G1320" i="3"/>
  <c r="G1319" i="3"/>
  <c r="G1318" i="3"/>
  <c r="G1317" i="3"/>
  <c r="G1316" i="3"/>
  <c r="G1315" i="3"/>
  <c r="G1314" i="3"/>
  <c r="G1313" i="3"/>
  <c r="G1312" i="3"/>
  <c r="G1311" i="3"/>
  <c r="G1310" i="3"/>
  <c r="G1309" i="3"/>
  <c r="G1308" i="3"/>
  <c r="G1307" i="3"/>
  <c r="G1306" i="3"/>
  <c r="G1305" i="3"/>
  <c r="G1304" i="3"/>
  <c r="G1303" i="3"/>
  <c r="G1302" i="3"/>
  <c r="G1301" i="3"/>
  <c r="G1300" i="3"/>
  <c r="G1299" i="3"/>
  <c r="G1298" i="3"/>
  <c r="G1297" i="3"/>
  <c r="G1296" i="3"/>
  <c r="G1295" i="3"/>
  <c r="G1294" i="3"/>
  <c r="G1293" i="3"/>
  <c r="G1292" i="3"/>
  <c r="G1291" i="3"/>
  <c r="G1290" i="3"/>
  <c r="G1289" i="3"/>
  <c r="G1288" i="3"/>
  <c r="G1287" i="3"/>
  <c r="G1286" i="3"/>
  <c r="G1285" i="3"/>
  <c r="G1284" i="3"/>
  <c r="G1283" i="3"/>
  <c r="G1282" i="3"/>
  <c r="G1281" i="3"/>
  <c r="G1280" i="3"/>
  <c r="G1279" i="3"/>
  <c r="G1278" i="3"/>
  <c r="G1277" i="3"/>
  <c r="G1276" i="3"/>
  <c r="G1275" i="3"/>
  <c r="G1274" i="3"/>
  <c r="G1273" i="3"/>
  <c r="G1272" i="3"/>
  <c r="G1271" i="3"/>
  <c r="G1270" i="3"/>
  <c r="G1269" i="3"/>
  <c r="G1268" i="3"/>
  <c r="G1267" i="3"/>
  <c r="G1266" i="3"/>
  <c r="G1265" i="3"/>
  <c r="G1264" i="3"/>
  <c r="G1263" i="3"/>
  <c r="G1262" i="3"/>
  <c r="G1261" i="3"/>
  <c r="G1260" i="3"/>
  <c r="G1259" i="3"/>
  <c r="G1258" i="3"/>
  <c r="G1257" i="3"/>
  <c r="G1256" i="3"/>
  <c r="G1255" i="3"/>
  <c r="G1254" i="3"/>
  <c r="G1253" i="3"/>
  <c r="G1252" i="3"/>
  <c r="G1251" i="3"/>
  <c r="G1250" i="3"/>
  <c r="G1249" i="3"/>
  <c r="G1248" i="3"/>
  <c r="G1247" i="3"/>
  <c r="G1246" i="3"/>
  <c r="G1245" i="3"/>
  <c r="G1244" i="3"/>
  <c r="G1243" i="3"/>
  <c r="G1242" i="3"/>
  <c r="G1241" i="3"/>
  <c r="G1240" i="3"/>
  <c r="G1239" i="3"/>
  <c r="G1238" i="3"/>
  <c r="G1237" i="3"/>
  <c r="G1236" i="3"/>
  <c r="G1235" i="3"/>
  <c r="G1234" i="3"/>
  <c r="G1233" i="3"/>
  <c r="G1232" i="3"/>
  <c r="G1231" i="3"/>
  <c r="G1230" i="3"/>
  <c r="G1229" i="3"/>
  <c r="G1228" i="3"/>
  <c r="G1227" i="3"/>
  <c r="G1226" i="3"/>
  <c r="G1225" i="3"/>
  <c r="G1224" i="3"/>
  <c r="G1223" i="3"/>
  <c r="G1222" i="3"/>
  <c r="G1221" i="3"/>
  <c r="G1220" i="3"/>
  <c r="G1219" i="3"/>
  <c r="G1218" i="3"/>
  <c r="G1217" i="3"/>
  <c r="G1216" i="3"/>
  <c r="G1215" i="3"/>
  <c r="G1214" i="3"/>
  <c r="G1213" i="3"/>
  <c r="G1212" i="3"/>
  <c r="G1211" i="3"/>
  <c r="G1210" i="3"/>
  <c r="G1209" i="3"/>
  <c r="G1208" i="3"/>
  <c r="G1207" i="3"/>
  <c r="G1206" i="3"/>
  <c r="G1205" i="3"/>
  <c r="G1204" i="3"/>
  <c r="G1203" i="3"/>
  <c r="G1202" i="3"/>
  <c r="G1201" i="3"/>
  <c r="G1200" i="3"/>
  <c r="G1199" i="3"/>
  <c r="G1198" i="3"/>
  <c r="G1197" i="3"/>
  <c r="G1196" i="3"/>
  <c r="G1195" i="3"/>
  <c r="G1194" i="3"/>
  <c r="G1193" i="3"/>
  <c r="G1192" i="3"/>
  <c r="G1191" i="3"/>
  <c r="G1190" i="3"/>
  <c r="G1189" i="3"/>
  <c r="G1188" i="3"/>
  <c r="G1187" i="3"/>
  <c r="G1186" i="3"/>
  <c r="G1185" i="3"/>
  <c r="G1184" i="3"/>
  <c r="G1183" i="3"/>
  <c r="G1182" i="3"/>
  <c r="G1181" i="3"/>
  <c r="G1180" i="3"/>
  <c r="G1179" i="3"/>
  <c r="G1178" i="3"/>
  <c r="G1177" i="3"/>
  <c r="G1176" i="3"/>
  <c r="G1175" i="3"/>
  <c r="G1174" i="3"/>
  <c r="G1173" i="3"/>
  <c r="G1172" i="3"/>
  <c r="G1171" i="3"/>
  <c r="G1170" i="3"/>
  <c r="G1169" i="3"/>
  <c r="G1168" i="3"/>
  <c r="G1167" i="3"/>
  <c r="G1166" i="3"/>
  <c r="G1165" i="3"/>
  <c r="G1164" i="3"/>
  <c r="G1163" i="3"/>
  <c r="G1162" i="3"/>
  <c r="G1161" i="3"/>
  <c r="G1160" i="3"/>
  <c r="G1159" i="3"/>
  <c r="G1158" i="3"/>
  <c r="G1157" i="3"/>
  <c r="G1156" i="3"/>
  <c r="G1155" i="3"/>
  <c r="G1154" i="3"/>
  <c r="G1153" i="3"/>
  <c r="G1152" i="3"/>
  <c r="G1151" i="3"/>
  <c r="G1150" i="3"/>
  <c r="G1149" i="3"/>
  <c r="G1148" i="3"/>
  <c r="G1147" i="3"/>
  <c r="G1146" i="3"/>
  <c r="G1145" i="3"/>
  <c r="G1144" i="3"/>
  <c r="G1143" i="3"/>
  <c r="G1142" i="3"/>
  <c r="G1141" i="3"/>
  <c r="G1140" i="3"/>
  <c r="G1139" i="3"/>
  <c r="G1138" i="3"/>
  <c r="G1137" i="3"/>
  <c r="G1136" i="3"/>
  <c r="G1135" i="3"/>
  <c r="G1134" i="3"/>
  <c r="G1133" i="3"/>
  <c r="G1132" i="3"/>
  <c r="G1131" i="3"/>
  <c r="G1130" i="3"/>
  <c r="G1129" i="3"/>
  <c r="G1128" i="3"/>
  <c r="G1127" i="3"/>
  <c r="G1126" i="3"/>
  <c r="G1125" i="3"/>
  <c r="G1124" i="3"/>
  <c r="G1123" i="3"/>
  <c r="G1122" i="3"/>
  <c r="G1121" i="3"/>
  <c r="G1120" i="3"/>
  <c r="G1119" i="3"/>
  <c r="G1118" i="3"/>
  <c r="G1117" i="3"/>
  <c r="G1116" i="3"/>
  <c r="G1115" i="3"/>
  <c r="G1114" i="3"/>
  <c r="G1113" i="3"/>
  <c r="G1112" i="3"/>
  <c r="G1111" i="3"/>
  <c r="G1110" i="3"/>
  <c r="G1109" i="3"/>
  <c r="G1108" i="3"/>
  <c r="G1107" i="3"/>
  <c r="G1106" i="3"/>
  <c r="G1105" i="3"/>
  <c r="G1104" i="3"/>
  <c r="G1103" i="3"/>
  <c r="G1102" i="3"/>
  <c r="G1101" i="3"/>
  <c r="G1100" i="3"/>
  <c r="G1099" i="3"/>
  <c r="G1098" i="3"/>
  <c r="G1097" i="3"/>
  <c r="G1096" i="3"/>
  <c r="G1095" i="3"/>
  <c r="G1094" i="3"/>
  <c r="G1093" i="3"/>
  <c r="G1092" i="3"/>
  <c r="G1091" i="3"/>
  <c r="G1090" i="3"/>
  <c r="G1089" i="3"/>
  <c r="G1088" i="3"/>
  <c r="G1087" i="3"/>
  <c r="G1086" i="3"/>
  <c r="G1085" i="3"/>
  <c r="G1084" i="3"/>
  <c r="G1083" i="3"/>
  <c r="G1082" i="3"/>
  <c r="G1081" i="3"/>
  <c r="G1080" i="3"/>
  <c r="G1079" i="3"/>
  <c r="G1078" i="3"/>
  <c r="G1077" i="3"/>
  <c r="G1076" i="3"/>
  <c r="G1075" i="3"/>
  <c r="G1074" i="3"/>
  <c r="G1073" i="3"/>
  <c r="G1072" i="3"/>
  <c r="G1071" i="3"/>
  <c r="G1070" i="3"/>
  <c r="G1069" i="3"/>
  <c r="G1068" i="3"/>
  <c r="G1067" i="3"/>
  <c r="G1066" i="3"/>
  <c r="G1065" i="3"/>
  <c r="G1064" i="3"/>
  <c r="G1063" i="3"/>
  <c r="G1062" i="3"/>
  <c r="G1061" i="3"/>
  <c r="G1060" i="3"/>
  <c r="G1059" i="3"/>
  <c r="G1058" i="3"/>
  <c r="G1057" i="3"/>
  <c r="G1056" i="3"/>
  <c r="G1055" i="3"/>
  <c r="G1054" i="3"/>
  <c r="G1053" i="3"/>
  <c r="G1052" i="3"/>
  <c r="G1051" i="3"/>
  <c r="G1050" i="3"/>
  <c r="G1049" i="3"/>
  <c r="G1048" i="3"/>
  <c r="G1047" i="3"/>
  <c r="G1046" i="3"/>
  <c r="G1045" i="3"/>
  <c r="G1044" i="3"/>
  <c r="G1043" i="3"/>
  <c r="G1042" i="3"/>
  <c r="G1041" i="3"/>
  <c r="G1040" i="3"/>
  <c r="G1039" i="3"/>
  <c r="G1038" i="3"/>
  <c r="G1037" i="3"/>
  <c r="G1036" i="3"/>
  <c r="G1035" i="3"/>
  <c r="G1034" i="3"/>
  <c r="G1033" i="3"/>
  <c r="G1032" i="3"/>
  <c r="G1031" i="3"/>
  <c r="G1030" i="3"/>
  <c r="G1029" i="3"/>
  <c r="G1028" i="3"/>
  <c r="G1027" i="3"/>
  <c r="G1026" i="3"/>
  <c r="G1025" i="3"/>
  <c r="G1024" i="3"/>
  <c r="G1023" i="3"/>
  <c r="G1022" i="3"/>
  <c r="G1021" i="3"/>
  <c r="G1020" i="3"/>
  <c r="G1019" i="3"/>
  <c r="G1018" i="3"/>
  <c r="G1017" i="3"/>
  <c r="G1016" i="3"/>
  <c r="G1015" i="3"/>
  <c r="G1014" i="3"/>
  <c r="G1013" i="3"/>
  <c r="G1012" i="3"/>
  <c r="G1011" i="3"/>
  <c r="G1010" i="3"/>
  <c r="G1009" i="3"/>
  <c r="G1008" i="3"/>
  <c r="G1007" i="3"/>
  <c r="G1006" i="3"/>
  <c r="G1005" i="3"/>
  <c r="G1004" i="3"/>
  <c r="G1003" i="3"/>
  <c r="G1002" i="3"/>
  <c r="G1001" i="3"/>
  <c r="G1000" i="3"/>
  <c r="G999" i="3"/>
  <c r="G998" i="3"/>
  <c r="G997" i="3"/>
  <c r="G996" i="3"/>
  <c r="G995" i="3"/>
  <c r="G994" i="3"/>
  <c r="G993" i="3"/>
  <c r="G992" i="3"/>
  <c r="G991" i="3"/>
  <c r="G990" i="3"/>
  <c r="G989" i="3"/>
  <c r="G988" i="3"/>
  <c r="G987" i="3"/>
  <c r="G986" i="3"/>
  <c r="G985" i="3"/>
  <c r="G984" i="3"/>
  <c r="G983" i="3"/>
  <c r="G982" i="3"/>
  <c r="G981" i="3"/>
  <c r="G980" i="3"/>
  <c r="G979" i="3"/>
  <c r="G978" i="3"/>
  <c r="G977" i="3"/>
  <c r="G976" i="3"/>
  <c r="G975" i="3"/>
  <c r="G974" i="3"/>
  <c r="G973" i="3"/>
  <c r="G972" i="3"/>
  <c r="G971" i="3"/>
  <c r="G970" i="3"/>
  <c r="G969" i="3"/>
  <c r="G968" i="3"/>
  <c r="G967" i="3"/>
  <c r="G966" i="3"/>
  <c r="G965" i="3"/>
  <c r="G964" i="3"/>
  <c r="G963" i="3"/>
  <c r="G962" i="3"/>
  <c r="G961" i="3"/>
  <c r="G960" i="3"/>
  <c r="G959" i="3"/>
  <c r="G958" i="3"/>
  <c r="G957" i="3"/>
  <c r="G956" i="3"/>
  <c r="G955" i="3"/>
  <c r="G954" i="3"/>
  <c r="G953" i="3"/>
  <c r="G952" i="3"/>
  <c r="G951" i="3"/>
  <c r="G950" i="3"/>
  <c r="G949" i="3"/>
  <c r="G948" i="3"/>
  <c r="G947" i="3"/>
  <c r="G946" i="3"/>
  <c r="G945" i="3"/>
  <c r="G944" i="3"/>
  <c r="G943" i="3"/>
  <c r="G942" i="3"/>
  <c r="G941" i="3"/>
  <c r="G940" i="3"/>
  <c r="G939" i="3"/>
  <c r="G938" i="3"/>
  <c r="G937" i="3"/>
  <c r="G936" i="3"/>
  <c r="G935" i="3"/>
  <c r="G934" i="3"/>
  <c r="G933" i="3"/>
  <c r="G932" i="3"/>
  <c r="G931" i="3"/>
  <c r="G930" i="3"/>
  <c r="G929" i="3"/>
  <c r="G928" i="3"/>
  <c r="G927" i="3"/>
  <c r="G926" i="3"/>
  <c r="G925" i="3"/>
  <c r="G924" i="3"/>
  <c r="G923" i="3"/>
  <c r="G922" i="3"/>
  <c r="G921" i="3"/>
  <c r="G920" i="3"/>
  <c r="G919" i="3"/>
  <c r="G918" i="3"/>
  <c r="G917" i="3"/>
  <c r="G916" i="3"/>
  <c r="G915" i="3"/>
  <c r="G914" i="3"/>
  <c r="G913" i="3"/>
  <c r="G912" i="3"/>
  <c r="G911" i="3"/>
  <c r="G910" i="3"/>
  <c r="G909" i="3"/>
  <c r="G908" i="3"/>
  <c r="G907" i="3"/>
  <c r="G906" i="3"/>
  <c r="G905" i="3"/>
  <c r="G904" i="3"/>
  <c r="G903" i="3"/>
  <c r="G902" i="3"/>
  <c r="G901" i="3"/>
  <c r="G900" i="3"/>
  <c r="G899" i="3"/>
  <c r="G898" i="3"/>
  <c r="G897" i="3"/>
  <c r="G896" i="3"/>
  <c r="G895" i="3"/>
  <c r="G894" i="3"/>
  <c r="G893" i="3"/>
  <c r="G892" i="3"/>
  <c r="G891" i="3"/>
  <c r="G890" i="3"/>
  <c r="G889" i="3"/>
  <c r="G888" i="3"/>
  <c r="G887" i="3"/>
  <c r="G886" i="3"/>
  <c r="G885" i="3"/>
  <c r="G884" i="3"/>
  <c r="G883" i="3"/>
  <c r="G882" i="3"/>
  <c r="G881" i="3"/>
  <c r="G880" i="3"/>
  <c r="G879" i="3"/>
  <c r="G878" i="3"/>
  <c r="G877" i="3"/>
  <c r="G876" i="3"/>
  <c r="G875" i="3"/>
  <c r="G874" i="3"/>
  <c r="G873" i="3"/>
  <c r="G872" i="3"/>
  <c r="G871" i="3"/>
  <c r="G870" i="3"/>
  <c r="G869" i="3"/>
  <c r="G868" i="3"/>
  <c r="G867" i="3"/>
  <c r="G866" i="3"/>
  <c r="G865" i="3"/>
  <c r="G864" i="3"/>
  <c r="G863" i="3"/>
  <c r="G862" i="3"/>
  <c r="G861" i="3"/>
  <c r="G860" i="3"/>
  <c r="G859" i="3"/>
  <c r="G858" i="3"/>
  <c r="G857" i="3"/>
  <c r="G856" i="3"/>
  <c r="G855" i="3"/>
  <c r="G854" i="3"/>
  <c r="G853" i="3"/>
  <c r="G852" i="3"/>
  <c r="G851" i="3"/>
  <c r="G850" i="3"/>
  <c r="G849" i="3"/>
  <c r="G848" i="3"/>
  <c r="G847" i="3"/>
  <c r="G846" i="3"/>
  <c r="G845" i="3"/>
  <c r="G844" i="3"/>
  <c r="G843" i="3"/>
  <c r="G842" i="3"/>
  <c r="G841" i="3"/>
  <c r="G840" i="3"/>
  <c r="G839" i="3"/>
  <c r="G838" i="3"/>
  <c r="G837" i="3"/>
  <c r="G836" i="3"/>
  <c r="G835" i="3"/>
  <c r="G834" i="3"/>
  <c r="G833" i="3"/>
  <c r="G832" i="3"/>
  <c r="G831" i="3"/>
  <c r="G830" i="3"/>
  <c r="G829" i="3"/>
  <c r="G828" i="3"/>
  <c r="G827" i="3"/>
  <c r="G826" i="3"/>
  <c r="G825" i="3"/>
  <c r="G824" i="3"/>
  <c r="G823" i="3"/>
  <c r="G822" i="3"/>
  <c r="G821" i="3"/>
  <c r="G820" i="3"/>
  <c r="G819" i="3"/>
  <c r="G818" i="3"/>
  <c r="G817" i="3"/>
  <c r="G816" i="3"/>
  <c r="G815" i="3"/>
  <c r="G814" i="3"/>
  <c r="G813" i="3"/>
  <c r="G812" i="3"/>
  <c r="G811" i="3"/>
  <c r="G810" i="3"/>
  <c r="G809" i="3"/>
  <c r="G808" i="3"/>
  <c r="G807" i="3"/>
  <c r="G806" i="3"/>
  <c r="G805" i="3"/>
  <c r="G804" i="3"/>
  <c r="G803" i="3"/>
  <c r="G802" i="3"/>
  <c r="G801" i="3"/>
  <c r="G800" i="3"/>
  <c r="G799" i="3"/>
  <c r="G798" i="3"/>
  <c r="G797" i="3"/>
  <c r="G796" i="3"/>
  <c r="G795" i="3"/>
  <c r="G794" i="3"/>
  <c r="G793" i="3"/>
  <c r="G792" i="3"/>
  <c r="G791" i="3"/>
  <c r="G790" i="3"/>
  <c r="G789" i="3"/>
  <c r="G788" i="3"/>
  <c r="G787" i="3"/>
  <c r="G786" i="3"/>
  <c r="G785" i="3"/>
  <c r="G784" i="3"/>
  <c r="G783" i="3"/>
  <c r="G782" i="3"/>
  <c r="G781" i="3"/>
  <c r="G780" i="3"/>
  <c r="G779" i="3"/>
  <c r="G778" i="3"/>
  <c r="G777" i="3"/>
  <c r="G776" i="3"/>
  <c r="G775" i="3"/>
  <c r="G774" i="3"/>
  <c r="G773" i="3"/>
  <c r="G772" i="3"/>
  <c r="G771" i="3"/>
  <c r="G770" i="3"/>
  <c r="G769" i="3"/>
  <c r="G768" i="3"/>
  <c r="G767" i="3"/>
  <c r="G766" i="3"/>
  <c r="G765" i="3"/>
  <c r="G764" i="3"/>
  <c r="G763" i="3"/>
  <c r="G762" i="3"/>
  <c r="G761" i="3"/>
  <c r="G760" i="3"/>
  <c r="G759" i="3"/>
  <c r="G758" i="3"/>
  <c r="G757" i="3"/>
  <c r="G756" i="3"/>
  <c r="G755" i="3"/>
  <c r="G754" i="3"/>
  <c r="G753" i="3"/>
  <c r="G752" i="3"/>
  <c r="G751" i="3"/>
  <c r="G750" i="3"/>
  <c r="G749" i="3"/>
  <c r="G748" i="3"/>
  <c r="G747" i="3"/>
  <c r="G746" i="3"/>
  <c r="G745" i="3"/>
  <c r="G744" i="3"/>
  <c r="G743" i="3"/>
  <c r="G742" i="3"/>
  <c r="G741" i="3"/>
  <c r="G740" i="3"/>
  <c r="G739" i="3"/>
  <c r="G738" i="3"/>
  <c r="G737" i="3"/>
  <c r="G736" i="3"/>
  <c r="G735" i="3"/>
  <c r="G734" i="3"/>
  <c r="G733" i="3"/>
  <c r="G732" i="3"/>
  <c r="G731" i="3"/>
  <c r="G730" i="3"/>
  <c r="G729" i="3"/>
  <c r="G728" i="3"/>
  <c r="G727" i="3"/>
  <c r="G726" i="3"/>
  <c r="G725" i="3"/>
  <c r="G724" i="3"/>
  <c r="G723" i="3"/>
  <c r="G722" i="3"/>
  <c r="G721" i="3"/>
  <c r="G720" i="3"/>
  <c r="G719" i="3"/>
  <c r="G718" i="3"/>
  <c r="G717" i="3"/>
  <c r="G716" i="3"/>
  <c r="G715" i="3"/>
  <c r="G714" i="3"/>
  <c r="G713" i="3"/>
  <c r="G712" i="3"/>
  <c r="G711" i="3"/>
  <c r="G710" i="3"/>
  <c r="G709" i="3"/>
  <c r="G708" i="3"/>
  <c r="G707" i="3"/>
  <c r="G706" i="3"/>
  <c r="G705" i="3"/>
  <c r="G704" i="3"/>
  <c r="G703" i="3"/>
  <c r="G702" i="3"/>
  <c r="G701" i="3"/>
  <c r="G700" i="3"/>
  <c r="G699" i="3"/>
  <c r="G698" i="3"/>
  <c r="G697" i="3"/>
  <c r="G696" i="3"/>
  <c r="G695" i="3"/>
  <c r="G694" i="3"/>
  <c r="G693" i="3"/>
  <c r="G692" i="3"/>
  <c r="G691" i="3"/>
  <c r="G690" i="3"/>
  <c r="G689" i="3"/>
  <c r="G688" i="3"/>
  <c r="G687" i="3"/>
  <c r="G686" i="3"/>
  <c r="G685" i="3"/>
  <c r="G684" i="3"/>
  <c r="G683" i="3"/>
  <c r="G682" i="3"/>
  <c r="G681" i="3"/>
  <c r="G680" i="3"/>
  <c r="G679" i="3"/>
  <c r="G678" i="3"/>
  <c r="G677" i="3"/>
  <c r="G676" i="3"/>
  <c r="G675" i="3"/>
  <c r="G674" i="3"/>
  <c r="G673" i="3"/>
  <c r="G672" i="3"/>
  <c r="G671" i="3"/>
  <c r="G670" i="3"/>
  <c r="G669" i="3"/>
  <c r="G668" i="3"/>
  <c r="G667" i="3"/>
  <c r="G666" i="3"/>
  <c r="G665" i="3"/>
  <c r="G664" i="3"/>
  <c r="G663" i="3"/>
  <c r="G662" i="3"/>
  <c r="G661" i="3"/>
  <c r="G660" i="3"/>
  <c r="G659" i="3"/>
  <c r="G658" i="3"/>
  <c r="G657" i="3"/>
  <c r="G656" i="3"/>
  <c r="G655" i="3"/>
  <c r="G654" i="3"/>
  <c r="G653" i="3"/>
  <c r="G652" i="3"/>
  <c r="G651" i="3"/>
  <c r="G650" i="3"/>
  <c r="G649" i="3"/>
  <c r="G648" i="3"/>
  <c r="G647" i="3"/>
  <c r="G646" i="3"/>
  <c r="G645" i="3"/>
  <c r="G644" i="3"/>
  <c r="G643" i="3"/>
  <c r="G642" i="3"/>
  <c r="G641" i="3"/>
  <c r="G640" i="3"/>
  <c r="G639" i="3"/>
  <c r="G638" i="3"/>
  <c r="G637" i="3"/>
  <c r="G636" i="3"/>
  <c r="G635" i="3"/>
  <c r="G634" i="3"/>
  <c r="G633" i="3"/>
  <c r="G632" i="3"/>
  <c r="G631" i="3"/>
  <c r="G630" i="3"/>
  <c r="G629" i="3"/>
  <c r="G628" i="3"/>
  <c r="G627" i="3"/>
  <c r="G626" i="3"/>
  <c r="G625" i="3"/>
  <c r="G624" i="3"/>
  <c r="G623" i="3"/>
  <c r="G622" i="3"/>
  <c r="G621" i="3"/>
  <c r="G620" i="3"/>
  <c r="G619" i="3"/>
  <c r="G618" i="3"/>
  <c r="G617" i="3"/>
  <c r="G616" i="3"/>
  <c r="G615" i="3"/>
  <c r="G614" i="3"/>
  <c r="G613" i="3"/>
  <c r="G612" i="3"/>
  <c r="G611" i="3"/>
  <c r="G610" i="3"/>
  <c r="G609" i="3"/>
  <c r="G608" i="3"/>
  <c r="G607" i="3"/>
  <c r="G606" i="3"/>
  <c r="G605" i="3"/>
  <c r="G604" i="3"/>
  <c r="G603" i="3"/>
  <c r="G602" i="3"/>
  <c r="G601" i="3"/>
  <c r="G600" i="3"/>
  <c r="G599" i="3"/>
  <c r="G598" i="3"/>
  <c r="G597" i="3"/>
  <c r="G596" i="3"/>
  <c r="G595" i="3"/>
  <c r="G594" i="3"/>
  <c r="G593" i="3"/>
  <c r="G592" i="3"/>
  <c r="G591" i="3"/>
  <c r="G590" i="3"/>
  <c r="G589" i="3"/>
  <c r="G588" i="3"/>
  <c r="G587" i="3"/>
  <c r="G586" i="3"/>
  <c r="G585" i="3"/>
  <c r="G584" i="3"/>
  <c r="G583" i="3"/>
  <c r="G582" i="3"/>
  <c r="G581" i="3"/>
  <c r="G580" i="3"/>
  <c r="G579" i="3"/>
  <c r="G578" i="3"/>
  <c r="G577" i="3"/>
  <c r="G576" i="3"/>
  <c r="G575" i="3"/>
  <c r="G574" i="3"/>
  <c r="G573" i="3"/>
  <c r="G572" i="3"/>
  <c r="G571" i="3"/>
  <c r="G570" i="3"/>
  <c r="G569" i="3"/>
  <c r="G568" i="3"/>
  <c r="G567" i="3"/>
  <c r="G566" i="3"/>
  <c r="G565" i="3"/>
  <c r="G564" i="3"/>
  <c r="G563" i="3"/>
  <c r="G562" i="3"/>
  <c r="G561" i="3"/>
  <c r="G560" i="3"/>
  <c r="G559" i="3"/>
  <c r="G558" i="3"/>
  <c r="G557" i="3"/>
  <c r="G556" i="3"/>
  <c r="G555" i="3"/>
  <c r="G554" i="3"/>
  <c r="G553" i="3"/>
  <c r="G552" i="3"/>
  <c r="G551" i="3"/>
  <c r="G550" i="3"/>
  <c r="G549" i="3"/>
  <c r="G548" i="3"/>
  <c r="G547" i="3"/>
  <c r="G546" i="3"/>
  <c r="G545" i="3"/>
  <c r="G544" i="3"/>
  <c r="G543" i="3"/>
  <c r="G542" i="3"/>
  <c r="G541" i="3"/>
  <c r="G540" i="3"/>
  <c r="G539" i="3"/>
  <c r="G538" i="3"/>
  <c r="G537" i="3"/>
  <c r="G536" i="3"/>
  <c r="G535" i="3"/>
  <c r="G534" i="3"/>
  <c r="G533" i="3"/>
  <c r="G532" i="3"/>
  <c r="G531" i="3"/>
  <c r="G530" i="3"/>
  <c r="G529" i="3"/>
  <c r="G528" i="3"/>
  <c r="G527" i="3"/>
  <c r="G526" i="3"/>
  <c r="G525" i="3"/>
  <c r="G524" i="3"/>
  <c r="G523" i="3"/>
  <c r="G522" i="3"/>
  <c r="G521" i="3"/>
  <c r="G520" i="3"/>
  <c r="G519" i="3"/>
  <c r="G518" i="3"/>
  <c r="G517" i="3"/>
  <c r="G516" i="3"/>
  <c r="G515" i="3"/>
  <c r="G514" i="3"/>
  <c r="G513" i="3"/>
  <c r="G512" i="3"/>
  <c r="G511" i="3"/>
  <c r="G510" i="3"/>
  <c r="G509" i="3"/>
  <c r="G508" i="3"/>
  <c r="G507" i="3"/>
  <c r="G506" i="3"/>
  <c r="G505" i="3"/>
  <c r="G504" i="3"/>
  <c r="G503" i="3"/>
  <c r="G502" i="3"/>
  <c r="G501" i="3"/>
  <c r="G500" i="3"/>
  <c r="G499" i="3"/>
  <c r="G498" i="3"/>
  <c r="G497" i="3"/>
  <c r="G496" i="3"/>
  <c r="G495" i="3"/>
  <c r="G494" i="3"/>
  <c r="G493" i="3"/>
  <c r="G492" i="3"/>
  <c r="G491" i="3"/>
  <c r="G490" i="3"/>
  <c r="G489" i="3"/>
  <c r="G488" i="3"/>
  <c r="G487" i="3"/>
  <c r="G486" i="3"/>
  <c r="G485" i="3"/>
  <c r="G484" i="3"/>
  <c r="G483" i="3"/>
  <c r="G482" i="3"/>
  <c r="G481" i="3"/>
  <c r="G480" i="3"/>
  <c r="G479" i="3"/>
  <c r="G478" i="3"/>
  <c r="G477" i="3"/>
  <c r="G476" i="3"/>
  <c r="G475" i="3"/>
  <c r="G474" i="3"/>
  <c r="G473" i="3"/>
  <c r="G472" i="3"/>
  <c r="G471" i="3"/>
  <c r="G470" i="3"/>
  <c r="G469" i="3"/>
  <c r="G468" i="3"/>
  <c r="G467" i="3"/>
  <c r="G466" i="3"/>
  <c r="G465" i="3"/>
  <c r="G464" i="3"/>
  <c r="G463" i="3"/>
  <c r="G462" i="3"/>
  <c r="G461" i="3"/>
  <c r="G460" i="3"/>
  <c r="G459" i="3"/>
  <c r="G458" i="3"/>
  <c r="G457" i="3"/>
  <c r="G456" i="3"/>
  <c r="G455" i="3"/>
  <c r="G454" i="3"/>
  <c r="G453" i="3"/>
  <c r="G452" i="3"/>
  <c r="G451" i="3"/>
  <c r="G450" i="3"/>
  <c r="G449" i="3"/>
  <c r="G448" i="3"/>
  <c r="G447" i="3"/>
  <c r="G446" i="3"/>
  <c r="G445" i="3"/>
  <c r="G444" i="3"/>
  <c r="G443" i="3"/>
  <c r="G442" i="3"/>
  <c r="G441" i="3"/>
  <c r="G440" i="3"/>
  <c r="G439" i="3"/>
  <c r="G438" i="3"/>
  <c r="G437" i="3"/>
  <c r="G436" i="3"/>
  <c r="G435" i="3"/>
  <c r="G434" i="3"/>
  <c r="G433" i="3"/>
  <c r="G432" i="3"/>
  <c r="G431" i="3"/>
  <c r="G430" i="3"/>
  <c r="G429" i="3"/>
  <c r="G428" i="3"/>
  <c r="G427" i="3"/>
  <c r="G426" i="3"/>
  <c r="G425" i="3"/>
  <c r="G424" i="3"/>
  <c r="G423" i="3"/>
  <c r="G422" i="3"/>
  <c r="G421" i="3"/>
  <c r="G420" i="3"/>
  <c r="G419" i="3"/>
  <c r="G418" i="3"/>
  <c r="G417" i="3"/>
  <c r="G416" i="3"/>
  <c r="G415" i="3"/>
  <c r="G414" i="3"/>
  <c r="G413" i="3"/>
  <c r="G412" i="3"/>
  <c r="G411" i="3"/>
  <c r="G410" i="3"/>
  <c r="G409" i="3"/>
  <c r="G408" i="3"/>
  <c r="G407" i="3"/>
  <c r="G406" i="3"/>
  <c r="G405" i="3"/>
  <c r="G404" i="3"/>
  <c r="G403" i="3"/>
  <c r="G402" i="3"/>
  <c r="G401" i="3"/>
  <c r="G400" i="3"/>
  <c r="G399" i="3"/>
  <c r="G398" i="3"/>
  <c r="G397" i="3"/>
  <c r="G396" i="3"/>
  <c r="G395" i="3"/>
  <c r="G394" i="3"/>
  <c r="G393" i="3"/>
  <c r="G392" i="3"/>
  <c r="G391" i="3"/>
  <c r="G390" i="3"/>
  <c r="G389" i="3"/>
  <c r="G388" i="3"/>
  <c r="G387" i="3"/>
  <c r="G386" i="3"/>
  <c r="G385" i="3"/>
  <c r="G384" i="3"/>
  <c r="G383" i="3"/>
  <c r="G382" i="3"/>
  <c r="G381" i="3"/>
  <c r="G380" i="3"/>
  <c r="G379" i="3"/>
  <c r="G378" i="3"/>
  <c r="G377" i="3"/>
  <c r="G376" i="3"/>
  <c r="G375" i="3"/>
  <c r="G374" i="3"/>
  <c r="G373" i="3"/>
  <c r="G372" i="3"/>
  <c r="G371" i="3"/>
  <c r="G370" i="3"/>
  <c r="G369" i="3"/>
  <c r="G368" i="3"/>
  <c r="G367" i="3"/>
  <c r="G366" i="3"/>
  <c r="G365" i="3"/>
  <c r="G364" i="3"/>
  <c r="G363" i="3"/>
  <c r="G362" i="3"/>
  <c r="G361" i="3"/>
  <c r="G360" i="3"/>
  <c r="G359" i="3"/>
  <c r="G358" i="3"/>
  <c r="G357" i="3"/>
  <c r="G356" i="3"/>
  <c r="G355" i="3"/>
  <c r="G354" i="3"/>
  <c r="G353" i="3"/>
  <c r="G352" i="3"/>
  <c r="G351" i="3"/>
  <c r="G350" i="3"/>
  <c r="G349" i="3"/>
  <c r="G348" i="3"/>
  <c r="G347" i="3"/>
  <c r="G346" i="3"/>
  <c r="G345" i="3"/>
  <c r="G344" i="3"/>
  <c r="G343" i="3"/>
  <c r="G342" i="3"/>
  <c r="G341" i="3"/>
  <c r="G340" i="3"/>
  <c r="G339" i="3"/>
  <c r="G338" i="3"/>
  <c r="G337" i="3"/>
  <c r="G336" i="3"/>
  <c r="G335" i="3"/>
  <c r="G334" i="3"/>
  <c r="G333" i="3"/>
  <c r="G332" i="3"/>
  <c r="G331" i="3"/>
  <c r="G330" i="3"/>
  <c r="G329" i="3"/>
  <c r="G328" i="3"/>
  <c r="G327" i="3"/>
  <c r="G326" i="3"/>
  <c r="G325" i="3"/>
  <c r="G324" i="3"/>
  <c r="G323" i="3"/>
  <c r="G322" i="3"/>
  <c r="G321" i="3"/>
  <c r="G320" i="3"/>
  <c r="G319" i="3"/>
  <c r="G318" i="3"/>
  <c r="G317" i="3"/>
  <c r="G316" i="3"/>
  <c r="G315" i="3"/>
  <c r="G314" i="3"/>
  <c r="G313" i="3"/>
  <c r="G312" i="3"/>
  <c r="G311" i="3"/>
  <c r="G310" i="3"/>
  <c r="G309" i="3"/>
  <c r="G308" i="3"/>
  <c r="G307" i="3"/>
  <c r="G306" i="3"/>
  <c r="G305" i="3"/>
  <c r="G304" i="3"/>
  <c r="G303" i="3"/>
  <c r="G302" i="3"/>
  <c r="G301" i="3"/>
  <c r="G300" i="3"/>
  <c r="G299" i="3"/>
  <c r="G298" i="3"/>
  <c r="G297" i="3"/>
  <c r="G296" i="3"/>
  <c r="G295" i="3"/>
  <c r="G294" i="3"/>
  <c r="G293" i="3"/>
  <c r="G292" i="3"/>
  <c r="G291" i="3"/>
  <c r="G290" i="3"/>
  <c r="G289" i="3"/>
  <c r="G288" i="3"/>
  <c r="G287" i="3"/>
  <c r="G286" i="3"/>
  <c r="G285" i="3"/>
  <c r="G284" i="3"/>
  <c r="G283" i="3"/>
  <c r="G282" i="3"/>
  <c r="G281" i="3"/>
  <c r="G280" i="3"/>
  <c r="G279" i="3"/>
  <c r="G278" i="3"/>
  <c r="G277" i="3"/>
  <c r="G276" i="3"/>
  <c r="G275" i="3"/>
  <c r="G274" i="3"/>
  <c r="G273" i="3"/>
  <c r="G272" i="3"/>
  <c r="G271" i="3"/>
  <c r="G270" i="3"/>
  <c r="G269" i="3"/>
  <c r="G268" i="3"/>
  <c r="G267" i="3"/>
  <c r="G266" i="3"/>
  <c r="G265" i="3"/>
  <c r="G264" i="3"/>
  <c r="G263" i="3"/>
  <c r="G262" i="3"/>
  <c r="G261" i="3"/>
  <c r="G260" i="3"/>
  <c r="G259" i="3"/>
  <c r="G258" i="3"/>
  <c r="G257" i="3"/>
  <c r="G256" i="3"/>
  <c r="G255" i="3"/>
  <c r="G254" i="3"/>
  <c r="G253" i="3"/>
  <c r="G252" i="3"/>
  <c r="G251" i="3"/>
  <c r="G250" i="3"/>
  <c r="G249" i="3"/>
  <c r="G248" i="3"/>
  <c r="G247" i="3"/>
  <c r="G246" i="3"/>
  <c r="G245" i="3"/>
  <c r="G244" i="3"/>
  <c r="G243" i="3"/>
  <c r="G242" i="3"/>
  <c r="G241" i="3"/>
  <c r="G240" i="3"/>
  <c r="G239" i="3"/>
  <c r="G238" i="3"/>
  <c r="G237" i="3"/>
  <c r="G236" i="3"/>
  <c r="G235" i="3"/>
  <c r="G234" i="3"/>
  <c r="G233" i="3"/>
  <c r="G232" i="3"/>
  <c r="G231" i="3"/>
  <c r="G230" i="3"/>
  <c r="G229" i="3"/>
  <c r="G228" i="3"/>
  <c r="G227" i="3"/>
  <c r="G226" i="3"/>
  <c r="G225" i="3"/>
  <c r="G224" i="3"/>
  <c r="G223" i="3"/>
  <c r="G222" i="3"/>
  <c r="G221" i="3"/>
  <c r="G220" i="3"/>
  <c r="G219" i="3"/>
  <c r="G218" i="3"/>
  <c r="G217" i="3"/>
  <c r="G216" i="3"/>
  <c r="BE64" i="2"/>
  <c r="BD64" i="2"/>
  <c r="BC64" i="2"/>
  <c r="BA64" i="2"/>
  <c r="AZ64" i="2"/>
  <c r="AY64" i="2"/>
  <c r="AW64" i="2"/>
  <c r="AV64" i="2"/>
  <c r="AU64" i="2"/>
  <c r="AS64" i="2"/>
  <c r="AR64" i="2"/>
  <c r="AQ64" i="2"/>
  <c r="AO64" i="2"/>
  <c r="AN64" i="2"/>
  <c r="AM64" i="2"/>
  <c r="AL64" i="2"/>
  <c r="AK64" i="2"/>
  <c r="AJ64" i="2"/>
  <c r="AI64" i="2"/>
  <c r="AH64" i="2"/>
  <c r="AG64" i="2"/>
  <c r="AF64" i="2"/>
  <c r="AE64" i="2"/>
  <c r="AD64" i="2"/>
  <c r="AC64" i="2"/>
  <c r="AB64" i="2"/>
  <c r="AA64" i="2"/>
  <c r="Z64" i="2"/>
  <c r="Y64" i="2"/>
  <c r="X64" i="2"/>
  <c r="W64" i="2"/>
  <c r="V64" i="2"/>
  <c r="U64" i="2"/>
  <c r="T64" i="2"/>
  <c r="S64" i="2"/>
  <c r="R64" i="2"/>
  <c r="Q64" i="2"/>
  <c r="P64" i="2"/>
  <c r="O64" i="2"/>
  <c r="N64" i="2"/>
  <c r="M64" i="2"/>
  <c r="L64" i="2"/>
  <c r="K64" i="2"/>
  <c r="J64" i="2"/>
  <c r="I64" i="2"/>
  <c r="H64" i="2"/>
  <c r="G64" i="2"/>
  <c r="F64" i="2"/>
  <c r="E64" i="2"/>
  <c r="D64" i="2"/>
  <c r="C64" i="2"/>
  <c r="BE63" i="2"/>
  <c r="BD63" i="2"/>
  <c r="BC63" i="2"/>
  <c r="BA63" i="2"/>
  <c r="AZ63" i="2"/>
  <c r="AY63" i="2"/>
  <c r="AW63" i="2"/>
  <c r="AV63" i="2"/>
  <c r="AU63" i="2"/>
  <c r="AS63" i="2"/>
  <c r="AR63" i="2"/>
  <c r="AQ63" i="2"/>
  <c r="AO63" i="2"/>
  <c r="AN63" i="2"/>
  <c r="AM63" i="2"/>
  <c r="BL104" i="2"/>
  <c r="BK104" i="2"/>
  <c r="BJ104" i="2"/>
  <c r="BI104" i="2"/>
  <c r="BH104" i="2"/>
  <c r="BG104" i="2"/>
  <c r="BF104" i="2"/>
  <c r="BE104" i="2"/>
  <c r="BD104" i="2"/>
  <c r="BC104" i="2"/>
  <c r="BB104" i="2"/>
  <c r="BA104" i="2"/>
  <c r="AZ104" i="2"/>
  <c r="AY104" i="2"/>
  <c r="AX104" i="2"/>
  <c r="AW104" i="2"/>
  <c r="AV104" i="2"/>
  <c r="AU104" i="2"/>
  <c r="AT104" i="2"/>
  <c r="AS104" i="2"/>
  <c r="AR104" i="2"/>
  <c r="AQ104" i="2"/>
  <c r="AP104" i="2"/>
  <c r="BL102" i="2"/>
  <c r="BK102" i="2"/>
  <c r="BJ102" i="2"/>
  <c r="BI102" i="2"/>
  <c r="BH102" i="2"/>
  <c r="BG102" i="2"/>
  <c r="BF102" i="2"/>
  <c r="BE102" i="2"/>
  <c r="BD102" i="2"/>
  <c r="BC102" i="2"/>
  <c r="BB102" i="2"/>
  <c r="BA102" i="2"/>
  <c r="AZ102" i="2"/>
  <c r="AY102" i="2"/>
  <c r="AX102" i="2"/>
  <c r="AW102" i="2"/>
  <c r="AV102" i="2"/>
  <c r="AU102" i="2"/>
  <c r="AT102" i="2"/>
  <c r="AS102" i="2"/>
  <c r="AR102" i="2"/>
  <c r="AQ102" i="2"/>
  <c r="AP102" i="2"/>
  <c r="BL101" i="2"/>
  <c r="BK101" i="2"/>
  <c r="BJ101" i="2"/>
  <c r="BI101" i="2"/>
  <c r="BH101" i="2"/>
  <c r="BG101" i="2"/>
  <c r="BF101" i="2"/>
  <c r="BE101" i="2"/>
  <c r="BD101" i="2"/>
  <c r="BC101" i="2"/>
  <c r="BB101" i="2"/>
  <c r="BA101" i="2"/>
  <c r="AZ101" i="2"/>
  <c r="AY101" i="2"/>
  <c r="AX101" i="2"/>
  <c r="AW101" i="2"/>
  <c r="AV101" i="2"/>
  <c r="AU101" i="2"/>
  <c r="AT101" i="2"/>
  <c r="AS101" i="2"/>
  <c r="AR101" i="2"/>
  <c r="AQ101" i="2"/>
  <c r="AP101" i="2"/>
  <c r="BL100" i="2"/>
  <c r="BK100" i="2"/>
  <c r="BJ100" i="2"/>
  <c r="BI100" i="2"/>
  <c r="BH100" i="2"/>
  <c r="BG100" i="2"/>
  <c r="BF100" i="2"/>
  <c r="BE100" i="2"/>
  <c r="BD100" i="2"/>
  <c r="BC100" i="2"/>
  <c r="BB100" i="2"/>
  <c r="BA100" i="2"/>
  <c r="AZ100" i="2"/>
  <c r="AY100" i="2"/>
  <c r="AX100" i="2"/>
  <c r="AW100" i="2"/>
  <c r="AV100" i="2"/>
  <c r="AU100" i="2"/>
  <c r="AT100" i="2"/>
  <c r="AS100" i="2"/>
  <c r="AR100" i="2"/>
  <c r="AQ100" i="2"/>
  <c r="AP100" i="2"/>
  <c r="BM104" i="2"/>
  <c r="BM102" i="2"/>
  <c r="BM101" i="2"/>
  <c r="BM100" i="2"/>
  <c r="CN97" i="2"/>
  <c r="CM97" i="2"/>
  <c r="CL97" i="2"/>
  <c r="CK97" i="2"/>
  <c r="CJ97" i="2"/>
  <c r="CI97" i="2"/>
  <c r="CN95" i="2"/>
  <c r="CM95" i="2"/>
  <c r="CL95" i="2"/>
  <c r="CK95" i="2"/>
  <c r="CJ95" i="2"/>
  <c r="CI95" i="2"/>
  <c r="CN94" i="2"/>
  <c r="CM94" i="2"/>
  <c r="CL94" i="2"/>
  <c r="CK94" i="2"/>
  <c r="CJ94" i="2"/>
  <c r="CI94" i="2"/>
  <c r="CN93" i="2"/>
  <c r="CM93" i="2"/>
  <c r="CL93" i="2"/>
  <c r="CK93" i="2"/>
  <c r="CJ93" i="2"/>
  <c r="CI93" i="2"/>
  <c r="CN92" i="2"/>
  <c r="CM92" i="2"/>
  <c r="CL92" i="2"/>
  <c r="CK92" i="2"/>
  <c r="CJ92" i="2"/>
  <c r="CI92" i="2"/>
  <c r="CN91" i="2"/>
  <c r="CM91" i="2"/>
  <c r="CL91" i="2"/>
  <c r="CK91" i="2"/>
  <c r="CJ91" i="2"/>
  <c r="CI91" i="2"/>
  <c r="CN90" i="2"/>
  <c r="CM90" i="2"/>
  <c r="CL90" i="2"/>
  <c r="CK90" i="2"/>
  <c r="CJ90" i="2"/>
  <c r="CI90" i="2"/>
  <c r="CN89" i="2"/>
  <c r="CM89" i="2"/>
  <c r="CL89" i="2"/>
  <c r="CK89" i="2"/>
  <c r="CJ89" i="2"/>
  <c r="CI89" i="2"/>
  <c r="CN88" i="2"/>
  <c r="CM88" i="2"/>
  <c r="CL88" i="2"/>
  <c r="CK88" i="2"/>
  <c r="CJ88" i="2"/>
  <c r="CI88" i="2"/>
  <c r="CN87" i="2"/>
  <c r="CM87" i="2"/>
  <c r="CL87" i="2"/>
  <c r="CK87" i="2"/>
  <c r="CJ87" i="2"/>
  <c r="CI87" i="2"/>
  <c r="CN86" i="2"/>
  <c r="CM86" i="2"/>
  <c r="CL86" i="2"/>
  <c r="CK86" i="2"/>
  <c r="CJ86" i="2"/>
  <c r="CI86" i="2"/>
  <c r="CN85" i="2"/>
  <c r="CM85" i="2"/>
  <c r="CL85" i="2"/>
  <c r="CK85" i="2"/>
  <c r="CJ85" i="2"/>
  <c r="CI85" i="2"/>
  <c r="CN84" i="2"/>
  <c r="CM84" i="2"/>
  <c r="CL84" i="2"/>
  <c r="CK84" i="2"/>
  <c r="CJ84" i="2"/>
  <c r="CI84" i="2"/>
  <c r="CN83" i="2"/>
  <c r="CM83" i="2"/>
  <c r="CL83" i="2"/>
  <c r="CK83" i="2"/>
  <c r="CJ83" i="2"/>
  <c r="CI83" i="2"/>
  <c r="CN80" i="2"/>
  <c r="CM80" i="2"/>
  <c r="CL80" i="2"/>
  <c r="CK80" i="2"/>
  <c r="CJ80" i="2"/>
  <c r="CI80" i="2"/>
  <c r="CN79" i="2"/>
  <c r="CM79" i="2"/>
  <c r="CL79" i="2"/>
  <c r="CK79" i="2"/>
  <c r="CJ79" i="2"/>
  <c r="CI79" i="2"/>
  <c r="CN78" i="2"/>
  <c r="CM78" i="2"/>
  <c r="CL78" i="2"/>
  <c r="CK78" i="2"/>
  <c r="CJ78" i="2"/>
  <c r="CI78" i="2"/>
  <c r="CN77" i="2"/>
  <c r="CM77" i="2"/>
  <c r="CL77" i="2"/>
  <c r="CK77" i="2"/>
  <c r="CJ77" i="2"/>
  <c r="CI77" i="2"/>
  <c r="CN76" i="2"/>
  <c r="CM76" i="2"/>
  <c r="CL76" i="2"/>
  <c r="CK76" i="2"/>
  <c r="CJ76" i="2"/>
  <c r="CI76" i="2"/>
  <c r="CN75" i="2"/>
  <c r="CM75" i="2"/>
  <c r="CL75" i="2"/>
  <c r="CK75" i="2"/>
  <c r="CJ75" i="2"/>
  <c r="CI75" i="2"/>
  <c r="CN74" i="2"/>
  <c r="CM74" i="2"/>
  <c r="CL74" i="2"/>
  <c r="CK74" i="2"/>
  <c r="CJ74" i="2"/>
  <c r="CI74" i="2"/>
  <c r="CN73" i="2"/>
  <c r="CM73" i="2"/>
  <c r="CL73" i="2"/>
  <c r="CK73" i="2"/>
  <c r="CJ73" i="2"/>
  <c r="CI73" i="2"/>
  <c r="CN72" i="2"/>
  <c r="CM72" i="2"/>
  <c r="CL72" i="2"/>
  <c r="CK72" i="2"/>
  <c r="CJ72" i="2"/>
  <c r="CI72" i="2"/>
  <c r="CN71" i="2"/>
  <c r="CM71" i="2"/>
  <c r="CL71" i="2"/>
  <c r="CK71" i="2"/>
  <c r="CJ71" i="2"/>
  <c r="CI71" i="2"/>
  <c r="CI70" i="2"/>
  <c r="CJ70" i="2"/>
  <c r="CK70" i="2"/>
  <c r="CL70" i="2"/>
  <c r="CM70" i="2"/>
  <c r="CN70" i="2"/>
  <c r="BO61" i="2" l="1"/>
  <c r="BO53" i="2"/>
  <c r="CS74" i="2"/>
  <c r="CV74" i="2" s="1"/>
  <c r="CP14" i="2"/>
  <c r="CP31" i="2" s="1"/>
  <c r="CQ14" i="2"/>
  <c r="CQ36" i="2" s="1"/>
  <c r="CS5" i="2"/>
  <c r="CR14" i="2"/>
  <c r="CR29" i="2" s="1"/>
  <c r="CO104" i="2"/>
  <c r="CJ100" i="2"/>
  <c r="CM102" i="2"/>
  <c r="BN26" i="2"/>
  <c r="BN46" i="2"/>
  <c r="CO19" i="2"/>
  <c r="CK100" i="2"/>
  <c r="CN100" i="2"/>
  <c r="CM101" i="2"/>
  <c r="CL101" i="2"/>
  <c r="CI102" i="2"/>
  <c r="CK101" i="2"/>
  <c r="CJ102" i="2"/>
  <c r="CJ101" i="2"/>
  <c r="CI100" i="2"/>
  <c r="CN101" i="2"/>
  <c r="CM100" i="2"/>
  <c r="CK102" i="2"/>
  <c r="CN102" i="2"/>
  <c r="CI101" i="2"/>
  <c r="CL102" i="2"/>
  <c r="CL100" i="2"/>
  <c r="BO66" i="2" l="1"/>
  <c r="BO55" i="2"/>
  <c r="CP34" i="2"/>
  <c r="CP37" i="2"/>
  <c r="CP46" i="2"/>
  <c r="CP51" i="2" s="1"/>
  <c r="CP30" i="2"/>
  <c r="CP35" i="2"/>
  <c r="CP36" i="2"/>
  <c r="CP28" i="2"/>
  <c r="CP29" i="2"/>
  <c r="CP33" i="2"/>
  <c r="CP32" i="2"/>
  <c r="CQ37" i="2"/>
  <c r="CQ33" i="2"/>
  <c r="CQ26" i="2"/>
  <c r="CQ46" i="2"/>
  <c r="CQ47" i="2" s="1"/>
  <c r="CQ48" i="2" s="1"/>
  <c r="CQ35" i="2"/>
  <c r="CQ31" i="2"/>
  <c r="CQ29" i="2"/>
  <c r="CQ30" i="2"/>
  <c r="CQ34" i="2"/>
  <c r="CQ28" i="2"/>
  <c r="CQ32" i="2"/>
  <c r="CR31" i="2"/>
  <c r="CR32" i="2"/>
  <c r="CR34" i="2"/>
  <c r="CR46" i="2"/>
  <c r="CR30" i="2"/>
  <c r="CR37" i="2"/>
  <c r="CR28" i="2"/>
  <c r="CR36" i="2"/>
  <c r="CR33" i="2"/>
  <c r="CR35" i="2"/>
  <c r="CR26" i="2"/>
  <c r="CT5" i="2"/>
  <c r="CS14" i="2"/>
  <c r="BN64" i="2"/>
  <c r="BN62" i="2"/>
  <c r="BN48" i="2"/>
  <c r="BN61" i="2" s="1"/>
  <c r="BN63" i="2"/>
  <c r="BN103" i="2"/>
  <c r="BN65" i="2"/>
  <c r="CN58" i="2"/>
  <c r="CN112" i="2" s="1"/>
  <c r="CM58" i="2"/>
  <c r="CM112" i="2" s="1"/>
  <c r="CL58" i="2"/>
  <c r="CL112" i="2" s="1"/>
  <c r="CK58" i="2"/>
  <c r="CK112" i="2" s="1"/>
  <c r="CJ58" i="2"/>
  <c r="CJ112" i="2" s="1"/>
  <c r="CI58" i="2"/>
  <c r="CI112" i="2" s="1"/>
  <c r="CH58" i="2"/>
  <c r="CH112" i="2" s="1"/>
  <c r="CG58" i="2"/>
  <c r="CG112" i="2" s="1"/>
  <c r="CF58" i="2"/>
  <c r="CF112" i="2" s="1"/>
  <c r="CE58" i="2"/>
  <c r="CE112" i="2" s="1"/>
  <c r="CD58" i="2"/>
  <c r="CD112" i="2" s="1"/>
  <c r="CC58" i="2"/>
  <c r="CC112" i="2" s="1"/>
  <c r="CB58" i="2"/>
  <c r="CB112" i="2" s="1"/>
  <c r="CA58" i="2"/>
  <c r="CA112" i="2" s="1"/>
  <c r="BZ58" i="2"/>
  <c r="BZ112" i="2" s="1"/>
  <c r="CL110" i="2"/>
  <c r="CK110" i="2"/>
  <c r="CJ110" i="2"/>
  <c r="CI110" i="2"/>
  <c r="CH110" i="2"/>
  <c r="CG110" i="2"/>
  <c r="CF110" i="2"/>
  <c r="CE110" i="2"/>
  <c r="CD110" i="2"/>
  <c r="CC110" i="2"/>
  <c r="CB110" i="2"/>
  <c r="CA110" i="2"/>
  <c r="BZ110" i="2"/>
  <c r="CL109" i="2"/>
  <c r="CK109" i="2"/>
  <c r="CJ109" i="2"/>
  <c r="CI109" i="2"/>
  <c r="CH109" i="2"/>
  <c r="CG109" i="2"/>
  <c r="CF109" i="2"/>
  <c r="CE109" i="2"/>
  <c r="CD109" i="2"/>
  <c r="CC109" i="2"/>
  <c r="CB109" i="2"/>
  <c r="CA109" i="2"/>
  <c r="BZ109" i="2"/>
  <c r="CG56" i="2"/>
  <c r="CF56" i="2"/>
  <c r="CE56" i="2"/>
  <c r="CD56" i="2"/>
  <c r="CC56" i="2"/>
  <c r="CB56" i="2"/>
  <c r="CA56" i="2"/>
  <c r="BZ56" i="2"/>
  <c r="CG54" i="2"/>
  <c r="CF54" i="2"/>
  <c r="CE54" i="2"/>
  <c r="CD54" i="2"/>
  <c r="CC54" i="2"/>
  <c r="CB54" i="2"/>
  <c r="CA54" i="2"/>
  <c r="BZ54" i="2"/>
  <c r="CG51" i="2"/>
  <c r="CF51" i="2"/>
  <c r="CE51" i="2"/>
  <c r="CD51" i="2"/>
  <c r="CC51" i="2"/>
  <c r="CB51" i="2"/>
  <c r="CA51" i="2"/>
  <c r="BZ51" i="2"/>
  <c r="CG49" i="2"/>
  <c r="CF49" i="2"/>
  <c r="CE49" i="2"/>
  <c r="CD49" i="2"/>
  <c r="CC49" i="2"/>
  <c r="CB49" i="2"/>
  <c r="CA49" i="2"/>
  <c r="BZ49" i="2"/>
  <c r="CG47" i="2"/>
  <c r="CF47" i="2"/>
  <c r="CE47" i="2"/>
  <c r="CD47" i="2"/>
  <c r="CC47" i="2"/>
  <c r="CB47" i="2"/>
  <c r="CA47" i="2"/>
  <c r="BZ47" i="2"/>
  <c r="BZ46" i="2"/>
  <c r="CA46" i="2"/>
  <c r="CB46" i="2"/>
  <c r="CC46" i="2"/>
  <c r="CD46" i="2"/>
  <c r="CE46" i="2"/>
  <c r="CF46" i="2"/>
  <c r="CG46" i="2"/>
  <c r="CH56" i="2"/>
  <c r="CH54" i="2"/>
  <c r="CH51" i="2"/>
  <c r="CH49" i="2"/>
  <c r="CL47" i="2"/>
  <c r="CL104" i="2" s="1"/>
  <c r="CK47" i="2"/>
  <c r="CK104" i="2" s="1"/>
  <c r="CJ47" i="2"/>
  <c r="CJ104" i="2" s="1"/>
  <c r="CI47" i="2"/>
  <c r="CI104" i="2" s="1"/>
  <c r="CH47" i="2"/>
  <c r="CL46" i="2"/>
  <c r="CK46" i="2"/>
  <c r="CJ46" i="2"/>
  <c r="CI46" i="2"/>
  <c r="CH46" i="2"/>
  <c r="CM110" i="2"/>
  <c r="CM109" i="2"/>
  <c r="CM47" i="2"/>
  <c r="CM104" i="2" s="1"/>
  <c r="CM46" i="2"/>
  <c r="CN110" i="2"/>
  <c r="CN109" i="2"/>
  <c r="CN47" i="2"/>
  <c r="CN104" i="2" s="1"/>
  <c r="CP49" i="2" l="1"/>
  <c r="BO67" i="2"/>
  <c r="BO57" i="2"/>
  <c r="CP50" i="2"/>
  <c r="CP52" i="2" s="1"/>
  <c r="CP47" i="2"/>
  <c r="CP48" i="2" s="1"/>
  <c r="CQ50" i="2"/>
  <c r="CQ49" i="2"/>
  <c r="CQ51" i="2"/>
  <c r="CS26" i="2"/>
  <c r="CS46" i="2"/>
  <c r="CS33" i="2"/>
  <c r="CS28" i="2"/>
  <c r="CS30" i="2"/>
  <c r="CS32" i="2"/>
  <c r="CS37" i="2"/>
  <c r="CS31" i="2"/>
  <c r="CS36" i="2"/>
  <c r="CS35" i="2"/>
  <c r="CS34" i="2"/>
  <c r="CU5" i="2"/>
  <c r="CT14" i="2"/>
  <c r="CR47" i="2"/>
  <c r="CR48" i="2" s="1"/>
  <c r="CR50" i="2"/>
  <c r="CR51" i="2"/>
  <c r="CR49" i="2"/>
  <c r="CS29" i="2"/>
  <c r="CA62" i="2"/>
  <c r="CD64" i="2"/>
  <c r="CE64" i="2"/>
  <c r="CF64" i="2"/>
  <c r="CG64" i="2"/>
  <c r="CH64" i="2"/>
  <c r="BZ62" i="2"/>
  <c r="BZ64" i="2"/>
  <c r="CA64" i="2"/>
  <c r="BN53" i="2"/>
  <c r="CB62" i="2"/>
  <c r="CB64" i="2"/>
  <c r="CC62" i="2"/>
  <c r="CC64" i="2"/>
  <c r="CE62" i="2"/>
  <c r="CF62" i="2"/>
  <c r="CH62" i="2"/>
  <c r="CG62" i="2"/>
  <c r="CD62" i="2"/>
  <c r="CP53" i="2" l="1"/>
  <c r="BO108" i="2"/>
  <c r="BO59" i="2"/>
  <c r="BO68" i="2"/>
  <c r="BO106" i="2"/>
  <c r="BO105" i="2"/>
  <c r="CP66" i="2"/>
  <c r="CP55" i="2"/>
  <c r="CP56" i="2" s="1"/>
  <c r="CQ74" i="2"/>
  <c r="CQ52" i="2"/>
  <c r="CQ53" i="2" s="1"/>
  <c r="CQ66" i="2" s="1"/>
  <c r="CR52" i="2"/>
  <c r="CR53" i="2" s="1"/>
  <c r="CR66" i="2" s="1"/>
  <c r="CT33" i="2"/>
  <c r="CT34" i="2"/>
  <c r="CT30" i="2"/>
  <c r="CT32" i="2"/>
  <c r="CT46" i="2"/>
  <c r="CT31" i="2"/>
  <c r="CT35" i="2"/>
  <c r="CT37" i="2"/>
  <c r="CT26" i="2"/>
  <c r="CT36" i="2"/>
  <c r="CT28" i="2"/>
  <c r="CT29" i="2"/>
  <c r="CV5" i="2"/>
  <c r="CU14" i="2"/>
  <c r="CU29" i="2" s="1"/>
  <c r="CS49" i="2"/>
  <c r="CS47" i="2"/>
  <c r="CS48" i="2" s="1"/>
  <c r="CS51" i="2"/>
  <c r="CS50" i="2"/>
  <c r="BN55" i="2"/>
  <c r="BN57" i="2" s="1"/>
  <c r="BN66" i="2"/>
  <c r="BM111" i="2"/>
  <c r="BL111" i="2"/>
  <c r="BK111" i="2"/>
  <c r="BJ111" i="2"/>
  <c r="BI111" i="2"/>
  <c r="BH111" i="2"/>
  <c r="BG111" i="2"/>
  <c r="BF111" i="2"/>
  <c r="BE111" i="2"/>
  <c r="BD111" i="2"/>
  <c r="BC111" i="2"/>
  <c r="BB111" i="2"/>
  <c r="BA111" i="2"/>
  <c r="AZ111" i="2"/>
  <c r="AY111" i="2"/>
  <c r="AX111" i="2"/>
  <c r="AW111" i="2"/>
  <c r="AV111" i="2"/>
  <c r="AU111" i="2"/>
  <c r="AT111" i="2"/>
  <c r="AS111" i="2"/>
  <c r="AR111" i="2"/>
  <c r="AQ111" i="2"/>
  <c r="AP111" i="2"/>
  <c r="AO111" i="2"/>
  <c r="AN111" i="2"/>
  <c r="AM111" i="2"/>
  <c r="AL111" i="2"/>
  <c r="AK111" i="2"/>
  <c r="AJ111" i="2"/>
  <c r="AI111" i="2"/>
  <c r="AH111" i="2"/>
  <c r="AG111" i="2"/>
  <c r="AF111" i="2"/>
  <c r="AE111" i="2"/>
  <c r="AD111" i="2"/>
  <c r="AC111" i="2"/>
  <c r="AB111" i="2"/>
  <c r="AA111" i="2"/>
  <c r="Z111" i="2"/>
  <c r="Y111" i="2"/>
  <c r="X111" i="2"/>
  <c r="W111" i="2"/>
  <c r="V111" i="2"/>
  <c r="U111" i="2"/>
  <c r="T111" i="2"/>
  <c r="S111" i="2"/>
  <c r="R111" i="2"/>
  <c r="Q111" i="2"/>
  <c r="P111" i="2"/>
  <c r="O111" i="2"/>
  <c r="N111" i="2"/>
  <c r="M111" i="2"/>
  <c r="L111" i="2"/>
  <c r="K111" i="2"/>
  <c r="CP57" i="2" l="1"/>
  <c r="BN67" i="2"/>
  <c r="CE111" i="2"/>
  <c r="CK111" i="2"/>
  <c r="CC111" i="2"/>
  <c r="CI111" i="2"/>
  <c r="CU36" i="2"/>
  <c r="CU35" i="2"/>
  <c r="CU26" i="2"/>
  <c r="CU33" i="2"/>
  <c r="CU37" i="2"/>
  <c r="CU32" i="2"/>
  <c r="CU31" i="2"/>
  <c r="CU28" i="2"/>
  <c r="CU46" i="2"/>
  <c r="CU34" i="2"/>
  <c r="CU30" i="2"/>
  <c r="CT50" i="2"/>
  <c r="CT47" i="2"/>
  <c r="CT48" i="2" s="1"/>
  <c r="CT49" i="2"/>
  <c r="CT51" i="2"/>
  <c r="CS52" i="2"/>
  <c r="CS53" i="2" s="1"/>
  <c r="CS66" i="2" s="1"/>
  <c r="CW5" i="2"/>
  <c r="CV14" i="2"/>
  <c r="CV29" i="2" s="1"/>
  <c r="CO111" i="2"/>
  <c r="CM111" i="2"/>
  <c r="CB111" i="2"/>
  <c r="CD111" i="2"/>
  <c r="CF111" i="2"/>
  <c r="CH111" i="2"/>
  <c r="CJ111" i="2"/>
  <c r="CL111" i="2"/>
  <c r="CN111" i="2"/>
  <c r="CG111" i="2"/>
  <c r="BE96" i="2"/>
  <c r="BE98" i="2" s="1"/>
  <c r="BH81" i="2"/>
  <c r="BI96" i="2"/>
  <c r="BI98" i="2" s="1"/>
  <c r="BK81" i="2"/>
  <c r="CO81" i="2" s="1"/>
  <c r="BJ81" i="2"/>
  <c r="BI81" i="2"/>
  <c r="BK96" i="2"/>
  <c r="BJ96" i="2"/>
  <c r="BL96" i="2"/>
  <c r="BL98" i="2" s="1"/>
  <c r="BH96" i="2"/>
  <c r="BH98" i="2" s="1"/>
  <c r="BG96" i="2"/>
  <c r="BG98" i="2" s="1"/>
  <c r="BF96" i="2"/>
  <c r="BD96" i="2"/>
  <c r="BD98" i="2" s="1"/>
  <c r="BC96" i="2"/>
  <c r="BC98" i="2" s="1"/>
  <c r="BB96" i="2"/>
  <c r="BA96" i="2"/>
  <c r="BA98" i="2" s="1"/>
  <c r="AZ96" i="2"/>
  <c r="AZ98" i="2" s="1"/>
  <c r="AY96" i="2"/>
  <c r="AY98" i="2" s="1"/>
  <c r="AX96" i="2"/>
  <c r="AW96" i="2"/>
  <c r="AW98" i="2" s="1"/>
  <c r="AV96" i="2"/>
  <c r="AV98" i="2" s="1"/>
  <c r="AU96" i="2"/>
  <c r="AU98" i="2" s="1"/>
  <c r="AT96" i="2"/>
  <c r="AS96" i="2"/>
  <c r="AS98" i="2" s="1"/>
  <c r="AR96" i="2"/>
  <c r="AR98" i="2" s="1"/>
  <c r="AQ96" i="2"/>
  <c r="AQ98" i="2" s="1"/>
  <c r="AP96" i="2"/>
  <c r="BM96" i="2"/>
  <c r="BM98" i="2" s="1"/>
  <c r="BL81" i="2"/>
  <c r="BG81" i="2"/>
  <c r="BF81" i="2"/>
  <c r="BE81" i="2"/>
  <c r="BD81" i="2"/>
  <c r="BC81" i="2"/>
  <c r="BB81" i="2"/>
  <c r="BA81" i="2"/>
  <c r="AZ81" i="2"/>
  <c r="AY81" i="2"/>
  <c r="AX81" i="2"/>
  <c r="AW81" i="2"/>
  <c r="AV81" i="2"/>
  <c r="AU81" i="2"/>
  <c r="AT81" i="2"/>
  <c r="AS81" i="2"/>
  <c r="AR81" i="2"/>
  <c r="AQ81" i="2"/>
  <c r="AP81" i="2"/>
  <c r="BM81" i="2"/>
  <c r="BL112" i="2"/>
  <c r="BL113" i="2" s="1"/>
  <c r="BK112" i="2"/>
  <c r="BJ112" i="2"/>
  <c r="BJ113" i="2" s="1"/>
  <c r="BI112" i="2"/>
  <c r="BI113" i="2" s="1"/>
  <c r="BH112" i="2"/>
  <c r="BH113" i="2" s="1"/>
  <c r="BG112" i="2"/>
  <c r="BF112" i="2"/>
  <c r="BF113" i="2" s="1"/>
  <c r="BE112" i="2"/>
  <c r="BE113" i="2" s="1"/>
  <c r="BD112" i="2"/>
  <c r="BD113" i="2" s="1"/>
  <c r="BC112" i="2"/>
  <c r="BB112" i="2"/>
  <c r="BB113" i="2" s="1"/>
  <c r="BA112" i="2"/>
  <c r="BA113" i="2" s="1"/>
  <c r="AZ112" i="2"/>
  <c r="AZ113" i="2" s="1"/>
  <c r="AY112" i="2"/>
  <c r="AY113" i="2" s="1"/>
  <c r="AX112" i="2"/>
  <c r="AX113" i="2" s="1"/>
  <c r="AW112" i="2"/>
  <c r="AW113" i="2" s="1"/>
  <c r="AV112" i="2"/>
  <c r="AV113" i="2" s="1"/>
  <c r="AU112" i="2"/>
  <c r="AU113" i="2" s="1"/>
  <c r="AT112" i="2"/>
  <c r="AT113" i="2" s="1"/>
  <c r="AS112" i="2"/>
  <c r="AS113" i="2" s="1"/>
  <c r="AR112" i="2"/>
  <c r="AR113" i="2" s="1"/>
  <c r="AQ112" i="2"/>
  <c r="AQ113" i="2" s="1"/>
  <c r="AP112" i="2"/>
  <c r="AP113" i="2" s="1"/>
  <c r="AO112" i="2"/>
  <c r="AO113" i="2" s="1"/>
  <c r="AN112" i="2"/>
  <c r="AN113" i="2" s="1"/>
  <c r="AM112" i="2"/>
  <c r="AM113" i="2" s="1"/>
  <c r="AL112" i="2"/>
  <c r="AL113" i="2" s="1"/>
  <c r="AK112" i="2"/>
  <c r="AK113" i="2" s="1"/>
  <c r="AJ112" i="2"/>
  <c r="AJ113" i="2" s="1"/>
  <c r="AI112" i="2"/>
  <c r="AI113" i="2" s="1"/>
  <c r="AH112" i="2"/>
  <c r="AH113" i="2" s="1"/>
  <c r="AG112" i="2"/>
  <c r="AG113" i="2" s="1"/>
  <c r="AF112" i="2"/>
  <c r="AF113" i="2" s="1"/>
  <c r="AE112" i="2"/>
  <c r="AE113" i="2" s="1"/>
  <c r="AD112" i="2"/>
  <c r="AD113" i="2" s="1"/>
  <c r="AC112" i="2"/>
  <c r="AC113" i="2" s="1"/>
  <c r="AB112" i="2"/>
  <c r="AB113" i="2" s="1"/>
  <c r="AA112" i="2"/>
  <c r="AA113" i="2" s="1"/>
  <c r="Z112" i="2"/>
  <c r="Z113" i="2" s="1"/>
  <c r="Y112" i="2"/>
  <c r="Y113" i="2" s="1"/>
  <c r="X112" i="2"/>
  <c r="X113" i="2" s="1"/>
  <c r="W112" i="2"/>
  <c r="W113" i="2" s="1"/>
  <c r="V112" i="2"/>
  <c r="V113" i="2" s="1"/>
  <c r="U112" i="2"/>
  <c r="U113" i="2" s="1"/>
  <c r="T112" i="2"/>
  <c r="T113" i="2" s="1"/>
  <c r="S112" i="2"/>
  <c r="S113" i="2" s="1"/>
  <c r="R112" i="2"/>
  <c r="R113" i="2" s="1"/>
  <c r="Q112" i="2"/>
  <c r="Q113" i="2" s="1"/>
  <c r="P112" i="2"/>
  <c r="P113" i="2" s="1"/>
  <c r="O112" i="2"/>
  <c r="O113" i="2" s="1"/>
  <c r="N112" i="2"/>
  <c r="N113" i="2" s="1"/>
  <c r="M112" i="2"/>
  <c r="M113" i="2" s="1"/>
  <c r="L112" i="2"/>
  <c r="L113" i="2" s="1"/>
  <c r="K112" i="2"/>
  <c r="K113" i="2" s="1"/>
  <c r="J112" i="2"/>
  <c r="I112" i="2"/>
  <c r="H112" i="2"/>
  <c r="G112" i="2"/>
  <c r="F112" i="2"/>
  <c r="E112" i="2"/>
  <c r="D112" i="2"/>
  <c r="C112" i="2"/>
  <c r="BM112" i="2"/>
  <c r="BM113" i="2" s="1"/>
  <c r="J111" i="2"/>
  <c r="I111" i="2"/>
  <c r="H111" i="2"/>
  <c r="G111" i="2"/>
  <c r="F111" i="2"/>
  <c r="E111" i="2"/>
  <c r="D111" i="2"/>
  <c r="C111" i="2"/>
  <c r="BE62" i="2"/>
  <c r="BD62" i="2"/>
  <c r="BC62" i="2"/>
  <c r="BA62" i="2"/>
  <c r="AZ62" i="2"/>
  <c r="AY62" i="2"/>
  <c r="AW62" i="2"/>
  <c r="AV62" i="2"/>
  <c r="AU62" i="2"/>
  <c r="AS62" i="2"/>
  <c r="AR62" i="2"/>
  <c r="AQ62" i="2"/>
  <c r="AO62" i="2"/>
  <c r="AN62" i="2"/>
  <c r="AM62" i="2"/>
  <c r="AL62" i="2"/>
  <c r="AK62" i="2"/>
  <c r="AJ62" i="2"/>
  <c r="AI62" i="2"/>
  <c r="AH62" i="2"/>
  <c r="AG62" i="2"/>
  <c r="AF62" i="2"/>
  <c r="AE62" i="2"/>
  <c r="AD62" i="2"/>
  <c r="AC62" i="2"/>
  <c r="AB62" i="2"/>
  <c r="AA62" i="2"/>
  <c r="Z62" i="2"/>
  <c r="Y62" i="2"/>
  <c r="X62" i="2"/>
  <c r="W62" i="2"/>
  <c r="V62" i="2"/>
  <c r="U62" i="2"/>
  <c r="T62" i="2"/>
  <c r="S62" i="2"/>
  <c r="R62" i="2"/>
  <c r="Q62" i="2"/>
  <c r="P62" i="2"/>
  <c r="O62" i="2"/>
  <c r="N62" i="2"/>
  <c r="M62" i="2"/>
  <c r="L62" i="2"/>
  <c r="K62" i="2"/>
  <c r="J62" i="2"/>
  <c r="I62" i="2"/>
  <c r="H62" i="2"/>
  <c r="G62" i="2"/>
  <c r="F62" i="2"/>
  <c r="E62" i="2"/>
  <c r="D62" i="2"/>
  <c r="C62" i="2"/>
  <c r="AP56" i="2"/>
  <c r="CI56" i="2" s="1"/>
  <c r="AP54" i="2"/>
  <c r="CI54" i="2" s="1"/>
  <c r="AM52" i="2"/>
  <c r="AN52" i="2"/>
  <c r="AN65" i="2" s="1"/>
  <c r="AP51" i="2"/>
  <c r="AP50" i="2"/>
  <c r="AP49" i="2"/>
  <c r="AT56" i="2"/>
  <c r="CJ56" i="2" s="1"/>
  <c r="AT54" i="2"/>
  <c r="CJ54" i="2" s="1"/>
  <c r="AT51" i="2"/>
  <c r="AT50" i="2"/>
  <c r="AT49" i="2"/>
  <c r="AX56" i="2"/>
  <c r="CK56" i="2" s="1"/>
  <c r="AX54" i="2"/>
  <c r="CK54" i="2" s="1"/>
  <c r="AX51" i="2"/>
  <c r="AX50" i="2"/>
  <c r="AX49" i="2"/>
  <c r="BB56" i="2"/>
  <c r="CL56" i="2" s="1"/>
  <c r="BB54" i="2"/>
  <c r="CL54" i="2" s="1"/>
  <c r="BB51" i="2"/>
  <c r="BB50" i="2"/>
  <c r="BB49" i="2"/>
  <c r="BF56" i="2"/>
  <c r="CM56" i="2" s="1"/>
  <c r="BF54" i="2"/>
  <c r="CM54" i="2" s="1"/>
  <c r="BF51" i="2"/>
  <c r="BF50" i="2"/>
  <c r="BF49" i="2"/>
  <c r="BJ56" i="2"/>
  <c r="CN56" i="2" s="1"/>
  <c r="BJ54" i="2"/>
  <c r="CN54" i="2" s="1"/>
  <c r="BJ50" i="2"/>
  <c r="BJ51" i="2"/>
  <c r="BJ49" i="2"/>
  <c r="BJ48" i="2"/>
  <c r="BJ61" i="2" s="1"/>
  <c r="BM52" i="2"/>
  <c r="BL52" i="2"/>
  <c r="BK52" i="2"/>
  <c r="BI52" i="2"/>
  <c r="BH52" i="2"/>
  <c r="BG52" i="2"/>
  <c r="BE52" i="2"/>
  <c r="BE65" i="2" s="1"/>
  <c r="BD52" i="2"/>
  <c r="BD65" i="2" s="1"/>
  <c r="BC52" i="2"/>
  <c r="BA52" i="2"/>
  <c r="BA65" i="2" s="1"/>
  <c r="AZ52" i="2"/>
  <c r="AY52" i="2"/>
  <c r="AW52" i="2"/>
  <c r="AV52" i="2"/>
  <c r="AV65" i="2" s="1"/>
  <c r="AU52" i="2"/>
  <c r="AS52" i="2"/>
  <c r="AS65" i="2" s="1"/>
  <c r="AR52" i="2"/>
  <c r="AQ52" i="2"/>
  <c r="AO52" i="2"/>
  <c r="BF48" i="2"/>
  <c r="BF61" i="2" s="1"/>
  <c r="BE48" i="2"/>
  <c r="BE61" i="2" s="1"/>
  <c r="BD48" i="2"/>
  <c r="BD61" i="2" s="1"/>
  <c r="BC48" i="2"/>
  <c r="BB48" i="2"/>
  <c r="BB61" i="2" s="1"/>
  <c r="BA48" i="2"/>
  <c r="BA61" i="2" s="1"/>
  <c r="AZ48" i="2"/>
  <c r="AZ61" i="2" s="1"/>
  <c r="AY48" i="2"/>
  <c r="AX48" i="2"/>
  <c r="AX61" i="2" s="1"/>
  <c r="AW48" i="2"/>
  <c r="AW61" i="2" s="1"/>
  <c r="AV48" i="2"/>
  <c r="AV61" i="2" s="1"/>
  <c r="AU48" i="2"/>
  <c r="AT48" i="2"/>
  <c r="AT61" i="2" s="1"/>
  <c r="AS48" i="2"/>
  <c r="AS61" i="2" s="1"/>
  <c r="AR48" i="2"/>
  <c r="AR61" i="2" s="1"/>
  <c r="AQ48" i="2"/>
  <c r="AP48" i="2"/>
  <c r="AP61" i="2" s="1"/>
  <c r="AO48" i="2"/>
  <c r="AO61" i="2" s="1"/>
  <c r="AN48" i="2"/>
  <c r="AN61" i="2" s="1"/>
  <c r="AM48" i="2"/>
  <c r="AL61" i="2"/>
  <c r="AK61" i="2"/>
  <c r="AJ61" i="2"/>
  <c r="AH61" i="2"/>
  <c r="AG61" i="2"/>
  <c r="AF61" i="2"/>
  <c r="AD61" i="2"/>
  <c r="AC61" i="2"/>
  <c r="AB61" i="2"/>
  <c r="Z61" i="2"/>
  <c r="Y61" i="2"/>
  <c r="X61" i="2"/>
  <c r="V61" i="2"/>
  <c r="U61" i="2"/>
  <c r="T61" i="2"/>
  <c r="R61" i="2"/>
  <c r="Q61" i="2"/>
  <c r="P61" i="2"/>
  <c r="N61" i="2"/>
  <c r="M61" i="2"/>
  <c r="L61" i="2"/>
  <c r="J61" i="2"/>
  <c r="I61" i="2"/>
  <c r="H61" i="2"/>
  <c r="F61" i="2"/>
  <c r="E61" i="2"/>
  <c r="D61" i="2"/>
  <c r="BL44" i="2"/>
  <c r="BK44" i="2"/>
  <c r="BI44" i="2"/>
  <c r="BH44" i="2"/>
  <c r="BG44" i="2"/>
  <c r="BE44" i="2"/>
  <c r="BD44" i="2"/>
  <c r="BC44" i="2"/>
  <c r="BA44" i="2"/>
  <c r="AZ44" i="2"/>
  <c r="AY44" i="2"/>
  <c r="AW44" i="2"/>
  <c r="AV44" i="2"/>
  <c r="AU44" i="2"/>
  <c r="AS44" i="2"/>
  <c r="AR44" i="2"/>
  <c r="AQ44" i="2"/>
  <c r="BL43" i="2"/>
  <c r="BK43" i="2"/>
  <c r="BI43" i="2"/>
  <c r="BH43" i="2"/>
  <c r="BG43" i="2"/>
  <c r="BE43" i="2"/>
  <c r="BD43" i="2"/>
  <c r="BC43" i="2"/>
  <c r="BA43" i="2"/>
  <c r="AZ43" i="2"/>
  <c r="AY43" i="2"/>
  <c r="AW43" i="2"/>
  <c r="AV43" i="2"/>
  <c r="AU43" i="2"/>
  <c r="AS43" i="2"/>
  <c r="AR43" i="2"/>
  <c r="AQ43" i="2"/>
  <c r="BM44" i="2"/>
  <c r="BM43" i="2"/>
  <c r="AL40" i="2"/>
  <c r="CH40" i="2" s="1"/>
  <c r="AL39" i="2"/>
  <c r="CH39" i="2" s="1"/>
  <c r="AP40" i="2"/>
  <c r="CI40" i="2" s="1"/>
  <c r="AP39" i="2"/>
  <c r="CI39" i="2" s="1"/>
  <c r="AT40" i="2"/>
  <c r="CJ40" i="2" s="1"/>
  <c r="AT39" i="2"/>
  <c r="CJ39" i="2" s="1"/>
  <c r="AX40" i="2"/>
  <c r="CK40" i="2" s="1"/>
  <c r="AX39" i="2"/>
  <c r="CK39" i="2" s="1"/>
  <c r="CP68" i="2" l="1"/>
  <c r="CP70" i="2"/>
  <c r="CQ54" i="2" s="1"/>
  <c r="CQ55" i="2" s="1"/>
  <c r="CQ56" i="2" s="1"/>
  <c r="CQ57" i="2" s="1"/>
  <c r="BN59" i="2"/>
  <c r="BN106" i="2"/>
  <c r="BN105" i="2"/>
  <c r="BN108" i="2"/>
  <c r="BN68" i="2"/>
  <c r="I113" i="2"/>
  <c r="CT52" i="2"/>
  <c r="CT53" i="2" s="1"/>
  <c r="CT66" i="2" s="1"/>
  <c r="CV26" i="2"/>
  <c r="CV34" i="2"/>
  <c r="CV46" i="2"/>
  <c r="CV30" i="2"/>
  <c r="CV32" i="2"/>
  <c r="CV35" i="2"/>
  <c r="CV36" i="2"/>
  <c r="CV28" i="2"/>
  <c r="CV33" i="2"/>
  <c r="CV31" i="2"/>
  <c r="CV37" i="2"/>
  <c r="CX5" i="2"/>
  <c r="CW14" i="2"/>
  <c r="CW29" i="2" s="1"/>
  <c r="CU51" i="2"/>
  <c r="CU47" i="2"/>
  <c r="CU48" i="2" s="1"/>
  <c r="CU49" i="2"/>
  <c r="CU50" i="2"/>
  <c r="BK98" i="2"/>
  <c r="CO98" i="2" s="1"/>
  <c r="CO96" i="2"/>
  <c r="CO52" i="2"/>
  <c r="E113" i="2"/>
  <c r="BK113" i="2"/>
  <c r="CO113" i="2" s="1"/>
  <c r="CO112" i="2"/>
  <c r="CK44" i="2"/>
  <c r="CL50" i="2"/>
  <c r="CL63" i="2" s="1"/>
  <c r="BB63" i="2"/>
  <c r="CI51" i="2"/>
  <c r="CI64" i="2" s="1"/>
  <c r="AP64" i="2"/>
  <c r="CL51" i="2"/>
  <c r="CL64" i="2" s="1"/>
  <c r="BB64" i="2"/>
  <c r="CN50" i="2"/>
  <c r="BJ63" i="2"/>
  <c r="CJ50" i="2"/>
  <c r="CJ63" i="2" s="1"/>
  <c r="AT63" i="2"/>
  <c r="CI50" i="2"/>
  <c r="CI63" i="2" s="1"/>
  <c r="AP63" i="2"/>
  <c r="CI43" i="2"/>
  <c r="CM50" i="2"/>
  <c r="CM63" i="2" s="1"/>
  <c r="BF63" i="2"/>
  <c r="CJ51" i="2"/>
  <c r="CJ64" i="2" s="1"/>
  <c r="AT64" i="2"/>
  <c r="CM51" i="2"/>
  <c r="CM64" i="2" s="1"/>
  <c r="BF64" i="2"/>
  <c r="CI44" i="2"/>
  <c r="CK50" i="2"/>
  <c r="CK63" i="2" s="1"/>
  <c r="AX63" i="2"/>
  <c r="H113" i="2"/>
  <c r="CC113" i="2"/>
  <c r="CE113" i="2"/>
  <c r="CG113" i="2"/>
  <c r="CI113" i="2"/>
  <c r="CK113" i="2"/>
  <c r="CN51" i="2"/>
  <c r="BJ64" i="2"/>
  <c r="CK51" i="2"/>
  <c r="CK64" i="2" s="1"/>
  <c r="AX64" i="2"/>
  <c r="CB113" i="2"/>
  <c r="CD113" i="2"/>
  <c r="CF113" i="2"/>
  <c r="CH113" i="2"/>
  <c r="CJ113" i="2"/>
  <c r="CL113" i="2"/>
  <c r="AY103" i="2"/>
  <c r="AZ103" i="2"/>
  <c r="S61" i="2"/>
  <c r="CD48" i="2"/>
  <c r="CD61" i="2" s="1"/>
  <c r="AS103" i="2"/>
  <c r="BF98" i="2"/>
  <c r="CM98" i="2" s="1"/>
  <c r="CM96" i="2"/>
  <c r="G113" i="2"/>
  <c r="CA111" i="2"/>
  <c r="AT103" i="2"/>
  <c r="CJ81" i="2"/>
  <c r="BB103" i="2"/>
  <c r="CL81" i="2"/>
  <c r="AP98" i="2"/>
  <c r="CI98" i="2" s="1"/>
  <c r="CI96" i="2"/>
  <c r="AX98" i="2"/>
  <c r="CK98" i="2" s="1"/>
  <c r="CK96" i="2"/>
  <c r="K61" i="2"/>
  <c r="CB48" i="2"/>
  <c r="CB61" i="2" s="1"/>
  <c r="AU103" i="2"/>
  <c r="BC103" i="2"/>
  <c r="BA103" i="2"/>
  <c r="CJ43" i="2"/>
  <c r="CJ44" i="2"/>
  <c r="AV103" i="2"/>
  <c r="BD103" i="2"/>
  <c r="AQ103" i="2"/>
  <c r="AR103" i="2"/>
  <c r="CN81" i="2"/>
  <c r="BJ103" i="2"/>
  <c r="C61" i="2"/>
  <c r="BZ48" i="2"/>
  <c r="BZ61" i="2" s="1"/>
  <c r="AA61" i="2"/>
  <c r="CF48" i="2"/>
  <c r="CF61" i="2" s="1"/>
  <c r="G61" i="2"/>
  <c r="CA48" i="2"/>
  <c r="CA61" i="2" s="1"/>
  <c r="O61" i="2"/>
  <c r="CC48" i="2"/>
  <c r="CC61" i="2" s="1"/>
  <c r="W61" i="2"/>
  <c r="CE48" i="2"/>
  <c r="CE61" i="2" s="1"/>
  <c r="AE61" i="2"/>
  <c r="CG48" i="2"/>
  <c r="CG61" i="2" s="1"/>
  <c r="AW103" i="2"/>
  <c r="BE103" i="2"/>
  <c r="BJ98" i="2"/>
  <c r="CN98" i="2" s="1"/>
  <c r="CN96" i="2"/>
  <c r="CK43" i="2"/>
  <c r="AO53" i="2"/>
  <c r="AO55" i="2" s="1"/>
  <c r="BZ111" i="2"/>
  <c r="AP103" i="2"/>
  <c r="CI81" i="2"/>
  <c r="AX103" i="2"/>
  <c r="CK81" i="2"/>
  <c r="BF103" i="2"/>
  <c r="CM81" i="2"/>
  <c r="AT98" i="2"/>
  <c r="CJ98" i="2" s="1"/>
  <c r="CJ96" i="2"/>
  <c r="BB98" i="2"/>
  <c r="CL98" i="2" s="1"/>
  <c r="CL96" i="2"/>
  <c r="AT62" i="2"/>
  <c r="CJ49" i="2"/>
  <c r="CJ62" i="2" s="1"/>
  <c r="BC113" i="2"/>
  <c r="CM113" i="2" s="1"/>
  <c r="BF62" i="2"/>
  <c r="CM49" i="2"/>
  <c r="CM62" i="2" s="1"/>
  <c r="AI61" i="2"/>
  <c r="CH48" i="2"/>
  <c r="CH61" i="2" s="1"/>
  <c r="AQ61" i="2"/>
  <c r="CJ48" i="2"/>
  <c r="CJ61" i="2" s="1"/>
  <c r="AY61" i="2"/>
  <c r="CL48" i="2"/>
  <c r="CL61" i="2" s="1"/>
  <c r="BC65" i="2"/>
  <c r="AU65" i="2"/>
  <c r="AX62" i="2"/>
  <c r="CK49" i="2"/>
  <c r="CK62" i="2" s="1"/>
  <c r="AM65" i="2"/>
  <c r="BJ62" i="2"/>
  <c r="CN49" i="2"/>
  <c r="AW53" i="2"/>
  <c r="AW55" i="2" s="1"/>
  <c r="AP62" i="2"/>
  <c r="CI49" i="2"/>
  <c r="CI62" i="2" s="1"/>
  <c r="BG113" i="2"/>
  <c r="CN113" i="2" s="1"/>
  <c r="AM61" i="2"/>
  <c r="CI48" i="2"/>
  <c r="CI61" i="2" s="1"/>
  <c r="AU61" i="2"/>
  <c r="CK48" i="2"/>
  <c r="CK61" i="2" s="1"/>
  <c r="BC61" i="2"/>
  <c r="CM48" i="2"/>
  <c r="CM61" i="2" s="1"/>
  <c r="BB62" i="2"/>
  <c r="CL49" i="2"/>
  <c r="CL62" i="2" s="1"/>
  <c r="F113" i="2"/>
  <c r="AY53" i="2"/>
  <c r="AZ53" i="2"/>
  <c r="AP52" i="2"/>
  <c r="AP65" i="2" s="1"/>
  <c r="AS53" i="2"/>
  <c r="AS55" i="2" s="1"/>
  <c r="D113" i="2"/>
  <c r="AQ53" i="2"/>
  <c r="BA53" i="2"/>
  <c r="AR53" i="2"/>
  <c r="BC53" i="2"/>
  <c r="AO65" i="2"/>
  <c r="AW65" i="2"/>
  <c r="BD53" i="2"/>
  <c r="AN53" i="2"/>
  <c r="AU53" i="2"/>
  <c r="BE53" i="2"/>
  <c r="AM53" i="2"/>
  <c r="AQ65" i="2"/>
  <c r="AY65" i="2"/>
  <c r="J113" i="2"/>
  <c r="AV53" i="2"/>
  <c r="AR65" i="2"/>
  <c r="AZ65" i="2"/>
  <c r="C113" i="2"/>
  <c r="AT52" i="2"/>
  <c r="CJ52" i="2" s="1"/>
  <c r="CJ65" i="2" s="1"/>
  <c r="AX52" i="2"/>
  <c r="CK52" i="2" s="1"/>
  <c r="CK65" i="2" s="1"/>
  <c r="BF52" i="2"/>
  <c r="CM52" i="2" s="1"/>
  <c r="CM65" i="2" s="1"/>
  <c r="BJ52" i="2"/>
  <c r="BJ65" i="2" s="1"/>
  <c r="BB52" i="2"/>
  <c r="CL52" i="2" s="1"/>
  <c r="CL65" i="2" s="1"/>
  <c r="AT44" i="2"/>
  <c r="AT43" i="2"/>
  <c r="AX44" i="2"/>
  <c r="AX43" i="2"/>
  <c r="AT41" i="2"/>
  <c r="CQ68" i="2" l="1"/>
  <c r="CQ70" i="2"/>
  <c r="CR54" i="2" s="1"/>
  <c r="CR55" i="2" s="1"/>
  <c r="CR56" i="2" s="1"/>
  <c r="CR57" i="2" s="1"/>
  <c r="AO67" i="2"/>
  <c r="AS67" i="2"/>
  <c r="AW67" i="2"/>
  <c r="AO66" i="2"/>
  <c r="CU52" i="2"/>
  <c r="CU53" i="2" s="1"/>
  <c r="CU66" i="2" s="1"/>
  <c r="CW32" i="2"/>
  <c r="CW28" i="2"/>
  <c r="CW30" i="2"/>
  <c r="CW36" i="2"/>
  <c r="CW31" i="2"/>
  <c r="CW33" i="2"/>
  <c r="CW34" i="2"/>
  <c r="CW37" i="2"/>
  <c r="CW35" i="2"/>
  <c r="CW46" i="2"/>
  <c r="CW26" i="2"/>
  <c r="CV51" i="2"/>
  <c r="CV50" i="2"/>
  <c r="CV49" i="2"/>
  <c r="CV47" i="2"/>
  <c r="CV48" i="2" s="1"/>
  <c r="CY5" i="2"/>
  <c r="CX14" i="2"/>
  <c r="CX29" i="2" s="1"/>
  <c r="CI103" i="2"/>
  <c r="CA113" i="2"/>
  <c r="CI52" i="2"/>
  <c r="CI65" i="2" s="1"/>
  <c r="CM103" i="2"/>
  <c r="AP53" i="2"/>
  <c r="AP55" i="2" s="1"/>
  <c r="BZ113" i="2"/>
  <c r="CL103" i="2"/>
  <c r="CN52" i="2"/>
  <c r="CK103" i="2"/>
  <c r="CJ103" i="2"/>
  <c r="AS66" i="2"/>
  <c r="AW66" i="2"/>
  <c r="AZ55" i="2"/>
  <c r="AZ66" i="2"/>
  <c r="AY55" i="2"/>
  <c r="AY66" i="2"/>
  <c r="AX53" i="2"/>
  <c r="CK53" i="2" s="1"/>
  <c r="CK66" i="2" s="1"/>
  <c r="AX65" i="2"/>
  <c r="AT53" i="2"/>
  <c r="CJ53" i="2" s="1"/>
  <c r="CJ66" i="2" s="1"/>
  <c r="AT65" i="2"/>
  <c r="AM55" i="2"/>
  <c r="AM66" i="2"/>
  <c r="BC55" i="2"/>
  <c r="BC66" i="2"/>
  <c r="BE55" i="2"/>
  <c r="BE66" i="2"/>
  <c r="AR55" i="2"/>
  <c r="AR66" i="2"/>
  <c r="AQ55" i="2"/>
  <c r="AQ66" i="2"/>
  <c r="BF53" i="2"/>
  <c r="CM53" i="2" s="1"/>
  <c r="CM66" i="2" s="1"/>
  <c r="BF65" i="2"/>
  <c r="AV55" i="2"/>
  <c r="AV66" i="2"/>
  <c r="AU55" i="2"/>
  <c r="AU66" i="2"/>
  <c r="BJ53" i="2"/>
  <c r="AN55" i="2"/>
  <c r="AN66" i="2"/>
  <c r="BB53" i="2"/>
  <c r="CL53" i="2" s="1"/>
  <c r="CL66" i="2" s="1"/>
  <c r="BB65" i="2"/>
  <c r="BD55" i="2"/>
  <c r="BD66" i="2"/>
  <c r="BA55" i="2"/>
  <c r="BA66" i="2"/>
  <c r="CR68" i="2" l="1"/>
  <c r="CR70" i="2"/>
  <c r="AZ67" i="2"/>
  <c r="AW106" i="2"/>
  <c r="AW108" i="2"/>
  <c r="AW68" i="2"/>
  <c r="AW59" i="2"/>
  <c r="AW105" i="2"/>
  <c r="BA67" i="2"/>
  <c r="AU106" i="2"/>
  <c r="AU68" i="2"/>
  <c r="AU108" i="2"/>
  <c r="AU59" i="2"/>
  <c r="AU105" i="2"/>
  <c r="AS106" i="2"/>
  <c r="AS68" i="2"/>
  <c r="AS59" i="2"/>
  <c r="AS108" i="2"/>
  <c r="AS105" i="2"/>
  <c r="AQ106" i="2"/>
  <c r="AQ68" i="2"/>
  <c r="AQ59" i="2"/>
  <c r="AQ108" i="2"/>
  <c r="AQ105" i="2"/>
  <c r="AR67" i="2"/>
  <c r="AP67" i="2"/>
  <c r="AV67" i="2"/>
  <c r="AM108" i="2"/>
  <c r="AM59" i="2"/>
  <c r="AM68" i="2"/>
  <c r="BD67" i="2"/>
  <c r="BE67" i="2"/>
  <c r="BC106" i="2"/>
  <c r="BC108" i="2"/>
  <c r="BC59" i="2"/>
  <c r="BC68" i="2"/>
  <c r="BC105" i="2"/>
  <c r="AO59" i="2"/>
  <c r="AO68" i="2"/>
  <c r="AO108" i="2"/>
  <c r="AY106" i="2"/>
  <c r="AY68" i="2"/>
  <c r="AY59" i="2"/>
  <c r="AY108" i="2"/>
  <c r="AY105" i="2"/>
  <c r="AN67" i="2"/>
  <c r="AP66" i="2"/>
  <c r="CV52" i="2"/>
  <c r="CV53" i="2" s="1"/>
  <c r="CV66" i="2" s="1"/>
  <c r="CY14" i="2"/>
  <c r="CY29" i="2"/>
  <c r="CW50" i="2"/>
  <c r="CW51" i="2"/>
  <c r="CW47" i="2"/>
  <c r="CW48" i="2" s="1"/>
  <c r="CW49" i="2"/>
  <c r="CY32" i="2"/>
  <c r="CY34" i="2"/>
  <c r="CX35" i="2"/>
  <c r="CY37" i="2"/>
  <c r="CX30" i="2"/>
  <c r="CX36" i="2"/>
  <c r="CX37" i="2"/>
  <c r="CY33" i="2"/>
  <c r="CY31" i="2"/>
  <c r="CX33" i="2"/>
  <c r="CY28" i="2"/>
  <c r="CY35" i="2"/>
  <c r="CX46" i="2"/>
  <c r="CX34" i="2"/>
  <c r="CX28" i="2"/>
  <c r="CY36" i="2"/>
  <c r="CX31" i="2"/>
  <c r="CY30" i="2"/>
  <c r="CX26" i="2"/>
  <c r="CX32" i="2"/>
  <c r="CI53" i="2"/>
  <c r="CI66" i="2" s="1"/>
  <c r="BC67" i="2"/>
  <c r="AY67" i="2"/>
  <c r="AQ67" i="2"/>
  <c r="AU67" i="2"/>
  <c r="AM67" i="2"/>
  <c r="CI55" i="2"/>
  <c r="CI67" i="2" s="1"/>
  <c r="BF55" i="2"/>
  <c r="BF66" i="2"/>
  <c r="AT55" i="2"/>
  <c r="AT66" i="2"/>
  <c r="BB55" i="2"/>
  <c r="BB66" i="2"/>
  <c r="BJ55" i="2"/>
  <c r="BJ66" i="2"/>
  <c r="AX55" i="2"/>
  <c r="AX66" i="2"/>
  <c r="CS54" i="2" l="1"/>
  <c r="CS55" i="2" s="1"/>
  <c r="CS56" i="2" s="1"/>
  <c r="CS57" i="2" s="1"/>
  <c r="CS68" i="2" s="1"/>
  <c r="CS70" i="2"/>
  <c r="AX67" i="2"/>
  <c r="BE106" i="2"/>
  <c r="BE108" i="2"/>
  <c r="BE68" i="2"/>
  <c r="BE59" i="2"/>
  <c r="BE105" i="2"/>
  <c r="BD106" i="2"/>
  <c r="BD108" i="2"/>
  <c r="BD68" i="2"/>
  <c r="BD59" i="2"/>
  <c r="BD105" i="2"/>
  <c r="AP106" i="2"/>
  <c r="AP108" i="2"/>
  <c r="AP68" i="2"/>
  <c r="AP59" i="2"/>
  <c r="AP105" i="2"/>
  <c r="AV106" i="2"/>
  <c r="AV108" i="2"/>
  <c r="AV68" i="2"/>
  <c r="AV59" i="2"/>
  <c r="AV105" i="2"/>
  <c r="BJ67" i="2"/>
  <c r="BB67" i="2"/>
  <c r="AR106" i="2"/>
  <c r="AR68" i="2"/>
  <c r="AR59" i="2"/>
  <c r="AR108" i="2"/>
  <c r="AR105" i="2"/>
  <c r="CK57" i="2"/>
  <c r="AT67" i="2"/>
  <c r="AZ106" i="2"/>
  <c r="AZ68" i="2"/>
  <c r="AZ59" i="2"/>
  <c r="AZ108" i="2"/>
  <c r="AZ105" i="2"/>
  <c r="BF67" i="2"/>
  <c r="AN108" i="2"/>
  <c r="CI108" i="2" s="1"/>
  <c r="AN59" i="2"/>
  <c r="CI59" i="2" s="1"/>
  <c r="AN68" i="2"/>
  <c r="CI57" i="2"/>
  <c r="BA106" i="2"/>
  <c r="BA68" i="2"/>
  <c r="BA59" i="2"/>
  <c r="BA108" i="2"/>
  <c r="BA105" i="2"/>
  <c r="CW52" i="2"/>
  <c r="CW53" i="2" s="1"/>
  <c r="CW66" i="2" s="1"/>
  <c r="CX50" i="2"/>
  <c r="CX49" i="2"/>
  <c r="CX47" i="2"/>
  <c r="CX48" i="2" s="1"/>
  <c r="CX51" i="2"/>
  <c r="CY26" i="2"/>
  <c r="CY46" i="2"/>
  <c r="CT54" i="2"/>
  <c r="CT55" i="2" s="1"/>
  <c r="CT56" i="2" s="1"/>
  <c r="CT57" i="2" s="1"/>
  <c r="CJ55" i="2"/>
  <c r="CJ67" i="2" s="1"/>
  <c r="CL55" i="2"/>
  <c r="CL67" i="2" s="1"/>
  <c r="CM55" i="2"/>
  <c r="CM67" i="2" s="1"/>
  <c r="CK55" i="2"/>
  <c r="CK67" i="2" s="1"/>
  <c r="BJ106" i="2" l="1"/>
  <c r="BJ108" i="2"/>
  <c r="BJ68" i="2"/>
  <c r="BJ59" i="2"/>
  <c r="BJ105" i="2"/>
  <c r="CK68" i="2"/>
  <c r="CK106" i="2"/>
  <c r="CK105" i="2"/>
  <c r="CI68" i="2"/>
  <c r="CI106" i="2"/>
  <c r="CI105" i="2"/>
  <c r="BB106" i="2"/>
  <c r="BB108" i="2"/>
  <c r="CL108" i="2" s="1"/>
  <c r="BB59" i="2"/>
  <c r="CL59" i="2" s="1"/>
  <c r="BB68" i="2"/>
  <c r="BB105" i="2"/>
  <c r="CL57" i="2"/>
  <c r="BF106" i="2"/>
  <c r="BF108" i="2"/>
  <c r="CM108" i="2" s="1"/>
  <c r="BF68" i="2"/>
  <c r="BF59" i="2"/>
  <c r="CM59" i="2" s="1"/>
  <c r="BF105" i="2"/>
  <c r="CM57" i="2"/>
  <c r="AX106" i="2"/>
  <c r="AX68" i="2"/>
  <c r="AX59" i="2"/>
  <c r="CK59" i="2" s="1"/>
  <c r="AX108" i="2"/>
  <c r="CK108" i="2" s="1"/>
  <c r="AX105" i="2"/>
  <c r="AT106" i="2"/>
  <c r="AT68" i="2"/>
  <c r="AT59" i="2"/>
  <c r="CJ59" i="2" s="1"/>
  <c r="AT108" i="2"/>
  <c r="CJ108" i="2" s="1"/>
  <c r="AT105" i="2"/>
  <c r="CJ57" i="2"/>
  <c r="CT68" i="2"/>
  <c r="CX52" i="2"/>
  <c r="CX53" i="2" s="1"/>
  <c r="CX66" i="2" s="1"/>
  <c r="CY50" i="2"/>
  <c r="CY51" i="2"/>
  <c r="CY49" i="2"/>
  <c r="CY47" i="2"/>
  <c r="CY48" i="2" s="1"/>
  <c r="CT70" i="2"/>
  <c r="CU54" i="2" s="1"/>
  <c r="CU55" i="2" s="1"/>
  <c r="CU56" i="2" s="1"/>
  <c r="CU57" i="2" s="1"/>
  <c r="BB40" i="2"/>
  <c r="CL40" i="2" s="1"/>
  <c r="CL44" i="2" s="1"/>
  <c r="BB39" i="2"/>
  <c r="CL39" i="2" s="1"/>
  <c r="CL43" i="2" s="1"/>
  <c r="BF39" i="2"/>
  <c r="CM39" i="2" s="1"/>
  <c r="BF40" i="2"/>
  <c r="CM40" i="2" s="1"/>
  <c r="BJ40" i="2"/>
  <c r="BJ39" i="2"/>
  <c r="BG41" i="2"/>
  <c r="BE41" i="2"/>
  <c r="BD41" i="2"/>
  <c r="BC41" i="2"/>
  <c r="BA41" i="2"/>
  <c r="AZ41" i="2"/>
  <c r="AY41" i="2"/>
  <c r="AW41" i="2"/>
  <c r="AV41" i="2"/>
  <c r="AU41" i="2"/>
  <c r="AS41" i="2"/>
  <c r="AR41" i="2"/>
  <c r="AQ41" i="2"/>
  <c r="AO41" i="2"/>
  <c r="AN41" i="2"/>
  <c r="AM41" i="2"/>
  <c r="AL41" i="2"/>
  <c r="CH41" i="2" s="1"/>
  <c r="BL41" i="2"/>
  <c r="BK41" i="2"/>
  <c r="BI41" i="2"/>
  <c r="BH41" i="2"/>
  <c r="BM41" i="2"/>
  <c r="BM25" i="2"/>
  <c r="BL25" i="2"/>
  <c r="BK25" i="2"/>
  <c r="BM24" i="2"/>
  <c r="BL24" i="2"/>
  <c r="BK24" i="2"/>
  <c r="BM23" i="2"/>
  <c r="BL23" i="2"/>
  <c r="BK23" i="2"/>
  <c r="BM22" i="2"/>
  <c r="BL22" i="2"/>
  <c r="BK22" i="2"/>
  <c r="BM21" i="2"/>
  <c r="BL21" i="2"/>
  <c r="BK21" i="2"/>
  <c r="BM20" i="2"/>
  <c r="BL20" i="2"/>
  <c r="BK20" i="2"/>
  <c r="BM19" i="2"/>
  <c r="BL19" i="2"/>
  <c r="BK19" i="2"/>
  <c r="BM18" i="2"/>
  <c r="BL18" i="2"/>
  <c r="BK18" i="2"/>
  <c r="BM17" i="2"/>
  <c r="BL17" i="2"/>
  <c r="BK17" i="2"/>
  <c r="BL16" i="2"/>
  <c r="BK16" i="2"/>
  <c r="BM16" i="2"/>
  <c r="CN4" i="2"/>
  <c r="CN6" i="2"/>
  <c r="CN5" i="2"/>
  <c r="CN13" i="2"/>
  <c r="CN12" i="2"/>
  <c r="CN11" i="2"/>
  <c r="CN10" i="2"/>
  <c r="CN9" i="2"/>
  <c r="CN8" i="2"/>
  <c r="BH14" i="2"/>
  <c r="BH46" i="2" s="1"/>
  <c r="BL14" i="2"/>
  <c r="BL46" i="2" s="1"/>
  <c r="BK14" i="2"/>
  <c r="BO26" i="2" s="1"/>
  <c r="BI14" i="2"/>
  <c r="BI46" i="2" s="1"/>
  <c r="BG14" i="2"/>
  <c r="BG46" i="2" s="1"/>
  <c r="BM14" i="2"/>
  <c r="BM46" i="2" l="1"/>
  <c r="CJ106" i="2"/>
  <c r="CJ68" i="2"/>
  <c r="CJ105" i="2"/>
  <c r="CL106" i="2"/>
  <c r="CL68" i="2"/>
  <c r="CL105" i="2"/>
  <c r="CM106" i="2"/>
  <c r="CM68" i="2"/>
  <c r="CM105" i="2"/>
  <c r="CU68" i="2"/>
  <c r="CY52" i="2"/>
  <c r="CY53" i="2" s="1"/>
  <c r="CY66" i="2" s="1"/>
  <c r="CU70" i="2"/>
  <c r="CV54" i="2" s="1"/>
  <c r="CV55" i="2" s="1"/>
  <c r="BM103" i="2"/>
  <c r="CM44" i="2"/>
  <c r="CM43" i="2"/>
  <c r="BI64" i="2"/>
  <c r="BI63" i="2"/>
  <c r="BI48" i="2"/>
  <c r="BI62" i="2"/>
  <c r="BI103" i="2"/>
  <c r="BI65" i="2"/>
  <c r="CN39" i="2"/>
  <c r="CO43" i="2" s="1"/>
  <c r="BN43" i="2"/>
  <c r="BL63" i="2"/>
  <c r="BL64" i="2"/>
  <c r="BL48" i="2"/>
  <c r="BL62" i="2"/>
  <c r="BL103" i="2"/>
  <c r="BL65" i="2"/>
  <c r="CN40" i="2"/>
  <c r="CO44" i="2" s="1"/>
  <c r="BN44" i="2"/>
  <c r="BG63" i="2"/>
  <c r="BG64" i="2"/>
  <c r="BG62" i="2"/>
  <c r="BG48" i="2"/>
  <c r="BG103" i="2"/>
  <c r="BG65" i="2"/>
  <c r="BK46" i="2"/>
  <c r="CO14" i="2"/>
  <c r="BH63" i="2"/>
  <c r="BH64" i="2"/>
  <c r="BH48" i="2"/>
  <c r="BH62" i="2"/>
  <c r="BH103" i="2"/>
  <c r="BH65" i="2"/>
  <c r="CO24" i="2"/>
  <c r="CO17" i="2"/>
  <c r="CO18" i="2"/>
  <c r="CO23" i="2"/>
  <c r="CO25" i="2"/>
  <c r="CO20" i="2"/>
  <c r="CO21" i="2"/>
  <c r="CN14" i="2"/>
  <c r="CN33" i="2" s="1"/>
  <c r="CO16" i="2"/>
  <c r="BM64" i="2"/>
  <c r="BM63" i="2"/>
  <c r="CO22" i="2"/>
  <c r="CO41" i="2"/>
  <c r="CJ41" i="2"/>
  <c r="BM48" i="2"/>
  <c r="BM65" i="2"/>
  <c r="BM62" i="2"/>
  <c r="BK35" i="2"/>
  <c r="BK34" i="2"/>
  <c r="BK33" i="2"/>
  <c r="BK32" i="2"/>
  <c r="BK31" i="2"/>
  <c r="BK36" i="2"/>
  <c r="BK30" i="2"/>
  <c r="BK28" i="2"/>
  <c r="BK37" i="2"/>
  <c r="BK29" i="2"/>
  <c r="BL37" i="2"/>
  <c r="BL29" i="2"/>
  <c r="BL36" i="2"/>
  <c r="BL28" i="2"/>
  <c r="BL35" i="2"/>
  <c r="BL34" i="2"/>
  <c r="BL33" i="2"/>
  <c r="BL30" i="2"/>
  <c r="BL32" i="2"/>
  <c r="BL31" i="2"/>
  <c r="BI31" i="2"/>
  <c r="BI30" i="2"/>
  <c r="BI37" i="2"/>
  <c r="BI29" i="2"/>
  <c r="BI36" i="2"/>
  <c r="BI28" i="2"/>
  <c r="BI35" i="2"/>
  <c r="BI34" i="2"/>
  <c r="BI32" i="2"/>
  <c r="BI33" i="2"/>
  <c r="BJ43" i="2"/>
  <c r="BG35" i="2"/>
  <c r="BG34" i="2"/>
  <c r="BG33" i="2"/>
  <c r="BG32" i="2"/>
  <c r="BG31" i="2"/>
  <c r="BG36" i="2"/>
  <c r="BG30" i="2"/>
  <c r="BG28" i="2"/>
  <c r="BG37" i="2"/>
  <c r="BG29" i="2"/>
  <c r="BJ44" i="2"/>
  <c r="BH37" i="2"/>
  <c r="BH29" i="2"/>
  <c r="BH36" i="2"/>
  <c r="BH28" i="2"/>
  <c r="BH35" i="2"/>
  <c r="BH34" i="2"/>
  <c r="BH33" i="2"/>
  <c r="BH30" i="2"/>
  <c r="BH32" i="2"/>
  <c r="BH31" i="2"/>
  <c r="BM31" i="2"/>
  <c r="BM30" i="2"/>
  <c r="BM37" i="2"/>
  <c r="BM29" i="2"/>
  <c r="BM36" i="2"/>
  <c r="BM28" i="2"/>
  <c r="BM32" i="2"/>
  <c r="BM35" i="2"/>
  <c r="BM34" i="2"/>
  <c r="BM33" i="2"/>
  <c r="BJ33" i="2"/>
  <c r="BJ34" i="2"/>
  <c r="BB44" i="2"/>
  <c r="BF44" i="2"/>
  <c r="BF43" i="2"/>
  <c r="BB43" i="2"/>
  <c r="BM26" i="2"/>
  <c r="AP41" i="2"/>
  <c r="CI41" i="2" s="1"/>
  <c r="AX41" i="2"/>
  <c r="CK41" i="2" s="1"/>
  <c r="BB41" i="2"/>
  <c r="CL41" i="2" s="1"/>
  <c r="BF41" i="2"/>
  <c r="CM41" i="2" s="1"/>
  <c r="BJ41" i="2"/>
  <c r="CN41" i="2" s="1"/>
  <c r="BL26" i="2"/>
  <c r="BK26" i="2"/>
  <c r="BJ32" i="2"/>
  <c r="CA3" i="2"/>
  <c r="CB3" i="2" s="1"/>
  <c r="CC3" i="2" s="1"/>
  <c r="CD3" i="2" s="1"/>
  <c r="CE3" i="2" s="1"/>
  <c r="CF3" i="2" s="1"/>
  <c r="CG3" i="2" s="1"/>
  <c r="CH3" i="2" s="1"/>
  <c r="CI3" i="2" s="1"/>
  <c r="CJ3" i="2" s="1"/>
  <c r="CK3" i="2" s="1"/>
  <c r="CL3" i="2" s="1"/>
  <c r="CM3" i="2" s="1"/>
  <c r="CN3" i="2" s="1"/>
  <c r="CO3" i="2" s="1"/>
  <c r="CP3" i="2" s="1"/>
  <c r="CQ3" i="2" s="1"/>
  <c r="CR3" i="2" s="1"/>
  <c r="CS3" i="2" s="1"/>
  <c r="CT3" i="2" s="1"/>
  <c r="CU3" i="2" s="1"/>
  <c r="CV3" i="2" s="1"/>
  <c r="CW3" i="2" s="1"/>
  <c r="CX3" i="2" s="1"/>
  <c r="CY3" i="2" s="1"/>
  <c r="CZ3" i="2" s="1"/>
  <c r="DA3" i="2" s="1"/>
  <c r="DB3" i="2" s="1"/>
  <c r="DC3" i="2" s="1"/>
  <c r="DD3" i="2" s="1"/>
  <c r="DE3" i="2" s="1"/>
  <c r="DF3" i="2" s="1"/>
  <c r="DG3" i="2" s="1"/>
  <c r="DH3" i="2" s="1"/>
  <c r="DI3" i="2" s="1"/>
  <c r="DJ3" i="2" s="1"/>
  <c r="DK3" i="2" s="1"/>
  <c r="DL3" i="2" s="1"/>
  <c r="DM3" i="2" s="1"/>
  <c r="DN3" i="2" s="1"/>
  <c r="DO3" i="2" s="1"/>
  <c r="DP3" i="2" s="1"/>
  <c r="DQ3" i="2" s="1"/>
  <c r="DR3" i="2" s="1"/>
  <c r="DS3" i="2" s="1"/>
  <c r="DT3" i="2" s="1"/>
  <c r="DU3" i="2" s="1"/>
  <c r="DV3" i="2" s="1"/>
  <c r="DW3" i="2" s="1"/>
  <c r="DX3" i="2" s="1"/>
  <c r="DY3" i="2" s="1"/>
  <c r="DZ3" i="2" s="1"/>
  <c r="EA3" i="2" s="1"/>
  <c r="EB3" i="2" s="1"/>
  <c r="EC3" i="2" s="1"/>
  <c r="ED3" i="2" s="1"/>
  <c r="EE3" i="2" s="1"/>
  <c r="EF3" i="2" s="1"/>
  <c r="EG3" i="2" s="1"/>
  <c r="EH3" i="2" s="1"/>
  <c r="EI3" i="2" s="1"/>
  <c r="EJ3" i="2" s="1"/>
  <c r="EK3" i="2" s="1"/>
  <c r="EL3" i="2" s="1"/>
  <c r="EM3" i="2" s="1"/>
  <c r="EN3" i="2" s="1"/>
  <c r="EO3" i="2" s="1"/>
  <c r="EP3" i="2" s="1"/>
  <c r="EQ3" i="2" s="1"/>
  <c r="ER3" i="2" s="1"/>
  <c r="ES3" i="2" s="1"/>
  <c r="ET3" i="2" s="1"/>
  <c r="EU3" i="2" s="1"/>
  <c r="EV3" i="2" s="1"/>
  <c r="G215" i="3"/>
  <c r="C5" i="1"/>
  <c r="CO46" i="2" l="1"/>
  <c r="CP26" i="2"/>
  <c r="CV56" i="2"/>
  <c r="CV57" i="2" s="1"/>
  <c r="CN31" i="2"/>
  <c r="CN46" i="2"/>
  <c r="CN64" i="2" s="1"/>
  <c r="CN29" i="2"/>
  <c r="CO103" i="2"/>
  <c r="CO63" i="2"/>
  <c r="CO64" i="2"/>
  <c r="CO62" i="2"/>
  <c r="CO65" i="2"/>
  <c r="CN34" i="2"/>
  <c r="CN32" i="2"/>
  <c r="CN37" i="2"/>
  <c r="CN44" i="2"/>
  <c r="CN28" i="2"/>
  <c r="CN35" i="2"/>
  <c r="BH61" i="2"/>
  <c r="BH53" i="2"/>
  <c r="CN63" i="2"/>
  <c r="CN103" i="2"/>
  <c r="CN62" i="2"/>
  <c r="BG53" i="2"/>
  <c r="BG61" i="2"/>
  <c r="CN48" i="2"/>
  <c r="CN36" i="2"/>
  <c r="CO26" i="2"/>
  <c r="CO37" i="2"/>
  <c r="CO30" i="2"/>
  <c r="CO34" i="2"/>
  <c r="CO29" i="2"/>
  <c r="CO32" i="2"/>
  <c r="CO31" i="2"/>
  <c r="CO36" i="2"/>
  <c r="CO35" i="2"/>
  <c r="CO33" i="2"/>
  <c r="CO28" i="2"/>
  <c r="BL61" i="2"/>
  <c r="BL53" i="2"/>
  <c r="BI61" i="2"/>
  <c r="BI53" i="2"/>
  <c r="BK63" i="2"/>
  <c r="BK64" i="2"/>
  <c r="BK48" i="2"/>
  <c r="CO48" i="2" s="1"/>
  <c r="CO61" i="2" s="1"/>
  <c r="BK62" i="2"/>
  <c r="BK65" i="2"/>
  <c r="BK103" i="2"/>
  <c r="CN43" i="2"/>
  <c r="CN30" i="2"/>
  <c r="K238" i="3"/>
  <c r="K237" i="3"/>
  <c r="K236" i="3"/>
  <c r="K235" i="3"/>
  <c r="K234" i="3"/>
  <c r="BM61" i="2"/>
  <c r="BM53" i="2"/>
  <c r="BJ29" i="2"/>
  <c r="BJ36" i="2"/>
  <c r="BJ37" i="2"/>
  <c r="BJ31" i="2"/>
  <c r="BJ30" i="2"/>
  <c r="BJ35" i="2"/>
  <c r="BJ28" i="2"/>
  <c r="C8" i="1"/>
  <c r="CN61" i="2" l="1"/>
  <c r="CN65" i="2"/>
  <c r="CV68" i="2"/>
  <c r="CV70" i="2"/>
  <c r="BK61" i="2"/>
  <c r="BK53" i="2"/>
  <c r="CO53" i="2" s="1"/>
  <c r="BI55" i="2"/>
  <c r="BI66" i="2"/>
  <c r="BH55" i="2"/>
  <c r="BH66" i="2"/>
  <c r="BL55" i="2"/>
  <c r="BL66" i="2"/>
  <c r="BG66" i="2"/>
  <c r="BG55" i="2"/>
  <c r="CN53" i="2"/>
  <c r="CN66" i="2" s="1"/>
  <c r="P256" i="3"/>
  <c r="K239" i="3"/>
  <c r="M325" i="3"/>
  <c r="M324" i="3"/>
  <c r="M316" i="3"/>
  <c r="M308" i="3"/>
  <c r="M300" i="3"/>
  <c r="M292" i="3"/>
  <c r="M284" i="3"/>
  <c r="M276" i="3"/>
  <c r="M268" i="3"/>
  <c r="M260" i="3"/>
  <c r="M252" i="3"/>
  <c r="M315" i="3"/>
  <c r="M307" i="3"/>
  <c r="M299" i="3"/>
  <c r="M291" i="3"/>
  <c r="M283" i="3"/>
  <c r="M275" i="3"/>
  <c r="M267" i="3"/>
  <c r="M259" i="3"/>
  <c r="M251" i="3"/>
  <c r="M314" i="3"/>
  <c r="M266" i="3"/>
  <c r="M323" i="3"/>
  <c r="M322" i="3"/>
  <c r="M290" i="3"/>
  <c r="M321" i="3"/>
  <c r="M313" i="3"/>
  <c r="M305" i="3"/>
  <c r="M297" i="3"/>
  <c r="M289" i="3"/>
  <c r="M281" i="3"/>
  <c r="M273" i="3"/>
  <c r="M265" i="3"/>
  <c r="M257" i="3"/>
  <c r="M249" i="3"/>
  <c r="M328" i="3"/>
  <c r="M320" i="3"/>
  <c r="M312" i="3"/>
  <c r="M304" i="3"/>
  <c r="M296" i="3"/>
  <c r="M288" i="3"/>
  <c r="M280" i="3"/>
  <c r="M272" i="3"/>
  <c r="M264" i="3"/>
  <c r="M256" i="3"/>
  <c r="M248" i="3"/>
  <c r="M317" i="3"/>
  <c r="M293" i="3"/>
  <c r="M277" i="3"/>
  <c r="M261" i="3"/>
  <c r="M298" i="3"/>
  <c r="M282" i="3"/>
  <c r="M258" i="3"/>
  <c r="M327" i="3"/>
  <c r="M319" i="3"/>
  <c r="M311" i="3"/>
  <c r="M303" i="3"/>
  <c r="M295" i="3"/>
  <c r="M287" i="3"/>
  <c r="M279" i="3"/>
  <c r="M271" i="3"/>
  <c r="M263" i="3"/>
  <c r="M255" i="3"/>
  <c r="M247" i="3"/>
  <c r="M326" i="3"/>
  <c r="M318" i="3"/>
  <c r="M310" i="3"/>
  <c r="M302" i="3"/>
  <c r="M294" i="3"/>
  <c r="M286" i="3"/>
  <c r="M278" i="3"/>
  <c r="M270" i="3"/>
  <c r="M262" i="3"/>
  <c r="M254" i="3"/>
  <c r="M246" i="3"/>
  <c r="M309" i="3"/>
  <c r="M301" i="3"/>
  <c r="M285" i="3"/>
  <c r="M269" i="3"/>
  <c r="M253" i="3"/>
  <c r="M306" i="3"/>
  <c r="M274" i="3"/>
  <c r="M250" i="3"/>
  <c r="BM55" i="2"/>
  <c r="BM66" i="2"/>
  <c r="P248" i="3"/>
  <c r="P253" i="3"/>
  <c r="P258" i="3"/>
  <c r="P252" i="3"/>
  <c r="P257" i="3"/>
  <c r="P249" i="3"/>
  <c r="P259" i="3"/>
  <c r="P247" i="3"/>
  <c r="P246" i="3"/>
  <c r="P251" i="3"/>
  <c r="P255" i="3"/>
  <c r="P250" i="3"/>
  <c r="P254" i="3"/>
  <c r="BG106" i="2" l="1"/>
  <c r="BG59" i="2"/>
  <c r="BG108" i="2"/>
  <c r="BG105" i="2"/>
  <c r="BG68" i="2"/>
  <c r="BI67" i="2"/>
  <c r="BM67" i="2"/>
  <c r="BL67" i="2"/>
  <c r="BH67" i="2"/>
  <c r="CN57" i="2"/>
  <c r="CW54" i="2"/>
  <c r="CW55" i="2" s="1"/>
  <c r="CO66" i="2"/>
  <c r="BG67" i="2"/>
  <c r="CN55" i="2"/>
  <c r="CN67" i="2" s="1"/>
  <c r="BK55" i="2"/>
  <c r="BK66" i="2"/>
  <c r="CN106" i="2" l="1"/>
  <c r="CN105" i="2"/>
  <c r="CN68" i="2"/>
  <c r="BL106" i="2"/>
  <c r="BL108" i="2"/>
  <c r="BL59" i="2"/>
  <c r="BL105" i="2"/>
  <c r="BL68" i="2"/>
  <c r="CO57" i="2"/>
  <c r="BK106" i="2"/>
  <c r="BK108" i="2"/>
  <c r="BK59" i="2"/>
  <c r="BK105" i="2"/>
  <c r="BK68" i="2"/>
  <c r="BI106" i="2"/>
  <c r="BI59" i="2"/>
  <c r="BI108" i="2"/>
  <c r="BI105" i="2"/>
  <c r="BI68" i="2"/>
  <c r="BH106" i="2"/>
  <c r="BH59" i="2"/>
  <c r="BH108" i="2"/>
  <c r="CN108" i="2" s="1"/>
  <c r="BH105" i="2"/>
  <c r="BH68" i="2"/>
  <c r="BM106" i="2"/>
  <c r="BM108" i="2"/>
  <c r="BM59" i="2"/>
  <c r="BM105" i="2"/>
  <c r="BM68" i="2"/>
  <c r="CW56" i="2"/>
  <c r="CW57" i="2" s="1"/>
  <c r="BK67" i="2"/>
  <c r="CO55" i="2"/>
  <c r="CO67" i="2" s="1"/>
  <c r="CQ75" i="2" s="1"/>
  <c r="CN59" i="2" l="1"/>
  <c r="CO59" i="2"/>
  <c r="CO108" i="2"/>
  <c r="CO106" i="2"/>
  <c r="CO105" i="2"/>
  <c r="CO68" i="2"/>
  <c r="CW68" i="2"/>
  <c r="CW70" i="2"/>
  <c r="CX54" i="2" l="1"/>
  <c r="CX55" i="2" s="1"/>
  <c r="CX56" i="2" l="1"/>
  <c r="CX57" i="2" s="1"/>
  <c r="CX68" i="2" l="1"/>
  <c r="CX70" i="2"/>
  <c r="CY54" i="2" l="1"/>
  <c r="CY55" i="2" s="1"/>
  <c r="CY56" i="2" l="1"/>
  <c r="CY57" i="2" s="1"/>
  <c r="CZ57" i="2" l="1"/>
  <c r="DA57" i="2" s="1"/>
  <c r="DB57" i="2" s="1"/>
  <c r="DC57" i="2" s="1"/>
  <c r="DD57" i="2" s="1"/>
  <c r="DE57" i="2" s="1"/>
  <c r="DF57" i="2" s="1"/>
  <c r="DG57" i="2" s="1"/>
  <c r="DH57" i="2" s="1"/>
  <c r="DI57" i="2" s="1"/>
  <c r="DJ57" i="2" s="1"/>
  <c r="DK57" i="2" s="1"/>
  <c r="DL57" i="2" s="1"/>
  <c r="DM57" i="2" s="1"/>
  <c r="DN57" i="2" s="1"/>
  <c r="DO57" i="2" s="1"/>
  <c r="DP57" i="2" s="1"/>
  <c r="DQ57" i="2" s="1"/>
  <c r="DR57" i="2" s="1"/>
  <c r="DS57" i="2" s="1"/>
  <c r="DT57" i="2" s="1"/>
  <c r="DU57" i="2" s="1"/>
  <c r="DV57" i="2" s="1"/>
  <c r="DW57" i="2" s="1"/>
  <c r="DX57" i="2" s="1"/>
  <c r="DY57" i="2" s="1"/>
  <c r="DZ57" i="2" s="1"/>
  <c r="EA57" i="2" s="1"/>
  <c r="EB57" i="2" s="1"/>
  <c r="EC57" i="2" s="1"/>
  <c r="ED57" i="2" s="1"/>
  <c r="EE57" i="2" s="1"/>
  <c r="EF57" i="2" s="1"/>
  <c r="EG57" i="2" s="1"/>
  <c r="EH57" i="2" s="1"/>
  <c r="EI57" i="2" s="1"/>
  <c r="EJ57" i="2" s="1"/>
  <c r="EK57" i="2" s="1"/>
  <c r="EL57" i="2" s="1"/>
  <c r="EM57" i="2" s="1"/>
  <c r="EN57" i="2" s="1"/>
  <c r="EO57" i="2" s="1"/>
  <c r="EP57" i="2" s="1"/>
  <c r="EQ57" i="2" s="1"/>
  <c r="ER57" i="2" s="1"/>
  <c r="ES57" i="2" s="1"/>
  <c r="ET57" i="2" s="1"/>
  <c r="EU57" i="2" s="1"/>
  <c r="EV57" i="2" s="1"/>
  <c r="CY68" i="2"/>
  <c r="CY70" i="2"/>
  <c r="CY79" i="2" l="1"/>
  <c r="CY81" i="2" s="1"/>
  <c r="CY83" i="2" s="1"/>
  <c r="CZ83" i="2" s="1"/>
  <c r="CX84" i="2" l="1" a="1"/>
  <c r="CX84" i="2" s="1"/>
  <c r="W59" i="2" l="1"/>
  <c r="CE59" i="2" s="1"/>
  <c r="AA59" i="2"/>
  <c r="CF59" i="2" s="1"/>
  <c r="S59" i="2"/>
  <c r="CD59" i="2" s="1"/>
  <c r="CC57" i="2"/>
  <c r="CC68" i="2" s="1"/>
  <c r="O108" i="2"/>
  <c r="CC108" i="2" s="1"/>
  <c r="C59" i="2"/>
  <c r="BZ59" i="2" s="1"/>
  <c r="K59" i="2"/>
  <c r="CB59" i="2" s="1"/>
  <c r="AE108" i="2"/>
  <c r="CG108" i="2" s="1"/>
  <c r="AI108" i="2"/>
  <c r="CF57" i="2"/>
  <c r="CF68" i="2" s="1"/>
  <c r="W108" i="2"/>
  <c r="CE108" i="2" s="1"/>
  <c r="BZ68" i="2"/>
  <c r="BZ57" i="2"/>
  <c r="CG68" i="2"/>
  <c r="CG57" i="2"/>
  <c r="D59" i="2"/>
  <c r="D68" i="2"/>
  <c r="D108" i="2"/>
  <c r="J68" i="2"/>
  <c r="J108" i="2"/>
  <c r="J59" i="2"/>
  <c r="C108" i="2"/>
  <c r="BZ108" i="2" s="1"/>
  <c r="AE68" i="2"/>
  <c r="T59" i="2"/>
  <c r="T68" i="2"/>
  <c r="T108" i="2"/>
  <c r="E59" i="2"/>
  <c r="E68" i="2"/>
  <c r="E108" i="2"/>
  <c r="G108" i="2"/>
  <c r="AE59" i="2"/>
  <c r="CG59" i="2" s="1"/>
  <c r="R68" i="2"/>
  <c r="R59" i="2"/>
  <c r="R108" i="2"/>
  <c r="V108" i="2"/>
  <c r="V68" i="2"/>
  <c r="V59" i="2"/>
  <c r="AH59" i="2"/>
  <c r="AH108" i="2"/>
  <c r="AH68" i="2"/>
  <c r="P108" i="2"/>
  <c r="P59" i="2"/>
  <c r="CC59" i="2" s="1"/>
  <c r="P68" i="2"/>
  <c r="F68" i="2"/>
  <c r="F59" i="2"/>
  <c r="F108" i="2"/>
  <c r="S108" i="2"/>
  <c r="CD108" i="2" s="1"/>
  <c r="O59" i="2"/>
  <c r="AC108" i="2"/>
  <c r="AC68" i="2"/>
  <c r="AC59" i="2"/>
  <c r="I108" i="2"/>
  <c r="I68" i="2"/>
  <c r="I59" i="2"/>
  <c r="AK68" i="2"/>
  <c r="AK108" i="2"/>
  <c r="AK59" i="2"/>
  <c r="N68" i="2"/>
  <c r="N59" i="2"/>
  <c r="N108" i="2"/>
  <c r="AA68" i="2"/>
  <c r="M108" i="2"/>
  <c r="M59" i="2"/>
  <c r="M68" i="2"/>
  <c r="AD68" i="2"/>
  <c r="AD59" i="2"/>
  <c r="AD108" i="2"/>
  <c r="CB57" i="2"/>
  <c r="CB68" i="2" s="1"/>
  <c r="L59" i="2"/>
  <c r="L68" i="2"/>
  <c r="L108" i="2"/>
  <c r="CB108" i="2" s="1"/>
  <c r="AI68" i="2"/>
  <c r="AI59" i="2"/>
  <c r="CA68" i="2"/>
  <c r="CA57" i="2"/>
  <c r="AF59" i="2"/>
  <c r="AF108" i="2"/>
  <c r="AF68" i="2"/>
  <c r="G68" i="2"/>
  <c r="CD57" i="2"/>
  <c r="CD68" i="2" s="1"/>
  <c r="X68" i="2"/>
  <c r="X59" i="2"/>
  <c r="X108" i="2"/>
  <c r="Z108" i="2"/>
  <c r="Z59" i="2"/>
  <c r="Z68" i="2"/>
  <c r="K108" i="2"/>
  <c r="Q68" i="2"/>
  <c r="Q59" i="2"/>
  <c r="Q108" i="2"/>
  <c r="AA108" i="2"/>
  <c r="CF108" i="2"/>
  <c r="C68" i="2"/>
  <c r="K68" i="2"/>
  <c r="AB68" i="2"/>
  <c r="AB108" i="2"/>
  <c r="AB59" i="2"/>
  <c r="AG68" i="2"/>
  <c r="AG108" i="2"/>
  <c r="AG59" i="2"/>
  <c r="CE57" i="2"/>
  <c r="CE68" i="2" s="1"/>
  <c r="S68" i="2"/>
  <c r="U68" i="2"/>
  <c r="U59" i="2"/>
  <c r="U108" i="2"/>
  <c r="AJ68" i="2"/>
  <c r="AJ108" i="2"/>
  <c r="AJ59" i="2"/>
  <c r="H59" i="2"/>
  <c r="H108" i="2"/>
  <c r="CA108" i="2" s="1"/>
  <c r="H68" i="2"/>
  <c r="W68" i="2"/>
  <c r="G59" i="2"/>
  <c r="CA59" i="2"/>
  <c r="Y68" i="2"/>
  <c r="Y59" i="2"/>
  <c r="Y108" i="2"/>
  <c r="O68" i="2"/>
  <c r="AF52" i="2" l="1"/>
  <c r="AL50" i="2"/>
  <c r="AJ50" i="2"/>
  <c r="P50" i="2"/>
  <c r="AE50" i="2"/>
  <c r="CG50" i="2"/>
  <c r="CG63" i="2"/>
  <c r="X50" i="2"/>
  <c r="G52" i="2"/>
  <c r="G53" i="2"/>
  <c r="G55" i="2"/>
  <c r="G67" i="2"/>
  <c r="N50" i="2"/>
  <c r="F52" i="2"/>
  <c r="F53" i="2"/>
  <c r="F55" i="2"/>
  <c r="F67" i="2"/>
  <c r="Q50" i="2"/>
  <c r="H50" i="2"/>
  <c r="G66" i="2"/>
  <c r="V52" i="2"/>
  <c r="V53" i="2"/>
  <c r="V55" i="2"/>
  <c r="V67" i="2"/>
  <c r="N63" i="2"/>
  <c r="N52" i="2"/>
  <c r="C52" i="2"/>
  <c r="C53" i="2"/>
  <c r="BZ53" i="2"/>
  <c r="L52" i="2"/>
  <c r="Y52" i="2"/>
  <c r="W52" i="2"/>
  <c r="AL52" i="2"/>
  <c r="H52" i="2"/>
  <c r="W65" i="2"/>
  <c r="AA52" i="2"/>
  <c r="O52" i="2"/>
  <c r="AI52" i="2"/>
  <c r="I52" i="2"/>
  <c r="I53" i="2"/>
  <c r="CF52" i="2"/>
  <c r="AA65" i="2"/>
  <c r="T52" i="2"/>
  <c r="AG50" i="2"/>
  <c r="F50" i="2"/>
  <c r="AG63" i="2"/>
  <c r="C66" i="2"/>
  <c r="T53" i="2"/>
  <c r="T66" i="2"/>
  <c r="P63" i="2"/>
  <c r="V65" i="2"/>
  <c r="I50" i="2"/>
  <c r="AI53" i="2"/>
  <c r="CH53" i="2"/>
  <c r="CH66" i="2"/>
  <c r="AF65" i="2"/>
  <c r="AJ52" i="2"/>
  <c r="AJ53" i="2"/>
  <c r="AJ55" i="2"/>
  <c r="AJ67" i="2"/>
  <c r="S50" i="2"/>
  <c r="CD50" i="2"/>
  <c r="CD63" i="2"/>
  <c r="K52" i="2"/>
  <c r="CB52" i="2"/>
  <c r="T55" i="2"/>
  <c r="CA53" i="2"/>
  <c r="BZ66" i="2"/>
  <c r="Q52" i="2"/>
  <c r="Q53" i="2"/>
  <c r="Q55" i="2"/>
  <c r="Q67" i="2"/>
  <c r="AF50" i="2"/>
  <c r="CB65" i="2"/>
  <c r="D52" i="2"/>
  <c r="CA66" i="2"/>
  <c r="Y65" i="2"/>
  <c r="Q65" i="2"/>
  <c r="AL53" i="2"/>
  <c r="AL55" i="2"/>
  <c r="AL57" i="2"/>
  <c r="AJ66" i="2"/>
  <c r="O65" i="2"/>
  <c r="AC52" i="2"/>
  <c r="AH50" i="2"/>
  <c r="CF65" i="2"/>
  <c r="AG52" i="2"/>
  <c r="U50" i="2"/>
  <c r="L53" i="2"/>
  <c r="T67" i="2"/>
  <c r="AL68" i="2"/>
  <c r="K50" i="2"/>
  <c r="CB50" i="2"/>
  <c r="CB63" i="2"/>
  <c r="AI50" i="2"/>
  <c r="CH50" i="2"/>
  <c r="CH63" i="2"/>
  <c r="S63" i="2"/>
  <c r="G50" i="2"/>
  <c r="CA50" i="2"/>
  <c r="CA63" i="2"/>
  <c r="AB50" i="2"/>
  <c r="K53" i="2"/>
  <c r="CB53" i="2"/>
  <c r="J50" i="2"/>
  <c r="N53" i="2"/>
  <c r="N55" i="2"/>
  <c r="N67" i="2"/>
  <c r="CB66" i="2"/>
  <c r="K55" i="2"/>
  <c r="CB55" i="2"/>
  <c r="CB67" i="2"/>
  <c r="CH52" i="2"/>
  <c r="X63" i="2"/>
  <c r="R50" i="2"/>
  <c r="AC50" i="2"/>
  <c r="W53" i="2"/>
  <c r="W55" i="2"/>
  <c r="AF53" i="2"/>
  <c r="AF55" i="2"/>
  <c r="AF67" i="2"/>
  <c r="AE52" i="2"/>
  <c r="AE53" i="2"/>
  <c r="AE55" i="2"/>
  <c r="CG55" i="2"/>
  <c r="CH65" i="2"/>
  <c r="L66" i="2"/>
  <c r="AC53" i="2"/>
  <c r="P52" i="2"/>
  <c r="P53" i="2"/>
  <c r="P55" i="2"/>
  <c r="P67" i="2"/>
  <c r="M50" i="2"/>
  <c r="F65" i="2"/>
  <c r="AH52" i="2"/>
  <c r="AH53" i="2"/>
  <c r="AH55" i="2"/>
  <c r="W50" i="2"/>
  <c r="AL65" i="2"/>
  <c r="AE67" i="2"/>
  <c r="I65" i="2"/>
  <c r="E52" i="2"/>
  <c r="E53" i="2"/>
  <c r="E55" i="2"/>
  <c r="E67" i="2"/>
  <c r="AK50" i="2"/>
  <c r="AG53" i="2"/>
  <c r="CG52" i="2"/>
  <c r="AG55" i="2"/>
  <c r="AG67" i="2"/>
  <c r="CE55" i="2"/>
  <c r="CA55" i="2"/>
  <c r="D53" i="2"/>
  <c r="D55" i="2"/>
  <c r="D67" i="2"/>
  <c r="BZ52" i="2"/>
  <c r="V66" i="2"/>
  <c r="M52" i="2"/>
  <c r="M53" i="2"/>
  <c r="M66" i="2"/>
  <c r="Z50" i="2"/>
  <c r="Z63" i="2"/>
  <c r="CE53" i="2"/>
  <c r="CE66" i="2"/>
  <c r="O50" i="2"/>
  <c r="CC50" i="2"/>
  <c r="CC63" i="2"/>
  <c r="O53" i="2"/>
  <c r="O55" i="2"/>
  <c r="CC55" i="2"/>
  <c r="CC67" i="2"/>
  <c r="N65" i="2"/>
  <c r="D65" i="2"/>
  <c r="P65" i="2"/>
  <c r="F66" i="2"/>
  <c r="L55" i="2"/>
  <c r="L67" i="2"/>
  <c r="I66" i="2"/>
  <c r="H53" i="2"/>
  <c r="CA52" i="2"/>
  <c r="AC55" i="2"/>
  <c r="AC67" i="2"/>
  <c r="AI63" i="2"/>
  <c r="O66" i="2"/>
  <c r="Y53" i="2"/>
  <c r="AL66" i="2"/>
  <c r="CA67" i="2"/>
  <c r="AF66" i="2"/>
  <c r="U63" i="2"/>
  <c r="BZ65" i="2"/>
  <c r="S52" i="2"/>
  <c r="S53" i="2"/>
  <c r="S65" i="2"/>
  <c r="S55" i="2"/>
  <c r="K65" i="2"/>
  <c r="CC52" i="2"/>
  <c r="M63" i="2"/>
  <c r="N66" i="2"/>
  <c r="AF63" i="2"/>
  <c r="E50" i="2"/>
  <c r="X52" i="2"/>
  <c r="X53" i="2"/>
  <c r="X55" i="2"/>
  <c r="K67" i="2"/>
  <c r="W66" i="2"/>
  <c r="CA65" i="2"/>
  <c r="C65" i="2"/>
  <c r="AD50" i="2"/>
  <c r="CD53" i="2"/>
  <c r="CD66" i="2"/>
  <c r="H65" i="2"/>
  <c r="R63" i="2"/>
  <c r="L50" i="2"/>
  <c r="AC63" i="2"/>
  <c r="V50" i="2"/>
  <c r="AK52" i="2"/>
  <c r="AK53" i="2"/>
  <c r="AK55" i="2"/>
  <c r="AK67" i="2"/>
  <c r="U52" i="2"/>
  <c r="U53" i="2"/>
  <c r="U55" i="2"/>
  <c r="U67" i="2"/>
  <c r="C50" i="2"/>
  <c r="R52" i="2"/>
  <c r="R53" i="2"/>
  <c r="R55" i="2"/>
  <c r="AI55" i="2"/>
  <c r="AI67" i="2"/>
  <c r="AA50" i="2"/>
  <c r="AL63" i="2"/>
  <c r="Z52" i="2"/>
  <c r="Z53" i="2"/>
  <c r="AK65" i="2"/>
  <c r="Z66" i="2"/>
  <c r="CE67" i="2"/>
  <c r="X66" i="2"/>
  <c r="L65" i="2"/>
  <c r="AB63" i="2"/>
  <c r="AH65" i="2"/>
  <c r="G63" i="2"/>
  <c r="Q66" i="2"/>
  <c r="I63" i="2"/>
  <c r="K66" i="2"/>
  <c r="CE52" i="2"/>
  <c r="AB52" i="2"/>
  <c r="M55" i="2"/>
  <c r="Z55" i="2"/>
  <c r="Z67" i="2"/>
  <c r="AB53" i="2"/>
  <c r="AB66" i="2"/>
  <c r="C55" i="2"/>
  <c r="BZ55" i="2"/>
  <c r="R66" i="2"/>
  <c r="Z65" i="2"/>
  <c r="E63" i="2"/>
  <c r="X67" i="2"/>
  <c r="AJ63" i="2"/>
  <c r="AL59" i="2"/>
  <c r="AA53" i="2"/>
  <c r="AD52" i="2"/>
  <c r="AD53" i="2"/>
  <c r="AD55" i="2"/>
  <c r="U65" i="2"/>
  <c r="CD52" i="2"/>
  <c r="C67" i="2"/>
  <c r="AA55" i="2"/>
  <c r="CF55" i="2"/>
  <c r="AE66" i="2"/>
  <c r="AK63" i="2"/>
  <c r="AJ65" i="2"/>
  <c r="W63" i="2"/>
  <c r="AI65" i="2"/>
  <c r="L63" i="2"/>
  <c r="J52" i="2"/>
  <c r="J53" i="2"/>
  <c r="J55" i="2"/>
  <c r="J67" i="2"/>
  <c r="CF50" i="2"/>
  <c r="U66" i="2"/>
  <c r="CF63" i="2"/>
  <c r="CG53" i="2"/>
  <c r="J66" i="2"/>
  <c r="AL108" i="2"/>
  <c r="H66" i="2"/>
  <c r="T50" i="2"/>
  <c r="AC65" i="2"/>
  <c r="AC66" i="2"/>
  <c r="Y55" i="2"/>
  <c r="AA66" i="2"/>
  <c r="O67" i="2"/>
  <c r="CH55" i="2"/>
  <c r="CH67" i="2"/>
  <c r="CH57" i="2"/>
  <c r="CH68" i="2"/>
  <c r="CG65" i="2"/>
  <c r="AG66" i="2"/>
  <c r="C63" i="2"/>
  <c r="AA67" i="2"/>
  <c r="AD65" i="2"/>
  <c r="T65" i="2"/>
  <c r="AH67" i="2"/>
  <c r="BZ67" i="2"/>
  <c r="J63" i="2"/>
  <c r="P66" i="2"/>
  <c r="M65" i="2"/>
  <c r="V63" i="2"/>
  <c r="M67" i="2"/>
  <c r="AD66" i="2"/>
  <c r="CD55" i="2"/>
  <c r="CD67" i="2"/>
  <c r="R65" i="2"/>
  <c r="CF53" i="2"/>
  <c r="CF66" i="2"/>
  <c r="T63" i="2"/>
  <c r="I55" i="2"/>
  <c r="I67" i="2"/>
  <c r="Y50" i="2"/>
  <c r="CF67" i="2"/>
  <c r="H63" i="2"/>
  <c r="AH66" i="2"/>
  <c r="S66" i="2"/>
  <c r="AG65" i="2"/>
  <c r="AI66" i="2"/>
  <c r="AH63" i="2"/>
  <c r="CD65" i="2"/>
  <c r="F63" i="2"/>
  <c r="Y63" i="2"/>
  <c r="CC53" i="2"/>
  <c r="CC66" i="2"/>
  <c r="E65" i="2"/>
  <c r="AB55" i="2"/>
  <c r="AB67" i="2"/>
  <c r="CE65" i="2"/>
  <c r="AA63" i="2"/>
  <c r="AB65" i="2"/>
  <c r="AK66" i="2"/>
  <c r="AD67" i="2"/>
  <c r="J65" i="2"/>
  <c r="Q63" i="2"/>
  <c r="G65" i="2"/>
  <c r="AE63" i="2"/>
  <c r="CE50" i="2"/>
  <c r="D50" i="2"/>
  <c r="AL67" i="2"/>
  <c r="BZ50" i="2"/>
  <c r="BZ63" i="2"/>
  <c r="W67" i="2"/>
  <c r="CG67" i="2"/>
  <c r="AE65" i="2"/>
  <c r="E66" i="2"/>
  <c r="S67" i="2"/>
  <c r="CC65" i="2"/>
  <c r="H55" i="2"/>
  <c r="H67" i="2"/>
  <c r="D66" i="2"/>
  <c r="O63" i="2"/>
  <c r="Y66" i="2"/>
  <c r="AD63" i="2"/>
  <c r="Y67" i="2"/>
  <c r="K63" i="2"/>
  <c r="R67" i="2"/>
  <c r="X65" i="2"/>
  <c r="CG66" i="2"/>
  <c r="D63" i="2"/>
  <c r="CE6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52F28C-26A6-4078-A46D-A344667A0F57}" keepAlive="1" name="Query - Table 2" description="Connection to the 'Table 2' query in the workbook." type="5" refreshedVersion="8" background="1" saveData="1">
    <dbPr connection="Provider=Microsoft.Mashup.OleDb.1;Data Source=$Workbook$;Location=&quot;Table 2&quot;;Extended Properties=&quot;&quot;" command="SELECT * FROM [Table 2]"/>
  </connection>
  <connection id="2" xr16:uid="{AF924052-337F-4FCA-8F7D-3F348153BC92}" keepAlive="1" name="Query - Table 2 (2)" description="Connection to the 'Table 2 (2)' query in the workbook." type="5" refreshedVersion="8" background="1" saveData="1">
    <dbPr connection="Provider=Microsoft.Mashup.OleDb.1;Data Source=$Workbook$;Location=&quot;Table 2 (2)&quot;;Extended Properties=&quot;&quot;" command="SELECT * FROM [Table 2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<sst xmlns="http://schemas.openxmlformats.org/spreadsheetml/2006/main" count="4881" uniqueCount="4102">
  <si>
    <t xml:space="preserve">Price </t>
  </si>
  <si>
    <t>SO</t>
  </si>
  <si>
    <t>MC</t>
  </si>
  <si>
    <t>Cash</t>
  </si>
  <si>
    <t>Debt</t>
  </si>
  <si>
    <t>EV</t>
  </si>
  <si>
    <t>Investor Relations Contact:</t>
  </si>
  <si>
    <t>SEC filings</t>
  </si>
  <si>
    <t>Godel Terminal</t>
  </si>
  <si>
    <t>Company Overview:</t>
  </si>
  <si>
    <t>[Bold Title]</t>
  </si>
  <si>
    <t>Line Titles</t>
  </si>
  <si>
    <t>&lt;-- General</t>
  </si>
  <si>
    <t>&lt;-- Info</t>
  </si>
  <si>
    <t>Institutional Ownership Snapshot (4/14/2025)</t>
  </si>
  <si>
    <t>Notes:</t>
  </si>
  <si>
    <t>[X]</t>
  </si>
  <si>
    <t>[Y]</t>
  </si>
  <si>
    <t>[Z]</t>
  </si>
  <si>
    <t>Close</t>
  </si>
  <si>
    <t>High</t>
  </si>
  <si>
    <t>Low</t>
  </si>
  <si>
    <t>Open</t>
  </si>
  <si>
    <t>Volume</t>
  </si>
  <si>
    <t>UTC Date</t>
  </si>
  <si>
    <t>Change</t>
  </si>
  <si>
    <t>Min</t>
  </si>
  <si>
    <t>Max</t>
  </si>
  <si>
    <t>Mean μ</t>
  </si>
  <si>
    <t>Median</t>
  </si>
  <si>
    <t>SD σ</t>
  </si>
  <si>
    <t xml:space="preserve">  3σ 1-Day Δ: ±</t>
  </si>
  <si>
    <t>β (1-year avg.)</t>
  </si>
  <si>
    <t>&lt;- Sortino Ratio (Downside Risk Adjusted Return)</t>
  </si>
  <si>
    <r>
      <rPr>
        <i/>
        <sz val="11"/>
        <color theme="1"/>
        <rFont val="Calibre"/>
      </rPr>
      <t>n</t>
    </r>
    <r>
      <rPr>
        <sz val="11"/>
        <color theme="1"/>
        <rFont val="Calibre"/>
      </rPr>
      <t xml:space="preserve"> =</t>
    </r>
  </si>
  <si>
    <t>Histogram Data</t>
  </si>
  <si>
    <t>Distribution Overlay</t>
  </si>
  <si>
    <t>SD Lines</t>
  </si>
  <si>
    <t>Bin</t>
  </si>
  <si>
    <t>Frequency</t>
  </si>
  <si>
    <r>
      <t xml:space="preserve"> (X) 1-Day</t>
    </r>
    <r>
      <rPr>
        <b/>
        <i/>
        <sz val="11"/>
        <color theme="1"/>
        <rFont val="Calibri"/>
        <family val="2"/>
        <scheme val="minor"/>
      </rPr>
      <t xml:space="preserve"> Δ </t>
    </r>
    <r>
      <rPr>
        <i/>
        <sz val="11"/>
        <color theme="1"/>
        <rFont val="Calibri"/>
        <family val="2"/>
        <scheme val="minor"/>
      </rPr>
      <t xml:space="preserve"> </t>
    </r>
  </si>
  <si>
    <t xml:space="preserve">(Y) Pop. Density </t>
  </si>
  <si>
    <t>X</t>
  </si>
  <si>
    <t>Y</t>
  </si>
  <si>
    <t>Q1 2009</t>
  </si>
  <si>
    <t>Q1 2010</t>
  </si>
  <si>
    <t>Q2 2010</t>
  </si>
  <si>
    <t>Q3 2010</t>
  </si>
  <si>
    <t>Q4 2010</t>
  </si>
  <si>
    <t>Q1 2011</t>
  </si>
  <si>
    <t>Q2 2011</t>
  </si>
  <si>
    <t>Q3 2011</t>
  </si>
  <si>
    <t>Q4 2011</t>
  </si>
  <si>
    <t>Q1 2012</t>
  </si>
  <si>
    <t>Q2 2012</t>
  </si>
  <si>
    <t>Q3 2012</t>
  </si>
  <si>
    <t>Q4 2012</t>
  </si>
  <si>
    <t>Q1 2013</t>
  </si>
  <si>
    <t>Q2 2013</t>
  </si>
  <si>
    <t>Q3 2013</t>
  </si>
  <si>
    <t>Q4 2013</t>
  </si>
  <si>
    <t>Q1 2014</t>
  </si>
  <si>
    <t>Q2 2014</t>
  </si>
  <si>
    <t>Q3 2014</t>
  </si>
  <si>
    <t>Q4 2014</t>
  </si>
  <si>
    <t>Q2 2015</t>
  </si>
  <si>
    <t>Q3 2015</t>
  </si>
  <si>
    <t>Q4 2015</t>
  </si>
  <si>
    <t>Q1 2016</t>
  </si>
  <si>
    <t>Q2 2016</t>
  </si>
  <si>
    <t>Q3 2016</t>
  </si>
  <si>
    <t>Q4 2016</t>
  </si>
  <si>
    <t>Q1 2017</t>
  </si>
  <si>
    <t>Q2 2017</t>
  </si>
  <si>
    <t>Q3 2017</t>
  </si>
  <si>
    <t>Q4 2017</t>
  </si>
  <si>
    <t>Q1 2018</t>
  </si>
  <si>
    <t>Q2 2018</t>
  </si>
  <si>
    <t>Q3 2018</t>
  </si>
  <si>
    <t>Q4 2018</t>
  </si>
  <si>
    <t>Q1 2019</t>
  </si>
  <si>
    <t>Q2 2019</t>
  </si>
  <si>
    <t>Q3 2019</t>
  </si>
  <si>
    <t>Q4 2019</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</si>
  <si>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</si>
  <si>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</si>
  <si>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</si>
  <si>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</si>
  <si>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</si>
  <si>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</si>
  <si>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</si>
  <si>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</si>
  <si>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</si>
  <si>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</si>
  <si>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</si>
  <si>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</si>
  <si>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</si>
  <si>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</si>
  <si>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</si>
  <si>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</si>
  <si>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</si>
  <si>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</si>
  <si>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Q3 2024</t>
  </si>
  <si>
    <t>Q4 2024</t>
  </si>
  <si>
    <t>Q1 2025</t>
  </si>
  <si>
    <t>Q2 2025</t>
  </si>
  <si>
    <t>Q3 2025</t>
  </si>
  <si>
    <t>Q4 2025</t>
  </si>
  <si>
    <t>Q2 2026</t>
  </si>
  <si>
    <t>Q3 2026</t>
  </si>
  <si>
    <t>Q4 2026</t>
  </si>
  <si>
    <t>Quarterly</t>
  </si>
  <si>
    <t>Revenues</t>
  </si>
  <si>
    <t>Ttl Revenues</t>
  </si>
  <si>
    <t>U.S. Revenues</t>
  </si>
  <si>
    <t>U.S. Revenue Growth Y/y</t>
  </si>
  <si>
    <t>COGS</t>
  </si>
  <si>
    <t>GP</t>
  </si>
  <si>
    <t>Gross Profit Margin</t>
  </si>
  <si>
    <t>R&amp;D as % of Revenue</t>
  </si>
  <si>
    <t>SG&amp;A as % of Revenue</t>
  </si>
  <si>
    <t>Operating Profit Margin</t>
  </si>
  <si>
    <t>Effective Tax Rate</t>
  </si>
  <si>
    <t>Net Profit Margin</t>
  </si>
  <si>
    <t xml:space="preserve">Cash &amp; CEs </t>
  </si>
  <si>
    <t>ST Investments</t>
  </si>
  <si>
    <t>Current Ratio</t>
  </si>
  <si>
    <t>Quick Ratio</t>
  </si>
  <si>
    <t>Cash Ratio</t>
  </si>
  <si>
    <t>Ttl Asset Turnover</t>
  </si>
  <si>
    <t>Inventory Turnover Ratio</t>
  </si>
  <si>
    <t>Return on Assets</t>
  </si>
  <si>
    <t>Return on Equity</t>
  </si>
  <si>
    <t>CFFO</t>
  </si>
  <si>
    <t>CapEx, net</t>
  </si>
  <si>
    <t>FCF</t>
  </si>
  <si>
    <t>SC</t>
  </si>
  <si>
    <t>FCF per Share</t>
  </si>
  <si>
    <t>Revenues:</t>
  </si>
  <si>
    <t>Earnings Scope:</t>
  </si>
  <si>
    <t>Balance Sheet Scope:</t>
  </si>
  <si>
    <t>[Equity Preformance Compared to Peers]</t>
  </si>
  <si>
    <t>Mean</t>
  </si>
  <si>
    <t>-3σ</t>
  </si>
  <si>
    <t>-2σ</t>
  </si>
  <si>
    <t>-1σ</t>
  </si>
  <si>
    <t>1σ</t>
  </si>
  <si>
    <t>2σ</t>
  </si>
  <si>
    <t>3σ</t>
  </si>
  <si>
    <t xml:space="preserve">Email: </t>
  </si>
  <si>
    <t>&lt;- Sharpe Ratio (Risk Adjusted Return)</t>
  </si>
  <si>
    <t>Earnings Calls</t>
  </si>
  <si>
    <t>Equity Analysis</t>
  </si>
  <si>
    <t>https://app.godelterminal.com/</t>
  </si>
  <si>
    <t>MSFT</t>
  </si>
  <si>
    <t>Microsoft Corp. (MSFT)</t>
  </si>
  <si>
    <t>Founder: Bill Gates</t>
  </si>
  <si>
    <t>Founded: 1975</t>
  </si>
  <si>
    <t>ONE MICROSOFT WAY, REDMOND, WA, 98052-6399</t>
  </si>
  <si>
    <t>Headquarters: Redmond, Washington</t>
  </si>
  <si>
    <t>Current CEO: Satya Nadella</t>
  </si>
  <si>
    <t>Sector: Technology</t>
  </si>
  <si>
    <t>Industry: Software Services</t>
  </si>
  <si>
    <t>IPO: March 13, 1986 -- $777M valuation</t>
  </si>
  <si>
    <t>Employees: 228,000 (Q4'24)</t>
  </si>
  <si>
    <t>Registered Exchange: NASDAQ</t>
  </si>
  <si>
    <t>Phone: (800) 285-7772</t>
  </si>
  <si>
    <t>msft@microsoft.com</t>
  </si>
  <si>
    <t>Investors Relation Department</t>
  </si>
  <si>
    <t>Business Segments and Geographical Info:</t>
  </si>
  <si>
    <t>Microsoft Corporation develops and supports software, services, devices and solutions worldwide</t>
  </si>
  <si>
    <r>
      <t xml:space="preserve">The </t>
    </r>
    <r>
      <rPr>
        <b/>
        <sz val="11"/>
        <color theme="1"/>
        <rFont val="Calibre"/>
      </rPr>
      <t>Productivity and Business Processes</t>
    </r>
    <r>
      <rPr>
        <sz val="11"/>
        <color theme="1"/>
        <rFont val="Calibre"/>
      </rPr>
      <t xml:space="preserve"> segment offers office, exchange, SharePoint, Microsoft Teams, office 365 Security and Compliance, Microsoft viva, and Microsoft 365 copilot</t>
    </r>
  </si>
  <si>
    <r>
      <t xml:space="preserve">The </t>
    </r>
    <r>
      <rPr>
        <b/>
        <sz val="11"/>
        <color theme="1"/>
        <rFont val="Calibre"/>
      </rPr>
      <t>Intelligent Cloud</t>
    </r>
    <r>
      <rPr>
        <sz val="11"/>
        <color theme="1"/>
        <rFont val="Calibre"/>
      </rPr>
      <t xml:space="preserve"> segment offers server products and cloud services, such as </t>
    </r>
    <r>
      <rPr>
        <b/>
        <sz val="11"/>
        <color theme="1"/>
        <rFont val="Calibre"/>
      </rPr>
      <t>Azure</t>
    </r>
    <r>
      <rPr>
        <sz val="11"/>
        <color theme="1"/>
        <rFont val="Calibre"/>
      </rPr>
      <t xml:space="preserve"> and </t>
    </r>
    <r>
      <rPr>
        <b/>
        <sz val="11"/>
        <color theme="1"/>
        <rFont val="Calibre"/>
      </rPr>
      <t>other cloud services</t>
    </r>
    <r>
      <rPr>
        <sz val="11"/>
        <color theme="1"/>
        <rFont val="Calibre"/>
      </rPr>
      <t xml:space="preserve">; </t>
    </r>
    <r>
      <rPr>
        <b/>
        <sz val="11"/>
        <color theme="1"/>
        <rFont val="Calibre"/>
      </rPr>
      <t>SQL</t>
    </r>
    <r>
      <rPr>
        <sz val="11"/>
        <color theme="1"/>
        <rFont val="Calibre"/>
      </rPr>
      <t xml:space="preserve"> and </t>
    </r>
    <r>
      <rPr>
        <b/>
        <sz val="11"/>
        <color theme="1"/>
        <rFont val="Calibre"/>
      </rPr>
      <t>windows server, visual studio, system center,</t>
    </r>
    <r>
      <rPr>
        <sz val="11"/>
        <color theme="1"/>
        <rFont val="Calibre"/>
      </rPr>
      <t xml:space="preserve"> and </t>
    </r>
    <r>
      <rPr>
        <b/>
        <sz val="11"/>
        <color theme="1"/>
        <rFont val="Calibre"/>
      </rPr>
      <t>related client access licenses</t>
    </r>
    <r>
      <rPr>
        <sz val="11"/>
        <color theme="1"/>
        <rFont val="Calibre"/>
      </rPr>
      <t xml:space="preserve">, as well as </t>
    </r>
    <r>
      <rPr>
        <b/>
        <sz val="11"/>
        <color theme="1"/>
        <rFont val="Calibre"/>
      </rPr>
      <t>Nuance</t>
    </r>
    <r>
      <rPr>
        <sz val="11"/>
        <color theme="1"/>
        <rFont val="Calibre"/>
      </rPr>
      <t xml:space="preserve"> and </t>
    </r>
    <r>
      <rPr>
        <b/>
        <sz val="11"/>
        <color theme="1"/>
        <rFont val="Calibre"/>
      </rPr>
      <t>GitHub</t>
    </r>
  </si>
  <si>
    <r>
      <t xml:space="preserve">This segment also provides </t>
    </r>
    <r>
      <rPr>
        <b/>
        <sz val="11"/>
        <color theme="1"/>
        <rFont val="Calibre"/>
      </rPr>
      <t>LinkedIn</t>
    </r>
    <r>
      <rPr>
        <sz val="11"/>
        <color theme="1"/>
        <rFont val="Calibre"/>
      </rPr>
      <t xml:space="preserve">; and dynamics business solutions, including </t>
    </r>
    <r>
      <rPr>
        <b/>
        <sz val="11"/>
        <color theme="1"/>
        <rFont val="Calibre"/>
      </rPr>
      <t>Dynamics 365</t>
    </r>
    <r>
      <rPr>
        <sz val="11"/>
        <color theme="1"/>
        <rFont val="Calibre"/>
      </rPr>
      <t xml:space="preserve">, a </t>
    </r>
    <r>
      <rPr>
        <b/>
        <sz val="11"/>
        <color theme="1"/>
        <rFont val="Calibre"/>
      </rPr>
      <t>set of intelligent, cloud-based applications across ERP, CRM, power apps, and power automate</t>
    </r>
    <r>
      <rPr>
        <sz val="11"/>
        <color theme="1"/>
        <rFont val="Calibre"/>
      </rPr>
      <t xml:space="preserve">; and on-premises </t>
    </r>
    <r>
      <rPr>
        <b/>
        <sz val="11"/>
        <color theme="1"/>
        <rFont val="Calibre"/>
      </rPr>
      <t>ERP</t>
    </r>
    <r>
      <rPr>
        <sz val="11"/>
        <color theme="1"/>
        <rFont val="Calibre"/>
      </rPr>
      <t xml:space="preserve"> and </t>
    </r>
    <r>
      <rPr>
        <b/>
        <sz val="11"/>
        <color theme="1"/>
        <rFont val="Calibre"/>
      </rPr>
      <t>CRM applications</t>
    </r>
  </si>
  <si>
    <r>
      <t xml:space="preserve">Additionally the Productivity and Business Processes segment offers </t>
    </r>
    <r>
      <rPr>
        <b/>
        <sz val="11"/>
        <color theme="1"/>
        <rFont val="Calibre"/>
      </rPr>
      <t>office consumer services</t>
    </r>
    <r>
      <rPr>
        <sz val="11"/>
        <color theme="1"/>
        <rFont val="Calibre"/>
      </rPr>
      <t xml:space="preserve">, such as </t>
    </r>
    <r>
      <rPr>
        <b/>
        <sz val="11"/>
        <color theme="1"/>
        <rFont val="Calibre"/>
      </rPr>
      <t>Microsoft 365 consumer subscriptions, Office licensed on-premises,</t>
    </r>
    <r>
      <rPr>
        <sz val="11"/>
        <color theme="1"/>
        <rFont val="Calibre"/>
      </rPr>
      <t xml:space="preserve"> and </t>
    </r>
    <r>
      <rPr>
        <b/>
        <sz val="11"/>
        <color theme="1"/>
        <rFont val="Calibre"/>
      </rPr>
      <t>other office services</t>
    </r>
  </si>
  <si>
    <r>
      <t xml:space="preserve">Additionally, the  Intelligent Cloud segment offers </t>
    </r>
    <r>
      <rPr>
        <b/>
        <sz val="11"/>
        <color theme="1"/>
        <rFont val="Calibre"/>
      </rPr>
      <t>enterprise services</t>
    </r>
    <r>
      <rPr>
        <sz val="11"/>
        <color theme="1"/>
        <rFont val="Calibre"/>
      </rPr>
      <t xml:space="preserve"> including </t>
    </r>
    <r>
      <rPr>
        <b/>
        <sz val="11"/>
        <color theme="1"/>
        <rFont val="Calibre"/>
      </rPr>
      <t>enterprise support services, industry solutions</t>
    </r>
    <r>
      <rPr>
        <sz val="11"/>
        <color theme="1"/>
        <rFont val="Calibre"/>
      </rPr>
      <t xml:space="preserve">, and nuance </t>
    </r>
    <r>
      <rPr>
        <b/>
        <sz val="11"/>
        <color theme="1"/>
        <rFont val="Calibre"/>
      </rPr>
      <t>professional services</t>
    </r>
  </si>
  <si>
    <t>Microsoft Global Services is a relatively small, yet strategically important contributor to the enterprise</t>
  </si>
  <si>
    <t>Serves as sales on-ramp for enterprise client to partner with Azure / Microsoft services … Consultant acts as liaison between The Company and the prospecting firm looking to partner</t>
  </si>
  <si>
    <t>[Complete hardware-software offering]</t>
  </si>
  <si>
    <r>
      <t xml:space="preserve">Additionally, the Personal Computing segment offers </t>
    </r>
    <r>
      <rPr>
        <b/>
        <sz val="11"/>
        <color theme="1"/>
        <rFont val="Calibre"/>
      </rPr>
      <t>Windows commercial comprising volume licensing</t>
    </r>
    <r>
      <rPr>
        <sz val="11"/>
        <color theme="1"/>
        <rFont val="Calibre"/>
      </rPr>
      <t xml:space="preserve"> of the Windows operating system, </t>
    </r>
    <r>
      <rPr>
        <b/>
        <sz val="11"/>
        <color theme="1"/>
        <rFont val="Calibre"/>
      </rPr>
      <t>windows cloud services</t>
    </r>
    <r>
      <rPr>
        <sz val="11"/>
        <color theme="1"/>
        <rFont val="Calibre"/>
      </rPr>
      <t xml:space="preserve">, and other </t>
    </r>
    <r>
      <rPr>
        <b/>
        <sz val="11"/>
        <color theme="1"/>
        <rFont val="Calibre"/>
      </rPr>
      <t>Windows commercial offerings</t>
    </r>
    <r>
      <rPr>
        <sz val="11"/>
        <color theme="1"/>
        <rFont val="Calibre"/>
      </rPr>
      <t xml:space="preserve">; </t>
    </r>
    <r>
      <rPr>
        <b/>
        <sz val="11"/>
        <color theme="1"/>
        <rFont val="Calibre"/>
      </rPr>
      <t>patent licensing</t>
    </r>
    <r>
      <rPr>
        <sz val="11"/>
        <color theme="1"/>
        <rFont val="Calibre"/>
      </rPr>
      <t xml:space="preserve">; and </t>
    </r>
    <r>
      <rPr>
        <b/>
        <sz val="11"/>
        <color theme="1"/>
        <rFont val="Calibre"/>
      </rPr>
      <t>windows Internet of Things</t>
    </r>
  </si>
  <si>
    <t>This segment also acquires and developes other devices, such as Surface, HoloLens, and PC accessories</t>
  </si>
  <si>
    <t>The Company was founded in 1975 and is headquartered in Redmond, Washington</t>
  </si>
  <si>
    <t>The Company sells its products through OEMs, distributors, and resellers; and directly through digital marketplaces, online, and retail stores</t>
  </si>
  <si>
    <r>
      <t xml:space="preserve">Additionally, this segment provides </t>
    </r>
    <r>
      <rPr>
        <b/>
        <sz val="11"/>
        <color theme="1"/>
        <rFont val="Calibre"/>
      </rPr>
      <t>gaming</t>
    </r>
    <r>
      <rPr>
        <sz val="11"/>
        <color theme="1"/>
        <rFont val="Calibre"/>
      </rPr>
      <t>, which includes</t>
    </r>
    <r>
      <rPr>
        <b/>
        <sz val="11"/>
        <color theme="1"/>
        <rFont val="Calibre"/>
      </rPr>
      <t xml:space="preserve"> Xbox hardware</t>
    </r>
    <r>
      <rPr>
        <sz val="11"/>
        <color theme="1"/>
        <rFont val="Calibre"/>
      </rPr>
      <t xml:space="preserve"> and </t>
    </r>
    <r>
      <rPr>
        <b/>
        <sz val="11"/>
        <color theme="1"/>
        <rFont val="Calibre"/>
      </rPr>
      <t>content</t>
    </r>
    <r>
      <rPr>
        <sz val="11"/>
        <color theme="1"/>
        <rFont val="Calibre"/>
      </rPr>
      <t xml:space="preserve">, and </t>
    </r>
    <r>
      <rPr>
        <b/>
        <sz val="11"/>
        <color theme="1"/>
        <rFont val="Calibre"/>
      </rPr>
      <t>first- and third-party content</t>
    </r>
  </si>
  <si>
    <t>Xbox owns and operates multiple game studio subsidiaries</t>
  </si>
  <si>
    <t>Employee Scope (Q4'24)</t>
  </si>
  <si>
    <t>https://www.sec.gov/edgar/browse/?CIK=789019&amp;owner=exclude</t>
  </si>
  <si>
    <t>Microsoft Homepage</t>
  </si>
  <si>
    <t>Microsoft IR Page</t>
  </si>
  <si>
    <t>https://www.microsoft.com/en-us</t>
  </si>
  <si>
    <t>https://www.microsoft.com/en-us/investor/default</t>
  </si>
  <si>
    <t>https://seekingalpha.com/symbol/MSFT/earnings/transcripts</t>
  </si>
  <si>
    <t>https://stockanalysis.com/stocks/msft/company/</t>
  </si>
  <si>
    <r>
      <rPr>
        <b/>
        <sz val="11"/>
        <color theme="1"/>
        <rFont val="Calibre"/>
      </rPr>
      <t>Xbox game pass</t>
    </r>
    <r>
      <rPr>
        <sz val="11"/>
        <color theme="1"/>
        <rFont val="Calibre"/>
      </rPr>
      <t xml:space="preserve"> and </t>
    </r>
    <r>
      <rPr>
        <b/>
        <sz val="11"/>
        <color theme="1"/>
        <rFont val="Calibre"/>
      </rPr>
      <t>other subscriptions</t>
    </r>
    <r>
      <rPr>
        <sz val="11"/>
        <color theme="1"/>
        <rFont val="Calibre"/>
      </rPr>
      <t xml:space="preserve">, </t>
    </r>
    <r>
      <rPr>
        <b/>
        <sz val="11"/>
        <color theme="1"/>
        <rFont val="Calibre"/>
      </rPr>
      <t>cloud gaming, advertising, third-party disc royalties</t>
    </r>
    <r>
      <rPr>
        <sz val="11"/>
        <color theme="1"/>
        <rFont val="Calibre"/>
      </rPr>
      <t xml:space="preserve">, and </t>
    </r>
    <r>
      <rPr>
        <b/>
        <sz val="11"/>
        <color theme="1"/>
        <rFont val="Calibre"/>
      </rPr>
      <t>other cloud services</t>
    </r>
  </si>
  <si>
    <r>
      <rPr>
        <b/>
        <sz val="11"/>
        <color theme="1"/>
        <rFont val="Calibre"/>
      </rPr>
      <t>Search and news advertising</t>
    </r>
    <r>
      <rPr>
        <sz val="11"/>
        <color theme="1"/>
        <rFont val="Calibre"/>
      </rPr>
      <t xml:space="preserve">, which includes </t>
    </r>
    <r>
      <rPr>
        <b/>
        <sz val="11"/>
        <color theme="1"/>
        <rFont val="Calibre"/>
      </rPr>
      <t xml:space="preserve">Bing, Microsoft News </t>
    </r>
    <r>
      <rPr>
        <sz val="11"/>
        <color theme="1"/>
        <rFont val="Calibre"/>
      </rPr>
      <t xml:space="preserve">and </t>
    </r>
    <r>
      <rPr>
        <b/>
        <sz val="11"/>
        <color theme="1"/>
        <rFont val="Calibre"/>
      </rPr>
      <t>Edge</t>
    </r>
    <r>
      <rPr>
        <sz val="11"/>
        <color theme="1"/>
        <rFont val="Calibre"/>
      </rPr>
      <t xml:space="preserve">, and </t>
    </r>
    <r>
      <rPr>
        <b/>
        <sz val="11"/>
        <color theme="1"/>
        <rFont val="Calibre"/>
      </rPr>
      <t>third-party affiliates</t>
    </r>
  </si>
  <si>
    <t>Fiscal Year: July - June</t>
  </si>
  <si>
    <t>July</t>
  </si>
  <si>
    <t>Sept.</t>
  </si>
  <si>
    <t>Jan.</t>
  </si>
  <si>
    <t>Apr.</t>
  </si>
  <si>
    <t>Mar.</t>
  </si>
  <si>
    <t>MS 365 Commercial Products &amp; Cloud Services</t>
  </si>
  <si>
    <t>Server Products &amp; Cloud Services</t>
  </si>
  <si>
    <t>Gaming</t>
  </si>
  <si>
    <t>LinkedIn</t>
  </si>
  <si>
    <t>Windows &amp; Devices</t>
  </si>
  <si>
    <t>Search &amp; Ads</t>
  </si>
  <si>
    <t xml:space="preserve">Enterprise Partner Consulting </t>
  </si>
  <si>
    <t>Dynamic Products &amp; Cloud Services</t>
  </si>
  <si>
    <t>MS 365 Consumer Products &amp; Cloud Services</t>
  </si>
  <si>
    <t>Other</t>
  </si>
  <si>
    <t>Server Products &amp; Cloud Services Growth Y/y</t>
  </si>
  <si>
    <t>MS 365 Commercial Products &amp; Cloud Services Growth Y/y</t>
  </si>
  <si>
    <t>Gaming Growth Y/y</t>
  </si>
  <si>
    <t>LinkedIn Growth Y/y</t>
  </si>
  <si>
    <t>Windows &amp; Devices Growth Y/y</t>
  </si>
  <si>
    <t>Search &amp; Ads Growth Y/y</t>
  </si>
  <si>
    <t>Enterprise Partner Consulting Growth Y/y</t>
  </si>
  <si>
    <t>Dynamic Products &amp; Cloud Services Growth Y/y</t>
  </si>
  <si>
    <t>MS 365 Consumer Products &amp; Cloud Services Growth Y/y</t>
  </si>
  <si>
    <t>Other Growth Y/y</t>
  </si>
  <si>
    <t>Ttl Revenue Growth Y/y</t>
  </si>
  <si>
    <t>International Revenues</t>
  </si>
  <si>
    <t>International Revenue Growth Y/y</t>
  </si>
  <si>
    <t>Server Products &amp; Cloud Services % of Ttl Revenue</t>
  </si>
  <si>
    <t>MS 365 Commercial Products &amp; Cloud Services % of Ttl Revenue</t>
  </si>
  <si>
    <t>Gaming % of Ttl Revenue</t>
  </si>
  <si>
    <t>LinkedIn % of Ttl Revenue</t>
  </si>
  <si>
    <t>Windows &amp; Devices % of Ttl Revenue</t>
  </si>
  <si>
    <t>Search &amp; Ads % of Ttl Revenue</t>
  </si>
  <si>
    <t>Enterprise Partner Consulting % of Ttl Revenue</t>
  </si>
  <si>
    <t>Dynamic Products &amp; Cloud Services % of Ttl Revenue</t>
  </si>
  <si>
    <t>MS 365 Consumer Products &amp; Cloud Services % of Ttl Revenue</t>
  </si>
  <si>
    <t>Other % of Ttl Revenue</t>
  </si>
  <si>
    <t>R&amp;D</t>
  </si>
  <si>
    <t>Sales &amp; Marketing</t>
  </si>
  <si>
    <t>General and Administrative</t>
  </si>
  <si>
    <t>Operating Income</t>
  </si>
  <si>
    <t>Other Expenses</t>
  </si>
  <si>
    <t>Pretax Income</t>
  </si>
  <si>
    <t>Tax Expenses</t>
  </si>
  <si>
    <t>NI</t>
  </si>
  <si>
    <t>EPS</t>
  </si>
  <si>
    <t>Ttl SG&amp;A</t>
  </si>
  <si>
    <t>A/R</t>
  </si>
  <si>
    <t>Inventories</t>
  </si>
  <si>
    <t>Other Current Assets</t>
  </si>
  <si>
    <t>PP&amp;E</t>
  </si>
  <si>
    <t>LT Operating Lease</t>
  </si>
  <si>
    <t>LT Investments</t>
  </si>
  <si>
    <t>Goodwill</t>
  </si>
  <si>
    <t>Intangibles</t>
  </si>
  <si>
    <t>Other LT Assets</t>
  </si>
  <si>
    <t>Ttl Assets</t>
  </si>
  <si>
    <t>A/P</t>
  </si>
  <si>
    <t>ST Debt</t>
  </si>
  <si>
    <t>Current Portion of LT Debt</t>
  </si>
  <si>
    <t>Accrued Compensation</t>
  </si>
  <si>
    <t>ST Tax Liabilities</t>
  </si>
  <si>
    <t>ST Unearned Revenues</t>
  </si>
  <si>
    <t>Other Current Liabilities</t>
  </si>
  <si>
    <t>LT Debt</t>
  </si>
  <si>
    <t>LT Income Taxes</t>
  </si>
  <si>
    <t>LT Unearned Revenues</t>
  </si>
  <si>
    <t>Deffered Income Taxes</t>
  </si>
  <si>
    <t>Operating Lease Liabilities</t>
  </si>
  <si>
    <t>Other LT Liabilities</t>
  </si>
  <si>
    <t>Ttl Liabilities</t>
  </si>
  <si>
    <t>SE</t>
  </si>
  <si>
    <t>Ttl L + SE</t>
  </si>
  <si>
    <t>Fiscal Year [July - June]</t>
  </si>
  <si>
    <t>Sales &amp; Marketing % of Revenue</t>
  </si>
  <si>
    <t>General and Administrative % of Revenues</t>
  </si>
  <si>
    <t>Revenue Breakdown by Segment</t>
  </si>
  <si>
    <t>—</t>
  </si>
  <si>
    <t>Hungary</t>
  </si>
  <si>
    <t>Video games</t>
  </si>
  <si>
    <t>Nemesys Games</t>
  </si>
  <si>
    <t>United States</t>
  </si>
  <si>
    <t>composable infrastructure</t>
  </si>
  <si>
    <t>Fungible</t>
  </si>
  <si>
    <t>United Kingdom</t>
  </si>
  <si>
    <t>Optical networking</t>
  </si>
  <si>
    <t>Lumenisity</t>
  </si>
  <si>
    <t>Cyberthreat analysis and research specializing</t>
  </si>
  <si>
    <t>Miburo</t>
  </si>
  <si>
    <t>Netherlands</t>
  </si>
  <si>
    <t>Process mining software</t>
  </si>
  <si>
    <t>Minit</t>
  </si>
  <si>
    <t>Israel</t>
  </si>
  <si>
    <t>Marketing analytics</t>
  </si>
  <si>
    <t>Oribi</t>
  </si>
  <si>
    <t>Activision Blizzard</t>
  </si>
  <si>
    <t>Digital Media</t>
  </si>
  <si>
    <t>Xandr</t>
  </si>
  <si>
    <t>Canada</t>
  </si>
  <si>
    <t>Content moderation</t>
  </si>
  <si>
    <t>Two Hat</t>
  </si>
  <si>
    <t>Software</t>
  </si>
  <si>
    <t>Clear Software</t>
  </si>
  <si>
    <t>Productivity</t>
  </si>
  <si>
    <t>Ally.io</t>
  </si>
  <si>
    <t>Education</t>
  </si>
  <si>
    <t>TakeLessons</t>
  </si>
  <si>
    <t>Australia</t>
  </si>
  <si>
    <t>Video-editing software</t>
  </si>
  <si>
    <t>Clipchamp</t>
  </si>
  <si>
    <t>Peer-to-peer network technology</t>
  </si>
  <si>
    <t>Peer5</t>
  </si>
  <si>
    <t>Suplari</t>
  </si>
  <si>
    <t>Cloud infrastructure entitlement management security</t>
  </si>
  <si>
    <t>CloudKnox</t>
  </si>
  <si>
    <t>Cybersecurity ransomware</t>
  </si>
  <si>
    <t>RiskIQ</t>
  </si>
  <si>
    <t>5G Networking</t>
  </si>
  <si>
    <t>AT&amp;T Technology Network Cloud</t>
  </si>
  <si>
    <t>IoT security and embedded devices</t>
  </si>
  <si>
    <t>ReFirm Labs</t>
  </si>
  <si>
    <t>Germany</t>
  </si>
  <si>
    <t>Open source Kubernetes solutions and tools.</t>
  </si>
  <si>
    <t>Kinvolk</t>
  </si>
  <si>
    <t>Speech synthesis and speech recognition</t>
  </si>
  <si>
    <t>Nuance Communications</t>
  </si>
  <si>
    <t>Tech in complex industrial environments</t>
  </si>
  <si>
    <t>The Marsden Group</t>
  </si>
  <si>
    <t>Esports</t>
  </si>
  <si>
    <t>Smash.gg</t>
  </si>
  <si>
    <t>ZeniMax Media</t>
  </si>
  <si>
    <t>Dynamics 365 - SMart vision</t>
  </si>
  <si>
    <t>Orions Systems</t>
  </si>
  <si>
    <t>IoT/OT Security</t>
  </si>
  <si>
    <t>CyberX</t>
  </si>
  <si>
    <t>Data modeling startup</t>
  </si>
  <si>
    <t>ADRM Software</t>
  </si>
  <si>
    <t>Robotic Process Automation</t>
  </si>
  <si>
    <t>Softomotive</t>
  </si>
  <si>
    <t>Metaswitch Networks</t>
  </si>
  <si>
    <t>Affirmed Networks</t>
  </si>
  <si>
    <t>Software and JavaScript modules</t>
  </si>
  <si>
    <t>npm</t>
  </si>
  <si>
    <t>File migration</t>
  </si>
  <si>
    <t>Mover</t>
  </si>
  <si>
    <t>Code analysis tool</t>
  </si>
  <si>
    <t>Semmle</t>
  </si>
  <si>
    <t>Cloud migration</t>
  </si>
  <si>
    <t>Movere</t>
  </si>
  <si>
    <t>Java software optimization</t>
  </si>
  <si>
    <t>jClarity</t>
  </si>
  <si>
    <t>Retail e-commerce improvement</t>
  </si>
  <si>
    <t>PromoteIQ</t>
  </si>
  <si>
    <t>Data privacy and governance service</t>
  </si>
  <si>
    <t>BlueTalon</t>
  </si>
  <si>
    <t>Pull Panda</t>
  </si>
  <si>
    <t>Double Fine Productions</t>
  </si>
  <si>
    <t>AI &amp; machine learning technology</t>
  </si>
  <si>
    <t>Drawbridge</t>
  </si>
  <si>
    <t>Open source tool</t>
  </si>
  <si>
    <t>Dependabot</t>
  </si>
  <si>
    <t>Real-time operating systems</t>
  </si>
  <si>
    <t>Express Logic</t>
  </si>
  <si>
    <t>Database management</t>
  </si>
  <si>
    <t>DataSense</t>
  </si>
  <si>
    <t>Citus Data</t>
  </si>
  <si>
    <t>Social networks for design and development</t>
  </si>
  <si>
    <t>Spectrum</t>
  </si>
  <si>
    <t>Application provisioning and virtualization</t>
  </si>
  <si>
    <t>FSLogix</t>
  </si>
  <si>
    <t>Conversational AI</t>
  </si>
  <si>
    <t>XOXCO</t>
  </si>
  <si>
    <t>Obsidian Entertainment</t>
  </si>
  <si>
    <t>inXile Entertainment</t>
  </si>
  <si>
    <t>Software development and version control platform</t>
  </si>
  <si>
    <t>GitHub</t>
  </si>
  <si>
    <t>Employee engagement</t>
  </si>
  <si>
    <t>Glint</t>
  </si>
  <si>
    <t>Artificial intelligence</t>
  </si>
  <si>
    <t>Lobe</t>
  </si>
  <si>
    <t>Industrial AI platform</t>
  </si>
  <si>
    <t>Bonsai</t>
  </si>
  <si>
    <t>Education, video discussion platform</t>
  </si>
  <si>
    <t>Flipgrid</t>
  </si>
  <si>
    <t>Playground Games</t>
  </si>
  <si>
    <t>Compulsion Games</t>
  </si>
  <si>
    <t>Undead Labs</t>
  </si>
  <si>
    <t>Ninja Theory</t>
  </si>
  <si>
    <t>Semantic Machines</t>
  </si>
  <si>
    <t>Gaming backend service</t>
  </si>
  <si>
    <t>Playfab</t>
  </si>
  <si>
    <t>Data management</t>
  </si>
  <si>
    <t>Avere Systems</t>
  </si>
  <si>
    <t>Cinemagraphic photo app</t>
  </si>
  <si>
    <t>SWNG</t>
  </si>
  <si>
    <t>Virtual reality</t>
  </si>
  <si>
    <t>AltspaceVR</t>
  </si>
  <si>
    <t>Cloud HPC</t>
  </si>
  <si>
    <t>Cycle Computing</t>
  </si>
  <si>
    <t>Cloud business management</t>
  </si>
  <si>
    <t>Cloudyn</t>
  </si>
  <si>
    <t>Cybersecurity</t>
  </si>
  <si>
    <t>Hexadite</t>
  </si>
  <si>
    <t>Intentional programming</t>
  </si>
  <si>
    <t>Intentional Software</t>
  </si>
  <si>
    <t>Container management</t>
  </si>
  <si>
    <t>Deis</t>
  </si>
  <si>
    <t>Sweden</t>
  </si>
  <si>
    <t>3D graphics optimization</t>
  </si>
  <si>
    <t>Simplygon</t>
  </si>
  <si>
    <t>Maluuba</t>
  </si>
  <si>
    <t>Professional social network</t>
  </si>
  <si>
    <t>AI-powered scheduling assistant service</t>
  </si>
  <si>
    <t>Genee</t>
  </si>
  <si>
    <t>Video game streaming</t>
  </si>
  <si>
    <t>Beam</t>
  </si>
  <si>
    <t>Conversation as a service</t>
  </si>
  <si>
    <t>Wand Labs</t>
  </si>
  <si>
    <t>Italy</t>
  </si>
  <si>
    <t>Internet of Things platform</t>
  </si>
  <si>
    <t>Solair</t>
  </si>
  <si>
    <t>Mobile application development</t>
  </si>
  <si>
    <t>Xamarin</t>
  </si>
  <si>
    <t>Music discovery</t>
  </si>
  <si>
    <t>Groove</t>
  </si>
  <si>
    <t>Virtual keyboard</t>
  </si>
  <si>
    <t>SwiftKey</t>
  </si>
  <si>
    <t>Finland</t>
  </si>
  <si>
    <t>Education software</t>
  </si>
  <si>
    <t>Teacher Gaming LLC</t>
  </si>
  <si>
    <t>VoIP Products</t>
  </si>
  <si>
    <t>Event Zero</t>
  </si>
  <si>
    <t>Mobile communications</t>
  </si>
  <si>
    <t>Talko, Inc.</t>
  </si>
  <si>
    <t>Big data analytics</t>
  </si>
  <si>
    <t>Metanautix</t>
  </si>
  <si>
    <t>Data protection</t>
  </si>
  <si>
    <t>Secure Islands Technologies Ltd.</t>
  </si>
  <si>
    <t>MileIQ, a mileage tracking application</t>
  </si>
  <si>
    <t>Mobile Data Labs, Inc.</t>
  </si>
  <si>
    <t>Ireland</t>
  </si>
  <si>
    <t>Video game physics engine</t>
  </si>
  <si>
    <t>Havok</t>
  </si>
  <si>
    <t>Web portal and application lifecycle management solutions</t>
  </si>
  <si>
    <t>Adxstudio Inc.</t>
  </si>
  <si>
    <t>Mobile lock screen software</t>
  </si>
  <si>
    <t>Double Labs, Inc.</t>
  </si>
  <si>
    <t>Organisational analytics</t>
  </si>
  <si>
    <t>VoloMetrix, Inc.</t>
  </si>
  <si>
    <t>Sales-gamification</t>
  </si>
  <si>
    <t>Incent Games, LLC</t>
  </si>
  <si>
    <t>Cloud security</t>
  </si>
  <si>
    <t>Adallom</t>
  </si>
  <si>
    <t>Enterprise field service</t>
  </si>
  <si>
    <t>FieldOne Systems LLC</t>
  </si>
  <si>
    <t>Application management</t>
  </si>
  <si>
    <t>BlueStripe Software</t>
  </si>
  <si>
    <t>Wunderlist to-do list applications</t>
  </si>
  <si>
    <t>6 Wunderkinder GmbH</t>
  </si>
  <si>
    <t>Mobile business intelligence &amp; data visualization</t>
  </si>
  <si>
    <t>Datazen Software, Inc.</t>
  </si>
  <si>
    <t>PowerPoint collaboration</t>
  </si>
  <si>
    <t>LiveLoop</t>
  </si>
  <si>
    <t>Styli and pen input hardware and software</t>
  </si>
  <si>
    <t>N-trig</t>
  </si>
  <si>
    <t>Sunrise Calendar applications</t>
  </si>
  <si>
    <t>Sunrise Atelier, Inc.</t>
  </si>
  <si>
    <t>Statistical computing and predictive analytics</t>
  </si>
  <si>
    <t>Revolution Analytics</t>
  </si>
  <si>
    <t>Text analytics service</t>
  </si>
  <si>
    <t>Equivio</t>
  </si>
  <si>
    <t>Mobile beta distribution &amp; crash analytics</t>
  </si>
  <si>
    <t>HockeyApp</t>
  </si>
  <si>
    <t>Mobile email apps</t>
  </si>
  <si>
    <t>Acompli</t>
  </si>
  <si>
    <t>Enterprise security &amp; machine learning</t>
  </si>
  <si>
    <t>Aorato</t>
  </si>
  <si>
    <t>Mojang Studios</t>
  </si>
  <si>
    <t>Inception Mobile Inc.</t>
  </si>
  <si>
    <t>India</t>
  </si>
  <si>
    <t>Disaster recovery solutions</t>
  </si>
  <si>
    <t>InMage</t>
  </si>
  <si>
    <t>France</t>
  </si>
  <si>
    <t>Developer tools</t>
  </si>
  <si>
    <t>SyntaxTree</t>
  </si>
  <si>
    <t>(Mobile) application development</t>
  </si>
  <si>
    <t>Capptain</t>
  </si>
  <si>
    <t>New Zealand</t>
  </si>
  <si>
    <t>Cloud computing</t>
  </si>
  <si>
    <t>GreenButton</t>
  </si>
  <si>
    <t>Customer service software</t>
  </si>
  <si>
    <t>Parature</t>
  </si>
  <si>
    <t>API management</t>
  </si>
  <si>
    <t>Apiphany</t>
  </si>
  <si>
    <t>Austria</t>
  </si>
  <si>
    <t>RDP applications</t>
  </si>
  <si>
    <t>HLW Software</t>
  </si>
  <si>
    <t>Mobile phones, smartphones</t>
  </si>
  <si>
    <t>Nokia mobile phones unit</t>
  </si>
  <si>
    <t>Release management</t>
  </si>
  <si>
    <t>InRelease</t>
  </si>
  <si>
    <t>Switzerland</t>
  </si>
  <si>
    <t>Social analytics</t>
  </si>
  <si>
    <t>Netbreeze</t>
  </si>
  <si>
    <t>Cloud monitoring</t>
  </si>
  <si>
    <t>MetricsHub</t>
  </si>
  <si>
    <t>Peer-to-peer (P2P) media distribution</t>
  </si>
  <si>
    <t>Pando Networks</t>
  </si>
  <si>
    <t>Home automation</t>
  </si>
  <si>
    <t>id8 Group R2 Studios</t>
  </si>
  <si>
    <t>Marketing automation firm</t>
  </si>
  <si>
    <t>MarketingPilot</t>
  </si>
  <si>
    <t>Cloud-storage appliance vendor</t>
  </si>
  <si>
    <t>StorSimple</t>
  </si>
  <si>
    <t>Two-factor authentication system</t>
  </si>
  <si>
    <t>PhoneFactor</t>
  </si>
  <si>
    <t>Multi touch hardware</t>
  </si>
  <si>
    <t>Perceptive Pixel</t>
  </si>
  <si>
    <t>Social networking</t>
  </si>
  <si>
    <t>Yammer</t>
  </si>
  <si>
    <t>Denmark</t>
  </si>
  <si>
    <t>Press Play</t>
  </si>
  <si>
    <t>Video search</t>
  </si>
  <si>
    <t>Videosurf</t>
  </si>
  <si>
    <t>Twisted Pixel Games</t>
  </si>
  <si>
    <t>Prodiance</t>
  </si>
  <si>
    <t>Luxembourg</t>
  </si>
  <si>
    <t>Telecommunications</t>
  </si>
  <si>
    <t>Skype Technologies</t>
  </si>
  <si>
    <t>3D sensing technology</t>
  </si>
  <si>
    <t>Canesta, Inc.</t>
  </si>
  <si>
    <t>.Net monitoring technology</t>
  </si>
  <si>
    <t>AVIcode, Inc.</t>
  </si>
  <si>
    <t>Software for the healthcare industry</t>
  </si>
  <si>
    <t>Sentillion, Inc.</t>
  </si>
  <si>
    <t>Opalis Software</t>
  </si>
  <si>
    <t>Interactive Supercomputing</t>
  </si>
  <si>
    <t>Bioinformatics solutions for life science research</t>
  </si>
  <si>
    <t>Rosetta Biosoftware</t>
  </si>
  <si>
    <t>Video games interactive online gaming</t>
  </si>
  <si>
    <t>BigPark</t>
  </si>
  <si>
    <t>Developer of ZCam, a time-of-flight camera</t>
  </si>
  <si>
    <t>3DV Systems</t>
  </si>
  <si>
    <t>Search and e-commerce services</t>
  </si>
  <si>
    <t>Greenfield Online</t>
  </si>
  <si>
    <t>Data software</t>
  </si>
  <si>
    <t>DATAllegro</t>
  </si>
  <si>
    <t>Semantic Search</t>
  </si>
  <si>
    <t>Powerset</t>
  </si>
  <si>
    <t>Portugal</t>
  </si>
  <si>
    <t>Mobile applications</t>
  </si>
  <si>
    <t>Mobicomp</t>
  </si>
  <si>
    <t>Management software</t>
  </si>
  <si>
    <t>Navic Networks</t>
  </si>
  <si>
    <t>Belgium</t>
  </si>
  <si>
    <t>Quadreon</t>
  </si>
  <si>
    <t>Kidaro</t>
  </si>
  <si>
    <t>Norway</t>
  </si>
  <si>
    <t>Enterprise search[clarification needed]</t>
  </si>
  <si>
    <t>Fast Search &amp; Transfer</t>
  </si>
  <si>
    <t>Mobile Internet software</t>
  </si>
  <si>
    <t>Danger</t>
  </si>
  <si>
    <t>Online search software</t>
  </si>
  <si>
    <t>Farecast</t>
  </si>
  <si>
    <t>Business intelligence software</t>
  </si>
  <si>
    <t>90 Degree Software</t>
  </si>
  <si>
    <t>Rootkit security software</t>
  </si>
  <si>
    <t>Komoku</t>
  </si>
  <si>
    <t>Advertising yield management software</t>
  </si>
  <si>
    <t>Rapt</t>
  </si>
  <si>
    <t>YaData</t>
  </si>
  <si>
    <t>Caligari Corporation</t>
  </si>
  <si>
    <t>Calista Technologies</t>
  </si>
  <si>
    <t>Mapping</t>
  </si>
  <si>
    <t>Multimap.com</t>
  </si>
  <si>
    <t>Mobile music entertainment</t>
  </si>
  <si>
    <t>Musiwave</t>
  </si>
  <si>
    <t>Information technology</t>
  </si>
  <si>
    <t>HOB Business Solutions</t>
  </si>
  <si>
    <t>Thailand</t>
  </si>
  <si>
    <t>Assets</t>
  </si>
  <si>
    <t>Global Care Solutions-Assets</t>
  </si>
  <si>
    <t>Enterprise messaging software</t>
  </si>
  <si>
    <t>Parlano</t>
  </si>
  <si>
    <t>Search engine</t>
  </si>
  <si>
    <t>Jellyfish.com</t>
  </si>
  <si>
    <t>Digital marketing</t>
  </si>
  <si>
    <t>aQuantive</t>
  </si>
  <si>
    <t>Ad Exchange</t>
  </si>
  <si>
    <t>AdECN</t>
  </si>
  <si>
    <t>Networking</t>
  </si>
  <si>
    <t>Savvis Inc-Data Centers</t>
  </si>
  <si>
    <t>Master data management</t>
  </si>
  <si>
    <t>Stratature</t>
  </si>
  <si>
    <t>Engyro</t>
  </si>
  <si>
    <t>Business Intelligence software</t>
  </si>
  <si>
    <t>SoftArtisans</t>
  </si>
  <si>
    <t>Mobile phone software</t>
  </si>
  <si>
    <t>Tellme Networks</t>
  </si>
  <si>
    <t>Advertising and marketing</t>
  </si>
  <si>
    <t>ScreenTonic</t>
  </si>
  <si>
    <t>Software tools</t>
  </si>
  <si>
    <t>devBiz Business Solutions</t>
  </si>
  <si>
    <t>Internet search engine</t>
  </si>
  <si>
    <t>Medstory</t>
  </si>
  <si>
    <t>Natural language software</t>
  </si>
  <si>
    <t>Colloquis</t>
  </si>
  <si>
    <t>Applications</t>
  </si>
  <si>
    <t>DesktopStandard</t>
  </si>
  <si>
    <t>Gteko</t>
  </si>
  <si>
    <t>Whale Communications</t>
  </si>
  <si>
    <t>Winternals Software</t>
  </si>
  <si>
    <t>Application virtualization software</t>
  </si>
  <si>
    <t>Softricity</t>
  </si>
  <si>
    <t>Digital asset management</t>
  </si>
  <si>
    <t>iView Multimedia</t>
  </si>
  <si>
    <t>Analysis software</t>
  </si>
  <si>
    <t>ProClarity</t>
  </si>
  <si>
    <t>Web log analysis</t>
  </si>
  <si>
    <t>DeepMetrix</t>
  </si>
  <si>
    <t>Mapping software</t>
  </si>
  <si>
    <t>Vexcel</t>
  </si>
  <si>
    <t>Video game advertising</t>
  </si>
  <si>
    <t>Massive Incorporated</t>
  </si>
  <si>
    <t>Enterprise asset intelligence (SaaS)</t>
  </si>
  <si>
    <t>AssetMetrix</t>
  </si>
  <si>
    <t>Lionhead Studios</t>
  </si>
  <si>
    <t>Internet software</t>
  </si>
  <si>
    <t>Onfolio</t>
  </si>
  <si>
    <t>Apptimum</t>
  </si>
  <si>
    <t>Seadragon Software</t>
  </si>
  <si>
    <t>Search</t>
  </si>
  <si>
    <t>MotionBridge</t>
  </si>
  <si>
    <t>UMT-Software and IP Assets</t>
  </si>
  <si>
    <t>Mobile</t>
  </si>
  <si>
    <t>5th Finger</t>
  </si>
  <si>
    <t>media-streams.com</t>
  </si>
  <si>
    <t>Certificate management software</t>
  </si>
  <si>
    <t>Alacris</t>
  </si>
  <si>
    <t>Email protection</t>
  </si>
  <si>
    <t>FrontBridge Technologies</t>
  </si>
  <si>
    <t>VoIP</t>
  </si>
  <si>
    <t>Teleo</t>
  </si>
  <si>
    <t>Sybari Software</t>
  </si>
  <si>
    <t>China</t>
  </si>
  <si>
    <t>Certain assets</t>
  </si>
  <si>
    <t>Tsinghua-Shenxun-Cert Asts</t>
  </si>
  <si>
    <t>Messaging</t>
  </si>
  <si>
    <t>MessageCast</t>
  </si>
  <si>
    <t>Community software</t>
  </si>
  <si>
    <t>Groove Networks</t>
  </si>
  <si>
    <t>en'tegrate</t>
  </si>
  <si>
    <t>Anti-spyware</t>
  </si>
  <si>
    <t>GIANT Company Software</t>
  </si>
  <si>
    <t>Personal search tool</t>
  </si>
  <si>
    <t>Lookout Software</t>
  </si>
  <si>
    <t>Reporting systems</t>
  </si>
  <si>
    <t>ActiveViews</t>
  </si>
  <si>
    <t>IP assets</t>
  </si>
  <si>
    <t>Encore Bus Solutions-IP Asts</t>
  </si>
  <si>
    <t>Dynamics 365 Consultant</t>
  </si>
  <si>
    <t>Evincible Solutions</t>
  </si>
  <si>
    <t>Romania</t>
  </si>
  <si>
    <t>Antivirus technology</t>
  </si>
  <si>
    <t>GeCAD Software</t>
  </si>
  <si>
    <t>G.A. Sullivan</t>
  </si>
  <si>
    <t>Web conferencing</t>
  </si>
  <si>
    <t>PlaceWare</t>
  </si>
  <si>
    <t>DCG</t>
  </si>
  <si>
    <t>Connectix</t>
  </si>
  <si>
    <t>Online enterprise location</t>
  </si>
  <si>
    <t>Vicinity</t>
  </si>
  <si>
    <t>Rare</t>
  </si>
  <si>
    <t>Security software</t>
  </si>
  <si>
    <t>XDegrees</t>
  </si>
  <si>
    <t>Computer consulting</t>
  </si>
  <si>
    <t>Mobilocity</t>
  </si>
  <si>
    <t>Software programming</t>
  </si>
  <si>
    <t>Navision</t>
  </si>
  <si>
    <t>Sales Management Systems</t>
  </si>
  <si>
    <t>Travel agency</t>
  </si>
  <si>
    <t>Classic Custom Vacations</t>
  </si>
  <si>
    <t>Online Spanish portal</t>
  </si>
  <si>
    <t>Yupi</t>
  </si>
  <si>
    <t>Maximal Innovative Intelligence</t>
  </si>
  <si>
    <t>NCompass Labs</t>
  </si>
  <si>
    <t>Ensemble Studios</t>
  </si>
  <si>
    <t>Intellisol International</t>
  </si>
  <si>
    <t>Business management software</t>
  </si>
  <si>
    <t>Great Plains Software</t>
  </si>
  <si>
    <t>Internet service provider</t>
  </si>
  <si>
    <t>Vacationspot</t>
  </si>
  <si>
    <t>Digital Anvil</t>
  </si>
  <si>
    <t>Digital audio technology</t>
  </si>
  <si>
    <t>Pacific Microsonics</t>
  </si>
  <si>
    <t>Online music search engine</t>
  </si>
  <si>
    <t>MongoMusic</t>
  </si>
  <si>
    <t>NetGames</t>
  </si>
  <si>
    <t>Bungie</t>
  </si>
  <si>
    <t>Cable television</t>
  </si>
  <si>
    <t>Titus Communications</t>
  </si>
  <si>
    <t>Travelscape</t>
  </si>
  <si>
    <t>Digital TV services</t>
  </si>
  <si>
    <t>Peach Networks</t>
  </si>
  <si>
    <t>Wholesale drawing software</t>
  </si>
  <si>
    <t>Visio Corporation</t>
  </si>
  <si>
    <t>Entropic</t>
  </si>
  <si>
    <t>Computer programming</t>
  </si>
  <si>
    <t>Softway Systems</t>
  </si>
  <si>
    <t>STNC</t>
  </si>
  <si>
    <t>Encryption software</t>
  </si>
  <si>
    <t>Zoomit</t>
  </si>
  <si>
    <t>Application software</t>
  </si>
  <si>
    <t>Sendit</t>
  </si>
  <si>
    <t>Defect detection software</t>
  </si>
  <si>
    <t>Intrinsa</t>
  </si>
  <si>
    <t>Omnibrowse</t>
  </si>
  <si>
    <t>Wholesale computer software</t>
  </si>
  <si>
    <t>ShadowFactor Software</t>
  </si>
  <si>
    <t>Jump Networks</t>
  </si>
  <si>
    <t>Web music software</t>
  </si>
  <si>
    <t>Interactive Objects-Digital</t>
  </si>
  <si>
    <t>Access Software</t>
  </si>
  <si>
    <t>Numinous Technologies</t>
  </si>
  <si>
    <t>Shopping online</t>
  </si>
  <si>
    <t>CompareNet</t>
  </si>
  <si>
    <t>Virtual World Entertainment Group</t>
  </si>
  <si>
    <t>Internet advertising network</t>
  </si>
  <si>
    <t>LinkExchange</t>
  </si>
  <si>
    <t>Valence Research</t>
  </si>
  <si>
    <t>Data sharing software</t>
  </si>
  <si>
    <t>MESA Group</t>
  </si>
  <si>
    <t>Relationship management software</t>
  </si>
  <si>
    <t>Firefly</t>
  </si>
  <si>
    <t>Enterprise instant messaging software</t>
  </si>
  <si>
    <t>Flash Communications</t>
  </si>
  <si>
    <t>Hotmail</t>
  </si>
  <si>
    <t>Internet video software</t>
  </si>
  <si>
    <t>VXtreme</t>
  </si>
  <si>
    <t>Internet software development</t>
  </si>
  <si>
    <t>LinkAge Software</t>
  </si>
  <si>
    <t>Programming</t>
  </si>
  <si>
    <t>Cooper &amp; Peters</t>
  </si>
  <si>
    <t>Java-based platforms</t>
  </si>
  <si>
    <t>Dimension X</t>
  </si>
  <si>
    <t>WebTV Networks</t>
  </si>
  <si>
    <t>Interse</t>
  </si>
  <si>
    <t>NetCarta</t>
  </si>
  <si>
    <t>Electronic games</t>
  </si>
  <si>
    <t>Electric Gravity</t>
  </si>
  <si>
    <t>eShop Inc.</t>
  </si>
  <si>
    <t>Computer software</t>
  </si>
  <si>
    <t>Aspect Software Engineering</t>
  </si>
  <si>
    <t>Video game controllers</t>
  </si>
  <si>
    <t>Exos</t>
  </si>
  <si>
    <t>Colusa Software</t>
  </si>
  <si>
    <t>Vermeer Technologies</t>
  </si>
  <si>
    <t>Bruce Artwick Organization</t>
  </si>
  <si>
    <t>Netwise</t>
  </si>
  <si>
    <t>The Blue Ribbon SoundWorks</t>
  </si>
  <si>
    <t>Systems design</t>
  </si>
  <si>
    <t>Network Managers</t>
  </si>
  <si>
    <t>3D graphics hardware</t>
  </si>
  <si>
    <t>RenderMorphics</t>
  </si>
  <si>
    <t>One Tree Software</t>
  </si>
  <si>
    <t>NextBase</t>
  </si>
  <si>
    <t>Altamira Software</t>
  </si>
  <si>
    <t>Wholesale 3-D visualization software</t>
  </si>
  <si>
    <t>Softimage</t>
  </si>
  <si>
    <t>PC database software</t>
  </si>
  <si>
    <t>Fox Software</t>
  </si>
  <si>
    <t>Consumers Software</t>
  </si>
  <si>
    <t>Forethought, Inc.</t>
  </si>
  <si>
    <t>Operating systems</t>
  </si>
  <si>
    <t>Dynamical Systems Research</t>
  </si>
  <si>
    <t>Country</t>
  </si>
  <si>
    <t>Business</t>
  </si>
  <si>
    <t>Company</t>
  </si>
  <si>
    <t>For fiscal 2024, Microsoft moved and recategorized several subsidiary businesses into different top-level business segment for financial reporting</t>
  </si>
  <si>
    <t>(Q1'23) Acquired Activision Blizzard for a Cash Payment of $61.8B all cash deal --&gt; categorized as a part of More Personal Computing</t>
  </si>
  <si>
    <t>Complete List of Microsoft Acquisitions Since Inception</t>
  </si>
  <si>
    <t>Price</t>
  </si>
  <si>
    <t>Used as or Integrated With</t>
  </si>
  <si>
    <t>Description</t>
  </si>
  <si>
    <t>Date of Acquisition</t>
  </si>
  <si>
    <t>Windows OS Development</t>
  </si>
  <si>
    <t>Early OS technology</t>
  </si>
  <si>
    <t>Microsoft Office</t>
  </si>
  <si>
    <t>Became PowerPoint</t>
  </si>
  <si>
    <t>Microsoft Office/Developer Tools</t>
  </si>
  <si>
    <t>WordPerfect competitor</t>
  </si>
  <si>
    <t>Microsoft Access</t>
  </si>
  <si>
    <t>FoxPro database</t>
  </si>
  <si>
    <t>Microsoft Graphics Division</t>
  </si>
  <si>
    <t>3D animation tools</t>
  </si>
  <si>
    <t>Microsoft Research</t>
  </si>
  <si>
    <t>Imaging software</t>
  </si>
  <si>
    <t>Microsoft Developer Tools</t>
  </si>
  <si>
    <t>UK-based software</t>
  </si>
  <si>
    <t>Document management</t>
  </si>
  <si>
    <t>DirectX (Graphics)</t>
  </si>
  <si>
    <t>3D rendering tech</t>
  </si>
  <si>
    <t>Microsoft Consulting Services</t>
  </si>
  <si>
    <t>UK systems design</t>
  </si>
  <si>
    <t>Windows Multimedia</t>
  </si>
  <si>
    <t>Audio software</t>
  </si>
  <si>
    <t>Microsoft Networking</t>
  </si>
  <si>
    <t>Early internet tools</t>
  </si>
  <si>
    <t>Microsoft Flight Simulator</t>
  </si>
  <si>
    <t>Flight sim development</t>
  </si>
  <si>
    <t>Microsoft FrontPage</t>
  </si>
  <si>
    <t>Web development tool</t>
  </si>
  <si>
    <t>Microsoft Graphics</t>
  </si>
  <si>
    <t>Animation tools</t>
  </si>
  <si>
    <t>VGA-Animation Software Div</t>
  </si>
  <si>
    <t>Component software</t>
  </si>
  <si>
    <t>Microsoft Hardware</t>
  </si>
  <si>
    <t>Game controllers</t>
  </si>
  <si>
    <t>Software analysis</t>
  </si>
  <si>
    <t>Microsoft eCommerce</t>
  </si>
  <si>
    <t>Early online shopping</t>
  </si>
  <si>
    <t>Microsoft Games</t>
  </si>
  <si>
    <t>Early gaming division</t>
  </si>
  <si>
    <t>Microsoft Database Tools</t>
  </si>
  <si>
    <t>Panorama Software Sys-On-Line</t>
  </si>
  <si>
    <t>Microsoft Internet Tools</t>
  </si>
  <si>
    <t>Web mapping</t>
  </si>
  <si>
    <t>Search technology</t>
  </si>
  <si>
    <t>MSN (later Xbox)</t>
  </si>
  <si>
    <t>Became MSN TV</t>
  </si>
  <si>
    <t>Java tools</t>
  </si>
  <si>
    <t>Collaboration tools</t>
  </si>
  <si>
    <t>Networking software</t>
  </si>
  <si>
    <t>Windows Media Player</t>
  </si>
  <si>
    <t>Streaming tech</t>
  </si>
  <si>
    <t>MSN/Outlook</t>
  </si>
  <si>
    <t>Now part of Outlook.com</t>
  </si>
  <si>
    <t>Microsoft Exchange</t>
  </si>
  <si>
    <t>Early chat integration</t>
  </si>
  <si>
    <t>Microsoft Advertising</t>
  </si>
  <si>
    <t>Early AI recommendations</t>
  </si>
  <si>
    <t>Microsoft Office/SharePoint</t>
  </si>
  <si>
    <t>Collaborative document tech</t>
  </si>
  <si>
    <t>Network optimization tools</t>
  </si>
  <si>
    <t>Microsoft Advertising (discontinued)</t>
  </si>
  <si>
    <t>Sold to Yahoo! (2003)</t>
  </si>
  <si>
    <t>Microsoft Games Division</t>
  </si>
  <si>
    <t>Early virtual world tech</t>
  </si>
  <si>
    <t>MSN eCommerce</t>
  </si>
  <si>
    <t>Price comparison service</t>
  </si>
  <si>
    <t>Microsoft Game Studios</t>
  </si>
  <si>
    <t>Later rebranded as "Indie Games"</t>
  </si>
  <si>
    <t>Early streaming music tech</t>
  </si>
  <si>
    <t>MSN Hotmail</t>
  </si>
  <si>
    <t>Email service enhancements</t>
  </si>
  <si>
    <t>Enterprise software</t>
  </si>
  <si>
    <t>Internet Explorer Team</t>
  </si>
  <si>
    <t>Browser add-ons</t>
  </si>
  <si>
    <t>Code analysis tools</t>
  </si>
  <si>
    <t>Microsoft Mobile Services</t>
  </si>
  <si>
    <t>SMS/MMS platforms</t>
  </si>
  <si>
    <t>Windows Security</t>
  </si>
  <si>
    <t>PKI/certificate management</t>
  </si>
  <si>
    <t>Windows CE Team</t>
  </si>
  <si>
    <t>Mobile OS development</t>
  </si>
  <si>
    <t>Microsoft Unix Tools</t>
  </si>
  <si>
    <t>Interix subsystem for Windows</t>
  </si>
  <si>
    <t>Speech recognition tech</t>
  </si>
  <si>
    <t>Flowchart/diagramming tools</t>
  </si>
  <si>
    <t>Microsoft TV Platform</t>
  </si>
  <si>
    <t>Interactive TV middleware</t>
  </si>
  <si>
    <t>Expedia (spun off in 2001)</t>
  </si>
  <si>
    <t>Online travel booking</t>
  </si>
  <si>
    <t>MSN Broadband (divested)</t>
  </si>
  <si>
    <t>Cable assets later sold</t>
  </si>
  <si>
    <t>Xbox Game Studios</t>
  </si>
  <si>
    <t>Halo franchise (spun out in 2007)</t>
  </si>
  <si>
    <t>Microsoft Gaming</t>
  </si>
  <si>
    <t>Online multiplayer tech</t>
  </si>
  <si>
    <t>Music recommendation engine</t>
  </si>
  <si>
    <t>Windows Hardware Ecosystem</t>
  </si>
  <si>
    <t>HDCD audio codecs</t>
  </si>
  <si>
    <t>Freelancer, Brute Force games</t>
  </si>
  <si>
    <t>Expedia (spun off)</t>
  </si>
  <si>
    <t>Travel package platform</t>
  </si>
  <si>
    <t>Microsoft Dynamics</t>
  </si>
  <si>
    <t>ERP/accounting software</t>
  </si>
  <si>
    <t>E-commerce integration</t>
  </si>
  <si>
    <t>Age of Empires franchise</t>
  </si>
  <si>
    <t>SharePoint</t>
  </si>
  <si>
    <t>Web content management</t>
  </si>
  <si>
    <t>AI and machine learning</t>
  </si>
  <si>
    <t>MSN Latino (discontinued)</t>
  </si>
  <si>
    <t>Hispanic-focused portal</t>
  </si>
  <si>
    <t>Luxury travel packages</t>
  </si>
  <si>
    <t>CRM tools</t>
  </si>
  <si>
    <t>Microsoft Mobile (discontinued)</t>
  </si>
  <si>
    <t>Early mobile consulting</t>
  </si>
  <si>
    <t>Network security</t>
  </si>
  <si>
    <t>Banjo-Kazooie, Perfect Dark</t>
  </si>
  <si>
    <t>Bing Maps</t>
  </si>
  <si>
    <t>Location-based services</t>
  </si>
  <si>
    <t>Windows Virtual PC</t>
  </si>
  <si>
    <t>Virtualization technology</t>
  </si>
  <si>
    <t>MSN Australia</t>
  </si>
  <si>
    <t>Local web services</t>
  </si>
  <si>
    <t>Microsoft Teams</t>
  </si>
  <si>
    <t>Early conferencing tech</t>
  </si>
  <si>
    <t>IT consulting</t>
  </si>
  <si>
    <t>Windows Defender</t>
  </si>
  <si>
    <t>Antivirus engine</t>
  </si>
  <si>
    <t>Consulting services</t>
  </si>
  <si>
    <t>Microsoft IP Portfolio</t>
  </si>
  <si>
    <t>Patent acquisitions</t>
  </si>
  <si>
    <t>SQL Server</t>
  </si>
  <si>
    <t>Business intelligence</t>
  </si>
  <si>
    <t>Windows Search</t>
  </si>
  <si>
    <t>Desktop search</t>
  </si>
  <si>
    <t>Spyware removal</t>
  </si>
  <si>
    <t>Integration software</t>
  </si>
  <si>
    <t>Exchange Server</t>
  </si>
  <si>
    <t>Alert notification system</t>
  </si>
  <si>
    <t>Microsoft China R&amp;D</t>
  </si>
  <si>
    <t>Security certificates</t>
  </si>
  <si>
    <t>Microsoft Security</t>
  </si>
  <si>
    <t>Antivirus/antispam</t>
  </si>
  <si>
    <t>Skype (later acquisition)</t>
  </si>
  <si>
    <t>Voice over IP</t>
  </si>
  <si>
    <t>Exchange Online Protection</t>
  </si>
  <si>
    <t>Email security</t>
  </si>
  <si>
    <t>PKI infrastructure</t>
  </si>
  <si>
    <t>Streaming media</t>
  </si>
  <si>
    <t>Windows Mobile (discontinued)</t>
  </si>
  <si>
    <t>Mobile marketing</t>
  </si>
  <si>
    <t>Bing</t>
  </si>
  <si>
    <t>Mobile search technology</t>
  </si>
  <si>
    <t>Photos/Virtual Earth</t>
  </si>
  <si>
    <t>Image zooming technology</t>
  </si>
  <si>
    <t>Windows Deployment</t>
  </si>
  <si>
    <t>Application migration</t>
  </si>
  <si>
    <t>Windows Live Toolbar (discontinued)</t>
  </si>
  <si>
    <t>Web research tools</t>
  </si>
  <si>
    <t>Fable franchise</t>
  </si>
  <si>
    <t>System Center</t>
  </si>
  <si>
    <t>IT asset management</t>
  </si>
  <si>
    <t>Xbox Advertising (discontinued)</t>
  </si>
  <si>
    <t>In-game ads</t>
  </si>
  <si>
    <t>Aerial imagery and mapping</t>
  </si>
  <si>
    <t>adCenter (discontinued)</t>
  </si>
  <si>
    <t>Web analytics</t>
  </si>
  <si>
    <t>SQL Server BI</t>
  </si>
  <si>
    <t>Expression Media</t>
  </si>
  <si>
    <t>Media management</t>
  </si>
  <si>
    <t>Microsoft App-V</t>
  </si>
  <si>
    <t>Application virtualization</t>
  </si>
  <si>
    <t>Windows Sysinternals</t>
  </si>
  <si>
    <t>System utilities</t>
  </si>
  <si>
    <t>Secure remote access</t>
  </si>
  <si>
    <t>Windows Update</t>
  </si>
  <si>
    <t>Diagnostic tools</t>
  </si>
  <si>
    <t>Group Policy Team</t>
  </si>
  <si>
    <t>Policy management</t>
  </si>
  <si>
    <t>Chatbot technology</t>
  </si>
  <si>
    <t>HealthVault (discontinued)</t>
  </si>
  <si>
    <t>Healthcare search</t>
  </si>
  <si>
    <t>Business process tools</t>
  </si>
  <si>
    <t>Mobile ad platform</t>
  </si>
  <si>
    <t>Azure Communications</t>
  </si>
  <si>
    <t>Voice recognition tech</t>
  </si>
  <si>
    <t>OfficeWriter reporting tools</t>
  </si>
  <si>
    <t>Metadata management</t>
  </si>
  <si>
    <t>Azure (divested in 2011)</t>
  </si>
  <si>
    <t>Data center infrastructure</t>
  </si>
  <si>
    <t>Microsoft Advertising (shut down)</t>
  </si>
  <si>
    <t>Programmatic ad platform</t>
  </si>
  <si>
    <t>Microsoft Advertising (written off)</t>
  </si>
  <si>
    <t>Largest acquisition at the time</t>
  </si>
  <si>
    <t>Bing Cashback (discontinued)</t>
  </si>
  <si>
    <t>Price comparison engine</t>
  </si>
  <si>
    <t>Persistent chat technology</t>
  </si>
  <si>
    <t>Microsoft Health (discontinued)</t>
  </si>
  <si>
    <t>Healthcare IT assets</t>
  </si>
  <si>
    <t>Microsoft Remote Desktop</t>
  </si>
  <si>
    <t>Remote access solutions</t>
  </si>
  <si>
    <t>Xbox Music (discontinued)</t>
  </si>
  <si>
    <t>Music streaming service</t>
  </si>
  <si>
    <t>UK/EU mapping data</t>
  </si>
  <si>
    <t>RemoteFX (discontinued)</t>
  </si>
  <si>
    <t>Remote desktop graphics</t>
  </si>
  <si>
    <t>3D modeling tools</t>
  </si>
  <si>
    <t>Behavioral targeting</t>
  </si>
  <si>
    <t>Ad pricing optimization</t>
  </si>
  <si>
    <t>Malware detection</t>
  </si>
  <si>
    <t>Power BI</t>
  </si>
  <si>
    <t>Data visualization</t>
  </si>
  <si>
    <t>Bing Travel (discontinued)</t>
  </si>
  <si>
    <t>Predictive travel pricing</t>
  </si>
  <si>
    <t>Windows Phone (Kin failure)</t>
  </si>
  <si>
    <t>Sidekick OS/cloud services</t>
  </si>
  <si>
    <t>Bing/SharePoint Search</t>
  </si>
  <si>
    <t>Enterprise search tech</t>
  </si>
  <si>
    <t>Microsoft Desktop Optimization</t>
  </si>
  <si>
    <t>CRM add-ons</t>
  </si>
  <si>
    <t>Microsoft TV (discontinued)</t>
  </si>
  <si>
    <t>Interactive TV advertising</t>
  </si>
  <si>
    <t>Natural language search</t>
  </si>
  <si>
    <t>Data warehousing</t>
  </si>
  <si>
    <t>Shopping rewards program</t>
  </si>
  <si>
    <t>Xbox Kinect</t>
  </si>
  <si>
    <t>Motion sensing technology</t>
  </si>
  <si>
    <t>Xbox Live</t>
  </si>
  <si>
    <t>Social gaming platform</t>
  </si>
  <si>
    <t>Microsoft Research (discontinued)</t>
  </si>
  <si>
    <t>Life sciences analytics</t>
  </si>
  <si>
    <t>Azure HPC</t>
  </si>
  <si>
    <t>High-performance computing</t>
  </si>
  <si>
    <t>IT process automation</t>
  </si>
  <si>
    <t>Single sign-on for healthcare</t>
  </si>
  <si>
    <t>Azure Monitor</t>
  </si>
  <si>
    <t>Application performance management</t>
  </si>
  <si>
    <t>Kinect for Windows</t>
  </si>
  <si>
    <t>Depth-sensing cameras</t>
  </si>
  <si>
    <t>Microsoft Communications</t>
  </si>
  <si>
    <t>Integrated into Teams</t>
  </si>
  <si>
    <t>Spreadsheet auditing</t>
  </si>
  <si>
    <t>'Splosion Man, The Maw</t>
  </si>
  <si>
    <t>Xbox Video (discontinued)</t>
  </si>
  <si>
    <t>Video metadata recognition</t>
  </si>
  <si>
    <t>Max: The Curse of Brotherhood</t>
  </si>
  <si>
    <t>P/p Total Revenues, Net Income, FCF</t>
  </si>
  <si>
    <t>https://www.thurrott.com/microsoft</t>
  </si>
  <si>
    <t>Microsoft also changed the growth metrics it reports, discontinuing metrics like "Server products and cloud services revenue growth" in favor of more cloud-focused metrics such as "Azure and other cloud services revenue growth</t>
  </si>
  <si>
    <t>Windows and Devices were merged into a single segment within More Personal Computing, and Windows Commercial products and cloud services revenue moved to Microsoft 365 Commercial cloud (under P&amp;BP)</t>
  </si>
  <si>
    <t>Copilot Pro revenues shifted from Office Consumer products and cloud services (P&amp;BP) to Search and News Advertising (More Personal Computing)</t>
  </si>
  <si>
    <t>Source:</t>
  </si>
  <si>
    <r>
      <rPr>
        <i/>
        <sz val="11"/>
        <color theme="1"/>
        <rFont val="Calibre"/>
      </rPr>
      <t>2768</t>
    </r>
    <r>
      <rPr>
        <sz val="11"/>
        <color theme="1"/>
        <rFont val="Calibre"/>
      </rPr>
      <t xml:space="preserve"> Trading Days (5/30/2014 - 5/30/2025)</t>
    </r>
  </si>
  <si>
    <t>Thu, 29 May 2025 00:00:00 GMT</t>
  </si>
  <si>
    <t>Wed, 28 May 2025 00:00:00 GMT</t>
  </si>
  <si>
    <t>Tue, 27 May 2025 00:00:00 GMT</t>
  </si>
  <si>
    <t>Fri, 23 May 2025 00:00:00 GMT</t>
  </si>
  <si>
    <t>Thu, 22 May 2025 00:00:00 GMT</t>
  </si>
  <si>
    <t>Wed, 21 May 2025 00:00:00 GMT</t>
  </si>
  <si>
    <t>Tue, 20 May 2025 00:00:00 GMT</t>
  </si>
  <si>
    <t>Mon, 19 May 2025 00:00:00 GMT</t>
  </si>
  <si>
    <t>Fri, 16 May 2025 00:00:00 GMT</t>
  </si>
  <si>
    <t>Thu, 15 May 2025 00:00:00 GMT</t>
  </si>
  <si>
    <t>Wed, 14 May 2025 00:00:00 GMT</t>
  </si>
  <si>
    <t>Tue, 13 May 2025 00:00:00 GMT</t>
  </si>
  <si>
    <t>Mon, 12 May 2025 00:00:00 GMT</t>
  </si>
  <si>
    <t>Fri, 09 May 2025 00:00:00 GMT</t>
  </si>
  <si>
    <t>Thu, 08 May 2025 00:00:00 GMT</t>
  </si>
  <si>
    <t>Wed, 07 May 2025 00:00:00 GMT</t>
  </si>
  <si>
    <t>Tue, 06 May 2025 00:00:00 GMT</t>
  </si>
  <si>
    <t>Mon, 05 May 2025 00:00:00 GMT</t>
  </si>
  <si>
    <t>Fri, 02 May 2025 00:00:00 GMT</t>
  </si>
  <si>
    <t>Thu, 01 May 2025 00:00:00 GMT</t>
  </si>
  <si>
    <t>Wed, 30 Apr 2025 00:00:00 GMT</t>
  </si>
  <si>
    <t>Tue, 29 Apr 2025 00:00:00 GMT</t>
  </si>
  <si>
    <t>Mon, 28 Apr 2025 00:00:00 GMT</t>
  </si>
  <si>
    <t>Fri, 25 Apr 2025 00:00:00 GMT</t>
  </si>
  <si>
    <t>Thu, 24 Apr 2025 00:00:00 GMT</t>
  </si>
  <si>
    <t>Wed, 23 Apr 2025 00:00:00 GMT</t>
  </si>
  <si>
    <t>Tue, 22 Apr 2025 00:00:00 GMT</t>
  </si>
  <si>
    <t>Mon, 21 Apr 2025 00:00:00 GMT</t>
  </si>
  <si>
    <t>Thu, 17 Apr 2025 00:00:00 GMT</t>
  </si>
  <si>
    <t>Wed, 16 Apr 2025 00:00:00 GMT</t>
  </si>
  <si>
    <t>Tue, 15 Apr 2025 00:00:00 GMT</t>
  </si>
  <si>
    <t>Mon, 14 Apr 2025 00:00:00 GMT</t>
  </si>
  <si>
    <t>Fri, 11 Apr 2025 00:00:00 GMT</t>
  </si>
  <si>
    <t>Thu, 10 Apr 2025 00:00:00 GMT</t>
  </si>
  <si>
    <t>Wed, 09 Apr 2025 00:00:00 GMT</t>
  </si>
  <si>
    <t>Tue, 08 Apr 2025 00:00:00 GMT</t>
  </si>
  <si>
    <t>Mon, 07 Apr 2025 00:00:00 GMT</t>
  </si>
  <si>
    <t>Fri, 04 Apr 2025 00:00:00 GMT</t>
  </si>
  <si>
    <t>Thu, 03 Apr 2025 00:00:00 GMT</t>
  </si>
  <si>
    <t>Wed, 02 Apr 2025 00:00:00 GMT</t>
  </si>
  <si>
    <t>Tue, 01 Apr 2025 00:00:00 GMT</t>
  </si>
  <si>
    <t>Mon, 31 Mar 2025 00:00:00 GMT</t>
  </si>
  <si>
    <t>Fri, 28 Mar 2025 00:00:00 GMT</t>
  </si>
  <si>
    <t>Thu, 27 Mar 2025 00:00:00 GMT</t>
  </si>
  <si>
    <t>Wed, 26 Mar 2025 00:00:00 GMT</t>
  </si>
  <si>
    <t>Tue, 25 Mar 2025 00:00:00 GMT</t>
  </si>
  <si>
    <t>Mon, 24 Mar 2025 00:00:00 GMT</t>
  </si>
  <si>
    <t>Fri, 21 Mar 2025 00:00:00 GMT</t>
  </si>
  <si>
    <t>Thu, 20 Mar 2025 00:00:00 GMT</t>
  </si>
  <si>
    <t>Wed, 19 Mar 2025 00:00:00 GMT</t>
  </si>
  <si>
    <t>Tue, 18 Mar 2025 00:00:00 GMT</t>
  </si>
  <si>
    <t>Mon, 17 Mar 2025 00:00:00 GMT</t>
  </si>
  <si>
    <t>Fri, 14 Mar 2025 00:00:00 GMT</t>
  </si>
  <si>
    <t>Thu, 13 Mar 2025 00:00:00 GMT</t>
  </si>
  <si>
    <t>Wed, 12 Mar 2025 00:00:00 GMT</t>
  </si>
  <si>
    <t>Tue, 11 Mar 2025 00:00:00 GMT</t>
  </si>
  <si>
    <t>Mon, 10 Mar 2025 00:00:00 GMT</t>
  </si>
  <si>
    <t>Fri, 07 Mar 2025 00:00:00 GMT</t>
  </si>
  <si>
    <t>Thu, 06 Mar 2025 00:00:00 GMT</t>
  </si>
  <si>
    <t>Wed, 05 Mar 2025 00:00:00 GMT</t>
  </si>
  <si>
    <t>Tue, 04 Mar 2025 00:00:00 GMT</t>
  </si>
  <si>
    <t>Mon, 03 Mar 2025 00:00:00 GMT</t>
  </si>
  <si>
    <t>Fri, 28 Feb 2025 00:00:00 GMT</t>
  </si>
  <si>
    <t>Thu, 27 Feb 2025 00:00:00 GMT</t>
  </si>
  <si>
    <t>Wed, 26 Feb 2025 00:00:00 GMT</t>
  </si>
  <si>
    <t>Tue, 25 Feb 2025 00:00:00 GMT</t>
  </si>
  <si>
    <t>Mon, 24 Feb 2025 00:00:00 GMT</t>
  </si>
  <si>
    <t>Fri, 21 Feb 2025 00:00:00 GMT</t>
  </si>
  <si>
    <t>Thu, 20 Feb 2025 00:00:00 GMT</t>
  </si>
  <si>
    <t>Wed, 19 Feb 2025 00:00:00 GMT</t>
  </si>
  <si>
    <t>Tue, 18 Feb 2025 00:00:00 GMT</t>
  </si>
  <si>
    <t>Fri, 14 Feb 2025 00:00:00 GMT</t>
  </si>
  <si>
    <t>Thu, 13 Feb 2025 00:00:00 GMT</t>
  </si>
  <si>
    <t>Wed, 12 Feb 2025 00:00:00 GMT</t>
  </si>
  <si>
    <t>Tue, 11 Feb 2025 00:00:00 GMT</t>
  </si>
  <si>
    <t>Mon, 10 Feb 2025 00:00:00 GMT</t>
  </si>
  <si>
    <t>Fri, 07 Feb 2025 00:00:00 GMT</t>
  </si>
  <si>
    <t>Thu, 06 Feb 2025 00:00:00 GMT</t>
  </si>
  <si>
    <t>Wed, 05 Feb 2025 00:00:00 GMT</t>
  </si>
  <si>
    <t>Tue, 04 Feb 2025 00:00:00 GMT</t>
  </si>
  <si>
    <t>Mon, 03 Feb 2025 00:00:00 GMT</t>
  </si>
  <si>
    <t>Fri, 31 Jan 2025 00:00:00 GMT</t>
  </si>
  <si>
    <t>Thu, 30 Jan 2025 00:00:00 GMT</t>
  </si>
  <si>
    <t>Wed, 29 Jan 2025 00:00:00 GMT</t>
  </si>
  <si>
    <t>Tue, 28 Jan 2025 00:00:00 GMT</t>
  </si>
  <si>
    <t>Mon, 27 Jan 2025 00:00:00 GMT</t>
  </si>
  <si>
    <t>Fri, 24 Jan 2025 00:00:00 GMT</t>
  </si>
  <si>
    <t>Thu, 23 Jan 2025 00:00:00 GMT</t>
  </si>
  <si>
    <t>Wed, 22 Jan 2025 00:00:00 GMT</t>
  </si>
  <si>
    <t>Tue, 21 Jan 2025 00:00:00 GMT</t>
  </si>
  <si>
    <t>Fri, 17 Jan 2025 00:00:00 GMT</t>
  </si>
  <si>
    <t>Thu, 16 Jan 2025 00:00:00 GMT</t>
  </si>
  <si>
    <t>Wed, 15 Jan 2025 00:00:00 GMT</t>
  </si>
  <si>
    <t>Tue, 14 Jan 2025 00:00:00 GMT</t>
  </si>
  <si>
    <t>Mon, 13 Jan 2025 00:00:00 GMT</t>
  </si>
  <si>
    <t>Fri, 10 Jan 2025 00:00:00 GMT</t>
  </si>
  <si>
    <t>Wed, 08 Jan 2025 00:00:00 GMT</t>
  </si>
  <si>
    <t>Tue, 07 Jan 2025 00:00:00 GMT</t>
  </si>
  <si>
    <t>Mon, 06 Jan 2025 00:00:00 GMT</t>
  </si>
  <si>
    <t>Fri, 03 Jan 2025 00:00:00 GMT</t>
  </si>
  <si>
    <t>Thu, 02 Jan 2025 00:00:00 GMT</t>
  </si>
  <si>
    <t>Tue, 31 Dec 2024 00:00:00 GMT</t>
  </si>
  <si>
    <t>Mon, 30 Dec 2024 00:00:00 GMT</t>
  </si>
  <si>
    <t>Fri, 27 Dec 2024 00:00:00 GMT</t>
  </si>
  <si>
    <t>Thu, 26 Dec 2024 00:00:00 GMT</t>
  </si>
  <si>
    <t>Tue, 24 Dec 2024 00:00:00 GMT</t>
  </si>
  <si>
    <t>Mon, 23 Dec 2024 00:00:00 GMT</t>
  </si>
  <si>
    <t>Fri, 20 Dec 2024 00:00:00 GMT</t>
  </si>
  <si>
    <t>Thu, 19 Dec 2024 00:00:00 GMT</t>
  </si>
  <si>
    <t>Wed, 18 Dec 2024 00:00:00 GMT</t>
  </si>
  <si>
    <t>Tue, 17 Dec 2024 00:00:00 GMT</t>
  </si>
  <si>
    <t>Mon, 16 Dec 2024 00:00:00 GMT</t>
  </si>
  <si>
    <t>Fri, 13 Dec 2024 00:00:00 GMT</t>
  </si>
  <si>
    <t>Thu, 12 Dec 2024 00:00:00 GMT</t>
  </si>
  <si>
    <t>Wed, 11 Dec 2024 00:00:00 GMT</t>
  </si>
  <si>
    <t>Tue, 10 Dec 2024 00:00:00 GMT</t>
  </si>
  <si>
    <t>Mon, 09 Dec 2024 00:00:00 GMT</t>
  </si>
  <si>
    <t>Fri, 06 Dec 2024 00:00:00 GMT</t>
  </si>
  <si>
    <t>Thu, 05 Dec 2024 00:00:00 GMT</t>
  </si>
  <si>
    <t>Wed, 04 Dec 2024 00:00:00 GMT</t>
  </si>
  <si>
    <t>Tue, 03 Dec 2024 00:00:00 GMT</t>
  </si>
  <si>
    <t>Mon, 02 Dec 2024 00:00:00 GMT</t>
  </si>
  <si>
    <t>Fri, 29 Nov 2024 00:00:00 GMT</t>
  </si>
  <si>
    <t>Wed, 27 Nov 2024 00:00:00 GMT</t>
  </si>
  <si>
    <t>Tue, 26 Nov 2024 00:00:00 GMT</t>
  </si>
  <si>
    <t>Mon, 25 Nov 2024 00:00:00 GMT</t>
  </si>
  <si>
    <t>Fri, 22 Nov 2024 00:00:00 GMT</t>
  </si>
  <si>
    <t>Thu, 21 Nov 2024 00:00:00 GMT</t>
  </si>
  <si>
    <t>Wed, 20 Nov 2024 00:00:00 GMT</t>
  </si>
  <si>
    <t>Tue, 19 Nov 2024 00:00:00 GMT</t>
  </si>
  <si>
    <t>Mon, 18 Nov 2024 00:00:00 GMT</t>
  </si>
  <si>
    <t>Fri, 15 Nov 2024 00:00:00 GMT</t>
  </si>
  <si>
    <t>Thu, 14 Nov 2024 00:00:00 GMT</t>
  </si>
  <si>
    <t>Wed, 13 Nov 2024 00:00:00 GMT</t>
  </si>
  <si>
    <t>Tue, 12 Nov 2024 00:00:00 GMT</t>
  </si>
  <si>
    <t>Mon, 11 Nov 2024 00:00:00 GMT</t>
  </si>
  <si>
    <t>Fri, 08 Nov 2024 00:00:00 GMT</t>
  </si>
  <si>
    <t>Thu, 07 Nov 2024 00:00:00 GMT</t>
  </si>
  <si>
    <t>Wed, 06 Nov 2024 00:00:00 GMT</t>
  </si>
  <si>
    <t>Tue, 05 Nov 2024 00:00:00 GMT</t>
  </si>
  <si>
    <t>Mon, 04 Nov 2024 00:00:00 GMT</t>
  </si>
  <si>
    <t>Fri, 01 Nov 2024 00:00:00 GMT</t>
  </si>
  <si>
    <t>Thu, 31 Oct 2024 00:00:00 GMT</t>
  </si>
  <si>
    <t>Wed, 30 Oct 2024 00:00:00 GMT</t>
  </si>
  <si>
    <t>Tue, 29 Oct 2024 00:00:00 GMT</t>
  </si>
  <si>
    <t>Mon, 28 Oct 2024 00:00:00 GMT</t>
  </si>
  <si>
    <t>Fri, 25 Oct 2024 00:00:00 GMT</t>
  </si>
  <si>
    <t>Thu, 24 Oct 2024 00:00:00 GMT</t>
  </si>
  <si>
    <t>Wed, 23 Oct 2024 00:00:00 GMT</t>
  </si>
  <si>
    <t>Tue, 22 Oct 2024 00:00:00 GMT</t>
  </si>
  <si>
    <t>Mon, 21 Oct 2024 00:00:00 GMT</t>
  </si>
  <si>
    <t>Fri, 18 Oct 2024 00:00:00 GMT</t>
  </si>
  <si>
    <t>Thu, 17 Oct 2024 00:00:00 GMT</t>
  </si>
  <si>
    <t>Wed, 16 Oct 2024 00:00:00 GMT</t>
  </si>
  <si>
    <t>Tue, 15 Oct 2024 00:00:00 GMT</t>
  </si>
  <si>
    <t>Mon, 14 Oct 2024 00:00:00 GMT</t>
  </si>
  <si>
    <t>Fri, 11 Oct 2024 00:00:00 GMT</t>
  </si>
  <si>
    <t>Thu, 10 Oct 2024 00:00:00 GMT</t>
  </si>
  <si>
    <t>Wed, 09 Oct 2024 00:00:00 GMT</t>
  </si>
  <si>
    <t>Tue, 08 Oct 2024 00:00:00 GMT</t>
  </si>
  <si>
    <t>Mon, 07 Oct 2024 00:00:00 GMT</t>
  </si>
  <si>
    <t>Fri, 04 Oct 2024 00:00:00 GMT</t>
  </si>
  <si>
    <t>Thu, 03 Oct 2024 00:00:00 GMT</t>
  </si>
  <si>
    <t>Wed, 02 Oct 2024 00:00:00 GMT</t>
  </si>
  <si>
    <t>Tue, 01 Oct 2024 00:00:00 GMT</t>
  </si>
  <si>
    <t>Mon, 30 Sep 2024 00:00:00 GMT</t>
  </si>
  <si>
    <t>Fri, 27 Sep 2024 00:00:00 GMT</t>
  </si>
  <si>
    <t>Thu, 26 Sep 2024 00:00:00 GMT</t>
  </si>
  <si>
    <t>Wed, 25 Sep 2024 00:00:00 GMT</t>
  </si>
  <si>
    <t>Tue, 24 Sep 2024 00:00:00 GMT</t>
  </si>
  <si>
    <t>Mon, 23 Sep 2024 00:00:00 GMT</t>
  </si>
  <si>
    <t>Fri, 20 Sep 2024 00:00:00 GMT</t>
  </si>
  <si>
    <t>Thu, 19 Sep 2024 00:00:00 GMT</t>
  </si>
  <si>
    <t>Wed, 18 Sep 2024 00:00:00 GMT</t>
  </si>
  <si>
    <t>Tue, 17 Sep 2024 00:00:00 GMT</t>
  </si>
  <si>
    <t>Mon, 16 Sep 2024 00:00:00 GMT</t>
  </si>
  <si>
    <t>Fri, 13 Sep 2024 00:00:00 GMT</t>
  </si>
  <si>
    <t>Thu, 12 Sep 2024 00:00:00 GMT</t>
  </si>
  <si>
    <t>Wed, 11 Sep 2024 00:00:00 GMT</t>
  </si>
  <si>
    <t>Tue, 10 Sep 2024 00:00:00 GMT</t>
  </si>
  <si>
    <t>Mon, 09 Sep 2024 00:00:00 GMT</t>
  </si>
  <si>
    <t>Fri, 06 Sep 2024 00:00:00 GMT</t>
  </si>
  <si>
    <t>Thu, 05 Sep 2024 00:00:00 GMT</t>
  </si>
  <si>
    <t>Wed, 04 Sep 2024 00:00:00 GMT</t>
  </si>
  <si>
    <t>Tue, 03 Sep 2024 00:00:00 GMT</t>
  </si>
  <si>
    <t>Fri, 30 Aug 2024 00:00:00 GMT</t>
  </si>
  <si>
    <t>Thu, 29 Aug 2024 00:00:00 GMT</t>
  </si>
  <si>
    <t>Wed, 28 Aug 2024 00:00:00 GMT</t>
  </si>
  <si>
    <t>Tue, 27 Aug 2024 00:00:00 GMT</t>
  </si>
  <si>
    <t>Mon, 26 Aug 2024 00:00:00 GMT</t>
  </si>
  <si>
    <t>Fri, 23 Aug 2024 00:00:00 GMT</t>
  </si>
  <si>
    <t>Thu, 22 Aug 2024 00:00:00 GMT</t>
  </si>
  <si>
    <t>Wed, 21 Aug 2024 00:00:00 GMT</t>
  </si>
  <si>
    <t>Tue, 20 Aug 2024 00:00:00 GMT</t>
  </si>
  <si>
    <t>Mon, 19 Aug 2024 00:00:00 GMT</t>
  </si>
  <si>
    <t>Fri, 16 Aug 2024 00:00:00 GMT</t>
  </si>
  <si>
    <t>Thu, 15 Aug 2024 00:00:00 GMT</t>
  </si>
  <si>
    <t>Wed, 14 Aug 2024 00:00:00 GMT</t>
  </si>
  <si>
    <t>Tue, 13 Aug 2024 00:00:00 GMT</t>
  </si>
  <si>
    <t>Mon, 12 Aug 2024 00:00:00 GMT</t>
  </si>
  <si>
    <t>Fri, 09 Aug 2024 00:00:00 GMT</t>
  </si>
  <si>
    <t>Thu, 08 Aug 2024 00:00:00 GMT</t>
  </si>
  <si>
    <t>Wed, 07 Aug 2024 00:00:00 GMT</t>
  </si>
  <si>
    <t>Tue, 06 Aug 2024 00:00:00 GMT</t>
  </si>
  <si>
    <t>Mon, 05 Aug 2024 00:00:00 GMT</t>
  </si>
  <si>
    <t>Fri, 02 Aug 2024 00:00:00 GMT</t>
  </si>
  <si>
    <t>Thu, 01 Aug 2024 00:00:00 GMT</t>
  </si>
  <si>
    <t>Wed, 31 Jul 2024 00:00:00 GMT</t>
  </si>
  <si>
    <t>Tue, 30 Jul 2024 00:00:00 GMT</t>
  </si>
  <si>
    <t>Mon, 29 Jul 2024 00:00:00 GMT</t>
  </si>
  <si>
    <t>Fri, 26 Jul 2024 00:00:00 GMT</t>
  </si>
  <si>
    <t>Thu, 25 Jul 2024 00:00:00 GMT</t>
  </si>
  <si>
    <t>Wed, 24 Jul 2024 00:00:00 GMT</t>
  </si>
  <si>
    <t>Tue, 23 Jul 2024 00:00:00 GMT</t>
  </si>
  <si>
    <t>Mon, 22 Jul 2024 00:00:00 GMT</t>
  </si>
  <si>
    <t>Fri, 19 Jul 2024 00:00:00 GMT</t>
  </si>
  <si>
    <t>Thu, 18 Jul 2024 00:00:00 GMT</t>
  </si>
  <si>
    <t>Wed, 17 Jul 2024 00:00:00 GMT</t>
  </si>
  <si>
    <t>Tue, 16 Jul 2024 00:00:00 GMT</t>
  </si>
  <si>
    <t>Mon, 15 Jul 2024 00:00:00 GMT</t>
  </si>
  <si>
    <t>Fri, 12 Jul 2024 00:00:00 GMT</t>
  </si>
  <si>
    <t>Thu, 11 Jul 2024 00:00:00 GMT</t>
  </si>
  <si>
    <t>Wed, 10 Jul 2024 00:00:00 GMT</t>
  </si>
  <si>
    <t>Tue, 09 Jul 2024 00:00:00 GMT</t>
  </si>
  <si>
    <t>Mon, 08 Jul 2024 00:00:00 GMT</t>
  </si>
  <si>
    <t>Fri, 05 Jul 2024 00:00:00 GMT</t>
  </si>
  <si>
    <t>Wed, 03 Jul 2024 00:00:00 GMT</t>
  </si>
  <si>
    <t>Tue, 02 Jul 2024 00:00:00 GMT</t>
  </si>
  <si>
    <t>Mon, 01 Jul 2024 00:00:00 GMT</t>
  </si>
  <si>
    <t>Fri, 28 Jun 2024 00:00:00 GMT</t>
  </si>
  <si>
    <t>Thu, 27 Jun 2024 00:00:00 GMT</t>
  </si>
  <si>
    <t>Wed, 26 Jun 2024 00:00:00 GMT</t>
  </si>
  <si>
    <t>Tue, 25 Jun 2024 00:00:00 GMT</t>
  </si>
  <si>
    <t>Mon, 24 Jun 2024 00:00:00 GMT</t>
  </si>
  <si>
    <t>Fri, 21 Jun 2024 00:00:00 GMT</t>
  </si>
  <si>
    <t>Thu, 20 Jun 2024 00:00:00 GMT</t>
  </si>
  <si>
    <t>Tue, 18 Jun 2024 00:00:00 GMT</t>
  </si>
  <si>
    <t>Mon, 17 Jun 2024 00:00:00 GMT</t>
  </si>
  <si>
    <t>Fri, 14 Jun 2024 00:00:00 GMT</t>
  </si>
  <si>
    <t>Thu, 13 Jun 2024 00:00:00 GMT</t>
  </si>
  <si>
    <t>Wed, 12 Jun 2024 00:00:00 GMT</t>
  </si>
  <si>
    <t>Tue, 11 Jun 2024 00:00:00 GMT</t>
  </si>
  <si>
    <t>Mon, 10 Jun 2024 00:00:00 GMT</t>
  </si>
  <si>
    <t>Fri, 07 Jun 2024 00:00:00 GMT</t>
  </si>
  <si>
    <t>Thu, 06 Jun 2024 00:00:00 GMT</t>
  </si>
  <si>
    <t>Wed, 05 Jun 2024 00:00:00 GMT</t>
  </si>
  <si>
    <t>Tue, 04 Jun 2024 00:00:00 GMT</t>
  </si>
  <si>
    <t>Mon, 03 Jun 2024 00:00:00 GMT</t>
  </si>
  <si>
    <t>Fri, 31 May 2024 00:00:00 GMT</t>
  </si>
  <si>
    <t>Thu, 30 May 2024 00:00:00 GMT</t>
  </si>
  <si>
    <t>Wed, 29 May 2024 00:00:00 GMT</t>
  </si>
  <si>
    <t>Tue, 28 May 2024 00:00:00 GMT</t>
  </si>
  <si>
    <t>Fri, 24 May 2024 00:00:00 GMT</t>
  </si>
  <si>
    <t>Thu, 23 May 2024 00:00:00 GMT</t>
  </si>
  <si>
    <t>Wed, 22 May 2024 00:00:00 GMT</t>
  </si>
  <si>
    <t>Tue, 21 May 2024 00:00:00 GMT</t>
  </si>
  <si>
    <t>Mon, 20 May 2024 00:00:00 GMT</t>
  </si>
  <si>
    <t>Fri, 17 May 2024 00:00:00 GMT</t>
  </si>
  <si>
    <t>Thu, 16 May 2024 00:00:00 GMT</t>
  </si>
  <si>
    <t>Wed, 15 May 2024 00:00:00 GMT</t>
  </si>
  <si>
    <t>Tue, 14 May 2024 00:00:00 GMT</t>
  </si>
  <si>
    <t>Mon, 13 May 2024 00:00:00 GMT</t>
  </si>
  <si>
    <t>Fri, 10 May 2024 00:00:00 GMT</t>
  </si>
  <si>
    <t>Thu, 09 May 2024 00:00:00 GMT</t>
  </si>
  <si>
    <t>Wed, 08 May 2024 00:00:00 GMT</t>
  </si>
  <si>
    <t>Tue, 07 May 2024 00:00:00 GMT</t>
  </si>
  <si>
    <t>Mon, 06 May 2024 00:00:00 GMT</t>
  </si>
  <si>
    <t>Fri, 03 May 2024 00:00:00 GMT</t>
  </si>
  <si>
    <t>Thu, 02 May 2024 00:00:00 GMT</t>
  </si>
  <si>
    <t>Wed, 01 May 2024 00:00:00 GMT</t>
  </si>
  <si>
    <t>Tue, 30 Apr 2024 00:00:00 GMT</t>
  </si>
  <si>
    <t>Mon, 29 Apr 2024 00:00:00 GMT</t>
  </si>
  <si>
    <t>Fri, 26 Apr 2024 00:00:00 GMT</t>
  </si>
  <si>
    <t>Thu, 25 Apr 2024 00:00:00 GMT</t>
  </si>
  <si>
    <t>Wed, 24 Apr 2024 00:00:00 GMT</t>
  </si>
  <si>
    <t>Tue, 23 Apr 2024 00:00:00 GMT</t>
  </si>
  <si>
    <t>Mon, 22 Apr 2024 00:00:00 GMT</t>
  </si>
  <si>
    <t>Fri, 19 Apr 2024 00:00:00 GMT</t>
  </si>
  <si>
    <t>Thu, 18 Apr 2024 00:00:00 GMT</t>
  </si>
  <si>
    <t>Wed, 17 Apr 2024 00:00:00 GMT</t>
  </si>
  <si>
    <t>Tue, 16 Apr 2024 00:00:00 GMT</t>
  </si>
  <si>
    <t>Mon, 15 Apr 2024 00:00:00 GMT</t>
  </si>
  <si>
    <t>Fri, 12 Apr 2024 00:00:00 GMT</t>
  </si>
  <si>
    <t>Thu, 11 Apr 2024 00:00:00 GMT</t>
  </si>
  <si>
    <t>Wed, 10 Apr 2024 00:00:00 GMT</t>
  </si>
  <si>
    <t>Tue, 09 Apr 2024 00:00:00 GMT</t>
  </si>
  <si>
    <t>Mon, 08 Apr 2024 00:00:00 GMT</t>
  </si>
  <si>
    <t>Fri, 05 Apr 2024 00:00:00 GMT</t>
  </si>
  <si>
    <t>Thu, 04 Apr 2024 00:00:00 GMT</t>
  </si>
  <si>
    <t>Wed, 03 Apr 2024 00:00:00 GMT</t>
  </si>
  <si>
    <t>Tue, 02 Apr 2024 00:00:00 GMT</t>
  </si>
  <si>
    <t>Mon, 01 Apr 2024 00:00:00 GMT</t>
  </si>
  <si>
    <t>Thu, 28 Mar 2024 00:00:00 GMT</t>
  </si>
  <si>
    <t>Wed, 27 Mar 2024 00:00:00 GMT</t>
  </si>
  <si>
    <t>Tue, 26 Mar 2024 00:00:00 GMT</t>
  </si>
  <si>
    <t>Mon, 25 Mar 2024 00:00:00 GMT</t>
  </si>
  <si>
    <t>Fri, 22 Mar 2024 00:00:00 GMT</t>
  </si>
  <si>
    <t>Thu, 21 Mar 2024 00:00:00 GMT</t>
  </si>
  <si>
    <t>Wed, 20 Mar 2024 00:00:00 GMT</t>
  </si>
  <si>
    <t>Tue, 19 Mar 2024 00:00:00 GMT</t>
  </si>
  <si>
    <t>Mon, 18 Mar 2024 00:00:00 GMT</t>
  </si>
  <si>
    <t>Fri, 15 Mar 2024 00:00:00 GMT</t>
  </si>
  <si>
    <t>Thu, 14 Mar 2024 00:00:00 GMT</t>
  </si>
  <si>
    <t>Wed, 13 Mar 2024 00:00:00 GMT</t>
  </si>
  <si>
    <t>Tue, 12 Mar 2024 00:00:00 GMT</t>
  </si>
  <si>
    <t>Mon, 11 Mar 2024 00:00:00 GMT</t>
  </si>
  <si>
    <t>Fri, 08 Mar 2024 00:00:00 GMT</t>
  </si>
  <si>
    <t>Thu, 07 Mar 2024 00:00:00 GMT</t>
  </si>
  <si>
    <t>Wed, 06 Mar 2024 00:00:00 GMT</t>
  </si>
  <si>
    <t>Tue, 05 Mar 2024 00:00:00 GMT</t>
  </si>
  <si>
    <t>Mon, 04 Mar 2024 00:00:00 GMT</t>
  </si>
  <si>
    <t>Fri, 01 Mar 2024 00:00:00 GMT</t>
  </si>
  <si>
    <t>Thu, 29 Feb 2024 00:00:00 GMT</t>
  </si>
  <si>
    <t>Wed, 28 Feb 2024 00:00:00 GMT</t>
  </si>
  <si>
    <t>Tue, 27 Feb 2024 00:00:00 GMT</t>
  </si>
  <si>
    <t>Mon, 26 Feb 2024 00:00:00 GMT</t>
  </si>
  <si>
    <t>Fri, 23 Feb 2024 00:00:00 GMT</t>
  </si>
  <si>
    <t>Thu, 22 Feb 2024 00:00:00 GMT</t>
  </si>
  <si>
    <t>Wed, 21 Feb 2024 00:00:00 GMT</t>
  </si>
  <si>
    <t>Tue, 20 Feb 2024 00:00:00 GMT</t>
  </si>
  <si>
    <t>Fri, 16 Feb 2024 00:00:00 GMT</t>
  </si>
  <si>
    <t>Thu, 15 Feb 2024 00:00:00 GMT</t>
  </si>
  <si>
    <t>Wed, 14 Feb 2024 00:00:00 GMT</t>
  </si>
  <si>
    <t>Tue, 13 Feb 2024 00:00:00 GMT</t>
  </si>
  <si>
    <t>Mon, 12 Feb 2024 00:00:00 GMT</t>
  </si>
  <si>
    <t>Fri, 09 Feb 2024 00:00:00 GMT</t>
  </si>
  <si>
    <t>Thu, 08 Feb 2024 00:00:00 GMT</t>
  </si>
  <si>
    <t>Wed, 07 Feb 2024 00:00:00 GMT</t>
  </si>
  <si>
    <t>Tue, 06 Feb 2024 00:00:00 GMT</t>
  </si>
  <si>
    <t>Mon, 05 Feb 2024 00:00:00 GMT</t>
  </si>
  <si>
    <t>Fri, 02 Feb 2024 00:00:00 GMT</t>
  </si>
  <si>
    <t>Thu, 01 Feb 2024 00:00:00 GMT</t>
  </si>
  <si>
    <t>Wed, 31 Jan 2024 00:00:00 GMT</t>
  </si>
  <si>
    <t>Tue, 30 Jan 2024 00:00:00 GMT</t>
  </si>
  <si>
    <t>Mon, 29 Jan 2024 00:00:00 GMT</t>
  </si>
  <si>
    <t>Fri, 26 Jan 2024 00:00:00 GMT</t>
  </si>
  <si>
    <t>Thu, 25 Jan 2024 00:00:00 GMT</t>
  </si>
  <si>
    <t>Wed, 24 Jan 2024 00:00:00 GMT</t>
  </si>
  <si>
    <t>Tue, 23 Jan 2024 00:00:00 GMT</t>
  </si>
  <si>
    <t>Mon, 22 Jan 2024 00:00:00 GMT</t>
  </si>
  <si>
    <t>Fri, 19 Jan 2024 00:00:00 GMT</t>
  </si>
  <si>
    <t>Thu, 18 Jan 2024 00:00:00 GMT</t>
  </si>
  <si>
    <t>Wed, 17 Jan 2024 00:00:00 GMT</t>
  </si>
  <si>
    <t>Tue, 16 Jan 2024 00:00:00 GMT</t>
  </si>
  <si>
    <t>Fri, 12 Jan 2024 00:00:00 GMT</t>
  </si>
  <si>
    <t>Thu, 11 Jan 2024 00:00:00 GMT</t>
  </si>
  <si>
    <t>Wed, 10 Jan 2024 00:00:00 GMT</t>
  </si>
  <si>
    <t>Tue, 09 Jan 2024 00:00:00 GMT</t>
  </si>
  <si>
    <t>Mon, 08 Jan 2024 00:00:00 GMT</t>
  </si>
  <si>
    <t>Fri, 05 Jan 2024 00:00:00 GMT</t>
  </si>
  <si>
    <t>Thu, 04 Jan 2024 00:00:00 GMT</t>
  </si>
  <si>
    <t>Wed, 03 Jan 2024 00:00:00 GMT</t>
  </si>
  <si>
    <t>Tue, 02 Jan 2024 00:00:00 GMT</t>
  </si>
  <si>
    <t>Fri, 29 Dec 2023 00:00:00 GMT</t>
  </si>
  <si>
    <t>Thu, 28 Dec 2023 00:00:00 GMT</t>
  </si>
  <si>
    <t>Wed, 27 Dec 2023 00:00:00 GMT</t>
  </si>
  <si>
    <t>Tue, 26 Dec 2023 00:00:00 GMT</t>
  </si>
  <si>
    <t>Fri, 22 Dec 2023 00:00:00 GMT</t>
  </si>
  <si>
    <t>Thu, 21 Dec 2023 00:00:00 GMT</t>
  </si>
  <si>
    <t>Wed, 20 Dec 2023 00:00:00 GMT</t>
  </si>
  <si>
    <t>Tue, 19 Dec 2023 00:00:00 GMT</t>
  </si>
  <si>
    <t>Mon, 18 Dec 2023 00:00:00 GMT</t>
  </si>
  <si>
    <t>Fri, 15 Dec 2023 00:00:00 GMT</t>
  </si>
  <si>
    <t>Thu, 14 Dec 2023 00:00:00 GMT</t>
  </si>
  <si>
    <t>Wed, 13 Dec 2023 00:00:00 GMT</t>
  </si>
  <si>
    <t>Tue, 12 Dec 2023 00:00:00 GMT</t>
  </si>
  <si>
    <t>Mon, 11 Dec 2023 00:00:00 GMT</t>
  </si>
  <si>
    <t>Fri, 08 Dec 2023 00:00:00 GMT</t>
  </si>
  <si>
    <t>Thu, 07 Dec 2023 00:00:00 GMT</t>
  </si>
  <si>
    <t>Wed, 06 Dec 2023 00:00:00 GMT</t>
  </si>
  <si>
    <t>Tue, 05 Dec 2023 00:00:00 GMT</t>
  </si>
  <si>
    <t>Mon, 04 Dec 2023 00:00:00 GMT</t>
  </si>
  <si>
    <t>Fri, 01 Dec 2023 00:00:00 GMT</t>
  </si>
  <si>
    <t>Thu, 30 Nov 2023 00:00:00 GMT</t>
  </si>
  <si>
    <t>Wed, 29 Nov 2023 00:00:00 GMT</t>
  </si>
  <si>
    <t>Tue, 28 Nov 2023 00:00:00 GMT</t>
  </si>
  <si>
    <t>Mon, 27 Nov 2023 00:00:00 GMT</t>
  </si>
  <si>
    <t>Fri, 24 Nov 2023 00:00:00 GMT</t>
  </si>
  <si>
    <t>Wed, 22 Nov 2023 00:00:00 GMT</t>
  </si>
  <si>
    <t>Tue, 21 Nov 2023 00:00:00 GMT</t>
  </si>
  <si>
    <t>Mon, 20 Nov 2023 00:00:00 GMT</t>
  </si>
  <si>
    <t>Fri, 17 Nov 2023 00:00:00 GMT</t>
  </si>
  <si>
    <t>Thu, 16 Nov 2023 00:00:00 GMT</t>
  </si>
  <si>
    <t>Wed, 15 Nov 2023 00:00:00 GMT</t>
  </si>
  <si>
    <t>Tue, 14 Nov 2023 00:00:00 GMT</t>
  </si>
  <si>
    <t>Mon, 13 Nov 2023 00:00:00 GMT</t>
  </si>
  <si>
    <t>Fri, 10 Nov 2023 00:00:00 GMT</t>
  </si>
  <si>
    <t>Thu, 09 Nov 2023 00:00:00 GMT</t>
  </si>
  <si>
    <t>Wed, 08 Nov 2023 00:00:00 GMT</t>
  </si>
  <si>
    <t>Tue, 07 Nov 2023 00:00:00 GMT</t>
  </si>
  <si>
    <t>Mon, 06 Nov 2023 00:00:00 GMT</t>
  </si>
  <si>
    <t>Fri, 03 Nov 2023 00:00:00 GMT</t>
  </si>
  <si>
    <t>Thu, 02 Nov 2023 00:00:00 GMT</t>
  </si>
  <si>
    <t>Wed, 01 Nov 2023 00:00:00 GMT</t>
  </si>
  <si>
    <t>Tue, 31 Oct 2023 00:00:00 GMT</t>
  </si>
  <si>
    <t>Mon, 30 Oct 2023 00:00:00 GMT</t>
  </si>
  <si>
    <t>Fri, 27 Oct 2023 00:00:00 GMT</t>
  </si>
  <si>
    <t>Thu, 26 Oct 2023 00:00:00 GMT</t>
  </si>
  <si>
    <t>Wed, 25 Oct 2023 00:00:00 GMT</t>
  </si>
  <si>
    <t>Tue, 24 Oct 2023 00:00:00 GMT</t>
  </si>
  <si>
    <t>Mon, 23 Oct 2023 00:00:00 GMT</t>
  </si>
  <si>
    <t>Fri, 20 Oct 2023 00:00:00 GMT</t>
  </si>
  <si>
    <t>Thu, 19 Oct 2023 00:00:00 GMT</t>
  </si>
  <si>
    <t>Wed, 18 Oct 2023 00:00:00 GMT</t>
  </si>
  <si>
    <t>Tue, 17 Oct 2023 00:00:00 GMT</t>
  </si>
  <si>
    <t>Mon, 16 Oct 2023 00:00:00 GMT</t>
  </si>
  <si>
    <t>Fri, 13 Oct 2023 00:00:00 GMT</t>
  </si>
  <si>
    <t>Thu, 12 Oct 2023 00:00:00 GMT</t>
  </si>
  <si>
    <t>Wed, 11 Oct 2023 00:00:00 GMT</t>
  </si>
  <si>
    <t>Tue, 10 Oct 2023 00:00:00 GMT</t>
  </si>
  <si>
    <t>Mon, 09 Oct 2023 00:00:00 GMT</t>
  </si>
  <si>
    <t>Fri, 06 Oct 2023 00:00:00 GMT</t>
  </si>
  <si>
    <t>Thu, 05 Oct 2023 00:00:00 GMT</t>
  </si>
  <si>
    <t>Wed, 04 Oct 2023 00:00:00 GMT</t>
  </si>
  <si>
    <t>Tue, 03 Oct 2023 00:00:00 GMT</t>
  </si>
  <si>
    <t>Mon, 02 Oct 2023 00:00:00 GMT</t>
  </si>
  <si>
    <t>Fri, 29 Sep 2023 00:00:00 GMT</t>
  </si>
  <si>
    <t>Thu, 28 Sep 2023 00:00:00 GMT</t>
  </si>
  <si>
    <t>Wed, 27 Sep 2023 00:00:00 GMT</t>
  </si>
  <si>
    <t>Tue, 26 Sep 2023 00:00:00 GMT</t>
  </si>
  <si>
    <t>Mon, 25 Sep 2023 00:00:00 GMT</t>
  </si>
  <si>
    <t>Fri, 22 Sep 2023 00:00:00 GMT</t>
  </si>
  <si>
    <t>Thu, 21 Sep 2023 00:00:00 GMT</t>
  </si>
  <si>
    <t>Wed, 20 Sep 2023 00:00:00 GMT</t>
  </si>
  <si>
    <t>Tue, 19 Sep 2023 00:00:00 GMT</t>
  </si>
  <si>
    <t>Mon, 18 Sep 2023 00:00:00 GMT</t>
  </si>
  <si>
    <t>Fri, 15 Sep 2023 00:00:00 GMT</t>
  </si>
  <si>
    <t>Thu, 14 Sep 2023 00:00:00 GMT</t>
  </si>
  <si>
    <t>Wed, 13 Sep 2023 00:00:00 GMT</t>
  </si>
  <si>
    <t>Tue, 12 Sep 2023 00:00:00 GMT</t>
  </si>
  <si>
    <t>Mon, 11 Sep 2023 00:00:00 GMT</t>
  </si>
  <si>
    <t>Fri, 08 Sep 2023 00:00:00 GMT</t>
  </si>
  <si>
    <t>Thu, 07 Sep 2023 00:00:00 GMT</t>
  </si>
  <si>
    <t>Wed, 06 Sep 2023 00:00:00 GMT</t>
  </si>
  <si>
    <t>Tue, 05 Sep 2023 00:00:00 GMT</t>
  </si>
  <si>
    <t>Fri, 01 Sep 2023 00:00:00 GMT</t>
  </si>
  <si>
    <t>Thu, 31 Aug 2023 00:00:00 GMT</t>
  </si>
  <si>
    <t>Wed, 30 Aug 2023 00:00:00 GMT</t>
  </si>
  <si>
    <t>Tue, 29 Aug 2023 00:00:00 GMT</t>
  </si>
  <si>
    <t>Mon, 28 Aug 2023 00:00:00 GMT</t>
  </si>
  <si>
    <t>Fri, 25 Aug 2023 00:00:00 GMT</t>
  </si>
  <si>
    <t>Thu, 24 Aug 2023 00:00:00 GMT</t>
  </si>
  <si>
    <t>Wed, 23 Aug 2023 00:00:00 GMT</t>
  </si>
  <si>
    <t>Tue, 22 Aug 2023 00:00:00 GMT</t>
  </si>
  <si>
    <t>Mon, 21 Aug 2023 00:00:00 GMT</t>
  </si>
  <si>
    <t>Fri, 18 Aug 2023 00:00:00 GMT</t>
  </si>
  <si>
    <t>Thu, 17 Aug 2023 00:00:00 GMT</t>
  </si>
  <si>
    <t>Wed, 16 Aug 2023 00:00:00 GMT</t>
  </si>
  <si>
    <t>Tue, 15 Aug 2023 00:00:00 GMT</t>
  </si>
  <si>
    <t>Mon, 14 Aug 2023 00:00:00 GMT</t>
  </si>
  <si>
    <t>Fri, 11 Aug 2023 00:00:00 GMT</t>
  </si>
  <si>
    <t>Thu, 10 Aug 2023 00:00:00 GMT</t>
  </si>
  <si>
    <t>Wed, 09 Aug 2023 00:00:00 GMT</t>
  </si>
  <si>
    <t>Tue, 08 Aug 2023 00:00:00 GMT</t>
  </si>
  <si>
    <t>Mon, 07 Aug 2023 00:00:00 GMT</t>
  </si>
  <si>
    <t>Fri, 04 Aug 2023 00:00:00 GMT</t>
  </si>
  <si>
    <t>Thu, 03 Aug 2023 00:00:00 GMT</t>
  </si>
  <si>
    <t>Wed, 02 Aug 2023 00:00:00 GMT</t>
  </si>
  <si>
    <t>Tue, 01 Aug 2023 00:00:00 GMT</t>
  </si>
  <si>
    <t>Mon, 31 Jul 2023 00:00:00 GMT</t>
  </si>
  <si>
    <t>Fri, 28 Jul 2023 00:00:00 GMT</t>
  </si>
  <si>
    <t>Thu, 27 Jul 2023 00:00:00 GMT</t>
  </si>
  <si>
    <t>Wed, 26 Jul 2023 00:00:00 GMT</t>
  </si>
  <si>
    <t>Tue, 25 Jul 2023 00:00:00 GMT</t>
  </si>
  <si>
    <t>Mon, 24 Jul 2023 00:00:00 GMT</t>
  </si>
  <si>
    <t>Fri, 21 Jul 2023 00:00:00 GMT</t>
  </si>
  <si>
    <t>Thu, 20 Jul 2023 00:00:00 GMT</t>
  </si>
  <si>
    <t>Wed, 19 Jul 2023 00:00:00 GMT</t>
  </si>
  <si>
    <t>Tue, 18 Jul 2023 00:00:00 GMT</t>
  </si>
  <si>
    <t>Mon, 17 Jul 2023 00:00:00 GMT</t>
  </si>
  <si>
    <t>Fri, 14 Jul 2023 00:00:00 GMT</t>
  </si>
  <si>
    <t>Thu, 13 Jul 2023 00:00:00 GMT</t>
  </si>
  <si>
    <t>Wed, 12 Jul 2023 00:00:00 GMT</t>
  </si>
  <si>
    <t>Tue, 11 Jul 2023 00:00:00 GMT</t>
  </si>
  <si>
    <t>Mon, 10 Jul 2023 00:00:00 GMT</t>
  </si>
  <si>
    <t>Fri, 07 Jul 2023 00:00:00 GMT</t>
  </si>
  <si>
    <t>Thu, 06 Jul 2023 00:00:00 GMT</t>
  </si>
  <si>
    <t>Wed, 05 Jul 2023 00:00:00 GMT</t>
  </si>
  <si>
    <t>Mon, 03 Jul 2023 00:00:00 GMT</t>
  </si>
  <si>
    <t>Fri, 30 Jun 2023 00:00:00 GMT</t>
  </si>
  <si>
    <t>Thu, 29 Jun 2023 00:00:00 GMT</t>
  </si>
  <si>
    <t>Wed, 28 Jun 2023 00:00:00 GMT</t>
  </si>
  <si>
    <t>Tue, 27 Jun 2023 00:00:00 GMT</t>
  </si>
  <si>
    <t>Mon, 26 Jun 2023 00:00:00 GMT</t>
  </si>
  <si>
    <t>Fri, 23 Jun 2023 00:00:00 GMT</t>
  </si>
  <si>
    <t>Thu, 22 Jun 2023 00:00:00 GMT</t>
  </si>
  <si>
    <t>Wed, 21 Jun 2023 00:00:00 GMT</t>
  </si>
  <si>
    <t>Tue, 20 Jun 2023 00:00:00 GMT</t>
  </si>
  <si>
    <t>Fri, 16 Jun 2023 00:00:00 GMT</t>
  </si>
  <si>
    <t>Thu, 15 Jun 2023 00:00:00 GMT</t>
  </si>
  <si>
    <t>Wed, 14 Jun 2023 00:00:00 GMT</t>
  </si>
  <si>
    <t>Tue, 13 Jun 2023 00:00:00 GMT</t>
  </si>
  <si>
    <t>Mon, 12 Jun 2023 00:00:00 GMT</t>
  </si>
  <si>
    <t>Fri, 09 Jun 2023 00:00:00 GMT</t>
  </si>
  <si>
    <t>Thu, 08 Jun 2023 00:00:00 GMT</t>
  </si>
  <si>
    <t>Wed, 07 Jun 2023 00:00:00 GMT</t>
  </si>
  <si>
    <t>Tue, 06 Jun 2023 00:00:00 GMT</t>
  </si>
  <si>
    <t>Mon, 05 Jun 2023 00:00:00 GMT</t>
  </si>
  <si>
    <t>Fri, 02 Jun 2023 00:00:00 GMT</t>
  </si>
  <si>
    <t>Thu, 01 Jun 2023 00:00:00 GMT</t>
  </si>
  <si>
    <t>Wed, 31 May 2023 00:00:00 GMT</t>
  </si>
  <si>
    <t>Tue, 30 May 2023 00:00:00 GMT</t>
  </si>
  <si>
    <t>Fri, 26 May 2023 00:00:00 GMT</t>
  </si>
  <si>
    <t>Thu, 25 May 2023 00:00:00 GMT</t>
  </si>
  <si>
    <t>Wed, 24 May 2023 00:00:00 GMT</t>
  </si>
  <si>
    <t>Tue, 23 May 2023 00:00:00 GMT</t>
  </si>
  <si>
    <t>Mon, 22 May 2023 00:00:00 GMT</t>
  </si>
  <si>
    <t>Fri, 19 May 2023 00:00:00 GMT</t>
  </si>
  <si>
    <t>Thu, 18 May 2023 00:00:00 GMT</t>
  </si>
  <si>
    <t>Wed, 17 May 2023 00:00:00 GMT</t>
  </si>
  <si>
    <t>Tue, 16 May 2023 00:00:00 GMT</t>
  </si>
  <si>
    <t>Mon, 15 May 2023 00:00:00 GMT</t>
  </si>
  <si>
    <t>Fri, 12 May 2023 00:00:00 GMT</t>
  </si>
  <si>
    <t>Thu, 11 May 2023 00:00:00 GMT</t>
  </si>
  <si>
    <t>Wed, 10 May 2023 00:00:00 GMT</t>
  </si>
  <si>
    <t>Tue, 09 May 2023 00:00:00 GMT</t>
  </si>
  <si>
    <t>Mon, 08 May 2023 00:00:00 GMT</t>
  </si>
  <si>
    <t>Fri, 05 May 2023 00:00:00 GMT</t>
  </si>
  <si>
    <t>Thu, 04 May 2023 00:00:00 GMT</t>
  </si>
  <si>
    <t>Wed, 03 May 2023 00:00:00 GMT</t>
  </si>
  <si>
    <t>Tue, 02 May 2023 00:00:00 GMT</t>
  </si>
  <si>
    <t>Mon, 01 May 2023 00:00:00 GMT</t>
  </si>
  <si>
    <t>Fri, 28 Apr 2023 00:00:00 GMT</t>
  </si>
  <si>
    <t>Thu, 27 Apr 2023 00:00:00 GMT</t>
  </si>
  <si>
    <t>Wed, 26 Apr 2023 00:00:00 GMT</t>
  </si>
  <si>
    <t>Tue, 25 Apr 2023 00:00:00 GMT</t>
  </si>
  <si>
    <t>Mon, 24 Apr 2023 00:00:00 GMT</t>
  </si>
  <si>
    <t>Fri, 21 Apr 2023 00:00:00 GMT</t>
  </si>
  <si>
    <t>Thu, 20 Apr 2023 00:00:00 GMT</t>
  </si>
  <si>
    <t>Wed, 19 Apr 2023 00:00:00 GMT</t>
  </si>
  <si>
    <t>Tue, 18 Apr 2023 00:00:00 GMT</t>
  </si>
  <si>
    <t>Mon, 17 Apr 2023 00:00:00 GMT</t>
  </si>
  <si>
    <t>Fri, 14 Apr 2023 00:00:00 GMT</t>
  </si>
  <si>
    <t>Thu, 13 Apr 2023 00:00:00 GMT</t>
  </si>
  <si>
    <t>Wed, 12 Apr 2023 00:00:00 GMT</t>
  </si>
  <si>
    <t>Tue, 11 Apr 2023 00:00:00 GMT</t>
  </si>
  <si>
    <t>Mon, 10 Apr 2023 00:00:00 GMT</t>
  </si>
  <si>
    <t>Thu, 06 Apr 2023 00:00:00 GMT</t>
  </si>
  <si>
    <t>Wed, 05 Apr 2023 00:00:00 GMT</t>
  </si>
  <si>
    <t>Tue, 04 Apr 2023 00:00:00 GMT</t>
  </si>
  <si>
    <t>Mon, 03 Apr 2023 00:00:00 GMT</t>
  </si>
  <si>
    <t>Fri, 31 Mar 2023 00:00:00 GMT</t>
  </si>
  <si>
    <t>Thu, 30 Mar 2023 00:00:00 GMT</t>
  </si>
  <si>
    <t>Wed, 29 Mar 2023 00:00:00 GMT</t>
  </si>
  <si>
    <t>Tue, 28 Mar 2023 00:00:00 GMT</t>
  </si>
  <si>
    <t>Mon, 27 Mar 2023 00:00:00 GMT</t>
  </si>
  <si>
    <t>Fri, 24 Mar 2023 00:00:00 GMT</t>
  </si>
  <si>
    <t>Thu, 23 Mar 2023 00:00:00 GMT</t>
  </si>
  <si>
    <t>Wed, 22 Mar 2023 00:00:00 GMT</t>
  </si>
  <si>
    <t>Tue, 21 Mar 2023 00:00:00 GMT</t>
  </si>
  <si>
    <t>Mon, 20 Mar 2023 00:00:00 GMT</t>
  </si>
  <si>
    <t>Fri, 17 Mar 2023 00:00:00 GMT</t>
  </si>
  <si>
    <t>Thu, 16 Mar 2023 00:00:00 GMT</t>
  </si>
  <si>
    <t>Wed, 15 Mar 2023 00:00:00 GMT</t>
  </si>
  <si>
    <t>Tue, 14 Mar 2023 00:00:00 GMT</t>
  </si>
  <si>
    <t>Mon, 13 Mar 2023 00:00:00 GMT</t>
  </si>
  <si>
    <t>Fri, 10 Mar 2023 00:00:00 GMT</t>
  </si>
  <si>
    <t>Thu, 09 Mar 2023 00:00:00 GMT</t>
  </si>
  <si>
    <t>Wed, 08 Mar 2023 00:00:00 GMT</t>
  </si>
  <si>
    <t>Tue, 07 Mar 2023 00:00:00 GMT</t>
  </si>
  <si>
    <t>Mon, 06 Mar 2023 00:00:00 GMT</t>
  </si>
  <si>
    <t>Fri, 03 Mar 2023 00:00:00 GMT</t>
  </si>
  <si>
    <t>Thu, 02 Mar 2023 00:00:00 GMT</t>
  </si>
  <si>
    <t>Wed, 01 Mar 2023 00:00:00 GMT</t>
  </si>
  <si>
    <t>Tue, 28 Feb 2023 00:00:00 GMT</t>
  </si>
  <si>
    <t>Mon, 27 Feb 2023 00:00:00 GMT</t>
  </si>
  <si>
    <t>Fri, 24 Feb 2023 00:00:00 GMT</t>
  </si>
  <si>
    <t>Thu, 23 Feb 2023 00:00:00 GMT</t>
  </si>
  <si>
    <t>Wed, 22 Feb 2023 00:00:00 GMT</t>
  </si>
  <si>
    <t>Tue, 21 Feb 2023 00:00:00 GMT</t>
  </si>
  <si>
    <t>Fri, 17 Feb 2023 00:00:00 GMT</t>
  </si>
  <si>
    <t>Thu, 16 Feb 2023 00:00:00 GMT</t>
  </si>
  <si>
    <t>Wed, 15 Feb 2023 00:00:00 GMT</t>
  </si>
  <si>
    <t>Tue, 14 Feb 2023 00:00:00 GMT</t>
  </si>
  <si>
    <t>Mon, 13 Feb 2023 00:00:00 GMT</t>
  </si>
  <si>
    <t>Fri, 10 Feb 2023 00:00:00 GMT</t>
  </si>
  <si>
    <t>Thu, 09 Feb 2023 00:00:00 GMT</t>
  </si>
  <si>
    <t>Wed, 08 Feb 2023 00:00:00 GMT</t>
  </si>
  <si>
    <t>Tue, 07 Feb 2023 00:00:00 GMT</t>
  </si>
  <si>
    <t>Mon, 06 Feb 2023 00:00:00 GMT</t>
  </si>
  <si>
    <t>Fri, 03 Feb 2023 00:00:00 GMT</t>
  </si>
  <si>
    <t>Thu, 02 Feb 2023 00:00:00 GMT</t>
  </si>
  <si>
    <t>Wed, 01 Feb 2023 00:00:00 GMT</t>
  </si>
  <si>
    <t>Tue, 31 Jan 2023 00:00:00 GMT</t>
  </si>
  <si>
    <t>Mon, 30 Jan 2023 00:00:00 GMT</t>
  </si>
  <si>
    <t>Fri, 27 Jan 2023 00:00:00 GMT</t>
  </si>
  <si>
    <t>Thu, 26 Jan 2023 00:00:00 GMT</t>
  </si>
  <si>
    <t>Wed, 25 Jan 2023 00:00:00 GMT</t>
  </si>
  <si>
    <t>Tue, 24 Jan 2023 00:00:00 GMT</t>
  </si>
  <si>
    <t>Mon, 23 Jan 2023 00:00:00 GMT</t>
  </si>
  <si>
    <t>Fri, 20 Jan 2023 00:00:00 GMT</t>
  </si>
  <si>
    <t>Thu, 19 Jan 2023 00:00:00 GMT</t>
  </si>
  <si>
    <t>Wed, 18 Jan 2023 00:00:00 GMT</t>
  </si>
  <si>
    <t>Tue, 17 Jan 2023 00:00:00 GMT</t>
  </si>
  <si>
    <t>Fri, 13 Jan 2023 00:00:00 GMT</t>
  </si>
  <si>
    <t>Thu, 12 Jan 2023 00:00:00 GMT</t>
  </si>
  <si>
    <t>Wed, 11 Jan 2023 00:00:00 GMT</t>
  </si>
  <si>
    <t>Tue, 10 Jan 2023 00:00:00 GMT</t>
  </si>
  <si>
    <t>Mon, 09 Jan 2023 00:00:00 GMT</t>
  </si>
  <si>
    <t>Fri, 06 Jan 2023 00:00:00 GMT</t>
  </si>
  <si>
    <t>Thu, 05 Jan 2023 00:00:00 GMT</t>
  </si>
  <si>
    <t>Wed, 04 Jan 2023 00:00:00 GMT</t>
  </si>
  <si>
    <t>Tue, 03 Jan 2023 00:00:00 GMT</t>
  </si>
  <si>
    <t>Fri, 30 Dec 2022 00:00:00 GMT</t>
  </si>
  <si>
    <t>Thu, 29 Dec 2022 00:00:00 GMT</t>
  </si>
  <si>
    <t>Wed, 28 Dec 2022 00:00:00 GMT</t>
  </si>
  <si>
    <t>Tue, 27 Dec 2022 00:00:00 GMT</t>
  </si>
  <si>
    <t>Fri, 23 Dec 2022 00:00:00 GMT</t>
  </si>
  <si>
    <t>Thu, 22 Dec 2022 00:00:00 GMT</t>
  </si>
  <si>
    <t>Wed, 21 Dec 2022 00:00:00 GMT</t>
  </si>
  <si>
    <t>Tue, 20 Dec 2022 00:00:00 GMT</t>
  </si>
  <si>
    <t>Mon, 19 Dec 2022 00:00:00 GMT</t>
  </si>
  <si>
    <t>Fri, 16 Dec 2022 00:00:00 GMT</t>
  </si>
  <si>
    <t>Thu, 15 Dec 2022 00:00:00 GMT</t>
  </si>
  <si>
    <t>Wed, 14 Dec 2022 00:00:00 GMT</t>
  </si>
  <si>
    <t>Tue, 13 Dec 2022 00:00:00 GMT</t>
  </si>
  <si>
    <t>Mon, 12 Dec 2022 00:00:00 GMT</t>
  </si>
  <si>
    <t>Fri, 09 Dec 2022 00:00:00 GMT</t>
  </si>
  <si>
    <t>Thu, 08 Dec 2022 00:00:00 GMT</t>
  </si>
  <si>
    <t>Wed, 07 Dec 2022 00:00:00 GMT</t>
  </si>
  <si>
    <t>Tue, 06 Dec 2022 00:00:00 GMT</t>
  </si>
  <si>
    <t>Mon, 05 Dec 2022 00:00:00 GMT</t>
  </si>
  <si>
    <t>Fri, 02 Dec 2022 00:00:00 GMT</t>
  </si>
  <si>
    <t>Thu, 01 Dec 2022 00:00:00 GMT</t>
  </si>
  <si>
    <t>Wed, 30 Nov 2022 00:00:00 GMT</t>
  </si>
  <si>
    <t>Tue, 29 Nov 2022 00:00:00 GMT</t>
  </si>
  <si>
    <t>Mon, 28 Nov 2022 00:00:00 GMT</t>
  </si>
  <si>
    <t>Fri, 25 Nov 2022 00:00:00 GMT</t>
  </si>
  <si>
    <t>Wed, 23 Nov 2022 00:00:00 GMT</t>
  </si>
  <si>
    <t>Tue, 22 Nov 2022 00:00:00 GMT</t>
  </si>
  <si>
    <t>Mon, 21 Nov 2022 00:00:00 GMT</t>
  </si>
  <si>
    <t>Fri, 18 Nov 2022 00:00:00 GMT</t>
  </si>
  <si>
    <t>Thu, 17 Nov 2022 00:00:00 GMT</t>
  </si>
  <si>
    <t>Wed, 16 Nov 2022 00:00:00 GMT</t>
  </si>
  <si>
    <t>Tue, 15 Nov 2022 00:00:00 GMT</t>
  </si>
  <si>
    <t>Mon, 14 Nov 2022 00:00:00 GMT</t>
  </si>
  <si>
    <t>Fri, 11 Nov 2022 00:00:00 GMT</t>
  </si>
  <si>
    <t>Thu, 10 Nov 2022 00:00:00 GMT</t>
  </si>
  <si>
    <t>Wed, 09 Nov 2022 00:00:00 GMT</t>
  </si>
  <si>
    <t>Tue, 08 Nov 2022 00:00:00 GMT</t>
  </si>
  <si>
    <t>Mon, 07 Nov 2022 00:00:00 GMT</t>
  </si>
  <si>
    <t>Fri, 04 Nov 2022 00:00:00 GMT</t>
  </si>
  <si>
    <t>Thu, 03 Nov 2022 00:00:00 GMT</t>
  </si>
  <si>
    <t>Wed, 02 Nov 2022 00:00:00 GMT</t>
  </si>
  <si>
    <t>Tue, 01 Nov 2022 00:00:00 GMT</t>
  </si>
  <si>
    <t>Mon, 31 Oct 2022 00:00:00 GMT</t>
  </si>
  <si>
    <t>Fri, 28 Oct 2022 00:00:00 GMT</t>
  </si>
  <si>
    <t>Thu, 27 Oct 2022 00:00:00 GMT</t>
  </si>
  <si>
    <t>Wed, 26 Oct 2022 00:00:00 GMT</t>
  </si>
  <si>
    <t>Tue, 25 Oct 2022 00:00:00 GMT</t>
  </si>
  <si>
    <t>Mon, 24 Oct 2022 00:00:00 GMT</t>
  </si>
  <si>
    <t>Fri, 21 Oct 2022 00:00:00 GMT</t>
  </si>
  <si>
    <t>Thu, 20 Oct 2022 00:00:00 GMT</t>
  </si>
  <si>
    <t>Wed, 19 Oct 2022 00:00:00 GMT</t>
  </si>
  <si>
    <t>Tue, 18 Oct 2022 00:00:00 GMT</t>
  </si>
  <si>
    <t>Mon, 17 Oct 2022 00:00:00 GMT</t>
  </si>
  <si>
    <t>Fri, 14 Oct 2022 00:00:00 GMT</t>
  </si>
  <si>
    <t>Thu, 13 Oct 2022 00:00:00 GMT</t>
  </si>
  <si>
    <t>Wed, 12 Oct 2022 00:00:00 GMT</t>
  </si>
  <si>
    <t>Tue, 11 Oct 2022 00:00:00 GMT</t>
  </si>
  <si>
    <t>Mon, 10 Oct 2022 00:00:00 GMT</t>
  </si>
  <si>
    <t>Fri, 07 Oct 2022 00:00:00 GMT</t>
  </si>
  <si>
    <t>Thu, 06 Oct 2022 00:00:00 GMT</t>
  </si>
  <si>
    <t>Wed, 05 Oct 2022 00:00:00 GMT</t>
  </si>
  <si>
    <t>Tue, 04 Oct 2022 00:00:00 GMT</t>
  </si>
  <si>
    <t>Mon, 03 Oct 2022 00:00:00 GMT</t>
  </si>
  <si>
    <t>Fri, 30 Sep 2022 00:00:00 GMT</t>
  </si>
  <si>
    <t>Thu, 29 Sep 2022 00:00:00 GMT</t>
  </si>
  <si>
    <t>Wed, 28 Sep 2022 00:00:00 GMT</t>
  </si>
  <si>
    <t>Tue, 27 Sep 2022 00:00:00 GMT</t>
  </si>
  <si>
    <t>Mon, 26 Sep 2022 00:00:00 GMT</t>
  </si>
  <si>
    <t>Fri, 23 Sep 2022 00:00:00 GMT</t>
  </si>
  <si>
    <t>Thu, 22 Sep 2022 00:00:00 GMT</t>
  </si>
  <si>
    <t>Wed, 21 Sep 2022 00:00:00 GMT</t>
  </si>
  <si>
    <t>Tue, 20 Sep 2022 00:00:00 GMT</t>
  </si>
  <si>
    <t>Mon, 19 Sep 2022 00:00:00 GMT</t>
  </si>
  <si>
    <t>Fri, 16 Sep 2022 00:00:00 GMT</t>
  </si>
  <si>
    <t>Thu, 15 Sep 2022 00:00:00 GMT</t>
  </si>
  <si>
    <t>Wed, 14 Sep 2022 00:00:00 GMT</t>
  </si>
  <si>
    <t>Tue, 13 Sep 2022 00:00:00 GMT</t>
  </si>
  <si>
    <t>Mon, 12 Sep 2022 00:00:00 GMT</t>
  </si>
  <si>
    <t>Fri, 09 Sep 2022 00:00:00 GMT</t>
  </si>
  <si>
    <t>Thu, 08 Sep 2022 00:00:00 GMT</t>
  </si>
  <si>
    <t>Wed, 07 Sep 2022 00:00:00 GMT</t>
  </si>
  <si>
    <t>Tue, 06 Sep 2022 00:00:00 GMT</t>
  </si>
  <si>
    <t>Fri, 02 Sep 2022 00:00:00 GMT</t>
  </si>
  <si>
    <t>Thu, 01 Sep 2022 00:00:00 GMT</t>
  </si>
  <si>
    <t>Wed, 31 Aug 2022 00:00:00 GMT</t>
  </si>
  <si>
    <t>Tue, 30 Aug 2022 00:00:00 GMT</t>
  </si>
  <si>
    <t>Mon, 29 Aug 2022 00:00:00 GMT</t>
  </si>
  <si>
    <t>Fri, 26 Aug 2022 00:00:00 GMT</t>
  </si>
  <si>
    <t>Thu, 25 Aug 2022 00:00:00 GMT</t>
  </si>
  <si>
    <t>Wed, 24 Aug 2022 00:00:00 GMT</t>
  </si>
  <si>
    <t>Tue, 23 Aug 2022 00:00:00 GMT</t>
  </si>
  <si>
    <t>Mon, 22 Aug 2022 00:00:00 GMT</t>
  </si>
  <si>
    <t>Fri, 19 Aug 2022 00:00:00 GMT</t>
  </si>
  <si>
    <t>Thu, 18 Aug 2022 00:00:00 GMT</t>
  </si>
  <si>
    <t>Wed, 17 Aug 2022 00:00:00 GMT</t>
  </si>
  <si>
    <t>Tue, 16 Aug 2022 00:00:00 GMT</t>
  </si>
  <si>
    <t>Mon, 15 Aug 2022 00:00:00 GMT</t>
  </si>
  <si>
    <t>Fri, 12 Aug 2022 00:00:00 GMT</t>
  </si>
  <si>
    <t>Thu, 11 Aug 2022 00:00:00 GMT</t>
  </si>
  <si>
    <t>Wed, 10 Aug 2022 00:00:00 GMT</t>
  </si>
  <si>
    <t>Tue, 09 Aug 2022 00:00:00 GMT</t>
  </si>
  <si>
    <t>Mon, 08 Aug 2022 00:00:00 GMT</t>
  </si>
  <si>
    <t>Fri, 05 Aug 2022 00:00:00 GMT</t>
  </si>
  <si>
    <t>Thu, 04 Aug 2022 00:00:00 GMT</t>
  </si>
  <si>
    <t>Wed, 03 Aug 2022 00:00:00 GMT</t>
  </si>
  <si>
    <t>Tue, 02 Aug 2022 00:00:00 GMT</t>
  </si>
  <si>
    <t>Mon, 01 Aug 2022 00:00:00 GMT</t>
  </si>
  <si>
    <t>Fri, 29 Jul 2022 00:00:00 GMT</t>
  </si>
  <si>
    <t>Thu, 28 Jul 2022 00:00:00 GMT</t>
  </si>
  <si>
    <t>Wed, 27 Jul 2022 00:00:00 GMT</t>
  </si>
  <si>
    <t>Tue, 26 Jul 2022 00:00:00 GMT</t>
  </si>
  <si>
    <t>Mon, 25 Jul 2022 00:00:00 GMT</t>
  </si>
  <si>
    <t>Fri, 22 Jul 2022 00:00:00 GMT</t>
  </si>
  <si>
    <t>Thu, 21 Jul 2022 00:00:00 GMT</t>
  </si>
  <si>
    <t>Wed, 20 Jul 2022 00:00:00 GMT</t>
  </si>
  <si>
    <t>Tue, 19 Jul 2022 00:00:00 GMT</t>
  </si>
  <si>
    <t>Mon, 18 Jul 2022 00:00:00 GMT</t>
  </si>
  <si>
    <t>Fri, 15 Jul 2022 00:00:00 GMT</t>
  </si>
  <si>
    <t>Thu, 14 Jul 2022 00:00:00 GMT</t>
  </si>
  <si>
    <t>Wed, 13 Jul 2022 00:00:00 GMT</t>
  </si>
  <si>
    <t>Tue, 12 Jul 2022 00:00:00 GMT</t>
  </si>
  <si>
    <t>Mon, 11 Jul 2022 00:00:00 GMT</t>
  </si>
  <si>
    <t>Fri, 08 Jul 2022 00:00:00 GMT</t>
  </si>
  <si>
    <t>Thu, 07 Jul 2022 00:00:00 GMT</t>
  </si>
  <si>
    <t>Wed, 06 Jul 2022 00:00:00 GMT</t>
  </si>
  <si>
    <t>Tue, 05 Jul 2022 00:00:00 GMT</t>
  </si>
  <si>
    <t>Fri, 01 Jul 2022 00:00:00 GMT</t>
  </si>
  <si>
    <t>Thu, 30 Jun 2022 00:00:00 GMT</t>
  </si>
  <si>
    <t>Wed, 29 Jun 2022 00:00:00 GMT</t>
  </si>
  <si>
    <t>Tue, 28 Jun 2022 00:00:00 GMT</t>
  </si>
  <si>
    <t>Mon, 27 Jun 2022 00:00:00 GMT</t>
  </si>
  <si>
    <t>Fri, 24 Jun 2022 00:00:00 GMT</t>
  </si>
  <si>
    <t>Thu, 23 Jun 2022 00:00:00 GMT</t>
  </si>
  <si>
    <t>Wed, 22 Jun 2022 00:00:00 GMT</t>
  </si>
  <si>
    <t>Tue, 21 Jun 2022 00:00:00 GMT</t>
  </si>
  <si>
    <t>Fri, 17 Jun 2022 00:00:00 GMT</t>
  </si>
  <si>
    <t>Thu, 16 Jun 2022 00:00:00 GMT</t>
  </si>
  <si>
    <t>Wed, 15 Jun 2022 00:00:00 GMT</t>
  </si>
  <si>
    <t>Tue, 14 Jun 2022 00:00:00 GMT</t>
  </si>
  <si>
    <t>Mon, 13 Jun 2022 00:00:00 GMT</t>
  </si>
  <si>
    <t>Fri, 10 Jun 2022 00:00:00 GMT</t>
  </si>
  <si>
    <t>Thu, 09 Jun 2022 00:00:00 GMT</t>
  </si>
  <si>
    <t>Wed, 08 Jun 2022 00:00:00 GMT</t>
  </si>
  <si>
    <t>Tue, 07 Jun 2022 00:00:00 GMT</t>
  </si>
  <si>
    <t>Mon, 06 Jun 2022 00:00:00 GMT</t>
  </si>
  <si>
    <t>Fri, 03 Jun 2022 00:00:00 GMT</t>
  </si>
  <si>
    <t>Thu, 02 Jun 2022 00:00:00 GMT</t>
  </si>
  <si>
    <t>Wed, 01 Jun 2022 00:00:00 GMT</t>
  </si>
  <si>
    <t>Tue, 31 May 2022 00:00:00 GMT</t>
  </si>
  <si>
    <t>Fri, 27 May 2022 00:00:00 GMT</t>
  </si>
  <si>
    <t>Thu, 26 May 2022 00:00:00 GMT</t>
  </si>
  <si>
    <t>Wed, 25 May 2022 00:00:00 GMT</t>
  </si>
  <si>
    <t>Tue, 24 May 2022 00:00:00 GMT</t>
  </si>
  <si>
    <t>Mon, 23 May 2022 00:00:00 GMT</t>
  </si>
  <si>
    <t>Fri, 20 May 2022 00:00:00 GMT</t>
  </si>
  <si>
    <t>Thu, 19 May 2022 00:00:00 GMT</t>
  </si>
  <si>
    <t>Wed, 18 May 2022 00:00:00 GMT</t>
  </si>
  <si>
    <t>Tue, 17 May 2022 00:00:00 GMT</t>
  </si>
  <si>
    <t>Mon, 16 May 2022 00:00:00 GMT</t>
  </si>
  <si>
    <t>Fri, 13 May 2022 00:00:00 GMT</t>
  </si>
  <si>
    <t>Thu, 12 May 2022 00:00:00 GMT</t>
  </si>
  <si>
    <t>Wed, 11 May 2022 00:00:00 GMT</t>
  </si>
  <si>
    <t>Tue, 10 May 2022 00:00:00 GMT</t>
  </si>
  <si>
    <t>Mon, 09 May 2022 00:00:00 GMT</t>
  </si>
  <si>
    <t>Fri, 06 May 2022 00:00:00 GMT</t>
  </si>
  <si>
    <t>Thu, 05 May 2022 00:00:00 GMT</t>
  </si>
  <si>
    <t>Wed, 04 May 2022 00:00:00 GMT</t>
  </si>
  <si>
    <t>Tue, 03 May 2022 00:00:00 GMT</t>
  </si>
  <si>
    <t>Mon, 02 May 2022 00:00:00 GMT</t>
  </si>
  <si>
    <t>Fri, 29 Apr 2022 00:00:00 GMT</t>
  </si>
  <si>
    <t>Thu, 28 Apr 2022 00:00:00 GMT</t>
  </si>
  <si>
    <t>Wed, 27 Apr 2022 00:00:00 GMT</t>
  </si>
  <si>
    <t>Tue, 26 Apr 2022 00:00:00 GMT</t>
  </si>
  <si>
    <t>Mon, 25 Apr 2022 00:00:00 GMT</t>
  </si>
  <si>
    <t>Fri, 22 Apr 2022 00:00:00 GMT</t>
  </si>
  <si>
    <t>Thu, 21 Apr 2022 00:00:00 GMT</t>
  </si>
  <si>
    <t>Wed, 20 Apr 2022 00:00:00 GMT</t>
  </si>
  <si>
    <t>Tue, 19 Apr 2022 00:00:00 GMT</t>
  </si>
  <si>
    <t>Mon, 18 Apr 2022 00:00:00 GMT</t>
  </si>
  <si>
    <t>Thu, 14 Apr 2022 00:00:00 GMT</t>
  </si>
  <si>
    <t>Wed, 13 Apr 2022 00:00:00 GMT</t>
  </si>
  <si>
    <t>Tue, 12 Apr 2022 00:00:00 GMT</t>
  </si>
  <si>
    <t>Mon, 11 Apr 2022 00:00:00 GMT</t>
  </si>
  <si>
    <t>Fri, 08 Apr 2022 00:00:00 GMT</t>
  </si>
  <si>
    <t>Thu, 07 Apr 2022 00:00:00 GMT</t>
  </si>
  <si>
    <t>Wed, 06 Apr 2022 00:00:00 GMT</t>
  </si>
  <si>
    <t>Tue, 05 Apr 2022 00:00:00 GMT</t>
  </si>
  <si>
    <t>Mon, 04 Apr 2022 00:00:00 GMT</t>
  </si>
  <si>
    <t>Fri, 01 Apr 2022 00:00:00 GMT</t>
  </si>
  <si>
    <t>Thu, 31 Mar 2022 00:00:00 GMT</t>
  </si>
  <si>
    <t>Wed, 30 Mar 2022 00:00:00 GMT</t>
  </si>
  <si>
    <t>Tue, 29 Mar 2022 00:00:00 GMT</t>
  </si>
  <si>
    <t>Mon, 28 Mar 2022 00:00:00 GMT</t>
  </si>
  <si>
    <t>Fri, 25 Mar 2022 00:00:00 GMT</t>
  </si>
  <si>
    <t>Thu, 24 Mar 2022 00:00:00 GMT</t>
  </si>
  <si>
    <t>Wed, 23 Mar 2022 00:00:00 GMT</t>
  </si>
  <si>
    <t>Tue, 22 Mar 2022 00:00:00 GMT</t>
  </si>
  <si>
    <t>Mon, 21 Mar 2022 00:00:00 GMT</t>
  </si>
  <si>
    <t>Fri, 18 Mar 2022 00:00:00 GMT</t>
  </si>
  <si>
    <t>Thu, 17 Mar 2022 00:00:00 GMT</t>
  </si>
  <si>
    <t>Wed, 16 Mar 2022 00:00:00 GMT</t>
  </si>
  <si>
    <t>Tue, 15 Mar 2022 00:00:00 GMT</t>
  </si>
  <si>
    <t>Mon, 14 Mar 2022 00:00:00 GMT</t>
  </si>
  <si>
    <t>Fri, 11 Mar 2022 00:00:00 GMT</t>
  </si>
  <si>
    <t>Thu, 10 Mar 2022 00:00:00 GMT</t>
  </si>
  <si>
    <t>Wed, 09 Mar 2022 00:00:00 GMT</t>
  </si>
  <si>
    <t>Tue, 08 Mar 2022 00:00:00 GMT</t>
  </si>
  <si>
    <t>Mon, 07 Mar 2022 00:00:00 GMT</t>
  </si>
  <si>
    <t>Fri, 04 Mar 2022 00:00:00 GMT</t>
  </si>
  <si>
    <t>Thu, 03 Mar 2022 00:00:00 GMT</t>
  </si>
  <si>
    <t>Wed, 02 Mar 2022 00:00:00 GMT</t>
  </si>
  <si>
    <t>Tue, 01 Mar 2022 00:00:00 GMT</t>
  </si>
  <si>
    <t>Mon, 28 Feb 2022 00:00:00 GMT</t>
  </si>
  <si>
    <t>Fri, 25 Feb 2022 00:00:00 GMT</t>
  </si>
  <si>
    <t>Thu, 24 Feb 2022 00:00:00 GMT</t>
  </si>
  <si>
    <t>Wed, 23 Feb 2022 00:00:00 GMT</t>
  </si>
  <si>
    <t>Tue, 22 Feb 2022 00:00:00 GMT</t>
  </si>
  <si>
    <t>Fri, 18 Feb 2022 00:00:00 GMT</t>
  </si>
  <si>
    <t>Thu, 17 Feb 2022 00:00:00 GMT</t>
  </si>
  <si>
    <t>Wed, 16 Feb 2022 00:00:00 GMT</t>
  </si>
  <si>
    <t>Tue, 15 Feb 2022 00:00:00 GMT</t>
  </si>
  <si>
    <t>Mon, 14 Feb 2022 00:00:00 GMT</t>
  </si>
  <si>
    <t>Fri, 11 Feb 2022 00:00:00 GMT</t>
  </si>
  <si>
    <t>Thu, 10 Feb 2022 00:00:00 GMT</t>
  </si>
  <si>
    <t>Wed, 09 Feb 2022 00:00:00 GMT</t>
  </si>
  <si>
    <t>Tue, 08 Feb 2022 00:00:00 GMT</t>
  </si>
  <si>
    <t>Mon, 07 Feb 2022 00:00:00 GMT</t>
  </si>
  <si>
    <t>Fri, 04 Feb 2022 00:00:00 GMT</t>
  </si>
  <si>
    <t>Thu, 03 Feb 2022 00:00:00 GMT</t>
  </si>
  <si>
    <t>Wed, 02 Feb 2022 00:00:00 GMT</t>
  </si>
  <si>
    <t>Tue, 01 Feb 2022 00:00:00 GMT</t>
  </si>
  <si>
    <t>Mon, 31 Jan 2022 00:00:00 GMT</t>
  </si>
  <si>
    <t>Fri, 28 Jan 2022 00:00:00 GMT</t>
  </si>
  <si>
    <t>Thu, 27 Jan 2022 00:00:00 GMT</t>
  </si>
  <si>
    <t>Wed, 26 Jan 2022 00:00:00 GMT</t>
  </si>
  <si>
    <t>Tue, 25 Jan 2022 00:00:00 GMT</t>
  </si>
  <si>
    <t>Mon, 24 Jan 2022 00:00:00 GMT</t>
  </si>
  <si>
    <t>Fri, 21 Jan 2022 00:00:00 GMT</t>
  </si>
  <si>
    <t>Thu, 20 Jan 2022 00:00:00 GMT</t>
  </si>
  <si>
    <t>Wed, 19 Jan 2022 00:00:00 GMT</t>
  </si>
  <si>
    <t>Tue, 18 Jan 2022 00:00:00 GMT</t>
  </si>
  <si>
    <t>Fri, 14 Jan 2022 00:00:00 GMT</t>
  </si>
  <si>
    <t>Thu, 13 Jan 2022 00:00:00 GMT</t>
  </si>
  <si>
    <t>Wed, 12 Jan 2022 00:00:00 GMT</t>
  </si>
  <si>
    <t>Tue, 11 Jan 2022 00:00:00 GMT</t>
  </si>
  <si>
    <t>Mon, 10 Jan 2022 00:00:00 GMT</t>
  </si>
  <si>
    <t>Fri, 07 Jan 2022 00:00:00 GMT</t>
  </si>
  <si>
    <t>Thu, 06 Jan 2022 00:00:00 GMT</t>
  </si>
  <si>
    <t>Wed, 05 Jan 2022 00:00:00 GMT</t>
  </si>
  <si>
    <t>Tue, 04 Jan 2022 00:00:00 GMT</t>
  </si>
  <si>
    <t>Mon, 03 Jan 2022 00:00:00 GMT</t>
  </si>
  <si>
    <t>Fri, 31 Dec 2021 00:00:00 GMT</t>
  </si>
  <si>
    <t>Thu, 30 Dec 2021 00:00:00 GMT</t>
  </si>
  <si>
    <t>Wed, 29 Dec 2021 00:00:00 GMT</t>
  </si>
  <si>
    <t>Tue, 28 Dec 2021 00:00:00 GMT</t>
  </si>
  <si>
    <t>Mon, 27 Dec 2021 00:00:00 GMT</t>
  </si>
  <si>
    <t>Thu, 23 Dec 2021 00:00:00 GMT</t>
  </si>
  <si>
    <t>Wed, 22 Dec 2021 00:00:00 GMT</t>
  </si>
  <si>
    <t>Tue, 21 Dec 2021 00:00:00 GMT</t>
  </si>
  <si>
    <t>Mon, 20 Dec 2021 00:00:00 GMT</t>
  </si>
  <si>
    <t>Fri, 17 Dec 2021 00:00:00 GMT</t>
  </si>
  <si>
    <t>Thu, 16 Dec 2021 00:00:00 GMT</t>
  </si>
  <si>
    <t>Wed, 15 Dec 2021 00:00:00 GMT</t>
  </si>
  <si>
    <t>Tue, 14 Dec 2021 00:00:00 GMT</t>
  </si>
  <si>
    <t>Mon, 13 Dec 2021 00:00:00 GMT</t>
  </si>
  <si>
    <t>Fri, 10 Dec 2021 00:00:00 GMT</t>
  </si>
  <si>
    <t>Thu, 09 Dec 2021 00:00:00 GMT</t>
  </si>
  <si>
    <t>Wed, 08 Dec 2021 00:00:00 GMT</t>
  </si>
  <si>
    <t>Tue, 07 Dec 2021 00:00:00 GMT</t>
  </si>
  <si>
    <t>Mon, 06 Dec 2021 00:00:00 GMT</t>
  </si>
  <si>
    <t>Fri, 03 Dec 2021 00:00:00 GMT</t>
  </si>
  <si>
    <t>Thu, 02 Dec 2021 00:00:00 GMT</t>
  </si>
  <si>
    <t>Wed, 01 Dec 2021 00:00:00 GMT</t>
  </si>
  <si>
    <t>Tue, 30 Nov 2021 00:00:00 GMT</t>
  </si>
  <si>
    <t>Mon, 29 Nov 2021 00:00:00 GMT</t>
  </si>
  <si>
    <t>Fri, 26 Nov 2021 00:00:00 GMT</t>
  </si>
  <si>
    <t>Wed, 24 Nov 2021 00:00:00 GMT</t>
  </si>
  <si>
    <t>Tue, 23 Nov 2021 00:00:00 GMT</t>
  </si>
  <si>
    <t>Mon, 22 Nov 2021 00:00:00 GMT</t>
  </si>
  <si>
    <t>Fri, 19 Nov 2021 00:00:00 GMT</t>
  </si>
  <si>
    <t>Thu, 18 Nov 2021 00:00:00 GMT</t>
  </si>
  <si>
    <t>Wed, 17 Nov 2021 00:00:00 GMT</t>
  </si>
  <si>
    <t>Tue, 16 Nov 2021 00:00:00 GMT</t>
  </si>
  <si>
    <t>Mon, 15 Nov 2021 00:00:00 GMT</t>
  </si>
  <si>
    <t>Fri, 12 Nov 2021 00:00:00 GMT</t>
  </si>
  <si>
    <t>Thu, 11 Nov 2021 00:00:00 GMT</t>
  </si>
  <si>
    <t>Wed, 10 Nov 2021 00:00:00 GMT</t>
  </si>
  <si>
    <t>Tue, 09 Nov 2021 00:00:00 GMT</t>
  </si>
  <si>
    <t>Mon, 08 Nov 2021 00:00:00 GMT</t>
  </si>
  <si>
    <t>Fri, 05 Nov 2021 00:00:00 GMT</t>
  </si>
  <si>
    <t>Thu, 04 Nov 2021 00:00:00 GMT</t>
  </si>
  <si>
    <t>Wed, 03 Nov 2021 00:00:00 GMT</t>
  </si>
  <si>
    <t>Tue, 02 Nov 2021 00:00:00 GMT</t>
  </si>
  <si>
    <t>Mon, 01 Nov 2021 00:00:00 GMT</t>
  </si>
  <si>
    <t>Fri, 29 Oct 2021 00:00:00 GMT</t>
  </si>
  <si>
    <t>Thu, 28 Oct 2021 00:00:00 GMT</t>
  </si>
  <si>
    <t>Wed, 27 Oct 2021 00:00:00 GMT</t>
  </si>
  <si>
    <t>Tue, 26 Oct 2021 00:00:00 GMT</t>
  </si>
  <si>
    <t>Mon, 25 Oct 2021 00:00:00 GMT</t>
  </si>
  <si>
    <t>Fri, 22 Oct 2021 00:00:00 GMT</t>
  </si>
  <si>
    <t>Thu, 21 Oct 2021 00:00:00 GMT</t>
  </si>
  <si>
    <t>Wed, 20 Oct 2021 00:00:00 GMT</t>
  </si>
  <si>
    <t>Tue, 19 Oct 2021 00:00:00 GMT</t>
  </si>
  <si>
    <t>Mon, 18 Oct 2021 00:00:00 GMT</t>
  </si>
  <si>
    <t>Fri, 15 Oct 2021 00:00:00 GMT</t>
  </si>
  <si>
    <t>Thu, 14 Oct 2021 00:00:00 GMT</t>
  </si>
  <si>
    <t>Wed, 13 Oct 2021 00:00:00 GMT</t>
  </si>
  <si>
    <t>Tue, 12 Oct 2021 00:00:00 GMT</t>
  </si>
  <si>
    <t>Mon, 11 Oct 2021 00:00:00 GMT</t>
  </si>
  <si>
    <t>Fri, 08 Oct 2021 00:00:00 GMT</t>
  </si>
  <si>
    <t>Thu, 07 Oct 2021 00:00:00 GMT</t>
  </si>
  <si>
    <t>Wed, 06 Oct 2021 00:00:00 GMT</t>
  </si>
  <si>
    <t>Tue, 05 Oct 2021 00:00:00 GMT</t>
  </si>
  <si>
    <t>Mon, 04 Oct 2021 00:00:00 GMT</t>
  </si>
  <si>
    <t>Fri, 01 Oct 2021 00:00:00 GMT</t>
  </si>
  <si>
    <t>Thu, 30 Sep 2021 00:00:00 GMT</t>
  </si>
  <si>
    <t>Wed, 29 Sep 2021 00:00:00 GMT</t>
  </si>
  <si>
    <t>Tue, 28 Sep 2021 00:00:00 GMT</t>
  </si>
  <si>
    <t>Mon, 27 Sep 2021 00:00:00 GMT</t>
  </si>
  <si>
    <t>Fri, 24 Sep 2021 00:00:00 GMT</t>
  </si>
  <si>
    <t>Thu, 23 Sep 2021 00:00:00 GMT</t>
  </si>
  <si>
    <t>Wed, 22 Sep 2021 00:00:00 GMT</t>
  </si>
  <si>
    <t>Tue, 21 Sep 2021 00:00:00 GMT</t>
  </si>
  <si>
    <t>Mon, 20 Sep 2021 00:00:00 GMT</t>
  </si>
  <si>
    <t>Fri, 17 Sep 2021 00:00:00 GMT</t>
  </si>
  <si>
    <t>Thu, 16 Sep 2021 00:00:00 GMT</t>
  </si>
  <si>
    <t>Wed, 15 Sep 2021 00:00:00 GMT</t>
  </si>
  <si>
    <t>Tue, 14 Sep 2021 00:00:00 GMT</t>
  </si>
  <si>
    <t>Mon, 13 Sep 2021 00:00:00 GMT</t>
  </si>
  <si>
    <t>Fri, 10 Sep 2021 00:00:00 GMT</t>
  </si>
  <si>
    <t>Thu, 09 Sep 2021 00:00:00 GMT</t>
  </si>
  <si>
    <t>Wed, 08 Sep 2021 00:00:00 GMT</t>
  </si>
  <si>
    <t>Tue, 07 Sep 2021 00:00:00 GMT</t>
  </si>
  <si>
    <t>Fri, 03 Sep 2021 00:00:00 GMT</t>
  </si>
  <si>
    <t>Thu, 02 Sep 2021 00:00:00 GMT</t>
  </si>
  <si>
    <t>Wed, 01 Sep 2021 00:00:00 GMT</t>
  </si>
  <si>
    <t>Tue, 31 Aug 2021 00:00:00 GMT</t>
  </si>
  <si>
    <t>Mon, 30 Aug 2021 00:00:00 GMT</t>
  </si>
  <si>
    <t>Fri, 27 Aug 2021 00:00:00 GMT</t>
  </si>
  <si>
    <t>Thu, 26 Aug 2021 00:00:00 GMT</t>
  </si>
  <si>
    <t>Wed, 25 Aug 2021 00:00:00 GMT</t>
  </si>
  <si>
    <t>Tue, 24 Aug 2021 00:00:00 GMT</t>
  </si>
  <si>
    <t>Mon, 23 Aug 2021 00:00:00 GMT</t>
  </si>
  <si>
    <t>Fri, 20 Aug 2021 00:00:00 GMT</t>
  </si>
  <si>
    <t>Thu, 19 Aug 2021 00:00:00 GMT</t>
  </si>
  <si>
    <t>Wed, 18 Aug 2021 00:00:00 GMT</t>
  </si>
  <si>
    <t>Tue, 17 Aug 2021 00:00:00 GMT</t>
  </si>
  <si>
    <t>Mon, 16 Aug 2021 00:00:00 GMT</t>
  </si>
  <si>
    <t>Fri, 13 Aug 2021 00:00:00 GMT</t>
  </si>
  <si>
    <t>Thu, 12 Aug 2021 00:00:00 GMT</t>
  </si>
  <si>
    <t>Wed, 11 Aug 2021 00:00:00 GMT</t>
  </si>
  <si>
    <t>Tue, 10 Aug 2021 00:00:00 GMT</t>
  </si>
  <si>
    <t>Mon, 09 Aug 2021 00:00:00 GMT</t>
  </si>
  <si>
    <t>Fri, 06 Aug 2021 00:00:00 GMT</t>
  </si>
  <si>
    <t>Thu, 05 Aug 2021 00:00:00 GMT</t>
  </si>
  <si>
    <t>Wed, 04 Aug 2021 00:00:00 GMT</t>
  </si>
  <si>
    <t>Tue, 03 Aug 2021 00:00:00 GMT</t>
  </si>
  <si>
    <t>Mon, 02 Aug 2021 00:00:00 GMT</t>
  </si>
  <si>
    <t>Fri, 30 Jul 2021 00:00:00 GMT</t>
  </si>
  <si>
    <t>Thu, 29 Jul 2021 00:00:00 GMT</t>
  </si>
  <si>
    <t>Wed, 28 Jul 2021 00:00:00 GMT</t>
  </si>
  <si>
    <t>Tue, 27 Jul 2021 00:00:00 GMT</t>
  </si>
  <si>
    <t>Mon, 26 Jul 2021 00:00:00 GMT</t>
  </si>
  <si>
    <t>Fri, 23 Jul 2021 00:00:00 GMT</t>
  </si>
  <si>
    <t>Thu, 22 Jul 2021 00:00:00 GMT</t>
  </si>
  <si>
    <t>Wed, 21 Jul 2021 00:00:00 GMT</t>
  </si>
  <si>
    <t>Tue, 20 Jul 2021 00:00:00 GMT</t>
  </si>
  <si>
    <t>Mon, 19 Jul 2021 00:00:00 GMT</t>
  </si>
  <si>
    <t>Fri, 16 Jul 2021 00:00:00 GMT</t>
  </si>
  <si>
    <t>Thu, 15 Jul 2021 00:00:00 GMT</t>
  </si>
  <si>
    <t>Wed, 14 Jul 2021 00:00:00 GMT</t>
  </si>
  <si>
    <t>Tue, 13 Jul 2021 00:00:00 GMT</t>
  </si>
  <si>
    <t>Mon, 12 Jul 2021 00:00:00 GMT</t>
  </si>
  <si>
    <t>Fri, 09 Jul 2021 00:00:00 GMT</t>
  </si>
  <si>
    <t>Thu, 08 Jul 2021 00:00:00 GMT</t>
  </si>
  <si>
    <t>Wed, 07 Jul 2021 00:00:00 GMT</t>
  </si>
  <si>
    <t>Tue, 06 Jul 2021 00:00:00 GMT</t>
  </si>
  <si>
    <t>Fri, 02 Jul 2021 00:00:00 GMT</t>
  </si>
  <si>
    <t>Thu, 01 Jul 2021 00:00:00 GMT</t>
  </si>
  <si>
    <t>Wed, 30 Jun 2021 00:00:00 GMT</t>
  </si>
  <si>
    <t>Tue, 29 Jun 2021 00:00:00 GMT</t>
  </si>
  <si>
    <t>Mon, 28 Jun 2021 00:00:00 GMT</t>
  </si>
  <si>
    <t>Fri, 25 Jun 2021 00:00:00 GMT</t>
  </si>
  <si>
    <t>Thu, 24 Jun 2021 00:00:00 GMT</t>
  </si>
  <si>
    <t>Wed, 23 Jun 2021 00:00:00 GMT</t>
  </si>
  <si>
    <t>Tue, 22 Jun 2021 00:00:00 GMT</t>
  </si>
  <si>
    <t>Mon, 21 Jun 2021 00:00:00 GMT</t>
  </si>
  <si>
    <t>Fri, 18 Jun 2021 00:00:00 GMT</t>
  </si>
  <si>
    <t>Thu, 17 Jun 2021 00:00:00 GMT</t>
  </si>
  <si>
    <t>Wed, 16 Jun 2021 00:00:00 GMT</t>
  </si>
  <si>
    <t>Tue, 15 Jun 2021 00:00:00 GMT</t>
  </si>
  <si>
    <t>Mon, 14 Jun 2021 00:00:00 GMT</t>
  </si>
  <si>
    <t>Fri, 11 Jun 2021 00:00:00 GMT</t>
  </si>
  <si>
    <t>Thu, 10 Jun 2021 00:00:00 GMT</t>
  </si>
  <si>
    <t>Wed, 09 Jun 2021 00:00:00 GMT</t>
  </si>
  <si>
    <t>Tue, 08 Jun 2021 00:00:00 GMT</t>
  </si>
  <si>
    <t>Mon, 07 Jun 2021 00:00:00 GMT</t>
  </si>
  <si>
    <t>Fri, 04 Jun 2021 00:00:00 GMT</t>
  </si>
  <si>
    <t>Thu, 03 Jun 2021 00:00:00 GMT</t>
  </si>
  <si>
    <t>Wed, 02 Jun 2021 00:00:00 GMT</t>
  </si>
  <si>
    <t>Tue, 01 Jun 2021 00:00:00 GMT</t>
  </si>
  <si>
    <t>Fri, 28 May 2021 00:00:00 GMT</t>
  </si>
  <si>
    <t>Thu, 27 May 2021 00:00:00 GMT</t>
  </si>
  <si>
    <t>Wed, 26 May 2021 00:00:00 GMT</t>
  </si>
  <si>
    <t>Tue, 25 May 2021 00:00:00 GMT</t>
  </si>
  <si>
    <t>Mon, 24 May 2021 00:00:00 GMT</t>
  </si>
  <si>
    <t>Fri, 21 May 2021 00:00:00 GMT</t>
  </si>
  <si>
    <t>Thu, 20 May 2021 00:00:00 GMT</t>
  </si>
  <si>
    <t>Wed, 19 May 2021 00:00:00 GMT</t>
  </si>
  <si>
    <t>Tue, 18 May 2021 00:00:00 GMT</t>
  </si>
  <si>
    <t>Mon, 17 May 2021 00:00:00 GMT</t>
  </si>
  <si>
    <t>Fri, 14 May 2021 00:00:00 GMT</t>
  </si>
  <si>
    <t>Thu, 13 May 2021 00:00:00 GMT</t>
  </si>
  <si>
    <t>Wed, 12 May 2021 00:00:00 GMT</t>
  </si>
  <si>
    <t>Tue, 11 May 2021 00:00:00 GMT</t>
  </si>
  <si>
    <t>Mon, 10 May 2021 00:00:00 GMT</t>
  </si>
  <si>
    <t>Fri, 07 May 2021 00:00:00 GMT</t>
  </si>
  <si>
    <t>Thu, 06 May 2021 00:00:00 GMT</t>
  </si>
  <si>
    <t>Wed, 05 May 2021 00:00:00 GMT</t>
  </si>
  <si>
    <t>Tue, 04 May 2021 00:00:00 GMT</t>
  </si>
  <si>
    <t>Mon, 03 May 2021 00:00:00 GMT</t>
  </si>
  <si>
    <t>Fri, 30 Apr 2021 00:00:00 GMT</t>
  </si>
  <si>
    <t>Thu, 29 Apr 2021 00:00:00 GMT</t>
  </si>
  <si>
    <t>Wed, 28 Apr 2021 00:00:00 GMT</t>
  </si>
  <si>
    <t>Tue, 27 Apr 2021 00:00:00 GMT</t>
  </si>
  <si>
    <t>Mon, 26 Apr 2021 00:00:00 GMT</t>
  </si>
  <si>
    <t>Fri, 23 Apr 2021 00:00:00 GMT</t>
  </si>
  <si>
    <t>Thu, 22 Apr 2021 00:00:00 GMT</t>
  </si>
  <si>
    <t>Wed, 21 Apr 2021 00:00:00 GMT</t>
  </si>
  <si>
    <t>Tue, 20 Apr 2021 00:00:00 GMT</t>
  </si>
  <si>
    <t>Mon, 19 Apr 2021 00:00:00 GMT</t>
  </si>
  <si>
    <t>Fri, 16 Apr 2021 00:00:00 GMT</t>
  </si>
  <si>
    <t>Thu, 15 Apr 2021 00:00:00 GMT</t>
  </si>
  <si>
    <t>Wed, 14 Apr 2021 00:00:00 GMT</t>
  </si>
  <si>
    <t>Tue, 13 Apr 2021 00:00:00 GMT</t>
  </si>
  <si>
    <t>Mon, 12 Apr 2021 00:00:00 GMT</t>
  </si>
  <si>
    <t>Fri, 09 Apr 2021 00:00:00 GMT</t>
  </si>
  <si>
    <t>Thu, 08 Apr 2021 00:00:00 GMT</t>
  </si>
  <si>
    <t>Wed, 07 Apr 2021 00:00:00 GMT</t>
  </si>
  <si>
    <t>Tue, 06 Apr 2021 00:00:00 GMT</t>
  </si>
  <si>
    <t>Mon, 05 Apr 2021 00:00:00 GMT</t>
  </si>
  <si>
    <t>Thu, 01 Apr 2021 00:00:00 GMT</t>
  </si>
  <si>
    <t>Wed, 31 Mar 2021 00:00:00 GMT</t>
  </si>
  <si>
    <t>Tue, 30 Mar 2021 00:00:00 GMT</t>
  </si>
  <si>
    <t>Mon, 29 Mar 2021 00:00:00 GMT</t>
  </si>
  <si>
    <t>Fri, 26 Mar 2021 00:00:00 GMT</t>
  </si>
  <si>
    <t>Thu, 25 Mar 2021 00:00:00 GMT</t>
  </si>
  <si>
    <t>Wed, 24 Mar 2021 00:00:00 GMT</t>
  </si>
  <si>
    <t>Tue, 23 Mar 2021 00:00:00 GMT</t>
  </si>
  <si>
    <t>Mon, 22 Mar 2021 00:00:00 GMT</t>
  </si>
  <si>
    <t>Fri, 19 Mar 2021 00:00:00 GMT</t>
  </si>
  <si>
    <t>Thu, 18 Mar 2021 00:00:00 GMT</t>
  </si>
  <si>
    <t>Wed, 17 Mar 2021 00:00:00 GMT</t>
  </si>
  <si>
    <t>Tue, 16 Mar 2021 00:00:00 GMT</t>
  </si>
  <si>
    <t>Mon, 15 Mar 2021 00:00:00 GMT</t>
  </si>
  <si>
    <t>Fri, 12 Mar 2021 00:00:00 GMT</t>
  </si>
  <si>
    <t>Thu, 11 Mar 2021 00:00:00 GMT</t>
  </si>
  <si>
    <t>Wed, 10 Mar 2021 00:00:00 GMT</t>
  </si>
  <si>
    <t>Tue, 09 Mar 2021 00:00:00 GMT</t>
  </si>
  <si>
    <t>Mon, 08 Mar 2021 00:00:00 GMT</t>
  </si>
  <si>
    <t>Fri, 05 Mar 2021 00:00:00 GMT</t>
  </si>
  <si>
    <t>Thu, 04 Mar 2021 00:00:00 GMT</t>
  </si>
  <si>
    <t>Wed, 03 Mar 2021 00:00:00 GMT</t>
  </si>
  <si>
    <t>Tue, 02 Mar 2021 00:00:00 GMT</t>
  </si>
  <si>
    <t>Mon, 01 Mar 2021 00:00:00 GMT</t>
  </si>
  <si>
    <t>Fri, 26 Feb 2021 00:00:00 GMT</t>
  </si>
  <si>
    <t>Thu, 25 Feb 2021 00:00:00 GMT</t>
  </si>
  <si>
    <t>Wed, 24 Feb 2021 00:00:00 GMT</t>
  </si>
  <si>
    <t>Tue, 23 Feb 2021 00:00:00 GMT</t>
  </si>
  <si>
    <t>Mon, 22 Feb 2021 00:00:00 GMT</t>
  </si>
  <si>
    <t>Fri, 19 Feb 2021 00:00:00 GMT</t>
  </si>
  <si>
    <t>Thu, 18 Feb 2021 00:00:00 GMT</t>
  </si>
  <si>
    <t>Wed, 17 Feb 2021 00:00:00 GMT</t>
  </si>
  <si>
    <t>Tue, 16 Feb 2021 00:00:00 GMT</t>
  </si>
  <si>
    <t>Fri, 12 Feb 2021 00:00:00 GMT</t>
  </si>
  <si>
    <t>Thu, 11 Feb 2021 00:00:00 GMT</t>
  </si>
  <si>
    <t>Wed, 10 Feb 2021 00:00:00 GMT</t>
  </si>
  <si>
    <t>Tue, 09 Feb 2021 00:00:00 GMT</t>
  </si>
  <si>
    <t>Mon, 08 Feb 2021 00:00:00 GMT</t>
  </si>
  <si>
    <t>Fri, 05 Feb 2021 00:00:00 GMT</t>
  </si>
  <si>
    <t>Thu, 04 Feb 2021 00:00:00 GMT</t>
  </si>
  <si>
    <t>Wed, 03 Feb 2021 00:00:00 GMT</t>
  </si>
  <si>
    <t>Tue, 02 Feb 2021 00:00:00 GMT</t>
  </si>
  <si>
    <t>Mon, 01 Feb 2021 00:00:00 GMT</t>
  </si>
  <si>
    <t>Fri, 29 Jan 2021 00:00:00 GMT</t>
  </si>
  <si>
    <t>Thu, 28 Jan 2021 00:00:00 GMT</t>
  </si>
  <si>
    <t>Wed, 27 Jan 2021 00:00:00 GMT</t>
  </si>
  <si>
    <t>Tue, 26 Jan 2021 00:00:00 GMT</t>
  </si>
  <si>
    <t>Mon, 25 Jan 2021 00:00:00 GMT</t>
  </si>
  <si>
    <t>Fri, 22 Jan 2021 00:00:00 GMT</t>
  </si>
  <si>
    <t>Thu, 21 Jan 2021 00:00:00 GMT</t>
  </si>
  <si>
    <t>Wed, 20 Jan 2021 00:00:00 GMT</t>
  </si>
  <si>
    <t>Tue, 19 Jan 2021 00:00:00 GMT</t>
  </si>
  <si>
    <t>Fri, 15 Jan 2021 00:00:00 GMT</t>
  </si>
  <si>
    <t>Thu, 14 Jan 2021 00:00:00 GMT</t>
  </si>
  <si>
    <t>Wed, 13 Jan 2021 00:00:00 GMT</t>
  </si>
  <si>
    <t>Tue, 12 Jan 2021 00:00:00 GMT</t>
  </si>
  <si>
    <t>Mon, 11 Jan 2021 00:00:00 GMT</t>
  </si>
  <si>
    <t>Fri, 08 Jan 2021 00:00:00 GMT</t>
  </si>
  <si>
    <t>Thu, 07 Jan 2021 00:00:00 GMT</t>
  </si>
  <si>
    <t>Wed, 06 Jan 2021 00:00:00 GMT</t>
  </si>
  <si>
    <t>Tue, 05 Jan 2021 00:00:00 GMT</t>
  </si>
  <si>
    <t>Mon, 04 Jan 2021 00:00:00 GMT</t>
  </si>
  <si>
    <t>Thu, 31 Dec 2020 00:00:00 GMT</t>
  </si>
  <si>
    <t>Wed, 30 Dec 2020 00:00:00 GMT</t>
  </si>
  <si>
    <t>Tue, 29 Dec 2020 00:00:00 GMT</t>
  </si>
  <si>
    <t>Mon, 28 Dec 2020 00:00:00 GMT</t>
  </si>
  <si>
    <t>Thu, 24 Dec 2020 00:00:00 GMT</t>
  </si>
  <si>
    <t>Wed, 23 Dec 2020 00:00:00 GMT</t>
  </si>
  <si>
    <t>Tue, 22 Dec 2020 00:00:00 GMT</t>
  </si>
  <si>
    <t>Mon, 21 Dec 2020 00:00:00 GMT</t>
  </si>
  <si>
    <t>Fri, 18 Dec 2020 00:00:00 GMT</t>
  </si>
  <si>
    <t>Thu, 17 Dec 2020 00:00:00 GMT</t>
  </si>
  <si>
    <t>Wed, 16 Dec 2020 00:00:00 GMT</t>
  </si>
  <si>
    <t>Tue, 15 Dec 2020 00:00:00 GMT</t>
  </si>
  <si>
    <t>Mon, 14 Dec 2020 00:00:00 GMT</t>
  </si>
  <si>
    <t>Fri, 11 Dec 2020 00:00:00 GMT</t>
  </si>
  <si>
    <t>Thu, 10 Dec 2020 00:00:00 GMT</t>
  </si>
  <si>
    <t>Wed, 09 Dec 2020 00:00:00 GMT</t>
  </si>
  <si>
    <t>Tue, 08 Dec 2020 00:00:00 GMT</t>
  </si>
  <si>
    <t>Mon, 07 Dec 2020 00:00:00 GMT</t>
  </si>
  <si>
    <t>Fri, 04 Dec 2020 00:00:00 GMT</t>
  </si>
  <si>
    <t>Thu, 03 Dec 2020 00:00:00 GMT</t>
  </si>
  <si>
    <t>Wed, 02 Dec 2020 00:00:00 GMT</t>
  </si>
  <si>
    <t>Tue, 01 Dec 2020 00:00:00 GMT</t>
  </si>
  <si>
    <t>Mon, 30 Nov 2020 00:00:00 GMT</t>
  </si>
  <si>
    <t>Fri, 27 Nov 2020 00:00:00 GMT</t>
  </si>
  <si>
    <t>Wed, 25 Nov 2020 00:00:00 GMT</t>
  </si>
  <si>
    <t>Tue, 24 Nov 2020 00:00:00 GMT</t>
  </si>
  <si>
    <t>Mon, 23 Nov 2020 00:00:00 GMT</t>
  </si>
  <si>
    <t>Fri, 20 Nov 2020 00:00:00 GMT</t>
  </si>
  <si>
    <t>Thu, 19 Nov 2020 00:00:00 GMT</t>
  </si>
  <si>
    <t>Wed, 18 Nov 2020 00:00:00 GMT</t>
  </si>
  <si>
    <t>Tue, 17 Nov 2020 00:00:00 GMT</t>
  </si>
  <si>
    <t>Mon, 16 Nov 2020 00:00:00 GMT</t>
  </si>
  <si>
    <t>Fri, 13 Nov 2020 00:00:00 GMT</t>
  </si>
  <si>
    <t>Thu, 12 Nov 2020 00:00:00 GMT</t>
  </si>
  <si>
    <t>Wed, 11 Nov 2020 00:00:00 GMT</t>
  </si>
  <si>
    <t>Tue, 10 Nov 2020 00:00:00 GMT</t>
  </si>
  <si>
    <t>Mon, 09 Nov 2020 00:00:00 GMT</t>
  </si>
  <si>
    <t>Fri, 06 Nov 2020 00:00:00 GMT</t>
  </si>
  <si>
    <t>Thu, 05 Nov 2020 00:00:00 GMT</t>
  </si>
  <si>
    <t>Wed, 04 Nov 2020 00:00:00 GMT</t>
  </si>
  <si>
    <t>Tue, 03 Nov 2020 00:00:00 GMT</t>
  </si>
  <si>
    <t>Mon, 02 Nov 2020 00:00:00 GMT</t>
  </si>
  <si>
    <t>Fri, 30 Oct 2020 00:00:00 GMT</t>
  </si>
  <si>
    <t>Thu, 29 Oct 2020 00:00:00 GMT</t>
  </si>
  <si>
    <t>Wed, 28 Oct 2020 00:00:00 GMT</t>
  </si>
  <si>
    <t>Tue, 27 Oct 2020 00:00:00 GMT</t>
  </si>
  <si>
    <t>Mon, 26 Oct 2020 00:00:00 GMT</t>
  </si>
  <si>
    <t>Fri, 23 Oct 2020 00:00:00 GMT</t>
  </si>
  <si>
    <t>Thu, 22 Oct 2020 00:00:00 GMT</t>
  </si>
  <si>
    <t>Wed, 21 Oct 2020 00:00:00 GMT</t>
  </si>
  <si>
    <t>Tue, 20 Oct 2020 00:00:00 GMT</t>
  </si>
  <si>
    <t>Mon, 19 Oct 2020 00:00:00 GMT</t>
  </si>
  <si>
    <t>Fri, 16 Oct 2020 00:00:00 GMT</t>
  </si>
  <si>
    <t>Thu, 15 Oct 2020 00:00:00 GMT</t>
  </si>
  <si>
    <t>Wed, 14 Oct 2020 00:00:00 GMT</t>
  </si>
  <si>
    <t>Tue, 13 Oct 2020 00:00:00 GMT</t>
  </si>
  <si>
    <t>Mon, 12 Oct 2020 00:00:00 GMT</t>
  </si>
  <si>
    <t>Fri, 09 Oct 2020 00:00:00 GMT</t>
  </si>
  <si>
    <t>Thu, 08 Oct 2020 00:00:00 GMT</t>
  </si>
  <si>
    <t>Wed, 07 Oct 2020 00:00:00 GMT</t>
  </si>
  <si>
    <t>Tue, 06 Oct 2020 00:00:00 GMT</t>
  </si>
  <si>
    <t>Mon, 05 Oct 2020 00:00:00 GMT</t>
  </si>
  <si>
    <t>Fri, 02 Oct 2020 00:00:00 GMT</t>
  </si>
  <si>
    <t>Thu, 01 Oct 2020 00:00:00 GMT</t>
  </si>
  <si>
    <t>Wed, 30 Sep 2020 00:00:00 GMT</t>
  </si>
  <si>
    <t>Tue, 29 Sep 2020 00:00:00 GMT</t>
  </si>
  <si>
    <t>Mon, 28 Sep 2020 00:00:00 GMT</t>
  </si>
  <si>
    <t>Fri, 25 Sep 2020 00:00:00 GMT</t>
  </si>
  <si>
    <t>Thu, 24 Sep 2020 00:00:00 GMT</t>
  </si>
  <si>
    <t>Wed, 23 Sep 2020 00:00:00 GMT</t>
  </si>
  <si>
    <t>Tue, 22 Sep 2020 00:00:00 GMT</t>
  </si>
  <si>
    <t>Mon, 21 Sep 2020 00:00:00 GMT</t>
  </si>
  <si>
    <t>Fri, 18 Sep 2020 00:00:00 GMT</t>
  </si>
  <si>
    <t>Thu, 17 Sep 2020 00:00:00 GMT</t>
  </si>
  <si>
    <t>Wed, 16 Sep 2020 00:00:00 GMT</t>
  </si>
  <si>
    <t>Tue, 15 Sep 2020 00:00:00 GMT</t>
  </si>
  <si>
    <t>Mon, 14 Sep 2020 00:00:00 GMT</t>
  </si>
  <si>
    <t>Fri, 11 Sep 2020 00:00:00 GMT</t>
  </si>
  <si>
    <t>Thu, 10 Sep 2020 00:00:00 GMT</t>
  </si>
  <si>
    <t>Wed, 09 Sep 2020 00:00:00 GMT</t>
  </si>
  <si>
    <t>Tue, 08 Sep 2020 00:00:00 GMT</t>
  </si>
  <si>
    <t>Fri, 04 Sep 2020 00:00:00 GMT</t>
  </si>
  <si>
    <t>Thu, 03 Sep 2020 00:00:00 GMT</t>
  </si>
  <si>
    <t>Wed, 02 Sep 2020 00:00:00 GMT</t>
  </si>
  <si>
    <t>Tue, 01 Sep 2020 00:00:00 GMT</t>
  </si>
  <si>
    <t>Mon, 31 Aug 2020 00:00:00 GMT</t>
  </si>
  <si>
    <t>Fri, 28 Aug 2020 00:00:00 GMT</t>
  </si>
  <si>
    <t>Thu, 27 Aug 2020 00:00:00 GMT</t>
  </si>
  <si>
    <t>Wed, 26 Aug 2020 00:00:00 GMT</t>
  </si>
  <si>
    <t>Tue, 25 Aug 2020 00:00:00 GMT</t>
  </si>
  <si>
    <t>Mon, 24 Aug 2020 00:00:00 GMT</t>
  </si>
  <si>
    <t>Fri, 21 Aug 2020 00:00:00 GMT</t>
  </si>
  <si>
    <t>Thu, 20 Aug 2020 00:00:00 GMT</t>
  </si>
  <si>
    <t>Wed, 19 Aug 2020 00:00:00 GMT</t>
  </si>
  <si>
    <t>Tue, 18 Aug 2020 00:00:00 GMT</t>
  </si>
  <si>
    <t>Mon, 17 Aug 2020 00:00:00 GMT</t>
  </si>
  <si>
    <t>Fri, 14 Aug 2020 00:00:00 GMT</t>
  </si>
  <si>
    <t>Thu, 13 Aug 2020 00:00:00 GMT</t>
  </si>
  <si>
    <t>Wed, 12 Aug 2020 00:00:00 GMT</t>
  </si>
  <si>
    <t>Tue, 11 Aug 2020 00:00:00 GMT</t>
  </si>
  <si>
    <t>Mon, 10 Aug 2020 00:00:00 GMT</t>
  </si>
  <si>
    <t>Fri, 07 Aug 2020 00:00:00 GMT</t>
  </si>
  <si>
    <t>Thu, 06 Aug 2020 00:00:00 GMT</t>
  </si>
  <si>
    <t>Wed, 05 Aug 2020 00:00:00 GMT</t>
  </si>
  <si>
    <t>Tue, 04 Aug 2020 00:00:00 GMT</t>
  </si>
  <si>
    <t>Mon, 03 Aug 2020 00:00:00 GMT</t>
  </si>
  <si>
    <t>Fri, 31 Jul 2020 00:00:00 GMT</t>
  </si>
  <si>
    <t>Thu, 30 Jul 2020 00:00:00 GMT</t>
  </si>
  <si>
    <t>Wed, 29 Jul 2020 00:00:00 GMT</t>
  </si>
  <si>
    <t>Tue, 28 Jul 2020 00:00:00 GMT</t>
  </si>
  <si>
    <t>Mon, 27 Jul 2020 00:00:00 GMT</t>
  </si>
  <si>
    <t>Fri, 24 Jul 2020 00:00:00 GMT</t>
  </si>
  <si>
    <t>Thu, 23 Jul 2020 00:00:00 GMT</t>
  </si>
  <si>
    <t>Wed, 22 Jul 2020 00:00:00 GMT</t>
  </si>
  <si>
    <t>Tue, 21 Jul 2020 00:00:00 GMT</t>
  </si>
  <si>
    <t>Mon, 20 Jul 2020 00:00:00 GMT</t>
  </si>
  <si>
    <t>Fri, 17 Jul 2020 00:00:00 GMT</t>
  </si>
  <si>
    <t>Thu, 16 Jul 2020 00:00:00 GMT</t>
  </si>
  <si>
    <t>Wed, 15 Jul 2020 00:00:00 GMT</t>
  </si>
  <si>
    <t>Tue, 14 Jul 2020 00:00:00 GMT</t>
  </si>
  <si>
    <t>Mon, 13 Jul 2020 00:00:00 GMT</t>
  </si>
  <si>
    <t>Fri, 10 Jul 2020 00:00:00 GMT</t>
  </si>
  <si>
    <t>Thu, 09 Jul 2020 00:00:00 GMT</t>
  </si>
  <si>
    <t>Wed, 08 Jul 2020 00:00:00 GMT</t>
  </si>
  <si>
    <t>Tue, 07 Jul 2020 00:00:00 GMT</t>
  </si>
  <si>
    <t>Mon, 06 Jul 2020 00:00:00 GMT</t>
  </si>
  <si>
    <t>Thu, 02 Jul 2020 00:00:00 GMT</t>
  </si>
  <si>
    <t>Wed, 01 Jul 2020 00:00:00 GMT</t>
  </si>
  <si>
    <t>Tue, 30 Jun 2020 00:00:00 GMT</t>
  </si>
  <si>
    <t>Mon, 29 Jun 2020 00:00:00 GMT</t>
  </si>
  <si>
    <t>Fri, 26 Jun 2020 00:00:00 GMT</t>
  </si>
  <si>
    <t>Thu, 25 Jun 2020 00:00:00 GMT</t>
  </si>
  <si>
    <t>Wed, 24 Jun 2020 00:00:00 GMT</t>
  </si>
  <si>
    <t>Tue, 23 Jun 2020 00:00:00 GMT</t>
  </si>
  <si>
    <t>Mon, 22 Jun 2020 00:00:00 GMT</t>
  </si>
  <si>
    <t>Fri, 19 Jun 2020 00:00:00 GMT</t>
  </si>
  <si>
    <t>Thu, 18 Jun 2020 00:00:00 GMT</t>
  </si>
  <si>
    <t>Wed, 17 Jun 2020 00:00:00 GMT</t>
  </si>
  <si>
    <t>Tue, 16 Jun 2020 00:00:00 GMT</t>
  </si>
  <si>
    <t>Mon, 15 Jun 2020 00:00:00 GMT</t>
  </si>
  <si>
    <t>Fri, 12 Jun 2020 00:00:00 GMT</t>
  </si>
  <si>
    <t>Thu, 11 Jun 2020 00:00:00 GMT</t>
  </si>
  <si>
    <t>Wed, 10 Jun 2020 00:00:00 GMT</t>
  </si>
  <si>
    <t>Tue, 09 Jun 2020 00:00:00 GMT</t>
  </si>
  <si>
    <t>Mon, 08 Jun 2020 00:00:00 GMT</t>
  </si>
  <si>
    <t>Fri, 05 Jun 2020 00:00:00 GMT</t>
  </si>
  <si>
    <t>Thu, 04 Jun 2020 00:00:00 GMT</t>
  </si>
  <si>
    <t>Wed, 03 Jun 2020 00:00:00 GMT</t>
  </si>
  <si>
    <t>Tue, 02 Jun 2020 00:00:00 GMT</t>
  </si>
  <si>
    <t>Mon, 01 Jun 2020 00:00:00 GMT</t>
  </si>
  <si>
    <t>Fri, 29 May 2020 00:00:00 GMT</t>
  </si>
  <si>
    <t>Thu, 28 May 2020 00:00:00 GMT</t>
  </si>
  <si>
    <t>Wed, 27 May 2020 00:00:00 GMT</t>
  </si>
  <si>
    <t>Tue, 26 May 2020 00:00:00 GMT</t>
  </si>
  <si>
    <t>Fri, 22 May 2020 00:00:00 GMT</t>
  </si>
  <si>
    <t>Thu, 21 May 2020 00:00:00 GMT</t>
  </si>
  <si>
    <t>Wed, 20 May 2020 00:00:00 GMT</t>
  </si>
  <si>
    <t>Tue, 19 May 2020 00:00:00 GMT</t>
  </si>
  <si>
    <t>Mon, 18 May 2020 00:00:00 GMT</t>
  </si>
  <si>
    <t>Fri, 15 May 2020 00:00:00 GMT</t>
  </si>
  <si>
    <t>Thu, 14 May 2020 00:00:00 GMT</t>
  </si>
  <si>
    <t>Wed, 13 May 2020 00:00:00 GMT</t>
  </si>
  <si>
    <t>Tue, 12 May 2020 00:00:00 GMT</t>
  </si>
  <si>
    <t>Mon, 11 May 2020 00:00:00 GMT</t>
  </si>
  <si>
    <t>Fri, 08 May 2020 00:00:00 GMT</t>
  </si>
  <si>
    <t>Thu, 07 May 2020 00:00:00 GMT</t>
  </si>
  <si>
    <t>Wed, 06 May 2020 00:00:00 GMT</t>
  </si>
  <si>
    <t>Tue, 05 May 2020 00:00:00 GMT</t>
  </si>
  <si>
    <t>Mon, 04 May 2020 00:00:00 GMT</t>
  </si>
  <si>
    <t>Fri, 01 May 2020 00:00:00 GMT</t>
  </si>
  <si>
    <t>Thu, 30 Apr 2020 00:00:00 GMT</t>
  </si>
  <si>
    <t>Wed, 29 Apr 2020 00:00:00 GMT</t>
  </si>
  <si>
    <t>Tue, 28 Apr 2020 00:00:00 GMT</t>
  </si>
  <si>
    <t>Mon, 27 Apr 2020 00:00:00 GMT</t>
  </si>
  <si>
    <t>Fri, 24 Apr 2020 00:00:00 GMT</t>
  </si>
  <si>
    <t>Thu, 23 Apr 2020 00:00:00 GMT</t>
  </si>
  <si>
    <t>Wed, 22 Apr 2020 00:00:00 GMT</t>
  </si>
  <si>
    <t>Tue, 21 Apr 2020 00:00:00 GMT</t>
  </si>
  <si>
    <t>Mon, 20 Apr 2020 00:00:00 GMT</t>
  </si>
  <si>
    <t>Fri, 17 Apr 2020 00:00:00 GMT</t>
  </si>
  <si>
    <t>Thu, 16 Apr 2020 00:00:00 GMT</t>
  </si>
  <si>
    <t>Wed, 15 Apr 2020 00:00:00 GMT</t>
  </si>
  <si>
    <t>Tue, 14 Apr 2020 00:00:00 GMT</t>
  </si>
  <si>
    <t>Mon, 13 Apr 2020 00:00:00 GMT</t>
  </si>
  <si>
    <t>Thu, 09 Apr 2020 00:00:00 GMT</t>
  </si>
  <si>
    <t>Wed, 08 Apr 2020 00:00:00 GMT</t>
  </si>
  <si>
    <t>Tue, 07 Apr 2020 00:00:00 GMT</t>
  </si>
  <si>
    <t>Mon, 06 Apr 2020 00:00:00 GMT</t>
  </si>
  <si>
    <t>Fri, 03 Apr 2020 00:00:00 GMT</t>
  </si>
  <si>
    <t>Thu, 02 Apr 2020 00:00:00 GMT</t>
  </si>
  <si>
    <t>Wed, 01 Apr 2020 00:00:00 GMT</t>
  </si>
  <si>
    <t>Tue, 31 Mar 2020 00:00:00 GMT</t>
  </si>
  <si>
    <t>Mon, 30 Mar 2020 00:00:00 GMT</t>
  </si>
  <si>
    <t>Fri, 27 Mar 2020 00:00:00 GMT</t>
  </si>
  <si>
    <t>Thu, 26 Mar 2020 00:00:00 GMT</t>
  </si>
  <si>
    <t>Wed, 25 Mar 2020 00:00:00 GMT</t>
  </si>
  <si>
    <t>Tue, 24 Mar 2020 00:00:00 GMT</t>
  </si>
  <si>
    <t>Mon, 23 Mar 2020 00:00:00 GMT</t>
  </si>
  <si>
    <t>Fri, 20 Mar 2020 00:00:00 GMT</t>
  </si>
  <si>
    <t>Thu, 19 Mar 2020 00:00:00 GMT</t>
  </si>
  <si>
    <t>Wed, 18 Mar 2020 00:00:00 GMT</t>
  </si>
  <si>
    <t>Tue, 17 Mar 2020 00:00:00 GMT</t>
  </si>
  <si>
    <t>Mon, 16 Mar 2020 00:00:00 GMT</t>
  </si>
  <si>
    <t>Fri, 13 Mar 2020 00:00:00 GMT</t>
  </si>
  <si>
    <t>Thu, 12 Mar 2020 00:00:00 GMT</t>
  </si>
  <si>
    <t>Wed, 11 Mar 2020 00:00:00 GMT</t>
  </si>
  <si>
    <t>Tue, 10 Mar 2020 00:00:00 GMT</t>
  </si>
  <si>
    <t>Mon, 09 Mar 2020 00:00:00 GMT</t>
  </si>
  <si>
    <t>Fri, 06 Mar 2020 00:00:00 GMT</t>
  </si>
  <si>
    <t>Thu, 05 Mar 2020 00:00:00 GMT</t>
  </si>
  <si>
    <t>Wed, 04 Mar 2020 00:00:00 GMT</t>
  </si>
  <si>
    <t>Tue, 03 Mar 2020 00:00:00 GMT</t>
  </si>
  <si>
    <t>Mon, 02 Mar 2020 00:00:00 GMT</t>
  </si>
  <si>
    <t>Fri, 28 Feb 2020 00:00:00 GMT</t>
  </si>
  <si>
    <t>Thu, 27 Feb 2020 00:00:00 GMT</t>
  </si>
  <si>
    <t>Wed, 26 Feb 2020 00:00:00 GMT</t>
  </si>
  <si>
    <t>Tue, 25 Feb 2020 00:00:00 GMT</t>
  </si>
  <si>
    <t>Mon, 24 Feb 2020 00:00:00 GMT</t>
  </si>
  <si>
    <t>Fri, 21 Feb 2020 00:00:00 GMT</t>
  </si>
  <si>
    <t>Thu, 20 Feb 2020 00:00:00 GMT</t>
  </si>
  <si>
    <t>Wed, 19 Feb 2020 00:00:00 GMT</t>
  </si>
  <si>
    <t>Tue, 18 Feb 2020 00:00:00 GMT</t>
  </si>
  <si>
    <t>Fri, 14 Feb 2020 00:00:00 GMT</t>
  </si>
  <si>
    <t>Thu, 13 Feb 2020 00:00:00 GMT</t>
  </si>
  <si>
    <t>Wed, 12 Feb 2020 00:00:00 GMT</t>
  </si>
  <si>
    <t>Tue, 11 Feb 2020 00:00:00 GMT</t>
  </si>
  <si>
    <t>Mon, 10 Feb 2020 00:00:00 GMT</t>
  </si>
  <si>
    <t>Fri, 07 Feb 2020 00:00:00 GMT</t>
  </si>
  <si>
    <t>Thu, 06 Feb 2020 00:00:00 GMT</t>
  </si>
  <si>
    <t>Wed, 05 Feb 2020 00:00:00 GMT</t>
  </si>
  <si>
    <t>Tue, 04 Feb 2020 00:00:00 GMT</t>
  </si>
  <si>
    <t>Mon, 03 Feb 2020 00:00:00 GMT</t>
  </si>
  <si>
    <t>Fri, 31 Jan 2020 00:00:00 GMT</t>
  </si>
  <si>
    <t>Thu, 30 Jan 2020 00:00:00 GMT</t>
  </si>
  <si>
    <t>Wed, 29 Jan 2020 00:00:00 GMT</t>
  </si>
  <si>
    <t>Tue, 28 Jan 2020 00:00:00 GMT</t>
  </si>
  <si>
    <t>Mon, 27 Jan 2020 00:00:00 GMT</t>
  </si>
  <si>
    <t>Fri, 24 Jan 2020 00:00:00 GMT</t>
  </si>
  <si>
    <t>Thu, 23 Jan 2020 00:00:00 GMT</t>
  </si>
  <si>
    <t>Wed, 22 Jan 2020 00:00:00 GMT</t>
  </si>
  <si>
    <t>Tue, 21 Jan 2020 00:00:00 GMT</t>
  </si>
  <si>
    <t>Fri, 17 Jan 2020 00:00:00 GMT</t>
  </si>
  <si>
    <t>Thu, 16 Jan 2020 00:00:00 GMT</t>
  </si>
  <si>
    <t>Wed, 15 Jan 2020 00:00:00 GMT</t>
  </si>
  <si>
    <t>Tue, 14 Jan 2020 00:00:00 GMT</t>
  </si>
  <si>
    <t>Mon, 13 Jan 2020 00:00:00 GMT</t>
  </si>
  <si>
    <t>Fri, 10 Jan 2020 00:00:00 GMT</t>
  </si>
  <si>
    <t>Thu, 09 Jan 2020 00:00:00 GMT</t>
  </si>
  <si>
    <t>Wed, 08 Jan 2020 00:00:00 GMT</t>
  </si>
  <si>
    <t>Tue, 07 Jan 2020 00:00:00 GMT</t>
  </si>
  <si>
    <t>Mon, 06 Jan 2020 00:00:00 GMT</t>
  </si>
  <si>
    <t>Fri, 03 Jan 2020 00:00:00 GMT</t>
  </si>
  <si>
    <t>Thu, 02 Jan 2020 00:00:00 GMT</t>
  </si>
  <si>
    <t>Tue, 31 Dec 2019 00:00:00 GMT</t>
  </si>
  <si>
    <t>Mon, 30 Dec 2019 00:00:00 GMT</t>
  </si>
  <si>
    <t>Fri, 27 Dec 2019 00:00:00 GMT</t>
  </si>
  <si>
    <t>Thu, 26 Dec 2019 00:00:00 GMT</t>
  </si>
  <si>
    <t>Tue, 24 Dec 2019 00:00:00 GMT</t>
  </si>
  <si>
    <t>Mon, 23 Dec 2019 00:00:00 GMT</t>
  </si>
  <si>
    <t>Fri, 20 Dec 2019 00:00:00 GMT</t>
  </si>
  <si>
    <t>Thu, 19 Dec 2019 00:00:00 GMT</t>
  </si>
  <si>
    <t>Wed, 18 Dec 2019 00:00:00 GMT</t>
  </si>
  <si>
    <t>Tue, 17 Dec 2019 00:00:00 GMT</t>
  </si>
  <si>
    <t>Mon, 16 Dec 2019 00:00:00 GMT</t>
  </si>
  <si>
    <t>Fri, 13 Dec 2019 00:00:00 GMT</t>
  </si>
  <si>
    <t>Thu, 12 Dec 2019 00:00:00 GMT</t>
  </si>
  <si>
    <t>Wed, 11 Dec 2019 00:00:00 GMT</t>
  </si>
  <si>
    <t>Tue, 10 Dec 2019 00:00:00 GMT</t>
  </si>
  <si>
    <t>Mon, 09 Dec 2019 00:00:00 GMT</t>
  </si>
  <si>
    <t>Fri, 06 Dec 2019 00:00:00 GMT</t>
  </si>
  <si>
    <t>Thu, 05 Dec 2019 00:00:00 GMT</t>
  </si>
  <si>
    <t>Wed, 04 Dec 2019 00:00:00 GMT</t>
  </si>
  <si>
    <t>Tue, 03 Dec 2019 00:00:00 GMT</t>
  </si>
  <si>
    <t>Mon, 02 Dec 2019 00:00:00 GMT</t>
  </si>
  <si>
    <t>Fri, 29 Nov 2019 00:00:00 GMT</t>
  </si>
  <si>
    <t>Wed, 27 Nov 2019 00:00:00 GMT</t>
  </si>
  <si>
    <t>Tue, 26 Nov 2019 00:00:00 GMT</t>
  </si>
  <si>
    <t>Mon, 25 Nov 2019 00:00:00 GMT</t>
  </si>
  <si>
    <t>Fri, 22 Nov 2019 00:00:00 GMT</t>
  </si>
  <si>
    <t>Thu, 21 Nov 2019 00:00:00 GMT</t>
  </si>
  <si>
    <t>Wed, 20 Nov 2019 00:00:00 GMT</t>
  </si>
  <si>
    <t>Tue, 19 Nov 2019 00:00:00 GMT</t>
  </si>
  <si>
    <t>Mon, 18 Nov 2019 00:00:00 GMT</t>
  </si>
  <si>
    <t>Fri, 15 Nov 2019 00:00:00 GMT</t>
  </si>
  <si>
    <t>Thu, 14 Nov 2019 00:00:00 GMT</t>
  </si>
  <si>
    <t>Wed, 13 Nov 2019 00:00:00 GMT</t>
  </si>
  <si>
    <t>Tue, 12 Nov 2019 00:00:00 GMT</t>
  </si>
  <si>
    <t>Mon, 11 Nov 2019 00:00:00 GMT</t>
  </si>
  <si>
    <t>Fri, 08 Nov 2019 00:00:00 GMT</t>
  </si>
  <si>
    <t>Thu, 07 Nov 2019 00:00:00 GMT</t>
  </si>
  <si>
    <t>Wed, 06 Nov 2019 00:00:00 GMT</t>
  </si>
  <si>
    <t>Tue, 05 Nov 2019 00:00:00 GMT</t>
  </si>
  <si>
    <t>Mon, 04 Nov 2019 00:00:00 GMT</t>
  </si>
  <si>
    <t>Fri, 01 Nov 2019 00:00:00 GMT</t>
  </si>
  <si>
    <t>Thu, 31 Oct 2019 00:00:00 GMT</t>
  </si>
  <si>
    <t>Wed, 30 Oct 2019 00:00:00 GMT</t>
  </si>
  <si>
    <t>Tue, 29 Oct 2019 00:00:00 GMT</t>
  </si>
  <si>
    <t>Mon, 28 Oct 2019 00:00:00 GMT</t>
  </si>
  <si>
    <t>Fri, 25 Oct 2019 00:00:00 GMT</t>
  </si>
  <si>
    <t>Thu, 24 Oct 2019 00:00:00 GMT</t>
  </si>
  <si>
    <t>Wed, 23 Oct 2019 00:00:00 GMT</t>
  </si>
  <si>
    <t>Tue, 22 Oct 2019 00:00:00 GMT</t>
  </si>
  <si>
    <t>Mon, 21 Oct 2019 00:00:00 GMT</t>
  </si>
  <si>
    <t>Fri, 18 Oct 2019 00:00:00 GMT</t>
  </si>
  <si>
    <t>Thu, 17 Oct 2019 00:00:00 GMT</t>
  </si>
  <si>
    <t>Wed, 16 Oct 2019 00:00:00 GMT</t>
  </si>
  <si>
    <t>Tue, 15 Oct 2019 00:00:00 GMT</t>
  </si>
  <si>
    <t>Mon, 14 Oct 2019 00:00:00 GMT</t>
  </si>
  <si>
    <t>Fri, 11 Oct 2019 00:00:00 GMT</t>
  </si>
  <si>
    <t>Thu, 10 Oct 2019 00:00:00 GMT</t>
  </si>
  <si>
    <t>Wed, 09 Oct 2019 00:00:00 GMT</t>
  </si>
  <si>
    <t>Tue, 08 Oct 2019 00:00:00 GMT</t>
  </si>
  <si>
    <t>Mon, 07 Oct 2019 00:00:00 GMT</t>
  </si>
  <si>
    <t>Fri, 04 Oct 2019 00:00:00 GMT</t>
  </si>
  <si>
    <t>Thu, 03 Oct 2019 00:00:00 GMT</t>
  </si>
  <si>
    <t>Wed, 02 Oct 2019 00:00:00 GMT</t>
  </si>
  <si>
    <t>Tue, 01 Oct 2019 00:00:00 GMT</t>
  </si>
  <si>
    <t>Mon, 30 Sep 2019 00:00:00 GMT</t>
  </si>
  <si>
    <t>Fri, 27 Sep 2019 00:00:00 GMT</t>
  </si>
  <si>
    <t>Thu, 26 Sep 2019 00:00:00 GMT</t>
  </si>
  <si>
    <t>Wed, 25 Sep 2019 00:00:00 GMT</t>
  </si>
  <si>
    <t>Tue, 24 Sep 2019 00:00:00 GMT</t>
  </si>
  <si>
    <t>Mon, 23 Sep 2019 00:00:00 GMT</t>
  </si>
  <si>
    <t>Fri, 20 Sep 2019 00:00:00 GMT</t>
  </si>
  <si>
    <t>Thu, 19 Sep 2019 00:00:00 GMT</t>
  </si>
  <si>
    <t>Wed, 18 Sep 2019 00:00:00 GMT</t>
  </si>
  <si>
    <t>Tue, 17 Sep 2019 00:00:00 GMT</t>
  </si>
  <si>
    <t>Mon, 16 Sep 2019 00:00:00 GMT</t>
  </si>
  <si>
    <t>Fri, 13 Sep 2019 00:00:00 GMT</t>
  </si>
  <si>
    <t>Thu, 12 Sep 2019 00:00:00 GMT</t>
  </si>
  <si>
    <t>Wed, 11 Sep 2019 00:00:00 GMT</t>
  </si>
  <si>
    <t>Tue, 10 Sep 2019 00:00:00 GMT</t>
  </si>
  <si>
    <t>Mon, 09 Sep 2019 00:00:00 GMT</t>
  </si>
  <si>
    <t>Fri, 06 Sep 2019 00:00:00 GMT</t>
  </si>
  <si>
    <t>Thu, 05 Sep 2019 00:00:00 GMT</t>
  </si>
  <si>
    <t>Wed, 04 Sep 2019 00:00:00 GMT</t>
  </si>
  <si>
    <t>Tue, 03 Sep 2019 00:00:00 GMT</t>
  </si>
  <si>
    <t>Fri, 30 Aug 2019 00:00:00 GMT</t>
  </si>
  <si>
    <t>Thu, 29 Aug 2019 00:00:00 GMT</t>
  </si>
  <si>
    <t>Wed, 28 Aug 2019 00:00:00 GMT</t>
  </si>
  <si>
    <t>Tue, 27 Aug 2019 00:00:00 GMT</t>
  </si>
  <si>
    <t>Mon, 26 Aug 2019 00:00:00 GMT</t>
  </si>
  <si>
    <t>Fri, 23 Aug 2019 00:00:00 GMT</t>
  </si>
  <si>
    <t>Thu, 22 Aug 2019 00:00:00 GMT</t>
  </si>
  <si>
    <t>Wed, 21 Aug 2019 00:00:00 GMT</t>
  </si>
  <si>
    <t>Tue, 20 Aug 2019 00:00:00 GMT</t>
  </si>
  <si>
    <t>Mon, 19 Aug 2019 00:00:00 GMT</t>
  </si>
  <si>
    <t>Fri, 16 Aug 2019 00:00:00 GMT</t>
  </si>
  <si>
    <t>Thu, 15 Aug 2019 00:00:00 GMT</t>
  </si>
  <si>
    <t>Wed, 14 Aug 2019 00:00:00 GMT</t>
  </si>
  <si>
    <t>Tue, 13 Aug 2019 00:00:00 GMT</t>
  </si>
  <si>
    <t>Mon, 12 Aug 2019 00:00:00 GMT</t>
  </si>
  <si>
    <t>Fri, 09 Aug 2019 00:00:00 GMT</t>
  </si>
  <si>
    <t>Thu, 08 Aug 2019 00:00:00 GMT</t>
  </si>
  <si>
    <t>Wed, 07 Aug 2019 00:00:00 GMT</t>
  </si>
  <si>
    <t>Tue, 06 Aug 2019 00:00:00 GMT</t>
  </si>
  <si>
    <t>Mon, 05 Aug 2019 00:00:00 GMT</t>
  </si>
  <si>
    <t>Fri, 02 Aug 2019 00:00:00 GMT</t>
  </si>
  <si>
    <t>Thu, 01 Aug 2019 00:00:00 GMT</t>
  </si>
  <si>
    <t>Wed, 31 Jul 2019 00:00:00 GMT</t>
  </si>
  <si>
    <t>Tue, 30 Jul 2019 00:00:00 GMT</t>
  </si>
  <si>
    <t>Mon, 29 Jul 2019 00:00:00 GMT</t>
  </si>
  <si>
    <t>Fri, 26 Jul 2019 00:00:00 GMT</t>
  </si>
  <si>
    <t>Thu, 25 Jul 2019 00:00:00 GMT</t>
  </si>
  <si>
    <t>Wed, 24 Jul 2019 00:00:00 GMT</t>
  </si>
  <si>
    <t>Tue, 23 Jul 2019 00:00:00 GMT</t>
  </si>
  <si>
    <t>Mon, 22 Jul 2019 00:00:00 GMT</t>
  </si>
  <si>
    <t>Fri, 19 Jul 2019 00:00:00 GMT</t>
  </si>
  <si>
    <t>Thu, 18 Jul 2019 00:00:00 GMT</t>
  </si>
  <si>
    <t>Wed, 17 Jul 2019 00:00:00 GMT</t>
  </si>
  <si>
    <t>Tue, 16 Jul 2019 00:00:00 GMT</t>
  </si>
  <si>
    <t>Mon, 15 Jul 2019 00:00:00 GMT</t>
  </si>
  <si>
    <t>Fri, 12 Jul 2019 00:00:00 GMT</t>
  </si>
  <si>
    <t>Thu, 11 Jul 2019 00:00:00 GMT</t>
  </si>
  <si>
    <t>Wed, 10 Jul 2019 00:00:00 GMT</t>
  </si>
  <si>
    <t>Tue, 09 Jul 2019 00:00:00 GMT</t>
  </si>
  <si>
    <t>Mon, 08 Jul 2019 00:00:00 GMT</t>
  </si>
  <si>
    <t>Fri, 05 Jul 2019 00:00:00 GMT</t>
  </si>
  <si>
    <t>Wed, 03 Jul 2019 00:00:00 GMT</t>
  </si>
  <si>
    <t>Tue, 02 Jul 2019 00:00:00 GMT</t>
  </si>
  <si>
    <t>Mon, 01 Jul 2019 00:00:00 GMT</t>
  </si>
  <si>
    <t>Fri, 28 Jun 2019 00:00:00 GMT</t>
  </si>
  <si>
    <t>Thu, 27 Jun 2019 00:00:00 GMT</t>
  </si>
  <si>
    <t>Wed, 26 Jun 2019 00:00:00 GMT</t>
  </si>
  <si>
    <t>Tue, 25 Jun 2019 00:00:00 GMT</t>
  </si>
  <si>
    <t>Mon, 24 Jun 2019 00:00:00 GMT</t>
  </si>
  <si>
    <t>Fri, 21 Jun 2019 00:00:00 GMT</t>
  </si>
  <si>
    <t>Thu, 20 Jun 2019 00:00:00 GMT</t>
  </si>
  <si>
    <t>Wed, 19 Jun 2019 00:00:00 GMT</t>
  </si>
  <si>
    <t>Tue, 18 Jun 2019 00:00:00 GMT</t>
  </si>
  <si>
    <t>Mon, 17 Jun 2019 00:00:00 GMT</t>
  </si>
  <si>
    <t>Fri, 14 Jun 2019 00:00:00 GMT</t>
  </si>
  <si>
    <t>Thu, 13 Jun 2019 00:00:00 GMT</t>
  </si>
  <si>
    <t>Wed, 12 Jun 2019 00:00:00 GMT</t>
  </si>
  <si>
    <t>Tue, 11 Jun 2019 00:00:00 GMT</t>
  </si>
  <si>
    <t>Mon, 10 Jun 2019 00:00:00 GMT</t>
  </si>
  <si>
    <t>Fri, 07 Jun 2019 00:00:00 GMT</t>
  </si>
  <si>
    <t>Thu, 06 Jun 2019 00:00:00 GMT</t>
  </si>
  <si>
    <t>Wed, 05 Jun 2019 00:00:00 GMT</t>
  </si>
  <si>
    <t>Tue, 04 Jun 2019 00:00:00 GMT</t>
  </si>
  <si>
    <t>Mon, 03 Jun 2019 00:00:00 GMT</t>
  </si>
  <si>
    <t>Fri, 31 May 2019 00:00:00 GMT</t>
  </si>
  <si>
    <t>Thu, 30 May 2019 00:00:00 GMT</t>
  </si>
  <si>
    <t>Wed, 29 May 2019 00:00:00 GMT</t>
  </si>
  <si>
    <t>Tue, 28 May 2019 00:00:00 GMT</t>
  </si>
  <si>
    <t>Fri, 24 May 2019 00:00:00 GMT</t>
  </si>
  <si>
    <t>Thu, 23 May 2019 00:00:00 GMT</t>
  </si>
  <si>
    <t>Wed, 22 May 2019 00:00:00 GMT</t>
  </si>
  <si>
    <t>Tue, 21 May 2019 00:00:00 GMT</t>
  </si>
  <si>
    <t>Mon, 20 May 2019 00:00:00 GMT</t>
  </si>
  <si>
    <t>Fri, 17 May 2019 00:00:00 GMT</t>
  </si>
  <si>
    <t>Thu, 16 May 2019 00:00:00 GMT</t>
  </si>
  <si>
    <t>Wed, 15 May 2019 00:00:00 GMT</t>
  </si>
  <si>
    <t>Tue, 14 May 2019 00:00:00 GMT</t>
  </si>
  <si>
    <t>Mon, 13 May 2019 00:00:00 GMT</t>
  </si>
  <si>
    <t>Fri, 10 May 2019 00:00:00 GMT</t>
  </si>
  <si>
    <t>Thu, 09 May 2019 00:00:00 GMT</t>
  </si>
  <si>
    <t>Wed, 08 May 2019 00:00:00 GMT</t>
  </si>
  <si>
    <t>Tue, 07 May 2019 00:00:00 GMT</t>
  </si>
  <si>
    <t>Mon, 06 May 2019 00:00:00 GMT</t>
  </si>
  <si>
    <t>Fri, 03 May 2019 00:00:00 GMT</t>
  </si>
  <si>
    <t>Thu, 02 May 2019 00:00:00 GMT</t>
  </si>
  <si>
    <t>Wed, 01 May 2019 00:00:00 GMT</t>
  </si>
  <si>
    <t>Tue, 30 Apr 2019 00:00:00 GMT</t>
  </si>
  <si>
    <t>Mon, 29 Apr 2019 00:00:00 GMT</t>
  </si>
  <si>
    <t>Fri, 26 Apr 2019 00:00:00 GMT</t>
  </si>
  <si>
    <t>Thu, 25 Apr 2019 00:00:00 GMT</t>
  </si>
  <si>
    <t>Wed, 24 Apr 2019 00:00:00 GMT</t>
  </si>
  <si>
    <t>Tue, 23 Apr 2019 00:00:00 GMT</t>
  </si>
  <si>
    <t>Mon, 22 Apr 2019 00:00:00 GMT</t>
  </si>
  <si>
    <t>Thu, 18 Apr 2019 00:00:00 GMT</t>
  </si>
  <si>
    <t>Wed, 17 Apr 2019 00:00:00 GMT</t>
  </si>
  <si>
    <t>Tue, 16 Apr 2019 00:00:00 GMT</t>
  </si>
  <si>
    <t>Mon, 15 Apr 2019 00:00:00 GMT</t>
  </si>
  <si>
    <t>Fri, 12 Apr 2019 00:00:00 GMT</t>
  </si>
  <si>
    <t>Thu, 11 Apr 2019 00:00:00 GMT</t>
  </si>
  <si>
    <t>Wed, 10 Apr 2019 00:00:00 GMT</t>
  </si>
  <si>
    <t>Tue, 09 Apr 2019 00:00:00 GMT</t>
  </si>
  <si>
    <t>Mon, 08 Apr 2019 00:00:00 GMT</t>
  </si>
  <si>
    <t>Fri, 05 Apr 2019 00:00:00 GMT</t>
  </si>
  <si>
    <t>Thu, 04 Apr 2019 00:00:00 GMT</t>
  </si>
  <si>
    <t>Wed, 03 Apr 2019 00:00:00 GMT</t>
  </si>
  <si>
    <t>Tue, 02 Apr 2019 00:00:00 GMT</t>
  </si>
  <si>
    <t>Mon, 01 Apr 2019 00:00:00 GMT</t>
  </si>
  <si>
    <t>Fri, 29 Mar 2019 00:00:00 GMT</t>
  </si>
  <si>
    <t>Thu, 28 Mar 2019 00:00:00 GMT</t>
  </si>
  <si>
    <t>Wed, 27 Mar 2019 00:00:00 GMT</t>
  </si>
  <si>
    <t>Tue, 26 Mar 2019 00:00:00 GMT</t>
  </si>
  <si>
    <t>Mon, 25 Mar 2019 00:00:00 GMT</t>
  </si>
  <si>
    <t>Fri, 22 Mar 2019 00:00:00 GMT</t>
  </si>
  <si>
    <t>Thu, 21 Mar 2019 00:00:00 GMT</t>
  </si>
  <si>
    <t>Wed, 20 Mar 2019 00:00:00 GMT</t>
  </si>
  <si>
    <t>Tue, 19 Mar 2019 00:00:00 GMT</t>
  </si>
  <si>
    <t>Mon, 18 Mar 2019 00:00:00 GMT</t>
  </si>
  <si>
    <t>Fri, 15 Mar 2019 00:00:00 GMT</t>
  </si>
  <si>
    <t>Thu, 14 Mar 2019 00:00:00 GMT</t>
  </si>
  <si>
    <t>Wed, 13 Mar 2019 00:00:00 GMT</t>
  </si>
  <si>
    <t>Tue, 12 Mar 2019 00:00:00 GMT</t>
  </si>
  <si>
    <t>Mon, 11 Mar 2019 00:00:00 GMT</t>
  </si>
  <si>
    <t>Fri, 08 Mar 2019 00:00:00 GMT</t>
  </si>
  <si>
    <t>Thu, 07 Mar 2019 00:00:00 GMT</t>
  </si>
  <si>
    <t>Wed, 06 Mar 2019 00:00:00 GMT</t>
  </si>
  <si>
    <t>Tue, 05 Mar 2019 00:00:00 GMT</t>
  </si>
  <si>
    <t>Mon, 04 Mar 2019 00:00:00 GMT</t>
  </si>
  <si>
    <t>Fri, 01 Mar 2019 00:00:00 GMT</t>
  </si>
  <si>
    <t>Thu, 28 Feb 2019 00:00:00 GMT</t>
  </si>
  <si>
    <t>Wed, 27 Feb 2019 00:00:00 GMT</t>
  </si>
  <si>
    <t>Tue, 26 Feb 2019 00:00:00 GMT</t>
  </si>
  <si>
    <t>Mon, 25 Feb 2019 00:00:00 GMT</t>
  </si>
  <si>
    <t>Fri, 22 Feb 2019 00:00:00 GMT</t>
  </si>
  <si>
    <t>Thu, 21 Feb 2019 00:00:00 GMT</t>
  </si>
  <si>
    <t>Wed, 20 Feb 2019 00:00:00 GMT</t>
  </si>
  <si>
    <t>Tue, 19 Feb 2019 00:00:00 GMT</t>
  </si>
  <si>
    <t>Fri, 15 Feb 2019 00:00:00 GMT</t>
  </si>
  <si>
    <t>Thu, 14 Feb 2019 00:00:00 GMT</t>
  </si>
  <si>
    <t>Wed, 13 Feb 2019 00:00:00 GMT</t>
  </si>
  <si>
    <t>Tue, 12 Feb 2019 00:00:00 GMT</t>
  </si>
  <si>
    <t>Mon, 11 Feb 2019 00:00:00 GMT</t>
  </si>
  <si>
    <t>Fri, 08 Feb 2019 00:00:00 GMT</t>
  </si>
  <si>
    <t>Thu, 07 Feb 2019 00:00:00 GMT</t>
  </si>
  <si>
    <t>Wed, 06 Feb 2019 00:00:00 GMT</t>
  </si>
  <si>
    <t>Tue, 05 Feb 2019 00:00:00 GMT</t>
  </si>
  <si>
    <t>Mon, 04 Feb 2019 00:00:00 GMT</t>
  </si>
  <si>
    <t>Fri, 01 Feb 2019 00:00:00 GMT</t>
  </si>
  <si>
    <t>Thu, 31 Jan 2019 00:00:00 GMT</t>
  </si>
  <si>
    <t>Wed, 30 Jan 2019 00:00:00 GMT</t>
  </si>
  <si>
    <t>Tue, 29 Jan 2019 00:00:00 GMT</t>
  </si>
  <si>
    <t>Mon, 28 Jan 2019 00:00:00 GMT</t>
  </si>
  <si>
    <t>Fri, 25 Jan 2019 00:00:00 GMT</t>
  </si>
  <si>
    <t>Thu, 24 Jan 2019 00:00:00 GMT</t>
  </si>
  <si>
    <t>Wed, 23 Jan 2019 00:00:00 GMT</t>
  </si>
  <si>
    <t>Tue, 22 Jan 2019 00:00:00 GMT</t>
  </si>
  <si>
    <t>Fri, 18 Jan 2019 00:00:00 GMT</t>
  </si>
  <si>
    <t>Thu, 17 Jan 2019 00:00:00 GMT</t>
  </si>
  <si>
    <t>Wed, 16 Jan 2019 00:00:00 GMT</t>
  </si>
  <si>
    <t>Tue, 15 Jan 2019 00:00:00 GMT</t>
  </si>
  <si>
    <t>Mon, 14 Jan 2019 00:00:00 GMT</t>
  </si>
  <si>
    <t>Fri, 11 Jan 2019 00:00:00 GMT</t>
  </si>
  <si>
    <t>Thu, 10 Jan 2019 00:00:00 GMT</t>
  </si>
  <si>
    <t>Wed, 09 Jan 2019 00:00:00 GMT</t>
  </si>
  <si>
    <t>Tue, 08 Jan 2019 00:00:00 GMT</t>
  </si>
  <si>
    <t>Mon, 07 Jan 2019 00:00:00 GMT</t>
  </si>
  <si>
    <t>Fri, 04 Jan 2019 00:00:00 GMT</t>
  </si>
  <si>
    <t>Thu, 03 Jan 2019 00:00:00 GMT</t>
  </si>
  <si>
    <t>Wed, 02 Jan 2019 00:00:00 GMT</t>
  </si>
  <si>
    <t>Mon, 31 Dec 2018 00:00:00 GMT</t>
  </si>
  <si>
    <t>Fri, 28 Dec 2018 00:00:00 GMT</t>
  </si>
  <si>
    <t>Thu, 27 Dec 2018 00:00:00 GMT</t>
  </si>
  <si>
    <t>Wed, 26 Dec 2018 00:00:00 GMT</t>
  </si>
  <si>
    <t>Mon, 24 Dec 2018 00:00:00 GMT</t>
  </si>
  <si>
    <t>Fri, 21 Dec 2018 00:00:00 GMT</t>
  </si>
  <si>
    <t>Thu, 20 Dec 2018 00:00:00 GMT</t>
  </si>
  <si>
    <t>Wed, 19 Dec 2018 00:00:00 GMT</t>
  </si>
  <si>
    <t>Tue, 18 Dec 2018 00:00:00 GMT</t>
  </si>
  <si>
    <t>Mon, 17 Dec 2018 00:00:00 GMT</t>
  </si>
  <si>
    <t>Fri, 14 Dec 2018 00:00:00 GMT</t>
  </si>
  <si>
    <t>Thu, 13 Dec 2018 00:00:00 GMT</t>
  </si>
  <si>
    <t>Wed, 12 Dec 2018 00:00:00 GMT</t>
  </si>
  <si>
    <t>Tue, 11 Dec 2018 00:00:00 GMT</t>
  </si>
  <si>
    <t>Mon, 10 Dec 2018 00:00:00 GMT</t>
  </si>
  <si>
    <t>Fri, 07 Dec 2018 00:00:00 GMT</t>
  </si>
  <si>
    <t>Thu, 06 Dec 2018 00:00:00 GMT</t>
  </si>
  <si>
    <t>Tue, 04 Dec 2018 00:00:00 GMT</t>
  </si>
  <si>
    <t>Mon, 03 Dec 2018 00:00:00 GMT</t>
  </si>
  <si>
    <t>Fri, 30 Nov 2018 00:00:00 GMT</t>
  </si>
  <si>
    <t>Thu, 29 Nov 2018 00:00:00 GMT</t>
  </si>
  <si>
    <t>Wed, 28 Nov 2018 00:00:00 GMT</t>
  </si>
  <si>
    <t>Tue, 27 Nov 2018 00:00:00 GMT</t>
  </si>
  <si>
    <t>Mon, 26 Nov 2018 00:00:00 GMT</t>
  </si>
  <si>
    <t>Fri, 23 Nov 2018 00:00:00 GMT</t>
  </si>
  <si>
    <t>Wed, 21 Nov 2018 00:00:00 GMT</t>
  </si>
  <si>
    <t>Tue, 20 Nov 2018 00:00:00 GMT</t>
  </si>
  <si>
    <t>Mon, 19 Nov 2018 00:00:00 GMT</t>
  </si>
  <si>
    <t>Fri, 16 Nov 2018 00:00:00 GMT</t>
  </si>
  <si>
    <t>Thu, 15 Nov 2018 00:00:00 GMT</t>
  </si>
  <si>
    <t>Wed, 14 Nov 2018 00:00:00 GMT</t>
  </si>
  <si>
    <t>Tue, 13 Nov 2018 00:00:00 GMT</t>
  </si>
  <si>
    <t>Mon, 12 Nov 2018 00:00:00 GMT</t>
  </si>
  <si>
    <t>Fri, 09 Nov 2018 00:00:00 GMT</t>
  </si>
  <si>
    <t>Thu, 08 Nov 2018 00:00:00 GMT</t>
  </si>
  <si>
    <t>Wed, 07 Nov 2018 00:00:00 GMT</t>
  </si>
  <si>
    <t>Tue, 06 Nov 2018 00:00:00 GMT</t>
  </si>
  <si>
    <t>Mon, 05 Nov 2018 00:00:00 GMT</t>
  </si>
  <si>
    <t>Fri, 02 Nov 2018 00:00:00 GMT</t>
  </si>
  <si>
    <t>Thu, 01 Nov 2018 00:00:00 GMT</t>
  </si>
  <si>
    <t>Wed, 31 Oct 2018 00:00:00 GMT</t>
  </si>
  <si>
    <t>Tue, 30 Oct 2018 00:00:00 GMT</t>
  </si>
  <si>
    <t>Mon, 29 Oct 2018 00:00:00 GMT</t>
  </si>
  <si>
    <t>Fri, 26 Oct 2018 00:00:00 GMT</t>
  </si>
  <si>
    <t>Thu, 25 Oct 2018 00:00:00 GMT</t>
  </si>
  <si>
    <t>Wed, 24 Oct 2018 00:00:00 GMT</t>
  </si>
  <si>
    <t>Tue, 23 Oct 2018 00:00:00 GMT</t>
  </si>
  <si>
    <t>Mon, 22 Oct 2018 00:00:00 GMT</t>
  </si>
  <si>
    <t>Fri, 19 Oct 2018 00:00:00 GMT</t>
  </si>
  <si>
    <t>Thu, 18 Oct 2018 00:00:00 GMT</t>
  </si>
  <si>
    <t>Wed, 17 Oct 2018 00:00:00 GMT</t>
  </si>
  <si>
    <t>Tue, 16 Oct 2018 00:00:00 GMT</t>
  </si>
  <si>
    <t>Mon, 15 Oct 2018 00:00:00 GMT</t>
  </si>
  <si>
    <t>Fri, 12 Oct 2018 00:00:00 GMT</t>
  </si>
  <si>
    <t>Thu, 11 Oct 2018 00:00:00 GMT</t>
  </si>
  <si>
    <t>Wed, 10 Oct 2018 00:00:00 GMT</t>
  </si>
  <si>
    <t>Tue, 09 Oct 2018 00:00:00 GMT</t>
  </si>
  <si>
    <t>Mon, 08 Oct 2018 00:00:00 GMT</t>
  </si>
  <si>
    <t>Fri, 05 Oct 2018 00:00:00 GMT</t>
  </si>
  <si>
    <t>Thu, 04 Oct 2018 00:00:00 GMT</t>
  </si>
  <si>
    <t>Wed, 03 Oct 2018 00:00:00 GMT</t>
  </si>
  <si>
    <t>Tue, 02 Oct 2018 00:00:00 GMT</t>
  </si>
  <si>
    <t>Mon, 01 Oct 2018 00:00:00 GMT</t>
  </si>
  <si>
    <t>Fri, 28 Sep 2018 00:00:00 GMT</t>
  </si>
  <si>
    <t>Thu, 27 Sep 2018 00:00:00 GMT</t>
  </si>
  <si>
    <t>Wed, 26 Sep 2018 00:00:00 GMT</t>
  </si>
  <si>
    <t>Tue, 25 Sep 2018 00:00:00 GMT</t>
  </si>
  <si>
    <t>Mon, 24 Sep 2018 00:00:00 GMT</t>
  </si>
  <si>
    <t>Fri, 21 Sep 2018 00:00:00 GMT</t>
  </si>
  <si>
    <t>Thu, 20 Sep 2018 00:00:00 GMT</t>
  </si>
  <si>
    <t>Wed, 19 Sep 2018 00:00:00 GMT</t>
  </si>
  <si>
    <t>Tue, 18 Sep 2018 00:00:00 GMT</t>
  </si>
  <si>
    <t>Mon, 17 Sep 2018 00:00:00 GMT</t>
  </si>
  <si>
    <t>Fri, 14 Sep 2018 00:00:00 GMT</t>
  </si>
  <si>
    <t>Thu, 13 Sep 2018 00:00:00 GMT</t>
  </si>
  <si>
    <t>Wed, 12 Sep 2018 00:00:00 GMT</t>
  </si>
  <si>
    <t>Tue, 11 Sep 2018 00:00:00 GMT</t>
  </si>
  <si>
    <t>Mon, 10 Sep 2018 00:00:00 GMT</t>
  </si>
  <si>
    <t>Fri, 07 Sep 2018 00:00:00 GMT</t>
  </si>
  <si>
    <t>Thu, 06 Sep 2018 00:00:00 GMT</t>
  </si>
  <si>
    <t>Wed, 05 Sep 2018 00:00:00 GMT</t>
  </si>
  <si>
    <t>Tue, 04 Sep 2018 00:00:00 GMT</t>
  </si>
  <si>
    <t>Fri, 31 Aug 2018 00:00:00 GMT</t>
  </si>
  <si>
    <t>Thu, 30 Aug 2018 00:00:00 GMT</t>
  </si>
  <si>
    <t>Wed, 29 Aug 2018 00:00:00 GMT</t>
  </si>
  <si>
    <t>Tue, 28 Aug 2018 00:00:00 GMT</t>
  </si>
  <si>
    <t>Mon, 27 Aug 2018 00:00:00 GMT</t>
  </si>
  <si>
    <t>Fri, 24 Aug 2018 00:00:00 GMT</t>
  </si>
  <si>
    <t>Thu, 23 Aug 2018 00:00:00 GMT</t>
  </si>
  <si>
    <t>Wed, 22 Aug 2018 00:00:00 GMT</t>
  </si>
  <si>
    <t>Tue, 21 Aug 2018 00:00:00 GMT</t>
  </si>
  <si>
    <t>Mon, 20 Aug 2018 00:00:00 GMT</t>
  </si>
  <si>
    <t>Fri, 17 Aug 2018 00:00:00 GMT</t>
  </si>
  <si>
    <t>Thu, 16 Aug 2018 00:00:00 GMT</t>
  </si>
  <si>
    <t>Wed, 15 Aug 2018 00:00:00 GMT</t>
  </si>
  <si>
    <t>Tue, 14 Aug 2018 00:00:00 GMT</t>
  </si>
  <si>
    <t>Mon, 13 Aug 2018 00:00:00 GMT</t>
  </si>
  <si>
    <t>Fri, 10 Aug 2018 00:00:00 GMT</t>
  </si>
  <si>
    <t>Thu, 09 Aug 2018 00:00:00 GMT</t>
  </si>
  <si>
    <t>Wed, 08 Aug 2018 00:00:00 GMT</t>
  </si>
  <si>
    <t>Tue, 07 Aug 2018 00:00:00 GMT</t>
  </si>
  <si>
    <t>Mon, 06 Aug 2018 00:00:00 GMT</t>
  </si>
  <si>
    <t>Fri, 03 Aug 2018 00:00:00 GMT</t>
  </si>
  <si>
    <t>Thu, 02 Aug 2018 00:00:00 GMT</t>
  </si>
  <si>
    <t>Wed, 01 Aug 2018 00:00:00 GMT</t>
  </si>
  <si>
    <t>Tue, 31 Jul 2018 00:00:00 GMT</t>
  </si>
  <si>
    <t>Mon, 30 Jul 2018 00:00:00 GMT</t>
  </si>
  <si>
    <t>Fri, 27 Jul 2018 00:00:00 GMT</t>
  </si>
  <si>
    <t>Thu, 26 Jul 2018 00:00:00 GMT</t>
  </si>
  <si>
    <t>Wed, 25 Jul 2018 00:00:00 GMT</t>
  </si>
  <si>
    <t>Tue, 24 Jul 2018 00:00:00 GMT</t>
  </si>
  <si>
    <t>Mon, 23 Jul 2018 00:00:00 GMT</t>
  </si>
  <si>
    <t>Fri, 20 Jul 2018 00:00:00 GMT</t>
  </si>
  <si>
    <t>Thu, 19 Jul 2018 00:00:00 GMT</t>
  </si>
  <si>
    <t>Wed, 18 Jul 2018 00:00:00 GMT</t>
  </si>
  <si>
    <t>Tue, 17 Jul 2018 00:00:00 GMT</t>
  </si>
  <si>
    <t>Mon, 16 Jul 2018 00:00:00 GMT</t>
  </si>
  <si>
    <t>Fri, 13 Jul 2018 00:00:00 GMT</t>
  </si>
  <si>
    <t>Thu, 12 Jul 2018 00:00:00 GMT</t>
  </si>
  <si>
    <t>Wed, 11 Jul 2018 00:00:00 GMT</t>
  </si>
  <si>
    <t>Tue, 10 Jul 2018 00:00:00 GMT</t>
  </si>
  <si>
    <t>Mon, 09 Jul 2018 00:00:00 GMT</t>
  </si>
  <si>
    <t>Fri, 06 Jul 2018 00:00:00 GMT</t>
  </si>
  <si>
    <t>Thu, 05 Jul 2018 00:00:00 GMT</t>
  </si>
  <si>
    <t>Tue, 03 Jul 2018 00:00:00 GMT</t>
  </si>
  <si>
    <t>Mon, 02 Jul 2018 00:00:00 GMT</t>
  </si>
  <si>
    <t>Fri, 29 Jun 2018 00:00:00 GMT</t>
  </si>
  <si>
    <t>Thu, 28 Jun 2018 00:00:00 GMT</t>
  </si>
  <si>
    <t>Wed, 27 Jun 2018 00:00:00 GMT</t>
  </si>
  <si>
    <t>Tue, 26 Jun 2018 00:00:00 GMT</t>
  </si>
  <si>
    <t>Mon, 25 Jun 2018 00:00:00 GMT</t>
  </si>
  <si>
    <t>Fri, 22 Jun 2018 00:00:00 GMT</t>
  </si>
  <si>
    <t>Thu, 21 Jun 2018 00:00:00 GMT</t>
  </si>
  <si>
    <t>Wed, 20 Jun 2018 00:00:00 GMT</t>
  </si>
  <si>
    <t>Tue, 19 Jun 2018 00:00:00 GMT</t>
  </si>
  <si>
    <t>Mon, 18 Jun 2018 00:00:00 GMT</t>
  </si>
  <si>
    <t>Fri, 15 Jun 2018 00:00:00 GMT</t>
  </si>
  <si>
    <t>Thu, 14 Jun 2018 00:00:00 GMT</t>
  </si>
  <si>
    <t>Wed, 13 Jun 2018 00:00:00 GMT</t>
  </si>
  <si>
    <t>Tue, 12 Jun 2018 00:00:00 GMT</t>
  </si>
  <si>
    <t>Mon, 11 Jun 2018 00:00:00 GMT</t>
  </si>
  <si>
    <t>Fri, 08 Jun 2018 00:00:00 GMT</t>
  </si>
  <si>
    <t>Thu, 07 Jun 2018 00:00:00 GMT</t>
  </si>
  <si>
    <t>Wed, 06 Jun 2018 00:00:00 GMT</t>
  </si>
  <si>
    <t>Tue, 05 Jun 2018 00:00:00 GMT</t>
  </si>
  <si>
    <t>Mon, 04 Jun 2018 00:00:00 GMT</t>
  </si>
  <si>
    <t>Fri, 01 Jun 2018 00:00:00 GMT</t>
  </si>
  <si>
    <t>Thu, 31 May 2018 00:00:00 GMT</t>
  </si>
  <si>
    <t>Wed, 30 May 2018 00:00:00 GMT</t>
  </si>
  <si>
    <t>Tue, 29 May 2018 00:00:00 GMT</t>
  </si>
  <si>
    <t>Fri, 25 May 2018 00:00:00 GMT</t>
  </si>
  <si>
    <t>Thu, 24 May 2018 00:00:00 GMT</t>
  </si>
  <si>
    <t>Wed, 23 May 2018 00:00:00 GMT</t>
  </si>
  <si>
    <t>Tue, 22 May 2018 00:00:00 GMT</t>
  </si>
  <si>
    <t>Mon, 21 May 2018 00:00:00 GMT</t>
  </si>
  <si>
    <t>Fri, 18 May 2018 00:00:00 GMT</t>
  </si>
  <si>
    <t>Thu, 17 May 2018 00:00:00 GMT</t>
  </si>
  <si>
    <t>Wed, 16 May 2018 00:00:00 GMT</t>
  </si>
  <si>
    <t>Tue, 15 May 2018 00:00:00 GMT</t>
  </si>
  <si>
    <t>Mon, 14 May 2018 00:00:00 GMT</t>
  </si>
  <si>
    <t>Fri, 11 May 2018 00:00:00 GMT</t>
  </si>
  <si>
    <t>Thu, 10 May 2018 00:00:00 GMT</t>
  </si>
  <si>
    <t>Wed, 09 May 2018 00:00:00 GMT</t>
  </si>
  <si>
    <t>Tue, 08 May 2018 00:00:00 GMT</t>
  </si>
  <si>
    <t>Mon, 07 May 2018 00:00:00 GMT</t>
  </si>
  <si>
    <t>Fri, 04 May 2018 00:00:00 GMT</t>
  </si>
  <si>
    <t>Thu, 03 May 2018 00:00:00 GMT</t>
  </si>
  <si>
    <t>Wed, 02 May 2018 00:00:00 GMT</t>
  </si>
  <si>
    <t>Tue, 01 May 2018 00:00:00 GMT</t>
  </si>
  <si>
    <t>Mon, 30 Apr 2018 00:00:00 GMT</t>
  </si>
  <si>
    <t>Fri, 27 Apr 2018 00:00:00 GMT</t>
  </si>
  <si>
    <t>Thu, 26 Apr 2018 00:00:00 GMT</t>
  </si>
  <si>
    <t>Wed, 25 Apr 2018 00:00:00 GMT</t>
  </si>
  <si>
    <t>Tue, 24 Apr 2018 00:00:00 GMT</t>
  </si>
  <si>
    <t>Mon, 23 Apr 2018 00:00:00 GMT</t>
  </si>
  <si>
    <t>Fri, 20 Apr 2018 00:00:00 GMT</t>
  </si>
  <si>
    <t>Thu, 19 Apr 2018 00:00:00 GMT</t>
  </si>
  <si>
    <t>Wed, 18 Apr 2018 00:00:00 GMT</t>
  </si>
  <si>
    <t>Tue, 17 Apr 2018 00:00:00 GMT</t>
  </si>
  <si>
    <t>Mon, 16 Apr 2018 00:00:00 GMT</t>
  </si>
  <si>
    <t>Fri, 13 Apr 2018 00:00:00 GMT</t>
  </si>
  <si>
    <t>Thu, 12 Apr 2018 00:00:00 GMT</t>
  </si>
  <si>
    <t>Wed, 11 Apr 2018 00:00:00 GMT</t>
  </si>
  <si>
    <t>Tue, 10 Apr 2018 00:00:00 GMT</t>
  </si>
  <si>
    <t>Mon, 09 Apr 2018 00:00:00 GMT</t>
  </si>
  <si>
    <t>Fri, 06 Apr 2018 00:00:00 GMT</t>
  </si>
  <si>
    <t>Thu, 05 Apr 2018 00:00:00 GMT</t>
  </si>
  <si>
    <t>Wed, 04 Apr 2018 00:00:00 GMT</t>
  </si>
  <si>
    <t>Tue, 03 Apr 2018 00:00:00 GMT</t>
  </si>
  <si>
    <t>Mon, 02 Apr 2018 00:00:00 GMT</t>
  </si>
  <si>
    <t>Thu, 29 Mar 2018 00:00:00 GMT</t>
  </si>
  <si>
    <t>Wed, 28 Mar 2018 00:00:00 GMT</t>
  </si>
  <si>
    <t>Tue, 27 Mar 2018 00:00:00 GMT</t>
  </si>
  <si>
    <t>Mon, 26 Mar 2018 00:00:00 GMT</t>
  </si>
  <si>
    <t>Fri, 23 Mar 2018 00:00:00 GMT</t>
  </si>
  <si>
    <t>Thu, 22 Mar 2018 00:00:00 GMT</t>
  </si>
  <si>
    <t>Wed, 21 Mar 2018 00:00:00 GMT</t>
  </si>
  <si>
    <t>Tue, 20 Mar 2018 00:00:00 GMT</t>
  </si>
  <si>
    <t>Mon, 19 Mar 2018 00:00:00 GMT</t>
  </si>
  <si>
    <t>Fri, 16 Mar 2018 00:00:00 GMT</t>
  </si>
  <si>
    <t>Thu, 15 Mar 2018 00:00:00 GMT</t>
  </si>
  <si>
    <t>Wed, 14 Mar 2018 00:00:00 GMT</t>
  </si>
  <si>
    <t>Tue, 13 Mar 2018 00:00:00 GMT</t>
  </si>
  <si>
    <t>Mon, 12 Mar 2018 00:00:00 GMT</t>
  </si>
  <si>
    <t>Fri, 09 Mar 2018 00:00:00 GMT</t>
  </si>
  <si>
    <t>Thu, 08 Mar 2018 00:00:00 GMT</t>
  </si>
  <si>
    <t>Wed, 07 Mar 2018 00:00:00 GMT</t>
  </si>
  <si>
    <t>Tue, 06 Mar 2018 00:00:00 GMT</t>
  </si>
  <si>
    <t>Mon, 05 Mar 2018 00:00:00 GMT</t>
  </si>
  <si>
    <t>Fri, 02 Mar 2018 00:00:00 GMT</t>
  </si>
  <si>
    <t>Thu, 01 Mar 2018 00:00:00 GMT</t>
  </si>
  <si>
    <t>Wed, 28 Feb 2018 00:00:00 GMT</t>
  </si>
  <si>
    <t>Tue, 27 Feb 2018 00:00:00 GMT</t>
  </si>
  <si>
    <t>Mon, 26 Feb 2018 00:00:00 GMT</t>
  </si>
  <si>
    <t>Fri, 23 Feb 2018 00:00:00 GMT</t>
  </si>
  <si>
    <t>Thu, 22 Feb 2018 00:00:00 GMT</t>
  </si>
  <si>
    <t>Wed, 21 Feb 2018 00:00:00 GMT</t>
  </si>
  <si>
    <t>Tue, 20 Feb 2018 00:00:00 GMT</t>
  </si>
  <si>
    <t>Fri, 16 Feb 2018 00:00:00 GMT</t>
  </si>
  <si>
    <t>Thu, 15 Feb 2018 00:00:00 GMT</t>
  </si>
  <si>
    <t>Wed, 14 Feb 2018 00:00:00 GMT</t>
  </si>
  <si>
    <t>Tue, 13 Feb 2018 00:00:00 GMT</t>
  </si>
  <si>
    <t>Mon, 12 Feb 2018 00:00:00 GMT</t>
  </si>
  <si>
    <t>Fri, 09 Feb 2018 00:00:00 GMT</t>
  </si>
  <si>
    <t>Thu, 08 Feb 2018 00:00:00 GMT</t>
  </si>
  <si>
    <t>Wed, 07 Feb 2018 00:00:00 GMT</t>
  </si>
  <si>
    <t>Tue, 06 Feb 2018 00:00:00 GMT</t>
  </si>
  <si>
    <t>Mon, 05 Feb 2018 00:00:00 GMT</t>
  </si>
  <si>
    <t>Fri, 02 Feb 2018 00:00:00 GMT</t>
  </si>
  <si>
    <t>Thu, 01 Feb 2018 00:00:00 GMT</t>
  </si>
  <si>
    <t>Wed, 31 Jan 2018 00:00:00 GMT</t>
  </si>
  <si>
    <t>Tue, 30 Jan 2018 00:00:00 GMT</t>
  </si>
  <si>
    <t>Mon, 29 Jan 2018 00:00:00 GMT</t>
  </si>
  <si>
    <t>Fri, 26 Jan 2018 00:00:00 GMT</t>
  </si>
  <si>
    <t>Thu, 25 Jan 2018 00:00:00 GMT</t>
  </si>
  <si>
    <t>Wed, 24 Jan 2018 00:00:00 GMT</t>
  </si>
  <si>
    <t>Tue, 23 Jan 2018 00:00:00 GMT</t>
  </si>
  <si>
    <t>Mon, 22 Jan 2018 00:00:00 GMT</t>
  </si>
  <si>
    <t>Fri, 19 Jan 2018 00:00:00 GMT</t>
  </si>
  <si>
    <t>Thu, 18 Jan 2018 00:00:00 GMT</t>
  </si>
  <si>
    <t>Wed, 17 Jan 2018 00:00:00 GMT</t>
  </si>
  <si>
    <t>Tue, 16 Jan 2018 00:00:00 GMT</t>
  </si>
  <si>
    <t>Fri, 12 Jan 2018 00:00:00 GMT</t>
  </si>
  <si>
    <t>Thu, 11 Jan 2018 00:00:00 GMT</t>
  </si>
  <si>
    <t>Wed, 10 Jan 2018 00:00:00 GMT</t>
  </si>
  <si>
    <t>Tue, 09 Jan 2018 00:00:00 GMT</t>
  </si>
  <si>
    <t>Mon, 08 Jan 2018 00:00:00 GMT</t>
  </si>
  <si>
    <t>Fri, 05 Jan 2018 00:00:00 GMT</t>
  </si>
  <si>
    <t>Thu, 04 Jan 2018 00:00:00 GMT</t>
  </si>
  <si>
    <t>Wed, 03 Jan 2018 00:00:00 GMT</t>
  </si>
  <si>
    <t>Tue, 02 Jan 2018 00:00:00 GMT</t>
  </si>
  <si>
    <t>Fri, 29 Dec 2017 00:00:00 GMT</t>
  </si>
  <si>
    <t>Thu, 28 Dec 2017 00:00:00 GMT</t>
  </si>
  <si>
    <t>Wed, 27 Dec 2017 00:00:00 GMT</t>
  </si>
  <si>
    <t>Tue, 26 Dec 2017 00:00:00 GMT</t>
  </si>
  <si>
    <t>Fri, 22 Dec 2017 00:00:00 GMT</t>
  </si>
  <si>
    <t>Thu, 21 Dec 2017 00:00:00 GMT</t>
  </si>
  <si>
    <t>Wed, 20 Dec 2017 00:00:00 GMT</t>
  </si>
  <si>
    <t>Tue, 19 Dec 2017 00:00:00 GMT</t>
  </si>
  <si>
    <t>Mon, 18 Dec 2017 00:00:00 GMT</t>
  </si>
  <si>
    <t>Fri, 15 Dec 2017 00:00:00 GMT</t>
  </si>
  <si>
    <t>Thu, 14 Dec 2017 00:00:00 GMT</t>
  </si>
  <si>
    <t>Wed, 13 Dec 2017 00:00:00 GMT</t>
  </si>
  <si>
    <t>Tue, 12 Dec 2017 00:00:00 GMT</t>
  </si>
  <si>
    <t>Mon, 11 Dec 2017 00:00:00 GMT</t>
  </si>
  <si>
    <t>Fri, 08 Dec 2017 00:00:00 GMT</t>
  </si>
  <si>
    <t>Thu, 07 Dec 2017 00:00:00 GMT</t>
  </si>
  <si>
    <t>Wed, 06 Dec 2017 00:00:00 GMT</t>
  </si>
  <si>
    <t>Tue, 05 Dec 2017 00:00:00 GMT</t>
  </si>
  <si>
    <t>Mon, 04 Dec 2017 00:00:00 GMT</t>
  </si>
  <si>
    <t>Fri, 01 Dec 2017 00:00:00 GMT</t>
  </si>
  <si>
    <t>Thu, 30 Nov 2017 00:00:00 GMT</t>
  </si>
  <si>
    <t>Wed, 29 Nov 2017 00:00:00 GMT</t>
  </si>
  <si>
    <t>Tue, 28 Nov 2017 00:00:00 GMT</t>
  </si>
  <si>
    <t>Mon, 27 Nov 2017 00:00:00 GMT</t>
  </si>
  <si>
    <t>Fri, 24 Nov 2017 00:00:00 GMT</t>
  </si>
  <si>
    <t>Wed, 22 Nov 2017 00:00:00 GMT</t>
  </si>
  <si>
    <t>Tue, 21 Nov 2017 00:00:00 GMT</t>
  </si>
  <si>
    <t>Mon, 20 Nov 2017 00:00:00 GMT</t>
  </si>
  <si>
    <t>Fri, 17 Nov 2017 00:00:00 GMT</t>
  </si>
  <si>
    <t>Thu, 16 Nov 2017 00:00:00 GMT</t>
  </si>
  <si>
    <t>Wed, 15 Nov 2017 00:00:00 GMT</t>
  </si>
  <si>
    <t>Tue, 14 Nov 2017 00:00:00 GMT</t>
  </si>
  <si>
    <t>Mon, 13 Nov 2017 00:00:00 GMT</t>
  </si>
  <si>
    <t>Fri, 10 Nov 2017 00:00:00 GMT</t>
  </si>
  <si>
    <t>Thu, 09 Nov 2017 00:00:00 GMT</t>
  </si>
  <si>
    <t>Wed, 08 Nov 2017 00:00:00 GMT</t>
  </si>
  <si>
    <t>Tue, 07 Nov 2017 00:00:00 GMT</t>
  </si>
  <si>
    <t>Mon, 06 Nov 2017 00:00:00 GMT</t>
  </si>
  <si>
    <t>Fri, 03 Nov 2017 00:00:00 GMT</t>
  </si>
  <si>
    <t>Thu, 02 Nov 2017 00:00:00 GMT</t>
  </si>
  <si>
    <t>Wed, 01 Nov 2017 00:00:00 GMT</t>
  </si>
  <si>
    <t>Tue, 31 Oct 2017 00:00:00 GMT</t>
  </si>
  <si>
    <t>Mon, 30 Oct 2017 00:00:00 GMT</t>
  </si>
  <si>
    <t>Fri, 27 Oct 2017 00:00:00 GMT</t>
  </si>
  <si>
    <t>Thu, 26 Oct 2017 00:00:00 GMT</t>
  </si>
  <si>
    <t>Wed, 25 Oct 2017 00:00:00 GMT</t>
  </si>
  <si>
    <t>Tue, 24 Oct 2017 00:00:00 GMT</t>
  </si>
  <si>
    <t>Mon, 23 Oct 2017 00:00:00 GMT</t>
  </si>
  <si>
    <t>Fri, 20 Oct 2017 00:00:00 GMT</t>
  </si>
  <si>
    <t>Thu, 19 Oct 2017 00:00:00 GMT</t>
  </si>
  <si>
    <t>Wed, 18 Oct 2017 00:00:00 GMT</t>
  </si>
  <si>
    <t>Tue, 17 Oct 2017 00:00:00 GMT</t>
  </si>
  <si>
    <t>Mon, 16 Oct 2017 00:00:00 GMT</t>
  </si>
  <si>
    <t>Fri, 13 Oct 2017 00:00:00 GMT</t>
  </si>
  <si>
    <t>Thu, 12 Oct 2017 00:00:00 GMT</t>
  </si>
  <si>
    <t>Wed, 11 Oct 2017 00:00:00 GMT</t>
  </si>
  <si>
    <t>Tue, 10 Oct 2017 00:00:00 GMT</t>
  </si>
  <si>
    <t>Mon, 09 Oct 2017 00:00:00 GMT</t>
  </si>
  <si>
    <t>Fri, 06 Oct 2017 00:00:00 GMT</t>
  </si>
  <si>
    <t>Thu, 05 Oct 2017 00:00:00 GMT</t>
  </si>
  <si>
    <t>Wed, 04 Oct 2017 00:00:00 GMT</t>
  </si>
  <si>
    <t>Tue, 03 Oct 2017 00:00:00 GMT</t>
  </si>
  <si>
    <t>Mon, 02 Oct 2017 00:00:00 GMT</t>
  </si>
  <si>
    <t>Fri, 29 Sep 2017 00:00:00 GMT</t>
  </si>
  <si>
    <t>Thu, 28 Sep 2017 00:00:00 GMT</t>
  </si>
  <si>
    <t>Wed, 27 Sep 2017 00:00:00 GMT</t>
  </si>
  <si>
    <t>Tue, 26 Sep 2017 00:00:00 GMT</t>
  </si>
  <si>
    <t>Mon, 25 Sep 2017 00:00:00 GMT</t>
  </si>
  <si>
    <t>Fri, 22 Sep 2017 00:00:00 GMT</t>
  </si>
  <si>
    <t>Thu, 21 Sep 2017 00:00:00 GMT</t>
  </si>
  <si>
    <t>Wed, 20 Sep 2017 00:00:00 GMT</t>
  </si>
  <si>
    <t>Tue, 19 Sep 2017 00:00:00 GMT</t>
  </si>
  <si>
    <t>Mon, 18 Sep 2017 00:00:00 GMT</t>
  </si>
  <si>
    <t>Fri, 15 Sep 2017 00:00:00 GMT</t>
  </si>
  <si>
    <t>Thu, 14 Sep 2017 00:00:00 GMT</t>
  </si>
  <si>
    <t>Wed, 13 Sep 2017 00:00:00 GMT</t>
  </si>
  <si>
    <t>Tue, 12 Sep 2017 00:00:00 GMT</t>
  </si>
  <si>
    <t>Mon, 11 Sep 2017 00:00:00 GMT</t>
  </si>
  <si>
    <t>Fri, 08 Sep 2017 00:00:00 GMT</t>
  </si>
  <si>
    <t>Thu, 07 Sep 2017 00:00:00 GMT</t>
  </si>
  <si>
    <t>Wed, 06 Sep 2017 00:00:00 GMT</t>
  </si>
  <si>
    <t>Tue, 05 Sep 2017 00:00:00 GMT</t>
  </si>
  <si>
    <t>Fri, 01 Sep 2017 00:00:00 GMT</t>
  </si>
  <si>
    <t>Thu, 31 Aug 2017 00:00:00 GMT</t>
  </si>
  <si>
    <t>Wed, 30 Aug 2017 00:00:00 GMT</t>
  </si>
  <si>
    <t>Tue, 29 Aug 2017 00:00:00 GMT</t>
  </si>
  <si>
    <t>Mon, 28 Aug 2017 00:00:00 GMT</t>
  </si>
  <si>
    <t>Fri, 25 Aug 2017 00:00:00 GMT</t>
  </si>
  <si>
    <t>Thu, 24 Aug 2017 00:00:00 GMT</t>
  </si>
  <si>
    <t>Wed, 23 Aug 2017 00:00:00 GMT</t>
  </si>
  <si>
    <t>Tue, 22 Aug 2017 00:00:00 GMT</t>
  </si>
  <si>
    <t>Mon, 21 Aug 2017 00:00:00 GMT</t>
  </si>
  <si>
    <t>Fri, 18 Aug 2017 00:00:00 GMT</t>
  </si>
  <si>
    <t>Thu, 17 Aug 2017 00:00:00 GMT</t>
  </si>
  <si>
    <t>Wed, 16 Aug 2017 00:00:00 GMT</t>
  </si>
  <si>
    <t>Tue, 15 Aug 2017 00:00:00 GMT</t>
  </si>
  <si>
    <t>Mon, 14 Aug 2017 00:00:00 GMT</t>
  </si>
  <si>
    <t>Fri, 11 Aug 2017 00:00:00 GMT</t>
  </si>
  <si>
    <t>Thu, 10 Aug 2017 00:00:00 GMT</t>
  </si>
  <si>
    <t>Wed, 09 Aug 2017 00:00:00 GMT</t>
  </si>
  <si>
    <t>Tue, 08 Aug 2017 00:00:00 GMT</t>
  </si>
  <si>
    <t>Mon, 07 Aug 2017 00:00:00 GMT</t>
  </si>
  <si>
    <t>Fri, 04 Aug 2017 00:00:00 GMT</t>
  </si>
  <si>
    <t>Thu, 03 Aug 2017 00:00:00 GMT</t>
  </si>
  <si>
    <t>Wed, 02 Aug 2017 00:00:00 GMT</t>
  </si>
  <si>
    <t>Tue, 01 Aug 2017 00:00:00 GMT</t>
  </si>
  <si>
    <t>Mon, 31 Jul 2017 00:00:00 GMT</t>
  </si>
  <si>
    <t>Fri, 28 Jul 2017 00:00:00 GMT</t>
  </si>
  <si>
    <t>Thu, 27 Jul 2017 00:00:00 GMT</t>
  </si>
  <si>
    <t>Wed, 26 Jul 2017 00:00:00 GMT</t>
  </si>
  <si>
    <t>Tue, 25 Jul 2017 00:00:00 GMT</t>
  </si>
  <si>
    <t>Mon, 24 Jul 2017 00:00:00 GMT</t>
  </si>
  <si>
    <t>Fri, 21 Jul 2017 00:00:00 GMT</t>
  </si>
  <si>
    <t>Thu, 20 Jul 2017 00:00:00 GMT</t>
  </si>
  <si>
    <t>Wed, 19 Jul 2017 00:00:00 GMT</t>
  </si>
  <si>
    <t>Tue, 18 Jul 2017 00:00:00 GMT</t>
  </si>
  <si>
    <t>Mon, 17 Jul 2017 00:00:00 GMT</t>
  </si>
  <si>
    <t>Fri, 14 Jul 2017 00:00:00 GMT</t>
  </si>
  <si>
    <t>Thu, 13 Jul 2017 00:00:00 GMT</t>
  </si>
  <si>
    <t>Wed, 12 Jul 2017 00:00:00 GMT</t>
  </si>
  <si>
    <t>Tue, 11 Jul 2017 00:00:00 GMT</t>
  </si>
  <si>
    <t>Mon, 10 Jul 2017 00:00:00 GMT</t>
  </si>
  <si>
    <t>Fri, 07 Jul 2017 00:00:00 GMT</t>
  </si>
  <si>
    <t>Thu, 06 Jul 2017 00:00:00 GMT</t>
  </si>
  <si>
    <t>Wed, 05 Jul 2017 00:00:00 GMT</t>
  </si>
  <si>
    <t>Mon, 03 Jul 2017 00:00:00 GMT</t>
  </si>
  <si>
    <t>Fri, 30 Jun 2017 00:00:00 GMT</t>
  </si>
  <si>
    <t>Thu, 29 Jun 2017 00:00:00 GMT</t>
  </si>
  <si>
    <t>Wed, 28 Jun 2017 00:00:00 GMT</t>
  </si>
  <si>
    <t>Tue, 27 Jun 2017 00:00:00 GMT</t>
  </si>
  <si>
    <t>Mon, 26 Jun 2017 00:00:00 GMT</t>
  </si>
  <si>
    <t>Fri, 23 Jun 2017 00:00:00 GMT</t>
  </si>
  <si>
    <t>Thu, 22 Jun 2017 00:00:00 GMT</t>
  </si>
  <si>
    <t>Wed, 21 Jun 2017 00:00:00 GMT</t>
  </si>
  <si>
    <t>Tue, 20 Jun 2017 00:00:00 GMT</t>
  </si>
  <si>
    <t>Mon, 19 Jun 2017 00:00:00 GMT</t>
  </si>
  <si>
    <t>Fri, 16 Jun 2017 00:00:00 GMT</t>
  </si>
  <si>
    <t>Thu, 15 Jun 2017 00:00:00 GMT</t>
  </si>
  <si>
    <t>Wed, 14 Jun 2017 00:00:00 GMT</t>
  </si>
  <si>
    <t>Tue, 13 Jun 2017 00:00:00 GMT</t>
  </si>
  <si>
    <t>Mon, 12 Jun 2017 00:00:00 GMT</t>
  </si>
  <si>
    <t>Fri, 09 Jun 2017 00:00:00 GMT</t>
  </si>
  <si>
    <t>Thu, 08 Jun 2017 00:00:00 GMT</t>
  </si>
  <si>
    <t>Wed, 07 Jun 2017 00:00:00 GMT</t>
  </si>
  <si>
    <t>Tue, 06 Jun 2017 00:00:00 GMT</t>
  </si>
  <si>
    <t>Mon, 05 Jun 2017 00:00:00 GMT</t>
  </si>
  <si>
    <t>Fri, 02 Jun 2017 00:00:00 GMT</t>
  </si>
  <si>
    <t>Thu, 01 Jun 2017 00:00:00 GMT</t>
  </si>
  <si>
    <t>Wed, 31 May 2017 00:00:00 GMT</t>
  </si>
  <si>
    <t>Tue, 30 May 2017 00:00:00 GMT</t>
  </si>
  <si>
    <t>Fri, 26 May 2017 00:00:00 GMT</t>
  </si>
  <si>
    <t>Thu, 25 May 2017 00:00:00 GMT</t>
  </si>
  <si>
    <t>Wed, 24 May 2017 00:00:00 GMT</t>
  </si>
  <si>
    <t>Tue, 23 May 2017 00:00:00 GMT</t>
  </si>
  <si>
    <t>Mon, 22 May 2017 00:00:00 GMT</t>
  </si>
  <si>
    <t>Fri, 19 May 2017 00:00:00 GMT</t>
  </si>
  <si>
    <t>Thu, 18 May 2017 00:00:00 GMT</t>
  </si>
  <si>
    <t>Wed, 17 May 2017 00:00:00 GMT</t>
  </si>
  <si>
    <t>Tue, 16 May 2017 00:00:00 GMT</t>
  </si>
  <si>
    <t>Mon, 15 May 2017 00:00:00 GMT</t>
  </si>
  <si>
    <t>Fri, 12 May 2017 00:00:00 GMT</t>
  </si>
  <si>
    <t>Thu, 11 May 2017 00:00:00 GMT</t>
  </si>
  <si>
    <t>Wed, 10 May 2017 00:00:00 GMT</t>
  </si>
  <si>
    <t>Tue, 09 May 2017 00:00:00 GMT</t>
  </si>
  <si>
    <t>Mon, 08 May 2017 00:00:00 GMT</t>
  </si>
  <si>
    <t>Fri, 05 May 2017 00:00:00 GMT</t>
  </si>
  <si>
    <t>Thu, 04 May 2017 00:00:00 GMT</t>
  </si>
  <si>
    <t>Wed, 03 May 2017 00:00:00 GMT</t>
  </si>
  <si>
    <t>Tue, 02 May 2017 00:00:00 GMT</t>
  </si>
  <si>
    <t>Mon, 01 May 2017 00:00:00 GMT</t>
  </si>
  <si>
    <t>Fri, 28 Apr 2017 00:00:00 GMT</t>
  </si>
  <si>
    <t>Thu, 27 Apr 2017 00:00:00 GMT</t>
  </si>
  <si>
    <t>Wed, 26 Apr 2017 00:00:00 GMT</t>
  </si>
  <si>
    <t>Tue, 25 Apr 2017 00:00:00 GMT</t>
  </si>
  <si>
    <t>Mon, 24 Apr 2017 00:00:00 GMT</t>
  </si>
  <si>
    <t>Fri, 21 Apr 2017 00:00:00 GMT</t>
  </si>
  <si>
    <t>Thu, 20 Apr 2017 00:00:00 GMT</t>
  </si>
  <si>
    <t>Wed, 19 Apr 2017 00:00:00 GMT</t>
  </si>
  <si>
    <t>Tue, 18 Apr 2017 00:00:00 GMT</t>
  </si>
  <si>
    <t>Mon, 17 Apr 2017 00:00:00 GMT</t>
  </si>
  <si>
    <t>Thu, 13 Apr 2017 00:00:00 GMT</t>
  </si>
  <si>
    <t>Wed, 12 Apr 2017 00:00:00 GMT</t>
  </si>
  <si>
    <t>Tue, 11 Apr 2017 00:00:00 GMT</t>
  </si>
  <si>
    <t>Mon, 10 Apr 2017 00:00:00 GMT</t>
  </si>
  <si>
    <t>Fri, 07 Apr 2017 00:00:00 GMT</t>
  </si>
  <si>
    <t>Thu, 06 Apr 2017 00:00:00 GMT</t>
  </si>
  <si>
    <t>Wed, 05 Apr 2017 00:00:00 GMT</t>
  </si>
  <si>
    <t>Tue, 04 Apr 2017 00:00:00 GMT</t>
  </si>
  <si>
    <t>Mon, 03 Apr 2017 00:00:00 GMT</t>
  </si>
  <si>
    <t>Fri, 31 Mar 2017 00:00:00 GMT</t>
  </si>
  <si>
    <t>Thu, 30 Mar 2017 00:00:00 GMT</t>
  </si>
  <si>
    <t>Wed, 29 Mar 2017 00:00:00 GMT</t>
  </si>
  <si>
    <t>Tue, 28 Mar 2017 00:00:00 GMT</t>
  </si>
  <si>
    <t>Mon, 27 Mar 2017 00:00:00 GMT</t>
  </si>
  <si>
    <t>Fri, 24 Mar 2017 00:00:00 GMT</t>
  </si>
  <si>
    <t>Thu, 23 Mar 2017 00:00:00 GMT</t>
  </si>
  <si>
    <t>Wed, 22 Mar 2017 00:00:00 GMT</t>
  </si>
  <si>
    <t>Tue, 21 Mar 2017 00:00:00 GMT</t>
  </si>
  <si>
    <t>Mon, 20 Mar 2017 00:00:00 GMT</t>
  </si>
  <si>
    <t>Fri, 17 Mar 2017 00:00:00 GMT</t>
  </si>
  <si>
    <t>Thu, 16 Mar 2017 00:00:00 GMT</t>
  </si>
  <si>
    <t>Wed, 15 Mar 2017 00:00:00 GMT</t>
  </si>
  <si>
    <t>Tue, 14 Mar 2017 00:00:00 GMT</t>
  </si>
  <si>
    <t>Mon, 13 Mar 2017 00:00:00 GMT</t>
  </si>
  <si>
    <t>Fri, 10 Mar 2017 00:00:00 GMT</t>
  </si>
  <si>
    <t>Thu, 09 Mar 2017 00:00:00 GMT</t>
  </si>
  <si>
    <t>Wed, 08 Mar 2017 00:00:00 GMT</t>
  </si>
  <si>
    <t>Tue, 07 Mar 2017 00:00:00 GMT</t>
  </si>
  <si>
    <t>Mon, 06 Mar 2017 00:00:00 GMT</t>
  </si>
  <si>
    <t>Fri, 03 Mar 2017 00:00:00 GMT</t>
  </si>
  <si>
    <t>Thu, 02 Mar 2017 00:00:00 GMT</t>
  </si>
  <si>
    <t>Wed, 01 Mar 2017 00:00:00 GMT</t>
  </si>
  <si>
    <t>Tue, 28 Feb 2017 00:00:00 GMT</t>
  </si>
  <si>
    <t>Mon, 27 Feb 2017 00:00:00 GMT</t>
  </si>
  <si>
    <t>Fri, 24 Feb 2017 00:00:00 GMT</t>
  </si>
  <si>
    <t>Thu, 23 Feb 2017 00:00:00 GMT</t>
  </si>
  <si>
    <t>Wed, 22 Feb 2017 00:00:00 GMT</t>
  </si>
  <si>
    <t>Tue, 21 Feb 2017 00:00:00 GMT</t>
  </si>
  <si>
    <t>Fri, 17 Feb 2017 00:00:00 GMT</t>
  </si>
  <si>
    <t>Thu, 16 Feb 2017 00:00:00 GMT</t>
  </si>
  <si>
    <t>Wed, 15 Feb 2017 00:00:00 GMT</t>
  </si>
  <si>
    <t>Tue, 14 Feb 2017 00:00:00 GMT</t>
  </si>
  <si>
    <t>Mon, 13 Feb 2017 00:00:00 GMT</t>
  </si>
  <si>
    <t>Fri, 10 Feb 2017 00:00:00 GMT</t>
  </si>
  <si>
    <t>Thu, 09 Feb 2017 00:00:00 GMT</t>
  </si>
  <si>
    <t>Wed, 08 Feb 2017 00:00:00 GMT</t>
  </si>
  <si>
    <t>Tue, 07 Feb 2017 00:00:00 GMT</t>
  </si>
  <si>
    <t>Mon, 06 Feb 2017 00:00:00 GMT</t>
  </si>
  <si>
    <t>Fri, 03 Feb 2017 00:00:00 GMT</t>
  </si>
  <si>
    <t>Thu, 02 Feb 2017 00:00:00 GMT</t>
  </si>
  <si>
    <t>Wed, 01 Feb 2017 00:00:00 GMT</t>
  </si>
  <si>
    <t>Tue, 31 Jan 2017 00:00:00 GMT</t>
  </si>
  <si>
    <t>Mon, 30 Jan 2017 00:00:00 GMT</t>
  </si>
  <si>
    <t>Fri, 27 Jan 2017 00:00:00 GMT</t>
  </si>
  <si>
    <t>Thu, 26 Jan 2017 00:00:00 GMT</t>
  </si>
  <si>
    <t>Wed, 25 Jan 2017 00:00:00 GMT</t>
  </si>
  <si>
    <t>Tue, 24 Jan 2017 00:00:00 GMT</t>
  </si>
  <si>
    <t>Mon, 23 Jan 2017 00:00:00 GMT</t>
  </si>
  <si>
    <t>Fri, 20 Jan 2017 00:00:00 GMT</t>
  </si>
  <si>
    <t>Thu, 19 Jan 2017 00:00:00 GMT</t>
  </si>
  <si>
    <t>Wed, 18 Jan 2017 00:00:00 GMT</t>
  </si>
  <si>
    <t>Tue, 17 Jan 2017 00:00:00 GMT</t>
  </si>
  <si>
    <t>Fri, 13 Jan 2017 00:00:00 GMT</t>
  </si>
  <si>
    <t>Thu, 12 Jan 2017 00:00:00 GMT</t>
  </si>
  <si>
    <t>Wed, 11 Jan 2017 00:00:00 GMT</t>
  </si>
  <si>
    <t>Tue, 10 Jan 2017 00:00:00 GMT</t>
  </si>
  <si>
    <t>Mon, 09 Jan 2017 00:00:00 GMT</t>
  </si>
  <si>
    <t>Fri, 06 Jan 2017 00:00:00 GMT</t>
  </si>
  <si>
    <t>Thu, 05 Jan 2017 00:00:00 GMT</t>
  </si>
  <si>
    <t>Wed, 04 Jan 2017 00:00:00 GMT</t>
  </si>
  <si>
    <t>Tue, 03 Jan 2017 00:00:00 GMT</t>
  </si>
  <si>
    <t>Fri, 30 Dec 2016 00:00:00 GMT</t>
  </si>
  <si>
    <t>Thu, 29 Dec 2016 00:00:00 GMT</t>
  </si>
  <si>
    <t>Wed, 28 Dec 2016 00:00:00 GMT</t>
  </si>
  <si>
    <t>Tue, 27 Dec 2016 00:00:00 GMT</t>
  </si>
  <si>
    <t>Fri, 23 Dec 2016 00:00:00 GMT</t>
  </si>
  <si>
    <t>Thu, 22 Dec 2016 00:00:00 GMT</t>
  </si>
  <si>
    <t>Wed, 21 Dec 2016 00:00:00 GMT</t>
  </si>
  <si>
    <t>Tue, 20 Dec 2016 00:00:00 GMT</t>
  </si>
  <si>
    <t>Mon, 19 Dec 2016 00:00:00 GMT</t>
  </si>
  <si>
    <t>Fri, 16 Dec 2016 00:00:00 GMT</t>
  </si>
  <si>
    <t>Thu, 15 Dec 2016 00:00:00 GMT</t>
  </si>
  <si>
    <t>Wed, 14 Dec 2016 00:00:00 GMT</t>
  </si>
  <si>
    <t>Tue, 13 Dec 2016 00:00:00 GMT</t>
  </si>
  <si>
    <t>Mon, 12 Dec 2016 00:00:00 GMT</t>
  </si>
  <si>
    <t>Fri, 09 Dec 2016 00:00:00 GMT</t>
  </si>
  <si>
    <t>Thu, 08 Dec 2016 00:00:00 GMT</t>
  </si>
  <si>
    <t>Wed, 07 Dec 2016 00:00:00 GMT</t>
  </si>
  <si>
    <t>Tue, 06 Dec 2016 00:00:00 GMT</t>
  </si>
  <si>
    <t>Mon, 05 Dec 2016 00:00:00 GMT</t>
  </si>
  <si>
    <t>Fri, 02 Dec 2016 00:00:00 GMT</t>
  </si>
  <si>
    <t>Thu, 01 Dec 2016 00:00:00 GMT</t>
  </si>
  <si>
    <t>Wed, 30 Nov 2016 00:00:00 GMT</t>
  </si>
  <si>
    <t>Tue, 29 Nov 2016 00:00:00 GMT</t>
  </si>
  <si>
    <t>Mon, 28 Nov 2016 00:00:00 GMT</t>
  </si>
  <si>
    <t>Fri, 25 Nov 2016 00:00:00 GMT</t>
  </si>
  <si>
    <t>Wed, 23 Nov 2016 00:00:00 GMT</t>
  </si>
  <si>
    <t>Tue, 22 Nov 2016 00:00:00 GMT</t>
  </si>
  <si>
    <t>Mon, 21 Nov 2016 00:00:00 GMT</t>
  </si>
  <si>
    <t>Fri, 18 Nov 2016 00:00:00 GMT</t>
  </si>
  <si>
    <t>Thu, 17 Nov 2016 00:00:00 GMT</t>
  </si>
  <si>
    <t>Wed, 16 Nov 2016 00:00:00 GMT</t>
  </si>
  <si>
    <t>Tue, 15 Nov 2016 00:00:00 GMT</t>
  </si>
  <si>
    <t>Mon, 14 Nov 2016 00:00:00 GMT</t>
  </si>
  <si>
    <t>Fri, 11 Nov 2016 00:00:00 GMT</t>
  </si>
  <si>
    <t>Thu, 10 Nov 2016 00:00:00 GMT</t>
  </si>
  <si>
    <t>Wed, 09 Nov 2016 00:00:00 GMT</t>
  </si>
  <si>
    <t>Tue, 08 Nov 2016 00:00:00 GMT</t>
  </si>
  <si>
    <t>Mon, 07 Nov 2016 00:00:00 GMT</t>
  </si>
  <si>
    <t>Fri, 04 Nov 2016 00:00:00 GMT</t>
  </si>
  <si>
    <t>Thu, 03 Nov 2016 00:00:00 GMT</t>
  </si>
  <si>
    <t>Wed, 02 Nov 2016 00:00:00 GMT</t>
  </si>
  <si>
    <t>Tue, 01 Nov 2016 00:00:00 GMT</t>
  </si>
  <si>
    <t>Mon, 31 Oct 2016 00:00:00 GMT</t>
  </si>
  <si>
    <t>Fri, 28 Oct 2016 00:00:00 GMT</t>
  </si>
  <si>
    <t>Thu, 27 Oct 2016 00:00:00 GMT</t>
  </si>
  <si>
    <t>Wed, 26 Oct 2016 00:00:00 GMT</t>
  </si>
  <si>
    <t>Tue, 25 Oct 2016 00:00:00 GMT</t>
  </si>
  <si>
    <t>Mon, 24 Oct 2016 00:00:00 GMT</t>
  </si>
  <si>
    <t>Fri, 21 Oct 2016 00:00:00 GMT</t>
  </si>
  <si>
    <t>Thu, 20 Oct 2016 00:00:00 GMT</t>
  </si>
  <si>
    <t>Wed, 19 Oct 2016 00:00:00 GMT</t>
  </si>
  <si>
    <t>Tue, 18 Oct 2016 00:00:00 GMT</t>
  </si>
  <si>
    <t>Mon, 17 Oct 2016 00:00:00 GMT</t>
  </si>
  <si>
    <t>Fri, 14 Oct 2016 00:00:00 GMT</t>
  </si>
  <si>
    <t>Thu, 13 Oct 2016 00:00:00 GMT</t>
  </si>
  <si>
    <t>Wed, 12 Oct 2016 00:00:00 GMT</t>
  </si>
  <si>
    <t>Tue, 11 Oct 2016 00:00:00 GMT</t>
  </si>
  <si>
    <t>Mon, 10 Oct 2016 00:00:00 GMT</t>
  </si>
  <si>
    <t>Fri, 07 Oct 2016 00:00:00 GMT</t>
  </si>
  <si>
    <t>Thu, 06 Oct 2016 00:00:00 GMT</t>
  </si>
  <si>
    <t>Wed, 05 Oct 2016 00:00:00 GMT</t>
  </si>
  <si>
    <t>Tue, 04 Oct 2016 00:00:00 GMT</t>
  </si>
  <si>
    <t>Mon, 03 Oct 2016 00:00:00 GMT</t>
  </si>
  <si>
    <t>Fri, 30 Sep 2016 00:00:00 GMT</t>
  </si>
  <si>
    <t>Thu, 29 Sep 2016 00:00:00 GMT</t>
  </si>
  <si>
    <t>Wed, 28 Sep 2016 00:00:00 GMT</t>
  </si>
  <si>
    <t>Tue, 27 Sep 2016 00:00:00 GMT</t>
  </si>
  <si>
    <t>Mon, 26 Sep 2016 00:00:00 GMT</t>
  </si>
  <si>
    <t>Fri, 23 Sep 2016 00:00:00 GMT</t>
  </si>
  <si>
    <t>Thu, 22 Sep 2016 00:00:00 GMT</t>
  </si>
  <si>
    <t>Wed, 21 Sep 2016 00:00:00 GMT</t>
  </si>
  <si>
    <t>Tue, 20 Sep 2016 00:00:00 GMT</t>
  </si>
  <si>
    <t>Mon, 19 Sep 2016 00:00:00 GMT</t>
  </si>
  <si>
    <t>Fri, 16 Sep 2016 00:00:00 GMT</t>
  </si>
  <si>
    <t>Thu, 15 Sep 2016 00:00:00 GMT</t>
  </si>
  <si>
    <t>Wed, 14 Sep 2016 00:00:00 GMT</t>
  </si>
  <si>
    <t>Tue, 13 Sep 2016 00:00:00 GMT</t>
  </si>
  <si>
    <t>Mon, 12 Sep 2016 00:00:00 GMT</t>
  </si>
  <si>
    <t>Fri, 09 Sep 2016 00:00:00 GMT</t>
  </si>
  <si>
    <t>Thu, 08 Sep 2016 00:00:00 GMT</t>
  </si>
  <si>
    <t>Wed, 07 Sep 2016 00:00:00 GMT</t>
  </si>
  <si>
    <t>Tue, 06 Sep 2016 00:00:00 GMT</t>
  </si>
  <si>
    <t>Fri, 02 Sep 2016 00:00:00 GMT</t>
  </si>
  <si>
    <t>Thu, 01 Sep 2016 00:00:00 GMT</t>
  </si>
  <si>
    <t>Wed, 31 Aug 2016 00:00:00 GMT</t>
  </si>
  <si>
    <t>Tue, 30 Aug 2016 00:00:00 GMT</t>
  </si>
  <si>
    <t>Mon, 29 Aug 2016 00:00:00 GMT</t>
  </si>
  <si>
    <t>Fri, 26 Aug 2016 00:00:00 GMT</t>
  </si>
  <si>
    <t>Thu, 25 Aug 2016 00:00:00 GMT</t>
  </si>
  <si>
    <t>Wed, 24 Aug 2016 00:00:00 GMT</t>
  </si>
  <si>
    <t>Tue, 23 Aug 2016 00:00:00 GMT</t>
  </si>
  <si>
    <t>Mon, 22 Aug 2016 00:00:00 GMT</t>
  </si>
  <si>
    <t>Fri, 19 Aug 2016 00:00:00 GMT</t>
  </si>
  <si>
    <t>Thu, 18 Aug 2016 00:00:00 GMT</t>
  </si>
  <si>
    <t>Wed, 17 Aug 2016 00:00:00 GMT</t>
  </si>
  <si>
    <t>Tue, 16 Aug 2016 00:00:00 GMT</t>
  </si>
  <si>
    <t>Mon, 15 Aug 2016 00:00:00 GMT</t>
  </si>
  <si>
    <t>Fri, 12 Aug 2016 00:00:00 GMT</t>
  </si>
  <si>
    <t>Thu, 11 Aug 2016 00:00:00 GMT</t>
  </si>
  <si>
    <t>Wed, 10 Aug 2016 00:00:00 GMT</t>
  </si>
  <si>
    <t>Tue, 09 Aug 2016 00:00:00 GMT</t>
  </si>
  <si>
    <t>Mon, 08 Aug 2016 00:00:00 GMT</t>
  </si>
  <si>
    <t>Fri, 05 Aug 2016 00:00:00 GMT</t>
  </si>
  <si>
    <t>Thu, 04 Aug 2016 00:00:00 GMT</t>
  </si>
  <si>
    <t>Wed, 03 Aug 2016 00:00:00 GMT</t>
  </si>
  <si>
    <t>Tue, 02 Aug 2016 00:00:00 GMT</t>
  </si>
  <si>
    <t>Mon, 01 Aug 2016 00:00:00 GMT</t>
  </si>
  <si>
    <t>Fri, 29 Jul 2016 00:00:00 GMT</t>
  </si>
  <si>
    <t>Thu, 28 Jul 2016 00:00:00 GMT</t>
  </si>
  <si>
    <t>Wed, 27 Jul 2016 00:00:00 GMT</t>
  </si>
  <si>
    <t>Tue, 26 Jul 2016 00:00:00 GMT</t>
  </si>
  <si>
    <t>Mon, 25 Jul 2016 00:00:00 GMT</t>
  </si>
  <si>
    <t>Fri, 22 Jul 2016 00:00:00 GMT</t>
  </si>
  <si>
    <t>Thu, 21 Jul 2016 00:00:00 GMT</t>
  </si>
  <si>
    <t>Wed, 20 Jul 2016 00:00:00 GMT</t>
  </si>
  <si>
    <t>Tue, 19 Jul 2016 00:00:00 GMT</t>
  </si>
  <si>
    <t>Mon, 18 Jul 2016 00:00:00 GMT</t>
  </si>
  <si>
    <t>Fri, 15 Jul 2016 00:00:00 GMT</t>
  </si>
  <si>
    <t>Thu, 14 Jul 2016 00:00:00 GMT</t>
  </si>
  <si>
    <t>Wed, 13 Jul 2016 00:00:00 GMT</t>
  </si>
  <si>
    <t>Tue, 12 Jul 2016 00:00:00 GMT</t>
  </si>
  <si>
    <t>Mon, 11 Jul 2016 00:00:00 GMT</t>
  </si>
  <si>
    <t>Fri, 08 Jul 2016 00:00:00 GMT</t>
  </si>
  <si>
    <t>Thu, 07 Jul 2016 00:00:00 GMT</t>
  </si>
  <si>
    <t>Wed, 06 Jul 2016 00:00:00 GMT</t>
  </si>
  <si>
    <t>Tue, 05 Jul 2016 00:00:00 GMT</t>
  </si>
  <si>
    <t>Fri, 01 Jul 2016 00:00:00 GMT</t>
  </si>
  <si>
    <t>Thu, 30 Jun 2016 00:00:00 GMT</t>
  </si>
  <si>
    <t>Wed, 29 Jun 2016 00:00:00 GMT</t>
  </si>
  <si>
    <t>Tue, 28 Jun 2016 00:00:00 GMT</t>
  </si>
  <si>
    <t>Mon, 27 Jun 2016 00:00:00 GMT</t>
  </si>
  <si>
    <t>Fri, 24 Jun 2016 00:00:00 GMT</t>
  </si>
  <si>
    <t>Thu, 23 Jun 2016 00:00:00 GMT</t>
  </si>
  <si>
    <t>Wed, 22 Jun 2016 00:00:00 GMT</t>
  </si>
  <si>
    <t>Tue, 21 Jun 2016 00:00:00 GMT</t>
  </si>
  <si>
    <t>Mon, 20 Jun 2016 00:00:00 GMT</t>
  </si>
  <si>
    <t>Fri, 17 Jun 2016 00:00:00 GMT</t>
  </si>
  <si>
    <t>Thu, 16 Jun 2016 00:00:00 GMT</t>
  </si>
  <si>
    <t>Wed, 15 Jun 2016 00:00:00 GMT</t>
  </si>
  <si>
    <t>Tue, 14 Jun 2016 00:00:00 GMT</t>
  </si>
  <si>
    <t>Mon, 13 Jun 2016 00:00:00 GMT</t>
  </si>
  <si>
    <t>Fri, 10 Jun 2016 00:00:00 GMT</t>
  </si>
  <si>
    <t>Thu, 09 Jun 2016 00:00:00 GMT</t>
  </si>
  <si>
    <t>Wed, 08 Jun 2016 00:00:00 GMT</t>
  </si>
  <si>
    <t>Tue, 07 Jun 2016 00:00:00 GMT</t>
  </si>
  <si>
    <t>Mon, 06 Jun 2016 00:00:00 GMT</t>
  </si>
  <si>
    <t>Fri, 03 Jun 2016 00:00:00 GMT</t>
  </si>
  <si>
    <t>Thu, 02 Jun 2016 00:00:00 GMT</t>
  </si>
  <si>
    <t>Wed, 01 Jun 2016 00:00:00 GMT</t>
  </si>
  <si>
    <t>Tue, 31 May 2016 00:00:00 GMT</t>
  </si>
  <si>
    <t>Fri, 27 May 2016 00:00:00 GMT</t>
  </si>
  <si>
    <t>Thu, 26 May 2016 00:00:00 GMT</t>
  </si>
  <si>
    <t>Wed, 25 May 2016 00:00:00 GMT</t>
  </si>
  <si>
    <t>Tue, 24 May 2016 00:00:00 GMT</t>
  </si>
  <si>
    <t>Mon, 23 May 2016 00:00:00 GMT</t>
  </si>
  <si>
    <t>Fri, 20 May 2016 00:00:00 GMT</t>
  </si>
  <si>
    <t>Thu, 19 May 2016 00:00:00 GMT</t>
  </si>
  <si>
    <t>Wed, 18 May 2016 00:00:00 GMT</t>
  </si>
  <si>
    <t>Tue, 17 May 2016 00:00:00 GMT</t>
  </si>
  <si>
    <t>Mon, 16 May 2016 00:00:00 GMT</t>
  </si>
  <si>
    <t>Fri, 13 May 2016 00:00:00 GMT</t>
  </si>
  <si>
    <t>Thu, 12 May 2016 00:00:00 GMT</t>
  </si>
  <si>
    <t>Wed, 11 May 2016 00:00:00 GMT</t>
  </si>
  <si>
    <t>Tue, 10 May 2016 00:00:00 GMT</t>
  </si>
  <si>
    <t>Mon, 09 May 2016 00:00:00 GMT</t>
  </si>
  <si>
    <t>Fri, 06 May 2016 00:00:00 GMT</t>
  </si>
  <si>
    <t>Thu, 05 May 2016 00:00:00 GMT</t>
  </si>
  <si>
    <t>Wed, 04 May 2016 00:00:00 GMT</t>
  </si>
  <si>
    <t>Tue, 03 May 2016 00:00:00 GMT</t>
  </si>
  <si>
    <t>Mon, 02 May 2016 00:00:00 GMT</t>
  </si>
  <si>
    <t>Fri, 29 Apr 2016 00:00:00 GMT</t>
  </si>
  <si>
    <t>Thu, 28 Apr 2016 00:00:00 GMT</t>
  </si>
  <si>
    <t>Wed, 27 Apr 2016 00:00:00 GMT</t>
  </si>
  <si>
    <t>Tue, 26 Apr 2016 00:00:00 GMT</t>
  </si>
  <si>
    <t>Mon, 25 Apr 2016 00:00:00 GMT</t>
  </si>
  <si>
    <t>Fri, 22 Apr 2016 00:00:00 GMT</t>
  </si>
  <si>
    <t>Thu, 21 Apr 2016 00:00:00 GMT</t>
  </si>
  <si>
    <t>Wed, 20 Apr 2016 00:00:00 GMT</t>
  </si>
  <si>
    <t>Tue, 19 Apr 2016 00:00:00 GMT</t>
  </si>
  <si>
    <t>Mon, 18 Apr 2016 00:00:00 GMT</t>
  </si>
  <si>
    <t>Fri, 15 Apr 2016 00:00:00 GMT</t>
  </si>
  <si>
    <t>Thu, 14 Apr 2016 00:00:00 GMT</t>
  </si>
  <si>
    <t>Wed, 13 Apr 2016 00:00:00 GMT</t>
  </si>
  <si>
    <t>Tue, 12 Apr 2016 00:00:00 GMT</t>
  </si>
  <si>
    <t>Mon, 11 Apr 2016 00:00:00 GMT</t>
  </si>
  <si>
    <t>Fri, 08 Apr 2016 00:00:00 GMT</t>
  </si>
  <si>
    <t>Thu, 07 Apr 2016 00:00:00 GMT</t>
  </si>
  <si>
    <t>Wed, 06 Apr 2016 00:00:00 GMT</t>
  </si>
  <si>
    <t>Tue, 05 Apr 2016 00:00:00 GMT</t>
  </si>
  <si>
    <t>Mon, 04 Apr 2016 00:00:00 GMT</t>
  </si>
  <si>
    <t>Fri, 01 Apr 2016 00:00:00 GMT</t>
  </si>
  <si>
    <t>Thu, 31 Mar 2016 00:00:00 GMT</t>
  </si>
  <si>
    <t>Wed, 30 Mar 2016 00:00:00 GMT</t>
  </si>
  <si>
    <t>Tue, 29 Mar 2016 00:00:00 GMT</t>
  </si>
  <si>
    <t>Mon, 28 Mar 2016 00:00:00 GMT</t>
  </si>
  <si>
    <t>Thu, 24 Mar 2016 00:00:00 GMT</t>
  </si>
  <si>
    <t>Wed, 23 Mar 2016 00:00:00 GMT</t>
  </si>
  <si>
    <t>Tue, 22 Mar 2016 00:00:00 GMT</t>
  </si>
  <si>
    <t>Mon, 21 Mar 2016 00:00:00 GMT</t>
  </si>
  <si>
    <t>Fri, 18 Mar 2016 00:00:00 GMT</t>
  </si>
  <si>
    <t>Thu, 17 Mar 2016 00:00:00 GMT</t>
  </si>
  <si>
    <t>Wed, 16 Mar 2016 00:00:00 GMT</t>
  </si>
  <si>
    <t>Tue, 15 Mar 2016 00:00:00 GMT</t>
  </si>
  <si>
    <t>Mon, 14 Mar 2016 00:00:00 GMT</t>
  </si>
  <si>
    <t>Fri, 11 Mar 2016 00:00:00 GMT</t>
  </si>
  <si>
    <t>Thu, 10 Mar 2016 00:00:00 GMT</t>
  </si>
  <si>
    <t>Wed, 09 Mar 2016 00:00:00 GMT</t>
  </si>
  <si>
    <t>Tue, 08 Mar 2016 00:00:00 GMT</t>
  </si>
  <si>
    <t>Mon, 07 Mar 2016 00:00:00 GMT</t>
  </si>
  <si>
    <t>Fri, 04 Mar 2016 00:00:00 GMT</t>
  </si>
  <si>
    <t>Thu, 03 Mar 2016 00:00:00 GMT</t>
  </si>
  <si>
    <t>Wed, 02 Mar 2016 00:00:00 GMT</t>
  </si>
  <si>
    <t>Tue, 01 Mar 2016 00:00:00 GMT</t>
  </si>
  <si>
    <t>Mon, 29 Feb 2016 00:00:00 GMT</t>
  </si>
  <si>
    <t>Fri, 26 Feb 2016 00:00:00 GMT</t>
  </si>
  <si>
    <t>Thu, 25 Feb 2016 00:00:00 GMT</t>
  </si>
  <si>
    <t>Wed, 24 Feb 2016 00:00:00 GMT</t>
  </si>
  <si>
    <t>Tue, 23 Feb 2016 00:00:00 GMT</t>
  </si>
  <si>
    <t>Mon, 22 Feb 2016 00:00:00 GMT</t>
  </si>
  <si>
    <t>Fri, 19 Feb 2016 00:00:00 GMT</t>
  </si>
  <si>
    <t>Thu, 18 Feb 2016 00:00:00 GMT</t>
  </si>
  <si>
    <t>Wed, 17 Feb 2016 00:00:00 GMT</t>
  </si>
  <si>
    <t>Tue, 16 Feb 2016 00:00:00 GMT</t>
  </si>
  <si>
    <t>Fri, 12 Feb 2016 00:00:00 GMT</t>
  </si>
  <si>
    <t>Thu, 11 Feb 2016 00:00:00 GMT</t>
  </si>
  <si>
    <t>Wed, 10 Feb 2016 00:00:00 GMT</t>
  </si>
  <si>
    <t>Tue, 09 Feb 2016 00:00:00 GMT</t>
  </si>
  <si>
    <t>Mon, 08 Feb 2016 00:00:00 GMT</t>
  </si>
  <si>
    <t>Fri, 05 Feb 2016 00:00:00 GMT</t>
  </si>
  <si>
    <t>Thu, 04 Feb 2016 00:00:00 GMT</t>
  </si>
  <si>
    <t>Wed, 03 Feb 2016 00:00:00 GMT</t>
  </si>
  <si>
    <t>Tue, 02 Feb 2016 00:00:00 GMT</t>
  </si>
  <si>
    <t>Mon, 01 Feb 2016 00:00:00 GMT</t>
  </si>
  <si>
    <t>Fri, 29 Jan 2016 00:00:00 GMT</t>
  </si>
  <si>
    <t>Thu, 28 Jan 2016 00:00:00 GMT</t>
  </si>
  <si>
    <t>Wed, 27 Jan 2016 00:00:00 GMT</t>
  </si>
  <si>
    <t>Tue, 26 Jan 2016 00:00:00 GMT</t>
  </si>
  <si>
    <t>Mon, 25 Jan 2016 00:00:00 GMT</t>
  </si>
  <si>
    <t>Fri, 22 Jan 2016 00:00:00 GMT</t>
  </si>
  <si>
    <t>Thu, 21 Jan 2016 00:00:00 GMT</t>
  </si>
  <si>
    <t>Wed, 20 Jan 2016 00:00:00 GMT</t>
  </si>
  <si>
    <t>Tue, 19 Jan 2016 00:00:00 GMT</t>
  </si>
  <si>
    <t>Fri, 15 Jan 2016 00:00:00 GMT</t>
  </si>
  <si>
    <t>Thu, 14 Jan 2016 00:00:00 GMT</t>
  </si>
  <si>
    <t>Wed, 13 Jan 2016 00:00:00 GMT</t>
  </si>
  <si>
    <t>Tue, 12 Jan 2016 00:00:00 GMT</t>
  </si>
  <si>
    <t>Mon, 11 Jan 2016 00:00:00 GMT</t>
  </si>
  <si>
    <t>Fri, 08 Jan 2016 00:00:00 GMT</t>
  </si>
  <si>
    <t>Thu, 07 Jan 2016 00:00:00 GMT</t>
  </si>
  <si>
    <t>Wed, 06 Jan 2016 00:00:00 GMT</t>
  </si>
  <si>
    <t>Tue, 05 Jan 2016 00:00:00 GMT</t>
  </si>
  <si>
    <t>Mon, 04 Jan 2016 00:00:00 GMT</t>
  </si>
  <si>
    <t>Thu, 31 Dec 2015 00:00:00 GMT</t>
  </si>
  <si>
    <t>Wed, 30 Dec 2015 00:00:00 GMT</t>
  </si>
  <si>
    <t>Tue, 29 Dec 2015 00:00:00 GMT</t>
  </si>
  <si>
    <t>Mon, 28 Dec 2015 00:00:00 GMT</t>
  </si>
  <si>
    <t>Thu, 24 Dec 2015 00:00:00 GMT</t>
  </si>
  <si>
    <t>Wed, 23 Dec 2015 00:00:00 GMT</t>
  </si>
  <si>
    <t>Tue, 22 Dec 2015 00:00:00 GMT</t>
  </si>
  <si>
    <t>Mon, 21 Dec 2015 00:00:00 GMT</t>
  </si>
  <si>
    <t>Fri, 18 Dec 2015 00:00:00 GMT</t>
  </si>
  <si>
    <t>Thu, 17 Dec 2015 00:00:00 GMT</t>
  </si>
  <si>
    <t>Wed, 16 Dec 2015 00:00:00 GMT</t>
  </si>
  <si>
    <t>Tue, 15 Dec 2015 00:00:00 GMT</t>
  </si>
  <si>
    <t>Mon, 14 Dec 2015 00:00:00 GMT</t>
  </si>
  <si>
    <t>Fri, 11 Dec 2015 00:00:00 GMT</t>
  </si>
  <si>
    <t>Thu, 10 Dec 2015 00:00:00 GMT</t>
  </si>
  <si>
    <t>Wed, 09 Dec 2015 00:00:00 GMT</t>
  </si>
  <si>
    <t>Tue, 08 Dec 2015 00:00:00 GMT</t>
  </si>
  <si>
    <t>Mon, 07 Dec 2015 00:00:00 GMT</t>
  </si>
  <si>
    <t>Fri, 04 Dec 2015 00:00:00 GMT</t>
  </si>
  <si>
    <t>Thu, 03 Dec 2015 00:00:00 GMT</t>
  </si>
  <si>
    <t>Wed, 02 Dec 2015 00:00:00 GMT</t>
  </si>
  <si>
    <t>Tue, 01 Dec 2015 00:00:00 GMT</t>
  </si>
  <si>
    <t>Mon, 30 Nov 2015 00:00:00 GMT</t>
  </si>
  <si>
    <t>Fri, 27 Nov 2015 00:00:00 GMT</t>
  </si>
  <si>
    <t>Wed, 25 Nov 2015 00:00:00 GMT</t>
  </si>
  <si>
    <t>Tue, 24 Nov 2015 00:00:00 GMT</t>
  </si>
  <si>
    <t>Mon, 23 Nov 2015 00:00:00 GMT</t>
  </si>
  <si>
    <t>Fri, 20 Nov 2015 00:00:00 GMT</t>
  </si>
  <si>
    <t>Thu, 19 Nov 2015 00:00:00 GMT</t>
  </si>
  <si>
    <t>Wed, 18 Nov 2015 00:00:00 GMT</t>
  </si>
  <si>
    <t>Tue, 17 Nov 2015 00:00:00 GMT</t>
  </si>
  <si>
    <t>Mon, 16 Nov 2015 00:00:00 GMT</t>
  </si>
  <si>
    <t>Fri, 13 Nov 2015 00:00:00 GMT</t>
  </si>
  <si>
    <t>Thu, 12 Nov 2015 00:00:00 GMT</t>
  </si>
  <si>
    <t>Wed, 11 Nov 2015 00:00:00 GMT</t>
  </si>
  <si>
    <t>Tue, 10 Nov 2015 00:00:00 GMT</t>
  </si>
  <si>
    <t>Mon, 09 Nov 2015 00:00:00 GMT</t>
  </si>
  <si>
    <t>Fri, 06 Nov 2015 00:00:00 GMT</t>
  </si>
  <si>
    <t>Thu, 05 Nov 2015 00:00:00 GMT</t>
  </si>
  <si>
    <t>Wed, 04 Nov 2015 00:00:00 GMT</t>
  </si>
  <si>
    <t>Tue, 03 Nov 2015 00:00:00 GMT</t>
  </si>
  <si>
    <t>Mon, 02 Nov 2015 00:00:00 GMT</t>
  </si>
  <si>
    <t>Fri, 30 Oct 2015 00:00:00 GMT</t>
  </si>
  <si>
    <t>Thu, 29 Oct 2015 00:00:00 GMT</t>
  </si>
  <si>
    <t>Wed, 28 Oct 2015 00:00:00 GMT</t>
  </si>
  <si>
    <t>Tue, 27 Oct 2015 00:00:00 GMT</t>
  </si>
  <si>
    <t>Mon, 26 Oct 2015 00:00:00 GMT</t>
  </si>
  <si>
    <t>Fri, 23 Oct 2015 00:00:00 GMT</t>
  </si>
  <si>
    <t>Thu, 22 Oct 2015 00:00:00 GMT</t>
  </si>
  <si>
    <t>Wed, 21 Oct 2015 00:00:00 GMT</t>
  </si>
  <si>
    <t>Tue, 20 Oct 2015 00:00:00 GMT</t>
  </si>
  <si>
    <t>Mon, 19 Oct 2015 00:00:00 GMT</t>
  </si>
  <si>
    <t>Fri, 16 Oct 2015 00:00:00 GMT</t>
  </si>
  <si>
    <t>Thu, 15 Oct 2015 00:00:00 GMT</t>
  </si>
  <si>
    <t>Wed, 14 Oct 2015 00:00:00 GMT</t>
  </si>
  <si>
    <t>Tue, 13 Oct 2015 00:00:00 GMT</t>
  </si>
  <si>
    <t>Mon, 12 Oct 2015 00:00:00 GMT</t>
  </si>
  <si>
    <t>Fri, 09 Oct 2015 00:00:00 GMT</t>
  </si>
  <si>
    <t>Thu, 08 Oct 2015 00:00:00 GMT</t>
  </si>
  <si>
    <t>Wed, 07 Oct 2015 00:00:00 GMT</t>
  </si>
  <si>
    <t>Tue, 06 Oct 2015 00:00:00 GMT</t>
  </si>
  <si>
    <t>Mon, 05 Oct 2015 00:00:00 GMT</t>
  </si>
  <si>
    <t>Fri, 02 Oct 2015 00:00:00 GMT</t>
  </si>
  <si>
    <t>Thu, 01 Oct 2015 00:00:00 GMT</t>
  </si>
  <si>
    <t>Wed, 30 Sep 2015 00:00:00 GMT</t>
  </si>
  <si>
    <t>Tue, 29 Sep 2015 00:00:00 GMT</t>
  </si>
  <si>
    <t>Mon, 28 Sep 2015 00:00:00 GMT</t>
  </si>
  <si>
    <t>Fri, 25 Sep 2015 00:00:00 GMT</t>
  </si>
  <si>
    <t>Thu, 24 Sep 2015 00:00:00 GMT</t>
  </si>
  <si>
    <t>Wed, 23 Sep 2015 00:00:00 GMT</t>
  </si>
  <si>
    <t>Tue, 22 Sep 2015 00:00:00 GMT</t>
  </si>
  <si>
    <t>Mon, 21 Sep 2015 00:00:00 GMT</t>
  </si>
  <si>
    <t>Fri, 18 Sep 2015 00:00:00 GMT</t>
  </si>
  <si>
    <t>Thu, 17 Sep 2015 00:00:00 GMT</t>
  </si>
  <si>
    <t>Wed, 16 Sep 2015 00:00:00 GMT</t>
  </si>
  <si>
    <t>Tue, 15 Sep 2015 00:00:00 GMT</t>
  </si>
  <si>
    <t>Mon, 14 Sep 2015 00:00:00 GMT</t>
  </si>
  <si>
    <t>Fri, 11 Sep 2015 00:00:00 GMT</t>
  </si>
  <si>
    <t>Thu, 10 Sep 2015 00:00:00 GMT</t>
  </si>
  <si>
    <t>Wed, 09 Sep 2015 00:00:00 GMT</t>
  </si>
  <si>
    <t>Tue, 08 Sep 2015 00:00:00 GMT</t>
  </si>
  <si>
    <t>Fri, 04 Sep 2015 00:00:00 GMT</t>
  </si>
  <si>
    <t>Thu, 03 Sep 2015 00:00:00 GMT</t>
  </si>
  <si>
    <t>Wed, 02 Sep 2015 00:00:00 GMT</t>
  </si>
  <si>
    <t>Tue, 01 Sep 2015 00:00:00 GMT</t>
  </si>
  <si>
    <t>Mon, 31 Aug 2015 00:00:00 GMT</t>
  </si>
  <si>
    <t>Fri, 28 Aug 2015 00:00:00 GMT</t>
  </si>
  <si>
    <t>Thu, 27 Aug 2015 00:00:00 GMT</t>
  </si>
  <si>
    <t>Wed, 26 Aug 2015 00:00:00 GMT</t>
  </si>
  <si>
    <t>Tue, 25 Aug 2015 00:00:00 GMT</t>
  </si>
  <si>
    <t>Mon, 24 Aug 2015 00:00:00 GMT</t>
  </si>
  <si>
    <t>Fri, 21 Aug 2015 00:00:00 GMT</t>
  </si>
  <si>
    <t>Thu, 20 Aug 2015 00:00:00 GMT</t>
  </si>
  <si>
    <t>Wed, 19 Aug 2015 00:00:00 GMT</t>
  </si>
  <si>
    <t>Tue, 18 Aug 2015 00:00:00 GMT</t>
  </si>
  <si>
    <t>Mon, 17 Aug 2015 00:00:00 GMT</t>
  </si>
  <si>
    <t>Fri, 14 Aug 2015 00:00:00 GMT</t>
  </si>
  <si>
    <t>Thu, 13 Aug 2015 00:00:00 GMT</t>
  </si>
  <si>
    <t>Wed, 12 Aug 2015 00:00:00 GMT</t>
  </si>
  <si>
    <t>Tue, 11 Aug 2015 00:00:00 GMT</t>
  </si>
  <si>
    <t>Mon, 10 Aug 2015 00:00:00 GMT</t>
  </si>
  <si>
    <t>Fri, 07 Aug 2015 00:00:00 GMT</t>
  </si>
  <si>
    <t>Thu, 06 Aug 2015 00:00:00 GMT</t>
  </si>
  <si>
    <t>Wed, 05 Aug 2015 00:00:00 GMT</t>
  </si>
  <si>
    <t>Tue, 04 Aug 2015 00:00:00 GMT</t>
  </si>
  <si>
    <t>Mon, 03 Aug 2015 00:00:00 GMT</t>
  </si>
  <si>
    <t>Fri, 31 Jul 2015 00:00:00 GMT</t>
  </si>
  <si>
    <t>Thu, 30 Jul 2015 00:00:00 GMT</t>
  </si>
  <si>
    <t>Wed, 29 Jul 2015 00:00:00 GMT</t>
  </si>
  <si>
    <t>Tue, 28 Jul 2015 00:00:00 GMT</t>
  </si>
  <si>
    <t>Mon, 27 Jul 2015 00:00:00 GMT</t>
  </si>
  <si>
    <t>Fri, 24 Jul 2015 00:00:00 GMT</t>
  </si>
  <si>
    <t>Thu, 23 Jul 2015 00:00:00 GMT</t>
  </si>
  <si>
    <t>Wed, 22 Jul 2015 00:00:00 GMT</t>
  </si>
  <si>
    <t>Tue, 21 Jul 2015 00:00:00 GMT</t>
  </si>
  <si>
    <t>Mon, 20 Jul 2015 00:00:00 GMT</t>
  </si>
  <si>
    <t>Fri, 17 Jul 2015 00:00:00 GMT</t>
  </si>
  <si>
    <t>Thu, 16 Jul 2015 00:00:00 GMT</t>
  </si>
  <si>
    <t>Wed, 15 Jul 2015 00:00:00 GMT</t>
  </si>
  <si>
    <t>Tue, 14 Jul 2015 00:00:00 GMT</t>
  </si>
  <si>
    <t>Mon, 13 Jul 2015 00:00:00 GMT</t>
  </si>
  <si>
    <t>Fri, 10 Jul 2015 00:00:00 GMT</t>
  </si>
  <si>
    <t>Thu, 09 Jul 2015 00:00:00 GMT</t>
  </si>
  <si>
    <t>Wed, 08 Jul 2015 00:00:00 GMT</t>
  </si>
  <si>
    <t>Tue, 07 Jul 2015 00:00:00 GMT</t>
  </si>
  <si>
    <t>Mon, 06 Jul 2015 00:00:00 GMT</t>
  </si>
  <si>
    <t>Thu, 02 Jul 2015 00:00:00 GMT</t>
  </si>
  <si>
    <t>Wed, 01 Jul 2015 00:00:00 GMT</t>
  </si>
  <si>
    <t>Tue, 30 Jun 2015 00:00:00 GMT</t>
  </si>
  <si>
    <t>Mon, 29 Jun 2015 00:00:00 GMT</t>
  </si>
  <si>
    <t>Fri, 26 Jun 2015 00:00:00 GMT</t>
  </si>
  <si>
    <t>Thu, 25 Jun 2015 00:00:00 GMT</t>
  </si>
  <si>
    <t>Wed, 24 Jun 2015 00:00:00 GMT</t>
  </si>
  <si>
    <t>Tue, 23 Jun 2015 00:00:00 GMT</t>
  </si>
  <si>
    <t>Mon, 22 Jun 2015 00:00:00 GMT</t>
  </si>
  <si>
    <t>Fri, 19 Jun 2015 00:00:00 GMT</t>
  </si>
  <si>
    <t>Thu, 18 Jun 2015 00:00:00 GMT</t>
  </si>
  <si>
    <t>Wed, 17 Jun 2015 00:00:00 GMT</t>
  </si>
  <si>
    <t>Tue, 16 Jun 2015 00:00:00 GMT</t>
  </si>
  <si>
    <t>Mon, 15 Jun 2015 00:00:00 GMT</t>
  </si>
  <si>
    <t>Fri, 12 Jun 2015 00:00:00 GMT</t>
  </si>
  <si>
    <t>Thu, 11 Jun 2015 00:00:00 GMT</t>
  </si>
  <si>
    <t>Wed, 10 Jun 2015 00:00:00 GMT</t>
  </si>
  <si>
    <t>Tue, 09 Jun 2015 00:00:00 GMT</t>
  </si>
  <si>
    <t>Mon, 08 Jun 2015 00:00:00 GMT</t>
  </si>
  <si>
    <t>Fri, 05 Jun 2015 00:00:00 GMT</t>
  </si>
  <si>
    <t>Thu, 04 Jun 2015 00:00:00 GMT</t>
  </si>
  <si>
    <t>Wed, 03 Jun 2015 00:00:00 GMT</t>
  </si>
  <si>
    <t>Tue, 02 Jun 2015 00:00:00 GMT</t>
  </si>
  <si>
    <t>Mon, 01 Jun 2015 00:00:00 GMT</t>
  </si>
  <si>
    <t>Fri, 29 May 2015 00:00:00 GMT</t>
  </si>
  <si>
    <t>Thu, 28 May 2015 00:00:00 GMT</t>
  </si>
  <si>
    <t>Wed, 27 May 2015 00:00:00 GMT</t>
  </si>
  <si>
    <t>Tue, 26 May 2015 00:00:00 GMT</t>
  </si>
  <si>
    <t>Fri, 22 May 2015 00:00:00 GMT</t>
  </si>
  <si>
    <t>Thu, 21 May 2015 00:00:00 GMT</t>
  </si>
  <si>
    <t>Wed, 20 May 2015 00:00:00 GMT</t>
  </si>
  <si>
    <t>Tue, 19 May 2015 00:00:00 GMT</t>
  </si>
  <si>
    <t>Mon, 18 May 2015 00:00:00 GMT</t>
  </si>
  <si>
    <t>Fri, 15 May 2015 00:00:00 GMT</t>
  </si>
  <si>
    <t>Thu, 14 May 2015 00:00:00 GMT</t>
  </si>
  <si>
    <t>Wed, 13 May 2015 00:00:00 GMT</t>
  </si>
  <si>
    <t>Tue, 12 May 2015 00:00:00 GMT</t>
  </si>
  <si>
    <t>Mon, 11 May 2015 00:00:00 GMT</t>
  </si>
  <si>
    <t>Fri, 08 May 2015 00:00:00 GMT</t>
  </si>
  <si>
    <t>Thu, 07 May 2015 00:00:00 GMT</t>
  </si>
  <si>
    <t>Wed, 06 May 2015 00:00:00 GMT</t>
  </si>
  <si>
    <t>Tue, 05 May 2015 00:00:00 GMT</t>
  </si>
  <si>
    <t>Mon, 04 May 2015 00:00:00 GMT</t>
  </si>
  <si>
    <t>Fri, 01 May 2015 00:00:00 GMT</t>
  </si>
  <si>
    <t>Thu, 30 Apr 2015 00:00:00 GMT</t>
  </si>
  <si>
    <t>Wed, 29 Apr 2015 00:00:00 GMT</t>
  </si>
  <si>
    <t>Tue, 28 Apr 2015 00:00:00 GMT</t>
  </si>
  <si>
    <t>Mon, 27 Apr 2015 00:00:00 GMT</t>
  </si>
  <si>
    <t>Fri, 24 Apr 2015 00:00:00 GMT</t>
  </si>
  <si>
    <t>Thu, 23 Apr 2015 00:00:00 GMT</t>
  </si>
  <si>
    <t>Wed, 22 Apr 2015 00:00:00 GMT</t>
  </si>
  <si>
    <t>Tue, 21 Apr 2015 00:00:00 GMT</t>
  </si>
  <si>
    <t>Mon, 20 Apr 2015 00:00:00 GMT</t>
  </si>
  <si>
    <t>Fri, 17 Apr 2015 00:00:00 GMT</t>
  </si>
  <si>
    <t>Thu, 16 Apr 2015 00:00:00 GMT</t>
  </si>
  <si>
    <t>Wed, 15 Apr 2015 00:00:00 GMT</t>
  </si>
  <si>
    <t>Tue, 14 Apr 2015 00:00:00 GMT</t>
  </si>
  <si>
    <t>Mon, 13 Apr 2015 00:00:00 GMT</t>
  </si>
  <si>
    <t>Fri, 10 Apr 2015 00:00:00 GMT</t>
  </si>
  <si>
    <t>Thu, 09 Apr 2015 00:00:00 GMT</t>
  </si>
  <si>
    <t>Wed, 08 Apr 2015 00:00:00 GMT</t>
  </si>
  <si>
    <t>Tue, 07 Apr 2015 00:00:00 GMT</t>
  </si>
  <si>
    <t>Mon, 06 Apr 2015 00:00:00 GMT</t>
  </si>
  <si>
    <t>Thu, 02 Apr 2015 00:00:00 GMT</t>
  </si>
  <si>
    <t>Wed, 01 Apr 2015 00:00:00 GMT</t>
  </si>
  <si>
    <t>Tue, 31 Mar 2015 00:00:00 GMT</t>
  </si>
  <si>
    <t>Mon, 30 Mar 2015 00:00:00 GMT</t>
  </si>
  <si>
    <t>Fri, 27 Mar 2015 00:00:00 GMT</t>
  </si>
  <si>
    <t>Thu, 26 Mar 2015 00:00:00 GMT</t>
  </si>
  <si>
    <t>Wed, 25 Mar 2015 00:00:00 GMT</t>
  </si>
  <si>
    <t>Tue, 24 Mar 2015 00:00:00 GMT</t>
  </si>
  <si>
    <t>Mon, 23 Mar 2015 00:00:00 GMT</t>
  </si>
  <si>
    <t>Fri, 20 Mar 2015 00:00:00 GMT</t>
  </si>
  <si>
    <t>Thu, 19 Mar 2015 00:00:00 GMT</t>
  </si>
  <si>
    <t>Wed, 18 Mar 2015 00:00:00 GMT</t>
  </si>
  <si>
    <t>Tue, 17 Mar 2015 00:00:00 GMT</t>
  </si>
  <si>
    <t>Mon, 16 Mar 2015 00:00:00 GMT</t>
  </si>
  <si>
    <t>Fri, 13 Mar 2015 00:00:00 GMT</t>
  </si>
  <si>
    <t>Thu, 12 Mar 2015 00:00:00 GMT</t>
  </si>
  <si>
    <t>Wed, 11 Mar 2015 00:00:00 GMT</t>
  </si>
  <si>
    <t>Tue, 10 Mar 2015 00:00:00 GMT</t>
  </si>
  <si>
    <t>Mon, 09 Mar 2015 00:00:00 GMT</t>
  </si>
  <si>
    <t>Fri, 06 Mar 2015 00:00:00 GMT</t>
  </si>
  <si>
    <t>Thu, 05 Mar 2015 00:00:00 GMT</t>
  </si>
  <si>
    <t>Wed, 04 Mar 2015 00:00:00 GMT</t>
  </si>
  <si>
    <t>Tue, 03 Mar 2015 00:00:00 GMT</t>
  </si>
  <si>
    <t>Mon, 02 Mar 2015 00:00:00 GMT</t>
  </si>
  <si>
    <t>Fri, 27 Feb 2015 00:00:00 GMT</t>
  </si>
  <si>
    <t>Thu, 26 Feb 2015 00:00:00 GMT</t>
  </si>
  <si>
    <t>Wed, 25 Feb 2015 00:00:00 GMT</t>
  </si>
  <si>
    <t>Tue, 24 Feb 2015 00:00:00 GMT</t>
  </si>
  <si>
    <t>Mon, 23 Feb 2015 00:00:00 GMT</t>
  </si>
  <si>
    <t>Fri, 20 Feb 2015 00:00:00 GMT</t>
  </si>
  <si>
    <t>Thu, 19 Feb 2015 00:00:00 GMT</t>
  </si>
  <si>
    <t>Wed, 18 Feb 2015 00:00:00 GMT</t>
  </si>
  <si>
    <t>Tue, 17 Feb 2015 00:00:00 GMT</t>
  </si>
  <si>
    <t>Fri, 13 Feb 2015 00:00:00 GMT</t>
  </si>
  <si>
    <t>Thu, 12 Feb 2015 00:00:00 GMT</t>
  </si>
  <si>
    <t>Wed, 11 Feb 2015 00:00:00 GMT</t>
  </si>
  <si>
    <t>Tue, 10 Feb 2015 00:00:00 GMT</t>
  </si>
  <si>
    <t>Mon, 09 Feb 2015 00:00:00 GMT</t>
  </si>
  <si>
    <t>Fri, 06 Feb 2015 00:00:00 GMT</t>
  </si>
  <si>
    <t>Thu, 05 Feb 2015 00:00:00 GMT</t>
  </si>
  <si>
    <t>Wed, 04 Feb 2015 00:00:00 GMT</t>
  </si>
  <si>
    <t>Tue, 03 Feb 2015 00:00:00 GMT</t>
  </si>
  <si>
    <t>Mon, 02 Feb 2015 00:00:00 GMT</t>
  </si>
  <si>
    <t>Fri, 30 Jan 2015 00:00:00 GMT</t>
  </si>
  <si>
    <t>Thu, 29 Jan 2015 00:00:00 GMT</t>
  </si>
  <si>
    <t>Wed, 28 Jan 2015 00:00:00 GMT</t>
  </si>
  <si>
    <t>Tue, 27 Jan 2015 00:00:00 GMT</t>
  </si>
  <si>
    <t>Mon, 26 Jan 2015 00:00:00 GMT</t>
  </si>
  <si>
    <t>Fri, 23 Jan 2015 00:00:00 GMT</t>
  </si>
  <si>
    <t>Thu, 22 Jan 2015 00:00:00 GMT</t>
  </si>
  <si>
    <t>Wed, 21 Jan 2015 00:00:00 GMT</t>
  </si>
  <si>
    <t>Tue, 20 Jan 2015 00:00:00 GMT</t>
  </si>
  <si>
    <t>Fri, 16 Jan 2015 00:00:00 GMT</t>
  </si>
  <si>
    <t>Thu, 15 Jan 2015 00:00:00 GMT</t>
  </si>
  <si>
    <t>Wed, 14 Jan 2015 00:00:00 GMT</t>
  </si>
  <si>
    <t>Tue, 13 Jan 2015 00:00:00 GMT</t>
  </si>
  <si>
    <t>Mon, 12 Jan 2015 00:00:00 GMT</t>
  </si>
  <si>
    <t>Fri, 09 Jan 2015 00:00:00 GMT</t>
  </si>
  <si>
    <t>Thu, 08 Jan 2015 00:00:00 GMT</t>
  </si>
  <si>
    <t>Wed, 07 Jan 2015 00:00:00 GMT</t>
  </si>
  <si>
    <t>Tue, 06 Jan 2015 00:00:00 GMT</t>
  </si>
  <si>
    <t>Mon, 05 Jan 2015 00:00:00 GMT</t>
  </si>
  <si>
    <t>Fri, 02 Jan 2015 00:00:00 GMT</t>
  </si>
  <si>
    <t>Wed, 31 Dec 2014 00:00:00 GMT</t>
  </si>
  <si>
    <t>Tue, 30 Dec 2014 00:00:00 GMT</t>
  </si>
  <si>
    <t>Mon, 29 Dec 2014 00:00:00 GMT</t>
  </si>
  <si>
    <t>Fri, 26 Dec 2014 00:00:00 GMT</t>
  </si>
  <si>
    <t>Wed, 24 Dec 2014 00:00:00 GMT</t>
  </si>
  <si>
    <t>Tue, 23 Dec 2014 00:00:00 GMT</t>
  </si>
  <si>
    <t>Mon, 22 Dec 2014 00:00:00 GMT</t>
  </si>
  <si>
    <t>Fri, 19 Dec 2014 00:00:00 GMT</t>
  </si>
  <si>
    <t>Thu, 18 Dec 2014 00:00:00 GMT</t>
  </si>
  <si>
    <t>Wed, 17 Dec 2014 00:00:00 GMT</t>
  </si>
  <si>
    <t>Tue, 16 Dec 2014 00:00:00 GMT</t>
  </si>
  <si>
    <t>Mon, 15 Dec 2014 00:00:00 GMT</t>
  </si>
  <si>
    <t>Fri, 12 Dec 2014 00:00:00 GMT</t>
  </si>
  <si>
    <t>Thu, 11 Dec 2014 00:00:00 GMT</t>
  </si>
  <si>
    <t>Wed, 10 Dec 2014 00:00:00 GMT</t>
  </si>
  <si>
    <t>Tue, 09 Dec 2014 00:00:00 GMT</t>
  </si>
  <si>
    <t>Mon, 08 Dec 2014 00:00:00 GMT</t>
  </si>
  <si>
    <t>Fri, 05 Dec 2014 00:00:00 GMT</t>
  </si>
  <si>
    <t>Thu, 04 Dec 2014 00:00:00 GMT</t>
  </si>
  <si>
    <t>Wed, 03 Dec 2014 00:00:00 GMT</t>
  </si>
  <si>
    <t>Tue, 02 Dec 2014 00:00:00 GMT</t>
  </si>
  <si>
    <t>Mon, 01 Dec 2014 00:00:00 GMT</t>
  </si>
  <si>
    <t>Fri, 28 Nov 2014 00:00:00 GMT</t>
  </si>
  <si>
    <t>Wed, 26 Nov 2014 00:00:00 GMT</t>
  </si>
  <si>
    <t>Tue, 25 Nov 2014 00:00:00 GMT</t>
  </si>
  <si>
    <t>Mon, 24 Nov 2014 00:00:00 GMT</t>
  </si>
  <si>
    <t>Fri, 21 Nov 2014 00:00:00 GMT</t>
  </si>
  <si>
    <t>Thu, 20 Nov 2014 00:00:00 GMT</t>
  </si>
  <si>
    <t>Wed, 19 Nov 2014 00:00:00 GMT</t>
  </si>
  <si>
    <t>Tue, 18 Nov 2014 00:00:00 GMT</t>
  </si>
  <si>
    <t>Mon, 17 Nov 2014 00:00:00 GMT</t>
  </si>
  <si>
    <t>Fri, 14 Nov 2014 00:00:00 GMT</t>
  </si>
  <si>
    <t>Thu, 13 Nov 2014 00:00:00 GMT</t>
  </si>
  <si>
    <t>Wed, 12 Nov 2014 00:00:00 GMT</t>
  </si>
  <si>
    <t>Tue, 11 Nov 2014 00:00:00 GMT</t>
  </si>
  <si>
    <t>Mon, 10 Nov 2014 00:00:00 GMT</t>
  </si>
  <si>
    <t>Fri, 07 Nov 2014 00:00:00 GMT</t>
  </si>
  <si>
    <t>Thu, 06 Nov 2014 00:00:00 GMT</t>
  </si>
  <si>
    <t>Wed, 05 Nov 2014 00:00:00 GMT</t>
  </si>
  <si>
    <t>Tue, 04 Nov 2014 00:00:00 GMT</t>
  </si>
  <si>
    <t>Mon, 03 Nov 2014 00:00:00 GMT</t>
  </si>
  <si>
    <t>Fri, 31 Oct 2014 00:00:00 GMT</t>
  </si>
  <si>
    <t>Thu, 30 Oct 2014 00:00:00 GMT</t>
  </si>
  <si>
    <t>Wed, 29 Oct 2014 00:00:00 GMT</t>
  </si>
  <si>
    <t>Tue, 28 Oct 2014 00:00:00 GMT</t>
  </si>
  <si>
    <t>Mon, 27 Oct 2014 00:00:00 GMT</t>
  </si>
  <si>
    <t>Fri, 24 Oct 2014 00:00:00 GMT</t>
  </si>
  <si>
    <t>Thu, 23 Oct 2014 00:00:00 GMT</t>
  </si>
  <si>
    <t>Wed, 22 Oct 2014 00:00:00 GMT</t>
  </si>
  <si>
    <t>Tue, 21 Oct 2014 00:00:00 GMT</t>
  </si>
  <si>
    <t>Mon, 20 Oct 2014 00:00:00 GMT</t>
  </si>
  <si>
    <t>Fri, 17 Oct 2014 00:00:00 GMT</t>
  </si>
  <si>
    <t>Thu, 16 Oct 2014 00:00:00 GMT</t>
  </si>
  <si>
    <t>Wed, 15 Oct 2014 00:00:00 GMT</t>
  </si>
  <si>
    <t>Tue, 14 Oct 2014 00:00:00 GMT</t>
  </si>
  <si>
    <t>Mon, 13 Oct 2014 00:00:00 GMT</t>
  </si>
  <si>
    <t>Fri, 10 Oct 2014 00:00:00 GMT</t>
  </si>
  <si>
    <t>Thu, 09 Oct 2014 00:00:00 GMT</t>
  </si>
  <si>
    <t>Wed, 08 Oct 2014 00:00:00 GMT</t>
  </si>
  <si>
    <t>Tue, 07 Oct 2014 00:00:00 GMT</t>
  </si>
  <si>
    <t>Mon, 06 Oct 2014 00:00:00 GMT</t>
  </si>
  <si>
    <t>Fri, 03 Oct 2014 00:00:00 GMT</t>
  </si>
  <si>
    <t>Thu, 02 Oct 2014 00:00:00 GMT</t>
  </si>
  <si>
    <t>Wed, 01 Oct 2014 00:00:00 GMT</t>
  </si>
  <si>
    <t>Tue, 30 Sep 2014 00:00:00 GMT</t>
  </si>
  <si>
    <t>Mon, 29 Sep 2014 00:00:00 GMT</t>
  </si>
  <si>
    <t>Fri, 26 Sep 2014 00:00:00 GMT</t>
  </si>
  <si>
    <t>Thu, 25 Sep 2014 00:00:00 GMT</t>
  </si>
  <si>
    <t>Wed, 24 Sep 2014 00:00:00 GMT</t>
  </si>
  <si>
    <t>Tue, 23 Sep 2014 00:00:00 GMT</t>
  </si>
  <si>
    <t>Mon, 22 Sep 2014 00:00:00 GMT</t>
  </si>
  <si>
    <t>Fri, 19 Sep 2014 00:00:00 GMT</t>
  </si>
  <si>
    <t>Thu, 18 Sep 2014 00:00:00 GMT</t>
  </si>
  <si>
    <t>Wed, 17 Sep 2014 00:00:00 GMT</t>
  </si>
  <si>
    <t>Tue, 16 Sep 2014 00:00:00 GMT</t>
  </si>
  <si>
    <t>Mon, 15 Sep 2014 00:00:00 GMT</t>
  </si>
  <si>
    <t>Fri, 12 Sep 2014 00:00:00 GMT</t>
  </si>
  <si>
    <t>Thu, 11 Sep 2014 00:00:00 GMT</t>
  </si>
  <si>
    <t>Wed, 10 Sep 2014 00:00:00 GMT</t>
  </si>
  <si>
    <t>Tue, 09 Sep 2014 00:00:00 GMT</t>
  </si>
  <si>
    <t>Mon, 08 Sep 2014 00:00:00 GMT</t>
  </si>
  <si>
    <t>Fri, 05 Sep 2014 00:00:00 GMT</t>
  </si>
  <si>
    <t>Thu, 04 Sep 2014 00:00:00 GMT</t>
  </si>
  <si>
    <t>Wed, 03 Sep 2014 00:00:00 GMT</t>
  </si>
  <si>
    <t>Tue, 02 Sep 2014 00:00:00 GMT</t>
  </si>
  <si>
    <t>Mon, 01 Sep 2014 00:00:00 GMT</t>
  </si>
  <si>
    <t>Fri, 29 Aug 2014 00:00:00 GMT</t>
  </si>
  <si>
    <t>Thu, 28 Aug 2014 00:00:00 GMT</t>
  </si>
  <si>
    <t>Wed, 27 Aug 2014 00:00:00 GMT</t>
  </si>
  <si>
    <t>Tue, 26 Aug 2014 00:00:00 GMT</t>
  </si>
  <si>
    <t>Mon, 25 Aug 2014 00:00:00 GMT</t>
  </si>
  <si>
    <t>Fri, 22 Aug 2014 00:00:00 GMT</t>
  </si>
  <si>
    <t>Thu, 21 Aug 2014 00:00:00 GMT</t>
  </si>
  <si>
    <t>Wed, 20 Aug 2014 00:00:00 GMT</t>
  </si>
  <si>
    <t>Tue, 19 Aug 2014 00:00:00 GMT</t>
  </si>
  <si>
    <t>Mon, 18 Aug 2014 00:00:00 GMT</t>
  </si>
  <si>
    <t>Fri, 15 Aug 2014 00:00:00 GMT</t>
  </si>
  <si>
    <t>Thu, 14 Aug 2014 00:00:00 GMT</t>
  </si>
  <si>
    <t>Wed, 13 Aug 2014 00:00:00 GMT</t>
  </si>
  <si>
    <t>Tue, 12 Aug 2014 00:00:00 GMT</t>
  </si>
  <si>
    <t>Mon, 11 Aug 2014 00:00:00 GMT</t>
  </si>
  <si>
    <t>Fri, 08 Aug 2014 00:00:00 GMT</t>
  </si>
  <si>
    <t>Thu, 07 Aug 2014 00:00:00 GMT</t>
  </si>
  <si>
    <t>Wed, 06 Aug 2014 00:00:00 GMT</t>
  </si>
  <si>
    <t>Tue, 05 Aug 2014 00:00:00 GMT</t>
  </si>
  <si>
    <t>Mon, 04 Aug 2014 00:00:00 GMT</t>
  </si>
  <si>
    <t>Fri, 01 Aug 2014 00:00:00 GMT</t>
  </si>
  <si>
    <t>Thu, 31 Jul 2014 00:00:00 GMT</t>
  </si>
  <si>
    <t>Wed, 30 Jul 2014 00:00:00 GMT</t>
  </si>
  <si>
    <t>Tue, 29 Jul 2014 00:00:00 GMT</t>
  </si>
  <si>
    <t>Mon, 28 Jul 2014 00:00:00 GMT</t>
  </si>
  <si>
    <t>Fri, 25 Jul 2014 00:00:00 GMT</t>
  </si>
  <si>
    <t>Thu, 24 Jul 2014 00:00:00 GMT</t>
  </si>
  <si>
    <t>Wed, 23 Jul 2014 00:00:00 GMT</t>
  </si>
  <si>
    <t>Tue, 22 Jul 2014 00:00:00 GMT</t>
  </si>
  <si>
    <t>Mon, 21 Jul 2014 00:00:00 GMT</t>
  </si>
  <si>
    <t>Fri, 18 Jul 2014 00:00:00 GMT</t>
  </si>
  <si>
    <t>Thu, 17 Jul 2014 00:00:00 GMT</t>
  </si>
  <si>
    <t>Wed, 16 Jul 2014 00:00:00 GMT</t>
  </si>
  <si>
    <t>Tue, 15 Jul 2014 00:00:00 GMT</t>
  </si>
  <si>
    <t>Mon, 14 Jul 2014 00:00:00 GMT</t>
  </si>
  <si>
    <t>Fri, 11 Jul 2014 00:00:00 GMT</t>
  </si>
  <si>
    <t>Thu, 10 Jul 2014 00:00:00 GMT</t>
  </si>
  <si>
    <t>Wed, 09 Jul 2014 00:00:00 GMT</t>
  </si>
  <si>
    <t>Tue, 08 Jul 2014 00:00:00 GMT</t>
  </si>
  <si>
    <t>Mon, 07 Jul 2014 00:00:00 GMT</t>
  </si>
  <si>
    <t>Thu, 03 Jul 2014 00:00:00 GMT</t>
  </si>
  <si>
    <t>Wed, 02 Jul 2014 00:00:00 GMT</t>
  </si>
  <si>
    <t>Tue, 01 Jul 2014 00:00:00 GMT</t>
  </si>
  <si>
    <t>Mon, 30 Jun 2014 00:00:00 GMT</t>
  </si>
  <si>
    <t>Fri, 27 Jun 2014 00:00:00 GMT</t>
  </si>
  <si>
    <t>Thu, 26 Jun 2014 00:00:00 GMT</t>
  </si>
  <si>
    <t>Wed, 25 Jun 2014 00:00:00 GMT</t>
  </si>
  <si>
    <t>Tue, 24 Jun 2014 00:00:00 GMT</t>
  </si>
  <si>
    <t>Mon, 23 Jun 2014 00:00:00 GMT</t>
  </si>
  <si>
    <t>Fri, 20 Jun 2014 00:00:00 GMT</t>
  </si>
  <si>
    <t>Thu, 19 Jun 2014 00:00:00 GMT</t>
  </si>
  <si>
    <t>Wed, 18 Jun 2014 00:00:00 GMT</t>
  </si>
  <si>
    <t>Tue, 17 Jun 2014 00:00:00 GMT</t>
  </si>
  <si>
    <t>Mon, 16 Jun 2014 00:00:00 GMT</t>
  </si>
  <si>
    <t>Fri, 13 Jun 2014 00:00:00 GMT</t>
  </si>
  <si>
    <t>Thu, 12 Jun 2014 00:00:00 GMT</t>
  </si>
  <si>
    <t>Wed, 11 Jun 2014 00:00:00 GMT</t>
  </si>
  <si>
    <t>Tue, 10 Jun 2014 00:00:00 GMT</t>
  </si>
  <si>
    <t>Mon, 09 Jun 2014 00:00:00 GMT</t>
  </si>
  <si>
    <t>Fri, 06 Jun 2014 00:00:00 GMT</t>
  </si>
  <si>
    <t>Thu, 05 Jun 2014 00:00:00 GMT</t>
  </si>
  <si>
    <t>Wed, 04 Jun 2014 00:00:00 GMT</t>
  </si>
  <si>
    <t>Tue, 03 Jun 2014 00:00:00 GMT</t>
  </si>
  <si>
    <t>Mon, 02 Jun 2014 00:00:00 GMT</t>
  </si>
  <si>
    <t>Fri, 30 May 2014 00:00:00 GMT</t>
  </si>
  <si>
    <t>More</t>
  </si>
  <si>
    <t>Q1 2026</t>
  </si>
  <si>
    <t>Q2 2027</t>
  </si>
  <si>
    <t>Q3 2027</t>
  </si>
  <si>
    <t>Microsoft 365</t>
  </si>
  <si>
    <t>Enterprise social network</t>
  </si>
  <si>
    <t>Surface/Specialized Devices</t>
  </si>
  <si>
    <t>Large-format touchscreens</t>
  </si>
  <si>
    <t>Azure Active Directory</t>
  </si>
  <si>
    <t>MFA security</t>
  </si>
  <si>
    <t>Azure Storage</t>
  </si>
  <si>
    <t>Hybrid cloud storage</t>
  </si>
  <si>
    <t>Dynamics 365 Marketing</t>
  </si>
  <si>
    <t>Campaign management tools</t>
  </si>
  <si>
    <t>Xbox (discontinued)</t>
  </si>
  <si>
    <t>Smart home initiatives</t>
  </si>
  <si>
    <t>Azure Media Services</t>
  </si>
  <si>
    <t>Content delivery tech</t>
  </si>
  <si>
    <t>Cloud performance tracking</t>
  </si>
  <si>
    <t>Dynamics 365 Customer Insights</t>
  </si>
  <si>
    <t>Social media monitoring</t>
  </si>
  <si>
    <t>Azure DevOps</t>
  </si>
  <si>
    <t>Software deployment tools</t>
  </si>
  <si>
    <t>Microsoft Mobile (divested)</t>
  </si>
  <si>
    <t>Lumia phones, later sold</t>
  </si>
  <si>
    <t>Remote Desktop Services</t>
  </si>
  <si>
    <t>Azure API Management</t>
  </si>
  <si>
    <t>Developer portal tools</t>
  </si>
  <si>
    <t>Dynamics 365 Customer Service</t>
  </si>
  <si>
    <t>Support ticketing system</t>
  </si>
  <si>
    <t>Visual Studio App Center</t>
  </si>
  <si>
    <t>Mobile app analytics</t>
  </si>
  <si>
    <t>Visual Studio</t>
  </si>
  <si>
    <t>.NET decompiler (dotPeek)</t>
  </si>
  <si>
    <t>Azure Site Recovery</t>
  </si>
  <si>
    <t>Business continuity solutions</t>
  </si>
  <si>
    <t>Mobile development tools</t>
  </si>
  <si>
    <t>Minecraft franchise</t>
  </si>
  <si>
    <t>Microsoft Defender for Identity</t>
  </si>
  <si>
    <t>Threat detection</t>
  </si>
  <si>
    <t>Outlook Mobile</t>
  </si>
  <si>
    <t>iOS/Android email client</t>
  </si>
  <si>
    <t>App diagnostics</t>
  </si>
  <si>
    <t>Microsoft Purview</t>
  </si>
  <si>
    <t>eDiscovery tools</t>
  </si>
  <si>
    <t>Azure AI</t>
  </si>
  <si>
    <t>R programming support</t>
  </si>
  <si>
    <t>Outlook (discontinued)</t>
  </si>
  <si>
    <t>Sunrise Calendar integration</t>
  </si>
  <si>
    <t>Surface Pen</t>
  </si>
  <si>
    <t>DigiPen technology</t>
  </si>
  <si>
    <t>Microsoft 365 (discontinued)</t>
  </si>
  <si>
    <t>Real-time presentation tools</t>
  </si>
  <si>
    <t>Microsoft To-Do</t>
  </si>
  <si>
    <t>Wunderlist migration</t>
  </si>
  <si>
    <t>Application monitoring</t>
  </si>
  <si>
    <t>Dynamics 365 Field Service</t>
  </si>
  <si>
    <t>Workforce management</t>
  </si>
  <si>
    <t>Microsoft Defender for Cloud Apps</t>
  </si>
  <si>
    <t>SaaS security monitoring</t>
  </si>
  <si>
    <t>Dynamics 365</t>
  </si>
  <si>
    <t>Employee engagement tools</t>
  </si>
  <si>
    <t>Microsoft Viva Insights</t>
  </si>
  <si>
    <t>Workplace analytics</t>
  </si>
  <si>
    <t>Glance screen technology</t>
  </si>
  <si>
    <t>Power Pages</t>
  </si>
  <si>
    <t>Low-code portal development</t>
  </si>
  <si>
    <t>Xbox Development Kit</t>
  </si>
  <si>
    <t>Game physics middleware</t>
  </si>
  <si>
    <t>MileIQ app</t>
  </si>
  <si>
    <t>Data classification</t>
  </si>
  <si>
    <t>Azure Data Factory</t>
  </si>
  <si>
    <t>Data virtualization</t>
  </si>
  <si>
    <t>Microsoft Teams (discontinued)</t>
  </si>
  <si>
    <t>Voice messaging app</t>
  </si>
  <si>
    <t>Skype for Business</t>
  </si>
  <si>
    <t>Call quality monitoring</t>
  </si>
  <si>
    <t>Minecraft Education</t>
  </si>
  <si>
    <t>Classroom tools</t>
  </si>
  <si>
    <t>Windows/Android Keyboard</t>
  </si>
  <si>
    <t>AI-powered typing</t>
  </si>
  <si>
    <t>Music recommendation</t>
  </si>
  <si>
    <t>Cross-platform app tools</t>
  </si>
  <si>
    <t>Azure IoT</t>
  </si>
  <si>
    <t>Industrial IoT solutions</t>
  </si>
  <si>
    <t>Microsoft Bot Framework</t>
  </si>
  <si>
    <t>Chatbot development</t>
  </si>
  <si>
    <t>Mixer (discontinued)</t>
  </si>
  <si>
    <t>Interactive streaming</t>
  </si>
  <si>
    <t>Calendar assistant</t>
  </si>
  <si>
    <t>$26.2B</t>
  </si>
  <si>
    <t>Microsoft Graph</t>
  </si>
  <si>
    <t>Operates semi-independently</t>
  </si>
  <si>
    <t>Microsoft Research AI</t>
  </si>
  <si>
    <t>Natural language processing</t>
  </si>
  <si>
    <t>Azure Mixed Reality</t>
  </si>
  <si>
    <t>3D asset optimization</t>
  </si>
  <si>
    <t>Azure Kubernetes Service</t>
  </si>
  <si>
    <t>Kubernetes tools</t>
  </si>
  <si>
    <t>Microsoft Defender</t>
  </si>
  <si>
    <t>Automated incident response</t>
  </si>
  <si>
    <t>Microsoft Cost Management</t>
  </si>
  <si>
    <t>Cloud financial ops</t>
  </si>
  <si>
    <t>Microsoft Mesh</t>
  </si>
  <si>
    <t>Social VR platform</t>
  </si>
  <si>
    <t>Microsoft Photos (discontinued)</t>
  </si>
  <si>
    <t>Animated photo technology</t>
  </si>
  <si>
    <t>High-performance file systems</t>
  </si>
  <si>
    <t>Azure Gaming</t>
  </si>
  <si>
    <t>Live ops for game developers</t>
  </si>
  <si>
    <t>Natural language understanding</t>
  </si>
  <si>
    <t>Hellblade franchise</t>
  </si>
  <si>
    <t>State of Decay franchise</t>
  </si>
  <si>
    <t>We Happy Few developer</t>
  </si>
  <si>
    <t>Forza Horizon developer</t>
  </si>
  <si>
    <t>Microsoft Education</t>
  </si>
  <si>
    <t>Later discontinued (2022)</t>
  </si>
  <si>
    <t>Microsoft AI &amp; Research</t>
  </si>
  <si>
    <t>AI model training platform</t>
  </si>
  <si>
    <t>Microsoft AI</t>
  </si>
  <si>
    <t>No-code AI tool</t>
  </si>
  <si>
    <t>Microsoft Viva</t>
  </si>
  <si>
    <t>People analytics platform</t>
  </si>
  <si>
    <t>Microsoft Developer Division</t>
  </si>
  <si>
    <t>World's largest code repository</t>
  </si>
  <si>
    <t>Wasteland series developer</t>
  </si>
  <si>
    <t>Pillars of Eternity developer</t>
  </si>
  <si>
    <t>Bot framework enhancements</t>
  </si>
  <si>
    <t>Windows Virtual Desktop</t>
  </si>
  <si>
    <t>Shut down post-acquisition</t>
  </si>
  <si>
    <t>Azure Data</t>
  </si>
  <si>
    <t>PostgreSQL scalability</t>
  </si>
  <si>
    <t>Student data integration</t>
  </si>
  <si>
    <t>ThreadX RTOS for edge devices</t>
  </si>
  <si>
    <t>Automated dependency updates</t>
  </si>
  <si>
    <t>Cybersecurity AI</t>
  </si>
  <si>
    <t>Psychonauts developer</t>
  </si>
  <si>
    <t>Code review tools</t>
  </si>
  <si>
    <t>Data access control</t>
  </si>
  <si>
    <t>Retail media platform</t>
  </si>
  <si>
    <t>Azure</t>
  </si>
  <si>
    <t>Java VM performance</t>
  </si>
  <si>
    <t>Azure Migrate</t>
  </si>
  <si>
    <t>Cloud assessment tools</t>
  </si>
  <si>
    <t>Security vulnerability scanning</t>
  </si>
  <si>
    <t>Cloud file transfer</t>
  </si>
  <si>
    <t>JS ecosystem integration</t>
  </si>
  <si>
    <t>Azure for Operators</t>
  </si>
  <si>
    <t>Telco cloud solutions</t>
  </si>
  <si>
    <t>Cloud-native networking</t>
  </si>
  <si>
    <t>Power Platform</t>
  </si>
  <si>
    <t>Windows automation (WinAutomation)</t>
  </si>
  <si>
    <t>Industry data models</t>
  </si>
  <si>
    <t>Azure Defender</t>
  </si>
  <si>
    <t>Industrial threat detection</t>
  </si>
  <si>
    <t>AI-powered business insights</t>
  </si>
  <si>
    <t>Bethesda parent company</t>
  </si>
  <si>
    <t>Xbox</t>
  </si>
  <si>
    <t>Tournament platform (shut down)</t>
  </si>
  <si>
    <t>Microsoft Industry</t>
  </si>
  <si>
    <t>Digital transformation services</t>
  </si>
  <si>
    <t>Microsoft Cloud AI</t>
  </si>
  <si>
    <t>Dragon Medical, enterprise AI</t>
  </si>
  <si>
    <t>Linux container security</t>
  </si>
  <si>
    <t>Firmware analysis</t>
  </si>
  <si>
    <t>Carrier-grade cloud networking</t>
  </si>
  <si>
    <t>Threat intelligence</t>
  </si>
  <si>
    <t>Permission management</t>
  </si>
  <si>
    <t>AI-powered cost optimization</t>
  </si>
  <si>
    <t>Microsoft Stream</t>
  </si>
  <si>
    <t>Video distribution</t>
  </si>
  <si>
    <t>Built into Windows 11</t>
  </si>
  <si>
    <t>Online tutoring platform</t>
  </si>
  <si>
    <t>OKR tracking</t>
  </si>
  <si>
    <t>API integration</t>
  </si>
  <si>
    <t>Xbox Safety</t>
  </si>
  <si>
    <t>AI content filtering</t>
  </si>
  <si>
    <t>Call of Duty, WoW, Candy Crush</t>
  </si>
  <si>
    <t>Workflow automation</t>
  </si>
  <si>
    <t>Microsoft Threat Intelligence</t>
  </si>
  <si>
    <t>Nation-state threat analysis</t>
  </si>
  <si>
    <t>Azure Networking</t>
  </si>
  <si>
    <t>Hollow-core fiber technology</t>
  </si>
  <si>
    <t>Azure Data Center</t>
  </si>
  <si>
    <t>DPU acceleration</t>
  </si>
  <si>
    <t>New studio for cloud-native games</t>
  </si>
  <si>
    <t>$200m</t>
  </si>
  <si>
    <t>OpenAI (strategic partnership)</t>
  </si>
  <si>
    <t>ChatGPT conversational AI</t>
  </si>
  <si>
    <t>ChatGPT 
Microsoft’s relationship with OpenAI began as a strategic partnership in 2019, when Microsoft invested $1 billion as OpenAI transitioned from a non-profit to a “capped-profit” hybrid model
This initial deal included OpenAI’s commitment to use Azure as its exclusive cloud provider and allowed Microsoft to integrate OpenAI’s models into its products
     Microsoft made further investments in 2021 (reportedly an additional $2 billion)
     In 2023, Microsoft committed a further $10 billion, bringing its total funding to over $13 billion
The 2023 deal reportedly gave Microsoft up to 75% of OpenAI’s profits until its investment is recouped, then a 49% stake in OpenAI’s for-profit entity, subject to OpenAI’s unique governance and capped-profit structure
In October 2024, Microsoft disclosed for the first time in SEC filings that it had made an “equity method investment” in OpenAI</t>
  </si>
  <si>
    <t>Financial Stmts. Notes/Observations (Updated Q3'25)</t>
  </si>
  <si>
    <t>General Notes/Observations (Updated Q3'25)</t>
  </si>
  <si>
    <t xml:space="preserve">Y/y Total Revenues, Net Income, FCF </t>
  </si>
  <si>
    <t xml:space="preserve">[MSFT] Historical Return Histogram (Date Built) </t>
  </si>
  <si>
    <t>https://www.gurufocus.com/term/wacc/MSFT</t>
  </si>
  <si>
    <t>https://www.macrotrends.net/stocks/charts/MSFT/microsoft/financial-statements</t>
  </si>
  <si>
    <t>MacroTrends</t>
  </si>
  <si>
    <t>ROIC, WACC</t>
  </si>
  <si>
    <t>Resources:</t>
  </si>
  <si>
    <t>Address:</t>
  </si>
  <si>
    <t>$7.5B</t>
  </si>
  <si>
    <t>$400M</t>
  </si>
  <si>
    <t>$117M</t>
  </si>
  <si>
    <t>$50M</t>
  </si>
  <si>
    <t>$100M</t>
  </si>
  <si>
    <t>$140M</t>
  </si>
  <si>
    <t>$250M</t>
  </si>
  <si>
    <t>$320M</t>
  </si>
  <si>
    <t>$200M</t>
  </si>
  <si>
    <t>$2.5B</t>
  </si>
  <si>
    <t>$7.2B</t>
  </si>
  <si>
    <t>$1.2B</t>
  </si>
  <si>
    <t>$8.5B</t>
  </si>
  <si>
    <t>$35M</t>
  </si>
  <si>
    <t>$486M</t>
  </si>
  <si>
    <t>$1.19M</t>
  </si>
  <si>
    <t>$500M</t>
  </si>
  <si>
    <t>$75M</t>
  </si>
  <si>
    <t>$5M</t>
  </si>
  <si>
    <t>$6.33B</t>
  </si>
  <si>
    <t>$45M</t>
  </si>
  <si>
    <t>$18M</t>
  </si>
  <si>
    <t>$17.9M</t>
  </si>
  <si>
    <t>$3.2M</t>
  </si>
  <si>
    <t>$15M</t>
  </si>
  <si>
    <t>$120M</t>
  </si>
  <si>
    <t>$7M</t>
  </si>
  <si>
    <t>$65M</t>
  </si>
  <si>
    <t>$70.65M</t>
  </si>
  <si>
    <t>$940M</t>
  </si>
  <si>
    <t>$36M</t>
  </si>
  <si>
    <t>$20M</t>
  </si>
  <si>
    <t>$78M</t>
  </si>
  <si>
    <t>$1.33B</t>
  </si>
  <si>
    <t>$375M</t>
  </si>
  <si>
    <t>$96M</t>
  </si>
  <si>
    <t>$58.9M</t>
  </si>
  <si>
    <t>$125.4M</t>
  </si>
  <si>
    <t>$1.38B</t>
  </si>
  <si>
    <t>$89.75M</t>
  </si>
  <si>
    <t>$944.8M</t>
  </si>
  <si>
    <t>$40M</t>
  </si>
  <si>
    <t>$265M</t>
  </si>
  <si>
    <t>$425M</t>
  </si>
  <si>
    <t>$14.15M</t>
  </si>
  <si>
    <t>$133M</t>
  </si>
  <si>
    <t>$174M</t>
  </si>
  <si>
    <t>$130M</t>
  </si>
  <si>
    <t>$1.5M</t>
  </si>
  <si>
    <t>$14M</t>
  </si>
  <si>
    <t>$1.35B</t>
  </si>
  <si>
    <t>$165M</t>
  </si>
  <si>
    <t>$8.1B</t>
  </si>
  <si>
    <t>$19.7B</t>
  </si>
  <si>
    <t>$1B</t>
  </si>
  <si>
    <t>$75.4B</t>
  </si>
  <si>
    <t>$85M</t>
  </si>
  <si>
    <t xml:space="preserve">Microsoft has long been a dominant enterprise giant with stable revenues and cash flows … very durable business …  it has also faced scrutiny over its accounting practices </t>
  </si>
  <si>
    <t xml:space="preserve">In the late 1990s and early 2000s Microsoft caught some flak over management's strategy to "smooth earnings" … a practice where companies engineer financial results to present a more stable and predictable earnings trend </t>
  </si>
  <si>
    <t>This is not strictly illegal if it follows GAAP … potential grey area though</t>
  </si>
  <si>
    <t>The strategy revolved around a few components:</t>
  </si>
  <si>
    <t>Reserve Accounting (Cookie Jar Reserves)</t>
  </si>
  <si>
    <t>Deferred Revenue Recognition</t>
  </si>
  <si>
    <t>Microsoft  was suggested to have overstated expenses during profitable quarters to create "reserves"</t>
  </si>
  <si>
    <t>In leaner quarters, Managers would then release these "reserves" to artificially boost earnings, smoothing out fluctuations</t>
  </si>
  <si>
    <t>Enterprise Mobility + Security (EMS) moved from Intelligent Cloud to Productivity &amp; Business Processes (under Microsoft 365 Commercial cloud)</t>
  </si>
  <si>
    <t>Nuance Enterprise revenue shifted from Server products to Dynamics (within P&amp;BP), while Nuance Healthcare stayed put in Server</t>
  </si>
  <si>
    <t>ROIC:</t>
  </si>
  <si>
    <t>Invested Capital</t>
  </si>
  <si>
    <t>AVG Invested Capital</t>
  </si>
  <si>
    <t>ROIC</t>
  </si>
  <si>
    <t>2023-2024</t>
  </si>
  <si>
    <t>Terminal</t>
  </si>
  <si>
    <t>RFR (10-year yield)</t>
  </si>
  <si>
    <t>ERP 
(Avg. market return - (less) RFR)</t>
  </si>
  <si>
    <t>Equity β (1-year avg.)</t>
  </si>
  <si>
    <t>Discount (Cost of Equity)</t>
  </si>
  <si>
    <t>NPV</t>
  </si>
  <si>
    <t>FV</t>
  </si>
  <si>
    <t>CP</t>
  </si>
  <si>
    <t>Change Δ:</t>
  </si>
  <si>
    <t>8/18/2025</t>
  </si>
  <si>
    <r>
      <t xml:space="preserve">The </t>
    </r>
    <r>
      <rPr>
        <b/>
        <sz val="11"/>
        <color theme="1"/>
        <rFont val="Calibre"/>
      </rPr>
      <t>Personal Computing</t>
    </r>
    <r>
      <rPr>
        <sz val="11"/>
        <color theme="1"/>
        <rFont val="Calibre"/>
      </rPr>
      <t xml:space="preserve"> segment offers </t>
    </r>
    <r>
      <rPr>
        <b/>
        <sz val="11"/>
        <color theme="1"/>
        <rFont val="Calibre"/>
      </rPr>
      <t>Windows</t>
    </r>
    <r>
      <rPr>
        <sz val="11"/>
        <color theme="1"/>
        <rFont val="Calibre"/>
      </rPr>
      <t xml:space="preserve">, including </t>
    </r>
    <r>
      <rPr>
        <b/>
        <sz val="11"/>
        <color theme="1"/>
        <rFont val="Calibre"/>
      </rPr>
      <t>windows OEM licensing</t>
    </r>
    <r>
      <rPr>
        <sz val="11"/>
        <color theme="1"/>
        <rFont val="Calibre"/>
      </rPr>
      <t xml:space="preserve"> and </t>
    </r>
    <r>
      <rPr>
        <b/>
        <sz val="11"/>
        <color theme="1"/>
        <rFont val="Calibre"/>
      </rPr>
      <t>other non-volume licensing</t>
    </r>
    <r>
      <rPr>
        <sz val="11"/>
        <color theme="1"/>
        <rFont val="Calibre"/>
      </rPr>
      <t xml:space="preserve"> of the </t>
    </r>
    <r>
      <rPr>
        <b/>
        <sz val="11"/>
        <color theme="1"/>
        <rFont val="Calibre"/>
      </rPr>
      <t>Windows operating system</t>
    </r>
  </si>
  <si>
    <t>Microsoft recognized revenue from software sales (like Windows and Office) over time rather than all at once</t>
  </si>
  <si>
    <t>Critics alleged that the company accelerated or delayed revenue recognition to align with market expectations</t>
  </si>
  <si>
    <t>Stock Option Expenses</t>
  </si>
  <si>
    <t>Microsoft granted massive stock options to employees but did not expense them on its income statement (a common practice at the time … pre-2002)</t>
  </si>
  <si>
    <t>This understated costs and inflated earnings, contributing to a misleading picture of profitability</t>
  </si>
  <si>
    <t>In 1999, the SEC began investigating Microsoft’s accounting practices, particularly its reserve management</t>
  </si>
  <si>
    <t>Microsoft denied wrongdoing and agreed to settle with the SEC in 2002 without admitting guilt</t>
  </si>
  <si>
    <t>Microsoft shifted to more conservative accounting under new leadership (Steve Ballmer as CEO, later Satya Nadella)</t>
  </si>
  <si>
    <t>The scandal contributed to broader reforms, including the Sarbanes-Oxley Act (2002), which imposed stricter financial reporting rules</t>
  </si>
  <si>
    <t>MSFT management are the GOATs … wouldn't expect anything less from an innovative team … financial engineering is by no means illegal … but certainly adds points of risk</t>
  </si>
  <si>
    <t>The case remains a classic example of how even blue-chip companies engage in aggressive earnings management to meet market expectations</t>
  </si>
  <si>
    <t xml:space="preserve">This strategy has been adopted and mastered by the Mag 7 hyperscalers since the initial scandal </t>
  </si>
  <si>
    <t xml:space="preserve">The "other bets / reality labs / dreamshot cost centers" are great for pouring investment into interesting, future facing investments … </t>
  </si>
  <si>
    <t xml:space="preserve">Can also be used as vehicles by management to effectively control (or hide) the company's true margins </t>
  </si>
  <si>
    <t>`</t>
  </si>
  <si>
    <t>Q4 2028</t>
  </si>
  <si>
    <t>1/10/2026</t>
  </si>
  <si>
    <t>Q3'25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</si>
</sst>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_);[Red]\(&quot;$&quot;#,##0.00\)"/>
    <numFmt numFmtId="44" formatCode="_(&quot;$&quot;* #,##0.00_);_(&quot;$&quot;* \(#,##0.00\);_(&quot;$&quot;* &quot;-&quot;??_);_(@_)"/>
    <numFmt numFmtId="43" formatCode="_(* #,##0.00_);_(* \(#,##0.00\);_(* &quot;-&quot;??_);_(@_)"/>
    <numFmt numFmtId="164" formatCode="_(&quot;$&quot;* #,##0_);_(&quot;$&quot;* \(#,##0\);_(&quot;$&quot;* &quot;-&quot;??_);_(@_)"/>
    <numFmt numFmtId="165" formatCode="0.0%"/>
    <numFmt numFmtId="166" formatCode="_(* #,##0_);_(* \(#,##0\);_(* &quot;-&quot;??_);_(@_)"/>
  </numFmts>
  <fonts count="20">
    <font>
      <sz val="11"/>
      <color theme="1"/>
      <name val="Calibri"/>
      <family val="2"/>
      <scheme val="minor"/>
    </font>
    <font>
      <sz val="11"/>
      <color theme="1"/>
      <name val="Calibri"/>
      <family val="2"/>
      <scheme val="minor"/>
    </font>
    <font>
      <sz val="11"/>
      <color theme="1"/>
      <name val="Calibre"/>
    </font>
    <font>
      <b/>
      <sz val="11"/>
      <color theme="1"/>
      <name val="Calibre"/>
    </font>
    <font>
      <b/>
      <sz val="11"/>
      <color theme="0"/>
      <name val="Calibre"/>
    </font>
    <font>
      <sz val="11"/>
      <color theme="0"/>
      <name val="Calibre"/>
    </font>
    <font>
      <b/>
      <sz val="10"/>
      <name val="Arial"/>
      <family val="2"/>
    </font>
    <font>
      <i/>
      <sz val="11"/>
      <color theme="1"/>
      <name val="Calibre"/>
    </font>
    <font>
      <b/>
      <sz val="10"/>
      <name val="Calibre"/>
    </font>
    <font>
      <i/>
      <sz val="11"/>
      <color theme="1"/>
      <name val="Calibri"/>
      <family val="2"/>
      <scheme val="minor"/>
    </font>
    <font>
      <b/>
      <i/>
      <sz val="11"/>
      <color theme="1"/>
      <name val="Calibri"/>
      <family val="2"/>
      <scheme val="minor"/>
    </font>
    <font>
      <b/>
      <sz val="11"/>
      <name val="Calibre"/>
    </font>
    <font>
      <b/>
      <sz val="11"/>
      <color rgb="FF0070C0"/>
      <name val="Calibre"/>
    </font>
    <font>
      <sz val="11"/>
      <color rgb="FF0070C0"/>
      <name val="Calibre"/>
    </font>
    <font>
      <sz val="11"/>
      <name val="Calibre"/>
    </font>
    <font>
      <u/>
      <sz val="11"/>
      <color theme="10"/>
      <name val="Calibri"/>
      <family val="2"/>
      <scheme val="minor"/>
    </font>
    <font>
      <u/>
      <sz val="11"/>
      <color rgb="FF00B0F0"/>
      <name val="Calibre"/>
    </font>
    <font>
      <sz val="10"/>
      <name val="Arial"/>
      <family val="2"/>
    </font>
    <font>
      <sz val="11"/>
      <color theme="4" tint="-0.249977111117893"/>
      <name val="Calibre"/>
    </font>
    <font>
      <b/>
      <sz val="11"/>
      <color theme="4" tint="-0.249977111117893"/>
      <name val="Calibre"/>
    </font>
  </fonts>
  <fills count="6">
    <fill>
      <patternFill patternType="none"/>
    </fill>
    <fill>
      <patternFill patternType="gray125"/>
    </fill>
    <fill>
      <patternFill patternType="solid">
        <fgColor rgb="FF002060"/>
        <bgColor indexed="64"/>
      </patternFill>
    </fill>
    <fill>
      <patternFill patternType="solid">
        <fgColor theme="8" tint="-0.249977111117893"/>
        <bgColor indexed="64"/>
      </patternFill>
    </fill>
    <fill>
      <patternFill patternType="solid">
        <fgColor theme="4" tint="0.79998168889431442"/>
        <bgColor theme="4" tint="0.79998168889431442"/>
      </patternFill>
    </fill>
    <fill>
      <patternFill patternType="solid">
        <fgColor rgb="FFF5F5F5"/>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theme="4" tint="0.39997558519241921"/>
      </bottom>
      <diagonal/>
    </border>
    <border>
      <left/>
      <right style="thin">
        <color indexed="64"/>
      </right>
      <top style="thin">
        <color indexed="64"/>
      </top>
      <bottom style="thin">
        <color theme="4" tint="0.39997558519241921"/>
      </bottom>
      <diagonal/>
    </border>
    <border>
      <left style="thin">
        <color indexed="64"/>
      </left>
      <right/>
      <top/>
      <bottom/>
      <diagonal/>
    </border>
    <border>
      <left/>
      <right style="thin">
        <color indexed="64"/>
      </right>
      <top/>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int="0.39997558519241921"/>
      </top>
      <bottom style="thin">
        <color indexed="64"/>
      </bottom>
      <diagonal/>
    </border>
    <border>
      <left/>
      <right style="thin">
        <color indexed="64"/>
      </right>
      <top style="thin">
        <color theme="4" tint="0.39997558519241921"/>
      </top>
      <bottom style="thin">
        <color indexed="64"/>
      </bottom>
      <diagonal/>
    </border>
    <border>
      <left/>
      <right/>
      <top style="medium">
        <color indexed="64"/>
      </top>
      <bottom style="thin">
        <color indexed="64"/>
      </bottom>
      <diagonal/>
    </border>
    <border>
      <left/>
      <right/>
      <top/>
      <bottom style="medium">
        <color indexed="64"/>
      </bottom>
      <diagonal/>
    </border>
  </borders>
  <cellStyleXfs count="5">
    <xf numFmtId="0" fontId="0" fillId="0" borderId="0"/>
    <xf numFmtId="9" fontId="1" fillId="0" borderId="0" applyFont="0" applyFill="0" applyBorder="0" applyAlignment="0" applyProtection="0"/>
    <xf numFmtId="44" fontId="1" fillId="0" borderId="0" applyFont="0" applyFill="0" applyBorder="0" applyAlignment="0" applyProtection="0"/>
    <xf numFmtId="0" fontId="15" fillId="0" borderId="0" applyNumberFormat="0" applyFill="0" applyBorder="0" applyAlignment="0" applyProtection="0"/>
    <xf numFmtId="43" fontId="1" fillId="0" borderId="0" applyFont="0" applyFill="0" applyBorder="0" applyAlignment="0" applyProtection="0"/>
  </cellStyleXfs>
  <cellXfs count="84">
    <xf numFmtId="0" fontId="0" fillId="0" borderId="0" xfId="0"/>
    <xf numFmtId="0" fontId="2" fillId="0" borderId="0" xfId="0" applyFont="1"/>
    <xf numFmtId="0" fontId="3" fillId="0" borderId="0" xfId="0" applyFont="1"/>
    <xf numFmtId="0" fontId="4" fillId="2" borderId="1" xfId="0" applyFont="1" applyFill="1" applyBorder="1"/>
    <xf numFmtId="0" fontId="5" fillId="2" borderId="2" xfId="0" applyFont="1" applyFill="1" applyBorder="1"/>
    <xf numFmtId="0" fontId="5" fillId="2" borderId="3" xfId="0" applyFont="1" applyFill="1" applyBorder="1"/>
    <xf numFmtId="0" fontId="5" fillId="2" borderId="4" xfId="0" applyFont="1" applyFill="1" applyBorder="1"/>
    <xf numFmtId="0" fontId="4" fillId="3" borderId="1" xfId="0" applyFont="1" applyFill="1" applyBorder="1" applyAlignment="1">
      <alignment horizontal="left"/>
    </xf>
    <xf numFmtId="0" fontId="5" fillId="3" borderId="2" xfId="0" applyFont="1" applyFill="1" applyBorder="1" applyAlignment="1">
      <alignment horizontal="center"/>
    </xf>
    <xf numFmtId="0" fontId="5" fillId="3" borderId="5" xfId="0" applyFont="1" applyFill="1" applyBorder="1" applyAlignment="1">
      <alignment horizontal="center"/>
    </xf>
    <xf numFmtId="10" fontId="2" fillId="4" borderId="6" xfId="0" applyNumberFormat="1" applyFont="1" applyFill="1" applyBorder="1"/>
    <xf numFmtId="10" fontId="2" fillId="4" borderId="7" xfId="0" applyNumberFormat="1" applyFont="1" applyFill="1" applyBorder="1"/>
    <xf numFmtId="0" fontId="4" fillId="3" borderId="8" xfId="0" applyFont="1" applyFill="1" applyBorder="1" applyAlignment="1">
      <alignment horizontal="left"/>
    </xf>
    <xf numFmtId="0" fontId="5" fillId="3" borderId="0" xfId="0" applyFont="1" applyFill="1" applyAlignment="1">
      <alignment horizontal="center"/>
    </xf>
    <xf numFmtId="0" fontId="5" fillId="3" borderId="9" xfId="0" applyFont="1" applyFill="1" applyBorder="1" applyAlignment="1">
      <alignment horizontal="center"/>
    </xf>
    <xf numFmtId="10" fontId="2" fillId="0" borderId="10" xfId="0" applyNumberFormat="1" applyFont="1" applyBorder="1"/>
    <xf numFmtId="10" fontId="2" fillId="0" borderId="11" xfId="0" applyNumberFormat="1" applyFont="1" applyBorder="1"/>
    <xf numFmtId="10" fontId="2" fillId="4" borderId="10" xfId="0" applyNumberFormat="1" applyFont="1" applyFill="1" applyBorder="1"/>
    <xf numFmtId="10" fontId="2" fillId="4" borderId="11" xfId="0" applyNumberFormat="1" applyFont="1" applyFill="1" applyBorder="1"/>
    <xf numFmtId="0" fontId="4" fillId="3" borderId="12" xfId="0" applyFont="1" applyFill="1" applyBorder="1" applyAlignment="1">
      <alignment horizontal="left"/>
    </xf>
    <xf numFmtId="0" fontId="5" fillId="3" borderId="13" xfId="0" applyFont="1" applyFill="1" applyBorder="1" applyAlignment="1">
      <alignment horizontal="center"/>
    </xf>
    <xf numFmtId="0" fontId="5" fillId="3" borderId="14" xfId="0" applyFont="1" applyFill="1" applyBorder="1" applyAlignment="1">
      <alignment horizontal="center"/>
    </xf>
    <xf numFmtId="10" fontId="2" fillId="0" borderId="15" xfId="0" applyNumberFormat="1" applyFont="1" applyBorder="1"/>
    <xf numFmtId="10" fontId="2" fillId="0" borderId="16" xfId="0" applyNumberFormat="1" applyFont="1" applyBorder="1"/>
    <xf numFmtId="0" fontId="6" fillId="5" borderId="0" xfId="0" applyFont="1" applyFill="1" applyAlignment="1">
      <alignment horizontal="center" vertical="center"/>
    </xf>
    <xf numFmtId="10" fontId="2" fillId="0" borderId="0" xfId="0" applyNumberFormat="1" applyFont="1"/>
    <xf numFmtId="0" fontId="8" fillId="5" borderId="0" xfId="0" applyFont="1" applyFill="1" applyAlignment="1">
      <alignment horizontal="center" vertical="center"/>
    </xf>
    <xf numFmtId="10" fontId="8" fillId="5" borderId="0" xfId="0" applyNumberFormat="1" applyFont="1" applyFill="1" applyAlignment="1">
      <alignment horizontal="center" vertical="center"/>
    </xf>
    <xf numFmtId="0" fontId="8" fillId="5" borderId="0" xfId="0" applyFont="1" applyFill="1" applyAlignment="1">
      <alignment horizontal="right" vertical="center"/>
    </xf>
    <xf numFmtId="0" fontId="2" fillId="0" borderId="0" xfId="0" applyFont="1" applyAlignment="1">
      <alignment horizontal="right"/>
    </xf>
    <xf numFmtId="3" fontId="2" fillId="0" borderId="0" xfId="0" applyNumberFormat="1" applyFont="1" applyAlignment="1">
      <alignment horizontal="left"/>
    </xf>
    <xf numFmtId="0" fontId="9" fillId="0" borderId="17" xfId="0" applyFont="1" applyBorder="1" applyAlignment="1">
      <alignment horizontal="left"/>
    </xf>
    <xf numFmtId="0" fontId="9" fillId="0" borderId="17" xfId="0" applyFont="1" applyBorder="1" applyAlignment="1">
      <alignment horizontal="center" wrapText="1"/>
    </xf>
    <xf numFmtId="0" fontId="11" fillId="0" borderId="0" xfId="0" applyFont="1"/>
    <xf numFmtId="0" fontId="12" fillId="0" borderId="0" xfId="0" applyFont="1"/>
    <xf numFmtId="0" fontId="13" fillId="0" borderId="0" xfId="0" applyFont="1"/>
    <xf numFmtId="0" fontId="14" fillId="0" borderId="0" xfId="0" applyFont="1" applyAlignment="1">
      <alignment horizontal="left" indent="1"/>
    </xf>
    <xf numFmtId="0" fontId="14" fillId="0" borderId="0" xfId="0" applyFont="1"/>
    <xf numFmtId="2" fontId="2" fillId="0" borderId="0" xfId="1" quotePrefix="1" applyNumberFormat="1" applyFont="1"/>
    <xf numFmtId="2" fontId="2" fillId="0" borderId="0" xfId="0" applyNumberFormat="1" applyFont="1"/>
    <xf numFmtId="2" fontId="2" fillId="0" borderId="0" xfId="0" quotePrefix="1" applyNumberFormat="1" applyFont="1"/>
    <xf numFmtId="0" fontId="2" fillId="0" borderId="0" xfId="1" applyNumberFormat="1" applyFont="1"/>
    <xf numFmtId="49" fontId="2" fillId="0" borderId="0" xfId="0" applyNumberFormat="1" applyFont="1"/>
    <xf numFmtId="44" fontId="2" fillId="0" borderId="0" xfId="0" applyNumberFormat="1" applyFont="1" applyAlignment="1">
      <alignment horizontal="right" indent="1"/>
    </xf>
    <xf numFmtId="164" fontId="2" fillId="0" borderId="0" xfId="2" applyNumberFormat="1" applyFont="1" applyAlignment="1">
      <alignment horizontal="right" indent="1"/>
    </xf>
    <xf numFmtId="164" fontId="2" fillId="0" borderId="0" xfId="0" applyNumberFormat="1" applyFont="1" applyAlignment="1">
      <alignment horizontal="right" indent="1"/>
    </xf>
    <xf numFmtId="0" fontId="16" fillId="0" borderId="0" xfId="3" applyFont="1"/>
    <xf numFmtId="165" fontId="2" fillId="0" borderId="0" xfId="1" applyNumberFormat="1" applyFont="1"/>
    <xf numFmtId="165" fontId="14" fillId="0" borderId="0" xfId="1" applyNumberFormat="1" applyFont="1"/>
    <xf numFmtId="0" fontId="2" fillId="0" borderId="0" xfId="0" applyFont="1" applyAlignment="1">
      <alignment horizontal="left" indent="1"/>
    </xf>
    <xf numFmtId="2" fontId="14" fillId="0" borderId="0" xfId="0" applyNumberFormat="1" applyFont="1"/>
    <xf numFmtId="1" fontId="2" fillId="0" borderId="0" xfId="0" applyNumberFormat="1" applyFont="1"/>
    <xf numFmtId="0" fontId="15" fillId="0" borderId="0" xfId="3"/>
    <xf numFmtId="10" fontId="0" fillId="0" borderId="0" xfId="0" applyNumberFormat="1"/>
    <xf numFmtId="0" fontId="17" fillId="0" borderId="0" xfId="0" applyFont="1"/>
    <xf numFmtId="0" fontId="0" fillId="0" borderId="18" xfId="0" applyBorder="1"/>
    <xf numFmtId="0" fontId="9" fillId="0" borderId="17" xfId="0" applyFont="1" applyBorder="1" applyAlignment="1">
      <alignment horizontal="center"/>
    </xf>
    <xf numFmtId="10" fontId="2" fillId="0" borderId="0" xfId="1" applyNumberFormat="1" applyFont="1"/>
    <xf numFmtId="0" fontId="4" fillId="2" borderId="8" xfId="0" applyFont="1" applyFill="1" applyBorder="1"/>
    <xf numFmtId="0" fontId="4" fillId="2" borderId="0" xfId="0" applyFont="1" applyFill="1"/>
    <xf numFmtId="0" fontId="2" fillId="0" borderId="0" xfId="0" applyFont="1" applyAlignment="1">
      <alignment horizontal="center"/>
    </xf>
    <xf numFmtId="14" fontId="2" fillId="0" borderId="0" xfId="0" applyNumberFormat="1" applyFont="1" applyAlignment="1">
      <alignment horizontal="center"/>
    </xf>
    <xf numFmtId="8" fontId="2" fillId="0" borderId="0" xfId="0" applyNumberFormat="1" applyFont="1" applyAlignment="1">
      <alignment horizontal="center"/>
    </xf>
    <xf numFmtId="0" fontId="2" fillId="0" borderId="0" xfId="0" applyFont="1" applyAlignment="1">
      <alignment wrapText="1"/>
    </xf>
    <xf numFmtId="14" fontId="2" fillId="0" borderId="0" xfId="0" applyNumberFormat="1" applyFont="1" applyAlignment="1">
      <alignment horizontal="left"/>
    </xf>
    <xf numFmtId="166" fontId="2" fillId="0" borderId="0" xfId="4" applyNumberFormat="1" applyFont="1" applyAlignment="1">
      <alignment horizontal="left" indent="3"/>
    </xf>
    <xf numFmtId="165" fontId="3" fillId="0" borderId="0" xfId="1" applyNumberFormat="1" applyFont="1"/>
    <xf numFmtId="165" fontId="11" fillId="0" borderId="0" xfId="1" applyNumberFormat="1" applyFont="1"/>
    <xf numFmtId="165" fontId="13" fillId="0" borderId="0" xfId="1" applyNumberFormat="1" applyFont="1"/>
    <xf numFmtId="0" fontId="18" fillId="0" borderId="0" xfId="0" applyFont="1"/>
    <xf numFmtId="0" fontId="19" fillId="0" borderId="0" xfId="0" applyFont="1"/>
    <xf numFmtId="165" fontId="18" fillId="0" borderId="0" xfId="1" applyNumberFormat="1" applyFont="1"/>
    <xf numFmtId="1" fontId="18" fillId="0" borderId="0" xfId="0" applyNumberFormat="1" applyFont="1"/>
    <xf numFmtId="0" fontId="18" fillId="0" borderId="0" xfId="0" applyFont="1" applyAlignment="1">
      <alignment horizontal="right"/>
    </xf>
    <xf numFmtId="0" fontId="18" fillId="0" borderId="0" xfId="0" applyFont="1" applyAlignment="1">
      <alignment horizontal="center"/>
    </xf>
    <xf numFmtId="0" fontId="18" fillId="0" borderId="0" xfId="0" applyFont="1" applyAlignment="1">
      <alignment vertical="top" wrapText="1"/>
    </xf>
    <xf numFmtId="10" fontId="18" fillId="0" borderId="0" xfId="1" applyNumberFormat="1" applyFont="1"/>
    <xf numFmtId="10" fontId="18" fillId="0" borderId="0" xfId="0" applyNumberFormat="1" applyFont="1"/>
    <xf numFmtId="2" fontId="18" fillId="0" borderId="0" xfId="0" applyNumberFormat="1" applyFont="1"/>
    <xf numFmtId="165" fontId="19" fillId="0" borderId="0" xfId="1" applyNumberFormat="1" applyFont="1"/>
    <xf numFmtId="1" fontId="19" fillId="0" borderId="0" xfId="0" applyNumberFormat="1" applyFont="1"/>
    <xf numFmtId="49" fontId="18" fillId="0" borderId="0" xfId="0" applyNumberFormat="1" applyFont="1" applyAlignment="1">
      <alignment horizontal="left"/>
    </xf>
    <xf numFmtId="9" fontId="18" fillId="0" borderId="0" xfId="1" applyFont="1"/>
    <xf numFmtId="0" fontId="18" fillId="0" borderId="0" xfId="0" applyFont="1" applyAlignment="1">
      <alignment horizontal="center"/>
    </xf>
  </cellXfs>
  <cellStyles count="5">
    <cellStyle name="Comma" xfId="4" builtinId="3"/>
    <cellStyle name="Currency" xfId="2" builtinId="4"/>
    <cellStyle name="Hyperlink" xfId="3" builtinId="8"/>
    <cellStyle name="Normal" xfId="0" builtinId="0"/>
    <cellStyle name="Percent" xfId="1" builtinId="5"/>
  </cellStyles>
  <dxfs count="15">
    <dxf>
      <font>
        <b/>
        <i val="0"/>
        <color theme="0"/>
      </font>
      <fill>
        <patternFill>
          <bgColor rgb="FF5A8C38"/>
        </patternFill>
      </fill>
    </dxf>
    <dxf>
      <font>
        <b/>
        <i val="0"/>
        <color theme="0"/>
      </font>
      <fill>
        <patternFill>
          <bgColor theme="9" tint="0.39994506668294322"/>
        </patternFill>
      </fill>
    </dxf>
    <dxf>
      <font>
        <b/>
        <i val="0"/>
        <color theme="1"/>
      </font>
      <fill>
        <patternFill>
          <bgColor theme="7" tint="0.39994506668294322"/>
        </patternFill>
      </fill>
    </dxf>
    <dxf>
      <font>
        <b/>
        <i val="0"/>
        <color theme="0"/>
      </font>
      <fill>
        <patternFill>
          <bgColor rgb="FFFF6D6D"/>
        </patternFill>
      </fill>
    </dxf>
    <dxf>
      <font>
        <b/>
        <i val="0"/>
        <color theme="0"/>
      </font>
      <fill>
        <patternFill>
          <bgColor rgb="FFF20000"/>
        </patternFill>
      </fill>
    </dxf>
    <dxf>
      <font>
        <strike val="0"/>
        <outline val="0"/>
        <shadow val="0"/>
        <u val="none"/>
        <vertAlign val="baseline"/>
        <sz val="11"/>
        <name val="Calibre"/>
        <scheme val="none"/>
      </font>
      <numFmt numFmtId="19" formatCode="m/d/yyyy"/>
      <alignment horizontal="center" vertical="bottom" textRotation="0" wrapText="0" indent="0" justifyLastLine="0" shrinkToFit="0" readingOrder="0"/>
    </dxf>
    <dxf>
      <font>
        <strike val="0"/>
        <outline val="0"/>
        <shadow val="0"/>
        <u val="none"/>
        <vertAlign val="baseline"/>
        <sz val="11"/>
        <name val="Calibre"/>
        <scheme val="none"/>
      </font>
    </dxf>
    <dxf>
      <font>
        <strike val="0"/>
        <outline val="0"/>
        <shadow val="0"/>
        <u val="none"/>
        <vertAlign val="baseline"/>
        <sz val="11"/>
        <name val="Calibre"/>
        <scheme val="none"/>
      </font>
    </dxf>
    <dxf>
      <font>
        <strike val="0"/>
        <outline val="0"/>
        <shadow val="0"/>
        <u val="none"/>
        <vertAlign val="baseline"/>
        <sz val="11"/>
        <name val="Calibre"/>
        <scheme val="none"/>
      </font>
      <alignment horizontal="center" vertical="bottom" textRotation="0" wrapText="0" indent="0" justifyLastLine="0" shrinkToFit="0" readingOrder="0"/>
    </dxf>
    <dxf>
      <font>
        <strike val="0"/>
        <outline val="0"/>
        <shadow val="0"/>
        <u val="none"/>
        <vertAlign val="baseline"/>
        <sz val="11"/>
        <name val="Calibre"/>
        <scheme val="none"/>
      </font>
    </dxf>
    <dxf>
      <font>
        <strike val="0"/>
        <outline val="0"/>
        <shadow val="0"/>
        <u val="none"/>
        <vertAlign val="baseline"/>
        <sz val="11"/>
        <name val="Calibre"/>
        <scheme val="none"/>
      </font>
    </dxf>
    <dxf>
      <font>
        <strike val="0"/>
        <outline val="0"/>
        <shadow val="0"/>
        <u val="none"/>
        <vertAlign val="baseline"/>
        <sz val="11"/>
        <name val="Calibre"/>
        <scheme val="none"/>
      </font>
    </dxf>
    <dxf>
      <border outline="0">
        <top style="thin">
          <color indexed="64"/>
        </top>
      </border>
    </dxf>
    <dxf>
      <font>
        <strike val="0"/>
        <outline val="0"/>
        <shadow val="0"/>
        <u val="none"/>
        <vertAlign val="baseline"/>
        <sz val="11"/>
        <name val="Calibre"/>
        <scheme val="none"/>
      </font>
    </dxf>
    <dxf>
      <font>
        <b/>
        <i val="0"/>
        <strike val="0"/>
        <condense val="0"/>
        <extend val="0"/>
        <outline val="0"/>
        <shadow val="0"/>
        <u val="none"/>
        <vertAlign val="baseline"/>
        <sz val="11"/>
        <color theme="0"/>
        <name val="Calibre"/>
        <scheme val="none"/>
      </font>
      <fill>
        <patternFill patternType="solid">
          <fgColor indexed="64"/>
          <bgColor rgb="FF002060"/>
        </patternFill>
      </fill>
    </dxf>
  </dxfs>
  <tableStyles count="0" defaultTableStyle="TableStyleMedium2" defaultPivotStyle="PivotStyleLight16"/>
  <colors>
    <mruColors>
      <color rgb="FFDFDA00"/>
      <color rgb="FF76B531"/>
      <color rgb="FF82C836"/>
      <color rgb="FFDE8F00"/>
      <color rgb="FFFFA600"/>
      <color rgb="FFFF4F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t>(MSFT) Historical Return Histogram + Normal Distribution Overlay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2.9545156128229812E-2"/>
          <c:y val="9.5102564102564097E-2"/>
          <c:w val="0.94323950970416193"/>
          <c:h val="0.83588875429032905"/>
        </c:manualLayout>
      </c:layout>
      <c:scatterChart>
        <c:scatterStyle val="smoothMarker"/>
        <c:varyColors val="0"/>
        <c:ser>
          <c:idx val="0"/>
          <c:order val="0"/>
          <c:tx>
            <c:strRef>
              <c:f>'Notes | Quant Analysis'!$I$244</c:f>
              <c:strCache>
                <c:ptCount val="1"/>
                <c:pt idx="0">
                  <c:v>Histogram Data</c:v>
                </c:pt>
              </c:strCache>
            </c:strRef>
          </c:tx>
          <c:spPr>
            <a:ln w="38100" cap="rnd">
              <a:noFill/>
              <a:round/>
            </a:ln>
            <a:effectLst/>
          </c:spPr>
          <c:marker>
            <c:symbol val="none"/>
          </c:marker>
          <c:errBars>
            <c:errDir val="y"/>
            <c:errBarType val="minus"/>
            <c:errValType val="percentage"/>
            <c:noEndCap val="1"/>
            <c:val val="100"/>
            <c:spPr>
              <a:noFill/>
              <a:ln w="127000" cap="flat" cmpd="sng" algn="ctr">
                <a:solidFill>
                  <a:srgbClr val="00B0F0"/>
                </a:solidFill>
                <a:round/>
              </a:ln>
              <a:effectLst/>
            </c:spPr>
          </c:errBars>
          <c:xVal>
            <c:numRef>
              <c:f>'Notes | Quant Analysis'!$I$246:$I$326</c:f>
              <c:numCache>
                <c:formatCode>0.00%</c:formatCode>
                <c:ptCount val="81"/>
                <c:pt idx="0">
                  <c:v>-0.04</c:v>
                </c:pt>
                <c:pt idx="1">
                  <c:v>-3.9E-2</c:v>
                </c:pt>
                <c:pt idx="2">
                  <c:v>-3.7999999999999999E-2</c:v>
                </c:pt>
                <c:pt idx="3">
                  <c:v>-3.6999999999999998E-2</c:v>
                </c:pt>
                <c:pt idx="4">
                  <c:v>-3.5999999999999997E-2</c:v>
                </c:pt>
                <c:pt idx="5">
                  <c:v>-3.4999999999999996E-2</c:v>
                </c:pt>
                <c:pt idx="6">
                  <c:v>-3.3999999999999996E-2</c:v>
                </c:pt>
                <c:pt idx="7">
                  <c:v>-3.2999999999999995E-2</c:v>
                </c:pt>
                <c:pt idx="8">
                  <c:v>-3.1999999999999994E-2</c:v>
                </c:pt>
                <c:pt idx="9">
                  <c:v>-3.0999999999999993E-2</c:v>
                </c:pt>
                <c:pt idx="10">
                  <c:v>-2.9999999999999992E-2</c:v>
                </c:pt>
                <c:pt idx="11">
                  <c:v>-2.8999999999999991E-2</c:v>
                </c:pt>
                <c:pt idx="12">
                  <c:v>-2.799999999999999E-2</c:v>
                </c:pt>
                <c:pt idx="13">
                  <c:v>-2.6999999999999989E-2</c:v>
                </c:pt>
                <c:pt idx="14">
                  <c:v>-2.5999999999999988E-2</c:v>
                </c:pt>
                <c:pt idx="15">
                  <c:v>-2.4999999999999988E-2</c:v>
                </c:pt>
                <c:pt idx="16">
                  <c:v>-2.3999999999999987E-2</c:v>
                </c:pt>
                <c:pt idx="17">
                  <c:v>-2.2999999999999986E-2</c:v>
                </c:pt>
                <c:pt idx="18">
                  <c:v>-2.1999999999999985E-2</c:v>
                </c:pt>
                <c:pt idx="19">
                  <c:v>-2.0999999999999984E-2</c:v>
                </c:pt>
                <c:pt idx="20">
                  <c:v>-1.9999999999999983E-2</c:v>
                </c:pt>
                <c:pt idx="21">
                  <c:v>-1.8999999999999982E-2</c:v>
                </c:pt>
                <c:pt idx="22">
                  <c:v>-1.7999999999999981E-2</c:v>
                </c:pt>
                <c:pt idx="23">
                  <c:v>-1.699999999999998E-2</c:v>
                </c:pt>
                <c:pt idx="24">
                  <c:v>-1.599999999999998E-2</c:v>
                </c:pt>
                <c:pt idx="25">
                  <c:v>-1.4999999999999979E-2</c:v>
                </c:pt>
                <c:pt idx="26">
                  <c:v>-1.3999999999999978E-2</c:v>
                </c:pt>
                <c:pt idx="27">
                  <c:v>-1.2999999999999977E-2</c:v>
                </c:pt>
                <c:pt idx="28">
                  <c:v>-1.1999999999999976E-2</c:v>
                </c:pt>
                <c:pt idx="29">
                  <c:v>-1.0999999999999975E-2</c:v>
                </c:pt>
                <c:pt idx="30">
                  <c:v>-9.9999999999999742E-3</c:v>
                </c:pt>
                <c:pt idx="31">
                  <c:v>-8.9999999999999733E-3</c:v>
                </c:pt>
                <c:pt idx="32">
                  <c:v>-7.9999999999999724E-3</c:v>
                </c:pt>
                <c:pt idx="33">
                  <c:v>-6.9999999999999724E-3</c:v>
                </c:pt>
                <c:pt idx="34">
                  <c:v>-5.9999999999999724E-3</c:v>
                </c:pt>
                <c:pt idx="35">
                  <c:v>-4.9999999999999723E-3</c:v>
                </c:pt>
                <c:pt idx="36">
                  <c:v>-3.9999999999999723E-3</c:v>
                </c:pt>
                <c:pt idx="37">
                  <c:v>-2.9999999999999723E-3</c:v>
                </c:pt>
                <c:pt idx="38">
                  <c:v>-1.9999999999999723E-3</c:v>
                </c:pt>
                <c:pt idx="39">
                  <c:v>-9.9999999999997227E-4</c:v>
                </c:pt>
                <c:pt idx="40">
                  <c:v>2.7755575615628914E-17</c:v>
                </c:pt>
                <c:pt idx="41">
                  <c:v>1.0000000000000278E-3</c:v>
                </c:pt>
                <c:pt idx="42">
                  <c:v>2.0000000000000278E-3</c:v>
                </c:pt>
                <c:pt idx="43">
                  <c:v>3.0000000000000278E-3</c:v>
                </c:pt>
                <c:pt idx="44">
                  <c:v>4.0000000000000278E-3</c:v>
                </c:pt>
                <c:pt idx="45">
                  <c:v>5.0000000000000279E-3</c:v>
                </c:pt>
                <c:pt idx="46">
                  <c:v>6.0000000000000279E-3</c:v>
                </c:pt>
                <c:pt idx="47">
                  <c:v>7.0000000000000279E-3</c:v>
                </c:pt>
                <c:pt idx="48">
                  <c:v>8.0000000000000279E-3</c:v>
                </c:pt>
                <c:pt idx="49">
                  <c:v>9.0000000000000288E-3</c:v>
                </c:pt>
                <c:pt idx="50">
                  <c:v>1.000000000000003E-2</c:v>
                </c:pt>
                <c:pt idx="51">
                  <c:v>1.1000000000000031E-2</c:v>
                </c:pt>
                <c:pt idx="52">
                  <c:v>1.2000000000000031E-2</c:v>
                </c:pt>
                <c:pt idx="53">
                  <c:v>1.3000000000000032E-2</c:v>
                </c:pt>
                <c:pt idx="54">
                  <c:v>1.4000000000000033E-2</c:v>
                </c:pt>
                <c:pt idx="55">
                  <c:v>1.5000000000000034E-2</c:v>
                </c:pt>
                <c:pt idx="56">
                  <c:v>1.6000000000000035E-2</c:v>
                </c:pt>
                <c:pt idx="57">
                  <c:v>1.7000000000000036E-2</c:v>
                </c:pt>
                <c:pt idx="58">
                  <c:v>1.8000000000000037E-2</c:v>
                </c:pt>
                <c:pt idx="59">
                  <c:v>1.9000000000000038E-2</c:v>
                </c:pt>
                <c:pt idx="60">
                  <c:v>2.0000000000000039E-2</c:v>
                </c:pt>
                <c:pt idx="61">
                  <c:v>2.1000000000000039E-2</c:v>
                </c:pt>
                <c:pt idx="62">
                  <c:v>2.200000000000004E-2</c:v>
                </c:pt>
                <c:pt idx="63">
                  <c:v>2.3000000000000041E-2</c:v>
                </c:pt>
                <c:pt idx="64">
                  <c:v>2.4000000000000042E-2</c:v>
                </c:pt>
                <c:pt idx="65">
                  <c:v>2.5000000000000043E-2</c:v>
                </c:pt>
                <c:pt idx="66">
                  <c:v>2.6000000000000044E-2</c:v>
                </c:pt>
                <c:pt idx="67">
                  <c:v>2.7000000000000045E-2</c:v>
                </c:pt>
                <c:pt idx="68">
                  <c:v>2.8000000000000046E-2</c:v>
                </c:pt>
                <c:pt idx="69">
                  <c:v>2.9000000000000047E-2</c:v>
                </c:pt>
                <c:pt idx="70">
                  <c:v>3.0000000000000047E-2</c:v>
                </c:pt>
                <c:pt idx="71">
                  <c:v>3.1000000000000048E-2</c:v>
                </c:pt>
                <c:pt idx="72">
                  <c:v>3.2000000000000049E-2</c:v>
                </c:pt>
                <c:pt idx="73">
                  <c:v>3.300000000000005E-2</c:v>
                </c:pt>
                <c:pt idx="74">
                  <c:v>3.4000000000000051E-2</c:v>
                </c:pt>
                <c:pt idx="75">
                  <c:v>3.5000000000000052E-2</c:v>
                </c:pt>
                <c:pt idx="76">
                  <c:v>3.6000000000000053E-2</c:v>
                </c:pt>
                <c:pt idx="77">
                  <c:v>3.7000000000000054E-2</c:v>
                </c:pt>
                <c:pt idx="78">
                  <c:v>3.8000000000000055E-2</c:v>
                </c:pt>
                <c:pt idx="79">
                  <c:v>3.9000000000000055E-2</c:v>
                </c:pt>
                <c:pt idx="80">
                  <c:v>4.0000000000000056E-2</c:v>
                </c:pt>
              </c:numCache>
            </c:numRef>
          </c:xVal>
          <c:yVal>
            <c:numRef>
              <c:f>'Notes | Quant Analysis'!$J$246:$J$326</c:f>
              <c:numCache>
                <c:formatCode>General</c:formatCode>
                <c:ptCount val="81"/>
                <c:pt idx="0">
                  <c:v>1</c:v>
                </c:pt>
                <c:pt idx="1">
                  <c:v>3</c:v>
                </c:pt>
                <c:pt idx="2">
                  <c:v>2</c:v>
                </c:pt>
                <c:pt idx="3">
                  <c:v>4</c:v>
                </c:pt>
                <c:pt idx="4">
                  <c:v>3</c:v>
                </c:pt>
                <c:pt idx="5">
                  <c:v>4</c:v>
                </c:pt>
                <c:pt idx="6">
                  <c:v>5</c:v>
                </c:pt>
                <c:pt idx="7">
                  <c:v>4</c:v>
                </c:pt>
                <c:pt idx="8">
                  <c:v>8</c:v>
                </c:pt>
                <c:pt idx="9">
                  <c:v>1</c:v>
                </c:pt>
                <c:pt idx="10">
                  <c:v>5</c:v>
                </c:pt>
                <c:pt idx="11">
                  <c:v>6</c:v>
                </c:pt>
                <c:pt idx="12">
                  <c:v>8</c:v>
                </c:pt>
                <c:pt idx="13">
                  <c:v>10</c:v>
                </c:pt>
                <c:pt idx="14">
                  <c:v>13</c:v>
                </c:pt>
                <c:pt idx="15">
                  <c:v>7</c:v>
                </c:pt>
                <c:pt idx="16">
                  <c:v>7</c:v>
                </c:pt>
                <c:pt idx="17">
                  <c:v>12</c:v>
                </c:pt>
                <c:pt idx="18">
                  <c:v>13</c:v>
                </c:pt>
                <c:pt idx="19">
                  <c:v>15</c:v>
                </c:pt>
                <c:pt idx="20">
                  <c:v>10</c:v>
                </c:pt>
                <c:pt idx="21">
                  <c:v>8</c:v>
                </c:pt>
                <c:pt idx="22">
                  <c:v>19</c:v>
                </c:pt>
                <c:pt idx="23">
                  <c:v>21</c:v>
                </c:pt>
                <c:pt idx="24">
                  <c:v>21</c:v>
                </c:pt>
                <c:pt idx="25">
                  <c:v>29</c:v>
                </c:pt>
                <c:pt idx="26">
                  <c:v>27</c:v>
                </c:pt>
                <c:pt idx="27">
                  <c:v>38</c:v>
                </c:pt>
                <c:pt idx="28">
                  <c:v>42</c:v>
                </c:pt>
                <c:pt idx="29">
                  <c:v>52</c:v>
                </c:pt>
                <c:pt idx="30">
                  <c:v>46</c:v>
                </c:pt>
                <c:pt idx="31">
                  <c:v>56</c:v>
                </c:pt>
                <c:pt idx="32">
                  <c:v>63</c:v>
                </c:pt>
                <c:pt idx="33">
                  <c:v>78</c:v>
                </c:pt>
                <c:pt idx="34">
                  <c:v>57</c:v>
                </c:pt>
                <c:pt idx="35">
                  <c:v>75</c:v>
                </c:pt>
                <c:pt idx="36">
                  <c:v>101</c:v>
                </c:pt>
                <c:pt idx="37">
                  <c:v>108</c:v>
                </c:pt>
                <c:pt idx="38">
                  <c:v>87</c:v>
                </c:pt>
                <c:pt idx="39">
                  <c:v>101</c:v>
                </c:pt>
                <c:pt idx="40">
                  <c:v>113</c:v>
                </c:pt>
                <c:pt idx="41">
                  <c:v>113</c:v>
                </c:pt>
                <c:pt idx="42">
                  <c:v>117</c:v>
                </c:pt>
                <c:pt idx="43">
                  <c:v>112</c:v>
                </c:pt>
                <c:pt idx="44">
                  <c:v>103</c:v>
                </c:pt>
                <c:pt idx="45">
                  <c:v>106</c:v>
                </c:pt>
                <c:pt idx="46">
                  <c:v>86</c:v>
                </c:pt>
                <c:pt idx="47">
                  <c:v>63</c:v>
                </c:pt>
                <c:pt idx="48">
                  <c:v>82</c:v>
                </c:pt>
                <c:pt idx="49">
                  <c:v>72</c:v>
                </c:pt>
                <c:pt idx="50">
                  <c:v>69</c:v>
                </c:pt>
                <c:pt idx="51">
                  <c:v>70</c:v>
                </c:pt>
                <c:pt idx="52">
                  <c:v>65</c:v>
                </c:pt>
                <c:pt idx="53">
                  <c:v>56</c:v>
                </c:pt>
                <c:pt idx="54">
                  <c:v>41</c:v>
                </c:pt>
                <c:pt idx="55">
                  <c:v>30</c:v>
                </c:pt>
                <c:pt idx="56">
                  <c:v>35</c:v>
                </c:pt>
                <c:pt idx="57">
                  <c:v>39</c:v>
                </c:pt>
                <c:pt idx="58">
                  <c:v>34</c:v>
                </c:pt>
                <c:pt idx="59">
                  <c:v>22</c:v>
                </c:pt>
                <c:pt idx="60">
                  <c:v>20</c:v>
                </c:pt>
                <c:pt idx="61">
                  <c:v>20</c:v>
                </c:pt>
                <c:pt idx="62">
                  <c:v>11</c:v>
                </c:pt>
                <c:pt idx="63">
                  <c:v>14</c:v>
                </c:pt>
                <c:pt idx="64">
                  <c:v>11</c:v>
                </c:pt>
                <c:pt idx="65">
                  <c:v>11</c:v>
                </c:pt>
                <c:pt idx="66">
                  <c:v>5</c:v>
                </c:pt>
                <c:pt idx="67">
                  <c:v>11</c:v>
                </c:pt>
                <c:pt idx="68">
                  <c:v>7</c:v>
                </c:pt>
                <c:pt idx="69">
                  <c:v>5</c:v>
                </c:pt>
                <c:pt idx="70">
                  <c:v>8</c:v>
                </c:pt>
                <c:pt idx="71">
                  <c:v>4</c:v>
                </c:pt>
                <c:pt idx="72">
                  <c:v>5</c:v>
                </c:pt>
                <c:pt idx="73">
                  <c:v>3</c:v>
                </c:pt>
                <c:pt idx="74">
                  <c:v>2</c:v>
                </c:pt>
                <c:pt idx="75">
                  <c:v>1</c:v>
                </c:pt>
                <c:pt idx="76">
                  <c:v>0</c:v>
                </c:pt>
                <c:pt idx="77">
                  <c:v>1</c:v>
                </c:pt>
                <c:pt idx="78">
                  <c:v>0</c:v>
                </c:pt>
                <c:pt idx="79">
                  <c:v>1</c:v>
                </c:pt>
                <c:pt idx="80">
                  <c:v>1</c:v>
                </c:pt>
              </c:numCache>
            </c:numRef>
          </c:yVal>
          <c:smooth val="1"/>
          <c:extLst>
            <c:ext xmlns:c16="http://schemas.microsoft.com/office/drawing/2014/chart" uri="{C3380CC4-5D6E-409C-BE32-E72D297353CC}">
              <c16:uniqueId val="{00000000-A3E0-4241-B9E2-C6C1132A9B06}"/>
            </c:ext>
          </c:extLst>
        </c:ser>
        <c:ser>
          <c:idx val="1"/>
          <c:order val="1"/>
          <c:tx>
            <c:strRef>
              <c:f>'Notes | Quant Analysis'!$L$244</c:f>
              <c:strCache>
                <c:ptCount val="1"/>
                <c:pt idx="0">
                  <c:v>Distribution Overlay</c:v>
                </c:pt>
              </c:strCache>
            </c:strRef>
          </c:tx>
          <c:spPr>
            <a:ln w="25400" cap="rnd">
              <a:solidFill>
                <a:srgbClr val="FFC000"/>
              </a:solidFill>
              <a:round/>
            </a:ln>
            <a:effectLst/>
          </c:spPr>
          <c:marker>
            <c:symbol val="none"/>
          </c:marker>
          <c:errBars>
            <c:errDir val="y"/>
            <c:errBarType val="minus"/>
            <c:errValType val="percentage"/>
            <c:noEndCap val="1"/>
            <c:val val="100"/>
            <c:spPr>
              <a:noFill/>
              <a:ln w="114300" cap="flat" cmpd="sng" algn="ctr">
                <a:solidFill>
                  <a:srgbClr val="00B0F0"/>
                </a:solidFill>
                <a:round/>
              </a:ln>
              <a:effectLst/>
            </c:spPr>
          </c:errBars>
          <c:xVal>
            <c:numRef>
              <c:f>'Notes | Quant Analysis'!$L$246:$L$328</c:f>
              <c:numCache>
                <c:formatCode>0.00%</c:formatCode>
                <c:ptCount val="83"/>
                <c:pt idx="0">
                  <c:v>-4.0999999999999995E-2</c:v>
                </c:pt>
                <c:pt idx="1">
                  <c:v>-0.04</c:v>
                </c:pt>
                <c:pt idx="2">
                  <c:v>-3.9E-2</c:v>
                </c:pt>
                <c:pt idx="3">
                  <c:v>-3.7999999999999999E-2</c:v>
                </c:pt>
                <c:pt idx="4">
                  <c:v>-3.6999999999999998E-2</c:v>
                </c:pt>
                <c:pt idx="5">
                  <c:v>-3.5999999999999997E-2</c:v>
                </c:pt>
                <c:pt idx="6">
                  <c:v>-3.4999999999999996E-2</c:v>
                </c:pt>
                <c:pt idx="7">
                  <c:v>-3.3999999999999996E-2</c:v>
                </c:pt>
                <c:pt idx="8">
                  <c:v>-3.2999999999999995E-2</c:v>
                </c:pt>
                <c:pt idx="9">
                  <c:v>-3.1999999999999994E-2</c:v>
                </c:pt>
                <c:pt idx="10">
                  <c:v>-3.0999999999999993E-2</c:v>
                </c:pt>
                <c:pt idx="11">
                  <c:v>-2.9999999999999992E-2</c:v>
                </c:pt>
                <c:pt idx="12">
                  <c:v>-2.8999999999999991E-2</c:v>
                </c:pt>
                <c:pt idx="13">
                  <c:v>-2.799999999999999E-2</c:v>
                </c:pt>
                <c:pt idx="14">
                  <c:v>-2.6999999999999989E-2</c:v>
                </c:pt>
                <c:pt idx="15">
                  <c:v>-2.5999999999999988E-2</c:v>
                </c:pt>
                <c:pt idx="16">
                  <c:v>-2.4999999999999988E-2</c:v>
                </c:pt>
                <c:pt idx="17">
                  <c:v>-2.3999999999999987E-2</c:v>
                </c:pt>
                <c:pt idx="18">
                  <c:v>-2.2999999999999986E-2</c:v>
                </c:pt>
                <c:pt idx="19">
                  <c:v>-2.1999999999999985E-2</c:v>
                </c:pt>
                <c:pt idx="20">
                  <c:v>-2.0999999999999984E-2</c:v>
                </c:pt>
                <c:pt idx="21">
                  <c:v>-1.9999999999999983E-2</c:v>
                </c:pt>
                <c:pt idx="22">
                  <c:v>-1.8999999999999982E-2</c:v>
                </c:pt>
                <c:pt idx="23">
                  <c:v>-1.7999999999999981E-2</c:v>
                </c:pt>
                <c:pt idx="24">
                  <c:v>-1.699999999999998E-2</c:v>
                </c:pt>
                <c:pt idx="25">
                  <c:v>-1.599999999999998E-2</c:v>
                </c:pt>
                <c:pt idx="26">
                  <c:v>-1.4999999999999979E-2</c:v>
                </c:pt>
                <c:pt idx="27">
                  <c:v>-1.3999999999999978E-2</c:v>
                </c:pt>
                <c:pt idx="28">
                  <c:v>-1.2999999999999977E-2</c:v>
                </c:pt>
                <c:pt idx="29">
                  <c:v>-1.1999999999999976E-2</c:v>
                </c:pt>
                <c:pt idx="30">
                  <c:v>-1.0999999999999975E-2</c:v>
                </c:pt>
                <c:pt idx="31">
                  <c:v>-9.9999999999999742E-3</c:v>
                </c:pt>
                <c:pt idx="32">
                  <c:v>-8.9999999999999733E-3</c:v>
                </c:pt>
                <c:pt idx="33">
                  <c:v>-7.9999999999999724E-3</c:v>
                </c:pt>
                <c:pt idx="34">
                  <c:v>-6.9999999999999724E-3</c:v>
                </c:pt>
                <c:pt idx="35">
                  <c:v>-5.9999999999999724E-3</c:v>
                </c:pt>
                <c:pt idx="36">
                  <c:v>-4.9999999999999723E-3</c:v>
                </c:pt>
                <c:pt idx="37">
                  <c:v>-3.9999999999999723E-3</c:v>
                </c:pt>
                <c:pt idx="38">
                  <c:v>-2.9999999999999723E-3</c:v>
                </c:pt>
                <c:pt idx="39">
                  <c:v>-1.9999999999999723E-3</c:v>
                </c:pt>
                <c:pt idx="40">
                  <c:v>-9.9999999999997227E-4</c:v>
                </c:pt>
                <c:pt idx="41">
                  <c:v>2.7755575615628914E-17</c:v>
                </c:pt>
                <c:pt idx="42">
                  <c:v>1.0000000000000278E-3</c:v>
                </c:pt>
                <c:pt idx="43">
                  <c:v>2.0000000000000278E-3</c:v>
                </c:pt>
                <c:pt idx="44">
                  <c:v>3.0000000000000278E-3</c:v>
                </c:pt>
                <c:pt idx="45">
                  <c:v>4.0000000000000278E-3</c:v>
                </c:pt>
                <c:pt idx="46">
                  <c:v>5.0000000000000279E-3</c:v>
                </c:pt>
                <c:pt idx="47">
                  <c:v>6.0000000000000279E-3</c:v>
                </c:pt>
                <c:pt idx="48">
                  <c:v>7.0000000000000279E-3</c:v>
                </c:pt>
                <c:pt idx="49">
                  <c:v>8.0000000000000279E-3</c:v>
                </c:pt>
                <c:pt idx="50">
                  <c:v>9.0000000000000288E-3</c:v>
                </c:pt>
                <c:pt idx="51">
                  <c:v>1.000000000000003E-2</c:v>
                </c:pt>
                <c:pt idx="52">
                  <c:v>1.1000000000000031E-2</c:v>
                </c:pt>
                <c:pt idx="53">
                  <c:v>1.2000000000000031E-2</c:v>
                </c:pt>
                <c:pt idx="54">
                  <c:v>1.3000000000000032E-2</c:v>
                </c:pt>
                <c:pt idx="55">
                  <c:v>1.4000000000000033E-2</c:v>
                </c:pt>
                <c:pt idx="56">
                  <c:v>1.5000000000000034E-2</c:v>
                </c:pt>
                <c:pt idx="57">
                  <c:v>1.6000000000000035E-2</c:v>
                </c:pt>
                <c:pt idx="58">
                  <c:v>1.7000000000000036E-2</c:v>
                </c:pt>
                <c:pt idx="59">
                  <c:v>1.8000000000000037E-2</c:v>
                </c:pt>
                <c:pt idx="60">
                  <c:v>1.9000000000000038E-2</c:v>
                </c:pt>
                <c:pt idx="61">
                  <c:v>2.0000000000000039E-2</c:v>
                </c:pt>
                <c:pt idx="62">
                  <c:v>2.1000000000000039E-2</c:v>
                </c:pt>
                <c:pt idx="63">
                  <c:v>2.200000000000004E-2</c:v>
                </c:pt>
                <c:pt idx="64">
                  <c:v>2.3000000000000041E-2</c:v>
                </c:pt>
                <c:pt idx="65">
                  <c:v>2.4000000000000042E-2</c:v>
                </c:pt>
                <c:pt idx="66">
                  <c:v>2.5000000000000043E-2</c:v>
                </c:pt>
                <c:pt idx="67">
                  <c:v>2.6000000000000044E-2</c:v>
                </c:pt>
                <c:pt idx="68">
                  <c:v>2.7000000000000045E-2</c:v>
                </c:pt>
                <c:pt idx="69">
                  <c:v>2.8000000000000046E-2</c:v>
                </c:pt>
                <c:pt idx="70">
                  <c:v>2.9000000000000047E-2</c:v>
                </c:pt>
                <c:pt idx="71">
                  <c:v>3.0000000000000047E-2</c:v>
                </c:pt>
                <c:pt idx="72">
                  <c:v>3.1000000000000048E-2</c:v>
                </c:pt>
                <c:pt idx="73">
                  <c:v>3.2000000000000049E-2</c:v>
                </c:pt>
                <c:pt idx="74">
                  <c:v>3.300000000000005E-2</c:v>
                </c:pt>
                <c:pt idx="75">
                  <c:v>3.4000000000000051E-2</c:v>
                </c:pt>
                <c:pt idx="76">
                  <c:v>3.5000000000000052E-2</c:v>
                </c:pt>
                <c:pt idx="77">
                  <c:v>3.6000000000000053E-2</c:v>
                </c:pt>
                <c:pt idx="78">
                  <c:v>3.7000000000000054E-2</c:v>
                </c:pt>
                <c:pt idx="79">
                  <c:v>3.8000000000000055E-2</c:v>
                </c:pt>
                <c:pt idx="80">
                  <c:v>3.9000000000000055E-2</c:v>
                </c:pt>
                <c:pt idx="81">
                  <c:v>4.0000000000000056E-2</c:v>
                </c:pt>
                <c:pt idx="82">
                  <c:v>4.1000000000000057E-2</c:v>
                </c:pt>
              </c:numCache>
            </c:numRef>
          </c:xVal>
          <c:yVal>
            <c:numRef>
              <c:f>'Notes | Quant Analysis'!$M$246:$M$328</c:f>
              <c:numCache>
                <c:formatCode>General</c:formatCode>
                <c:ptCount val="83"/>
                <c:pt idx="0">
                  <c:v>0.19760350224413178</c:v>
                </c:pt>
                <c:pt idx="1">
                  <c:v>0.25113025035480857</c:v>
                </c:pt>
                <c:pt idx="2">
                  <c:v>0.31729739683217978</c:v>
                </c:pt>
                <c:pt idx="3">
                  <c:v>0.39856308888920694</c:v>
                </c:pt>
                <c:pt idx="4">
                  <c:v>0.49772646137623111</c:v>
                </c:pt>
                <c:pt idx="5">
                  <c:v>0.61794165581328075</c:v>
                </c:pt>
                <c:pt idx="6">
                  <c:v>0.7627238056973058</c:v>
                </c:pt>
                <c:pt idx="7">
                  <c:v>0.93594476241885194</c:v>
                </c:pt>
                <c:pt idx="8">
                  <c:v>1.1418162580144247</c:v>
                </c:pt>
                <c:pt idx="9">
                  <c:v>1.384858223241322</c:v>
                </c:pt>
                <c:pt idx="10">
                  <c:v>1.6698501245617172</c:v>
                </c:pt>
                <c:pt idx="11">
                  <c:v>2.0017634713679739</c:v>
                </c:pt>
                <c:pt idx="12">
                  <c:v>2.3856740903028548</c:v>
                </c:pt>
                <c:pt idx="13">
                  <c:v>2.8266533751805327</c:v>
                </c:pt>
                <c:pt idx="14">
                  <c:v>3.3296384983288507</c:v>
                </c:pt>
                <c:pt idx="15">
                  <c:v>3.8992825010577099</c:v>
                </c:pt>
                <c:pt idx="16">
                  <c:v>4.539786244331971</c:v>
                </c:pt>
                <c:pt idx="17">
                  <c:v>5.254715359799353</c:v>
                </c:pt>
                <c:pt idx="18">
                  <c:v>6.0468065476946995</c:v>
                </c:pt>
                <c:pt idx="19">
                  <c:v>6.9177687618747292</c:v>
                </c:pt>
                <c:pt idx="20">
                  <c:v>7.8680859339858671</c:v>
                </c:pt>
                <c:pt idx="21">
                  <c:v>8.8968288429724112</c:v>
                </c:pt>
                <c:pt idx="22">
                  <c:v>10.001484455202542</c:v>
                </c:pt>
                <c:pt idx="23">
                  <c:v>11.177811469791191</c:v>
                </c:pt>
                <c:pt idx="24">
                  <c:v>12.419730837069507</c:v>
                </c:pt>
                <c:pt idx="25">
                  <c:v>13.719259623576857</c:v>
                </c:pt>
                <c:pt idx="26">
                  <c:v>15.066495741975533</c:v>
                </c:pt>
                <c:pt idx="27">
                  <c:v>16.449659740677184</c:v>
                </c:pt>
                <c:pt idx="28">
                  <c:v>17.855198075180347</c:v>
                </c:pt>
                <c:pt idx="29">
                  <c:v>19.267950110141125</c:v>
                </c:pt>
                <c:pt idx="30">
                  <c:v>20.671378606448908</c:v>
                </c:pt>
                <c:pt idx="31">
                  <c:v>22.047860736632387</c:v>
                </c:pt>
                <c:pt idx="32">
                  <c:v>23.379033873061289</c:v>
                </c:pt>
                <c:pt idx="33">
                  <c:v>24.646187651121995</c:v>
                </c:pt>
                <c:pt idx="34">
                  <c:v>25.830691276291358</c:v>
                </c:pt>
                <c:pt idx="35">
                  <c:v>26.914442870804539</c:v>
                </c:pt>
                <c:pt idx="36">
                  <c:v>27.880325981903852</c:v>
                </c:pt>
                <c:pt idx="37">
                  <c:v>28.712657317600357</c:v>
                </c:pt>
                <c:pt idx="38">
                  <c:v>29.397609425312343</c:v>
                </c:pt>
                <c:pt idx="39">
                  <c:v>29.923592433941042</c:v>
                </c:pt>
                <c:pt idx="40">
                  <c:v>30.281580148670873</c:v>
                </c:pt>
                <c:pt idx="41">
                  <c:v>30.465367683152735</c:v>
                </c:pt>
                <c:pt idx="42">
                  <c:v>30.471750355123852</c:v>
                </c:pt>
                <c:pt idx="43">
                  <c:v>30.300616638605995</c:v>
                </c:pt>
                <c:pt idx="44">
                  <c:v>29.954951405467384</c:v>
                </c:pt>
                <c:pt idx="45">
                  <c:v>29.440749324699169</c:v>
                </c:pt>
                <c:pt idx="46">
                  <c:v>28.766841930184285</c:v>
                </c:pt>
                <c:pt idx="47">
                  <c:v>27.944645327526157</c:v>
                </c:pt>
                <c:pt idx="48">
                  <c:v>26.987838609750025</c:v>
                </c:pt>
                <c:pt idx="49">
                  <c:v>25.911985635230543</c:v>
                </c:pt>
                <c:pt idx="50">
                  <c:v>24.734114766091967</c:v>
                </c:pt>
                <c:pt idx="51">
                  <c:v>23.472272387932122</c:v>
                </c:pt>
                <c:pt idx="52">
                  <c:v>22.145066491947539</c:v>
                </c:pt>
                <c:pt idx="53">
                  <c:v>20.771216302985266</c:v>
                </c:pt>
                <c:pt idx="54">
                  <c:v>19.36912292907699</c:v>
                </c:pt>
                <c:pt idx="55">
                  <c:v>17.956474374982282</c:v>
                </c:pt>
                <c:pt idx="56">
                  <c:v>16.549896120421224</c:v>
                </c:pt>
                <c:pt idx="57">
                  <c:v>15.164655951297542</c:v>
                </c:pt>
                <c:pt idx="58">
                  <c:v>13.814428999804264</c:v>
                </c:pt>
                <c:pt idx="59">
                  <c:v>12.511126149546261</c:v>
                </c:pt>
                <c:pt idx="60">
                  <c:v>11.264786240057049</c:v>
                </c:pt>
                <c:pt idx="61">
                  <c:v>10.08352999101537</c:v>
                </c:pt>
                <c:pt idx="62">
                  <c:v>8.9735713674596358</c:v>
                </c:pt>
                <c:pt idx="63">
                  <c:v>7.9392803038195385</c:v>
                </c:pt>
                <c:pt idx="64">
                  <c:v>6.9832893477637645</c:v>
                </c:pt>
                <c:pt idx="65">
                  <c:v>6.1066358962363063</c:v>
                </c:pt>
                <c:pt idx="66">
                  <c:v>5.3089312692753117</c:v>
                </c:pt>
                <c:pt idx="67">
                  <c:v>4.5885478714144119</c:v>
                </c:pt>
                <c:pt idx="68">
                  <c:v>3.9428160748717098</c:v>
                </c:pt>
                <c:pt idx="69">
                  <c:v>3.3682231580004709</c:v>
                </c:pt>
                <c:pt idx="70">
                  <c:v>2.8606075723936693</c:v>
                </c:pt>
                <c:pt idx="71">
                  <c:v>2.4153429150491652</c:v>
                </c:pt>
                <c:pt idx="72">
                  <c:v>2.0275071722579598</c:v>
                </c:pt>
                <c:pt idx="73">
                  <c:v>1.6920340094644606</c:v>
                </c:pt>
                <c:pt idx="74">
                  <c:v>1.403844045569141</c:v>
                </c:pt>
                <c:pt idx="75">
                  <c:v>1.1579551217254083</c:v>
                </c:pt>
                <c:pt idx="76">
                  <c:v>0.94957151691493402</c:v>
                </c:pt>
                <c:pt idx="77">
                  <c:v>0.77415285149171154</c:v>
                </c:pt>
                <c:pt idx="78">
                  <c:v>0.62746404355161067</c:v>
                </c:pt>
                <c:pt idx="79">
                  <c:v>0.50560814023675338</c:v>
                </c:pt>
                <c:pt idx="80">
                  <c:v>0.40504414471020306</c:v>
                </c:pt>
                <c:pt idx="81">
                  <c:v>0.32259211425182388</c:v>
                </c:pt>
                <c:pt idx="82">
                  <c:v>0.25542783526984525</c:v>
                </c:pt>
              </c:numCache>
            </c:numRef>
          </c:yVal>
          <c:smooth val="1"/>
          <c:extLst>
            <c:ext xmlns:c16="http://schemas.microsoft.com/office/drawing/2014/chart" uri="{C3380CC4-5D6E-409C-BE32-E72D297353CC}">
              <c16:uniqueId val="{00000001-A3E0-4241-B9E2-C6C1132A9B06}"/>
            </c:ext>
          </c:extLst>
        </c:ser>
        <c:ser>
          <c:idx val="2"/>
          <c:order val="2"/>
          <c:tx>
            <c:strRef>
              <c:f>'Notes | Quant Analysis'!$O$246</c:f>
              <c:strCache>
                <c:ptCount val="1"/>
                <c:pt idx="0">
                  <c:v>Mean</c:v>
                </c:pt>
              </c:strCache>
            </c:strRef>
          </c:tx>
          <c:spPr>
            <a:ln w="19050" cap="rnd">
              <a:solidFill>
                <a:srgbClr val="FFC000"/>
              </a:solidFill>
              <a:round/>
            </a:ln>
            <a:effectLst/>
          </c:spPr>
          <c:marker>
            <c:symbol val="none"/>
          </c:marker>
          <c:dLbls>
            <c:dLbl>
              <c:idx val="1"/>
              <c:layout>
                <c:manualLayout>
                  <c:x val="-6.4037985711644763E-2"/>
                  <c:y val="-4.203583686654553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0.11361406894983919"/>
                      <c:h val="9.2502523722996152E-2"/>
                    </c:manualLayout>
                  </c15:layout>
                </c:ext>
                <c:ext xmlns:c16="http://schemas.microsoft.com/office/drawing/2014/chart" uri="{C3380CC4-5D6E-409C-BE32-E72D297353CC}">
                  <c16:uniqueId val="{00000003-A3E0-4241-B9E2-C6C1132A9B0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'Notes | Quant Analysis'!$P$246:$P$247</c:f>
              <c:numCache>
                <c:formatCode>0.00%</c:formatCode>
                <c:ptCount val="2"/>
                <c:pt idx="0">
                  <c:v>5.3586158056428458E-4</c:v>
                </c:pt>
                <c:pt idx="1">
                  <c:v>5.3586158056428458E-4</c:v>
                </c:pt>
              </c:numCache>
            </c:numRef>
          </c:xVal>
          <c:yVal>
            <c:numRef>
              <c:f>'Notes | Quant Analysis'!$Q$246:$Q$247</c:f>
              <c:numCache>
                <c:formatCode>General</c:formatCode>
                <c:ptCount val="2"/>
                <c:pt idx="0">
                  <c:v>0</c:v>
                </c:pt>
                <c:pt idx="1">
                  <c:v>35</c:v>
                </c:pt>
              </c:numCache>
            </c:numRef>
          </c:yVal>
          <c:smooth val="1"/>
          <c:extLst>
            <c:ext xmlns:c16="http://schemas.microsoft.com/office/drawing/2014/chart" uri="{C3380CC4-5D6E-409C-BE32-E72D297353CC}">
              <c16:uniqueId val="{00000002-A3E0-4241-B9E2-C6C1132A9B06}"/>
            </c:ext>
          </c:extLst>
        </c:ser>
        <c:ser>
          <c:idx val="3"/>
          <c:order val="3"/>
          <c:tx>
            <c:strRef>
              <c:f>'Notes | Quant Analysis'!$O$248</c:f>
              <c:strCache>
                <c:ptCount val="1"/>
                <c:pt idx="0">
                  <c:v>-3σ</c:v>
                </c:pt>
              </c:strCache>
            </c:strRef>
          </c:tx>
          <c:spPr>
            <a:ln w="19050" cap="rnd">
              <a:solidFill>
                <a:schemeClr val="accent4"/>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2-A3E0-4241-B9E2-C6C1132A9B06}"/>
                </c:ext>
              </c:extLst>
            </c:dLbl>
            <c:dLbl>
              <c:idx val="1"/>
              <c:layout>
                <c:manualLayout>
                  <c:x val="-2.5964690015666897E-2"/>
                  <c:y val="-6.4136542213951847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8.6355413555374724E-2"/>
                      <c:h val="6.726547968844146E-2"/>
                    </c:manualLayout>
                  </c15:layout>
                </c:ext>
                <c:ext xmlns:c16="http://schemas.microsoft.com/office/drawing/2014/chart" uri="{C3380CC4-5D6E-409C-BE32-E72D297353CC}">
                  <c16:uniqueId val="{00000013-A3E0-4241-B9E2-C6C1132A9B0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'Notes | Quant Analysis'!$P$248:$P$249</c:f>
              <c:numCache>
                <c:formatCode>0.00%</c:formatCode>
                <c:ptCount val="2"/>
                <c:pt idx="0">
                  <c:v>-3.8716036488429174E-2</c:v>
                </c:pt>
                <c:pt idx="1">
                  <c:v>-3.8716036488429174E-2</c:v>
                </c:pt>
              </c:numCache>
            </c:numRef>
          </c:xVal>
          <c:yVal>
            <c:numRef>
              <c:f>'Notes | Quant Analysis'!$Q$248:$Q$249</c:f>
              <c:numCache>
                <c:formatCode>General</c:formatCode>
                <c:ptCount val="2"/>
                <c:pt idx="0">
                  <c:v>0</c:v>
                </c:pt>
                <c:pt idx="1">
                  <c:v>5</c:v>
                </c:pt>
              </c:numCache>
            </c:numRef>
          </c:yVal>
          <c:smooth val="1"/>
          <c:extLst>
            <c:ext xmlns:c16="http://schemas.microsoft.com/office/drawing/2014/chart" uri="{C3380CC4-5D6E-409C-BE32-E72D297353CC}">
              <c16:uniqueId val="{00000004-A3E0-4241-B9E2-C6C1132A9B06}"/>
            </c:ext>
          </c:extLst>
        </c:ser>
        <c:ser>
          <c:idx val="4"/>
          <c:order val="4"/>
          <c:tx>
            <c:strRef>
              <c:f>'Notes | Quant Analysis'!$O$250</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E-A3E0-4241-B9E2-C6C1132A9B06}"/>
                </c:ext>
              </c:extLst>
            </c:dLbl>
            <c:dLbl>
              <c:idx val="1"/>
              <c:layout>
                <c:manualLayout>
                  <c:x val="-5.4474691175086756E-2"/>
                  <c:y val="-1.7521407607781696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F-A3E0-4241-B9E2-C6C1132A9B0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Analysis'!$P$250:$P$251</c:f>
              <c:numCache>
                <c:formatCode>0.00%</c:formatCode>
                <c:ptCount val="2"/>
                <c:pt idx="0">
                  <c:v>-2.563207046543135E-2</c:v>
                </c:pt>
                <c:pt idx="1">
                  <c:v>-2.563207046543135E-2</c:v>
                </c:pt>
              </c:numCache>
            </c:numRef>
          </c:xVal>
          <c:yVal>
            <c:numRef>
              <c:f>'Notes | Quant Analysis'!$Q$250:$Q$251</c:f>
              <c:numCache>
                <c:formatCode>General</c:formatCode>
                <c:ptCount val="2"/>
                <c:pt idx="0">
                  <c:v>0</c:v>
                </c:pt>
                <c:pt idx="1">
                  <c:v>15</c:v>
                </c:pt>
              </c:numCache>
            </c:numRef>
          </c:yVal>
          <c:smooth val="1"/>
          <c:extLst>
            <c:ext xmlns:c16="http://schemas.microsoft.com/office/drawing/2014/chart" uri="{C3380CC4-5D6E-409C-BE32-E72D297353CC}">
              <c16:uniqueId val="{00000005-A3E0-4241-B9E2-C6C1132A9B06}"/>
            </c:ext>
          </c:extLst>
        </c:ser>
        <c:ser>
          <c:idx val="5"/>
          <c:order val="5"/>
          <c:tx>
            <c:strRef>
              <c:f>'Notes | Quant Analysis'!$O$252</c:f>
              <c:strCache>
                <c:ptCount val="1"/>
                <c:pt idx="0">
                  <c:v>-1σ</c:v>
                </c:pt>
              </c:strCache>
            </c:strRef>
          </c:tx>
          <c:spPr>
            <a:ln w="19050" cap="rnd">
              <a:solidFill>
                <a:schemeClr val="accent6"/>
              </a:solidFill>
              <a:round/>
            </a:ln>
            <a:effectLst/>
          </c:spPr>
          <c:marker>
            <c:symbol val="none"/>
          </c:marker>
          <c:dPt>
            <c:idx val="1"/>
            <c:marker>
              <c:symbol val="none"/>
            </c:marker>
            <c:bubble3D val="0"/>
            <c:spPr>
              <a:ln w="19050" cap="rnd">
                <a:solidFill>
                  <a:srgbClr val="FFC000"/>
                </a:solidFill>
                <a:round/>
              </a:ln>
              <a:effectLst/>
            </c:spPr>
            <c:extLst>
              <c:ext xmlns:c16="http://schemas.microsoft.com/office/drawing/2014/chart" uri="{C3380CC4-5D6E-409C-BE32-E72D297353CC}">
                <c16:uniqueId val="{0000000A-A3E0-4241-B9E2-C6C1132A9B06}"/>
              </c:ext>
            </c:extLst>
          </c:dPt>
          <c:dLbls>
            <c:dLbl>
              <c:idx val="0"/>
              <c:delete val="1"/>
              <c:extLst>
                <c:ext xmlns:c15="http://schemas.microsoft.com/office/drawing/2012/chart" uri="{CE6537A1-D6FC-4f65-9D91-7224C49458BB}"/>
                <c:ext xmlns:c16="http://schemas.microsoft.com/office/drawing/2014/chart" uri="{C3380CC4-5D6E-409C-BE32-E72D297353CC}">
                  <c16:uniqueId val="{0000000D-A3E0-4241-B9E2-C6C1132A9B06}"/>
                </c:ext>
              </c:extLst>
            </c:dLbl>
            <c:dLbl>
              <c:idx val="1"/>
              <c:layout>
                <c:manualLayout>
                  <c:x val="-5.0089811212454635E-2"/>
                  <c:y val="-3.3954976781748435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0.11509357503063206"/>
                      <c:h val="7.8289117706440536E-2"/>
                    </c:manualLayout>
                  </c15:layout>
                </c:ext>
                <c:ext xmlns:c16="http://schemas.microsoft.com/office/drawing/2014/chart" uri="{C3380CC4-5D6E-409C-BE32-E72D297353CC}">
                  <c16:uniqueId val="{0000000A-A3E0-4241-B9E2-C6C1132A9B0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Analysis'!$P$252:$P$253</c:f>
              <c:numCache>
                <c:formatCode>0.00%</c:formatCode>
                <c:ptCount val="2"/>
                <c:pt idx="0">
                  <c:v>-1.2548104442433533E-2</c:v>
                </c:pt>
                <c:pt idx="1">
                  <c:v>-1.2548104442433533E-2</c:v>
                </c:pt>
              </c:numCache>
            </c:numRef>
          </c:xVal>
          <c:yVal>
            <c:numRef>
              <c:f>'Notes | Quant Analysis'!$Q$252:$Q$253</c:f>
              <c:numCache>
                <c:formatCode>General</c:formatCode>
                <c:ptCount val="2"/>
                <c:pt idx="0">
                  <c:v>0</c:v>
                </c:pt>
                <c:pt idx="1">
                  <c:v>25</c:v>
                </c:pt>
              </c:numCache>
            </c:numRef>
          </c:yVal>
          <c:smooth val="1"/>
          <c:extLst>
            <c:ext xmlns:c16="http://schemas.microsoft.com/office/drawing/2014/chart" uri="{C3380CC4-5D6E-409C-BE32-E72D297353CC}">
              <c16:uniqueId val="{00000006-A3E0-4241-B9E2-C6C1132A9B06}"/>
            </c:ext>
          </c:extLst>
        </c:ser>
        <c:ser>
          <c:idx val="6"/>
          <c:order val="6"/>
          <c:tx>
            <c:strRef>
              <c:f>'Notes | Quant Analysis'!$O$254</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B-A3E0-4241-B9E2-C6C1132A9B06}"/>
                </c:ext>
              </c:extLst>
            </c:dLbl>
            <c:dLbl>
              <c:idx val="1"/>
              <c:layout>
                <c:manualLayout>
                  <c:x val="-4.7609523624954297E-2"/>
                  <c:y val="-2.5485665253381789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0.11034552438795223"/>
                      <c:h val="0.11406682818493839"/>
                    </c:manualLayout>
                  </c15:layout>
                </c:ext>
                <c:ext xmlns:c16="http://schemas.microsoft.com/office/drawing/2014/chart" uri="{C3380CC4-5D6E-409C-BE32-E72D297353CC}">
                  <c16:uniqueId val="{0000000C-A3E0-4241-B9E2-C6C1132A9B0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Analysis'!$P$254:$P$255</c:f>
              <c:numCache>
                <c:formatCode>0.00%</c:formatCode>
                <c:ptCount val="2"/>
                <c:pt idx="0">
                  <c:v>1.3619827603562102E-2</c:v>
                </c:pt>
                <c:pt idx="1">
                  <c:v>1.3619827603562102E-2</c:v>
                </c:pt>
              </c:numCache>
            </c:numRef>
          </c:xVal>
          <c:yVal>
            <c:numRef>
              <c:f>'Notes | Quant Analysis'!$Q$254:$Q$255</c:f>
              <c:numCache>
                <c:formatCode>General</c:formatCode>
                <c:ptCount val="2"/>
                <c:pt idx="0">
                  <c:v>0</c:v>
                </c:pt>
                <c:pt idx="1">
                  <c:v>25</c:v>
                </c:pt>
              </c:numCache>
            </c:numRef>
          </c:yVal>
          <c:smooth val="1"/>
          <c:extLst>
            <c:ext xmlns:c16="http://schemas.microsoft.com/office/drawing/2014/chart" uri="{C3380CC4-5D6E-409C-BE32-E72D297353CC}">
              <c16:uniqueId val="{00000007-A3E0-4241-B9E2-C6C1132A9B06}"/>
            </c:ext>
          </c:extLst>
        </c:ser>
        <c:ser>
          <c:idx val="7"/>
          <c:order val="7"/>
          <c:tx>
            <c:strRef>
              <c:f>'Notes | Quant Analysis'!$O$256</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1-A3E0-4241-B9E2-C6C1132A9B06}"/>
                </c:ext>
              </c:extLst>
            </c:dLbl>
            <c:dLbl>
              <c:idx val="1"/>
              <c:layout>
                <c:manualLayout>
                  <c:x val="-3.6316469147014787E-3"/>
                  <c:y val="-2.1756022820868949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5-A3E0-4241-B9E2-C6C1132A9B0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Analysis'!$P$256:$P$257</c:f>
              <c:numCache>
                <c:formatCode>0.00%</c:formatCode>
                <c:ptCount val="2"/>
                <c:pt idx="0">
                  <c:v>2.6703793626559922E-2</c:v>
                </c:pt>
                <c:pt idx="1">
                  <c:v>2.6703793626559922E-2</c:v>
                </c:pt>
              </c:numCache>
            </c:numRef>
          </c:xVal>
          <c:yVal>
            <c:numRef>
              <c:f>'Notes | Quant Analysis'!$Q$256:$Q$257</c:f>
              <c:numCache>
                <c:formatCode>General</c:formatCode>
                <c:ptCount val="2"/>
                <c:pt idx="0">
                  <c:v>0</c:v>
                </c:pt>
                <c:pt idx="1">
                  <c:v>15</c:v>
                </c:pt>
              </c:numCache>
            </c:numRef>
          </c:yVal>
          <c:smooth val="1"/>
          <c:extLst>
            <c:ext xmlns:c16="http://schemas.microsoft.com/office/drawing/2014/chart" uri="{C3380CC4-5D6E-409C-BE32-E72D297353CC}">
              <c16:uniqueId val="{00000008-A3E0-4241-B9E2-C6C1132A9B06}"/>
            </c:ext>
          </c:extLst>
        </c:ser>
        <c:ser>
          <c:idx val="8"/>
          <c:order val="8"/>
          <c:tx>
            <c:strRef>
              <c:f>'Notes | Quant Analysis'!$O$258</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0-A3E0-4241-B9E2-C6C1132A9B06}"/>
                </c:ext>
              </c:extLst>
            </c:dLbl>
            <c:dLbl>
              <c:idx val="1"/>
              <c:layout>
                <c:manualLayout>
                  <c:x val="-3.9948116061716263E-2"/>
                  <c:y val="-6.7443670744693249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4-A3E0-4241-B9E2-C6C1132A9B0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Analysis'!$P$258:$P$259</c:f>
              <c:numCache>
                <c:formatCode>0.00%</c:formatCode>
                <c:ptCount val="2"/>
                <c:pt idx="0">
                  <c:v>3.978775964955774E-2</c:v>
                </c:pt>
                <c:pt idx="1">
                  <c:v>3.978775964955774E-2</c:v>
                </c:pt>
              </c:numCache>
            </c:numRef>
          </c:xVal>
          <c:yVal>
            <c:numRef>
              <c:f>'Notes | Quant Analysis'!$Q$258:$Q$259</c:f>
              <c:numCache>
                <c:formatCode>General</c:formatCode>
                <c:ptCount val="2"/>
                <c:pt idx="0">
                  <c:v>0</c:v>
                </c:pt>
                <c:pt idx="1">
                  <c:v>5</c:v>
                </c:pt>
              </c:numCache>
            </c:numRef>
          </c:yVal>
          <c:smooth val="1"/>
          <c:extLst>
            <c:ext xmlns:c16="http://schemas.microsoft.com/office/drawing/2014/chart" uri="{C3380CC4-5D6E-409C-BE32-E72D297353CC}">
              <c16:uniqueId val="{00000009-A3E0-4241-B9E2-C6C1132A9B06}"/>
            </c:ext>
          </c:extLst>
        </c:ser>
        <c:dLbls>
          <c:showLegendKey val="0"/>
          <c:showVal val="0"/>
          <c:showCatName val="0"/>
          <c:showSerName val="0"/>
          <c:showPercent val="0"/>
          <c:showBubbleSize val="0"/>
        </c:dLbls>
        <c:axId val="1953242783"/>
        <c:axId val="1953240383"/>
      </c:scatterChart>
      <c:valAx>
        <c:axId val="1953242783"/>
        <c:scaling>
          <c:orientation val="minMax"/>
          <c:max val="5.000000000000001E-2"/>
          <c:min val="-5.000000000000001E-2"/>
        </c:scaling>
        <c:delete val="0"/>
        <c:axPos val="b"/>
        <c:majorGridlines>
          <c:spPr>
            <a:ln w="9525" cap="flat" cmpd="sng" algn="ctr">
              <a:solidFill>
                <a:schemeClr val="tx1">
                  <a:lumMod val="15000"/>
                  <a:lumOff val="85000"/>
                </a:schemeClr>
              </a:solidFill>
              <a:round/>
            </a:ln>
            <a:effectLst/>
          </c:spPr>
        </c:majorGridlines>
        <c:numFmt formatCode="0.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53240383"/>
        <c:crosses val="autoZero"/>
        <c:crossBetween val="midCat"/>
        <c:majorUnit val="5.000000000000001E-3"/>
      </c:valAx>
      <c:valAx>
        <c:axId val="1953240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242783"/>
        <c:crossesAt val="-1000"/>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(MSFT) Revenue by Segment (in $ millions)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109587501048507E-2"/>
          <c:y val="0.19598504188989968"/>
          <c:w val="0.91646860416323306"/>
          <c:h val="0.71949660206393151"/>
        </c:manualLayout>
      </c:layout>
      <c:barChart>
        <c:barDir val="col"/>
        <c:grouping val="stacked"/>
        <c:varyColors val="0"/>
        <c:ser>
          <c:idx val="0"/>
          <c:order val="0"/>
          <c:tx>
            <c:strRef>
              <c:f>Model!$B$6</c:f>
              <c:strCache>
                <c:ptCount val="1"/>
                <c:pt idx="0">
                  <c:v>Gaming</c:v>
                </c:pt>
              </c:strCache>
            </c:strRef>
          </c:tx>
          <c:spPr>
            <a:solidFill>
              <a:srgbClr val="00B0F0"/>
            </a:solidFill>
            <a:ln>
              <a:noFill/>
            </a:ln>
            <a:effectLst/>
          </c:spPr>
          <c:invertIfNegative val="0"/>
          <c:val>
            <c:numRef>
              <c:f>Model!$BG$6:$BO$6</c:f>
              <c:numCache>
                <c:formatCode>General</c:formatCode>
                <c:ptCount val="9"/>
                <c:pt idx="0">
                  <c:v>3919</c:v>
                </c:pt>
                <c:pt idx="1">
                  <c:v>7111</c:v>
                </c:pt>
                <c:pt idx="2">
                  <c:v>5451</c:v>
                </c:pt>
                <c:pt idx="3">
                  <c:v>5022</c:v>
                </c:pt>
                <c:pt idx="4">
                  <c:v>5621</c:v>
                </c:pt>
                <c:pt idx="5">
                  <c:v>6581</c:v>
                </c:pt>
                <c:pt idx="6">
                  <c:v>5721</c:v>
                </c:pt>
                <c:pt idx="7">
                  <c:v>5532</c:v>
                </c:pt>
                <c:pt idx="8">
                  <c:v>5508</c:v>
                </c:pt>
              </c:numCache>
            </c:numRef>
          </c:val>
          <c:extLst>
            <c:ext xmlns:c16="http://schemas.microsoft.com/office/drawing/2014/chart" uri="{C3380CC4-5D6E-409C-BE32-E72D297353CC}">
              <c16:uniqueId val="{00000000-E0A8-4068-A010-6E63694CF0AD}"/>
            </c:ext>
          </c:extLst>
        </c:ser>
        <c:ser>
          <c:idx val="1"/>
          <c:order val="1"/>
          <c:tx>
            <c:strRef>
              <c:f>Model!$B$7</c:f>
              <c:strCache>
                <c:ptCount val="1"/>
                <c:pt idx="0">
                  <c:v>LinkedIn</c:v>
                </c:pt>
              </c:strCache>
            </c:strRef>
          </c:tx>
          <c:spPr>
            <a:solidFill>
              <a:schemeClr val="accent2"/>
            </a:solidFill>
            <a:ln>
              <a:noFill/>
            </a:ln>
            <a:effectLst/>
          </c:spPr>
          <c:invertIfNegative val="0"/>
          <c:val>
            <c:numRef>
              <c:f>Model!$BG$7:$BO$7</c:f>
              <c:numCache>
                <c:formatCode>General</c:formatCode>
                <c:ptCount val="9"/>
                <c:pt idx="0">
                  <c:v>4340</c:v>
                </c:pt>
                <c:pt idx="1">
                  <c:v>4195</c:v>
                </c:pt>
                <c:pt idx="2">
                  <c:v>4013</c:v>
                </c:pt>
                <c:pt idx="3">
                  <c:v>3824</c:v>
                </c:pt>
                <c:pt idx="4">
                  <c:v>4329</c:v>
                </c:pt>
                <c:pt idx="5">
                  <c:v>4587</c:v>
                </c:pt>
                <c:pt idx="6">
                  <c:v>4311</c:v>
                </c:pt>
                <c:pt idx="7">
                  <c:v>4585</c:v>
                </c:pt>
                <c:pt idx="8">
                  <c:v>4714</c:v>
                </c:pt>
              </c:numCache>
            </c:numRef>
          </c:val>
          <c:extLst>
            <c:ext xmlns:c16="http://schemas.microsoft.com/office/drawing/2014/chart" uri="{C3380CC4-5D6E-409C-BE32-E72D297353CC}">
              <c16:uniqueId val="{00000001-E0A8-4068-A010-6E63694CF0AD}"/>
            </c:ext>
          </c:extLst>
        </c:ser>
        <c:ser>
          <c:idx val="2"/>
          <c:order val="2"/>
          <c:tx>
            <c:strRef>
              <c:f>Model!$B$8</c:f>
              <c:strCache>
                <c:ptCount val="1"/>
                <c:pt idx="0">
                  <c:v>Windows &amp; Devices</c:v>
                </c:pt>
              </c:strCache>
            </c:strRef>
          </c:tx>
          <c:spPr>
            <a:solidFill>
              <a:schemeClr val="accent3"/>
            </a:solidFill>
            <a:ln>
              <a:noFill/>
            </a:ln>
            <a:effectLst/>
          </c:spPr>
          <c:invertIfNegative val="0"/>
          <c:val>
            <c:numRef>
              <c:f>Model!$BG$8:$BO$8</c:f>
              <c:numCache>
                <c:formatCode>General</c:formatCode>
                <c:ptCount val="9"/>
                <c:pt idx="0">
                  <c:v>3913</c:v>
                </c:pt>
                <c:pt idx="1">
                  <c:v>4363</c:v>
                </c:pt>
                <c:pt idx="2">
                  <c:v>4098</c:v>
                </c:pt>
                <c:pt idx="3">
                  <c:v>4652</c:v>
                </c:pt>
                <c:pt idx="4">
                  <c:v>4292</c:v>
                </c:pt>
                <c:pt idx="5">
                  <c:v>4512</c:v>
                </c:pt>
                <c:pt idx="6">
                  <c:v>4144</c:v>
                </c:pt>
                <c:pt idx="7">
                  <c:v>4366</c:v>
                </c:pt>
                <c:pt idx="8">
                  <c:v>4551</c:v>
                </c:pt>
              </c:numCache>
            </c:numRef>
          </c:val>
          <c:extLst>
            <c:ext xmlns:c16="http://schemas.microsoft.com/office/drawing/2014/chart" uri="{C3380CC4-5D6E-409C-BE32-E72D297353CC}">
              <c16:uniqueId val="{00000002-E0A8-4068-A010-6E63694CF0AD}"/>
            </c:ext>
          </c:extLst>
        </c:ser>
        <c:ser>
          <c:idx val="3"/>
          <c:order val="3"/>
          <c:tx>
            <c:strRef>
              <c:f>Model!$B$9</c:f>
              <c:strCache>
                <c:ptCount val="1"/>
                <c:pt idx="0">
                  <c:v>Search &amp; Ads</c:v>
                </c:pt>
              </c:strCache>
            </c:strRef>
          </c:tx>
          <c:spPr>
            <a:solidFill>
              <a:schemeClr val="accent4"/>
            </a:solidFill>
            <a:ln>
              <a:noFill/>
            </a:ln>
            <a:effectLst/>
          </c:spPr>
          <c:invertIfNegative val="0"/>
          <c:val>
            <c:numRef>
              <c:f>Model!$BG$9:$BO$9</c:f>
              <c:numCache>
                <c:formatCode>General</c:formatCode>
                <c:ptCount val="9"/>
                <c:pt idx="0">
                  <c:v>3018</c:v>
                </c:pt>
                <c:pt idx="1">
                  <c:v>3168</c:v>
                </c:pt>
                <c:pt idx="2">
                  <c:v>3055</c:v>
                </c:pt>
                <c:pt idx="3">
                  <c:v>3065</c:v>
                </c:pt>
                <c:pt idx="4">
                  <c:v>3225</c:v>
                </c:pt>
                <c:pt idx="5">
                  <c:v>3558</c:v>
                </c:pt>
                <c:pt idx="6">
                  <c:v>3504</c:v>
                </c:pt>
                <c:pt idx="7">
                  <c:v>3591</c:v>
                </c:pt>
                <c:pt idx="8">
                  <c:v>3697</c:v>
                </c:pt>
              </c:numCache>
            </c:numRef>
          </c:val>
          <c:extLst>
            <c:ext xmlns:c16="http://schemas.microsoft.com/office/drawing/2014/chart" uri="{C3380CC4-5D6E-409C-BE32-E72D297353CC}">
              <c16:uniqueId val="{00000003-E0A8-4068-A010-6E63694CF0AD}"/>
            </c:ext>
          </c:extLst>
        </c:ser>
        <c:ser>
          <c:idx val="4"/>
          <c:order val="4"/>
          <c:tx>
            <c:strRef>
              <c:f>Model!$B$10</c:f>
              <c:strCache>
                <c:ptCount val="1"/>
                <c:pt idx="0">
                  <c:v>Enterprise Partner Consulting </c:v>
                </c:pt>
              </c:strCache>
            </c:strRef>
          </c:tx>
          <c:spPr>
            <a:solidFill>
              <a:schemeClr val="accent5"/>
            </a:solidFill>
            <a:ln>
              <a:noFill/>
            </a:ln>
            <a:effectLst/>
          </c:spPr>
          <c:invertIfNegative val="0"/>
          <c:val>
            <c:numRef>
              <c:f>Model!$BG$10:$BO$10</c:f>
              <c:numCache>
                <c:formatCode>General</c:formatCode>
                <c:ptCount val="9"/>
                <c:pt idx="0">
                  <c:v>1944</c:v>
                </c:pt>
                <c:pt idx="1">
                  <c:v>1917</c:v>
                </c:pt>
                <c:pt idx="2">
                  <c:v>1861</c:v>
                </c:pt>
                <c:pt idx="3">
                  <c:v>1109</c:v>
                </c:pt>
                <c:pt idx="4">
                  <c:v>1928</c:v>
                </c:pt>
                <c:pt idx="5">
                  <c:v>1892</c:v>
                </c:pt>
                <c:pt idx="6">
                  <c:v>1946</c:v>
                </c:pt>
                <c:pt idx="7">
                  <c:v>2061</c:v>
                </c:pt>
                <c:pt idx="8">
                  <c:v>2204</c:v>
                </c:pt>
              </c:numCache>
            </c:numRef>
          </c:val>
          <c:extLst>
            <c:ext xmlns:c16="http://schemas.microsoft.com/office/drawing/2014/chart" uri="{C3380CC4-5D6E-409C-BE32-E72D297353CC}">
              <c16:uniqueId val="{00000004-E0A8-4068-A010-6E63694CF0AD}"/>
            </c:ext>
          </c:extLst>
        </c:ser>
        <c:ser>
          <c:idx val="5"/>
          <c:order val="5"/>
          <c:tx>
            <c:strRef>
              <c:f>Model!$B$11</c:f>
              <c:strCache>
                <c:ptCount val="1"/>
                <c:pt idx="0">
                  <c:v>Dynamic Products &amp; Cloud Services</c:v>
                </c:pt>
              </c:strCache>
            </c:strRef>
          </c:tx>
          <c:spPr>
            <a:solidFill>
              <a:schemeClr val="accent6"/>
            </a:solidFill>
            <a:ln>
              <a:noFill/>
            </a:ln>
            <a:effectLst/>
          </c:spPr>
          <c:invertIfNegative val="0"/>
          <c:val>
            <c:numRef>
              <c:f>Model!$BG$11:$BO$11</c:f>
              <c:numCache>
                <c:formatCode>General</c:formatCode>
                <c:ptCount val="9"/>
                <c:pt idx="0">
                  <c:v>1626</c:v>
                </c:pt>
                <c:pt idx="1">
                  <c:v>1659</c:v>
                </c:pt>
                <c:pt idx="2">
                  <c:v>1740</c:v>
                </c:pt>
                <c:pt idx="3">
                  <c:v>2569</c:v>
                </c:pt>
                <c:pt idx="4">
                  <c:v>1849</c:v>
                </c:pt>
                <c:pt idx="5">
                  <c:v>1913</c:v>
                </c:pt>
                <c:pt idx="6">
                  <c:v>1929</c:v>
                </c:pt>
                <c:pt idx="7">
                  <c:v>2069</c:v>
                </c:pt>
                <c:pt idx="8">
                  <c:v>2136</c:v>
                </c:pt>
              </c:numCache>
            </c:numRef>
          </c:val>
          <c:extLst>
            <c:ext xmlns:c16="http://schemas.microsoft.com/office/drawing/2014/chart" uri="{C3380CC4-5D6E-409C-BE32-E72D297353CC}">
              <c16:uniqueId val="{00000005-E0A8-4068-A010-6E63694CF0AD}"/>
            </c:ext>
          </c:extLst>
        </c:ser>
        <c:ser>
          <c:idx val="6"/>
          <c:order val="6"/>
          <c:tx>
            <c:strRef>
              <c:f>Model!$B$12</c:f>
              <c:strCache>
                <c:ptCount val="1"/>
                <c:pt idx="0">
                  <c:v>MS 365 Consumer Products &amp; Cloud Services</c:v>
                </c:pt>
              </c:strCache>
            </c:strRef>
          </c:tx>
          <c:spPr>
            <a:solidFill>
              <a:schemeClr val="accent1">
                <a:lumMod val="60000"/>
              </a:schemeClr>
            </a:solidFill>
            <a:ln>
              <a:noFill/>
            </a:ln>
            <a:effectLst/>
          </c:spPr>
          <c:invertIfNegative val="0"/>
          <c:val>
            <c:numRef>
              <c:f>Model!$BG$12:$BO$12</c:f>
              <c:numCache>
                <c:formatCode>General</c:formatCode>
                <c:ptCount val="9"/>
                <c:pt idx="0">
                  <c:v>1643</c:v>
                </c:pt>
                <c:pt idx="1">
                  <c:v>1679</c:v>
                </c:pt>
                <c:pt idx="2">
                  <c:v>1648</c:v>
                </c:pt>
                <c:pt idx="3">
                  <c:v>1678</c:v>
                </c:pt>
                <c:pt idx="4">
                  <c:v>1727</c:v>
                </c:pt>
                <c:pt idx="5">
                  <c:v>1821</c:v>
                </c:pt>
                <c:pt idx="6">
                  <c:v>1821</c:v>
                </c:pt>
                <c:pt idx="7">
                  <c:v>2035</c:v>
                </c:pt>
                <c:pt idx="8">
                  <c:v>2022</c:v>
                </c:pt>
              </c:numCache>
            </c:numRef>
          </c:val>
          <c:extLst>
            <c:ext xmlns:c16="http://schemas.microsoft.com/office/drawing/2014/chart" uri="{C3380CC4-5D6E-409C-BE32-E72D297353CC}">
              <c16:uniqueId val="{00000006-E0A8-4068-A010-6E63694CF0AD}"/>
            </c:ext>
          </c:extLst>
        </c:ser>
        <c:ser>
          <c:idx val="8"/>
          <c:order val="7"/>
          <c:tx>
            <c:strRef>
              <c:f>Model!$B$5</c:f>
              <c:strCache>
                <c:ptCount val="1"/>
                <c:pt idx="0">
                  <c:v>MS 365 Commercial Products &amp; Cloud Services</c:v>
                </c:pt>
              </c:strCache>
            </c:strRef>
          </c:tx>
          <c:spPr>
            <a:solidFill>
              <a:srgbClr val="DFDA00"/>
            </a:solidFill>
            <a:ln>
              <a:noFill/>
            </a:ln>
            <a:effectLst/>
          </c:spPr>
          <c:invertIfNegative val="0"/>
          <c:cat>
            <c:strRef>
              <c:f>Model!$BG$1:$BN$1</c:f>
              <c:strCache>
                <c:ptCount val="5"/>
                <c:pt idx="0">
                  <c:v>Q1 2024</c:v>
                </c:pt>
                <c:pt idx="4">
                  <c:v>Q1 2025</c:v>
                </c:pt>
              </c:strCache>
            </c:strRef>
          </c:cat>
          <c:val>
            <c:numRef>
              <c:f>Model!$BG$5:$BO$5</c:f>
              <c:numCache>
                <c:formatCode>General</c:formatCode>
                <c:ptCount val="9"/>
                <c:pt idx="0">
                  <c:v>18044</c:v>
                </c:pt>
                <c:pt idx="1">
                  <c:v>18321</c:v>
                </c:pt>
                <c:pt idx="2">
                  <c:v>19712</c:v>
                </c:pt>
                <c:pt idx="3">
                  <c:v>20892</c:v>
                </c:pt>
                <c:pt idx="4">
                  <c:v>20449</c:v>
                </c:pt>
                <c:pt idx="5">
                  <c:v>21117</c:v>
                </c:pt>
                <c:pt idx="6">
                  <c:v>21883</c:v>
                </c:pt>
                <c:pt idx="7">
                  <c:v>24318</c:v>
                </c:pt>
                <c:pt idx="8">
                  <c:v>23966</c:v>
                </c:pt>
              </c:numCache>
            </c:numRef>
          </c:val>
          <c:extLst>
            <c:ext xmlns:c16="http://schemas.microsoft.com/office/drawing/2014/chart" uri="{C3380CC4-5D6E-409C-BE32-E72D297353CC}">
              <c16:uniqueId val="{00000001-FA12-4837-BD2C-8612A171F7DC}"/>
            </c:ext>
          </c:extLst>
        </c:ser>
        <c:ser>
          <c:idx val="7"/>
          <c:order val="8"/>
          <c:tx>
            <c:strRef>
              <c:f>Model!$B$4</c:f>
              <c:strCache>
                <c:ptCount val="1"/>
                <c:pt idx="0">
                  <c:v>Server Products &amp; Cloud Services</c:v>
                </c:pt>
              </c:strCache>
            </c:strRef>
          </c:tx>
          <c:spPr>
            <a:solidFill>
              <a:srgbClr val="76B531"/>
            </a:solidFill>
            <a:ln>
              <a:noFill/>
            </a:ln>
            <a:effectLst/>
          </c:spPr>
          <c:invertIfNegative val="0"/>
          <c:cat>
            <c:strRef>
              <c:f>Model!$BG$1:$BN$1</c:f>
              <c:strCache>
                <c:ptCount val="5"/>
                <c:pt idx="0">
                  <c:v>Q1 2024</c:v>
                </c:pt>
                <c:pt idx="4">
                  <c:v>Q1 2025</c:v>
                </c:pt>
              </c:strCache>
            </c:strRef>
          </c:cat>
          <c:val>
            <c:numRef>
              <c:f>Model!$BG$4:$BO$4</c:f>
              <c:numCache>
                <c:formatCode>General</c:formatCode>
                <c:ptCount val="9"/>
                <c:pt idx="0">
                  <c:v>18062</c:v>
                </c:pt>
                <c:pt idx="1">
                  <c:v>19597</c:v>
                </c:pt>
                <c:pt idx="2">
                  <c:v>20266</c:v>
                </c:pt>
                <c:pt idx="3">
                  <c:v>21903</c:v>
                </c:pt>
                <c:pt idx="4">
                  <c:v>22155</c:v>
                </c:pt>
                <c:pt idx="5">
                  <c:v>23641</c:v>
                </c:pt>
                <c:pt idx="6">
                  <c:v>24761</c:v>
                </c:pt>
                <c:pt idx="7">
                  <c:v>27878</c:v>
                </c:pt>
                <c:pt idx="8">
                  <c:v>28872</c:v>
                </c:pt>
              </c:numCache>
            </c:numRef>
          </c:val>
          <c:extLst>
            <c:ext xmlns:c16="http://schemas.microsoft.com/office/drawing/2014/chart" uri="{C3380CC4-5D6E-409C-BE32-E72D297353CC}">
              <c16:uniqueId val="{00000000-FA12-4837-BD2C-8612A171F7DC}"/>
            </c:ext>
          </c:extLst>
        </c:ser>
        <c:dLbls>
          <c:showLegendKey val="0"/>
          <c:showVal val="0"/>
          <c:showCatName val="0"/>
          <c:showSerName val="0"/>
          <c:showPercent val="0"/>
          <c:showBubbleSize val="0"/>
        </c:dLbls>
        <c:gapWidth val="46"/>
        <c:overlap val="100"/>
        <c:axId val="826587039"/>
        <c:axId val="826586079"/>
      </c:barChart>
      <c:catAx>
        <c:axId val="82658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6079"/>
        <c:crossesAt val="-10000"/>
        <c:auto val="1"/>
        <c:lblAlgn val="ctr"/>
        <c:lblOffset val="100"/>
        <c:noMultiLvlLbl val="0"/>
      </c:catAx>
      <c:valAx>
        <c:axId val="826586079"/>
        <c:scaling>
          <c:orientation val="minMax"/>
          <c:max val="80000"/>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7039"/>
        <c:crosses val="autoZero"/>
        <c:crossBetween val="between"/>
      </c:valAx>
      <c:spPr>
        <a:noFill/>
        <a:ln>
          <a:noFill/>
        </a:ln>
        <a:effectLst/>
      </c:spPr>
    </c:plotArea>
    <c:legend>
      <c:legendPos val="t"/>
      <c:layout>
        <c:manualLayout>
          <c:xMode val="edge"/>
          <c:yMode val="edge"/>
          <c:x val="5.7839556035609169E-2"/>
          <c:y val="5.2058346839546202E-2"/>
          <c:w val="0.9421604439643908"/>
          <c:h val="0.12460986659954694"/>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(MSFT) Yearly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v>Income</c:v>
          </c:tx>
          <c:spPr>
            <a:solidFill>
              <a:srgbClr val="00B05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Model!$BZ$57:$CN$57</c:f>
              <c:numCache>
                <c:formatCode>General</c:formatCode>
                <c:ptCount val="15"/>
                <c:pt idx="0">
                  <c:v>18760</c:v>
                </c:pt>
                <c:pt idx="1">
                  <c:v>23152</c:v>
                </c:pt>
                <c:pt idx="2">
                  <c:v>16978</c:v>
                </c:pt>
                <c:pt idx="3">
                  <c:v>21863</c:v>
                </c:pt>
                <c:pt idx="4">
                  <c:v>22201</c:v>
                </c:pt>
                <c:pt idx="5">
                  <c:v>12193</c:v>
                </c:pt>
                <c:pt idx="6">
                  <c:v>20539</c:v>
                </c:pt>
                <c:pt idx="7">
                  <c:v>25489</c:v>
                </c:pt>
                <c:pt idx="8">
                  <c:v>22885</c:v>
                </c:pt>
                <c:pt idx="9">
                  <c:v>39240</c:v>
                </c:pt>
                <c:pt idx="10">
                  <c:v>44281</c:v>
                </c:pt>
                <c:pt idx="11">
                  <c:v>61271</c:v>
                </c:pt>
                <c:pt idx="12">
                  <c:v>72738</c:v>
                </c:pt>
                <c:pt idx="13">
                  <c:v>72361</c:v>
                </c:pt>
                <c:pt idx="14">
                  <c:v>88136</c:v>
                </c:pt>
              </c:numCache>
            </c:numRef>
          </c:val>
          <c:extLst>
            <c:ext xmlns:c16="http://schemas.microsoft.com/office/drawing/2014/chart" uri="{C3380CC4-5D6E-409C-BE32-E72D297353CC}">
              <c16:uniqueId val="{00000000-B29C-4A93-93AA-F75D393E5419}"/>
            </c:ext>
          </c:extLst>
        </c:ser>
        <c:ser>
          <c:idx val="2"/>
          <c:order val="2"/>
          <c:tx>
            <c:v>FCF</c:v>
          </c:tx>
          <c:spPr>
            <a:solidFill>
              <a:srgbClr val="FFC000"/>
            </a:solidFill>
            <a:ln>
              <a:solidFill>
                <a:srgbClr val="FFC000"/>
              </a:solidFill>
            </a:ln>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Model!$BZ$111:$CN$111</c:f>
              <c:numCache>
                <c:formatCode>General</c:formatCode>
                <c:ptCount val="15"/>
                <c:pt idx="0">
                  <c:v>22096</c:v>
                </c:pt>
                <c:pt idx="1">
                  <c:v>24639</c:v>
                </c:pt>
                <c:pt idx="2">
                  <c:v>29321</c:v>
                </c:pt>
                <c:pt idx="3">
                  <c:v>24576</c:v>
                </c:pt>
                <c:pt idx="4">
                  <c:v>27017</c:v>
                </c:pt>
                <c:pt idx="5">
                  <c:v>23724</c:v>
                </c:pt>
                <c:pt idx="6">
                  <c:v>24982</c:v>
                </c:pt>
                <c:pt idx="7">
                  <c:v>31378</c:v>
                </c:pt>
                <c:pt idx="8">
                  <c:v>32252</c:v>
                </c:pt>
                <c:pt idx="9">
                  <c:v>45468</c:v>
                </c:pt>
                <c:pt idx="10">
                  <c:v>45234</c:v>
                </c:pt>
                <c:pt idx="11">
                  <c:v>73723</c:v>
                </c:pt>
                <c:pt idx="12">
                  <c:v>65149</c:v>
                </c:pt>
                <c:pt idx="13">
                  <c:v>59475</c:v>
                </c:pt>
                <c:pt idx="14">
                  <c:v>74071</c:v>
                </c:pt>
              </c:numCache>
            </c:numRef>
          </c:val>
          <c:extLst>
            <c:ext xmlns:c16="http://schemas.microsoft.com/office/drawing/2014/chart" uri="{C3380CC4-5D6E-409C-BE32-E72D297353CC}">
              <c16:uniqueId val="{00000001-B29C-4A93-93AA-F75D393E5419}"/>
            </c:ext>
          </c:extLst>
        </c:ser>
        <c:dLbls>
          <c:showLegendKey val="0"/>
          <c:showVal val="0"/>
          <c:showCatName val="0"/>
          <c:showSerName val="0"/>
          <c:showPercent val="0"/>
          <c:showBubbleSize val="0"/>
        </c:dLbls>
        <c:gapWidth val="57"/>
        <c:overlap val="-2"/>
        <c:axId val="1243124976"/>
        <c:axId val="1243123056"/>
      </c:barChart>
      <c:lineChart>
        <c:grouping val="standard"/>
        <c:varyColors val="0"/>
        <c:ser>
          <c:idx val="0"/>
          <c:order val="0"/>
          <c:tx>
            <c:v>Revenues</c:v>
          </c:tx>
          <c:spPr>
            <a:ln w="25400">
              <a:solidFill>
                <a:srgbClr val="00B0F0"/>
              </a:solidFill>
            </a:ln>
          </c:spPr>
          <c:marker>
            <c:symbol val="none"/>
          </c:marker>
          <c:cat>
            <c:numRef>
              <c:f>Model!$BZ$3:$CN$3</c:f>
              <c:numCache>
                <c:formatCode>General</c:formatCod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numCache>
            </c:numRef>
          </c:cat>
          <c:val>
            <c:numRef>
              <c:f>Model!$BZ$46:$CN$46</c:f>
              <c:numCache>
                <c:formatCode>General</c:formatCode>
                <c:ptCount val="15"/>
                <c:pt idx="0">
                  <c:v>62484</c:v>
                </c:pt>
                <c:pt idx="1">
                  <c:v>69943</c:v>
                </c:pt>
                <c:pt idx="2">
                  <c:v>73723</c:v>
                </c:pt>
                <c:pt idx="3">
                  <c:v>77849</c:v>
                </c:pt>
                <c:pt idx="4">
                  <c:v>86833</c:v>
                </c:pt>
                <c:pt idx="5">
                  <c:v>93580</c:v>
                </c:pt>
                <c:pt idx="6">
                  <c:v>91154</c:v>
                </c:pt>
                <c:pt idx="7">
                  <c:v>96571</c:v>
                </c:pt>
                <c:pt idx="8">
                  <c:v>110360</c:v>
                </c:pt>
                <c:pt idx="9">
                  <c:v>125843</c:v>
                </c:pt>
                <c:pt idx="10">
                  <c:v>143015</c:v>
                </c:pt>
                <c:pt idx="11">
                  <c:v>168088</c:v>
                </c:pt>
                <c:pt idx="12">
                  <c:v>198270</c:v>
                </c:pt>
                <c:pt idx="13">
                  <c:v>211915</c:v>
                </c:pt>
                <c:pt idx="14">
                  <c:v>245122</c:v>
                </c:pt>
              </c:numCache>
            </c:numRef>
          </c:val>
          <c:smooth val="0"/>
          <c:extLst>
            <c:ext xmlns:c16="http://schemas.microsoft.com/office/drawing/2014/chart" uri="{C3380CC4-5D6E-409C-BE32-E72D297353CC}">
              <c16:uniqueId val="{00000002-B29C-4A93-93AA-F75D393E5419}"/>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(MSFT) Quarterly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v>Income</c:v>
          </c:tx>
          <c:spPr>
            <a:solidFill>
              <a:srgbClr val="00B050"/>
            </a:solidFill>
            <a:ln>
              <a:solidFill>
                <a:srgbClr val="00B050"/>
              </a:solidFill>
            </a:ln>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Model!$AM$57:$BN$57</c:f>
              <c:numCache>
                <c:formatCode>General</c:formatCode>
                <c:ptCount val="28"/>
                <c:pt idx="0">
                  <c:v>8824</c:v>
                </c:pt>
                <c:pt idx="1">
                  <c:v>8420</c:v>
                </c:pt>
                <c:pt idx="2">
                  <c:v>8809</c:v>
                </c:pt>
                <c:pt idx="3">
                  <c:v>13187</c:v>
                </c:pt>
                <c:pt idx="4">
                  <c:v>10678</c:v>
                </c:pt>
                <c:pt idx="5">
                  <c:v>11649</c:v>
                </c:pt>
                <c:pt idx="6">
                  <c:v>10752</c:v>
                </c:pt>
                <c:pt idx="7">
                  <c:v>11202</c:v>
                </c:pt>
                <c:pt idx="8">
                  <c:v>13893</c:v>
                </c:pt>
                <c:pt idx="9">
                  <c:v>15463</c:v>
                </c:pt>
                <c:pt idx="10">
                  <c:v>15457</c:v>
                </c:pt>
                <c:pt idx="11">
                  <c:v>16458</c:v>
                </c:pt>
                <c:pt idx="12">
                  <c:v>20505</c:v>
                </c:pt>
                <c:pt idx="13">
                  <c:v>18755</c:v>
                </c:pt>
                <c:pt idx="14">
                  <c:v>16728</c:v>
                </c:pt>
                <c:pt idx="15">
                  <c:v>16750</c:v>
                </c:pt>
                <c:pt idx="16">
                  <c:v>17556</c:v>
                </c:pt>
                <c:pt idx="17">
                  <c:v>16425</c:v>
                </c:pt>
                <c:pt idx="18">
                  <c:v>18299</c:v>
                </c:pt>
                <c:pt idx="19">
                  <c:v>20081</c:v>
                </c:pt>
                <c:pt idx="20">
                  <c:v>22291</c:v>
                </c:pt>
                <c:pt idx="21">
                  <c:v>21870</c:v>
                </c:pt>
                <c:pt idx="22">
                  <c:v>21939</c:v>
                </c:pt>
                <c:pt idx="23">
                  <c:v>22036</c:v>
                </c:pt>
                <c:pt idx="24">
                  <c:v>24667</c:v>
                </c:pt>
                <c:pt idx="25">
                  <c:v>24108</c:v>
                </c:pt>
                <c:pt idx="26">
                  <c:v>25824</c:v>
                </c:pt>
                <c:pt idx="27">
                  <c:v>27233</c:v>
                </c:pt>
              </c:numCache>
            </c:numRef>
          </c:val>
          <c:extLst>
            <c:ext xmlns:c16="http://schemas.microsoft.com/office/drawing/2014/chart" uri="{C3380CC4-5D6E-409C-BE32-E72D297353CC}">
              <c16:uniqueId val="{00000000-B456-4E17-AD15-7C995C4C6D63}"/>
            </c:ext>
          </c:extLst>
        </c:ser>
        <c:ser>
          <c:idx val="2"/>
          <c:order val="2"/>
          <c:tx>
            <c:v>FCF</c:v>
          </c:tx>
          <c:spPr>
            <a:solidFill>
              <a:srgbClr val="FFC000"/>
            </a:solidFill>
            <a:ln>
              <a:noFill/>
            </a:ln>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Model!$AM$111:$BN$111</c:f>
              <c:numCache>
                <c:formatCode>General</c:formatCode>
                <c:ptCount val="28"/>
                <c:pt idx="0">
                  <c:v>10055</c:v>
                </c:pt>
                <c:pt idx="1">
                  <c:v>12401</c:v>
                </c:pt>
                <c:pt idx="2">
                  <c:v>10955</c:v>
                </c:pt>
                <c:pt idx="3">
                  <c:v>12057</c:v>
                </c:pt>
                <c:pt idx="4">
                  <c:v>10433</c:v>
                </c:pt>
                <c:pt idx="5">
                  <c:v>7135</c:v>
                </c:pt>
                <c:pt idx="6">
                  <c:v>13737</c:v>
                </c:pt>
                <c:pt idx="7">
                  <c:v>13929</c:v>
                </c:pt>
                <c:pt idx="8">
                  <c:v>14428</c:v>
                </c:pt>
                <c:pt idx="9">
                  <c:v>8342</c:v>
                </c:pt>
                <c:pt idx="10">
                  <c:v>34695</c:v>
                </c:pt>
                <c:pt idx="11">
                  <c:v>16258</c:v>
                </c:pt>
                <c:pt idx="12">
                  <c:v>18730</c:v>
                </c:pt>
                <c:pt idx="13">
                  <c:v>8615</c:v>
                </c:pt>
                <c:pt idx="14">
                  <c:v>20046</c:v>
                </c:pt>
                <c:pt idx="15">
                  <c:v>17758</c:v>
                </c:pt>
                <c:pt idx="16">
                  <c:v>16915</c:v>
                </c:pt>
                <c:pt idx="17">
                  <c:v>4899</c:v>
                </c:pt>
                <c:pt idx="18">
                  <c:v>17834</c:v>
                </c:pt>
                <c:pt idx="19">
                  <c:v>19827</c:v>
                </c:pt>
                <c:pt idx="20">
                  <c:v>20666</c:v>
                </c:pt>
                <c:pt idx="21">
                  <c:v>9118</c:v>
                </c:pt>
                <c:pt idx="22">
                  <c:v>20965</c:v>
                </c:pt>
                <c:pt idx="23">
                  <c:v>23322</c:v>
                </c:pt>
                <c:pt idx="24">
                  <c:v>19257</c:v>
                </c:pt>
                <c:pt idx="25">
                  <c:v>6487</c:v>
                </c:pt>
                <c:pt idx="26">
                  <c:v>20299</c:v>
                </c:pt>
                <c:pt idx="27">
                  <c:v>25548</c:v>
                </c:pt>
              </c:numCache>
            </c:numRef>
          </c:val>
          <c:extLst>
            <c:ext xmlns:c16="http://schemas.microsoft.com/office/drawing/2014/chart" uri="{C3380CC4-5D6E-409C-BE32-E72D297353CC}">
              <c16:uniqueId val="{00000001-B456-4E17-AD15-7C995C4C6D63}"/>
            </c:ext>
          </c:extLst>
        </c:ser>
        <c:dLbls>
          <c:showLegendKey val="0"/>
          <c:showVal val="0"/>
          <c:showCatName val="0"/>
          <c:showSerName val="0"/>
          <c:showPercent val="0"/>
          <c:showBubbleSize val="0"/>
        </c:dLbls>
        <c:gapWidth val="57"/>
        <c:overlap val="1"/>
        <c:axId val="1243124976"/>
        <c:axId val="1243123056"/>
      </c:barChart>
      <c:lineChart>
        <c:grouping val="standard"/>
        <c:varyColors val="0"/>
        <c:ser>
          <c:idx val="0"/>
          <c:order val="0"/>
          <c:tx>
            <c:v>Revenues</c:v>
          </c:tx>
          <c:spPr>
            <a:ln>
              <a:solidFill>
                <a:srgbClr val="00B0F0"/>
              </a:solidFill>
            </a:ln>
          </c:spPr>
          <c:marker>
            <c:symbol val="none"/>
          </c:marker>
          <c:cat>
            <c:strRef>
              <c:f>Model!$AM$1:$BM$1</c:f>
              <c:strCache>
                <c:ptCount val="25"/>
                <c:pt idx="0">
                  <c:v>Q1 2019</c:v>
                </c:pt>
                <c:pt idx="4">
                  <c:v>Q1 2020</c:v>
                </c:pt>
                <c:pt idx="8">
                  <c:v>Q1 2021</c:v>
                </c:pt>
                <c:pt idx="12">
                  <c:v>Q1 2022</c:v>
                </c:pt>
                <c:pt idx="16">
                  <c:v>Q1 2023</c:v>
                </c:pt>
                <c:pt idx="20">
                  <c:v>Q1 2024</c:v>
                </c:pt>
                <c:pt idx="24">
                  <c:v>Q1 2025</c:v>
                </c:pt>
              </c:strCache>
            </c:strRef>
          </c:cat>
          <c:val>
            <c:numRef>
              <c:f>Model!$AM$46:$BN$46</c:f>
              <c:numCache>
                <c:formatCode>General</c:formatCode>
                <c:ptCount val="28"/>
                <c:pt idx="0">
                  <c:v>29084</c:v>
                </c:pt>
                <c:pt idx="1">
                  <c:v>32471</c:v>
                </c:pt>
                <c:pt idx="2">
                  <c:v>30571</c:v>
                </c:pt>
                <c:pt idx="3">
                  <c:v>33717</c:v>
                </c:pt>
                <c:pt idx="4">
                  <c:v>33055</c:v>
                </c:pt>
                <c:pt idx="5">
                  <c:v>36906</c:v>
                </c:pt>
                <c:pt idx="6">
                  <c:v>35021</c:v>
                </c:pt>
                <c:pt idx="7">
                  <c:v>38033</c:v>
                </c:pt>
                <c:pt idx="8">
                  <c:v>37154</c:v>
                </c:pt>
                <c:pt idx="9">
                  <c:v>43076</c:v>
                </c:pt>
                <c:pt idx="10">
                  <c:v>41706</c:v>
                </c:pt>
                <c:pt idx="11">
                  <c:v>46152</c:v>
                </c:pt>
                <c:pt idx="12">
                  <c:v>45317</c:v>
                </c:pt>
                <c:pt idx="13">
                  <c:v>51728</c:v>
                </c:pt>
                <c:pt idx="14">
                  <c:v>49360</c:v>
                </c:pt>
                <c:pt idx="15">
                  <c:v>51865</c:v>
                </c:pt>
                <c:pt idx="16">
                  <c:v>50122</c:v>
                </c:pt>
                <c:pt idx="17">
                  <c:v>52747</c:v>
                </c:pt>
                <c:pt idx="18">
                  <c:v>52857</c:v>
                </c:pt>
                <c:pt idx="19">
                  <c:v>56189</c:v>
                </c:pt>
                <c:pt idx="20">
                  <c:v>56517</c:v>
                </c:pt>
                <c:pt idx="21">
                  <c:v>62020</c:v>
                </c:pt>
                <c:pt idx="22">
                  <c:v>61858</c:v>
                </c:pt>
                <c:pt idx="23">
                  <c:v>64727</c:v>
                </c:pt>
                <c:pt idx="24">
                  <c:v>65585</c:v>
                </c:pt>
                <c:pt idx="25">
                  <c:v>69632</c:v>
                </c:pt>
                <c:pt idx="26">
                  <c:v>70066</c:v>
                </c:pt>
                <c:pt idx="27">
                  <c:v>76441</c:v>
                </c:pt>
              </c:numCache>
            </c:numRef>
          </c:val>
          <c:smooth val="0"/>
          <c:extLst>
            <c:ext xmlns:c16="http://schemas.microsoft.com/office/drawing/2014/chart" uri="{C3380CC4-5D6E-409C-BE32-E72D297353CC}">
              <c16:uniqueId val="{00000002-B456-4E17-AD15-7C995C4C6D63}"/>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3.png"/><Relationship Id="rId7" Type="http://schemas.openxmlformats.org/officeDocument/2006/relationships/chart" Target="../charts/chart4.xml"/><Relationship Id="rId12" Type="http://schemas.openxmlformats.org/officeDocument/2006/relationships/image" Target="../media/image9.png"/><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3.xml"/><Relationship Id="rId11" Type="http://schemas.openxmlformats.org/officeDocument/2006/relationships/image" Target="../media/image8.png"/><Relationship Id="rId5" Type="http://schemas.openxmlformats.org/officeDocument/2006/relationships/chart" Target="../charts/chart2.xml"/><Relationship Id="rId10" Type="http://schemas.openxmlformats.org/officeDocument/2006/relationships/image" Target="../media/image7.png"/><Relationship Id="rId4" Type="http://schemas.openxmlformats.org/officeDocument/2006/relationships/image" Target="../media/image4.png"/><Relationship Id="rId9"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5</xdr:col>
      <xdr:colOff>11206</xdr:colOff>
      <xdr:row>2</xdr:row>
      <xdr:rowOff>11205</xdr:rowOff>
    </xdr:from>
    <xdr:to>
      <xdr:col>9</xdr:col>
      <xdr:colOff>0</xdr:colOff>
      <xdr:row>9</xdr:row>
      <xdr:rowOff>190499</xdr:rowOff>
    </xdr:to>
    <xdr:pic>
      <xdr:nvPicPr>
        <xdr:cNvPr id="2" name="Picture 1">
          <a:extLst>
            <a:ext uri="{FF2B5EF4-FFF2-40B4-BE49-F238E27FC236}">
              <a16:creationId xmlns:a16="http://schemas.microsoft.com/office/drawing/2014/main" id="{53543762-A5F3-1700-1E37-5769770E4C42}"/>
            </a:ext>
          </a:extLst>
        </xdr:cNvPr>
        <xdr:cNvPicPr>
          <a:picLocks noChangeAspect="1"/>
        </xdr:cNvPicPr>
      </xdr:nvPicPr>
      <xdr:blipFill>
        <a:blip xmlns:r="http://schemas.openxmlformats.org/officeDocument/2006/relationships" r:embed="rId1"/>
        <a:stretch>
          <a:fillRect/>
        </a:stretch>
      </xdr:blipFill>
      <xdr:spPr>
        <a:xfrm>
          <a:off x="3171265" y="380999"/>
          <a:ext cx="2409264" cy="143435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67</xdr:col>
      <xdr:colOff>2402</xdr:colOff>
      <xdr:row>0</xdr:row>
      <xdr:rowOff>0</xdr:rowOff>
    </xdr:from>
    <xdr:to>
      <xdr:col>67</xdr:col>
      <xdr:colOff>2402</xdr:colOff>
      <xdr:row>132</xdr:row>
      <xdr:rowOff>152400</xdr:rowOff>
    </xdr:to>
    <xdr:cxnSp macro="">
      <xdr:nvCxnSpPr>
        <xdr:cNvPr id="2" name="Straight Connector 1">
          <a:extLst>
            <a:ext uri="{FF2B5EF4-FFF2-40B4-BE49-F238E27FC236}">
              <a16:creationId xmlns:a16="http://schemas.microsoft.com/office/drawing/2014/main" id="{1D82459E-58B3-42DB-9684-9D533E1F9712}"/>
            </a:ext>
          </a:extLst>
        </xdr:cNvPr>
        <xdr:cNvCxnSpPr/>
      </xdr:nvCxnSpPr>
      <xdr:spPr>
        <a:xfrm>
          <a:off x="42371843" y="0"/>
          <a:ext cx="0" cy="2430107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93</xdr:col>
      <xdr:colOff>1</xdr:colOff>
      <xdr:row>0</xdr:row>
      <xdr:rowOff>0</xdr:rowOff>
    </xdr:from>
    <xdr:to>
      <xdr:col>93</xdr:col>
      <xdr:colOff>1</xdr:colOff>
      <xdr:row>131</xdr:row>
      <xdr:rowOff>76200</xdr:rowOff>
    </xdr:to>
    <xdr:cxnSp macro="">
      <xdr:nvCxnSpPr>
        <xdr:cNvPr id="3" name="Straight Connector 2">
          <a:extLst>
            <a:ext uri="{FF2B5EF4-FFF2-40B4-BE49-F238E27FC236}">
              <a16:creationId xmlns:a16="http://schemas.microsoft.com/office/drawing/2014/main" id="{1001E5F4-1B9E-487D-83F1-747CF5EB542B}"/>
            </a:ext>
          </a:extLst>
        </xdr:cNvPr>
        <xdr:cNvCxnSpPr/>
      </xdr:nvCxnSpPr>
      <xdr:spPr>
        <a:xfrm>
          <a:off x="59312736" y="0"/>
          <a:ext cx="0" cy="2550234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195</xdr:row>
      <xdr:rowOff>0</xdr:rowOff>
    </xdr:from>
    <xdr:to>
      <xdr:col>23</xdr:col>
      <xdr:colOff>0</xdr:colOff>
      <xdr:row>223</xdr:row>
      <xdr:rowOff>0</xdr:rowOff>
    </xdr:to>
    <xdr:graphicFrame macro="">
      <xdr:nvGraphicFramePr>
        <xdr:cNvPr id="4" name="Chart 3">
          <a:extLst>
            <a:ext uri="{FF2B5EF4-FFF2-40B4-BE49-F238E27FC236}">
              <a16:creationId xmlns:a16="http://schemas.microsoft.com/office/drawing/2014/main" id="{DD74BBAA-4B76-40FC-A8E5-A62056E8DD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9524</xdr:colOff>
      <xdr:row>2</xdr:row>
      <xdr:rowOff>9525</xdr:rowOff>
    </xdr:from>
    <xdr:to>
      <xdr:col>18</xdr:col>
      <xdr:colOff>5573</xdr:colOff>
      <xdr:row>28</xdr:row>
      <xdr:rowOff>0</xdr:rowOff>
    </xdr:to>
    <xdr:pic>
      <xdr:nvPicPr>
        <xdr:cNvPr id="5" name="Picture 4">
          <a:extLst>
            <a:ext uri="{FF2B5EF4-FFF2-40B4-BE49-F238E27FC236}">
              <a16:creationId xmlns:a16="http://schemas.microsoft.com/office/drawing/2014/main" id="{69063DA2-F18A-5166-97BC-F222542AA3B5}"/>
            </a:ext>
          </a:extLst>
        </xdr:cNvPr>
        <xdr:cNvPicPr>
          <a:picLocks noChangeAspect="1"/>
        </xdr:cNvPicPr>
      </xdr:nvPicPr>
      <xdr:blipFill>
        <a:blip xmlns:r="http://schemas.openxmlformats.org/officeDocument/2006/relationships" r:embed="rId2"/>
        <a:stretch>
          <a:fillRect/>
        </a:stretch>
      </xdr:blipFill>
      <xdr:spPr>
        <a:xfrm>
          <a:off x="4499881" y="376918"/>
          <a:ext cx="6112059" cy="4589689"/>
        </a:xfrm>
        <a:prstGeom prst="rect">
          <a:avLst/>
        </a:prstGeom>
      </xdr:spPr>
    </xdr:pic>
    <xdr:clientData/>
  </xdr:twoCellAnchor>
  <xdr:twoCellAnchor editAs="oneCell">
    <xdr:from>
      <xdr:col>8</xdr:col>
      <xdr:colOff>9524</xdr:colOff>
      <xdr:row>33</xdr:row>
      <xdr:rowOff>9525</xdr:rowOff>
    </xdr:from>
    <xdr:to>
      <xdr:col>18</xdr:col>
      <xdr:colOff>4482</xdr:colOff>
      <xdr:row>62</xdr:row>
      <xdr:rowOff>38028</xdr:rowOff>
    </xdr:to>
    <xdr:pic>
      <xdr:nvPicPr>
        <xdr:cNvPr id="6" name="Picture 5">
          <a:extLst>
            <a:ext uri="{FF2B5EF4-FFF2-40B4-BE49-F238E27FC236}">
              <a16:creationId xmlns:a16="http://schemas.microsoft.com/office/drawing/2014/main" id="{9EAEC60C-B791-813F-BFB3-E98AED60EBC9}"/>
            </a:ext>
          </a:extLst>
        </xdr:cNvPr>
        <xdr:cNvPicPr>
          <a:picLocks noChangeAspect="1"/>
        </xdr:cNvPicPr>
      </xdr:nvPicPr>
      <xdr:blipFill>
        <a:blip xmlns:r="http://schemas.openxmlformats.org/officeDocument/2006/relationships" r:embed="rId3"/>
        <a:stretch>
          <a:fillRect/>
        </a:stretch>
      </xdr:blipFill>
      <xdr:spPr>
        <a:xfrm>
          <a:off x="4486274" y="6362700"/>
          <a:ext cx="6086475" cy="5257108"/>
        </a:xfrm>
        <a:prstGeom prst="rect">
          <a:avLst/>
        </a:prstGeom>
      </xdr:spPr>
    </xdr:pic>
    <xdr:clientData/>
  </xdr:twoCellAnchor>
  <xdr:twoCellAnchor editAs="oneCell">
    <xdr:from>
      <xdr:col>18</xdr:col>
      <xdr:colOff>0</xdr:colOff>
      <xdr:row>2</xdr:row>
      <xdr:rowOff>13607</xdr:rowOff>
    </xdr:from>
    <xdr:to>
      <xdr:col>27</xdr:col>
      <xdr:colOff>0</xdr:colOff>
      <xdr:row>28</xdr:row>
      <xdr:rowOff>1</xdr:rowOff>
    </xdr:to>
    <xdr:pic>
      <xdr:nvPicPr>
        <xdr:cNvPr id="9" name="Picture 8">
          <a:extLst>
            <a:ext uri="{FF2B5EF4-FFF2-40B4-BE49-F238E27FC236}">
              <a16:creationId xmlns:a16="http://schemas.microsoft.com/office/drawing/2014/main" id="{E25AE78E-C10B-4B4B-825F-71CED3363360}"/>
            </a:ext>
          </a:extLst>
        </xdr:cNvPr>
        <xdr:cNvPicPr>
          <a:picLocks noChangeAspect="1"/>
        </xdr:cNvPicPr>
      </xdr:nvPicPr>
      <xdr:blipFill>
        <a:blip xmlns:r="http://schemas.openxmlformats.org/officeDocument/2006/relationships" r:embed="rId4"/>
        <a:stretch>
          <a:fillRect/>
        </a:stretch>
      </xdr:blipFill>
      <xdr:spPr>
        <a:xfrm>
          <a:off x="10613571" y="381000"/>
          <a:ext cx="5510893" cy="4585608"/>
        </a:xfrm>
        <a:prstGeom prst="rect">
          <a:avLst/>
        </a:prstGeom>
      </xdr:spPr>
    </xdr:pic>
    <xdr:clientData/>
  </xdr:twoCellAnchor>
  <xdr:twoCellAnchor>
    <xdr:from>
      <xdr:col>8</xdr:col>
      <xdr:colOff>0</xdr:colOff>
      <xdr:row>64</xdr:row>
      <xdr:rowOff>0</xdr:rowOff>
    </xdr:from>
    <xdr:to>
      <xdr:col>23</xdr:col>
      <xdr:colOff>0</xdr:colOff>
      <xdr:row>97</xdr:row>
      <xdr:rowOff>4082</xdr:rowOff>
    </xdr:to>
    <xdr:graphicFrame macro="">
      <xdr:nvGraphicFramePr>
        <xdr:cNvPr id="2" name="Chart 1">
          <a:extLst>
            <a:ext uri="{FF2B5EF4-FFF2-40B4-BE49-F238E27FC236}">
              <a16:creationId xmlns:a16="http://schemas.microsoft.com/office/drawing/2014/main" id="{F5AD8E8C-3AB6-4E8A-9461-49D8129B4F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0</xdr:colOff>
      <xdr:row>162</xdr:row>
      <xdr:rowOff>0</xdr:rowOff>
    </xdr:from>
    <xdr:to>
      <xdr:col>23</xdr:col>
      <xdr:colOff>0</xdr:colOff>
      <xdr:row>190</xdr:row>
      <xdr:rowOff>0</xdr:rowOff>
    </xdr:to>
    <xdr:graphicFrame macro="">
      <xdr:nvGraphicFramePr>
        <xdr:cNvPr id="8" name="Chart 7">
          <a:extLst>
            <a:ext uri="{FF2B5EF4-FFF2-40B4-BE49-F238E27FC236}">
              <a16:creationId xmlns:a16="http://schemas.microsoft.com/office/drawing/2014/main" id="{F16F1F9D-4702-4C43-8767-C6E2F720F4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0</xdr:colOff>
      <xdr:row>108</xdr:row>
      <xdr:rowOff>0</xdr:rowOff>
    </xdr:from>
    <xdr:to>
      <xdr:col>23</xdr:col>
      <xdr:colOff>0</xdr:colOff>
      <xdr:row>136</xdr:row>
      <xdr:rowOff>0</xdr:rowOff>
    </xdr:to>
    <xdr:graphicFrame macro="">
      <xdr:nvGraphicFramePr>
        <xdr:cNvPr id="10" name="Chart 9">
          <a:extLst>
            <a:ext uri="{FF2B5EF4-FFF2-40B4-BE49-F238E27FC236}">
              <a16:creationId xmlns:a16="http://schemas.microsoft.com/office/drawing/2014/main" id="{9F71FEF4-5E11-4A2C-A4F2-796E36E472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34</xdr:col>
      <xdr:colOff>13607</xdr:colOff>
      <xdr:row>345</xdr:row>
      <xdr:rowOff>0</xdr:rowOff>
    </xdr:from>
    <xdr:to>
      <xdr:col>50</xdr:col>
      <xdr:colOff>13607</xdr:colOff>
      <xdr:row>384</xdr:row>
      <xdr:rowOff>1</xdr:rowOff>
    </xdr:to>
    <xdr:pic>
      <xdr:nvPicPr>
        <xdr:cNvPr id="13" name="Picture 12">
          <a:extLst>
            <a:ext uri="{FF2B5EF4-FFF2-40B4-BE49-F238E27FC236}">
              <a16:creationId xmlns:a16="http://schemas.microsoft.com/office/drawing/2014/main" id="{91062F94-5012-2139-9ACA-7BB8A4E92199}"/>
            </a:ext>
          </a:extLst>
        </xdr:cNvPr>
        <xdr:cNvPicPr>
          <a:picLocks noChangeAspect="1"/>
        </xdr:cNvPicPr>
      </xdr:nvPicPr>
      <xdr:blipFill>
        <a:blip xmlns:r="http://schemas.openxmlformats.org/officeDocument/2006/relationships" r:embed="rId8"/>
        <a:stretch>
          <a:fillRect/>
        </a:stretch>
      </xdr:blipFill>
      <xdr:spPr>
        <a:xfrm>
          <a:off x="15716250" y="58333821"/>
          <a:ext cx="9797143" cy="6898822"/>
        </a:xfrm>
        <a:prstGeom prst="rect">
          <a:avLst/>
        </a:prstGeom>
      </xdr:spPr>
    </xdr:pic>
    <xdr:clientData/>
  </xdr:twoCellAnchor>
  <xdr:twoCellAnchor editAs="oneCell">
    <xdr:from>
      <xdr:col>34</xdr:col>
      <xdr:colOff>11206</xdr:colOff>
      <xdr:row>33</xdr:row>
      <xdr:rowOff>11206</xdr:rowOff>
    </xdr:from>
    <xdr:to>
      <xdr:col>45</xdr:col>
      <xdr:colOff>11206</xdr:colOff>
      <xdr:row>60</xdr:row>
      <xdr:rowOff>11206</xdr:rowOff>
    </xdr:to>
    <xdr:pic>
      <xdr:nvPicPr>
        <xdr:cNvPr id="3" name="Picture 2">
          <a:extLst>
            <a:ext uri="{FF2B5EF4-FFF2-40B4-BE49-F238E27FC236}">
              <a16:creationId xmlns:a16="http://schemas.microsoft.com/office/drawing/2014/main" id="{8DA536D2-EF4F-ABA9-6C54-1072B1421ABE}"/>
            </a:ext>
          </a:extLst>
        </xdr:cNvPr>
        <xdr:cNvPicPr>
          <a:picLocks noChangeAspect="1"/>
        </xdr:cNvPicPr>
      </xdr:nvPicPr>
      <xdr:blipFill>
        <a:blip xmlns:r="http://schemas.openxmlformats.org/officeDocument/2006/relationships" r:embed="rId9"/>
        <a:stretch>
          <a:fillRect/>
        </a:stretch>
      </xdr:blipFill>
      <xdr:spPr>
        <a:xfrm>
          <a:off x="15542559" y="5961530"/>
          <a:ext cx="6656294" cy="4840941"/>
        </a:xfrm>
        <a:prstGeom prst="rect">
          <a:avLst/>
        </a:prstGeom>
      </xdr:spPr>
    </xdr:pic>
    <xdr:clientData/>
  </xdr:twoCellAnchor>
  <xdr:twoCellAnchor editAs="oneCell">
    <xdr:from>
      <xdr:col>34</xdr:col>
      <xdr:colOff>11206</xdr:colOff>
      <xdr:row>87</xdr:row>
      <xdr:rowOff>11205</xdr:rowOff>
    </xdr:from>
    <xdr:to>
      <xdr:col>45</xdr:col>
      <xdr:colOff>4968</xdr:colOff>
      <xdr:row>114</xdr:row>
      <xdr:rowOff>0</xdr:rowOff>
    </xdr:to>
    <xdr:pic>
      <xdr:nvPicPr>
        <xdr:cNvPr id="7" name="Picture 6">
          <a:extLst>
            <a:ext uri="{FF2B5EF4-FFF2-40B4-BE49-F238E27FC236}">
              <a16:creationId xmlns:a16="http://schemas.microsoft.com/office/drawing/2014/main" id="{00E2E096-A773-6F93-A671-A2D33853EC3E}"/>
            </a:ext>
          </a:extLst>
        </xdr:cNvPr>
        <xdr:cNvPicPr>
          <a:picLocks noChangeAspect="1"/>
        </xdr:cNvPicPr>
      </xdr:nvPicPr>
      <xdr:blipFill>
        <a:blip xmlns:r="http://schemas.openxmlformats.org/officeDocument/2006/relationships" r:embed="rId10"/>
        <a:stretch>
          <a:fillRect/>
        </a:stretch>
      </xdr:blipFill>
      <xdr:spPr>
        <a:xfrm>
          <a:off x="15542559" y="17458764"/>
          <a:ext cx="6650056" cy="4852148"/>
        </a:xfrm>
        <a:prstGeom prst="rect">
          <a:avLst/>
        </a:prstGeom>
      </xdr:spPr>
    </xdr:pic>
    <xdr:clientData/>
  </xdr:twoCellAnchor>
  <xdr:twoCellAnchor editAs="oneCell">
    <xdr:from>
      <xdr:col>45</xdr:col>
      <xdr:colOff>0</xdr:colOff>
      <xdr:row>87</xdr:row>
      <xdr:rowOff>11206</xdr:rowOff>
    </xdr:from>
    <xdr:to>
      <xdr:col>56</xdr:col>
      <xdr:colOff>11206</xdr:colOff>
      <xdr:row>114</xdr:row>
      <xdr:rowOff>0</xdr:rowOff>
    </xdr:to>
    <xdr:pic>
      <xdr:nvPicPr>
        <xdr:cNvPr id="11" name="Picture 10">
          <a:extLst>
            <a:ext uri="{FF2B5EF4-FFF2-40B4-BE49-F238E27FC236}">
              <a16:creationId xmlns:a16="http://schemas.microsoft.com/office/drawing/2014/main" id="{E40BA792-B0A4-6A94-15FC-09FF42D5384B}"/>
            </a:ext>
          </a:extLst>
        </xdr:cNvPr>
        <xdr:cNvPicPr>
          <a:picLocks noChangeAspect="1"/>
        </xdr:cNvPicPr>
      </xdr:nvPicPr>
      <xdr:blipFill>
        <a:blip xmlns:r="http://schemas.openxmlformats.org/officeDocument/2006/relationships" r:embed="rId11"/>
        <a:stretch>
          <a:fillRect/>
        </a:stretch>
      </xdr:blipFill>
      <xdr:spPr>
        <a:xfrm>
          <a:off x="22187647" y="17458765"/>
          <a:ext cx="6667500" cy="4852147"/>
        </a:xfrm>
        <a:prstGeom prst="rect">
          <a:avLst/>
        </a:prstGeom>
      </xdr:spPr>
    </xdr:pic>
    <xdr:clientData/>
  </xdr:twoCellAnchor>
  <xdr:twoCellAnchor editAs="oneCell">
    <xdr:from>
      <xdr:col>56</xdr:col>
      <xdr:colOff>0</xdr:colOff>
      <xdr:row>87</xdr:row>
      <xdr:rowOff>11206</xdr:rowOff>
    </xdr:from>
    <xdr:to>
      <xdr:col>67</xdr:col>
      <xdr:colOff>0</xdr:colOff>
      <xdr:row>114</xdr:row>
      <xdr:rowOff>1</xdr:rowOff>
    </xdr:to>
    <xdr:pic>
      <xdr:nvPicPr>
        <xdr:cNvPr id="12" name="Picture 11">
          <a:extLst>
            <a:ext uri="{FF2B5EF4-FFF2-40B4-BE49-F238E27FC236}">
              <a16:creationId xmlns:a16="http://schemas.microsoft.com/office/drawing/2014/main" id="{AFCA56F4-88DB-E8A6-D88F-2FB1B93BEAA6}"/>
            </a:ext>
          </a:extLst>
        </xdr:cNvPr>
        <xdr:cNvPicPr>
          <a:picLocks noChangeAspect="1"/>
        </xdr:cNvPicPr>
      </xdr:nvPicPr>
      <xdr:blipFill>
        <a:blip xmlns:r="http://schemas.openxmlformats.org/officeDocument/2006/relationships" r:embed="rId12"/>
        <a:stretch>
          <a:fillRect/>
        </a:stretch>
      </xdr:blipFill>
      <xdr:spPr>
        <a:xfrm>
          <a:off x="28843941" y="17458765"/>
          <a:ext cx="6656294" cy="485214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xdr:colOff>
      <xdr:row>35</xdr:row>
      <xdr:rowOff>104775</xdr:rowOff>
    </xdr:from>
    <xdr:to>
      <xdr:col>7</xdr:col>
      <xdr:colOff>666750</xdr:colOff>
      <xdr:row>35</xdr:row>
      <xdr:rowOff>104775</xdr:rowOff>
    </xdr:to>
    <xdr:cxnSp macro="">
      <xdr:nvCxnSpPr>
        <xdr:cNvPr id="2" name="Straight Connector 1">
          <a:extLst>
            <a:ext uri="{FF2B5EF4-FFF2-40B4-BE49-F238E27FC236}">
              <a16:creationId xmlns:a16="http://schemas.microsoft.com/office/drawing/2014/main" id="{8A3F43DF-09CB-4CE7-90B9-52082F48E7AC}"/>
            </a:ext>
          </a:extLst>
        </xdr:cNvPr>
        <xdr:cNvCxnSpPr/>
      </xdr:nvCxnSpPr>
      <xdr:spPr>
        <a:xfrm>
          <a:off x="238125" y="6772275"/>
          <a:ext cx="12858750"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52</xdr:row>
      <xdr:rowOff>123825</xdr:rowOff>
    </xdr:from>
    <xdr:to>
      <xdr:col>7</xdr:col>
      <xdr:colOff>657225</xdr:colOff>
      <xdr:row>52</xdr:row>
      <xdr:rowOff>123825</xdr:rowOff>
    </xdr:to>
    <xdr:cxnSp macro="">
      <xdr:nvCxnSpPr>
        <xdr:cNvPr id="4" name="Straight Connector 3">
          <a:extLst>
            <a:ext uri="{FF2B5EF4-FFF2-40B4-BE49-F238E27FC236}">
              <a16:creationId xmlns:a16="http://schemas.microsoft.com/office/drawing/2014/main" id="{3E1D26BD-2074-4419-BEF2-D1D0ED931D0F}"/>
            </a:ext>
          </a:extLst>
        </xdr:cNvPr>
        <xdr:cNvCxnSpPr/>
      </xdr:nvCxnSpPr>
      <xdr:spPr>
        <a:xfrm>
          <a:off x="228600" y="10029825"/>
          <a:ext cx="12858750"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53</xdr:row>
      <xdr:rowOff>123825</xdr:rowOff>
    </xdr:from>
    <xdr:to>
      <xdr:col>7</xdr:col>
      <xdr:colOff>657225</xdr:colOff>
      <xdr:row>53</xdr:row>
      <xdr:rowOff>123825</xdr:rowOff>
    </xdr:to>
    <xdr:cxnSp macro="">
      <xdr:nvCxnSpPr>
        <xdr:cNvPr id="5" name="Straight Connector 4">
          <a:extLst>
            <a:ext uri="{FF2B5EF4-FFF2-40B4-BE49-F238E27FC236}">
              <a16:creationId xmlns:a16="http://schemas.microsoft.com/office/drawing/2014/main" id="{54EE1EE0-9292-4E77-87BF-060ED8CA14C7}"/>
            </a:ext>
          </a:extLst>
        </xdr:cNvPr>
        <xdr:cNvCxnSpPr/>
      </xdr:nvCxnSpPr>
      <xdr:spPr>
        <a:xfrm>
          <a:off x="228600" y="10220325"/>
          <a:ext cx="12858750"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54</xdr:row>
      <xdr:rowOff>123825</xdr:rowOff>
    </xdr:from>
    <xdr:to>
      <xdr:col>7</xdr:col>
      <xdr:colOff>657225</xdr:colOff>
      <xdr:row>54</xdr:row>
      <xdr:rowOff>123825</xdr:rowOff>
    </xdr:to>
    <xdr:cxnSp macro="">
      <xdr:nvCxnSpPr>
        <xdr:cNvPr id="6" name="Straight Connector 5">
          <a:extLst>
            <a:ext uri="{FF2B5EF4-FFF2-40B4-BE49-F238E27FC236}">
              <a16:creationId xmlns:a16="http://schemas.microsoft.com/office/drawing/2014/main" id="{1F60E311-B437-45F5-8E5E-546BEAE20125}"/>
            </a:ext>
          </a:extLst>
        </xdr:cNvPr>
        <xdr:cNvCxnSpPr/>
      </xdr:nvCxnSpPr>
      <xdr:spPr>
        <a:xfrm>
          <a:off x="228600" y="10410825"/>
          <a:ext cx="12858750"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59</xdr:row>
      <xdr:rowOff>123825</xdr:rowOff>
    </xdr:from>
    <xdr:to>
      <xdr:col>7</xdr:col>
      <xdr:colOff>657225</xdr:colOff>
      <xdr:row>59</xdr:row>
      <xdr:rowOff>123825</xdr:rowOff>
    </xdr:to>
    <xdr:cxnSp macro="">
      <xdr:nvCxnSpPr>
        <xdr:cNvPr id="7" name="Straight Connector 6">
          <a:extLst>
            <a:ext uri="{FF2B5EF4-FFF2-40B4-BE49-F238E27FC236}">
              <a16:creationId xmlns:a16="http://schemas.microsoft.com/office/drawing/2014/main" id="{421896B6-0646-4300-A139-15158D04DBFA}"/>
            </a:ext>
          </a:extLst>
        </xdr:cNvPr>
        <xdr:cNvCxnSpPr/>
      </xdr:nvCxnSpPr>
      <xdr:spPr>
        <a:xfrm>
          <a:off x="228600" y="11363325"/>
          <a:ext cx="12858750"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65</xdr:row>
      <xdr:rowOff>123825</xdr:rowOff>
    </xdr:from>
    <xdr:to>
      <xdr:col>7</xdr:col>
      <xdr:colOff>657225</xdr:colOff>
      <xdr:row>65</xdr:row>
      <xdr:rowOff>123825</xdr:rowOff>
    </xdr:to>
    <xdr:cxnSp macro="">
      <xdr:nvCxnSpPr>
        <xdr:cNvPr id="8" name="Straight Connector 7">
          <a:extLst>
            <a:ext uri="{FF2B5EF4-FFF2-40B4-BE49-F238E27FC236}">
              <a16:creationId xmlns:a16="http://schemas.microsoft.com/office/drawing/2014/main" id="{7F84D3F4-CE31-4E55-B99F-EB2EF853756D}"/>
            </a:ext>
          </a:extLst>
        </xdr:cNvPr>
        <xdr:cNvCxnSpPr/>
      </xdr:nvCxnSpPr>
      <xdr:spPr>
        <a:xfrm>
          <a:off x="228600" y="12506325"/>
          <a:ext cx="12858750"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66</xdr:row>
      <xdr:rowOff>114300</xdr:rowOff>
    </xdr:from>
    <xdr:to>
      <xdr:col>7</xdr:col>
      <xdr:colOff>657225</xdr:colOff>
      <xdr:row>66</xdr:row>
      <xdr:rowOff>114300</xdr:rowOff>
    </xdr:to>
    <xdr:cxnSp macro="">
      <xdr:nvCxnSpPr>
        <xdr:cNvPr id="9" name="Straight Connector 8">
          <a:extLst>
            <a:ext uri="{FF2B5EF4-FFF2-40B4-BE49-F238E27FC236}">
              <a16:creationId xmlns:a16="http://schemas.microsoft.com/office/drawing/2014/main" id="{E1FFC8A6-5C61-4174-A08A-EA70A5A7EA37}"/>
            </a:ext>
          </a:extLst>
        </xdr:cNvPr>
        <xdr:cNvCxnSpPr/>
      </xdr:nvCxnSpPr>
      <xdr:spPr>
        <a:xfrm>
          <a:off x="228600" y="12687300"/>
          <a:ext cx="12858750"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69</xdr:row>
      <xdr:rowOff>114300</xdr:rowOff>
    </xdr:from>
    <xdr:to>
      <xdr:col>7</xdr:col>
      <xdr:colOff>657225</xdr:colOff>
      <xdr:row>69</xdr:row>
      <xdr:rowOff>114300</xdr:rowOff>
    </xdr:to>
    <xdr:cxnSp macro="">
      <xdr:nvCxnSpPr>
        <xdr:cNvPr id="10" name="Straight Connector 9">
          <a:extLst>
            <a:ext uri="{FF2B5EF4-FFF2-40B4-BE49-F238E27FC236}">
              <a16:creationId xmlns:a16="http://schemas.microsoft.com/office/drawing/2014/main" id="{AF2F6DFB-6512-4A2A-9F32-3543D0BF4A46}"/>
            </a:ext>
          </a:extLst>
        </xdr:cNvPr>
        <xdr:cNvCxnSpPr/>
      </xdr:nvCxnSpPr>
      <xdr:spPr>
        <a:xfrm>
          <a:off x="228600" y="13258800"/>
          <a:ext cx="12858750"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92</xdr:row>
      <xdr:rowOff>123825</xdr:rowOff>
    </xdr:from>
    <xdr:to>
      <xdr:col>7</xdr:col>
      <xdr:colOff>657225</xdr:colOff>
      <xdr:row>92</xdr:row>
      <xdr:rowOff>123825</xdr:rowOff>
    </xdr:to>
    <xdr:cxnSp macro="">
      <xdr:nvCxnSpPr>
        <xdr:cNvPr id="12" name="Straight Connector 11">
          <a:extLst>
            <a:ext uri="{FF2B5EF4-FFF2-40B4-BE49-F238E27FC236}">
              <a16:creationId xmlns:a16="http://schemas.microsoft.com/office/drawing/2014/main" id="{2A947980-C6D0-4A9F-955A-3218C861C6A0}"/>
            </a:ext>
          </a:extLst>
        </xdr:cNvPr>
        <xdr:cNvCxnSpPr/>
      </xdr:nvCxnSpPr>
      <xdr:spPr>
        <a:xfrm>
          <a:off x="228600" y="17649825"/>
          <a:ext cx="12858750"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97</xdr:row>
      <xdr:rowOff>104775</xdr:rowOff>
    </xdr:from>
    <xdr:to>
      <xdr:col>7</xdr:col>
      <xdr:colOff>657225</xdr:colOff>
      <xdr:row>97</xdr:row>
      <xdr:rowOff>104775</xdr:rowOff>
    </xdr:to>
    <xdr:cxnSp macro="">
      <xdr:nvCxnSpPr>
        <xdr:cNvPr id="13" name="Straight Connector 12">
          <a:extLst>
            <a:ext uri="{FF2B5EF4-FFF2-40B4-BE49-F238E27FC236}">
              <a16:creationId xmlns:a16="http://schemas.microsoft.com/office/drawing/2014/main" id="{8B7714DC-9E65-40B7-B01B-33C8B28A6E32}"/>
            </a:ext>
          </a:extLst>
        </xdr:cNvPr>
        <xdr:cNvCxnSpPr/>
      </xdr:nvCxnSpPr>
      <xdr:spPr>
        <a:xfrm>
          <a:off x="228600" y="18583275"/>
          <a:ext cx="12858750"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100</xdr:row>
      <xdr:rowOff>123825</xdr:rowOff>
    </xdr:from>
    <xdr:to>
      <xdr:col>7</xdr:col>
      <xdr:colOff>657225</xdr:colOff>
      <xdr:row>100</xdr:row>
      <xdr:rowOff>123825</xdr:rowOff>
    </xdr:to>
    <xdr:cxnSp macro="">
      <xdr:nvCxnSpPr>
        <xdr:cNvPr id="14" name="Straight Connector 13">
          <a:extLst>
            <a:ext uri="{FF2B5EF4-FFF2-40B4-BE49-F238E27FC236}">
              <a16:creationId xmlns:a16="http://schemas.microsoft.com/office/drawing/2014/main" id="{FB669D3A-6678-4538-BCEE-2D4E2B093B2F}"/>
            </a:ext>
          </a:extLst>
        </xdr:cNvPr>
        <xdr:cNvCxnSpPr/>
      </xdr:nvCxnSpPr>
      <xdr:spPr>
        <a:xfrm>
          <a:off x="228600" y="19173825"/>
          <a:ext cx="12858750"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102</xdr:row>
      <xdr:rowOff>123825</xdr:rowOff>
    </xdr:from>
    <xdr:to>
      <xdr:col>7</xdr:col>
      <xdr:colOff>657225</xdr:colOff>
      <xdr:row>102</xdr:row>
      <xdr:rowOff>123825</xdr:rowOff>
    </xdr:to>
    <xdr:cxnSp macro="">
      <xdr:nvCxnSpPr>
        <xdr:cNvPr id="15" name="Straight Connector 14">
          <a:extLst>
            <a:ext uri="{FF2B5EF4-FFF2-40B4-BE49-F238E27FC236}">
              <a16:creationId xmlns:a16="http://schemas.microsoft.com/office/drawing/2014/main" id="{67577F63-BF90-4D85-971E-61773C5B104C}"/>
            </a:ext>
          </a:extLst>
        </xdr:cNvPr>
        <xdr:cNvCxnSpPr/>
      </xdr:nvCxnSpPr>
      <xdr:spPr>
        <a:xfrm>
          <a:off x="228600" y="19554825"/>
          <a:ext cx="12858750"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111</xdr:row>
      <xdr:rowOff>123825</xdr:rowOff>
    </xdr:from>
    <xdr:to>
      <xdr:col>7</xdr:col>
      <xdr:colOff>657225</xdr:colOff>
      <xdr:row>111</xdr:row>
      <xdr:rowOff>123825</xdr:rowOff>
    </xdr:to>
    <xdr:cxnSp macro="">
      <xdr:nvCxnSpPr>
        <xdr:cNvPr id="16" name="Straight Connector 15">
          <a:extLst>
            <a:ext uri="{FF2B5EF4-FFF2-40B4-BE49-F238E27FC236}">
              <a16:creationId xmlns:a16="http://schemas.microsoft.com/office/drawing/2014/main" id="{6D15D0D0-C954-4291-8335-52095F7276CA}"/>
            </a:ext>
          </a:extLst>
        </xdr:cNvPr>
        <xdr:cNvCxnSpPr/>
      </xdr:nvCxnSpPr>
      <xdr:spPr>
        <a:xfrm>
          <a:off x="228600" y="21269325"/>
          <a:ext cx="12858750"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113</xdr:row>
      <xdr:rowOff>114300</xdr:rowOff>
    </xdr:from>
    <xdr:to>
      <xdr:col>7</xdr:col>
      <xdr:colOff>657225</xdr:colOff>
      <xdr:row>113</xdr:row>
      <xdr:rowOff>114300</xdr:rowOff>
    </xdr:to>
    <xdr:cxnSp macro="">
      <xdr:nvCxnSpPr>
        <xdr:cNvPr id="17" name="Straight Connector 16">
          <a:extLst>
            <a:ext uri="{FF2B5EF4-FFF2-40B4-BE49-F238E27FC236}">
              <a16:creationId xmlns:a16="http://schemas.microsoft.com/office/drawing/2014/main" id="{E1287628-40DE-4EBE-8FE3-30BBDEB2961D}"/>
            </a:ext>
          </a:extLst>
        </xdr:cNvPr>
        <xdr:cNvCxnSpPr/>
      </xdr:nvCxnSpPr>
      <xdr:spPr>
        <a:xfrm>
          <a:off x="228600" y="21640800"/>
          <a:ext cx="12858750"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118</xdr:row>
      <xdr:rowOff>114300</xdr:rowOff>
    </xdr:from>
    <xdr:to>
      <xdr:col>7</xdr:col>
      <xdr:colOff>657225</xdr:colOff>
      <xdr:row>118</xdr:row>
      <xdr:rowOff>114300</xdr:rowOff>
    </xdr:to>
    <xdr:cxnSp macro="">
      <xdr:nvCxnSpPr>
        <xdr:cNvPr id="18" name="Straight Connector 17">
          <a:extLst>
            <a:ext uri="{FF2B5EF4-FFF2-40B4-BE49-F238E27FC236}">
              <a16:creationId xmlns:a16="http://schemas.microsoft.com/office/drawing/2014/main" id="{84E4FF1D-B2BB-48B1-9EF2-2A5F984354CE}"/>
            </a:ext>
          </a:extLst>
        </xdr:cNvPr>
        <xdr:cNvCxnSpPr/>
      </xdr:nvCxnSpPr>
      <xdr:spPr>
        <a:xfrm>
          <a:off x="228600" y="22593300"/>
          <a:ext cx="12858750"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119</xdr:row>
      <xdr:rowOff>114300</xdr:rowOff>
    </xdr:from>
    <xdr:to>
      <xdr:col>7</xdr:col>
      <xdr:colOff>657225</xdr:colOff>
      <xdr:row>119</xdr:row>
      <xdr:rowOff>114300</xdr:rowOff>
    </xdr:to>
    <xdr:cxnSp macro="">
      <xdr:nvCxnSpPr>
        <xdr:cNvPr id="19" name="Straight Connector 18">
          <a:extLst>
            <a:ext uri="{FF2B5EF4-FFF2-40B4-BE49-F238E27FC236}">
              <a16:creationId xmlns:a16="http://schemas.microsoft.com/office/drawing/2014/main" id="{4E2BF8EE-6F15-4202-B9C6-01EAF4FC6D8F}"/>
            </a:ext>
          </a:extLst>
        </xdr:cNvPr>
        <xdr:cNvCxnSpPr/>
      </xdr:nvCxnSpPr>
      <xdr:spPr>
        <a:xfrm>
          <a:off x="228600" y="22783800"/>
          <a:ext cx="12858750"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28575</xdr:colOff>
      <xdr:row>120</xdr:row>
      <xdr:rowOff>114300</xdr:rowOff>
    </xdr:from>
    <xdr:to>
      <xdr:col>7</xdr:col>
      <xdr:colOff>685800</xdr:colOff>
      <xdr:row>120</xdr:row>
      <xdr:rowOff>114300</xdr:rowOff>
    </xdr:to>
    <xdr:cxnSp macro="">
      <xdr:nvCxnSpPr>
        <xdr:cNvPr id="20" name="Straight Connector 19">
          <a:extLst>
            <a:ext uri="{FF2B5EF4-FFF2-40B4-BE49-F238E27FC236}">
              <a16:creationId xmlns:a16="http://schemas.microsoft.com/office/drawing/2014/main" id="{4B4C222E-BF9F-4D4E-8BDF-A695160075A3}"/>
            </a:ext>
          </a:extLst>
        </xdr:cNvPr>
        <xdr:cNvCxnSpPr/>
      </xdr:nvCxnSpPr>
      <xdr:spPr>
        <a:xfrm>
          <a:off x="257175" y="22974300"/>
          <a:ext cx="12858750"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19050</xdr:colOff>
      <xdr:row>121</xdr:row>
      <xdr:rowOff>123825</xdr:rowOff>
    </xdr:from>
    <xdr:to>
      <xdr:col>7</xdr:col>
      <xdr:colOff>676275</xdr:colOff>
      <xdr:row>121</xdr:row>
      <xdr:rowOff>123825</xdr:rowOff>
    </xdr:to>
    <xdr:cxnSp macro="">
      <xdr:nvCxnSpPr>
        <xdr:cNvPr id="21" name="Straight Connector 20">
          <a:extLst>
            <a:ext uri="{FF2B5EF4-FFF2-40B4-BE49-F238E27FC236}">
              <a16:creationId xmlns:a16="http://schemas.microsoft.com/office/drawing/2014/main" id="{CAFF3865-A588-492B-8B24-EFDA0B2950F3}"/>
            </a:ext>
          </a:extLst>
        </xdr:cNvPr>
        <xdr:cNvCxnSpPr/>
      </xdr:nvCxnSpPr>
      <xdr:spPr>
        <a:xfrm>
          <a:off x="247650" y="23174325"/>
          <a:ext cx="12858750"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19050</xdr:colOff>
      <xdr:row>123</xdr:row>
      <xdr:rowOff>114300</xdr:rowOff>
    </xdr:from>
    <xdr:to>
      <xdr:col>7</xdr:col>
      <xdr:colOff>676275</xdr:colOff>
      <xdr:row>123</xdr:row>
      <xdr:rowOff>114300</xdr:rowOff>
    </xdr:to>
    <xdr:cxnSp macro="">
      <xdr:nvCxnSpPr>
        <xdr:cNvPr id="22" name="Straight Connector 21">
          <a:extLst>
            <a:ext uri="{FF2B5EF4-FFF2-40B4-BE49-F238E27FC236}">
              <a16:creationId xmlns:a16="http://schemas.microsoft.com/office/drawing/2014/main" id="{E4E9FE43-DA14-4B07-9382-E2FD1BCB15E1}"/>
            </a:ext>
          </a:extLst>
        </xdr:cNvPr>
        <xdr:cNvCxnSpPr/>
      </xdr:nvCxnSpPr>
      <xdr:spPr>
        <a:xfrm>
          <a:off x="247650" y="23545800"/>
          <a:ext cx="12858750"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125</xdr:row>
      <xdr:rowOff>114300</xdr:rowOff>
    </xdr:from>
    <xdr:to>
      <xdr:col>7</xdr:col>
      <xdr:colOff>666750</xdr:colOff>
      <xdr:row>125</xdr:row>
      <xdr:rowOff>114300</xdr:rowOff>
    </xdr:to>
    <xdr:cxnSp macro="">
      <xdr:nvCxnSpPr>
        <xdr:cNvPr id="23" name="Straight Connector 22">
          <a:extLst>
            <a:ext uri="{FF2B5EF4-FFF2-40B4-BE49-F238E27FC236}">
              <a16:creationId xmlns:a16="http://schemas.microsoft.com/office/drawing/2014/main" id="{936F2261-8CD9-4DF0-B8DE-9142B5D40E49}"/>
            </a:ext>
          </a:extLst>
        </xdr:cNvPr>
        <xdr:cNvCxnSpPr/>
      </xdr:nvCxnSpPr>
      <xdr:spPr>
        <a:xfrm>
          <a:off x="238125" y="23926800"/>
          <a:ext cx="12858750"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127</xdr:row>
      <xdr:rowOff>114300</xdr:rowOff>
    </xdr:from>
    <xdr:to>
      <xdr:col>7</xdr:col>
      <xdr:colOff>657225</xdr:colOff>
      <xdr:row>127</xdr:row>
      <xdr:rowOff>114300</xdr:rowOff>
    </xdr:to>
    <xdr:cxnSp macro="">
      <xdr:nvCxnSpPr>
        <xdr:cNvPr id="24" name="Straight Connector 23">
          <a:extLst>
            <a:ext uri="{FF2B5EF4-FFF2-40B4-BE49-F238E27FC236}">
              <a16:creationId xmlns:a16="http://schemas.microsoft.com/office/drawing/2014/main" id="{2754A6F9-CAB7-4D5F-86D0-5FF3B67830C0}"/>
            </a:ext>
          </a:extLst>
        </xdr:cNvPr>
        <xdr:cNvCxnSpPr/>
      </xdr:nvCxnSpPr>
      <xdr:spPr>
        <a:xfrm>
          <a:off x="228600" y="24307800"/>
          <a:ext cx="12858750"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19050</xdr:colOff>
      <xdr:row>130</xdr:row>
      <xdr:rowOff>114300</xdr:rowOff>
    </xdr:from>
    <xdr:to>
      <xdr:col>7</xdr:col>
      <xdr:colOff>676275</xdr:colOff>
      <xdr:row>130</xdr:row>
      <xdr:rowOff>114300</xdr:rowOff>
    </xdr:to>
    <xdr:cxnSp macro="">
      <xdr:nvCxnSpPr>
        <xdr:cNvPr id="25" name="Straight Connector 24">
          <a:extLst>
            <a:ext uri="{FF2B5EF4-FFF2-40B4-BE49-F238E27FC236}">
              <a16:creationId xmlns:a16="http://schemas.microsoft.com/office/drawing/2014/main" id="{8DDE69FC-FBD3-4A9E-981E-5A38066B7C5E}"/>
            </a:ext>
          </a:extLst>
        </xdr:cNvPr>
        <xdr:cNvCxnSpPr/>
      </xdr:nvCxnSpPr>
      <xdr:spPr>
        <a:xfrm>
          <a:off x="247650" y="24879300"/>
          <a:ext cx="12858750"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133</xdr:row>
      <xdr:rowOff>114300</xdr:rowOff>
    </xdr:from>
    <xdr:to>
      <xdr:col>7</xdr:col>
      <xdr:colOff>666750</xdr:colOff>
      <xdr:row>133</xdr:row>
      <xdr:rowOff>114300</xdr:rowOff>
    </xdr:to>
    <xdr:cxnSp macro="">
      <xdr:nvCxnSpPr>
        <xdr:cNvPr id="26" name="Straight Connector 25">
          <a:extLst>
            <a:ext uri="{FF2B5EF4-FFF2-40B4-BE49-F238E27FC236}">
              <a16:creationId xmlns:a16="http://schemas.microsoft.com/office/drawing/2014/main" id="{2EA7A0D3-0DD7-47AE-BFBB-B2404A2981DE}"/>
            </a:ext>
          </a:extLst>
        </xdr:cNvPr>
        <xdr:cNvCxnSpPr/>
      </xdr:nvCxnSpPr>
      <xdr:spPr>
        <a:xfrm>
          <a:off x="238125" y="25450800"/>
          <a:ext cx="12858750"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138</xdr:row>
      <xdr:rowOff>123825</xdr:rowOff>
    </xdr:from>
    <xdr:to>
      <xdr:col>7</xdr:col>
      <xdr:colOff>657225</xdr:colOff>
      <xdr:row>138</xdr:row>
      <xdr:rowOff>123825</xdr:rowOff>
    </xdr:to>
    <xdr:cxnSp macro="">
      <xdr:nvCxnSpPr>
        <xdr:cNvPr id="27" name="Straight Connector 26">
          <a:extLst>
            <a:ext uri="{FF2B5EF4-FFF2-40B4-BE49-F238E27FC236}">
              <a16:creationId xmlns:a16="http://schemas.microsoft.com/office/drawing/2014/main" id="{EA24E6AD-1219-4168-8E97-6878E1DE6606}"/>
            </a:ext>
          </a:extLst>
        </xdr:cNvPr>
        <xdr:cNvCxnSpPr/>
      </xdr:nvCxnSpPr>
      <xdr:spPr>
        <a:xfrm>
          <a:off x="228600" y="26412825"/>
          <a:ext cx="12858750"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139</xdr:row>
      <xdr:rowOff>123825</xdr:rowOff>
    </xdr:from>
    <xdr:to>
      <xdr:col>7</xdr:col>
      <xdr:colOff>657225</xdr:colOff>
      <xdr:row>139</xdr:row>
      <xdr:rowOff>123825</xdr:rowOff>
    </xdr:to>
    <xdr:cxnSp macro="">
      <xdr:nvCxnSpPr>
        <xdr:cNvPr id="28" name="Straight Connector 27">
          <a:extLst>
            <a:ext uri="{FF2B5EF4-FFF2-40B4-BE49-F238E27FC236}">
              <a16:creationId xmlns:a16="http://schemas.microsoft.com/office/drawing/2014/main" id="{EF870138-1ACC-4560-B05C-FB0EFD732E57}"/>
            </a:ext>
          </a:extLst>
        </xdr:cNvPr>
        <xdr:cNvCxnSpPr/>
      </xdr:nvCxnSpPr>
      <xdr:spPr>
        <a:xfrm>
          <a:off x="228600" y="26603325"/>
          <a:ext cx="12858750"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145</xdr:row>
      <xdr:rowOff>123825</xdr:rowOff>
    </xdr:from>
    <xdr:to>
      <xdr:col>7</xdr:col>
      <xdr:colOff>657225</xdr:colOff>
      <xdr:row>145</xdr:row>
      <xdr:rowOff>123825</xdr:rowOff>
    </xdr:to>
    <xdr:cxnSp macro="">
      <xdr:nvCxnSpPr>
        <xdr:cNvPr id="29" name="Straight Connector 28">
          <a:extLst>
            <a:ext uri="{FF2B5EF4-FFF2-40B4-BE49-F238E27FC236}">
              <a16:creationId xmlns:a16="http://schemas.microsoft.com/office/drawing/2014/main" id="{AE034ABF-77FA-4C02-A0E5-19CE39C761CF}"/>
            </a:ext>
          </a:extLst>
        </xdr:cNvPr>
        <xdr:cNvCxnSpPr/>
      </xdr:nvCxnSpPr>
      <xdr:spPr>
        <a:xfrm>
          <a:off x="228600" y="27746325"/>
          <a:ext cx="12858750"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148</xdr:row>
      <xdr:rowOff>123825</xdr:rowOff>
    </xdr:from>
    <xdr:to>
      <xdr:col>7</xdr:col>
      <xdr:colOff>657225</xdr:colOff>
      <xdr:row>148</xdr:row>
      <xdr:rowOff>123825</xdr:rowOff>
    </xdr:to>
    <xdr:cxnSp macro="">
      <xdr:nvCxnSpPr>
        <xdr:cNvPr id="30" name="Straight Connector 29">
          <a:extLst>
            <a:ext uri="{FF2B5EF4-FFF2-40B4-BE49-F238E27FC236}">
              <a16:creationId xmlns:a16="http://schemas.microsoft.com/office/drawing/2014/main" id="{380EEF1F-6359-41B5-849E-2E9908C2955D}"/>
            </a:ext>
          </a:extLst>
        </xdr:cNvPr>
        <xdr:cNvCxnSpPr/>
      </xdr:nvCxnSpPr>
      <xdr:spPr>
        <a:xfrm>
          <a:off x="228600" y="28317825"/>
          <a:ext cx="12858750"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154</xdr:row>
      <xdr:rowOff>123825</xdr:rowOff>
    </xdr:from>
    <xdr:to>
      <xdr:col>7</xdr:col>
      <xdr:colOff>657225</xdr:colOff>
      <xdr:row>154</xdr:row>
      <xdr:rowOff>123825</xdr:rowOff>
    </xdr:to>
    <xdr:cxnSp macro="">
      <xdr:nvCxnSpPr>
        <xdr:cNvPr id="31" name="Straight Connector 30">
          <a:extLst>
            <a:ext uri="{FF2B5EF4-FFF2-40B4-BE49-F238E27FC236}">
              <a16:creationId xmlns:a16="http://schemas.microsoft.com/office/drawing/2014/main" id="{08FBAF5A-2092-4776-A1C5-5C6FB3801D7D}"/>
            </a:ext>
          </a:extLst>
        </xdr:cNvPr>
        <xdr:cNvCxnSpPr/>
      </xdr:nvCxnSpPr>
      <xdr:spPr>
        <a:xfrm>
          <a:off x="228600" y="29460825"/>
          <a:ext cx="12858750"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156</xdr:row>
      <xdr:rowOff>123825</xdr:rowOff>
    </xdr:from>
    <xdr:to>
      <xdr:col>7</xdr:col>
      <xdr:colOff>657225</xdr:colOff>
      <xdr:row>156</xdr:row>
      <xdr:rowOff>123825</xdr:rowOff>
    </xdr:to>
    <xdr:cxnSp macro="">
      <xdr:nvCxnSpPr>
        <xdr:cNvPr id="32" name="Straight Connector 31">
          <a:extLst>
            <a:ext uri="{FF2B5EF4-FFF2-40B4-BE49-F238E27FC236}">
              <a16:creationId xmlns:a16="http://schemas.microsoft.com/office/drawing/2014/main" id="{CFE5CBDE-625F-4270-BD42-029B778061A9}"/>
            </a:ext>
          </a:extLst>
        </xdr:cNvPr>
        <xdr:cNvCxnSpPr/>
      </xdr:nvCxnSpPr>
      <xdr:spPr>
        <a:xfrm>
          <a:off x="228600" y="29841825"/>
          <a:ext cx="12858750"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161</xdr:row>
      <xdr:rowOff>104775</xdr:rowOff>
    </xdr:from>
    <xdr:to>
      <xdr:col>7</xdr:col>
      <xdr:colOff>657225</xdr:colOff>
      <xdr:row>161</xdr:row>
      <xdr:rowOff>104775</xdr:rowOff>
    </xdr:to>
    <xdr:cxnSp macro="">
      <xdr:nvCxnSpPr>
        <xdr:cNvPr id="33" name="Straight Connector 32">
          <a:extLst>
            <a:ext uri="{FF2B5EF4-FFF2-40B4-BE49-F238E27FC236}">
              <a16:creationId xmlns:a16="http://schemas.microsoft.com/office/drawing/2014/main" id="{70A85EAD-834B-4A34-828A-6B424C6406FC}"/>
            </a:ext>
          </a:extLst>
        </xdr:cNvPr>
        <xdr:cNvCxnSpPr/>
      </xdr:nvCxnSpPr>
      <xdr:spPr>
        <a:xfrm>
          <a:off x="228600" y="30775275"/>
          <a:ext cx="12858750"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19050</xdr:colOff>
      <xdr:row>166</xdr:row>
      <xdr:rowOff>123825</xdr:rowOff>
    </xdr:from>
    <xdr:to>
      <xdr:col>7</xdr:col>
      <xdr:colOff>676275</xdr:colOff>
      <xdr:row>166</xdr:row>
      <xdr:rowOff>123825</xdr:rowOff>
    </xdr:to>
    <xdr:cxnSp macro="">
      <xdr:nvCxnSpPr>
        <xdr:cNvPr id="34" name="Straight Connector 33">
          <a:extLst>
            <a:ext uri="{FF2B5EF4-FFF2-40B4-BE49-F238E27FC236}">
              <a16:creationId xmlns:a16="http://schemas.microsoft.com/office/drawing/2014/main" id="{11E90676-C770-4AED-80E4-AF5F04B3775E}"/>
            </a:ext>
          </a:extLst>
        </xdr:cNvPr>
        <xdr:cNvCxnSpPr/>
      </xdr:nvCxnSpPr>
      <xdr:spPr>
        <a:xfrm>
          <a:off x="247650" y="31746825"/>
          <a:ext cx="12858750"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176</xdr:row>
      <xdr:rowOff>133350</xdr:rowOff>
    </xdr:from>
    <xdr:to>
      <xdr:col>7</xdr:col>
      <xdr:colOff>657225</xdr:colOff>
      <xdr:row>176</xdr:row>
      <xdr:rowOff>133350</xdr:rowOff>
    </xdr:to>
    <xdr:cxnSp macro="">
      <xdr:nvCxnSpPr>
        <xdr:cNvPr id="35" name="Straight Connector 34">
          <a:extLst>
            <a:ext uri="{FF2B5EF4-FFF2-40B4-BE49-F238E27FC236}">
              <a16:creationId xmlns:a16="http://schemas.microsoft.com/office/drawing/2014/main" id="{5678DA2F-40AF-4E95-B98D-F467621A1167}"/>
            </a:ext>
          </a:extLst>
        </xdr:cNvPr>
        <xdr:cNvCxnSpPr/>
      </xdr:nvCxnSpPr>
      <xdr:spPr>
        <a:xfrm>
          <a:off x="228600" y="33661350"/>
          <a:ext cx="12858750"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181</xdr:row>
      <xdr:rowOff>114300</xdr:rowOff>
    </xdr:from>
    <xdr:to>
      <xdr:col>7</xdr:col>
      <xdr:colOff>657225</xdr:colOff>
      <xdr:row>181</xdr:row>
      <xdr:rowOff>114300</xdr:rowOff>
    </xdr:to>
    <xdr:cxnSp macro="">
      <xdr:nvCxnSpPr>
        <xdr:cNvPr id="36" name="Straight Connector 35">
          <a:extLst>
            <a:ext uri="{FF2B5EF4-FFF2-40B4-BE49-F238E27FC236}">
              <a16:creationId xmlns:a16="http://schemas.microsoft.com/office/drawing/2014/main" id="{D2BABD46-22B1-461C-B157-53A1BB683B97}"/>
            </a:ext>
          </a:extLst>
        </xdr:cNvPr>
        <xdr:cNvCxnSpPr/>
      </xdr:nvCxnSpPr>
      <xdr:spPr>
        <a:xfrm>
          <a:off x="228600" y="34594800"/>
          <a:ext cx="12858750"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183</xdr:row>
      <xdr:rowOff>123825</xdr:rowOff>
    </xdr:from>
    <xdr:to>
      <xdr:col>7</xdr:col>
      <xdr:colOff>657225</xdr:colOff>
      <xdr:row>183</xdr:row>
      <xdr:rowOff>123825</xdr:rowOff>
    </xdr:to>
    <xdr:cxnSp macro="">
      <xdr:nvCxnSpPr>
        <xdr:cNvPr id="37" name="Straight Connector 36">
          <a:extLst>
            <a:ext uri="{FF2B5EF4-FFF2-40B4-BE49-F238E27FC236}">
              <a16:creationId xmlns:a16="http://schemas.microsoft.com/office/drawing/2014/main" id="{510808AA-039C-459C-AC5E-6B6FF1D40052}"/>
            </a:ext>
          </a:extLst>
        </xdr:cNvPr>
        <xdr:cNvCxnSpPr/>
      </xdr:nvCxnSpPr>
      <xdr:spPr>
        <a:xfrm>
          <a:off x="228600" y="34985325"/>
          <a:ext cx="12858750"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191</xdr:row>
      <xdr:rowOff>123825</xdr:rowOff>
    </xdr:from>
    <xdr:to>
      <xdr:col>7</xdr:col>
      <xdr:colOff>657225</xdr:colOff>
      <xdr:row>191</xdr:row>
      <xdr:rowOff>123825</xdr:rowOff>
    </xdr:to>
    <xdr:cxnSp macro="">
      <xdr:nvCxnSpPr>
        <xdr:cNvPr id="38" name="Straight Connector 37">
          <a:extLst>
            <a:ext uri="{FF2B5EF4-FFF2-40B4-BE49-F238E27FC236}">
              <a16:creationId xmlns:a16="http://schemas.microsoft.com/office/drawing/2014/main" id="{487A0275-B879-4107-B875-E8CBDBDEC37D}"/>
            </a:ext>
          </a:extLst>
        </xdr:cNvPr>
        <xdr:cNvCxnSpPr/>
      </xdr:nvCxnSpPr>
      <xdr:spPr>
        <a:xfrm>
          <a:off x="228600" y="36509325"/>
          <a:ext cx="12858750"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194</xdr:row>
      <xdr:rowOff>123825</xdr:rowOff>
    </xdr:from>
    <xdr:to>
      <xdr:col>7</xdr:col>
      <xdr:colOff>657225</xdr:colOff>
      <xdr:row>194</xdr:row>
      <xdr:rowOff>123825</xdr:rowOff>
    </xdr:to>
    <xdr:cxnSp macro="">
      <xdr:nvCxnSpPr>
        <xdr:cNvPr id="39" name="Straight Connector 38">
          <a:extLst>
            <a:ext uri="{FF2B5EF4-FFF2-40B4-BE49-F238E27FC236}">
              <a16:creationId xmlns:a16="http://schemas.microsoft.com/office/drawing/2014/main" id="{83122B1B-5B56-4F68-9932-B05B6706FB8A}"/>
            </a:ext>
          </a:extLst>
        </xdr:cNvPr>
        <xdr:cNvCxnSpPr/>
      </xdr:nvCxnSpPr>
      <xdr:spPr>
        <a:xfrm>
          <a:off x="228600" y="37080825"/>
          <a:ext cx="12858750"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197</xdr:row>
      <xdr:rowOff>123825</xdr:rowOff>
    </xdr:from>
    <xdr:to>
      <xdr:col>7</xdr:col>
      <xdr:colOff>657225</xdr:colOff>
      <xdr:row>197</xdr:row>
      <xdr:rowOff>123825</xdr:rowOff>
    </xdr:to>
    <xdr:cxnSp macro="">
      <xdr:nvCxnSpPr>
        <xdr:cNvPr id="40" name="Straight Connector 39">
          <a:extLst>
            <a:ext uri="{FF2B5EF4-FFF2-40B4-BE49-F238E27FC236}">
              <a16:creationId xmlns:a16="http://schemas.microsoft.com/office/drawing/2014/main" id="{423BF6D3-8A66-4F9C-9802-65B244A084D2}"/>
            </a:ext>
          </a:extLst>
        </xdr:cNvPr>
        <xdr:cNvCxnSpPr/>
      </xdr:nvCxnSpPr>
      <xdr:spPr>
        <a:xfrm>
          <a:off x="228600" y="37652325"/>
          <a:ext cx="12858750"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201</xdr:row>
      <xdr:rowOff>123825</xdr:rowOff>
    </xdr:from>
    <xdr:to>
      <xdr:col>7</xdr:col>
      <xdr:colOff>657225</xdr:colOff>
      <xdr:row>201</xdr:row>
      <xdr:rowOff>123825</xdr:rowOff>
    </xdr:to>
    <xdr:cxnSp macro="">
      <xdr:nvCxnSpPr>
        <xdr:cNvPr id="41" name="Straight Connector 40">
          <a:extLst>
            <a:ext uri="{FF2B5EF4-FFF2-40B4-BE49-F238E27FC236}">
              <a16:creationId xmlns:a16="http://schemas.microsoft.com/office/drawing/2014/main" id="{A8A9D739-9819-4ADC-8FA6-1BF9F9DF7552}"/>
            </a:ext>
          </a:extLst>
        </xdr:cNvPr>
        <xdr:cNvCxnSpPr/>
      </xdr:nvCxnSpPr>
      <xdr:spPr>
        <a:xfrm>
          <a:off x="228600" y="38414325"/>
          <a:ext cx="12858750"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205</xdr:row>
      <xdr:rowOff>123825</xdr:rowOff>
    </xdr:from>
    <xdr:to>
      <xdr:col>7</xdr:col>
      <xdr:colOff>657225</xdr:colOff>
      <xdr:row>205</xdr:row>
      <xdr:rowOff>123825</xdr:rowOff>
    </xdr:to>
    <xdr:cxnSp macro="">
      <xdr:nvCxnSpPr>
        <xdr:cNvPr id="42" name="Straight Connector 41">
          <a:extLst>
            <a:ext uri="{FF2B5EF4-FFF2-40B4-BE49-F238E27FC236}">
              <a16:creationId xmlns:a16="http://schemas.microsoft.com/office/drawing/2014/main" id="{C2368BC2-AD8C-48B1-BB7C-DFC53A72FD48}"/>
            </a:ext>
          </a:extLst>
        </xdr:cNvPr>
        <xdr:cNvCxnSpPr/>
      </xdr:nvCxnSpPr>
      <xdr:spPr>
        <a:xfrm>
          <a:off x="228600" y="39176325"/>
          <a:ext cx="12858750"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206</xdr:row>
      <xdr:rowOff>123825</xdr:rowOff>
    </xdr:from>
    <xdr:to>
      <xdr:col>7</xdr:col>
      <xdr:colOff>666750</xdr:colOff>
      <xdr:row>206</xdr:row>
      <xdr:rowOff>123825</xdr:rowOff>
    </xdr:to>
    <xdr:cxnSp macro="">
      <xdr:nvCxnSpPr>
        <xdr:cNvPr id="43" name="Straight Connector 42">
          <a:extLst>
            <a:ext uri="{FF2B5EF4-FFF2-40B4-BE49-F238E27FC236}">
              <a16:creationId xmlns:a16="http://schemas.microsoft.com/office/drawing/2014/main" id="{606440A1-B73B-4D88-B643-233F6686F18C}"/>
            </a:ext>
          </a:extLst>
        </xdr:cNvPr>
        <xdr:cNvCxnSpPr/>
      </xdr:nvCxnSpPr>
      <xdr:spPr>
        <a:xfrm>
          <a:off x="238125" y="39366825"/>
          <a:ext cx="12858750"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216</xdr:row>
      <xdr:rowOff>123825</xdr:rowOff>
    </xdr:from>
    <xdr:to>
      <xdr:col>7</xdr:col>
      <xdr:colOff>657225</xdr:colOff>
      <xdr:row>216</xdr:row>
      <xdr:rowOff>123825</xdr:rowOff>
    </xdr:to>
    <xdr:cxnSp macro="">
      <xdr:nvCxnSpPr>
        <xdr:cNvPr id="44" name="Straight Connector 43">
          <a:extLst>
            <a:ext uri="{FF2B5EF4-FFF2-40B4-BE49-F238E27FC236}">
              <a16:creationId xmlns:a16="http://schemas.microsoft.com/office/drawing/2014/main" id="{52A92016-77E9-42B3-82B0-0C382386C7CB}"/>
            </a:ext>
          </a:extLst>
        </xdr:cNvPr>
        <xdr:cNvCxnSpPr/>
      </xdr:nvCxnSpPr>
      <xdr:spPr>
        <a:xfrm>
          <a:off x="228600" y="41271825"/>
          <a:ext cx="12858750"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9524</xdr:colOff>
      <xdr:row>1</xdr:row>
      <xdr:rowOff>9526</xdr:rowOff>
    </xdr:from>
    <xdr:to>
      <xdr:col>11</xdr:col>
      <xdr:colOff>609599</xdr:colOff>
      <xdr:row>30</xdr:row>
      <xdr:rowOff>733</xdr:rowOff>
    </xdr:to>
    <xdr:pic>
      <xdr:nvPicPr>
        <xdr:cNvPr id="2" name="Picture 1">
          <a:extLst>
            <a:ext uri="{FF2B5EF4-FFF2-40B4-BE49-F238E27FC236}">
              <a16:creationId xmlns:a16="http://schemas.microsoft.com/office/drawing/2014/main" id="{DD92D4BE-8D6D-5B0D-25F6-D7C328CD423B}"/>
            </a:ext>
          </a:extLst>
        </xdr:cNvPr>
        <xdr:cNvPicPr>
          <a:picLocks noChangeAspect="1"/>
        </xdr:cNvPicPr>
      </xdr:nvPicPr>
      <xdr:blipFill>
        <a:blip xmlns:r="http://schemas.openxmlformats.org/officeDocument/2006/relationships" r:embed="rId1"/>
        <a:stretch>
          <a:fillRect/>
        </a:stretch>
      </xdr:blipFill>
      <xdr:spPr>
        <a:xfrm>
          <a:off x="209549" y="190501"/>
          <a:ext cx="6696075" cy="523948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esktop\Equity%20Research\Models\Health%20Care\MedTech\BSX_Model.xlsx" TargetMode="External"/><Relationship Id="rId1" Type="http://schemas.openxmlformats.org/officeDocument/2006/relationships/externalLinkPath" Target="file:///C:\Users\User\Desktop\Equity%20Research\Models\Health%20Care\MedTech\BSX_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 Overview"/>
      <sheetName val="Model"/>
      <sheetName val="Notes | Quant Analysis"/>
      <sheetName val="M&amp;A Scope"/>
      <sheetName val="Markets | Product Lines"/>
      <sheetName val="Management"/>
      <sheetName val="Debt Schedule"/>
      <sheetName val="Clinical Trial Channel"/>
    </sheetNames>
    <sheetDataSet>
      <sheetData sheetId="0"/>
      <sheetData sheetId="1">
        <row r="3">
          <cell r="AW3" t="str">
            <v>Q1 2020</v>
          </cell>
          <cell r="AX3" t="str">
            <v>Q2 2020</v>
          </cell>
          <cell r="AY3" t="str">
            <v>Q3 2020</v>
          </cell>
          <cell r="AZ3" t="str">
            <v>Q4 2020</v>
          </cell>
          <cell r="BA3" t="str">
            <v>Q1 2021</v>
          </cell>
          <cell r="BB3" t="str">
            <v>Q2 2021</v>
          </cell>
          <cell r="BC3" t="str">
            <v>Q3 2021</v>
          </cell>
          <cell r="BD3" t="str">
            <v>Q4 2021</v>
          </cell>
          <cell r="BE3" t="str">
            <v>Q1 2022</v>
          </cell>
          <cell r="BF3" t="str">
            <v>Q2 2022</v>
          </cell>
          <cell r="BG3" t="str">
            <v>Q3 2022</v>
          </cell>
          <cell r="BH3" t="str">
            <v>Q4 2022</v>
          </cell>
          <cell r="BI3" t="str">
            <v>Q1 2023</v>
          </cell>
          <cell r="BJ3" t="str">
            <v>Q2 2023</v>
          </cell>
          <cell r="BK3" t="str">
            <v>Q3 2023</v>
          </cell>
          <cell r="BL3" t="str">
            <v>Q4 2023</v>
          </cell>
          <cell r="BM3" t="str">
            <v>Q1 2024</v>
          </cell>
          <cell r="BN3" t="str">
            <v>Q2 2024</v>
          </cell>
          <cell r="BO3" t="str">
            <v>Q3 2024</v>
          </cell>
          <cell r="BP3" t="str">
            <v>Q4 2024</v>
          </cell>
          <cell r="BQ3" t="str">
            <v>Q1 2025</v>
          </cell>
        </row>
      </sheetData>
      <sheetData sheetId="2"/>
      <sheetData sheetId="3"/>
      <sheetData sheetId="4"/>
      <sheetData sheetId="5"/>
      <sheetData sheetId="6"/>
      <sheetData sheetId="7"/>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CC52B4-A2E8-4D35-B1C1-4F774016C011}" name="Table1" displayName="Table1" ref="B2:H279" totalsRowShown="0" headerRowDxfId="14" dataDxfId="13" tableBorderDxfId="12">
  <autoFilter ref="B2:H279" xr:uid="{53CC52B4-A2E8-4D35-B1C1-4F774016C011}"/>
  <tableColumns count="7">
    <tableColumn id="1" xr3:uid="{00544010-F865-418C-816B-CAD3F5827FDC}" name="Company" dataDxfId="11"/>
    <tableColumn id="2" xr3:uid="{0C5D86CA-F93D-4FBB-B727-861EA50041D9}" name="Business" dataDxfId="10"/>
    <tableColumn id="3" xr3:uid="{62C4F8A4-C77C-458D-8621-93EADF4D655E}" name="Country" dataDxfId="9"/>
    <tableColumn id="4" xr3:uid="{8BB16B77-156F-406F-9AD3-DFA7387200EA}" name="Price" dataDxfId="8"/>
    <tableColumn id="5" xr3:uid="{84CBD1FB-CD2D-4DED-A770-B928E88B901B}" name="Used as or Integrated With" dataDxfId="7"/>
    <tableColumn id="6" xr3:uid="{258981AD-243D-4DBA-949E-CA0C76BF8383}" name="Description" dataDxfId="6"/>
    <tableColumn id="7" xr3:uid="{96DC1132-F3B6-43DF-B38E-23C4E174A300}" name="Date of Acquisition" dataDxfId="5"/>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hyperlink" Target="https://www.microsoft.com/en-us" TargetMode="External"/><Relationship Id="rId2" Type="http://schemas.openxmlformats.org/officeDocument/2006/relationships/hyperlink" Target="mailto:msft@microsoft.com" TargetMode="External"/><Relationship Id="rId1" Type="http://schemas.openxmlformats.org/officeDocument/2006/relationships/hyperlink" Target="https://app.godelterminal.com/" TargetMode="External"/><Relationship Id="rId6" Type="http://schemas.openxmlformats.org/officeDocument/2006/relationships/drawing" Target="../drawings/drawing1.xml"/><Relationship Id="rId5" Type="http://schemas.openxmlformats.org/officeDocument/2006/relationships/hyperlink" Target="https://www.microsoft.com/en-us/investor/default" TargetMode="External"/><Relationship Id="rId4" Type="http://schemas.openxmlformats.org/officeDocument/2006/relationships/hyperlink" Target="https://www.gurufocus.com/term/wacc/MSFT"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www.thurrott.com/microsoft"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R42"/>
  <sheetViews>
    <sheetView zoomScale="85" zoomScaleNormal="85" workbookViewId="0"/>
  </sheetViews>
  <sheetFormatPr defaultRowHeight="14.25"/>
  <cols>
    <col min="1" max="1" width="3.42578125" style="1" customWidth="1"/>
    <col min="2" max="2" width="9.140625" style="1" customWidth="1"/>
    <col min="3" max="3" width="14.28515625" style="1" customWidth="1"/>
    <col min="4" max="4" width="9" style="1" customWidth="1"/>
    <col min="5" max="16384" width="9.140625" style="1"/>
  </cols>
  <sheetData>
    <row r="2" spans="2:18" ht="15">
      <c r="B2" s="2" t="s">
        <v>154</v>
      </c>
    </row>
    <row r="3" spans="2:18">
      <c r="B3" s="1" t="s">
        <v>0</v>
      </c>
      <c r="C3" s="43">
        <v>475.32</v>
      </c>
      <c r="D3" s="42" t="s">
        <v>4100</v>
      </c>
    </row>
    <row r="4" spans="2:18">
      <c r="B4" s="1" t="s">
        <v>1</v>
      </c>
      <c r="C4" s="65">
        <v>7433</v>
      </c>
      <c r="D4" s="1" t="s">
        <v>4101</v>
      </c>
    </row>
    <row r="5" spans="2:18">
      <c r="B5" s="1" t="s">
        <v>2</v>
      </c>
      <c r="C5" s="44">
        <f>C3*C4</f>
        <v>3533053.56</v>
      </c>
    </row>
    <row r="6" spans="2:18">
      <c r="B6" s="1" t="s">
        <v>3</v>
      </c>
      <c r="C6" s="45">
        <f>28849+73163</f>
        <v>102012</v>
      </c>
      <c r="D6" s="1" t="s">
        <v>4101</v>
      </c>
    </row>
    <row r="7" spans="2:18">
      <c r="B7" s="1" t="s">
        <v>4</v>
      </c>
      <c r="C7" s="45">
        <f>7832+35376</f>
        <v>43208</v>
      </c>
      <c r="D7" s="1" t="s">
        <v>4101</v>
      </c>
    </row>
    <row r="8" spans="2:18">
      <c r="B8" s="1" t="s">
        <v>5</v>
      </c>
      <c r="C8" s="45">
        <f>C5-C6+C7</f>
        <v>3474249.56</v>
      </c>
    </row>
    <row r="10" spans="2:18" ht="15">
      <c r="B10" s="2" t="s">
        <v>155</v>
      </c>
    </row>
    <row r="11" spans="2:18" ht="15">
      <c r="Q11" s="2"/>
    </row>
    <row r="12" spans="2:18">
      <c r="B12" s="1" t="s">
        <v>156</v>
      </c>
      <c r="F12" s="1" t="s">
        <v>165</v>
      </c>
      <c r="N12" s="1" t="s">
        <v>3999</v>
      </c>
    </row>
    <row r="13" spans="2:18">
      <c r="B13" s="1" t="s">
        <v>157</v>
      </c>
      <c r="F13" s="1" t="s">
        <v>4000</v>
      </c>
      <c r="G13" s="1" t="s">
        <v>158</v>
      </c>
      <c r="N13" s="1" t="s">
        <v>7</v>
      </c>
      <c r="Q13" s="46" t="s">
        <v>186</v>
      </c>
    </row>
    <row r="14" spans="2:18">
      <c r="B14" s="1" t="s">
        <v>159</v>
      </c>
      <c r="F14" s="1" t="s">
        <v>6</v>
      </c>
      <c r="N14" s="1" t="s">
        <v>187</v>
      </c>
      <c r="Q14" s="46" t="s">
        <v>189</v>
      </c>
    </row>
    <row r="15" spans="2:18">
      <c r="B15" s="1" t="s">
        <v>160</v>
      </c>
      <c r="F15" s="1" t="s">
        <v>168</v>
      </c>
      <c r="O15" s="1" t="s">
        <v>188</v>
      </c>
      <c r="R15" s="46" t="s">
        <v>190</v>
      </c>
    </row>
    <row r="16" spans="2:18">
      <c r="B16" s="1" t="s">
        <v>164</v>
      </c>
      <c r="F16" s="1" t="s">
        <v>166</v>
      </c>
      <c r="I16" s="1" t="s">
        <v>149</v>
      </c>
      <c r="J16" s="46" t="s">
        <v>167</v>
      </c>
      <c r="N16" s="1" t="s">
        <v>151</v>
      </c>
      <c r="Q16" s="46" t="s">
        <v>191</v>
      </c>
    </row>
    <row r="17" spans="1:17">
      <c r="B17" s="1" t="s">
        <v>161</v>
      </c>
      <c r="N17" s="1" t="s">
        <v>152</v>
      </c>
      <c r="Q17" s="46" t="s">
        <v>192</v>
      </c>
    </row>
    <row r="18" spans="1:17">
      <c r="B18" s="1" t="s">
        <v>162</v>
      </c>
      <c r="N18" s="1" t="s">
        <v>8</v>
      </c>
      <c r="Q18" s="46" t="s">
        <v>153</v>
      </c>
    </row>
    <row r="19" spans="1:17">
      <c r="B19" s="1" t="s">
        <v>163</v>
      </c>
      <c r="N19" s="1" t="s">
        <v>3997</v>
      </c>
      <c r="Q19" s="46" t="s">
        <v>3996</v>
      </c>
    </row>
    <row r="20" spans="1:17">
      <c r="B20" s="1" t="s">
        <v>195</v>
      </c>
      <c r="N20" s="1" t="s">
        <v>3998</v>
      </c>
      <c r="Q20" s="46" t="s">
        <v>3995</v>
      </c>
    </row>
    <row r="22" spans="1:17" ht="15">
      <c r="A22" s="2" t="s">
        <v>9</v>
      </c>
    </row>
    <row r="23" spans="1:17">
      <c r="B23" s="1" t="s">
        <v>170</v>
      </c>
    </row>
    <row r="24" spans="1:17" ht="15">
      <c r="B24" s="1" t="s">
        <v>171</v>
      </c>
    </row>
    <row r="25" spans="1:17" ht="15">
      <c r="C25" s="1" t="s">
        <v>174</v>
      </c>
    </row>
    <row r="26" spans="1:17" ht="15">
      <c r="C26" s="1" t="s">
        <v>173</v>
      </c>
    </row>
    <row r="27" spans="1:17" ht="15">
      <c r="B27" s="1" t="s">
        <v>172</v>
      </c>
    </row>
    <row r="28" spans="1:17" ht="15">
      <c r="C28" s="1" t="s">
        <v>175</v>
      </c>
    </row>
    <row r="29" spans="1:17">
      <c r="D29" s="1" t="s">
        <v>176</v>
      </c>
    </row>
    <row r="30" spans="1:17">
      <c r="E30" s="1" t="s">
        <v>177</v>
      </c>
    </row>
    <row r="31" spans="1:17" ht="15">
      <c r="B31" s="1" t="s">
        <v>4083</v>
      </c>
    </row>
    <row r="32" spans="1:17">
      <c r="D32" s="1" t="s">
        <v>178</v>
      </c>
    </row>
    <row r="33" spans="1:5" ht="15">
      <c r="C33" s="1" t="s">
        <v>179</v>
      </c>
    </row>
    <row r="34" spans="1:5">
      <c r="C34" s="1" t="s">
        <v>180</v>
      </c>
    </row>
    <row r="35" spans="1:5" ht="15">
      <c r="C35" s="1" t="s">
        <v>183</v>
      </c>
    </row>
    <row r="36" spans="1:5" ht="15">
      <c r="D36" s="1" t="s">
        <v>193</v>
      </c>
    </row>
    <row r="37" spans="1:5">
      <c r="E37" s="1" t="s">
        <v>184</v>
      </c>
    </row>
    <row r="38" spans="1:5">
      <c r="C38" s="1" t="s">
        <v>182</v>
      </c>
    </row>
    <row r="39" spans="1:5" ht="15">
      <c r="C39" s="1" t="s">
        <v>194</v>
      </c>
    </row>
    <row r="40" spans="1:5">
      <c r="B40" s="1" t="s">
        <v>181</v>
      </c>
    </row>
    <row r="42" spans="1:5" ht="15">
      <c r="A42" s="2" t="s">
        <v>169</v>
      </c>
    </row>
  </sheetData>
  <hyperlinks>
    <hyperlink ref="Q18" r:id="rId1" xr:uid="{14375537-5C3D-4253-9650-337AB6789785}"/>
    <hyperlink ref="J16" r:id="rId2" xr:uid="{C44F576E-B812-46D2-9CBA-97CF6D4C41F7}"/>
    <hyperlink ref="Q14" r:id="rId3" xr:uid="{41BF37AC-42A8-48CF-BBD7-68094438AE23}"/>
    <hyperlink ref="Q20" r:id="rId4" xr:uid="{C4BDE2D9-A68D-487C-B7CD-5BFCCFC18886}"/>
    <hyperlink ref="R15" r:id="rId5" xr:uid="{3A6881EA-E69F-4705-A5A2-6CE40CAEA8B9}"/>
  </hyperlink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27957-A42B-4AB7-A411-12A70E029F5D}">
  <dimension ref="B1:EY128"/>
  <sheetViews>
    <sheetView tabSelected="1" zoomScale="85" zoomScaleNormal="85" workbookViewId="0">
      <pane xSplit="2" ySplit="3" topLeftCell="CU48" activePane="bottomRight" state="frozen"/>
      <selection pane="topRight" activeCell="C1" sqref="C1"/>
      <selection pane="bottomLeft" activeCell="A4" sqref="A4"/>
      <selection pane="bottomRight" activeCell="CY73" sqref="CY73"/>
    </sheetView>
  </sheetViews>
  <sheetFormatPr defaultRowHeight="14.25"/>
  <cols>
    <col min="1" max="1" width="3.140625" style="1" customWidth="1"/>
    <col min="2" max="2" width="42.28515625" style="1" customWidth="1"/>
    <col min="3" max="63" width="9.140625" style="1"/>
    <col min="64" max="65" width="9.140625" style="37"/>
    <col min="66" max="66" width="9.140625" style="1"/>
    <col min="67" max="70" width="9.140625" style="35"/>
    <col min="71" max="93" width="9.140625" style="1"/>
    <col min="94" max="103" width="9.140625" style="69"/>
    <col min="104" max="104" width="9.140625" style="69" customWidth="1"/>
    <col min="105" max="154" width="9.140625" style="69"/>
    <col min="155" max="16384" width="9.140625" style="1"/>
  </cols>
  <sheetData>
    <row r="1" spans="2:155" ht="15">
      <c r="B1" s="1" t="s">
        <v>270</v>
      </c>
      <c r="AL1" s="33"/>
      <c r="AM1" s="33" t="s">
        <v>80</v>
      </c>
      <c r="AQ1" s="33" t="s">
        <v>84</v>
      </c>
      <c r="AU1" s="33" t="s">
        <v>88</v>
      </c>
      <c r="AY1" s="33" t="s">
        <v>92</v>
      </c>
      <c r="BC1" s="33" t="s">
        <v>96</v>
      </c>
      <c r="BG1" s="33" t="s">
        <v>100</v>
      </c>
      <c r="BK1" s="33" t="s">
        <v>104</v>
      </c>
      <c r="BO1" s="33" t="s">
        <v>3802</v>
      </c>
    </row>
    <row r="2" spans="2:155">
      <c r="B2" s="37" t="s">
        <v>111</v>
      </c>
      <c r="C2" s="37" t="s">
        <v>197</v>
      </c>
      <c r="D2" s="37" t="s">
        <v>198</v>
      </c>
      <c r="E2" s="37" t="s">
        <v>199</v>
      </c>
      <c r="F2" s="37" t="s">
        <v>196</v>
      </c>
      <c r="G2" s="37" t="s">
        <v>197</v>
      </c>
      <c r="H2" s="37" t="s">
        <v>198</v>
      </c>
      <c r="I2" s="37" t="s">
        <v>199</v>
      </c>
      <c r="J2" s="37" t="s">
        <v>196</v>
      </c>
      <c r="K2" s="37" t="s">
        <v>197</v>
      </c>
      <c r="L2" s="37" t="s">
        <v>198</v>
      </c>
      <c r="M2" s="37" t="s">
        <v>199</v>
      </c>
      <c r="N2" s="37" t="s">
        <v>196</v>
      </c>
      <c r="O2" s="37" t="s">
        <v>197</v>
      </c>
      <c r="P2" s="37" t="s">
        <v>198</v>
      </c>
      <c r="Q2" s="37" t="s">
        <v>199</v>
      </c>
      <c r="R2" s="37" t="s">
        <v>196</v>
      </c>
      <c r="S2" s="37" t="s">
        <v>197</v>
      </c>
      <c r="T2" s="37" t="s">
        <v>198</v>
      </c>
      <c r="U2" s="37" t="s">
        <v>199</v>
      </c>
      <c r="V2" s="37" t="s">
        <v>196</v>
      </c>
      <c r="W2" s="37" t="s">
        <v>197</v>
      </c>
      <c r="X2" s="37" t="s">
        <v>198</v>
      </c>
      <c r="Y2" s="37" t="s">
        <v>199</v>
      </c>
      <c r="Z2" s="37" t="s">
        <v>196</v>
      </c>
      <c r="AA2" s="37" t="s">
        <v>197</v>
      </c>
      <c r="AB2" s="37" t="s">
        <v>198</v>
      </c>
      <c r="AC2" s="37" t="s">
        <v>199</v>
      </c>
      <c r="AD2" s="37" t="s">
        <v>196</v>
      </c>
      <c r="AE2" s="37" t="s">
        <v>197</v>
      </c>
      <c r="AF2" s="37" t="s">
        <v>198</v>
      </c>
      <c r="AG2" s="37" t="s">
        <v>199</v>
      </c>
      <c r="AH2" s="37" t="s">
        <v>196</v>
      </c>
      <c r="AI2" s="37" t="s">
        <v>197</v>
      </c>
      <c r="AJ2" s="37" t="s">
        <v>198</v>
      </c>
      <c r="AK2" s="37" t="s">
        <v>199</v>
      </c>
      <c r="AL2" s="37" t="s">
        <v>196</v>
      </c>
      <c r="AM2" s="37" t="s">
        <v>197</v>
      </c>
      <c r="AN2" s="37" t="s">
        <v>198</v>
      </c>
      <c r="AO2" s="37" t="s">
        <v>199</v>
      </c>
      <c r="AP2" s="37" t="s">
        <v>196</v>
      </c>
      <c r="AQ2" s="37" t="s">
        <v>197</v>
      </c>
      <c r="AR2" s="37" t="s">
        <v>198</v>
      </c>
      <c r="AS2" s="37" t="s">
        <v>199</v>
      </c>
      <c r="AT2" s="37" t="s">
        <v>196</v>
      </c>
      <c r="AU2" s="37" t="s">
        <v>197</v>
      </c>
      <c r="AV2" s="37" t="s">
        <v>198</v>
      </c>
      <c r="AW2" s="37" t="s">
        <v>199</v>
      </c>
      <c r="AX2" s="37" t="s">
        <v>196</v>
      </c>
      <c r="AY2" s="37" t="s">
        <v>197</v>
      </c>
      <c r="AZ2" s="37" t="s">
        <v>198</v>
      </c>
      <c r="BA2" s="37" t="s">
        <v>199</v>
      </c>
      <c r="BB2" s="37" t="s">
        <v>196</v>
      </c>
      <c r="BC2" s="37" t="s">
        <v>197</v>
      </c>
      <c r="BD2" s="37" t="s">
        <v>198</v>
      </c>
      <c r="BE2" s="37" t="s">
        <v>199</v>
      </c>
      <c r="BF2" s="37" t="s">
        <v>196</v>
      </c>
      <c r="BG2" s="37" t="s">
        <v>197</v>
      </c>
      <c r="BH2" s="37" t="s">
        <v>198</v>
      </c>
      <c r="BI2" s="37" t="s">
        <v>200</v>
      </c>
      <c r="BJ2" s="37" t="s">
        <v>196</v>
      </c>
      <c r="BK2" s="37" t="s">
        <v>197</v>
      </c>
      <c r="BL2" s="37" t="s">
        <v>198</v>
      </c>
      <c r="BM2" s="37" t="s">
        <v>199</v>
      </c>
      <c r="BN2" s="37" t="s">
        <v>196</v>
      </c>
      <c r="BO2" s="1" t="s">
        <v>197</v>
      </c>
      <c r="BP2" s="35" t="s">
        <v>198</v>
      </c>
      <c r="BQ2" s="35" t="s">
        <v>199</v>
      </c>
      <c r="BR2" s="35" t="s">
        <v>196</v>
      </c>
      <c r="BS2" s="35" t="s">
        <v>197</v>
      </c>
      <c r="BT2" s="35" t="s">
        <v>198</v>
      </c>
      <c r="BU2" s="35" t="s">
        <v>199</v>
      </c>
      <c r="BV2" s="35" t="s">
        <v>196</v>
      </c>
    </row>
    <row r="3" spans="2:155" ht="15">
      <c r="B3" s="2" t="s">
        <v>112</v>
      </c>
      <c r="C3" s="33" t="s">
        <v>44</v>
      </c>
      <c r="D3" s="33" t="s">
        <v>46</v>
      </c>
      <c r="E3" s="33" t="s">
        <v>47</v>
      </c>
      <c r="F3" s="33" t="s">
        <v>48</v>
      </c>
      <c r="G3" s="33" t="s">
        <v>45</v>
      </c>
      <c r="H3" s="33" t="s">
        <v>50</v>
      </c>
      <c r="I3" s="33" t="s">
        <v>51</v>
      </c>
      <c r="J3" s="33" t="s">
        <v>52</v>
      </c>
      <c r="K3" s="33" t="s">
        <v>49</v>
      </c>
      <c r="L3" s="33" t="s">
        <v>54</v>
      </c>
      <c r="M3" s="33" t="s">
        <v>55</v>
      </c>
      <c r="N3" s="33" t="s">
        <v>56</v>
      </c>
      <c r="O3" s="33" t="s">
        <v>53</v>
      </c>
      <c r="P3" s="33" t="s">
        <v>58</v>
      </c>
      <c r="Q3" s="33" t="s">
        <v>59</v>
      </c>
      <c r="R3" s="33" t="s">
        <v>60</v>
      </c>
      <c r="S3" s="33" t="s">
        <v>57</v>
      </c>
      <c r="T3" s="33" t="s">
        <v>62</v>
      </c>
      <c r="U3" s="33" t="s">
        <v>63</v>
      </c>
      <c r="V3" s="33" t="s">
        <v>64</v>
      </c>
      <c r="W3" s="33" t="s">
        <v>61</v>
      </c>
      <c r="X3" s="33" t="s">
        <v>65</v>
      </c>
      <c r="Y3" s="33" t="s">
        <v>66</v>
      </c>
      <c r="Z3" s="33" t="s">
        <v>67</v>
      </c>
      <c r="AA3" s="33" t="s">
        <v>68</v>
      </c>
      <c r="AB3" s="33" t="s">
        <v>69</v>
      </c>
      <c r="AC3" s="33" t="s">
        <v>70</v>
      </c>
      <c r="AD3" s="33" t="s">
        <v>71</v>
      </c>
      <c r="AE3" s="33" t="s">
        <v>68</v>
      </c>
      <c r="AF3" s="33" t="s">
        <v>73</v>
      </c>
      <c r="AG3" s="33" t="s">
        <v>74</v>
      </c>
      <c r="AH3" s="33" t="s">
        <v>75</v>
      </c>
      <c r="AI3" s="33" t="s">
        <v>72</v>
      </c>
      <c r="AJ3" s="33" t="s">
        <v>77</v>
      </c>
      <c r="AK3" s="33" t="s">
        <v>78</v>
      </c>
      <c r="AL3" s="33" t="s">
        <v>79</v>
      </c>
      <c r="AM3" s="33" t="s">
        <v>76</v>
      </c>
      <c r="AN3" s="33" t="s">
        <v>81</v>
      </c>
      <c r="AO3" s="33" t="s">
        <v>82</v>
      </c>
      <c r="AP3" s="33" t="s">
        <v>83</v>
      </c>
      <c r="AQ3" s="33" t="s">
        <v>80</v>
      </c>
      <c r="AR3" s="33" t="s">
        <v>85</v>
      </c>
      <c r="AS3" s="33" t="s">
        <v>86</v>
      </c>
      <c r="AT3" s="33" t="s">
        <v>87</v>
      </c>
      <c r="AU3" s="33" t="s">
        <v>84</v>
      </c>
      <c r="AV3" s="33" t="s">
        <v>89</v>
      </c>
      <c r="AW3" s="33" t="s">
        <v>90</v>
      </c>
      <c r="AX3" s="33" t="s">
        <v>91</v>
      </c>
      <c r="AY3" s="33" t="s">
        <v>88</v>
      </c>
      <c r="AZ3" s="33" t="s">
        <v>93</v>
      </c>
      <c r="BA3" s="33" t="s">
        <v>94</v>
      </c>
      <c r="BB3" s="33" t="s">
        <v>95</v>
      </c>
      <c r="BC3" s="33" t="s">
        <v>92</v>
      </c>
      <c r="BD3" s="33" t="s">
        <v>97</v>
      </c>
      <c r="BE3" s="33" t="s">
        <v>98</v>
      </c>
      <c r="BF3" s="33" t="s">
        <v>99</v>
      </c>
      <c r="BG3" s="33" t="s">
        <v>96</v>
      </c>
      <c r="BH3" s="33" t="s">
        <v>101</v>
      </c>
      <c r="BI3" s="33" t="s">
        <v>102</v>
      </c>
      <c r="BJ3" s="33" t="s">
        <v>103</v>
      </c>
      <c r="BK3" s="33" t="s">
        <v>100</v>
      </c>
      <c r="BL3" s="33" t="s">
        <v>105</v>
      </c>
      <c r="BM3" s="33" t="s">
        <v>106</v>
      </c>
      <c r="BN3" s="33" t="s">
        <v>107</v>
      </c>
      <c r="BO3" s="2" t="s">
        <v>104</v>
      </c>
      <c r="BP3" s="34" t="s">
        <v>108</v>
      </c>
      <c r="BQ3" s="34" t="s">
        <v>109</v>
      </c>
      <c r="BR3" s="34" t="s">
        <v>110</v>
      </c>
      <c r="BS3" s="34" t="s">
        <v>3802</v>
      </c>
      <c r="BT3" s="34" t="s">
        <v>3803</v>
      </c>
      <c r="BU3" s="34" t="s">
        <v>3804</v>
      </c>
      <c r="BV3" s="34" t="s">
        <v>4099</v>
      </c>
      <c r="BZ3" s="2">
        <v>2010</v>
      </c>
      <c r="CA3" s="2">
        <f t="shared" ref="CA3:EK3" si="0">BZ3+1</f>
        <v>2011</v>
      </c>
      <c r="CB3" s="2">
        <f t="shared" si="0"/>
        <v>2012</v>
      </c>
      <c r="CC3" s="2">
        <f t="shared" si="0"/>
        <v>2013</v>
      </c>
      <c r="CD3" s="2">
        <f t="shared" si="0"/>
        <v>2014</v>
      </c>
      <c r="CE3" s="2">
        <f t="shared" si="0"/>
        <v>2015</v>
      </c>
      <c r="CF3" s="2">
        <f t="shared" si="0"/>
        <v>2016</v>
      </c>
      <c r="CG3" s="2">
        <f t="shared" si="0"/>
        <v>2017</v>
      </c>
      <c r="CH3" s="2">
        <f t="shared" si="0"/>
        <v>2018</v>
      </c>
      <c r="CI3" s="2">
        <f t="shared" si="0"/>
        <v>2019</v>
      </c>
      <c r="CJ3" s="2">
        <f t="shared" si="0"/>
        <v>2020</v>
      </c>
      <c r="CK3" s="2">
        <f t="shared" si="0"/>
        <v>2021</v>
      </c>
      <c r="CL3" s="2">
        <f t="shared" si="0"/>
        <v>2022</v>
      </c>
      <c r="CM3" s="2">
        <f t="shared" si="0"/>
        <v>2023</v>
      </c>
      <c r="CN3" s="2">
        <f t="shared" si="0"/>
        <v>2024</v>
      </c>
      <c r="CO3" s="2">
        <f t="shared" si="0"/>
        <v>2025</v>
      </c>
      <c r="CP3" s="70">
        <f t="shared" si="0"/>
        <v>2026</v>
      </c>
      <c r="CQ3" s="70">
        <f t="shared" si="0"/>
        <v>2027</v>
      </c>
      <c r="CR3" s="70">
        <f t="shared" si="0"/>
        <v>2028</v>
      </c>
      <c r="CS3" s="70">
        <f t="shared" si="0"/>
        <v>2029</v>
      </c>
      <c r="CT3" s="70">
        <f t="shared" si="0"/>
        <v>2030</v>
      </c>
      <c r="CU3" s="70">
        <f t="shared" si="0"/>
        <v>2031</v>
      </c>
      <c r="CV3" s="70">
        <f t="shared" si="0"/>
        <v>2032</v>
      </c>
      <c r="CW3" s="70">
        <f t="shared" si="0"/>
        <v>2033</v>
      </c>
      <c r="CX3" s="70">
        <f t="shared" si="0"/>
        <v>2034</v>
      </c>
      <c r="CY3" s="70">
        <f t="shared" si="0"/>
        <v>2035</v>
      </c>
      <c r="CZ3" s="70">
        <f t="shared" si="0"/>
        <v>2036</v>
      </c>
      <c r="DA3" s="70">
        <f t="shared" si="0"/>
        <v>2037</v>
      </c>
      <c r="DB3" s="70">
        <f t="shared" si="0"/>
        <v>2038</v>
      </c>
      <c r="DC3" s="70">
        <f t="shared" si="0"/>
        <v>2039</v>
      </c>
      <c r="DD3" s="70">
        <f t="shared" si="0"/>
        <v>2040</v>
      </c>
      <c r="DE3" s="70">
        <f t="shared" si="0"/>
        <v>2041</v>
      </c>
      <c r="DF3" s="70">
        <f t="shared" si="0"/>
        <v>2042</v>
      </c>
      <c r="DG3" s="70">
        <f t="shared" si="0"/>
        <v>2043</v>
      </c>
      <c r="DH3" s="70">
        <f t="shared" si="0"/>
        <v>2044</v>
      </c>
      <c r="DI3" s="70">
        <f t="shared" si="0"/>
        <v>2045</v>
      </c>
      <c r="DJ3" s="70">
        <f t="shared" si="0"/>
        <v>2046</v>
      </c>
      <c r="DK3" s="70">
        <f t="shared" si="0"/>
        <v>2047</v>
      </c>
      <c r="DL3" s="70">
        <f t="shared" si="0"/>
        <v>2048</v>
      </c>
      <c r="DM3" s="70">
        <f t="shared" si="0"/>
        <v>2049</v>
      </c>
      <c r="DN3" s="70">
        <f t="shared" si="0"/>
        <v>2050</v>
      </c>
      <c r="DO3" s="70">
        <f t="shared" si="0"/>
        <v>2051</v>
      </c>
      <c r="DP3" s="70">
        <f t="shared" si="0"/>
        <v>2052</v>
      </c>
      <c r="DQ3" s="70">
        <f t="shared" si="0"/>
        <v>2053</v>
      </c>
      <c r="DR3" s="70">
        <f t="shared" si="0"/>
        <v>2054</v>
      </c>
      <c r="DS3" s="70">
        <f t="shared" si="0"/>
        <v>2055</v>
      </c>
      <c r="DT3" s="70">
        <f t="shared" si="0"/>
        <v>2056</v>
      </c>
      <c r="DU3" s="70">
        <f t="shared" si="0"/>
        <v>2057</v>
      </c>
      <c r="DV3" s="70">
        <f t="shared" si="0"/>
        <v>2058</v>
      </c>
      <c r="DW3" s="70">
        <f t="shared" si="0"/>
        <v>2059</v>
      </c>
      <c r="DX3" s="70">
        <f t="shared" si="0"/>
        <v>2060</v>
      </c>
      <c r="DY3" s="70">
        <f t="shared" si="0"/>
        <v>2061</v>
      </c>
      <c r="DZ3" s="70">
        <f t="shared" si="0"/>
        <v>2062</v>
      </c>
      <c r="EA3" s="70">
        <f t="shared" si="0"/>
        <v>2063</v>
      </c>
      <c r="EB3" s="70">
        <f t="shared" si="0"/>
        <v>2064</v>
      </c>
      <c r="EC3" s="70">
        <f t="shared" si="0"/>
        <v>2065</v>
      </c>
      <c r="ED3" s="70">
        <f t="shared" si="0"/>
        <v>2066</v>
      </c>
      <c r="EE3" s="70">
        <f t="shared" si="0"/>
        <v>2067</v>
      </c>
      <c r="EF3" s="70">
        <f t="shared" si="0"/>
        <v>2068</v>
      </c>
      <c r="EG3" s="70">
        <f t="shared" si="0"/>
        <v>2069</v>
      </c>
      <c r="EH3" s="70">
        <f t="shared" si="0"/>
        <v>2070</v>
      </c>
      <c r="EI3" s="70">
        <f t="shared" si="0"/>
        <v>2071</v>
      </c>
      <c r="EJ3" s="70">
        <f t="shared" si="0"/>
        <v>2072</v>
      </c>
      <c r="EK3" s="70">
        <f t="shared" si="0"/>
        <v>2073</v>
      </c>
      <c r="EL3" s="70">
        <f t="shared" ref="EL3:EV3" si="1">EK3+1</f>
        <v>2074</v>
      </c>
      <c r="EM3" s="70">
        <f t="shared" si="1"/>
        <v>2075</v>
      </c>
      <c r="EN3" s="70">
        <f t="shared" si="1"/>
        <v>2076</v>
      </c>
      <c r="EO3" s="70">
        <f t="shared" si="1"/>
        <v>2077</v>
      </c>
      <c r="EP3" s="70">
        <f t="shared" si="1"/>
        <v>2078</v>
      </c>
      <c r="EQ3" s="70">
        <f t="shared" si="1"/>
        <v>2079</v>
      </c>
      <c r="ER3" s="70">
        <f t="shared" si="1"/>
        <v>2080</v>
      </c>
      <c r="ES3" s="70">
        <f t="shared" si="1"/>
        <v>2081</v>
      </c>
      <c r="ET3" s="70">
        <f t="shared" si="1"/>
        <v>2082</v>
      </c>
      <c r="EU3" s="70">
        <f t="shared" si="1"/>
        <v>2083</v>
      </c>
      <c r="EV3" s="70">
        <f t="shared" si="1"/>
        <v>2084</v>
      </c>
      <c r="EW3" s="70"/>
      <c r="EX3" s="70"/>
      <c r="EY3" s="2"/>
    </row>
    <row r="4" spans="2:155">
      <c r="B4" s="36" t="s">
        <v>202</v>
      </c>
      <c r="BG4" s="1">
        <v>18062</v>
      </c>
      <c r="BH4" s="1">
        <v>19597</v>
      </c>
      <c r="BI4" s="1">
        <v>20266</v>
      </c>
      <c r="BJ4" s="1">
        <f>79828-SUM(BG4:BI4)</f>
        <v>21903</v>
      </c>
      <c r="BK4" s="1">
        <v>22155</v>
      </c>
      <c r="BL4" s="37">
        <v>23641</v>
      </c>
      <c r="BM4" s="37">
        <v>24761</v>
      </c>
      <c r="BN4" s="1">
        <f>98435-SUM(BK4:BM4)</f>
        <v>27878</v>
      </c>
      <c r="BO4" s="37">
        <v>28872</v>
      </c>
      <c r="CN4" s="1">
        <f t="shared" ref="CN4:CN13" si="2">SUM(BG4:BJ4)</f>
        <v>79828</v>
      </c>
      <c r="CO4" s="1">
        <f t="shared" ref="CO4:CO14" si="3">SUM(BK4:BN4)</f>
        <v>98435</v>
      </c>
      <c r="CP4" s="72">
        <f>CO4*(1+CP16)</f>
        <v>124028.1</v>
      </c>
      <c r="CQ4" s="72">
        <f t="shared" ref="CQ4:CX4" si="4">CP4*(1+CQ16)</f>
        <v>152554.56299999999</v>
      </c>
      <c r="CR4" s="72">
        <f t="shared" si="4"/>
        <v>184591.02122999998</v>
      </c>
      <c r="CS4" s="72">
        <f t="shared" si="4"/>
        <v>219663.31526369997</v>
      </c>
      <c r="CT4" s="72">
        <f t="shared" si="4"/>
        <v>257006.07885852896</v>
      </c>
      <c r="CU4" s="72">
        <f t="shared" si="4"/>
        <v>292986.92989872303</v>
      </c>
      <c r="CV4" s="72">
        <f t="shared" si="4"/>
        <v>325215.4921875826</v>
      </c>
      <c r="CW4" s="72">
        <f t="shared" si="4"/>
        <v>351232.73156258924</v>
      </c>
      <c r="CX4" s="72">
        <f t="shared" si="4"/>
        <v>372306.69545634463</v>
      </c>
      <c r="CY4" s="72">
        <f t="shared" ref="CY4" si="5">CX4*(1+CY16)</f>
        <v>390922.0302291619</v>
      </c>
    </row>
    <row r="5" spans="2:155">
      <c r="B5" s="36" t="s">
        <v>201</v>
      </c>
      <c r="BG5" s="1">
        <v>18044</v>
      </c>
      <c r="BH5" s="1">
        <v>18321</v>
      </c>
      <c r="BI5" s="1">
        <v>19712</v>
      </c>
      <c r="BJ5" s="1">
        <f>76969-SUM(BG5:BI5)</f>
        <v>20892</v>
      </c>
      <c r="BK5" s="1">
        <v>20449</v>
      </c>
      <c r="BL5" s="37">
        <v>21117</v>
      </c>
      <c r="BM5" s="37">
        <v>21883</v>
      </c>
      <c r="BN5" s="1">
        <f>87767-SUM(BK5:BM5)</f>
        <v>24318</v>
      </c>
      <c r="BO5" s="37">
        <v>23966</v>
      </c>
      <c r="CN5" s="1">
        <f t="shared" si="2"/>
        <v>76969</v>
      </c>
      <c r="CO5" s="1">
        <f t="shared" si="3"/>
        <v>87767</v>
      </c>
      <c r="CP5" s="72">
        <f t="shared" ref="CP5:CX13" si="6">CO5*(1+CP17)</f>
        <v>100273.7975</v>
      </c>
      <c r="CQ5" s="72">
        <f t="shared" si="6"/>
        <v>112306.65320000002</v>
      </c>
      <c r="CR5" s="72">
        <f t="shared" si="6"/>
        <v>123537.31852000003</v>
      </c>
      <c r="CS5" s="72">
        <f t="shared" si="6"/>
        <v>134655.67718680005</v>
      </c>
      <c r="CT5" s="72">
        <f t="shared" si="6"/>
        <v>145428.13136174408</v>
      </c>
      <c r="CU5" s="72">
        <f t="shared" si="6"/>
        <v>155608.10055706618</v>
      </c>
      <c r="CV5" s="72">
        <f t="shared" si="6"/>
        <v>164944.58659049016</v>
      </c>
      <c r="CW5" s="72">
        <f t="shared" si="6"/>
        <v>173191.81592001466</v>
      </c>
      <c r="CX5" s="72">
        <f t="shared" si="6"/>
        <v>180119.48855681525</v>
      </c>
      <c r="CY5" s="72">
        <f t="shared" ref="CY5" si="7">CX5*(1+CY17)</f>
        <v>185523.0732135197</v>
      </c>
    </row>
    <row r="6" spans="2:155">
      <c r="B6" s="36" t="s">
        <v>203</v>
      </c>
      <c r="BG6" s="1">
        <v>3919</v>
      </c>
      <c r="BH6" s="1">
        <v>7111</v>
      </c>
      <c r="BI6" s="1">
        <v>5451</v>
      </c>
      <c r="BJ6" s="1">
        <f>21503-SUM(BG6:BI6)</f>
        <v>5022</v>
      </c>
      <c r="BK6" s="1">
        <v>5621</v>
      </c>
      <c r="BL6" s="37">
        <v>6581</v>
      </c>
      <c r="BM6" s="37">
        <v>5721</v>
      </c>
      <c r="BN6" s="1">
        <f>23455-SUM(BK6:BM6)</f>
        <v>5532</v>
      </c>
      <c r="BO6" s="37">
        <v>5508</v>
      </c>
      <c r="CN6" s="1">
        <f t="shared" si="2"/>
        <v>21503</v>
      </c>
      <c r="CO6" s="1">
        <f t="shared" si="3"/>
        <v>23455</v>
      </c>
      <c r="CP6" s="72">
        <f t="shared" si="6"/>
        <v>24393.200000000001</v>
      </c>
      <c r="CQ6" s="72">
        <f t="shared" si="6"/>
        <v>24637.132000000001</v>
      </c>
      <c r="CR6" s="72">
        <f t="shared" si="6"/>
        <v>24883.503320000003</v>
      </c>
      <c r="CS6" s="72">
        <f t="shared" si="6"/>
        <v>25132.338353200004</v>
      </c>
      <c r="CT6" s="72">
        <f t="shared" si="6"/>
        <v>25383.661736732003</v>
      </c>
      <c r="CU6" s="72">
        <f t="shared" si="6"/>
        <v>25637.498354099323</v>
      </c>
      <c r="CV6" s="72">
        <f t="shared" si="6"/>
        <v>25893.873337640318</v>
      </c>
      <c r="CW6" s="72">
        <f t="shared" si="6"/>
        <v>26152.81207101672</v>
      </c>
      <c r="CX6" s="72">
        <f t="shared" si="6"/>
        <v>26414.340191726889</v>
      </c>
      <c r="CY6" s="72">
        <f t="shared" ref="CY6" si="8">CX6*(1+CY18)</f>
        <v>26678.48359364416</v>
      </c>
    </row>
    <row r="7" spans="2:155">
      <c r="B7" s="36" t="s">
        <v>204</v>
      </c>
      <c r="BG7" s="1">
        <v>4340</v>
      </c>
      <c r="BH7" s="1">
        <v>4195</v>
      </c>
      <c r="BI7" s="1">
        <v>4013</v>
      </c>
      <c r="BJ7" s="1">
        <f>16372-SUM(BG7:BI7)</f>
        <v>3824</v>
      </c>
      <c r="BK7" s="1">
        <v>4329</v>
      </c>
      <c r="BL7" s="37">
        <v>4587</v>
      </c>
      <c r="BM7" s="37">
        <v>4311</v>
      </c>
      <c r="BN7" s="1">
        <f>17812-SUM(BK7:BM7)</f>
        <v>4585</v>
      </c>
      <c r="BO7" s="37">
        <v>4714</v>
      </c>
      <c r="CN7" s="1">
        <f t="shared" si="2"/>
        <v>16372</v>
      </c>
      <c r="CO7" s="1">
        <f t="shared" si="3"/>
        <v>17812</v>
      </c>
      <c r="CP7" s="72">
        <f t="shared" si="6"/>
        <v>20661.919999999998</v>
      </c>
      <c r="CQ7" s="72">
        <f t="shared" si="6"/>
        <v>23761.207999999995</v>
      </c>
      <c r="CR7" s="72">
        <f t="shared" si="6"/>
        <v>26612.552959999997</v>
      </c>
      <c r="CS7" s="72">
        <f t="shared" si="6"/>
        <v>29273.808256</v>
      </c>
      <c r="CT7" s="72">
        <f t="shared" si="6"/>
        <v>31908.450999040004</v>
      </c>
      <c r="CU7" s="72">
        <f t="shared" si="6"/>
        <v>34620.669333958402</v>
      </c>
      <c r="CV7" s="72">
        <f t="shared" si="6"/>
        <v>37390.322880675078</v>
      </c>
      <c r="CW7" s="72">
        <f t="shared" si="6"/>
        <v>40194.597096725709</v>
      </c>
      <c r="CX7" s="72">
        <f t="shared" si="6"/>
        <v>43008.218893496509</v>
      </c>
      <c r="CY7" s="72">
        <f t="shared" ref="CY7" si="9">CX7*(1+CY19)</f>
        <v>45588.712027106303</v>
      </c>
    </row>
    <row r="8" spans="2:155">
      <c r="B8" s="36" t="s">
        <v>205</v>
      </c>
      <c r="BG8" s="1">
        <v>3913</v>
      </c>
      <c r="BH8" s="1">
        <v>4363</v>
      </c>
      <c r="BI8" s="1">
        <v>4098</v>
      </c>
      <c r="BJ8" s="1">
        <f>17026-SUM(BG8:BI8)</f>
        <v>4652</v>
      </c>
      <c r="BK8" s="1">
        <v>4292</v>
      </c>
      <c r="BL8" s="37">
        <v>4512</v>
      </c>
      <c r="BM8" s="37">
        <v>4144</v>
      </c>
      <c r="BN8" s="1">
        <f>17314-SUM(BK8:BM8)</f>
        <v>4366</v>
      </c>
      <c r="BO8" s="37">
        <v>4551</v>
      </c>
      <c r="CN8" s="1">
        <f t="shared" si="2"/>
        <v>17026</v>
      </c>
      <c r="CO8" s="1">
        <f t="shared" si="3"/>
        <v>17314</v>
      </c>
      <c r="CP8" s="72">
        <f t="shared" si="6"/>
        <v>18179.7</v>
      </c>
      <c r="CQ8" s="72">
        <f t="shared" si="6"/>
        <v>18815.9895</v>
      </c>
      <c r="CR8" s="72">
        <f t="shared" si="6"/>
        <v>19380.469185000002</v>
      </c>
      <c r="CS8" s="72">
        <f t="shared" si="6"/>
        <v>19768.078568700003</v>
      </c>
      <c r="CT8" s="72">
        <f t="shared" si="6"/>
        <v>20163.440140074003</v>
      </c>
      <c r="CU8" s="72">
        <f t="shared" si="6"/>
        <v>20465.89174217511</v>
      </c>
      <c r="CV8" s="72">
        <f t="shared" si="6"/>
        <v>20772.880118307734</v>
      </c>
      <c r="CW8" s="72">
        <f t="shared" si="6"/>
        <v>20980.608919490813</v>
      </c>
      <c r="CX8" s="72">
        <f t="shared" si="6"/>
        <v>21190.415008685723</v>
      </c>
      <c r="CY8" s="72">
        <f t="shared" ref="CY8" si="10">CX8*(1+CY20)</f>
        <v>21402.319158772581</v>
      </c>
    </row>
    <row r="9" spans="2:155">
      <c r="B9" s="36" t="s">
        <v>206</v>
      </c>
      <c r="BG9" s="1">
        <v>3018</v>
      </c>
      <c r="BH9" s="1">
        <v>3168</v>
      </c>
      <c r="BI9" s="1">
        <v>3055</v>
      </c>
      <c r="BJ9" s="1">
        <f>12306-SUM(BG9:BI9)</f>
        <v>3065</v>
      </c>
      <c r="BK9" s="1">
        <v>3225</v>
      </c>
      <c r="BL9" s="37">
        <v>3558</v>
      </c>
      <c r="BM9" s="37">
        <v>3504</v>
      </c>
      <c r="BN9" s="1">
        <f>13878-SUM(BK9:BM9)</f>
        <v>3591</v>
      </c>
      <c r="BO9" s="37">
        <v>3697</v>
      </c>
      <c r="CN9" s="1">
        <f t="shared" si="2"/>
        <v>12306</v>
      </c>
      <c r="CO9" s="1">
        <f t="shared" si="3"/>
        <v>13878</v>
      </c>
      <c r="CP9" s="72">
        <f t="shared" si="6"/>
        <v>15959.699999999999</v>
      </c>
      <c r="CQ9" s="72">
        <f t="shared" si="6"/>
        <v>18832.445999999996</v>
      </c>
      <c r="CR9" s="72">
        <f t="shared" si="6"/>
        <v>22787.259659999996</v>
      </c>
      <c r="CS9" s="72">
        <f t="shared" si="6"/>
        <v>26661.093802199994</v>
      </c>
      <c r="CT9" s="72">
        <f t="shared" si="6"/>
        <v>30660.25787252999</v>
      </c>
      <c r="CU9" s="72">
        <f t="shared" si="6"/>
        <v>34339.488817233592</v>
      </c>
      <c r="CV9" s="72">
        <f t="shared" si="6"/>
        <v>37773.437698956957</v>
      </c>
      <c r="CW9" s="72">
        <f t="shared" si="6"/>
        <v>40795.312714873515</v>
      </c>
      <c r="CX9" s="72">
        <f t="shared" si="6"/>
        <v>43243.03147776593</v>
      </c>
      <c r="CY9" s="72">
        <f t="shared" ref="CY9" si="11">CX9*(1+CY21)</f>
        <v>45405.183051654225</v>
      </c>
    </row>
    <row r="10" spans="2:155">
      <c r="B10" s="36" t="s">
        <v>207</v>
      </c>
      <c r="BG10" s="1">
        <v>1944</v>
      </c>
      <c r="BH10" s="1">
        <v>1917</v>
      </c>
      <c r="BI10" s="1">
        <v>1861</v>
      </c>
      <c r="BJ10" s="1">
        <f>6831-SUM(BG10:BI10)</f>
        <v>1109</v>
      </c>
      <c r="BK10" s="1">
        <v>1928</v>
      </c>
      <c r="BL10" s="37">
        <v>1892</v>
      </c>
      <c r="BM10" s="37">
        <v>1946</v>
      </c>
      <c r="BN10" s="1">
        <f>7827-SUM(BK10:BM10)</f>
        <v>2061</v>
      </c>
      <c r="BO10" s="37">
        <v>2204</v>
      </c>
      <c r="CN10" s="1">
        <f t="shared" si="2"/>
        <v>6831</v>
      </c>
      <c r="CO10" s="1">
        <f t="shared" si="3"/>
        <v>7827</v>
      </c>
      <c r="CP10" s="72">
        <f t="shared" si="6"/>
        <v>10175.1</v>
      </c>
      <c r="CQ10" s="72">
        <f t="shared" si="6"/>
        <v>12108.369000000001</v>
      </c>
      <c r="CR10" s="72">
        <f t="shared" si="6"/>
        <v>14166.791729999999</v>
      </c>
      <c r="CS10" s="72">
        <f t="shared" si="6"/>
        <v>16291.810489499998</v>
      </c>
      <c r="CT10" s="72">
        <f t="shared" si="6"/>
        <v>18409.745853134995</v>
      </c>
      <c r="CU10" s="72">
        <f t="shared" si="6"/>
        <v>20434.817896979846</v>
      </c>
      <c r="CV10" s="72">
        <f t="shared" si="6"/>
        <v>22069.603328738234</v>
      </c>
      <c r="CW10" s="72">
        <f t="shared" si="6"/>
        <v>23614.47556174991</v>
      </c>
      <c r="CX10" s="72">
        <f t="shared" si="6"/>
        <v>25031.344095454908</v>
      </c>
      <c r="CY10" s="72">
        <f t="shared" ref="CY10" si="12">CX10*(1+CY22)</f>
        <v>26282.911300227654</v>
      </c>
    </row>
    <row r="11" spans="2:155">
      <c r="B11" s="36" t="s">
        <v>208</v>
      </c>
      <c r="BG11" s="1">
        <v>1626</v>
      </c>
      <c r="BH11" s="1">
        <v>1659</v>
      </c>
      <c r="BI11" s="1">
        <v>1740</v>
      </c>
      <c r="BJ11" s="1">
        <f>7594-SUM(BG11:BI11)</f>
        <v>2569</v>
      </c>
      <c r="BK11" s="1">
        <v>1849</v>
      </c>
      <c r="BL11" s="37">
        <v>1913</v>
      </c>
      <c r="BM11" s="37">
        <v>1929</v>
      </c>
      <c r="BN11" s="1">
        <f>7760-SUM(BK11:BM11)</f>
        <v>2069</v>
      </c>
      <c r="BO11" s="37">
        <v>2136</v>
      </c>
      <c r="CN11" s="1">
        <f t="shared" si="2"/>
        <v>7594</v>
      </c>
      <c r="CO11" s="1">
        <f t="shared" si="3"/>
        <v>7760</v>
      </c>
      <c r="CP11" s="72">
        <f t="shared" si="6"/>
        <v>8380.8000000000011</v>
      </c>
      <c r="CQ11" s="72">
        <f t="shared" si="6"/>
        <v>8716.0320000000011</v>
      </c>
      <c r="CR11" s="72">
        <f t="shared" si="6"/>
        <v>9064.6732800000009</v>
      </c>
      <c r="CS11" s="72">
        <f t="shared" si="6"/>
        <v>9427.2602112000004</v>
      </c>
      <c r="CT11" s="72">
        <f t="shared" si="6"/>
        <v>9710.0780175360014</v>
      </c>
      <c r="CU11" s="72">
        <f t="shared" si="6"/>
        <v>10001.380358062082</v>
      </c>
      <c r="CV11" s="72">
        <f t="shared" si="6"/>
        <v>10301.421768803944</v>
      </c>
      <c r="CW11" s="72">
        <f t="shared" si="6"/>
        <v>10507.450204180024</v>
      </c>
      <c r="CX11" s="72">
        <f t="shared" si="6"/>
        <v>10717.599208263626</v>
      </c>
      <c r="CY11" s="72">
        <f t="shared" ref="CY11" si="13">CX11*(1+CY23)</f>
        <v>10931.951192428898</v>
      </c>
    </row>
    <row r="12" spans="2:155">
      <c r="B12" s="36" t="s">
        <v>209</v>
      </c>
      <c r="BG12" s="1">
        <v>1643</v>
      </c>
      <c r="BH12" s="1">
        <v>1679</v>
      </c>
      <c r="BI12" s="1">
        <v>1648</v>
      </c>
      <c r="BJ12" s="1">
        <f>6648-SUM(BG12:BI12)</f>
        <v>1678</v>
      </c>
      <c r="BK12" s="1">
        <v>1727</v>
      </c>
      <c r="BL12" s="37">
        <v>1821</v>
      </c>
      <c r="BM12" s="37">
        <v>1821</v>
      </c>
      <c r="BN12" s="1">
        <f>7404-SUM(BK12:BM12)</f>
        <v>2035</v>
      </c>
      <c r="BO12" s="37">
        <v>2022</v>
      </c>
      <c r="CN12" s="1">
        <f t="shared" si="2"/>
        <v>6648</v>
      </c>
      <c r="CO12" s="1">
        <f t="shared" si="3"/>
        <v>7404</v>
      </c>
      <c r="CP12" s="72">
        <f t="shared" si="6"/>
        <v>8588.64</v>
      </c>
      <c r="CQ12" s="72">
        <f t="shared" si="6"/>
        <v>9876.9359999999979</v>
      </c>
      <c r="CR12" s="72">
        <f t="shared" si="6"/>
        <v>11259.707039999999</v>
      </c>
      <c r="CS12" s="72">
        <f t="shared" si="6"/>
        <v>12610.871884800001</v>
      </c>
      <c r="CT12" s="72">
        <f t="shared" si="6"/>
        <v>13871.959073280002</v>
      </c>
      <c r="CU12" s="72">
        <f t="shared" si="6"/>
        <v>14981.715799142403</v>
      </c>
      <c r="CV12" s="72">
        <f t="shared" si="6"/>
        <v>16030.435905082371</v>
      </c>
      <c r="CW12" s="72">
        <f t="shared" si="6"/>
        <v>16992.262059387314</v>
      </c>
      <c r="CX12" s="72">
        <f t="shared" si="6"/>
        <v>17841.875162356682</v>
      </c>
      <c r="CY12" s="72">
        <f t="shared" ref="CY12" si="14">CX12*(1+CY24)</f>
        <v>18555.55016885095</v>
      </c>
    </row>
    <row r="13" spans="2:155">
      <c r="B13" s="36" t="s">
        <v>210</v>
      </c>
      <c r="BG13" s="1">
        <v>8</v>
      </c>
      <c r="BH13" s="1">
        <v>10</v>
      </c>
      <c r="BI13" s="1">
        <v>14</v>
      </c>
      <c r="BJ13" s="1">
        <f>45-SUM(BG13:BI13)</f>
        <v>13</v>
      </c>
      <c r="BK13" s="1">
        <v>10</v>
      </c>
      <c r="BL13" s="37">
        <v>10</v>
      </c>
      <c r="BM13" s="37">
        <v>46</v>
      </c>
      <c r="BN13" s="1">
        <f>72-SUM(BK13:BM13)</f>
        <v>6</v>
      </c>
      <c r="BO13" s="37">
        <v>3</v>
      </c>
      <c r="CN13" s="1">
        <f t="shared" si="2"/>
        <v>45</v>
      </c>
      <c r="CO13" s="1">
        <f t="shared" si="3"/>
        <v>72</v>
      </c>
      <c r="CP13" s="72">
        <f t="shared" si="6"/>
        <v>68.399999999999991</v>
      </c>
      <c r="CQ13" s="72">
        <f t="shared" si="6"/>
        <v>71.819999999999993</v>
      </c>
      <c r="CR13" s="72">
        <f t="shared" si="6"/>
        <v>75.411000000000001</v>
      </c>
      <c r="CS13" s="72">
        <f t="shared" si="6"/>
        <v>79.181550000000001</v>
      </c>
      <c r="CT13" s="72">
        <f t="shared" si="6"/>
        <v>83.140627500000008</v>
      </c>
      <c r="CU13" s="72">
        <f t="shared" si="6"/>
        <v>87.29765887500001</v>
      </c>
      <c r="CV13" s="72">
        <f t="shared" si="6"/>
        <v>91.662541818750014</v>
      </c>
      <c r="CW13" s="72">
        <f t="shared" si="6"/>
        <v>96.245668909687524</v>
      </c>
      <c r="CX13" s="72">
        <f t="shared" si="6"/>
        <v>101.05795235517191</v>
      </c>
      <c r="CY13" s="72">
        <f t="shared" ref="CY13" si="15">CX13*(1+CY25)</f>
        <v>106.11084997293051</v>
      </c>
    </row>
    <row r="14" spans="2:155" s="2" customFormat="1" ht="15">
      <c r="B14" s="33" t="s">
        <v>113</v>
      </c>
      <c r="AM14" s="33"/>
      <c r="AN14" s="33"/>
      <c r="AO14" s="33"/>
      <c r="AP14" s="33"/>
      <c r="AQ14" s="33"/>
      <c r="AR14" s="33"/>
      <c r="AS14" s="33"/>
      <c r="AT14" s="33"/>
      <c r="AU14" s="33"/>
      <c r="AV14" s="33"/>
      <c r="AW14" s="33"/>
      <c r="AX14" s="33"/>
      <c r="AY14" s="33"/>
      <c r="AZ14" s="33"/>
      <c r="BA14" s="33"/>
      <c r="BB14" s="33"/>
      <c r="BC14" s="33"/>
      <c r="BD14" s="33"/>
      <c r="BE14" s="33"/>
      <c r="BF14" s="33"/>
      <c r="BG14" s="33">
        <f t="shared" ref="BG14:BL14" si="16">SUM(BG4:BG13)</f>
        <v>56517</v>
      </c>
      <c r="BH14" s="33">
        <f>SUM(BH4:BH13)</f>
        <v>62020</v>
      </c>
      <c r="BI14" s="33">
        <f t="shared" si="16"/>
        <v>61858</v>
      </c>
      <c r="BJ14" s="33">
        <v>64727</v>
      </c>
      <c r="BK14" s="33">
        <f t="shared" si="16"/>
        <v>65585</v>
      </c>
      <c r="BL14" s="33">
        <f t="shared" si="16"/>
        <v>69632</v>
      </c>
      <c r="BM14" s="33">
        <f>SUM(BM4:BM13)</f>
        <v>70066</v>
      </c>
      <c r="BN14" s="33">
        <f>SUM(BN4:BN13)</f>
        <v>76441</v>
      </c>
      <c r="BO14" s="33">
        <f>SUM(BO4:BO13)</f>
        <v>77673</v>
      </c>
      <c r="BP14" s="34"/>
      <c r="BQ14" s="34"/>
      <c r="BR14" s="34"/>
      <c r="CN14" s="2">
        <f>SUM(CN4:CN13)</f>
        <v>245122</v>
      </c>
      <c r="CO14" s="2">
        <f t="shared" si="3"/>
        <v>281724</v>
      </c>
      <c r="CP14" s="80">
        <f>SUM(CP4:CP13)</f>
        <v>330709.35750000004</v>
      </c>
      <c r="CQ14" s="80">
        <f t="shared" ref="CQ14:CY14" si="17">SUM(CQ4:CQ13)</f>
        <v>381681.14870000002</v>
      </c>
      <c r="CR14" s="80">
        <f t="shared" si="17"/>
        <v>436358.70792500005</v>
      </c>
      <c r="CS14" s="80">
        <f t="shared" si="17"/>
        <v>493563.4355661</v>
      </c>
      <c r="CT14" s="80">
        <f t="shared" si="17"/>
        <v>552624.94454009994</v>
      </c>
      <c r="CU14" s="80">
        <f t="shared" si="17"/>
        <v>609163.79041631497</v>
      </c>
      <c r="CV14" s="80">
        <f t="shared" si="17"/>
        <v>660483.71635809622</v>
      </c>
      <c r="CW14" s="80">
        <f t="shared" si="17"/>
        <v>703758.31177893758</v>
      </c>
      <c r="CX14" s="80">
        <f t="shared" si="17"/>
        <v>739974.06600326532</v>
      </c>
      <c r="CY14" s="80">
        <f t="shared" si="17"/>
        <v>771396.3247853393</v>
      </c>
      <c r="CZ14" s="70"/>
      <c r="DA14" s="70"/>
      <c r="DB14" s="70"/>
      <c r="DC14" s="70"/>
      <c r="DD14" s="70"/>
      <c r="DE14" s="70"/>
      <c r="DF14" s="70"/>
      <c r="DG14" s="70"/>
      <c r="DH14" s="70"/>
      <c r="DI14" s="70"/>
      <c r="DJ14" s="70"/>
      <c r="DK14" s="70"/>
      <c r="DL14" s="70"/>
      <c r="DM14" s="70"/>
      <c r="DN14" s="70"/>
      <c r="DO14" s="70"/>
      <c r="DP14" s="70"/>
      <c r="DQ14" s="70"/>
      <c r="DR14" s="70"/>
      <c r="DS14" s="70"/>
      <c r="DT14" s="70"/>
      <c r="DU14" s="70"/>
      <c r="DV14" s="70"/>
      <c r="DW14" s="70"/>
      <c r="DX14" s="70"/>
      <c r="DY14" s="70"/>
      <c r="DZ14" s="70"/>
      <c r="EA14" s="70"/>
      <c r="EB14" s="70"/>
      <c r="EC14" s="70"/>
      <c r="ED14" s="70"/>
      <c r="EE14" s="70"/>
      <c r="EF14" s="70"/>
      <c r="EG14" s="70"/>
      <c r="EH14" s="70"/>
      <c r="EI14" s="70"/>
      <c r="EJ14" s="70"/>
      <c r="EK14" s="70"/>
      <c r="EL14" s="70"/>
      <c r="EM14" s="70"/>
      <c r="EN14" s="70"/>
      <c r="EO14" s="70"/>
      <c r="EP14" s="70"/>
      <c r="EQ14" s="70"/>
      <c r="ER14" s="70"/>
      <c r="ES14" s="70"/>
      <c r="ET14" s="70"/>
      <c r="EU14" s="70"/>
      <c r="EV14" s="70"/>
      <c r="EW14" s="70"/>
      <c r="EX14" s="70"/>
    </row>
    <row r="15" spans="2:155">
      <c r="B15" s="36"/>
      <c r="BO15" s="37"/>
    </row>
    <row r="16" spans="2:155">
      <c r="B16" s="36" t="s">
        <v>211</v>
      </c>
      <c r="BG16" s="47"/>
      <c r="BH16" s="47"/>
      <c r="BI16" s="47"/>
      <c r="BJ16" s="47"/>
      <c r="BK16" s="48">
        <f t="shared" ref="BK16:BL16" si="18">BK4/BG4-1</f>
        <v>0.22660834902004212</v>
      </c>
      <c r="BL16" s="48">
        <f t="shared" si="18"/>
        <v>0.20635811603816911</v>
      </c>
      <c r="BM16" s="48">
        <f>BM4/BI4-1</f>
        <v>0.22180005921247403</v>
      </c>
      <c r="BN16" s="48">
        <f>BN4/BJ4-1</f>
        <v>0.27279368123088155</v>
      </c>
      <c r="BO16" s="48">
        <f>BO4/BK4-1</f>
        <v>0.30318212593094107</v>
      </c>
      <c r="CO16" s="48">
        <f>CO4/CN4-1</f>
        <v>0.23308864057724099</v>
      </c>
      <c r="CP16" s="71">
        <v>0.26</v>
      </c>
      <c r="CQ16" s="71">
        <v>0.23</v>
      </c>
      <c r="CR16" s="71">
        <v>0.21</v>
      </c>
      <c r="CS16" s="71">
        <v>0.19</v>
      </c>
      <c r="CT16" s="71">
        <v>0.17</v>
      </c>
      <c r="CU16" s="71">
        <v>0.14000000000000001</v>
      </c>
      <c r="CV16" s="71">
        <v>0.11</v>
      </c>
      <c r="CW16" s="71">
        <v>0.08</v>
      </c>
      <c r="CX16" s="71">
        <v>0.06</v>
      </c>
      <c r="CY16" s="71">
        <v>0.05</v>
      </c>
    </row>
    <row r="17" spans="2:154">
      <c r="B17" s="36" t="s">
        <v>212</v>
      </c>
      <c r="BG17" s="47"/>
      <c r="BH17" s="47"/>
      <c r="BI17" s="47"/>
      <c r="BJ17" s="47"/>
      <c r="BK17" s="48">
        <f t="shared" ref="BK17:BO17" si="19">BK5/BG5-1</f>
        <v>0.13328530259366</v>
      </c>
      <c r="BL17" s="48">
        <f t="shared" si="19"/>
        <v>0.15261175700016372</v>
      </c>
      <c r="BM17" s="48">
        <f t="shared" si="19"/>
        <v>0.11013595779220786</v>
      </c>
      <c r="BN17" s="48">
        <f t="shared" si="19"/>
        <v>0.16398621481906961</v>
      </c>
      <c r="BO17" s="48">
        <f t="shared" si="19"/>
        <v>0.17198885031052868</v>
      </c>
      <c r="CO17" s="48">
        <f t="shared" ref="CO17:CO26" si="20">CO5/CN5-1</f>
        <v>0.14029024672270651</v>
      </c>
      <c r="CP17" s="71">
        <v>0.14249999999999999</v>
      </c>
      <c r="CQ17" s="71">
        <v>0.12</v>
      </c>
      <c r="CR17" s="71">
        <v>0.1</v>
      </c>
      <c r="CS17" s="71">
        <v>0.09</v>
      </c>
      <c r="CT17" s="71">
        <v>0.08</v>
      </c>
      <c r="CU17" s="71">
        <v>7.0000000000000007E-2</v>
      </c>
      <c r="CV17" s="71">
        <v>0.06</v>
      </c>
      <c r="CW17" s="71">
        <v>0.05</v>
      </c>
      <c r="CX17" s="71">
        <v>0.04</v>
      </c>
      <c r="CY17" s="71">
        <v>0.03</v>
      </c>
    </row>
    <row r="18" spans="2:154">
      <c r="B18" s="36" t="s">
        <v>213</v>
      </c>
      <c r="BG18" s="47"/>
      <c r="BH18" s="47"/>
      <c r="BI18" s="47"/>
      <c r="BJ18" s="47"/>
      <c r="BK18" s="48">
        <f t="shared" ref="BK18:BO18" si="21">BK6/BG6-1</f>
        <v>0.43429446287318196</v>
      </c>
      <c r="BL18" s="48">
        <f t="shared" si="21"/>
        <v>-7.4532414568977634E-2</v>
      </c>
      <c r="BM18" s="48">
        <f t="shared" si="21"/>
        <v>4.9532195927352696E-2</v>
      </c>
      <c r="BN18" s="48">
        <f t="shared" si="21"/>
        <v>0.10155316606929521</v>
      </c>
      <c r="BO18" s="48">
        <f t="shared" si="21"/>
        <v>-2.0103184486746084E-2</v>
      </c>
      <c r="CO18" s="48">
        <f t="shared" si="20"/>
        <v>9.077803097242243E-2</v>
      </c>
      <c r="CP18" s="71">
        <v>0.04</v>
      </c>
      <c r="CQ18" s="71">
        <v>0.01</v>
      </c>
      <c r="CR18" s="71">
        <v>0.01</v>
      </c>
      <c r="CS18" s="71">
        <v>0.01</v>
      </c>
      <c r="CT18" s="71">
        <v>0.01</v>
      </c>
      <c r="CU18" s="71">
        <v>0.01</v>
      </c>
      <c r="CV18" s="71">
        <v>0.01</v>
      </c>
      <c r="CW18" s="71">
        <v>0.01</v>
      </c>
      <c r="CX18" s="71">
        <v>0.01</v>
      </c>
      <c r="CY18" s="71">
        <v>0.01</v>
      </c>
    </row>
    <row r="19" spans="2:154">
      <c r="B19" s="36" t="s">
        <v>214</v>
      </c>
      <c r="BG19" s="47"/>
      <c r="BH19" s="47"/>
      <c r="BI19" s="47"/>
      <c r="BJ19" s="47"/>
      <c r="BK19" s="48">
        <f t="shared" ref="BK19:BO19" si="22">BK7/BG7-1</f>
        <v>-2.5345622119815614E-3</v>
      </c>
      <c r="BL19" s="48">
        <f t="shared" si="22"/>
        <v>9.3444576877234731E-2</v>
      </c>
      <c r="BM19" s="48">
        <f t="shared" si="22"/>
        <v>7.4258659357089529E-2</v>
      </c>
      <c r="BN19" s="48">
        <f t="shared" si="22"/>
        <v>0.19900627615062771</v>
      </c>
      <c r="BO19" s="48">
        <f t="shared" si="22"/>
        <v>8.8935088935088835E-2</v>
      </c>
      <c r="CO19" s="48">
        <f t="shared" si="20"/>
        <v>8.7955045199120452E-2</v>
      </c>
      <c r="CP19" s="71">
        <v>0.16</v>
      </c>
      <c r="CQ19" s="71">
        <v>0.15</v>
      </c>
      <c r="CR19" s="71">
        <v>0.12</v>
      </c>
      <c r="CS19" s="71">
        <v>0.1</v>
      </c>
      <c r="CT19" s="71">
        <v>0.09</v>
      </c>
      <c r="CU19" s="71">
        <v>8.5000000000000006E-2</v>
      </c>
      <c r="CV19" s="71">
        <v>0.08</v>
      </c>
      <c r="CW19" s="71">
        <v>7.4999999999999997E-2</v>
      </c>
      <c r="CX19" s="71">
        <v>7.0000000000000007E-2</v>
      </c>
      <c r="CY19" s="71">
        <v>0.06</v>
      </c>
    </row>
    <row r="20" spans="2:154">
      <c r="B20" s="36" t="s">
        <v>215</v>
      </c>
      <c r="BG20" s="47"/>
      <c r="BH20" s="47"/>
      <c r="BI20" s="47"/>
      <c r="BJ20" s="47"/>
      <c r="BK20" s="48">
        <f t="shared" ref="BK20:BO20" si="23">BK8/BG8-1</f>
        <v>9.685663174035275E-2</v>
      </c>
      <c r="BL20" s="48">
        <f t="shared" si="23"/>
        <v>3.4150813660325463E-2</v>
      </c>
      <c r="BM20" s="48">
        <f t="shared" si="23"/>
        <v>1.1224987798926334E-2</v>
      </c>
      <c r="BN20" s="48">
        <f t="shared" si="23"/>
        <v>-6.1478933791917489E-2</v>
      </c>
      <c r="BO20" s="48">
        <f t="shared" si="23"/>
        <v>6.0344827586206851E-2</v>
      </c>
      <c r="CO20" s="48">
        <f t="shared" si="20"/>
        <v>1.6915306002584174E-2</v>
      </c>
      <c r="CP20" s="71">
        <v>0.05</v>
      </c>
      <c r="CQ20" s="71">
        <v>3.5000000000000003E-2</v>
      </c>
      <c r="CR20" s="71">
        <v>0.03</v>
      </c>
      <c r="CS20" s="71">
        <v>0.02</v>
      </c>
      <c r="CT20" s="71">
        <v>0.02</v>
      </c>
      <c r="CU20" s="71">
        <v>1.4999999999999999E-2</v>
      </c>
      <c r="CV20" s="71">
        <v>1.4999999999999999E-2</v>
      </c>
      <c r="CW20" s="71">
        <v>0.01</v>
      </c>
      <c r="CX20" s="71">
        <v>0.01</v>
      </c>
      <c r="CY20" s="71">
        <v>0.01</v>
      </c>
    </row>
    <row r="21" spans="2:154">
      <c r="B21" s="36" t="s">
        <v>216</v>
      </c>
      <c r="BG21" s="47"/>
      <c r="BH21" s="47"/>
      <c r="BI21" s="47"/>
      <c r="BJ21" s="47"/>
      <c r="BK21" s="48">
        <f t="shared" ref="BK21:BO21" si="24">BK9/BG9-1</f>
        <v>6.8588469184890588E-2</v>
      </c>
      <c r="BL21" s="48">
        <f t="shared" si="24"/>
        <v>0.12310606060606055</v>
      </c>
      <c r="BM21" s="48">
        <f t="shared" si="24"/>
        <v>0.14697217675941077</v>
      </c>
      <c r="BN21" s="48">
        <f t="shared" si="24"/>
        <v>0.1716150081566068</v>
      </c>
      <c r="BO21" s="48">
        <f t="shared" si="24"/>
        <v>0.14635658914728689</v>
      </c>
      <c r="CO21" s="48">
        <f t="shared" si="20"/>
        <v>0.12774256460263289</v>
      </c>
      <c r="CP21" s="71">
        <v>0.15</v>
      </c>
      <c r="CQ21" s="71">
        <v>0.18</v>
      </c>
      <c r="CR21" s="71">
        <v>0.21</v>
      </c>
      <c r="CS21" s="71">
        <v>0.17</v>
      </c>
      <c r="CT21" s="71">
        <v>0.15</v>
      </c>
      <c r="CU21" s="71">
        <v>0.12</v>
      </c>
      <c r="CV21" s="71">
        <v>0.1</v>
      </c>
      <c r="CW21" s="71">
        <v>0.08</v>
      </c>
      <c r="CX21" s="71">
        <v>0.06</v>
      </c>
      <c r="CY21" s="71">
        <v>0.05</v>
      </c>
    </row>
    <row r="22" spans="2:154">
      <c r="B22" s="36" t="s">
        <v>217</v>
      </c>
      <c r="BG22" s="47"/>
      <c r="BH22" s="47"/>
      <c r="BI22" s="47"/>
      <c r="BJ22" s="47"/>
      <c r="BK22" s="48">
        <f t="shared" ref="BK22:BO22" si="25">BK10/BG10-1</f>
        <v>-8.2304526748970819E-3</v>
      </c>
      <c r="BL22" s="48">
        <f t="shared" si="25"/>
        <v>-1.3041210224308819E-2</v>
      </c>
      <c r="BM22" s="48">
        <f t="shared" si="25"/>
        <v>4.5674368619021966E-2</v>
      </c>
      <c r="BN22" s="48">
        <f t="shared" si="25"/>
        <v>0.85843101893597829</v>
      </c>
      <c r="BO22" s="48">
        <f t="shared" si="25"/>
        <v>0.14315352697095429</v>
      </c>
      <c r="CO22" s="48">
        <f t="shared" si="20"/>
        <v>0.14580588493631974</v>
      </c>
      <c r="CP22" s="71">
        <v>0.3</v>
      </c>
      <c r="CQ22" s="71">
        <v>0.19</v>
      </c>
      <c r="CR22" s="71">
        <v>0.17</v>
      </c>
      <c r="CS22" s="71">
        <v>0.15</v>
      </c>
      <c r="CT22" s="71">
        <v>0.13</v>
      </c>
      <c r="CU22" s="71">
        <v>0.11</v>
      </c>
      <c r="CV22" s="71">
        <v>0.08</v>
      </c>
      <c r="CW22" s="71">
        <v>7.0000000000000007E-2</v>
      </c>
      <c r="CX22" s="71">
        <v>0.06</v>
      </c>
      <c r="CY22" s="71">
        <v>0.05</v>
      </c>
    </row>
    <row r="23" spans="2:154">
      <c r="B23" s="36" t="s">
        <v>218</v>
      </c>
      <c r="BG23" s="47"/>
      <c r="BH23" s="47"/>
      <c r="BI23" s="47"/>
      <c r="BJ23" s="47"/>
      <c r="BK23" s="48">
        <f t="shared" ref="BK23:BO23" si="26">BK11/BG11-1</f>
        <v>0.13714637146371467</v>
      </c>
      <c r="BL23" s="48">
        <f t="shared" si="26"/>
        <v>0.15310427968655826</v>
      </c>
      <c r="BM23" s="48">
        <f t="shared" si="26"/>
        <v>0.10862068965517246</v>
      </c>
      <c r="BN23" s="48">
        <f t="shared" si="26"/>
        <v>-0.19462826002335543</v>
      </c>
      <c r="BO23" s="48">
        <f t="shared" si="26"/>
        <v>0.15521903731746889</v>
      </c>
      <c r="CO23" s="48">
        <f t="shared" si="20"/>
        <v>2.1859362654727432E-2</v>
      </c>
      <c r="CP23" s="71">
        <v>0.08</v>
      </c>
      <c r="CQ23" s="71">
        <v>0.04</v>
      </c>
      <c r="CR23" s="71">
        <v>0.04</v>
      </c>
      <c r="CS23" s="71">
        <v>0.04</v>
      </c>
      <c r="CT23" s="71">
        <v>0.03</v>
      </c>
      <c r="CU23" s="71">
        <v>0.03</v>
      </c>
      <c r="CV23" s="71">
        <v>0.03</v>
      </c>
      <c r="CW23" s="71">
        <v>0.02</v>
      </c>
      <c r="CX23" s="71">
        <v>0.02</v>
      </c>
      <c r="CY23" s="71">
        <v>0.02</v>
      </c>
    </row>
    <row r="24" spans="2:154">
      <c r="B24" s="36" t="s">
        <v>219</v>
      </c>
      <c r="BG24" s="47"/>
      <c r="BH24" s="47"/>
      <c r="BI24" s="47"/>
      <c r="BJ24" s="47"/>
      <c r="BK24" s="48">
        <f t="shared" ref="BK24:BO24" si="27">BK12/BG12-1</f>
        <v>5.1125989044430886E-2</v>
      </c>
      <c r="BL24" s="48">
        <f t="shared" si="27"/>
        <v>8.4574151280524035E-2</v>
      </c>
      <c r="BM24" s="48">
        <f t="shared" si="27"/>
        <v>0.10497572815533984</v>
      </c>
      <c r="BN24" s="48">
        <f t="shared" si="27"/>
        <v>0.21275327771156127</v>
      </c>
      <c r="BO24" s="48">
        <f t="shared" si="27"/>
        <v>0.17081644470179502</v>
      </c>
      <c r="CO24" s="48">
        <f t="shared" si="20"/>
        <v>0.11371841155234663</v>
      </c>
      <c r="CP24" s="71">
        <v>0.16</v>
      </c>
      <c r="CQ24" s="71">
        <v>0.15</v>
      </c>
      <c r="CR24" s="71">
        <v>0.14000000000000001</v>
      </c>
      <c r="CS24" s="71">
        <v>0.12</v>
      </c>
      <c r="CT24" s="71">
        <v>0.1</v>
      </c>
      <c r="CU24" s="71">
        <v>0.08</v>
      </c>
      <c r="CV24" s="71">
        <v>7.0000000000000007E-2</v>
      </c>
      <c r="CW24" s="71">
        <v>0.06</v>
      </c>
      <c r="CX24" s="71">
        <v>0.05</v>
      </c>
      <c r="CY24" s="71">
        <v>0.04</v>
      </c>
    </row>
    <row r="25" spans="2:154">
      <c r="B25" s="36" t="s">
        <v>220</v>
      </c>
      <c r="BG25" s="47"/>
      <c r="BH25" s="47"/>
      <c r="BI25" s="47"/>
      <c r="BJ25" s="47"/>
      <c r="BK25" s="48">
        <f t="shared" ref="BK25:BO25" si="28">BK13/BG13-1</f>
        <v>0.25</v>
      </c>
      <c r="BL25" s="48">
        <f t="shared" si="28"/>
        <v>0</v>
      </c>
      <c r="BM25" s="48">
        <f t="shared" si="28"/>
        <v>2.2857142857142856</v>
      </c>
      <c r="BN25" s="48">
        <f t="shared" si="28"/>
        <v>-0.53846153846153844</v>
      </c>
      <c r="BO25" s="48">
        <f t="shared" si="28"/>
        <v>-0.7</v>
      </c>
      <c r="CO25" s="48">
        <f t="shared" si="20"/>
        <v>0.60000000000000009</v>
      </c>
      <c r="CP25" s="71">
        <v>-0.05</v>
      </c>
      <c r="CQ25" s="71">
        <v>0.05</v>
      </c>
      <c r="CR25" s="71">
        <v>0.05</v>
      </c>
      <c r="CS25" s="71">
        <v>0.05</v>
      </c>
      <c r="CT25" s="71">
        <v>0.05</v>
      </c>
      <c r="CU25" s="71">
        <v>0.05</v>
      </c>
      <c r="CV25" s="71">
        <v>0.05</v>
      </c>
      <c r="CW25" s="71">
        <v>0.05</v>
      </c>
      <c r="CX25" s="71">
        <v>0.05</v>
      </c>
      <c r="CY25" s="71">
        <v>0.05</v>
      </c>
    </row>
    <row r="26" spans="2:154" s="2" customFormat="1" ht="15">
      <c r="B26" s="33" t="s">
        <v>221</v>
      </c>
      <c r="BG26" s="66"/>
      <c r="BH26" s="66"/>
      <c r="BI26" s="66"/>
      <c r="BJ26" s="66"/>
      <c r="BK26" s="67">
        <f t="shared" ref="BK26:BO26" si="29">BK14/BG14-1</f>
        <v>0.16044729904276589</v>
      </c>
      <c r="BL26" s="67">
        <f t="shared" si="29"/>
        <v>0.12273460174137374</v>
      </c>
      <c r="BM26" s="67">
        <f t="shared" si="29"/>
        <v>0.13269100197225914</v>
      </c>
      <c r="BN26" s="67">
        <f t="shared" si="29"/>
        <v>0.18097548163826538</v>
      </c>
      <c r="BO26" s="67">
        <f t="shared" si="29"/>
        <v>0.18431043683769155</v>
      </c>
      <c r="BP26" s="34"/>
      <c r="BQ26" s="34"/>
      <c r="BR26" s="34"/>
      <c r="CO26" s="67">
        <f t="shared" si="20"/>
        <v>0.14932156232406713</v>
      </c>
      <c r="CP26" s="79">
        <f>CP14/CO14-1</f>
        <v>0.1738771190952848</v>
      </c>
      <c r="CQ26" s="79">
        <f t="shared" ref="CQ26:CX26" si="30">CQ14/CP14-1</f>
        <v>0.15412866326287711</v>
      </c>
      <c r="CR26" s="79">
        <f t="shared" si="30"/>
        <v>0.14325454482420974</v>
      </c>
      <c r="CS26" s="79">
        <f t="shared" si="30"/>
        <v>0.1310956481494856</v>
      </c>
      <c r="CT26" s="79">
        <f t="shared" si="30"/>
        <v>0.11966346110355297</v>
      </c>
      <c r="CU26" s="79">
        <f t="shared" si="30"/>
        <v>0.10230961601501209</v>
      </c>
      <c r="CV26" s="79">
        <f t="shared" si="30"/>
        <v>8.4246514236685277E-2</v>
      </c>
      <c r="CW26" s="79">
        <f t="shared" si="30"/>
        <v>6.5519549307675895E-2</v>
      </c>
      <c r="CX26" s="79">
        <f t="shared" si="30"/>
        <v>5.1460499461502218E-2</v>
      </c>
      <c r="CY26" s="79">
        <f t="shared" ref="CY26" si="31">CY14/CX14-1</f>
        <v>4.2464000058530793E-2</v>
      </c>
      <c r="CZ26" s="70"/>
      <c r="DA26" s="70"/>
      <c r="DB26" s="70"/>
      <c r="DC26" s="70"/>
      <c r="DD26" s="70"/>
      <c r="DE26" s="70"/>
      <c r="DF26" s="70"/>
      <c r="DG26" s="70"/>
      <c r="DH26" s="70"/>
      <c r="DI26" s="70"/>
      <c r="DJ26" s="70"/>
      <c r="DK26" s="70"/>
      <c r="DL26" s="70"/>
      <c r="DM26" s="70"/>
      <c r="DN26" s="70"/>
      <c r="DO26" s="70"/>
      <c r="DP26" s="70"/>
      <c r="DQ26" s="70"/>
      <c r="DR26" s="70"/>
      <c r="DS26" s="70"/>
      <c r="DT26" s="70"/>
      <c r="DU26" s="70"/>
      <c r="DV26" s="70"/>
      <c r="DW26" s="70"/>
      <c r="DX26" s="70"/>
      <c r="DY26" s="70"/>
      <c r="DZ26" s="70"/>
      <c r="EA26" s="70"/>
      <c r="EB26" s="70"/>
      <c r="EC26" s="70"/>
      <c r="ED26" s="70"/>
      <c r="EE26" s="70"/>
      <c r="EF26" s="70"/>
      <c r="EG26" s="70"/>
      <c r="EH26" s="70"/>
      <c r="EI26" s="70"/>
      <c r="EJ26" s="70"/>
      <c r="EK26" s="70"/>
      <c r="EL26" s="70"/>
      <c r="EM26" s="70"/>
      <c r="EN26" s="70"/>
      <c r="EO26" s="70"/>
      <c r="EP26" s="70"/>
      <c r="EQ26" s="70"/>
      <c r="ER26" s="70"/>
      <c r="ES26" s="70"/>
      <c r="ET26" s="70"/>
      <c r="EU26" s="70"/>
      <c r="EV26" s="70"/>
      <c r="EW26" s="70"/>
      <c r="EX26" s="70"/>
    </row>
    <row r="27" spans="2:154">
      <c r="B27" s="37"/>
      <c r="BG27" s="47"/>
      <c r="BH27" s="47"/>
      <c r="BI27" s="47"/>
      <c r="BJ27" s="47"/>
      <c r="BK27" s="48"/>
      <c r="BL27" s="48"/>
      <c r="BM27" s="48"/>
      <c r="BN27" s="47"/>
      <c r="BO27" s="48"/>
    </row>
    <row r="28" spans="2:154">
      <c r="B28" s="36" t="s">
        <v>224</v>
      </c>
      <c r="BG28" s="48">
        <f>BG4/$BG$14</f>
        <v>0.31958525753313161</v>
      </c>
      <c r="BH28" s="48">
        <f>BH4/$BH$14</f>
        <v>0.31597871654305065</v>
      </c>
      <c r="BI28" s="48">
        <f>BI4/$BI$14</f>
        <v>0.32762132626337742</v>
      </c>
      <c r="BJ28" s="48">
        <f>BJ4/$BJ$14</f>
        <v>0.33839047074636552</v>
      </c>
      <c r="BK28" s="48">
        <f>BK4/$BK$14</f>
        <v>0.33780590073949834</v>
      </c>
      <c r="BL28" s="48">
        <f>BL4/$BL$14</f>
        <v>0.33951344209558826</v>
      </c>
      <c r="BM28" s="48">
        <f>BM4/$BM$14</f>
        <v>0.35339537007963917</v>
      </c>
      <c r="BN28" s="48">
        <f>BN4/$BN$14</f>
        <v>0.3646995722190971</v>
      </c>
      <c r="BO28" s="48">
        <f>BO4/$BO$14</f>
        <v>0.37171217797690315</v>
      </c>
      <c r="CN28" s="48">
        <f>CN4/$CN$14</f>
        <v>0.32566640285245713</v>
      </c>
      <c r="CO28" s="48">
        <f>CO4/$CO$14</f>
        <v>0.34940225184932772</v>
      </c>
      <c r="CP28" s="71">
        <f>CP4/$CP$14</f>
        <v>0.37503656061501067</v>
      </c>
      <c r="CQ28" s="71">
        <f>CQ4/$CQ$14</f>
        <v>0.39969111264624524</v>
      </c>
      <c r="CR28" s="71">
        <f>CR4/$CR$14</f>
        <v>0.42302586811611631</v>
      </c>
      <c r="CS28" s="71">
        <f>CS4/$CS$14</f>
        <v>0.44505589238342552</v>
      </c>
      <c r="CT28" s="71">
        <f>CT4/$CT$14</f>
        <v>0.46506420203744514</v>
      </c>
      <c r="CU28" s="71">
        <f>CU4/$CU$14</f>
        <v>0.48096576734885993</v>
      </c>
      <c r="CV28" s="71">
        <f>CV4/$CV$14</f>
        <v>0.49238987144273461</v>
      </c>
      <c r="CW28" s="71">
        <f>CW4/$CW$14</f>
        <v>0.49908146828810368</v>
      </c>
      <c r="CX28" s="71">
        <f>CX4/$CX$14</f>
        <v>0.50313478885448093</v>
      </c>
      <c r="CY28" s="71">
        <f>CY4/$CX$14</f>
        <v>0.52829152829720505</v>
      </c>
    </row>
    <row r="29" spans="2:154">
      <c r="B29" s="36" t="s">
        <v>225</v>
      </c>
      <c r="BG29" s="48">
        <f t="shared" ref="BG29:BG37" si="32">BG5/$BG$14</f>
        <v>0.31926676929065589</v>
      </c>
      <c r="BH29" s="48">
        <f t="shared" ref="BH29:BH37" si="33">BH5/$BH$14</f>
        <v>0.29540470815865849</v>
      </c>
      <c r="BI29" s="48">
        <f t="shared" ref="BI29:BI37" si="34">BI5/$BI$14</f>
        <v>0.31866533027255972</v>
      </c>
      <c r="BJ29" s="48">
        <f t="shared" ref="BJ29:BJ37" si="35">BJ5/$BJ$14</f>
        <v>0.32277102291161341</v>
      </c>
      <c r="BK29" s="48">
        <f t="shared" ref="BK29:BK37" si="36">BK5/$BK$14</f>
        <v>0.31179385530227949</v>
      </c>
      <c r="BL29" s="48">
        <f t="shared" ref="BL29:BL37" si="37">BL5/$BL$14</f>
        <v>0.3032657398897059</v>
      </c>
      <c r="BM29" s="48">
        <f t="shared" ref="BM29:BM37" si="38">BM5/$BM$14</f>
        <v>0.31231981274798049</v>
      </c>
      <c r="BN29" s="48">
        <f t="shared" ref="BN29:BN37" si="39">BN5/$BN$14</f>
        <v>0.31812770633560522</v>
      </c>
      <c r="BO29" s="48">
        <f t="shared" ref="BO29:BO37" si="40">BO5/$BO$14</f>
        <v>0.30854994657088047</v>
      </c>
      <c r="CN29" s="48">
        <f t="shared" ref="CN29:CN37" si="41">CN5/$CN$14</f>
        <v>0.31400282308401528</v>
      </c>
      <c r="CO29" s="48">
        <f t="shared" ref="CO29:CO37" si="42">CO5/$CO$14</f>
        <v>0.31153540344450598</v>
      </c>
      <c r="CP29" s="71">
        <f t="shared" ref="CP29:CP37" si="43">CP5/$CP$14</f>
        <v>0.30320822566987687</v>
      </c>
      <c r="CQ29" s="71">
        <f t="shared" ref="CQ29:CQ37" si="44">CQ5/$CQ$14</f>
        <v>0.29424207504749633</v>
      </c>
      <c r="CR29" s="71">
        <f t="shared" ref="CR29:CR37" si="45">CR5/$CR$14</f>
        <v>0.28310955247679676</v>
      </c>
      <c r="CS29" s="71">
        <f t="shared" ref="CS29:CS37" si="46">CS5/$CS$14</f>
        <v>0.27282344574888273</v>
      </c>
      <c r="CT29" s="71">
        <f t="shared" ref="CT29:CT37" si="47">CT5/$CT$14</f>
        <v>0.26315882552636277</v>
      </c>
      <c r="CU29" s="71">
        <f t="shared" ref="CU29:CU37" si="48">CU5/$CU$14</f>
        <v>0.25544542043564411</v>
      </c>
      <c r="CV29" s="71">
        <f t="shared" ref="CV29:CV37" si="49">CV5/$CV$14</f>
        <v>0.24973301007327439</v>
      </c>
      <c r="CW29" s="71">
        <f t="shared" ref="CW29:CW37" si="50">CW5/$CW$14</f>
        <v>0.24609558852985475</v>
      </c>
      <c r="CX29" s="71">
        <f t="shared" ref="CX29:CY37" si="51">CX5/$CX$14</f>
        <v>0.2434132449123162</v>
      </c>
      <c r="CY29" s="71">
        <f t="shared" si="51"/>
        <v>0.25071564225968568</v>
      </c>
    </row>
    <row r="30" spans="2:154">
      <c r="B30" s="36" t="s">
        <v>226</v>
      </c>
      <c r="BG30" s="48">
        <f t="shared" si="32"/>
        <v>6.934196790346267E-2</v>
      </c>
      <c r="BH30" s="48">
        <f t="shared" si="33"/>
        <v>0.11465656239922606</v>
      </c>
      <c r="BI30" s="48">
        <f t="shared" si="34"/>
        <v>8.8121180768857707E-2</v>
      </c>
      <c r="BJ30" s="48">
        <f t="shared" si="35"/>
        <v>7.7587405564911088E-2</v>
      </c>
      <c r="BK30" s="48">
        <f t="shared" si="36"/>
        <v>8.5705572920637338E-2</v>
      </c>
      <c r="BL30" s="48">
        <f t="shared" si="37"/>
        <v>9.451114430147059E-2</v>
      </c>
      <c r="BM30" s="48">
        <f t="shared" si="38"/>
        <v>8.165158564781777E-2</v>
      </c>
      <c r="BN30" s="48">
        <f t="shared" si="39"/>
        <v>7.2369539906594629E-2</v>
      </c>
      <c r="BO30" s="48">
        <f t="shared" si="40"/>
        <v>7.091267235718976E-2</v>
      </c>
      <c r="CN30" s="48">
        <f t="shared" si="41"/>
        <v>8.7723664134594204E-2</v>
      </c>
      <c r="CO30" s="48">
        <f t="shared" si="42"/>
        <v>8.3255242719825082E-2</v>
      </c>
      <c r="CP30" s="71">
        <f t="shared" si="43"/>
        <v>7.3760235224066786E-2</v>
      </c>
      <c r="CQ30" s="71">
        <f t="shared" si="44"/>
        <v>6.4548988295370854E-2</v>
      </c>
      <c r="CR30" s="71">
        <f t="shared" si="45"/>
        <v>5.7025339171819393E-2</v>
      </c>
      <c r="CS30" s="71">
        <f t="shared" si="46"/>
        <v>5.0920178729151791E-2</v>
      </c>
      <c r="CT30" s="71">
        <f t="shared" si="47"/>
        <v>4.5932891715296242E-2</v>
      </c>
      <c r="CU30" s="71">
        <f t="shared" si="48"/>
        <v>4.2086379324316261E-2</v>
      </c>
      <c r="CV30" s="71">
        <f t="shared" si="49"/>
        <v>3.920440836970062E-2</v>
      </c>
      <c r="CW30" s="71">
        <f t="shared" si="50"/>
        <v>3.7161638638282632E-2</v>
      </c>
      <c r="CX30" s="71">
        <f t="shared" si="51"/>
        <v>3.5696305323773776E-2</v>
      </c>
      <c r="CY30" s="71">
        <f t="shared" si="51"/>
        <v>3.6053268377011519E-2</v>
      </c>
    </row>
    <row r="31" spans="2:154">
      <c r="B31" s="36" t="s">
        <v>227</v>
      </c>
      <c r="BG31" s="48">
        <f t="shared" si="32"/>
        <v>7.6791054019144683E-2</v>
      </c>
      <c r="BH31" s="48">
        <f t="shared" si="33"/>
        <v>6.7639471138342469E-2</v>
      </c>
      <c r="BI31" s="48">
        <f t="shared" si="34"/>
        <v>6.487438973132012E-2</v>
      </c>
      <c r="BJ31" s="48">
        <f t="shared" si="35"/>
        <v>5.9078900613345281E-2</v>
      </c>
      <c r="BK31" s="48">
        <f t="shared" si="36"/>
        <v>6.6005946481665009E-2</v>
      </c>
      <c r="BL31" s="48">
        <f t="shared" si="37"/>
        <v>6.5874885110294115E-2</v>
      </c>
      <c r="BM31" s="48">
        <f t="shared" si="38"/>
        <v>6.1527702451973851E-2</v>
      </c>
      <c r="BN31" s="48">
        <f t="shared" si="39"/>
        <v>5.998090030219385E-2</v>
      </c>
      <c r="BO31" s="48">
        <f t="shared" si="40"/>
        <v>6.0690329973092323E-2</v>
      </c>
      <c r="CN31" s="48">
        <f t="shared" si="41"/>
        <v>6.6791230489307366E-2</v>
      </c>
      <c r="CO31" s="48">
        <f t="shared" si="42"/>
        <v>6.3225000354957331E-2</v>
      </c>
      <c r="CP31" s="71">
        <f t="shared" si="43"/>
        <v>6.2477578972043438E-2</v>
      </c>
      <c r="CQ31" s="71">
        <f t="shared" si="44"/>
        <v>6.2254077993975587E-2</v>
      </c>
      <c r="CR31" s="71">
        <f t="shared" si="45"/>
        <v>6.0987789350073145E-2</v>
      </c>
      <c r="CS31" s="71">
        <f t="shared" si="46"/>
        <v>5.9311136414357694E-2</v>
      </c>
      <c r="CT31" s="71">
        <f t="shared" si="47"/>
        <v>5.7739794980833772E-2</v>
      </c>
      <c r="CU31" s="71">
        <f t="shared" si="48"/>
        <v>5.6833104459964583E-2</v>
      </c>
      <c r="CV31" s="71">
        <f t="shared" si="49"/>
        <v>5.6610514316454495E-2</v>
      </c>
      <c r="CW31" s="71">
        <f t="shared" si="50"/>
        <v>5.7114205862980293E-2</v>
      </c>
      <c r="CX31" s="71">
        <f t="shared" si="51"/>
        <v>5.8121251634927873E-2</v>
      </c>
      <c r="CY31" s="71">
        <f t="shared" si="51"/>
        <v>6.1608526733023548E-2</v>
      </c>
    </row>
    <row r="32" spans="2:154">
      <c r="B32" s="36" t="s">
        <v>228</v>
      </c>
      <c r="BG32" s="48">
        <f t="shared" si="32"/>
        <v>6.9235805155970775E-2</v>
      </c>
      <c r="BH32" s="48">
        <f t="shared" si="33"/>
        <v>7.0348274750080625E-2</v>
      </c>
      <c r="BI32" s="48">
        <f t="shared" si="34"/>
        <v>6.6248504639658576E-2</v>
      </c>
      <c r="BJ32" s="48">
        <f t="shared" si="35"/>
        <v>7.1871089344477571E-2</v>
      </c>
      <c r="BK32" s="48">
        <f t="shared" si="36"/>
        <v>6.544179309293284E-2</v>
      </c>
      <c r="BL32" s="48">
        <f t="shared" si="37"/>
        <v>6.4797794117647065E-2</v>
      </c>
      <c r="BM32" s="48">
        <f t="shared" si="38"/>
        <v>5.9144235435161133E-2</v>
      </c>
      <c r="BN32" s="48">
        <f t="shared" si="39"/>
        <v>5.7115945631271176E-2</v>
      </c>
      <c r="BO32" s="48">
        <f t="shared" si="40"/>
        <v>5.8591788652427486E-2</v>
      </c>
      <c r="CN32" s="48">
        <f t="shared" si="41"/>
        <v>6.9459289659842854E-2</v>
      </c>
      <c r="CO32" s="48">
        <f t="shared" si="42"/>
        <v>6.1457312830997715E-2</v>
      </c>
      <c r="CP32" s="71">
        <f t="shared" si="43"/>
        <v>5.4971834294105203E-2</v>
      </c>
      <c r="CQ32" s="71">
        <f t="shared" si="44"/>
        <v>4.9297665247778059E-2</v>
      </c>
      <c r="CR32" s="71">
        <f t="shared" si="45"/>
        <v>4.441407684324488E-2</v>
      </c>
      <c r="CS32" s="71">
        <f t="shared" si="46"/>
        <v>4.0051748456663344E-2</v>
      </c>
      <c r="CT32" s="71">
        <f t="shared" si="47"/>
        <v>3.6486663042064126E-2</v>
      </c>
      <c r="CU32" s="71">
        <f t="shared" si="48"/>
        <v>3.3596697742307211E-2</v>
      </c>
      <c r="CV32" s="71">
        <f t="shared" si="49"/>
        <v>3.1451010227548509E-2</v>
      </c>
      <c r="CW32" s="71">
        <f t="shared" si="50"/>
        <v>2.9812236059360644E-2</v>
      </c>
      <c r="CX32" s="71">
        <f t="shared" si="51"/>
        <v>2.8636699557781819E-2</v>
      </c>
      <c r="CY32" s="71">
        <f t="shared" si="51"/>
        <v>2.892306655335964E-2</v>
      </c>
    </row>
    <row r="33" spans="2:154">
      <c r="B33" s="36" t="s">
        <v>229</v>
      </c>
      <c r="BG33" s="48">
        <f t="shared" si="32"/>
        <v>5.3399861988428263E-2</v>
      </c>
      <c r="BH33" s="48">
        <f t="shared" si="33"/>
        <v>5.1080296678490809E-2</v>
      </c>
      <c r="BI33" s="48">
        <f t="shared" si="34"/>
        <v>4.9387306411458505E-2</v>
      </c>
      <c r="BJ33" s="48">
        <f t="shared" si="35"/>
        <v>4.7352727609807348E-2</v>
      </c>
      <c r="BK33" s="48">
        <f t="shared" si="36"/>
        <v>4.9172829153007545E-2</v>
      </c>
      <c r="BL33" s="48">
        <f t="shared" si="37"/>
        <v>5.1097196691176468E-2</v>
      </c>
      <c r="BM33" s="48">
        <f t="shared" si="38"/>
        <v>5.0009990580309992E-2</v>
      </c>
      <c r="BN33" s="48">
        <f t="shared" si="39"/>
        <v>4.6977407412252585E-2</v>
      </c>
      <c r="BO33" s="48">
        <f t="shared" si="40"/>
        <v>4.7596977070539309E-2</v>
      </c>
      <c r="CN33" s="48">
        <f t="shared" si="41"/>
        <v>5.0203572098791623E-2</v>
      </c>
      <c r="CO33" s="48">
        <f t="shared" si="42"/>
        <v>4.9260978830344596E-2</v>
      </c>
      <c r="CP33" s="71">
        <f t="shared" si="43"/>
        <v>4.8258991280583877E-2</v>
      </c>
      <c r="CQ33" s="71">
        <f t="shared" si="44"/>
        <v>4.9340781079031573E-2</v>
      </c>
      <c r="CR33" s="71">
        <f t="shared" si="45"/>
        <v>5.2221393193593833E-2</v>
      </c>
      <c r="CS33" s="71">
        <f t="shared" si="46"/>
        <v>5.4017562649511609E-2</v>
      </c>
      <c r="CT33" s="71">
        <f t="shared" si="47"/>
        <v>5.5481132684022737E-2</v>
      </c>
      <c r="CU33" s="71">
        <f t="shared" si="48"/>
        <v>5.6371520036943241E-2</v>
      </c>
      <c r="CV33" s="71">
        <f t="shared" si="49"/>
        <v>5.7190566191759419E-2</v>
      </c>
      <c r="CW33" s="71">
        <f t="shared" si="50"/>
        <v>5.7967788134185495E-2</v>
      </c>
      <c r="CX33" s="71">
        <f t="shared" si="51"/>
        <v>5.8438577058962916E-2</v>
      </c>
      <c r="CY33" s="71">
        <f t="shared" si="51"/>
        <v>6.1360505911911056E-2</v>
      </c>
    </row>
    <row r="34" spans="2:154">
      <c r="B34" s="36" t="s">
        <v>230</v>
      </c>
      <c r="BG34" s="48">
        <f t="shared" si="32"/>
        <v>3.4396730187377246E-2</v>
      </c>
      <c r="BH34" s="48">
        <f t="shared" si="33"/>
        <v>3.090938406965495E-2</v>
      </c>
      <c r="BI34" s="48">
        <f t="shared" si="34"/>
        <v>3.0085033463739533E-2</v>
      </c>
      <c r="BJ34" s="48">
        <f t="shared" si="35"/>
        <v>1.713349915800207E-2</v>
      </c>
      <c r="BK34" s="48">
        <f t="shared" si="36"/>
        <v>2.9396965769611955E-2</v>
      </c>
      <c r="BL34" s="48">
        <f t="shared" si="37"/>
        <v>2.7171415441176471E-2</v>
      </c>
      <c r="BM34" s="48">
        <f t="shared" si="38"/>
        <v>2.7773813261781747E-2</v>
      </c>
      <c r="BN34" s="48">
        <f t="shared" si="39"/>
        <v>2.6961970670190082E-2</v>
      </c>
      <c r="BO34" s="48">
        <f t="shared" si="40"/>
        <v>2.8375368532179781E-2</v>
      </c>
      <c r="CN34" s="48">
        <f t="shared" si="41"/>
        <v>2.7867755648207832E-2</v>
      </c>
      <c r="CO34" s="48">
        <f t="shared" si="42"/>
        <v>2.7782510542232824E-2</v>
      </c>
      <c r="CP34" s="71">
        <f t="shared" si="43"/>
        <v>3.0767499525621977E-2</v>
      </c>
      <c r="CQ34" s="71">
        <f t="shared" si="44"/>
        <v>3.1723780546251537E-2</v>
      </c>
      <c r="CR34" s="71">
        <f t="shared" si="45"/>
        <v>3.2465931062466487E-2</v>
      </c>
      <c r="CS34" s="71">
        <f t="shared" si="46"/>
        <v>3.3008544222514903E-2</v>
      </c>
      <c r="CT34" s="71">
        <f t="shared" si="47"/>
        <v>3.331327337830501E-2</v>
      </c>
      <c r="CU34" s="71">
        <f t="shared" si="48"/>
        <v>3.354568708526532E-2</v>
      </c>
      <c r="CV34" s="71">
        <f t="shared" si="49"/>
        <v>3.3414303459939801E-2</v>
      </c>
      <c r="CW34" s="71">
        <f t="shared" si="50"/>
        <v>3.3554808755377967E-2</v>
      </c>
      <c r="CX34" s="71">
        <f t="shared" si="51"/>
        <v>3.3827326180029191E-2</v>
      </c>
      <c r="CY34" s="71">
        <f t="shared" si="51"/>
        <v>3.5518692489030654E-2</v>
      </c>
    </row>
    <row r="35" spans="2:154">
      <c r="B35" s="36" t="s">
        <v>231</v>
      </c>
      <c r="BG35" s="48">
        <f t="shared" si="32"/>
        <v>2.8770104570306279E-2</v>
      </c>
      <c r="BH35" s="48">
        <f t="shared" si="33"/>
        <v>2.6749435665914222E-2</v>
      </c>
      <c r="BI35" s="48">
        <f t="shared" si="34"/>
        <v>2.8128940476575381E-2</v>
      </c>
      <c r="BJ35" s="48">
        <f t="shared" si="35"/>
        <v>3.9689773973766745E-2</v>
      </c>
      <c r="BK35" s="48">
        <f t="shared" si="36"/>
        <v>2.8192422047724326E-2</v>
      </c>
      <c r="BL35" s="48">
        <f t="shared" si="37"/>
        <v>2.7473000919117647E-2</v>
      </c>
      <c r="BM35" s="48">
        <f t="shared" si="38"/>
        <v>2.7531184882824765E-2</v>
      </c>
      <c r="BN35" s="48">
        <f t="shared" si="39"/>
        <v>2.7066626548579952E-2</v>
      </c>
      <c r="BO35" s="48">
        <f t="shared" si="40"/>
        <v>2.7499903441350275E-2</v>
      </c>
      <c r="CN35" s="48">
        <f t="shared" si="41"/>
        <v>3.0980491347165903E-2</v>
      </c>
      <c r="CO35" s="48">
        <f t="shared" si="42"/>
        <v>2.7544689128366769E-2</v>
      </c>
      <c r="CP35" s="71">
        <f t="shared" si="43"/>
        <v>2.5341889516990762E-2</v>
      </c>
      <c r="CQ35" s="71">
        <f t="shared" si="44"/>
        <v>2.2835898575778942E-2</v>
      </c>
      <c r="CR35" s="71">
        <f t="shared" si="45"/>
        <v>2.0773444222311723E-2</v>
      </c>
      <c r="CS35" s="71">
        <f t="shared" si="46"/>
        <v>1.9100402363451546E-2</v>
      </c>
      <c r="CT35" s="71">
        <f t="shared" si="47"/>
        <v>1.75708283049308E-2</v>
      </c>
      <c r="CU35" s="71">
        <f t="shared" si="48"/>
        <v>1.641821217119116E-2</v>
      </c>
      <c r="CV35" s="71">
        <f t="shared" si="49"/>
        <v>1.5596783862599869E-2</v>
      </c>
      <c r="CW35" s="71">
        <f t="shared" si="50"/>
        <v>1.4930481144328697E-2</v>
      </c>
      <c r="CX35" s="71">
        <f t="shared" si="51"/>
        <v>1.4483749769976847E-2</v>
      </c>
      <c r="CY35" s="71">
        <f t="shared" si="51"/>
        <v>1.4773424765376382E-2</v>
      </c>
    </row>
    <row r="36" spans="2:154">
      <c r="B36" s="36" t="s">
        <v>232</v>
      </c>
      <c r="BG36" s="48">
        <f t="shared" si="32"/>
        <v>2.9070899021533345E-2</v>
      </c>
      <c r="BH36" s="48">
        <f t="shared" si="33"/>
        <v>2.7071912286359238E-2</v>
      </c>
      <c r="BI36" s="48">
        <f t="shared" si="34"/>
        <v>2.6641663164020821E-2</v>
      </c>
      <c r="BJ36" s="48">
        <f t="shared" si="35"/>
        <v>2.5924266534830907E-2</v>
      </c>
      <c r="BK36" s="48">
        <f t="shared" si="36"/>
        <v>2.6332240603796599E-2</v>
      </c>
      <c r="BL36" s="48">
        <f t="shared" si="37"/>
        <v>2.615176930147059E-2</v>
      </c>
      <c r="BM36" s="48">
        <f t="shared" si="38"/>
        <v>2.5989781063568636E-2</v>
      </c>
      <c r="BN36" s="48">
        <f t="shared" si="39"/>
        <v>2.6621839065423005E-2</v>
      </c>
      <c r="BO36" s="48">
        <f t="shared" si="40"/>
        <v>2.6032211965547874E-2</v>
      </c>
      <c r="CN36" s="48">
        <f t="shared" si="41"/>
        <v>2.7121188632599276E-2</v>
      </c>
      <c r="CO36" s="48">
        <f t="shared" si="42"/>
        <v>2.6281041018869532E-2</v>
      </c>
      <c r="CP36" s="71">
        <f t="shared" si="43"/>
        <v>2.5970356765607997E-2</v>
      </c>
      <c r="CQ36" s="71">
        <f t="shared" si="44"/>
        <v>2.5877453035447747E-2</v>
      </c>
      <c r="CR36" s="71">
        <f t="shared" si="45"/>
        <v>2.5803786736703055E-2</v>
      </c>
      <c r="CS36" s="71">
        <f t="shared" si="46"/>
        <v>2.5550660717676081E-2</v>
      </c>
      <c r="CT36" s="71">
        <f t="shared" si="47"/>
        <v>2.5101941579608548E-2</v>
      </c>
      <c r="CU36" s="71">
        <f t="shared" si="48"/>
        <v>2.4593904028510284E-2</v>
      </c>
      <c r="CV36" s="71">
        <f t="shared" si="49"/>
        <v>2.4270751129905385E-2</v>
      </c>
      <c r="CW36" s="71">
        <f t="shared" si="50"/>
        <v>2.4145025039114382E-2</v>
      </c>
      <c r="CX36" s="71">
        <f t="shared" si="51"/>
        <v>2.4111487121060742E-2</v>
      </c>
      <c r="CY36" s="71">
        <f t="shared" si="51"/>
        <v>2.507594660590317E-2</v>
      </c>
    </row>
    <row r="37" spans="2:154">
      <c r="B37" s="36" t="s">
        <v>233</v>
      </c>
      <c r="BG37" s="48">
        <f t="shared" si="32"/>
        <v>1.4155032998920678E-4</v>
      </c>
      <c r="BH37" s="48">
        <f t="shared" si="33"/>
        <v>1.6123831022250886E-4</v>
      </c>
      <c r="BI37" s="48">
        <f t="shared" si="34"/>
        <v>2.2632480843221573E-4</v>
      </c>
      <c r="BJ37" s="48">
        <f t="shared" si="35"/>
        <v>2.008435428800964E-4</v>
      </c>
      <c r="BK37" s="48">
        <f t="shared" si="36"/>
        <v>1.5247388884653503E-4</v>
      </c>
      <c r="BL37" s="48">
        <f t="shared" si="37"/>
        <v>1.4361213235294118E-4</v>
      </c>
      <c r="BM37" s="48">
        <f t="shared" si="38"/>
        <v>6.5652384894242569E-4</v>
      </c>
      <c r="BN37" s="48">
        <f t="shared" si="39"/>
        <v>7.8491908792401987E-5</v>
      </c>
      <c r="BO37" s="48">
        <f t="shared" si="40"/>
        <v>3.8623459889536906E-5</v>
      </c>
      <c r="CN37" s="48">
        <f t="shared" si="41"/>
        <v>1.8358205301849691E-4</v>
      </c>
      <c r="CO37" s="48">
        <f t="shared" si="42"/>
        <v>2.5556928057247517E-4</v>
      </c>
      <c r="CP37" s="71">
        <f t="shared" si="43"/>
        <v>2.068281360922785E-4</v>
      </c>
      <c r="CQ37" s="71">
        <f t="shared" si="44"/>
        <v>1.881675326240706E-4</v>
      </c>
      <c r="CR37" s="71">
        <f t="shared" si="45"/>
        <v>1.7281882687433708E-4</v>
      </c>
      <c r="CS37" s="71">
        <f t="shared" si="46"/>
        <v>1.6042831436486281E-4</v>
      </c>
      <c r="CT37" s="71">
        <f t="shared" si="47"/>
        <v>1.5044675113098718E-4</v>
      </c>
      <c r="CU37" s="71">
        <f t="shared" si="48"/>
        <v>1.4330736699786278E-4</v>
      </c>
      <c r="CV37" s="71">
        <f t="shared" si="49"/>
        <v>1.3878092608274553E-4</v>
      </c>
      <c r="CW37" s="71">
        <f t="shared" si="50"/>
        <v>1.3675954841144372E-4</v>
      </c>
      <c r="CX37" s="71">
        <f t="shared" si="51"/>
        <v>1.365695866897124E-4</v>
      </c>
      <c r="CY37" s="71">
        <f t="shared" si="51"/>
        <v>1.4339806602419803E-4</v>
      </c>
    </row>
    <row r="38" spans="2:154">
      <c r="B38" s="36"/>
      <c r="BO38" s="37"/>
    </row>
    <row r="39" spans="2:154">
      <c r="B39" s="1" t="s">
        <v>114</v>
      </c>
      <c r="AL39" s="1">
        <f>55926-SUM(AI39:AK39)</f>
        <v>55926</v>
      </c>
      <c r="AM39" s="1">
        <v>14740</v>
      </c>
      <c r="AN39" s="1">
        <v>16787</v>
      </c>
      <c r="AO39" s="1">
        <v>15372</v>
      </c>
      <c r="AP39" s="1">
        <f>64199-SUM(AM39:AO39)</f>
        <v>17300</v>
      </c>
      <c r="AQ39" s="1">
        <v>17270</v>
      </c>
      <c r="AR39" s="1">
        <v>19149</v>
      </c>
      <c r="AS39" s="1">
        <v>17428</v>
      </c>
      <c r="AT39" s="1">
        <f>73160-SUM(AQ39:AS39)</f>
        <v>19313</v>
      </c>
      <c r="AU39" s="1">
        <v>19025</v>
      </c>
      <c r="AV39" s="1">
        <v>21836</v>
      </c>
      <c r="AW39" s="1">
        <v>20373</v>
      </c>
      <c r="AX39" s="1">
        <f>83953-SUM(AU39:AW39)</f>
        <v>22719</v>
      </c>
      <c r="AY39" s="1">
        <v>22830</v>
      </c>
      <c r="AZ39" s="1">
        <v>26463</v>
      </c>
      <c r="BA39" s="1">
        <v>24771</v>
      </c>
      <c r="BB39" s="1">
        <f>100218-SUM(AY39:BA39)</f>
        <v>26154</v>
      </c>
      <c r="BC39" s="1">
        <v>25867</v>
      </c>
      <c r="BD39" s="1">
        <v>26976</v>
      </c>
      <c r="BE39" s="1">
        <v>26007</v>
      </c>
      <c r="BF39" s="1">
        <f>106744-SUM(BC39:BE39)</f>
        <v>27894</v>
      </c>
      <c r="BG39" s="1">
        <v>28812</v>
      </c>
      <c r="BH39" s="1">
        <v>32295</v>
      </c>
      <c r="BI39" s="1">
        <v>31437</v>
      </c>
      <c r="BJ39" s="1">
        <f>124704-SUM(BG39:BI39)</f>
        <v>32160</v>
      </c>
      <c r="BK39" s="1">
        <v>33913</v>
      </c>
      <c r="BL39" s="37">
        <v>35537</v>
      </c>
      <c r="BM39" s="37">
        <v>36084</v>
      </c>
      <c r="BN39" s="1">
        <f>144546-SUM(BK39:BM39)</f>
        <v>39012</v>
      </c>
      <c r="BO39" s="37">
        <v>40077</v>
      </c>
      <c r="CH39" s="1">
        <f>SUM(AI39:AL39)</f>
        <v>55926</v>
      </c>
      <c r="CI39" s="1">
        <f>SUM(AM39:AP39)</f>
        <v>64199</v>
      </c>
      <c r="CJ39" s="1">
        <f>SUM(AQ39:AT39)</f>
        <v>73160</v>
      </c>
      <c r="CK39" s="1">
        <f>SUM(AU39:AX39)</f>
        <v>83953</v>
      </c>
      <c r="CL39" s="1">
        <f>SUM(AY39:BB39)</f>
        <v>100218</v>
      </c>
      <c r="CM39" s="1">
        <f>SUM(BC39:BF39)</f>
        <v>106744</v>
      </c>
      <c r="CN39" s="1">
        <f>SUM(BG39:BJ39)</f>
        <v>124704</v>
      </c>
      <c r="CO39" s="1">
        <f>SUM(BK39:BN39)</f>
        <v>144546</v>
      </c>
    </row>
    <row r="40" spans="2:154">
      <c r="B40" s="1" t="s">
        <v>222</v>
      </c>
      <c r="AL40" s="1">
        <f>54434-SUM(AI40:AK40)</f>
        <v>54434</v>
      </c>
      <c r="AM40" s="1">
        <v>14344</v>
      </c>
      <c r="AN40" s="1">
        <v>15684</v>
      </c>
      <c r="AO40" s="1">
        <v>15199</v>
      </c>
      <c r="AP40" s="1">
        <f>61644-SUM(AM40:AO40)</f>
        <v>16417</v>
      </c>
      <c r="AQ40" s="1">
        <v>15785</v>
      </c>
      <c r="AR40" s="1">
        <v>17757</v>
      </c>
      <c r="AS40" s="1">
        <v>17593</v>
      </c>
      <c r="AT40" s="1">
        <f>69855-SUM(AQ40:AS40)</f>
        <v>18720</v>
      </c>
      <c r="AU40" s="1">
        <v>18129</v>
      </c>
      <c r="AV40" s="1">
        <v>21240</v>
      </c>
      <c r="AW40" s="1">
        <v>21333</v>
      </c>
      <c r="AX40" s="1">
        <f>84135-SUM(AU40:AW40)</f>
        <v>23433</v>
      </c>
      <c r="AY40" s="1">
        <v>22487</v>
      </c>
      <c r="AZ40" s="1">
        <v>25265</v>
      </c>
      <c r="BA40" s="1">
        <v>24589</v>
      </c>
      <c r="BB40" s="1">
        <f>98052-SUM(AY40:BA40)</f>
        <v>25711</v>
      </c>
      <c r="BC40" s="1">
        <v>24255</v>
      </c>
      <c r="BD40" s="1">
        <v>25771</v>
      </c>
      <c r="BE40" s="1">
        <v>26850</v>
      </c>
      <c r="BF40" s="1">
        <f>105171-SUM(BC40:BE40)</f>
        <v>28295</v>
      </c>
      <c r="BG40" s="1">
        <v>27705</v>
      </c>
      <c r="BH40" s="1">
        <v>29725</v>
      </c>
      <c r="BI40" s="1">
        <v>30421</v>
      </c>
      <c r="BJ40" s="1">
        <f>120418-SUM(BG40:BI40)</f>
        <v>32567</v>
      </c>
      <c r="BK40" s="1">
        <v>31672</v>
      </c>
      <c r="BL40" s="37">
        <v>34095</v>
      </c>
      <c r="BM40" s="37">
        <v>33982</v>
      </c>
      <c r="BN40" s="1">
        <f>137178-SUM(BK40:BM40)</f>
        <v>37429</v>
      </c>
      <c r="BO40" s="37">
        <v>37596</v>
      </c>
      <c r="CH40" s="1">
        <f>SUM(AI40:AL40)</f>
        <v>54434</v>
      </c>
      <c r="CI40" s="1">
        <f>SUM(AM40:AP40)</f>
        <v>61644</v>
      </c>
      <c r="CJ40" s="1">
        <f>SUM(AQ40:AT40)</f>
        <v>69855</v>
      </c>
      <c r="CK40" s="1">
        <f>SUM(AU40:AX40)</f>
        <v>84135</v>
      </c>
      <c r="CL40" s="1">
        <f>SUM(AY40:BB40)</f>
        <v>98052</v>
      </c>
      <c r="CM40" s="1">
        <f>SUM(BC40:BF40)</f>
        <v>105171</v>
      </c>
      <c r="CN40" s="1">
        <f>SUM(BG40:BJ40)</f>
        <v>120418</v>
      </c>
      <c r="CO40" s="1">
        <f>SUM(BK40:BN40)</f>
        <v>137178</v>
      </c>
    </row>
    <row r="41" spans="2:154" s="2" customFormat="1" ht="15">
      <c r="B41" s="2" t="s">
        <v>113</v>
      </c>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f t="shared" ref="AL41:BG41" si="52">SUM(AL39:AL40)</f>
        <v>110360</v>
      </c>
      <c r="AM41" s="33">
        <f t="shared" si="52"/>
        <v>29084</v>
      </c>
      <c r="AN41" s="33">
        <f t="shared" si="52"/>
        <v>32471</v>
      </c>
      <c r="AO41" s="33">
        <f t="shared" si="52"/>
        <v>30571</v>
      </c>
      <c r="AP41" s="33">
        <f t="shared" si="52"/>
        <v>33717</v>
      </c>
      <c r="AQ41" s="33">
        <f t="shared" si="52"/>
        <v>33055</v>
      </c>
      <c r="AR41" s="33">
        <f t="shared" si="52"/>
        <v>36906</v>
      </c>
      <c r="AS41" s="33">
        <f t="shared" si="52"/>
        <v>35021</v>
      </c>
      <c r="AT41" s="33">
        <f>SUM(AT39:AT40)</f>
        <v>38033</v>
      </c>
      <c r="AU41" s="33">
        <f t="shared" si="52"/>
        <v>37154</v>
      </c>
      <c r="AV41" s="33">
        <f t="shared" si="52"/>
        <v>43076</v>
      </c>
      <c r="AW41" s="33">
        <f t="shared" si="52"/>
        <v>41706</v>
      </c>
      <c r="AX41" s="33">
        <f t="shared" si="52"/>
        <v>46152</v>
      </c>
      <c r="AY41" s="33">
        <f t="shared" si="52"/>
        <v>45317</v>
      </c>
      <c r="AZ41" s="33">
        <f t="shared" si="52"/>
        <v>51728</v>
      </c>
      <c r="BA41" s="33">
        <f t="shared" si="52"/>
        <v>49360</v>
      </c>
      <c r="BB41" s="33">
        <f t="shared" si="52"/>
        <v>51865</v>
      </c>
      <c r="BC41" s="33">
        <f t="shared" si="52"/>
        <v>50122</v>
      </c>
      <c r="BD41" s="33">
        <f t="shared" si="52"/>
        <v>52747</v>
      </c>
      <c r="BE41" s="33">
        <f t="shared" si="52"/>
        <v>52857</v>
      </c>
      <c r="BF41" s="33">
        <f t="shared" si="52"/>
        <v>56189</v>
      </c>
      <c r="BG41" s="33">
        <f t="shared" si="52"/>
        <v>56517</v>
      </c>
      <c r="BH41" s="33">
        <f t="shared" ref="BH41:BL41" si="53">SUM(BH39:BH40)</f>
        <v>62020</v>
      </c>
      <c r="BI41" s="33">
        <f t="shared" si="53"/>
        <v>61858</v>
      </c>
      <c r="BJ41" s="33">
        <f t="shared" si="53"/>
        <v>64727</v>
      </c>
      <c r="BK41" s="33">
        <f t="shared" si="53"/>
        <v>65585</v>
      </c>
      <c r="BL41" s="33">
        <f t="shared" si="53"/>
        <v>69632</v>
      </c>
      <c r="BM41" s="33">
        <f>SUM(BM39:BM40)</f>
        <v>70066</v>
      </c>
      <c r="BN41" s="33">
        <f t="shared" ref="BN41" si="54">SUM(BN39:BN40)</f>
        <v>76441</v>
      </c>
      <c r="BO41" s="33">
        <f>SUM(BO39:BO40)</f>
        <v>77673</v>
      </c>
      <c r="BP41" s="34"/>
      <c r="BQ41" s="34"/>
      <c r="BR41" s="34"/>
      <c r="CH41" s="2">
        <f>SUM(AI41:AL41)</f>
        <v>110360</v>
      </c>
      <c r="CI41" s="2">
        <f>SUM(AM41:AP41)</f>
        <v>125843</v>
      </c>
      <c r="CJ41" s="2">
        <f>SUM(AQ41:AT41)</f>
        <v>143015</v>
      </c>
      <c r="CK41" s="2">
        <f>SUM(AU41:AX41)</f>
        <v>168088</v>
      </c>
      <c r="CL41" s="2">
        <f>SUM(AY41:BB41)</f>
        <v>198270</v>
      </c>
      <c r="CM41" s="2">
        <f>SUM(BC41:BF41)</f>
        <v>211915</v>
      </c>
      <c r="CN41" s="2">
        <f>SUM(BG41:BJ41)</f>
        <v>245122</v>
      </c>
      <c r="CO41" s="2">
        <f>SUM(BK41:BN41)</f>
        <v>281724</v>
      </c>
      <c r="CP41" s="70"/>
      <c r="CQ41" s="70"/>
      <c r="CR41" s="70"/>
      <c r="CS41" s="70"/>
      <c r="CT41" s="70"/>
      <c r="CU41" s="70"/>
      <c r="CV41" s="70"/>
      <c r="CW41" s="70"/>
      <c r="CX41" s="70"/>
      <c r="CY41" s="70"/>
      <c r="CZ41" s="70"/>
      <c r="DA41" s="70"/>
      <c r="DB41" s="70"/>
      <c r="DC41" s="70"/>
      <c r="DD41" s="70"/>
      <c r="DE41" s="70"/>
      <c r="DF41" s="70"/>
      <c r="DG41" s="70"/>
      <c r="DH41" s="70"/>
      <c r="DI41" s="70"/>
      <c r="DJ41" s="70"/>
      <c r="DK41" s="70"/>
      <c r="DL41" s="70"/>
      <c r="DM41" s="70"/>
      <c r="DN41" s="70"/>
      <c r="DO41" s="70"/>
      <c r="DP41" s="70"/>
      <c r="DQ41" s="70"/>
      <c r="DR41" s="70"/>
      <c r="DS41" s="70"/>
      <c r="DT41" s="70"/>
      <c r="DU41" s="70"/>
      <c r="DV41" s="70"/>
      <c r="DW41" s="70"/>
      <c r="DX41" s="70"/>
      <c r="DY41" s="70"/>
      <c r="DZ41" s="70"/>
      <c r="EA41" s="70"/>
      <c r="EB41" s="70"/>
      <c r="EC41" s="70"/>
      <c r="ED41" s="70"/>
      <c r="EE41" s="70"/>
      <c r="EF41" s="70"/>
      <c r="EG41" s="70"/>
      <c r="EH41" s="70"/>
      <c r="EI41" s="70"/>
      <c r="EJ41" s="70"/>
      <c r="EK41" s="70"/>
      <c r="EL41" s="70"/>
      <c r="EM41" s="70"/>
      <c r="EN41" s="70"/>
      <c r="EO41" s="70"/>
      <c r="EP41" s="70"/>
      <c r="EQ41" s="70"/>
      <c r="ER41" s="70"/>
      <c r="ES41" s="70"/>
      <c r="ET41" s="70"/>
      <c r="EU41" s="70"/>
      <c r="EV41" s="70"/>
      <c r="EW41" s="70"/>
      <c r="EX41" s="70"/>
    </row>
    <row r="42" spans="2:154">
      <c r="BO42" s="37"/>
    </row>
    <row r="43" spans="2:154">
      <c r="B43" s="1" t="s">
        <v>115</v>
      </c>
      <c r="AP43" s="48"/>
      <c r="AQ43" s="48">
        <f t="shared" ref="AQ43:BN43" si="55">AQ39/AM39-1</f>
        <v>0.17164179104477606</v>
      </c>
      <c r="AR43" s="48">
        <f t="shared" si="55"/>
        <v>0.1407041162804552</v>
      </c>
      <c r="AS43" s="48">
        <f t="shared" si="55"/>
        <v>0.13374967473328137</v>
      </c>
      <c r="AT43" s="48">
        <f t="shared" si="55"/>
        <v>0.11635838150289013</v>
      </c>
      <c r="AU43" s="48">
        <f t="shared" si="55"/>
        <v>0.10162130862767804</v>
      </c>
      <c r="AV43" s="48">
        <f t="shared" si="55"/>
        <v>0.14032064337563321</v>
      </c>
      <c r="AW43" s="48">
        <f t="shared" si="55"/>
        <v>0.1689809501950883</v>
      </c>
      <c r="AX43" s="48">
        <f t="shared" si="55"/>
        <v>0.17635789364676646</v>
      </c>
      <c r="AY43" s="48">
        <f t="shared" si="55"/>
        <v>0.19999999999999996</v>
      </c>
      <c r="AZ43" s="48">
        <f t="shared" si="55"/>
        <v>0.2118977834768272</v>
      </c>
      <c r="BA43" s="48">
        <f t="shared" si="55"/>
        <v>0.21587395081725824</v>
      </c>
      <c r="BB43" s="48">
        <f t="shared" si="55"/>
        <v>0.15119503499273734</v>
      </c>
      <c r="BC43" s="48">
        <f t="shared" si="55"/>
        <v>0.1330267192290846</v>
      </c>
      <c r="BD43" s="48">
        <f t="shared" si="55"/>
        <v>1.938555719306212E-2</v>
      </c>
      <c r="BE43" s="48">
        <f t="shared" si="55"/>
        <v>4.9897057042509463E-2</v>
      </c>
      <c r="BF43" s="48">
        <f t="shared" si="55"/>
        <v>6.6529020417527063E-2</v>
      </c>
      <c r="BG43" s="48">
        <f t="shared" si="55"/>
        <v>0.11385162562338125</v>
      </c>
      <c r="BH43" s="48">
        <f t="shared" si="55"/>
        <v>0.19717526690391463</v>
      </c>
      <c r="BI43" s="48">
        <f t="shared" si="55"/>
        <v>0.20878994116968519</v>
      </c>
      <c r="BJ43" s="48">
        <f t="shared" si="55"/>
        <v>0.15293611529361151</v>
      </c>
      <c r="BK43" s="48">
        <f t="shared" si="55"/>
        <v>0.17704428710259612</v>
      </c>
      <c r="BL43" s="48">
        <f t="shared" si="55"/>
        <v>0.1003870568199412</v>
      </c>
      <c r="BM43" s="48">
        <f>BM39/BI39-1</f>
        <v>0.14781944842065076</v>
      </c>
      <c r="BN43" s="48">
        <f t="shared" si="55"/>
        <v>0.21305970149253728</v>
      </c>
      <c r="BO43" s="48">
        <f>BO39/BK39-1</f>
        <v>0.18175920738359919</v>
      </c>
      <c r="CI43" s="48">
        <f t="shared" ref="CI43:CM43" si="56">CI39/CH39-1</f>
        <v>0.14792761863891579</v>
      </c>
      <c r="CJ43" s="48">
        <f t="shared" si="56"/>
        <v>0.13958161342076969</v>
      </c>
      <c r="CK43" s="48">
        <f t="shared" si="56"/>
        <v>0.14752597047566973</v>
      </c>
      <c r="CL43" s="48">
        <f t="shared" si="56"/>
        <v>0.19373935416244814</v>
      </c>
      <c r="CM43" s="48">
        <f t="shared" si="56"/>
        <v>6.5118042666985954E-2</v>
      </c>
      <c r="CN43" s="48">
        <f>CN39/CM39-1</f>
        <v>0.16825301656299185</v>
      </c>
      <c r="CO43" s="48">
        <f>CO39/CN39-1</f>
        <v>0.159112779060816</v>
      </c>
    </row>
    <row r="44" spans="2:154">
      <c r="B44" s="1" t="s">
        <v>223</v>
      </c>
      <c r="AP44" s="48"/>
      <c r="AQ44" s="48">
        <f t="shared" ref="AQ44:BN44" si="57">AQ40/AM40-1</f>
        <v>0.10046012269938642</v>
      </c>
      <c r="AR44" s="48">
        <f t="shared" si="57"/>
        <v>0.13217291507268558</v>
      </c>
      <c r="AS44" s="48">
        <f t="shared" si="57"/>
        <v>0.15751036252385031</v>
      </c>
      <c r="AT44" s="48">
        <f t="shared" si="57"/>
        <v>0.14028141560577456</v>
      </c>
      <c r="AU44" s="48">
        <f t="shared" si="57"/>
        <v>0.14849540703199238</v>
      </c>
      <c r="AV44" s="48">
        <f t="shared" si="57"/>
        <v>0.19614799797263061</v>
      </c>
      <c r="AW44" s="48">
        <f t="shared" si="57"/>
        <v>0.2125845506735633</v>
      </c>
      <c r="AX44" s="48">
        <f t="shared" si="57"/>
        <v>0.25176282051282062</v>
      </c>
      <c r="AY44" s="48">
        <f t="shared" si="57"/>
        <v>0.2403883280931105</v>
      </c>
      <c r="AZ44" s="48">
        <f t="shared" si="57"/>
        <v>0.18950094161958564</v>
      </c>
      <c r="BA44" s="48">
        <f t="shared" si="57"/>
        <v>0.15262738480288762</v>
      </c>
      <c r="BB44" s="48">
        <f t="shared" si="57"/>
        <v>9.7213331626338828E-2</v>
      </c>
      <c r="BC44" s="48">
        <f t="shared" si="57"/>
        <v>7.8623204518166068E-2</v>
      </c>
      <c r="BD44" s="48">
        <f t="shared" si="57"/>
        <v>2.0027706313081373E-2</v>
      </c>
      <c r="BE44" s="48">
        <f t="shared" si="57"/>
        <v>9.1951685713123732E-2</v>
      </c>
      <c r="BF44" s="48">
        <f t="shared" si="57"/>
        <v>0.10050173077671043</v>
      </c>
      <c r="BG44" s="48">
        <f t="shared" si="57"/>
        <v>0.14223871366728513</v>
      </c>
      <c r="BH44" s="48">
        <f t="shared" si="57"/>
        <v>0.15342827208878207</v>
      </c>
      <c r="BI44" s="48">
        <f t="shared" si="57"/>
        <v>0.13299813780260705</v>
      </c>
      <c r="BJ44" s="48">
        <f t="shared" si="57"/>
        <v>0.15098073864640393</v>
      </c>
      <c r="BK44" s="48">
        <f t="shared" si="57"/>
        <v>0.14318715033387486</v>
      </c>
      <c r="BL44" s="48">
        <f t="shared" si="57"/>
        <v>0.14701429772918417</v>
      </c>
      <c r="BM44" s="48">
        <f>BM40/BI40-1</f>
        <v>0.11705729594687875</v>
      </c>
      <c r="BN44" s="48">
        <f t="shared" si="57"/>
        <v>0.14929222832929034</v>
      </c>
      <c r="BO44" s="48">
        <f>BO40/BK40-1</f>
        <v>0.18704218236928516</v>
      </c>
      <c r="CI44" s="48">
        <f t="shared" ref="CI44:CM44" si="58">CI40/CH40-1</f>
        <v>0.13245398096777738</v>
      </c>
      <c r="CJ44" s="48">
        <f t="shared" si="58"/>
        <v>0.133200311465836</v>
      </c>
      <c r="CK44" s="48">
        <f t="shared" si="58"/>
        <v>0.20442344857204198</v>
      </c>
      <c r="CL44" s="48">
        <f t="shared" si="58"/>
        <v>0.16541272954180775</v>
      </c>
      <c r="CM44" s="48">
        <f t="shared" si="58"/>
        <v>7.2604332395055593E-2</v>
      </c>
      <c r="CN44" s="48">
        <f>CN40/CM40-1</f>
        <v>0.14497342423291593</v>
      </c>
      <c r="CO44" s="48">
        <f>CO40/CN40-1</f>
        <v>0.1391818498895514</v>
      </c>
    </row>
    <row r="45" spans="2:154">
      <c r="BO45" s="37"/>
    </row>
    <row r="46" spans="2:154" s="2" customFormat="1" ht="15">
      <c r="B46" s="2" t="s">
        <v>112</v>
      </c>
      <c r="C46" s="33">
        <v>12920</v>
      </c>
      <c r="D46" s="33">
        <v>19022</v>
      </c>
      <c r="E46" s="33">
        <v>14503</v>
      </c>
      <c r="F46" s="33">
        <v>16039</v>
      </c>
      <c r="G46" s="33">
        <v>16195</v>
      </c>
      <c r="H46" s="33">
        <v>19953</v>
      </c>
      <c r="I46" s="33">
        <v>16428</v>
      </c>
      <c r="J46" s="33">
        <v>17367</v>
      </c>
      <c r="K46" s="33">
        <v>17372</v>
      </c>
      <c r="L46" s="33">
        <v>20885</v>
      </c>
      <c r="M46" s="33">
        <v>17407</v>
      </c>
      <c r="N46" s="33">
        <v>18059</v>
      </c>
      <c r="O46" s="33">
        <v>16008</v>
      </c>
      <c r="P46" s="33">
        <v>21456</v>
      </c>
      <c r="Q46" s="33">
        <v>20489</v>
      </c>
      <c r="R46" s="33">
        <v>19896</v>
      </c>
      <c r="S46" s="33">
        <v>18529</v>
      </c>
      <c r="T46" s="33">
        <v>24519</v>
      </c>
      <c r="U46" s="33">
        <v>20403</v>
      </c>
      <c r="V46" s="33">
        <v>23382</v>
      </c>
      <c r="W46" s="33">
        <v>23201</v>
      </c>
      <c r="X46" s="33">
        <v>26470</v>
      </c>
      <c r="Y46" s="33">
        <v>21729</v>
      </c>
      <c r="Z46" s="33">
        <v>22180</v>
      </c>
      <c r="AA46" s="33">
        <v>20379</v>
      </c>
      <c r="AB46" s="33">
        <v>23796</v>
      </c>
      <c r="AC46" s="33">
        <v>20531</v>
      </c>
      <c r="AD46" s="33">
        <v>26448</v>
      </c>
      <c r="AE46" s="33">
        <v>21928</v>
      </c>
      <c r="AF46" s="33">
        <v>25826</v>
      </c>
      <c r="AG46" s="33">
        <v>23212</v>
      </c>
      <c r="AH46" s="33">
        <v>25605</v>
      </c>
      <c r="AI46" s="33">
        <v>24538</v>
      </c>
      <c r="AJ46" s="33">
        <v>28918</v>
      </c>
      <c r="AK46" s="33">
        <v>26819</v>
      </c>
      <c r="AL46" s="33">
        <v>30085</v>
      </c>
      <c r="AM46" s="33">
        <v>29084</v>
      </c>
      <c r="AN46" s="33">
        <v>32471</v>
      </c>
      <c r="AO46" s="33">
        <v>30571</v>
      </c>
      <c r="AP46" s="33">
        <v>33717</v>
      </c>
      <c r="AQ46" s="33">
        <v>33055</v>
      </c>
      <c r="AR46" s="33">
        <v>36906</v>
      </c>
      <c r="AS46" s="33">
        <v>35021</v>
      </c>
      <c r="AT46" s="33">
        <v>38033</v>
      </c>
      <c r="AU46" s="33">
        <v>37154</v>
      </c>
      <c r="AV46" s="33">
        <v>43076</v>
      </c>
      <c r="AW46" s="33">
        <v>41706</v>
      </c>
      <c r="AX46" s="33">
        <v>46152</v>
      </c>
      <c r="AY46" s="33">
        <v>45317</v>
      </c>
      <c r="AZ46" s="33">
        <v>51728</v>
      </c>
      <c r="BA46" s="33">
        <v>49360</v>
      </c>
      <c r="BB46" s="33">
        <v>51865</v>
      </c>
      <c r="BC46" s="33">
        <v>50122</v>
      </c>
      <c r="BD46" s="33">
        <v>52747</v>
      </c>
      <c r="BE46" s="33">
        <v>52857</v>
      </c>
      <c r="BF46" s="33">
        <v>56189</v>
      </c>
      <c r="BG46" s="33">
        <f t="shared" ref="BG46:BM46" si="59">BG14</f>
        <v>56517</v>
      </c>
      <c r="BH46" s="33">
        <f t="shared" si="59"/>
        <v>62020</v>
      </c>
      <c r="BI46" s="33">
        <f t="shared" si="59"/>
        <v>61858</v>
      </c>
      <c r="BJ46" s="33">
        <f t="shared" si="59"/>
        <v>64727</v>
      </c>
      <c r="BK46" s="33">
        <f t="shared" si="59"/>
        <v>65585</v>
      </c>
      <c r="BL46" s="33">
        <f t="shared" si="59"/>
        <v>69632</v>
      </c>
      <c r="BM46" s="33">
        <f t="shared" si="59"/>
        <v>70066</v>
      </c>
      <c r="BN46" s="33">
        <f>BN14</f>
        <v>76441</v>
      </c>
      <c r="BO46" s="33">
        <f t="shared" ref="BO46" si="60">BO14</f>
        <v>77673</v>
      </c>
      <c r="BP46" s="34"/>
      <c r="BQ46" s="34"/>
      <c r="BR46" s="34"/>
      <c r="BZ46" s="2">
        <f t="shared" ref="BZ46:BZ57" si="61">SUM(C46:F46)</f>
        <v>62484</v>
      </c>
      <c r="CA46" s="2">
        <f t="shared" ref="CA46:CA57" si="62">SUM(G46:J46)</f>
        <v>69943</v>
      </c>
      <c r="CB46" s="2">
        <f t="shared" ref="CB46:CB57" si="63">SUM(K46:N46)</f>
        <v>73723</v>
      </c>
      <c r="CC46" s="2">
        <f t="shared" ref="CC46:CC57" si="64">SUM(O46:R46)</f>
        <v>77849</v>
      </c>
      <c r="CD46" s="2">
        <f t="shared" ref="CD46:CD57" si="65">SUM(S46:V46)</f>
        <v>86833</v>
      </c>
      <c r="CE46" s="2">
        <f t="shared" ref="CE46:CE57" si="66">SUM(W46:Z46)</f>
        <v>93580</v>
      </c>
      <c r="CF46" s="2">
        <f t="shared" ref="CF46:CF57" si="67">SUM(AA46:AD46)</f>
        <v>91154</v>
      </c>
      <c r="CG46" s="2">
        <f t="shared" ref="CG46:CG57" si="68">SUM(AE46:AH46)</f>
        <v>96571</v>
      </c>
      <c r="CH46" s="2">
        <f t="shared" ref="CH46:CH56" si="69">SUM(AI46:AL46)</f>
        <v>110360</v>
      </c>
      <c r="CI46" s="2">
        <f t="shared" ref="CI46:CI57" si="70">SUM(AM46:AP46)</f>
        <v>125843</v>
      </c>
      <c r="CJ46" s="2">
        <f t="shared" ref="CJ46:CJ57" si="71">SUM(AQ46:AT46)</f>
        <v>143015</v>
      </c>
      <c r="CK46" s="2">
        <f t="shared" ref="CK46:CK57" si="72">SUM(AU46:AX46)</f>
        <v>168088</v>
      </c>
      <c r="CL46" s="2">
        <f t="shared" ref="CL46:CL57" si="73">SUM(AY46:BB46)</f>
        <v>198270</v>
      </c>
      <c r="CM46" s="2">
        <f t="shared" ref="CM46:CM57" si="74">SUM(BC46:BF46)</f>
        <v>211915</v>
      </c>
      <c r="CN46" s="2">
        <f>CN14</f>
        <v>245122</v>
      </c>
      <c r="CO46" s="2">
        <f>CO14</f>
        <v>281724</v>
      </c>
      <c r="CP46" s="80">
        <f>CP14</f>
        <v>330709.35750000004</v>
      </c>
      <c r="CQ46" s="80">
        <f t="shared" ref="CQ46:CY46" si="75">CQ14</f>
        <v>381681.14870000002</v>
      </c>
      <c r="CR46" s="80">
        <f t="shared" si="75"/>
        <v>436358.70792500005</v>
      </c>
      <c r="CS46" s="80">
        <f t="shared" si="75"/>
        <v>493563.4355661</v>
      </c>
      <c r="CT46" s="80">
        <f t="shared" si="75"/>
        <v>552624.94454009994</v>
      </c>
      <c r="CU46" s="80">
        <f t="shared" si="75"/>
        <v>609163.79041631497</v>
      </c>
      <c r="CV46" s="80">
        <f t="shared" si="75"/>
        <v>660483.71635809622</v>
      </c>
      <c r="CW46" s="80">
        <f t="shared" si="75"/>
        <v>703758.31177893758</v>
      </c>
      <c r="CX46" s="80">
        <f t="shared" si="75"/>
        <v>739974.06600326532</v>
      </c>
      <c r="CY46" s="80">
        <f t="shared" si="75"/>
        <v>771396.3247853393</v>
      </c>
      <c r="CZ46" s="70"/>
      <c r="DA46" s="70"/>
      <c r="DB46" s="70"/>
      <c r="DC46" s="70"/>
      <c r="DD46" s="70"/>
      <c r="DE46" s="70"/>
      <c r="DF46" s="70"/>
      <c r="DG46" s="70"/>
      <c r="DH46" s="70"/>
      <c r="DI46" s="70"/>
      <c r="DJ46" s="70"/>
      <c r="DK46" s="70"/>
      <c r="DL46" s="70"/>
      <c r="DM46" s="70"/>
      <c r="DN46" s="70"/>
      <c r="DO46" s="70"/>
      <c r="DP46" s="70"/>
      <c r="DQ46" s="70"/>
      <c r="DR46" s="70"/>
      <c r="DS46" s="70"/>
      <c r="DT46" s="70"/>
      <c r="DU46" s="70"/>
      <c r="DV46" s="70"/>
      <c r="DW46" s="70"/>
      <c r="DX46" s="70"/>
      <c r="DY46" s="70"/>
      <c r="DZ46" s="70"/>
      <c r="EA46" s="70"/>
      <c r="EB46" s="70"/>
      <c r="EC46" s="70"/>
      <c r="ED46" s="70"/>
      <c r="EE46" s="70"/>
      <c r="EF46" s="70"/>
      <c r="EG46" s="70"/>
      <c r="EH46" s="70"/>
      <c r="EI46" s="70"/>
      <c r="EJ46" s="70"/>
      <c r="EK46" s="70"/>
      <c r="EL46" s="70"/>
      <c r="EM46" s="70"/>
      <c r="EN46" s="70"/>
      <c r="EO46" s="70"/>
      <c r="EP46" s="70"/>
      <c r="EQ46" s="70"/>
      <c r="ER46" s="70"/>
      <c r="ES46" s="70"/>
      <c r="ET46" s="70"/>
      <c r="EU46" s="70"/>
      <c r="EV46" s="70"/>
      <c r="EW46" s="70"/>
      <c r="EX46" s="70"/>
    </row>
    <row r="47" spans="2:154">
      <c r="B47" s="1" t="s">
        <v>116</v>
      </c>
      <c r="C47" s="37">
        <v>2842</v>
      </c>
      <c r="D47" s="37">
        <v>3628</v>
      </c>
      <c r="E47" s="37">
        <v>2755</v>
      </c>
      <c r="F47" s="37">
        <v>3170</v>
      </c>
      <c r="G47" s="37">
        <v>3139</v>
      </c>
      <c r="H47" s="37">
        <v>4833</v>
      </c>
      <c r="I47" s="37">
        <v>3897</v>
      </c>
      <c r="J47" s="37">
        <v>3708</v>
      </c>
      <c r="K47" s="37">
        <v>3777</v>
      </c>
      <c r="L47" s="37">
        <v>5638</v>
      </c>
      <c r="M47" s="37">
        <v>3952</v>
      </c>
      <c r="N47" s="37">
        <v>4163</v>
      </c>
      <c r="O47" s="37">
        <v>4168</v>
      </c>
      <c r="P47" s="37">
        <v>5692</v>
      </c>
      <c r="Q47" s="37">
        <v>4787</v>
      </c>
      <c r="R47" s="37">
        <v>5738</v>
      </c>
      <c r="S47" s="37">
        <v>5145</v>
      </c>
      <c r="T47" s="37">
        <v>8322</v>
      </c>
      <c r="U47" s="37">
        <v>5978</v>
      </c>
      <c r="V47" s="37">
        <v>7633</v>
      </c>
      <c r="W47" s="37">
        <v>8273</v>
      </c>
      <c r="X47" s="37">
        <v>10136</v>
      </c>
      <c r="Y47" s="37">
        <v>7161</v>
      </c>
      <c r="Z47" s="37">
        <v>7468</v>
      </c>
      <c r="AA47" s="37">
        <v>7207</v>
      </c>
      <c r="AB47" s="37">
        <v>9872</v>
      </c>
      <c r="AC47" s="37">
        <v>7722</v>
      </c>
      <c r="AD47" s="37">
        <v>7979</v>
      </c>
      <c r="AE47" s="37">
        <v>7844</v>
      </c>
      <c r="AF47" s="37">
        <v>9901</v>
      </c>
      <c r="AG47" s="37">
        <v>8060</v>
      </c>
      <c r="AH47" s="37">
        <v>8456</v>
      </c>
      <c r="AI47" s="37">
        <v>8278</v>
      </c>
      <c r="AJ47" s="37">
        <v>11064</v>
      </c>
      <c r="AK47" s="37">
        <v>9269</v>
      </c>
      <c r="AL47" s="37">
        <v>9742</v>
      </c>
      <c r="AM47" s="37">
        <v>9905</v>
      </c>
      <c r="AN47" s="37">
        <v>12423</v>
      </c>
      <c r="AO47" s="37">
        <v>10170</v>
      </c>
      <c r="AP47" s="37">
        <v>10412</v>
      </c>
      <c r="AQ47" s="37">
        <v>10406</v>
      </c>
      <c r="AR47" s="37">
        <v>12358</v>
      </c>
      <c r="AS47" s="37">
        <v>10975</v>
      </c>
      <c r="AT47" s="37">
        <v>12339</v>
      </c>
      <c r="AU47" s="37">
        <v>11002</v>
      </c>
      <c r="AV47" s="37">
        <v>14194</v>
      </c>
      <c r="AW47" s="37">
        <v>13045</v>
      </c>
      <c r="AX47" s="37">
        <v>13991</v>
      </c>
      <c r="AY47" s="37">
        <v>13646</v>
      </c>
      <c r="AZ47" s="37">
        <v>16960</v>
      </c>
      <c r="BA47" s="37">
        <v>15615</v>
      </c>
      <c r="BB47" s="37">
        <v>16429</v>
      </c>
      <c r="BC47" s="37">
        <v>15452</v>
      </c>
      <c r="BD47" s="37">
        <v>17488</v>
      </c>
      <c r="BE47" s="37">
        <v>16128</v>
      </c>
      <c r="BF47" s="37">
        <v>16795</v>
      </c>
      <c r="BG47" s="37">
        <v>16302</v>
      </c>
      <c r="BH47" s="37">
        <v>19623</v>
      </c>
      <c r="BI47" s="37">
        <v>18505</v>
      </c>
      <c r="BJ47" s="37">
        <v>19684</v>
      </c>
      <c r="BK47" s="37">
        <v>20099</v>
      </c>
      <c r="BL47" s="37">
        <v>21799</v>
      </c>
      <c r="BM47" s="37">
        <v>21919</v>
      </c>
      <c r="BN47" s="37">
        <f>87831-SUM(BK47:BM47)</f>
        <v>24014</v>
      </c>
      <c r="BO47" s="37">
        <v>24043</v>
      </c>
      <c r="BZ47" s="1">
        <f t="shared" si="61"/>
        <v>12395</v>
      </c>
      <c r="CA47" s="1">
        <f t="shared" si="62"/>
        <v>15577</v>
      </c>
      <c r="CB47" s="1">
        <f t="shared" si="63"/>
        <v>17530</v>
      </c>
      <c r="CC47" s="1">
        <f t="shared" si="64"/>
        <v>20385</v>
      </c>
      <c r="CD47" s="1">
        <f t="shared" si="65"/>
        <v>27078</v>
      </c>
      <c r="CE47" s="1">
        <f t="shared" si="66"/>
        <v>33038</v>
      </c>
      <c r="CF47" s="1">
        <f t="shared" si="67"/>
        <v>32780</v>
      </c>
      <c r="CG47" s="1">
        <f t="shared" si="68"/>
        <v>34261</v>
      </c>
      <c r="CH47" s="1">
        <f t="shared" si="69"/>
        <v>38353</v>
      </c>
      <c r="CI47" s="1">
        <f t="shared" si="70"/>
        <v>42910</v>
      </c>
      <c r="CJ47" s="1">
        <f t="shared" si="71"/>
        <v>46078</v>
      </c>
      <c r="CK47" s="1">
        <f t="shared" si="72"/>
        <v>52232</v>
      </c>
      <c r="CL47" s="1">
        <f t="shared" si="73"/>
        <v>62650</v>
      </c>
      <c r="CM47" s="1">
        <f t="shared" si="74"/>
        <v>65863</v>
      </c>
      <c r="CN47" s="1">
        <f t="shared" ref="CN47:CN57" si="76">SUM(BG47:BJ47)</f>
        <v>74114</v>
      </c>
      <c r="CO47" s="1">
        <f t="shared" ref="CO47:CO59" si="77">SUM(BK47:BN47)</f>
        <v>87831</v>
      </c>
      <c r="CP47" s="72">
        <f>CP46*(1-CP61)</f>
        <v>102850.61018250004</v>
      </c>
      <c r="CQ47" s="72">
        <f t="shared" ref="CQ47:CY47" si="78">CQ46*(1-CQ61)</f>
        <v>117939.47494830002</v>
      </c>
      <c r="CR47" s="72">
        <f t="shared" si="78"/>
        <v>133962.12333297502</v>
      </c>
      <c r="CS47" s="72">
        <f t="shared" si="78"/>
        <v>150536.84784766054</v>
      </c>
      <c r="CT47" s="72">
        <f t="shared" si="78"/>
        <v>165787.48336203001</v>
      </c>
      <c r="CU47" s="72">
        <f t="shared" si="78"/>
        <v>179703.31817281293</v>
      </c>
      <c r="CV47" s="72">
        <f t="shared" si="78"/>
        <v>191540.27774384792</v>
      </c>
      <c r="CW47" s="72">
        <f t="shared" si="78"/>
        <v>200571.11885699723</v>
      </c>
      <c r="CX47" s="72">
        <f t="shared" si="78"/>
        <v>207192.7384809143</v>
      </c>
      <c r="CY47" s="72">
        <f t="shared" si="78"/>
        <v>215990.97093989502</v>
      </c>
    </row>
    <row r="48" spans="2:154">
      <c r="B48" s="1" t="s">
        <v>117</v>
      </c>
      <c r="C48" s="1">
        <f t="shared" ref="C48:BK48" si="79">C46-C47</f>
        <v>10078</v>
      </c>
      <c r="D48" s="1">
        <f t="shared" si="79"/>
        <v>15394</v>
      </c>
      <c r="E48" s="1">
        <f t="shared" si="79"/>
        <v>11748</v>
      </c>
      <c r="F48" s="1">
        <f t="shared" si="79"/>
        <v>12869</v>
      </c>
      <c r="G48" s="1">
        <f t="shared" si="79"/>
        <v>13056</v>
      </c>
      <c r="H48" s="1">
        <f t="shared" si="79"/>
        <v>15120</v>
      </c>
      <c r="I48" s="1">
        <f t="shared" si="79"/>
        <v>12531</v>
      </c>
      <c r="J48" s="1">
        <f t="shared" si="79"/>
        <v>13659</v>
      </c>
      <c r="K48" s="1">
        <f t="shared" si="79"/>
        <v>13595</v>
      </c>
      <c r="L48" s="1">
        <f t="shared" si="79"/>
        <v>15247</v>
      </c>
      <c r="M48" s="1">
        <f t="shared" si="79"/>
        <v>13455</v>
      </c>
      <c r="N48" s="1">
        <f t="shared" si="79"/>
        <v>13896</v>
      </c>
      <c r="O48" s="1">
        <f t="shared" si="79"/>
        <v>11840</v>
      </c>
      <c r="P48" s="1">
        <f t="shared" si="79"/>
        <v>15764</v>
      </c>
      <c r="Q48" s="1">
        <f t="shared" si="79"/>
        <v>15702</v>
      </c>
      <c r="R48" s="1">
        <f t="shared" si="79"/>
        <v>14158</v>
      </c>
      <c r="S48" s="1">
        <f t="shared" si="79"/>
        <v>13384</v>
      </c>
      <c r="T48" s="1">
        <f t="shared" si="79"/>
        <v>16197</v>
      </c>
      <c r="U48" s="1">
        <f t="shared" si="79"/>
        <v>14425</v>
      </c>
      <c r="V48" s="1">
        <f t="shared" si="79"/>
        <v>15749</v>
      </c>
      <c r="W48" s="1">
        <f t="shared" si="79"/>
        <v>14928</v>
      </c>
      <c r="X48" s="1">
        <f t="shared" si="79"/>
        <v>16334</v>
      </c>
      <c r="Y48" s="1">
        <f t="shared" si="79"/>
        <v>14568</v>
      </c>
      <c r="Z48" s="1">
        <f t="shared" si="79"/>
        <v>14712</v>
      </c>
      <c r="AA48" s="1">
        <f t="shared" si="79"/>
        <v>13172</v>
      </c>
      <c r="AB48" s="1">
        <f t="shared" si="79"/>
        <v>13924</v>
      </c>
      <c r="AC48" s="1">
        <f t="shared" si="79"/>
        <v>12809</v>
      </c>
      <c r="AD48" s="1">
        <f t="shared" si="79"/>
        <v>18469</v>
      </c>
      <c r="AE48" s="1">
        <f t="shared" si="79"/>
        <v>14084</v>
      </c>
      <c r="AF48" s="1">
        <f t="shared" si="79"/>
        <v>15925</v>
      </c>
      <c r="AG48" s="1">
        <f t="shared" si="79"/>
        <v>15152</v>
      </c>
      <c r="AH48" s="1">
        <f t="shared" si="79"/>
        <v>17149</v>
      </c>
      <c r="AI48" s="1">
        <f t="shared" si="79"/>
        <v>16260</v>
      </c>
      <c r="AJ48" s="1">
        <f t="shared" si="79"/>
        <v>17854</v>
      </c>
      <c r="AK48" s="1">
        <f t="shared" si="79"/>
        <v>17550</v>
      </c>
      <c r="AL48" s="1">
        <f t="shared" si="79"/>
        <v>20343</v>
      </c>
      <c r="AM48" s="1">
        <f t="shared" si="79"/>
        <v>19179</v>
      </c>
      <c r="AN48" s="1">
        <f t="shared" si="79"/>
        <v>20048</v>
      </c>
      <c r="AO48" s="1">
        <f t="shared" si="79"/>
        <v>20401</v>
      </c>
      <c r="AP48" s="1">
        <f t="shared" si="79"/>
        <v>23305</v>
      </c>
      <c r="AQ48" s="1">
        <f t="shared" si="79"/>
        <v>22649</v>
      </c>
      <c r="AR48" s="1">
        <f t="shared" si="79"/>
        <v>24548</v>
      </c>
      <c r="AS48" s="1">
        <f t="shared" si="79"/>
        <v>24046</v>
      </c>
      <c r="AT48" s="1">
        <f t="shared" si="79"/>
        <v>25694</v>
      </c>
      <c r="AU48" s="1">
        <f t="shared" si="79"/>
        <v>26152</v>
      </c>
      <c r="AV48" s="1">
        <f t="shared" si="79"/>
        <v>28882</v>
      </c>
      <c r="AW48" s="1">
        <f t="shared" si="79"/>
        <v>28661</v>
      </c>
      <c r="AX48" s="1">
        <f t="shared" si="79"/>
        <v>32161</v>
      </c>
      <c r="AY48" s="1">
        <f t="shared" si="79"/>
        <v>31671</v>
      </c>
      <c r="AZ48" s="1">
        <f t="shared" si="79"/>
        <v>34768</v>
      </c>
      <c r="BA48" s="1">
        <f t="shared" si="79"/>
        <v>33745</v>
      </c>
      <c r="BB48" s="1">
        <f t="shared" si="79"/>
        <v>35436</v>
      </c>
      <c r="BC48" s="1">
        <f t="shared" si="79"/>
        <v>34670</v>
      </c>
      <c r="BD48" s="1">
        <f t="shared" si="79"/>
        <v>35259</v>
      </c>
      <c r="BE48" s="1">
        <f t="shared" si="79"/>
        <v>36729</v>
      </c>
      <c r="BF48" s="1">
        <f t="shared" si="79"/>
        <v>39394</v>
      </c>
      <c r="BG48" s="1">
        <f t="shared" si="79"/>
        <v>40215</v>
      </c>
      <c r="BH48" s="1">
        <f t="shared" si="79"/>
        <v>42397</v>
      </c>
      <c r="BI48" s="1">
        <f t="shared" si="79"/>
        <v>43353</v>
      </c>
      <c r="BJ48" s="1">
        <f t="shared" si="79"/>
        <v>45043</v>
      </c>
      <c r="BK48" s="1">
        <f t="shared" si="79"/>
        <v>45486</v>
      </c>
      <c r="BL48" s="1">
        <f t="shared" ref="BL48:BN48" si="80">BL46-BL47</f>
        <v>47833</v>
      </c>
      <c r="BM48" s="1">
        <f t="shared" si="80"/>
        <v>48147</v>
      </c>
      <c r="BN48" s="1">
        <f t="shared" si="80"/>
        <v>52427</v>
      </c>
      <c r="BO48" s="1">
        <f t="shared" ref="BO48" si="81">BO46-BO47</f>
        <v>53630</v>
      </c>
      <c r="BZ48" s="1">
        <f t="shared" si="61"/>
        <v>50089</v>
      </c>
      <c r="CA48" s="1">
        <f t="shared" si="62"/>
        <v>54366</v>
      </c>
      <c r="CB48" s="1">
        <f t="shared" si="63"/>
        <v>56193</v>
      </c>
      <c r="CC48" s="1">
        <f t="shared" si="64"/>
        <v>57464</v>
      </c>
      <c r="CD48" s="1">
        <f t="shared" si="65"/>
        <v>59755</v>
      </c>
      <c r="CE48" s="1">
        <f t="shared" si="66"/>
        <v>60542</v>
      </c>
      <c r="CF48" s="1">
        <f t="shared" si="67"/>
        <v>58374</v>
      </c>
      <c r="CG48" s="1">
        <f t="shared" si="68"/>
        <v>62310</v>
      </c>
      <c r="CH48" s="1">
        <f t="shared" si="69"/>
        <v>72007</v>
      </c>
      <c r="CI48" s="1">
        <f t="shared" si="70"/>
        <v>82933</v>
      </c>
      <c r="CJ48" s="1">
        <f t="shared" si="71"/>
        <v>96937</v>
      </c>
      <c r="CK48" s="1">
        <f t="shared" si="72"/>
        <v>115856</v>
      </c>
      <c r="CL48" s="1">
        <f t="shared" si="73"/>
        <v>135620</v>
      </c>
      <c r="CM48" s="1">
        <f t="shared" si="74"/>
        <v>146052</v>
      </c>
      <c r="CN48" s="1">
        <f t="shared" si="76"/>
        <v>171008</v>
      </c>
      <c r="CO48" s="1">
        <f t="shared" si="77"/>
        <v>193893</v>
      </c>
      <c r="CP48" s="72">
        <f>CP46-CP47</f>
        <v>227858.74731750001</v>
      </c>
      <c r="CQ48" s="72">
        <f t="shared" ref="CQ48:CY48" si="82">CQ46-CQ47</f>
        <v>263741.67375169997</v>
      </c>
      <c r="CR48" s="72">
        <f t="shared" si="82"/>
        <v>302396.58459202503</v>
      </c>
      <c r="CS48" s="72">
        <f t="shared" si="82"/>
        <v>343026.58771843946</v>
      </c>
      <c r="CT48" s="72">
        <f t="shared" si="82"/>
        <v>386837.46117806993</v>
      </c>
      <c r="CU48" s="72">
        <f t="shared" si="82"/>
        <v>429460.47224350204</v>
      </c>
      <c r="CV48" s="72">
        <f t="shared" si="82"/>
        <v>468943.4386142483</v>
      </c>
      <c r="CW48" s="72">
        <f t="shared" si="82"/>
        <v>503187.19292194035</v>
      </c>
      <c r="CX48" s="72">
        <f t="shared" si="82"/>
        <v>532781.32752235106</v>
      </c>
      <c r="CY48" s="72">
        <f t="shared" si="82"/>
        <v>555405.35384544428</v>
      </c>
    </row>
    <row r="49" spans="2:154">
      <c r="B49" s="1" t="s">
        <v>234</v>
      </c>
      <c r="C49" s="37">
        <v>2065</v>
      </c>
      <c r="D49" s="37">
        <v>2079</v>
      </c>
      <c r="E49" s="37">
        <v>2220</v>
      </c>
      <c r="F49" s="37">
        <v>2350</v>
      </c>
      <c r="G49" s="37">
        <v>2196</v>
      </c>
      <c r="H49" s="37">
        <v>2185</v>
      </c>
      <c r="I49" s="37">
        <v>2269</v>
      </c>
      <c r="J49" s="37">
        <v>2393</v>
      </c>
      <c r="K49" s="37">
        <v>2329</v>
      </c>
      <c r="L49" s="37">
        <v>2371</v>
      </c>
      <c r="M49" s="37">
        <v>2517</v>
      </c>
      <c r="N49" s="37">
        <v>2594</v>
      </c>
      <c r="O49" s="37">
        <v>2460</v>
      </c>
      <c r="P49" s="37">
        <v>2528</v>
      </c>
      <c r="Q49" s="37">
        <v>2640</v>
      </c>
      <c r="R49" s="37">
        <v>2783</v>
      </c>
      <c r="S49" s="37">
        <v>2767</v>
      </c>
      <c r="T49" s="37">
        <v>2748</v>
      </c>
      <c r="U49" s="37">
        <v>2743</v>
      </c>
      <c r="V49" s="37">
        <v>3123</v>
      </c>
      <c r="W49" s="37">
        <v>3065</v>
      </c>
      <c r="X49" s="37">
        <v>2903</v>
      </c>
      <c r="Y49" s="37">
        <v>2984</v>
      </c>
      <c r="Z49" s="37">
        <v>3094</v>
      </c>
      <c r="AA49" s="37">
        <v>2962</v>
      </c>
      <c r="AB49" s="37">
        <v>2900</v>
      </c>
      <c r="AC49" s="37">
        <v>2980</v>
      </c>
      <c r="AD49" s="37">
        <v>3146</v>
      </c>
      <c r="AE49" s="37">
        <v>3106</v>
      </c>
      <c r="AF49" s="37">
        <v>3062</v>
      </c>
      <c r="AG49" s="37">
        <v>3355</v>
      </c>
      <c r="AH49" s="37">
        <v>3514</v>
      </c>
      <c r="AI49" s="37">
        <v>3574</v>
      </c>
      <c r="AJ49" s="37">
        <v>3504</v>
      </c>
      <c r="AK49" s="37">
        <v>3715</v>
      </c>
      <c r="AL49" s="37">
        <v>3933</v>
      </c>
      <c r="AM49" s="1">
        <v>3977</v>
      </c>
      <c r="AN49" s="1">
        <v>4070</v>
      </c>
      <c r="AO49" s="1">
        <v>4316</v>
      </c>
      <c r="AP49" s="1">
        <f>16876-SUM(AM49:AO49)</f>
        <v>4513</v>
      </c>
      <c r="AQ49" s="1">
        <v>4565</v>
      </c>
      <c r="AR49" s="1">
        <v>4603</v>
      </c>
      <c r="AS49" s="1">
        <v>4887</v>
      </c>
      <c r="AT49" s="1">
        <f>19269-SUM(AQ49:AS49)</f>
        <v>5214</v>
      </c>
      <c r="AU49" s="1">
        <v>4926</v>
      </c>
      <c r="AV49" s="1">
        <v>4899</v>
      </c>
      <c r="AW49" s="1">
        <v>5204</v>
      </c>
      <c r="AX49" s="1">
        <f>20716-SUM(AU49:AW49)</f>
        <v>5687</v>
      </c>
      <c r="AY49" s="1">
        <v>5599</v>
      </c>
      <c r="AZ49" s="1">
        <v>5768</v>
      </c>
      <c r="BA49" s="1">
        <v>6306</v>
      </c>
      <c r="BB49" s="1">
        <f>24512-SUM(AY49:BA49)</f>
        <v>6839</v>
      </c>
      <c r="BC49" s="1">
        <v>6628</v>
      </c>
      <c r="BD49" s="1">
        <v>6844</v>
      </c>
      <c r="BE49" s="1">
        <v>6984</v>
      </c>
      <c r="BF49" s="1">
        <f>27195-SUM(BC49:BE49)</f>
        <v>6739</v>
      </c>
      <c r="BG49" s="1">
        <v>6659</v>
      </c>
      <c r="BH49" s="1">
        <v>7142</v>
      </c>
      <c r="BI49" s="1">
        <v>7653</v>
      </c>
      <c r="BJ49" s="1">
        <f>29510-SUM(BG49:BI49)</f>
        <v>8056</v>
      </c>
      <c r="BK49" s="1">
        <v>7544</v>
      </c>
      <c r="BL49" s="37">
        <v>7917</v>
      </c>
      <c r="BM49" s="37">
        <v>8198</v>
      </c>
      <c r="BN49" s="1">
        <f>32488-SUM(BK49:BM49)</f>
        <v>8829</v>
      </c>
      <c r="BO49" s="37">
        <v>8146</v>
      </c>
      <c r="BZ49" s="1">
        <f t="shared" si="61"/>
        <v>8714</v>
      </c>
      <c r="CA49" s="1">
        <f t="shared" si="62"/>
        <v>9043</v>
      </c>
      <c r="CB49" s="1">
        <f t="shared" si="63"/>
        <v>9811</v>
      </c>
      <c r="CC49" s="1">
        <f t="shared" si="64"/>
        <v>10411</v>
      </c>
      <c r="CD49" s="1">
        <f t="shared" si="65"/>
        <v>11381</v>
      </c>
      <c r="CE49" s="1">
        <f t="shared" si="66"/>
        <v>12046</v>
      </c>
      <c r="CF49" s="1">
        <f t="shared" si="67"/>
        <v>11988</v>
      </c>
      <c r="CG49" s="1">
        <f t="shared" si="68"/>
        <v>13037</v>
      </c>
      <c r="CH49" s="1">
        <f t="shared" si="69"/>
        <v>14726</v>
      </c>
      <c r="CI49" s="1">
        <f t="shared" si="70"/>
        <v>16876</v>
      </c>
      <c r="CJ49" s="1">
        <f t="shared" si="71"/>
        <v>19269</v>
      </c>
      <c r="CK49" s="1">
        <f t="shared" si="72"/>
        <v>20716</v>
      </c>
      <c r="CL49" s="1">
        <f t="shared" si="73"/>
        <v>24512</v>
      </c>
      <c r="CM49" s="1">
        <f t="shared" si="74"/>
        <v>27195</v>
      </c>
      <c r="CN49" s="1">
        <f t="shared" si="76"/>
        <v>29510</v>
      </c>
      <c r="CO49" s="1">
        <f t="shared" si="77"/>
        <v>32488</v>
      </c>
      <c r="CP49" s="72">
        <f>CP46*CP62</f>
        <v>38031.576112500006</v>
      </c>
      <c r="CQ49" s="72">
        <f t="shared" ref="CQ49:CY49" si="83">CQ46*CQ62</f>
        <v>45801.737844000003</v>
      </c>
      <c r="CR49" s="72">
        <f t="shared" si="83"/>
        <v>54544.838490625007</v>
      </c>
      <c r="CS49" s="72">
        <f t="shared" si="83"/>
        <v>54291.977912271002</v>
      </c>
      <c r="CT49" s="72">
        <f t="shared" si="83"/>
        <v>60788.743899410991</v>
      </c>
      <c r="CU49" s="72">
        <f t="shared" si="83"/>
        <v>63962.197993713067</v>
      </c>
      <c r="CV49" s="72">
        <f t="shared" si="83"/>
        <v>66048.371635809628</v>
      </c>
      <c r="CW49" s="72">
        <f t="shared" si="83"/>
        <v>70375.831177893764</v>
      </c>
      <c r="CX49" s="72">
        <f t="shared" si="83"/>
        <v>73997.406600326532</v>
      </c>
      <c r="CY49" s="72">
        <f t="shared" si="83"/>
        <v>77139.632478533938</v>
      </c>
    </row>
    <row r="50" spans="2:154">
      <c r="B50" s="49" t="s">
        <v>235</v>
      </c>
      <c r="C50" s="37">
        <f ca="1">5596-SUM(C49:C51)</f>
        <v>2790</v>
      </c>
      <c r="D50" s="37">
        <f ca="1">6881-SUM(D49:D51)</f>
        <v>3619</v>
      </c>
      <c r="E50" s="37">
        <f ca="1">6575-SUM(E49:E51)</f>
        <v>3203</v>
      </c>
      <c r="F50" s="37">
        <f ca="1">6939-SUM(F49:F51)</f>
        <v>3602</v>
      </c>
      <c r="G50" s="37">
        <f ca="1">5940-SUM(G49:G51)</f>
        <v>2806</v>
      </c>
      <c r="H50" s="37">
        <f ca="1">6955-SUM(H49:H51)</f>
        <v>3825</v>
      </c>
      <c r="I50" s="37">
        <f ca="1">6822-SUM(I49:I51)</f>
        <v>3393</v>
      </c>
      <c r="J50" s="37">
        <f ca="1">7488-SUM(J49:J51)</f>
        <v>3916</v>
      </c>
      <c r="K50" s="37">
        <f ca="1">6392-SUM(K49:K51)</f>
        <v>2900</v>
      </c>
      <c r="L50" s="37">
        <f ca="1">7253-SUM(L49:L51)</f>
        <v>3762</v>
      </c>
      <c r="M50" s="37">
        <f ca="1">7081-SUM(M49:M51)</f>
        <v>3414</v>
      </c>
      <c r="N50" s="37">
        <f ca="1">13704-SUM(N49:N51)</f>
        <v>9974</v>
      </c>
      <c r="O50" s="37">
        <f ca="1">6532-SUM(O49:O51)</f>
        <v>2945</v>
      </c>
      <c r="P50" s="37">
        <f ca="1">7993-SUM(P49:P51)</f>
        <v>4309</v>
      </c>
      <c r="Q50" s="37">
        <f ca="1">8090-SUM(Q49:Q51)</f>
        <v>3794</v>
      </c>
      <c r="R50" s="37">
        <f ca="1">8085-SUM(R49:R51)</f>
        <v>4228</v>
      </c>
      <c r="S50" s="37">
        <f ca="1">7050-SUM(S49:S51)</f>
        <v>3304</v>
      </c>
      <c r="T50" s="37">
        <f ca="1">8228-SUM(T49:T51)</f>
        <v>4283</v>
      </c>
      <c r="U50" s="37">
        <f ca="1">7451-SUM(U49:U51)</f>
        <v>3542</v>
      </c>
      <c r="V50" s="37">
        <f ca="1">9140-SUM(V49:V51)</f>
        <v>4682</v>
      </c>
      <c r="W50" s="37">
        <f ca="1">9084-SUM(W49:W51)</f>
        <v>4868</v>
      </c>
      <c r="X50" s="37">
        <f ca="1">8558-SUM(X49:X51)</f>
        <v>4558</v>
      </c>
      <c r="Y50" s="37">
        <f ca="1">7974-SUM(Y49:Y51)</f>
        <v>3899</v>
      </c>
      <c r="Z50" s="37">
        <f ca="1">16765-SUM(Z49:Z51)</f>
        <v>12399</v>
      </c>
      <c r="AA50" s="37">
        <f ca="1">7379-SUM(AA49:AA51)</f>
        <v>3333</v>
      </c>
      <c r="AB50" s="37">
        <f ca="1">7898-SUM(AB49:AB51)</f>
        <v>3960</v>
      </c>
      <c r="AC50" s="37">
        <f ca="1">7526-SUM(AC49:AC51)</f>
        <v>3406</v>
      </c>
      <c r="AD50" s="37">
        <f ca="1">9493-SUM(AD49:AD51)</f>
        <v>5046</v>
      </c>
      <c r="AE50" s="37">
        <f ca="1">7369-SUM(AE49:AE51)</f>
        <v>3218</v>
      </c>
      <c r="AF50" s="37">
        <f ca="1">8020-SUM(AF49:AF51)</f>
        <v>4079</v>
      </c>
      <c r="AG50" s="37">
        <f ca="1">8429-SUM(AG49:AG51)</f>
        <v>3872</v>
      </c>
      <c r="AH50" s="37">
        <f ca="1">9467-SUM(AH49:AH51)</f>
        <v>4598</v>
      </c>
      <c r="AI50" s="37">
        <f ca="1">8552-SUM(AI49:AI51)</f>
        <v>3812</v>
      </c>
      <c r="AJ50" s="37">
        <f ca="1">9175-SUM(AJ49:AJ51)</f>
        <v>4562</v>
      </c>
      <c r="AK50" s="37">
        <f ca="1">9258-SUM(AK49:AK51)</f>
        <v>4335</v>
      </c>
      <c r="AL50" s="37">
        <f ca="1">9964-SUM(AL49:AL51)</f>
        <v>4760</v>
      </c>
      <c r="AM50" s="1">
        <v>4098</v>
      </c>
      <c r="AN50" s="1">
        <v>4588</v>
      </c>
      <c r="AO50" s="1">
        <v>4565</v>
      </c>
      <c r="AP50" s="1">
        <f>18213-SUM(AM50:AO50)</f>
        <v>4962</v>
      </c>
      <c r="AQ50" s="1">
        <v>4337</v>
      </c>
      <c r="AR50" s="1">
        <v>4933</v>
      </c>
      <c r="AS50" s="1">
        <v>4911</v>
      </c>
      <c r="AT50" s="1">
        <f>19598-SUM(AQ50:AS50)</f>
        <v>5417</v>
      </c>
      <c r="AU50" s="1">
        <v>4231</v>
      </c>
      <c r="AV50" s="1">
        <v>4947</v>
      </c>
      <c r="AW50" s="1">
        <v>5082</v>
      </c>
      <c r="AX50" s="1">
        <f>20117-SUM(AU50:AW50)</f>
        <v>5857</v>
      </c>
      <c r="AY50" s="1">
        <v>4547</v>
      </c>
      <c r="AZ50" s="1">
        <v>5379</v>
      </c>
      <c r="BA50" s="1">
        <v>5595</v>
      </c>
      <c r="BB50" s="1">
        <f>21825-SUM(AY50:BA50)</f>
        <v>6304</v>
      </c>
      <c r="BC50" s="1">
        <v>5126</v>
      </c>
      <c r="BD50" s="1">
        <v>5679</v>
      </c>
      <c r="BE50" s="1">
        <v>5750</v>
      </c>
      <c r="BF50" s="1">
        <f>22759-SUM(BC50:BE50)</f>
        <v>6204</v>
      </c>
      <c r="BG50" s="1">
        <v>5187</v>
      </c>
      <c r="BH50" s="1">
        <v>6246</v>
      </c>
      <c r="BI50" s="1">
        <v>6207</v>
      </c>
      <c r="BJ50" s="1">
        <f>24456-SUM(BG50:BI50)</f>
        <v>6816</v>
      </c>
      <c r="BK50" s="1">
        <v>5717</v>
      </c>
      <c r="BL50" s="37">
        <v>6440</v>
      </c>
      <c r="BM50" s="37">
        <v>6212</v>
      </c>
      <c r="BN50" s="1">
        <f>25654-SUM(BK50:BM50)</f>
        <v>7285</v>
      </c>
      <c r="BO50" s="37">
        <v>5717</v>
      </c>
      <c r="BZ50" s="1">
        <f t="shared" ca="1" si="61"/>
        <v>62484</v>
      </c>
      <c r="CA50" s="1">
        <f t="shared" ca="1" si="62"/>
        <v>69943</v>
      </c>
      <c r="CB50" s="1">
        <f t="shared" ca="1" si="63"/>
        <v>73723</v>
      </c>
      <c r="CC50" s="1">
        <f t="shared" ca="1" si="64"/>
        <v>77849</v>
      </c>
      <c r="CD50" s="1">
        <f t="shared" ca="1" si="65"/>
        <v>86833</v>
      </c>
      <c r="CE50" s="1">
        <f t="shared" ca="1" si="66"/>
        <v>93580</v>
      </c>
      <c r="CF50" s="1">
        <f t="shared" ca="1" si="67"/>
        <v>91154</v>
      </c>
      <c r="CG50" s="1">
        <f t="shared" ca="1" si="68"/>
        <v>96571</v>
      </c>
      <c r="CH50" s="1">
        <f t="shared" ca="1" si="69"/>
        <v>35865</v>
      </c>
      <c r="CI50" s="1">
        <f t="shared" si="70"/>
        <v>18213</v>
      </c>
      <c r="CJ50" s="1">
        <f t="shared" si="71"/>
        <v>19598</v>
      </c>
      <c r="CK50" s="1">
        <f t="shared" si="72"/>
        <v>20117</v>
      </c>
      <c r="CL50" s="1">
        <f t="shared" si="73"/>
        <v>21825</v>
      </c>
      <c r="CM50" s="1">
        <f t="shared" si="74"/>
        <v>22759</v>
      </c>
      <c r="CN50" s="1">
        <f t="shared" si="76"/>
        <v>24456</v>
      </c>
      <c r="CO50" s="1">
        <f t="shared" si="77"/>
        <v>25654</v>
      </c>
      <c r="CP50" s="72">
        <f>CP46*CP63</f>
        <v>29763.842175000002</v>
      </c>
      <c r="CQ50" s="72">
        <f t="shared" ref="CQ50:CY50" si="84">CQ46*CQ63</f>
        <v>35114.665680400001</v>
      </c>
      <c r="CR50" s="72">
        <f t="shared" si="84"/>
        <v>40581.359837025004</v>
      </c>
      <c r="CS50" s="72">
        <f t="shared" si="84"/>
        <v>46888.526378779497</v>
      </c>
      <c r="CT50" s="72">
        <f t="shared" si="84"/>
        <v>52499.369731309496</v>
      </c>
      <c r="CU50" s="72">
        <f t="shared" si="84"/>
        <v>57261.396299133608</v>
      </c>
      <c r="CV50" s="72">
        <f t="shared" si="84"/>
        <v>61424.985621302949</v>
      </c>
      <c r="CW50" s="72">
        <f t="shared" si="84"/>
        <v>64745.764683662259</v>
      </c>
      <c r="CX50" s="72">
        <f t="shared" si="84"/>
        <v>67337.640006297137</v>
      </c>
      <c r="CY50" s="72">
        <f t="shared" si="84"/>
        <v>69425.669230680534</v>
      </c>
    </row>
    <row r="51" spans="2:154">
      <c r="B51" s="49" t="s">
        <v>236</v>
      </c>
      <c r="C51" s="37">
        <v>741</v>
      </c>
      <c r="D51" s="37">
        <v>1183</v>
      </c>
      <c r="E51" s="37">
        <v>1152</v>
      </c>
      <c r="F51" s="37">
        <v>987</v>
      </c>
      <c r="G51" s="37">
        <v>938</v>
      </c>
      <c r="H51" s="37">
        <v>945</v>
      </c>
      <c r="I51" s="37">
        <v>1160</v>
      </c>
      <c r="J51" s="37">
        <v>1179</v>
      </c>
      <c r="K51" s="37">
        <v>1163</v>
      </c>
      <c r="L51" s="37">
        <v>1120</v>
      </c>
      <c r="M51" s="37">
        <v>1150</v>
      </c>
      <c r="N51" s="37">
        <v>1136</v>
      </c>
      <c r="O51" s="37">
        <v>1127</v>
      </c>
      <c r="P51" s="37">
        <v>1156</v>
      </c>
      <c r="Q51" s="37">
        <v>1656</v>
      </c>
      <c r="R51" s="37">
        <v>1074</v>
      </c>
      <c r="S51" s="37">
        <v>979</v>
      </c>
      <c r="T51" s="37">
        <v>1197</v>
      </c>
      <c r="U51" s="37">
        <v>1166</v>
      </c>
      <c r="V51" s="37">
        <v>1335</v>
      </c>
      <c r="W51" s="37">
        <v>1151</v>
      </c>
      <c r="X51" s="37">
        <v>1097</v>
      </c>
      <c r="Y51" s="37">
        <v>1091</v>
      </c>
      <c r="Z51" s="37">
        <v>1272</v>
      </c>
      <c r="AA51" s="37">
        <v>1084</v>
      </c>
      <c r="AB51" s="37">
        <v>1038</v>
      </c>
      <c r="AC51" s="37">
        <v>1140</v>
      </c>
      <c r="AD51" s="37">
        <v>1301</v>
      </c>
      <c r="AE51" s="37">
        <v>1045</v>
      </c>
      <c r="AF51" s="37">
        <v>879</v>
      </c>
      <c r="AG51" s="37">
        <v>1202</v>
      </c>
      <c r="AH51" s="37">
        <v>1355</v>
      </c>
      <c r="AI51" s="37">
        <v>1166</v>
      </c>
      <c r="AJ51" s="37">
        <v>1109</v>
      </c>
      <c r="AK51" s="37">
        <v>1208</v>
      </c>
      <c r="AL51" s="37">
        <v>1271</v>
      </c>
      <c r="AM51" s="1">
        <v>1149</v>
      </c>
      <c r="AN51" s="1">
        <v>1132</v>
      </c>
      <c r="AO51" s="1">
        <v>1179</v>
      </c>
      <c r="AP51" s="1">
        <f>4885-SUM(AM51:AO51)</f>
        <v>1425</v>
      </c>
      <c r="AQ51" s="1">
        <v>1061</v>
      </c>
      <c r="AR51" s="1">
        <v>1121</v>
      </c>
      <c r="AS51" s="1">
        <v>1273</v>
      </c>
      <c r="AT51" s="1">
        <f>5111-SUM(AQ51:AS51)</f>
        <v>1656</v>
      </c>
      <c r="AU51" s="1">
        <v>1119</v>
      </c>
      <c r="AV51" s="1">
        <v>1139</v>
      </c>
      <c r="AW51" s="1">
        <v>1327</v>
      </c>
      <c r="AX51" s="1">
        <f>5107-SUM(AU51:AW51)</f>
        <v>1522</v>
      </c>
      <c r="AY51" s="1">
        <v>1287</v>
      </c>
      <c r="AZ51" s="1">
        <v>1384</v>
      </c>
      <c r="BA51" s="1">
        <v>1480</v>
      </c>
      <c r="BB51" s="1">
        <f>5900-SUM(AY51:BA51)</f>
        <v>1749</v>
      </c>
      <c r="BC51" s="1">
        <v>1398</v>
      </c>
      <c r="BD51" s="1">
        <v>2337</v>
      </c>
      <c r="BE51" s="1">
        <v>1643</v>
      </c>
      <c r="BF51" s="1">
        <f>7575-SUM(BC51:BE51)</f>
        <v>2197</v>
      </c>
      <c r="BG51" s="1">
        <v>1474</v>
      </c>
      <c r="BH51" s="1">
        <v>1977</v>
      </c>
      <c r="BI51" s="1">
        <v>1912</v>
      </c>
      <c r="BJ51" s="1">
        <f>7609-SUM(BG51:BI51)</f>
        <v>2246</v>
      </c>
      <c r="BK51" s="1">
        <v>1673</v>
      </c>
      <c r="BL51" s="37">
        <v>1823</v>
      </c>
      <c r="BM51" s="37">
        <v>1737</v>
      </c>
      <c r="BN51" s="1">
        <f>7223-SUM(BK51:BM51)</f>
        <v>1990</v>
      </c>
      <c r="BO51" s="37">
        <v>1806</v>
      </c>
      <c r="BZ51" s="1">
        <f t="shared" si="61"/>
        <v>4063</v>
      </c>
      <c r="CA51" s="1">
        <f t="shared" si="62"/>
        <v>4222</v>
      </c>
      <c r="CB51" s="1">
        <f t="shared" si="63"/>
        <v>4569</v>
      </c>
      <c r="CC51" s="1">
        <f t="shared" si="64"/>
        <v>5013</v>
      </c>
      <c r="CD51" s="1">
        <f t="shared" si="65"/>
        <v>4677</v>
      </c>
      <c r="CE51" s="1">
        <f t="shared" si="66"/>
        <v>4611</v>
      </c>
      <c r="CF51" s="1">
        <f t="shared" si="67"/>
        <v>4563</v>
      </c>
      <c r="CG51" s="1">
        <f t="shared" si="68"/>
        <v>4481</v>
      </c>
      <c r="CH51" s="1">
        <f t="shared" si="69"/>
        <v>4754</v>
      </c>
      <c r="CI51" s="1">
        <f t="shared" si="70"/>
        <v>4885</v>
      </c>
      <c r="CJ51" s="1">
        <f t="shared" si="71"/>
        <v>5111</v>
      </c>
      <c r="CK51" s="1">
        <f t="shared" si="72"/>
        <v>5107</v>
      </c>
      <c r="CL51" s="1">
        <f t="shared" si="73"/>
        <v>5900</v>
      </c>
      <c r="CM51" s="1">
        <f t="shared" si="74"/>
        <v>7575</v>
      </c>
      <c r="CN51" s="1">
        <f t="shared" si="76"/>
        <v>7609</v>
      </c>
      <c r="CO51" s="1">
        <f t="shared" si="77"/>
        <v>7223</v>
      </c>
      <c r="CP51" s="72">
        <f>CP46*CP64</f>
        <v>10251.9900825</v>
      </c>
      <c r="CQ51" s="72">
        <f t="shared" ref="CQ51:CY51" si="85">CQ46*CQ64</f>
        <v>11450.434461000001</v>
      </c>
      <c r="CR51" s="72">
        <f t="shared" si="85"/>
        <v>12654.402529825002</v>
      </c>
      <c r="CS51" s="72">
        <f t="shared" si="85"/>
        <v>13819.7761958508</v>
      </c>
      <c r="CT51" s="72">
        <f t="shared" si="85"/>
        <v>15197.185974852748</v>
      </c>
      <c r="CU51" s="72">
        <f t="shared" si="85"/>
        <v>16447.422341240504</v>
      </c>
      <c r="CV51" s="72">
        <f t="shared" si="85"/>
        <v>17833.060341668599</v>
      </c>
      <c r="CW51" s="72">
        <f t="shared" si="85"/>
        <v>19001.474418031314</v>
      </c>
      <c r="CX51" s="72">
        <f t="shared" si="85"/>
        <v>19979.299782088165</v>
      </c>
      <c r="CY51" s="72">
        <f t="shared" si="85"/>
        <v>20827.700769204162</v>
      </c>
    </row>
    <row r="52" spans="2:154">
      <c r="B52" s="1" t="s">
        <v>243</v>
      </c>
      <c r="C52" s="1">
        <f t="shared" ref="C52:AL52" ca="1" si="86">SUM(C51:C59)</f>
        <v>3531</v>
      </c>
      <c r="D52" s="1">
        <f t="shared" ca="1" si="86"/>
        <v>4802</v>
      </c>
      <c r="E52" s="1">
        <f t="shared" ca="1" si="86"/>
        <v>4355</v>
      </c>
      <c r="F52" s="1">
        <f t="shared" ca="1" si="86"/>
        <v>4589</v>
      </c>
      <c r="G52" s="1">
        <f t="shared" ca="1" si="86"/>
        <v>3744</v>
      </c>
      <c r="H52" s="1">
        <f t="shared" ca="1" si="86"/>
        <v>4770</v>
      </c>
      <c r="I52" s="1">
        <f t="shared" ca="1" si="86"/>
        <v>4553</v>
      </c>
      <c r="J52" s="1">
        <f t="shared" ca="1" si="86"/>
        <v>5095</v>
      </c>
      <c r="K52" s="1">
        <f t="shared" ca="1" si="86"/>
        <v>4063</v>
      </c>
      <c r="L52" s="1">
        <f t="shared" ca="1" si="86"/>
        <v>4882</v>
      </c>
      <c r="M52" s="1">
        <f t="shared" ca="1" si="86"/>
        <v>4564</v>
      </c>
      <c r="N52" s="1">
        <f t="shared" ca="1" si="86"/>
        <v>11110</v>
      </c>
      <c r="O52" s="1">
        <f t="shared" ca="1" si="86"/>
        <v>4072</v>
      </c>
      <c r="P52" s="1">
        <f t="shared" ca="1" si="86"/>
        <v>5465</v>
      </c>
      <c r="Q52" s="1">
        <f t="shared" ca="1" si="86"/>
        <v>5450</v>
      </c>
      <c r="R52" s="1">
        <f t="shared" ca="1" si="86"/>
        <v>5302</v>
      </c>
      <c r="S52" s="1">
        <f t="shared" ca="1" si="86"/>
        <v>4283</v>
      </c>
      <c r="T52" s="1">
        <f t="shared" ca="1" si="86"/>
        <v>5480</v>
      </c>
      <c r="U52" s="1">
        <f t="shared" ca="1" si="86"/>
        <v>4708</v>
      </c>
      <c r="V52" s="1">
        <f t="shared" ca="1" si="86"/>
        <v>6017</v>
      </c>
      <c r="W52" s="1">
        <f t="shared" ca="1" si="86"/>
        <v>6019</v>
      </c>
      <c r="X52" s="1">
        <f t="shared" ca="1" si="86"/>
        <v>5655</v>
      </c>
      <c r="Y52" s="1">
        <f t="shared" ca="1" si="86"/>
        <v>4990</v>
      </c>
      <c r="Z52" s="1">
        <f t="shared" ca="1" si="86"/>
        <v>13671</v>
      </c>
      <c r="AA52" s="1">
        <f t="shared" ca="1" si="86"/>
        <v>4417</v>
      </c>
      <c r="AB52" s="1">
        <f t="shared" ca="1" si="86"/>
        <v>4998</v>
      </c>
      <c r="AC52" s="1">
        <f t="shared" ca="1" si="86"/>
        <v>4546</v>
      </c>
      <c r="AD52" s="1">
        <f t="shared" ca="1" si="86"/>
        <v>6347</v>
      </c>
      <c r="AE52" s="1">
        <f t="shared" ca="1" si="86"/>
        <v>4263</v>
      </c>
      <c r="AF52" s="1">
        <f t="shared" ca="1" si="86"/>
        <v>4958</v>
      </c>
      <c r="AG52" s="1">
        <f t="shared" ca="1" si="86"/>
        <v>5074</v>
      </c>
      <c r="AH52" s="1">
        <f t="shared" ca="1" si="86"/>
        <v>5953</v>
      </c>
      <c r="AI52" s="1">
        <f t="shared" ca="1" si="86"/>
        <v>4978</v>
      </c>
      <c r="AJ52" s="1">
        <f t="shared" ca="1" si="86"/>
        <v>5671</v>
      </c>
      <c r="AK52" s="1">
        <f t="shared" ca="1" si="86"/>
        <v>5543</v>
      </c>
      <c r="AL52" s="1">
        <f t="shared" ca="1" si="86"/>
        <v>6031</v>
      </c>
      <c r="AM52" s="1">
        <f t="shared" ref="AM52:BK52" si="87">SUM(AM50:AM51)</f>
        <v>5247</v>
      </c>
      <c r="AN52" s="1">
        <f t="shared" si="87"/>
        <v>5720</v>
      </c>
      <c r="AO52" s="1">
        <f t="shared" si="87"/>
        <v>5744</v>
      </c>
      <c r="AP52" s="1">
        <f t="shared" si="87"/>
        <v>6387</v>
      </c>
      <c r="AQ52" s="1">
        <f t="shared" si="87"/>
        <v>5398</v>
      </c>
      <c r="AR52" s="1">
        <f t="shared" si="87"/>
        <v>6054</v>
      </c>
      <c r="AS52" s="1">
        <f t="shared" si="87"/>
        <v>6184</v>
      </c>
      <c r="AT52" s="1">
        <f t="shared" si="87"/>
        <v>7073</v>
      </c>
      <c r="AU52" s="1">
        <f t="shared" si="87"/>
        <v>5350</v>
      </c>
      <c r="AV52" s="1">
        <f t="shared" si="87"/>
        <v>6086</v>
      </c>
      <c r="AW52" s="1">
        <f t="shared" si="87"/>
        <v>6409</v>
      </c>
      <c r="AX52" s="1">
        <f t="shared" si="87"/>
        <v>7379</v>
      </c>
      <c r="AY52" s="1">
        <f t="shared" si="87"/>
        <v>5834</v>
      </c>
      <c r="AZ52" s="1">
        <f t="shared" si="87"/>
        <v>6763</v>
      </c>
      <c r="BA52" s="1">
        <f t="shared" si="87"/>
        <v>7075</v>
      </c>
      <c r="BB52" s="1">
        <f t="shared" si="87"/>
        <v>8053</v>
      </c>
      <c r="BC52" s="1">
        <f t="shared" si="87"/>
        <v>6524</v>
      </c>
      <c r="BD52" s="1">
        <f t="shared" si="87"/>
        <v>8016</v>
      </c>
      <c r="BE52" s="1">
        <f t="shared" si="87"/>
        <v>7393</v>
      </c>
      <c r="BF52" s="1">
        <f t="shared" si="87"/>
        <v>8401</v>
      </c>
      <c r="BG52" s="1">
        <f t="shared" si="87"/>
        <v>6661</v>
      </c>
      <c r="BH52" s="1">
        <f t="shared" si="87"/>
        <v>8223</v>
      </c>
      <c r="BI52" s="1">
        <f t="shared" si="87"/>
        <v>8119</v>
      </c>
      <c r="BJ52" s="1">
        <f t="shared" si="87"/>
        <v>9062</v>
      </c>
      <c r="BK52" s="1">
        <f t="shared" si="87"/>
        <v>7390</v>
      </c>
      <c r="BL52" s="1">
        <f t="shared" ref="BL52:BN52" si="88">SUM(BL50:BL51)</f>
        <v>8263</v>
      </c>
      <c r="BM52" s="1">
        <f t="shared" si="88"/>
        <v>7949</v>
      </c>
      <c r="BN52" s="1">
        <f t="shared" si="88"/>
        <v>9275</v>
      </c>
      <c r="BO52" s="1">
        <f t="shared" ref="BO52" si="89">SUM(BO50:BO51)</f>
        <v>7523</v>
      </c>
      <c r="BZ52" s="1">
        <f t="shared" ca="1" si="61"/>
        <v>62484</v>
      </c>
      <c r="CA52" s="1">
        <f t="shared" ca="1" si="62"/>
        <v>69943</v>
      </c>
      <c r="CB52" s="1">
        <f t="shared" ca="1" si="63"/>
        <v>73723</v>
      </c>
      <c r="CC52" s="1">
        <f t="shared" ca="1" si="64"/>
        <v>77849</v>
      </c>
      <c r="CD52" s="1">
        <f t="shared" ca="1" si="65"/>
        <v>86833</v>
      </c>
      <c r="CE52" s="1">
        <f t="shared" ca="1" si="66"/>
        <v>93580</v>
      </c>
      <c r="CF52" s="1">
        <f t="shared" ca="1" si="67"/>
        <v>91154</v>
      </c>
      <c r="CG52" s="1">
        <f t="shared" ca="1" si="68"/>
        <v>96571</v>
      </c>
      <c r="CH52" s="1">
        <f t="shared" ca="1" si="69"/>
        <v>35865</v>
      </c>
      <c r="CI52" s="1">
        <f t="shared" si="70"/>
        <v>23098</v>
      </c>
      <c r="CJ52" s="1">
        <f t="shared" si="71"/>
        <v>24709</v>
      </c>
      <c r="CK52" s="1">
        <f t="shared" si="72"/>
        <v>25224</v>
      </c>
      <c r="CL52" s="1">
        <f t="shared" si="73"/>
        <v>27725</v>
      </c>
      <c r="CM52" s="1">
        <f t="shared" si="74"/>
        <v>30334</v>
      </c>
      <c r="CN52" s="1">
        <f t="shared" si="76"/>
        <v>32065</v>
      </c>
      <c r="CO52" s="1">
        <f t="shared" si="77"/>
        <v>32877</v>
      </c>
      <c r="CP52" s="72">
        <f>SUM(CP50:CP51)</f>
        <v>40015.832257500006</v>
      </c>
      <c r="CQ52" s="72">
        <f t="shared" ref="CQ52:CY52" si="90">SUM(CQ50:CQ51)</f>
        <v>46565.100141400006</v>
      </c>
      <c r="CR52" s="72">
        <f t="shared" si="90"/>
        <v>53235.762366850002</v>
      </c>
      <c r="CS52" s="72">
        <f t="shared" si="90"/>
        <v>60708.302574630296</v>
      </c>
      <c r="CT52" s="72">
        <f t="shared" si="90"/>
        <v>67696.555706162238</v>
      </c>
      <c r="CU52" s="72">
        <f t="shared" si="90"/>
        <v>73708.818640374113</v>
      </c>
      <c r="CV52" s="72">
        <f t="shared" si="90"/>
        <v>79258.045962971548</v>
      </c>
      <c r="CW52" s="72">
        <f t="shared" si="90"/>
        <v>83747.239101693573</v>
      </c>
      <c r="CX52" s="72">
        <f t="shared" si="90"/>
        <v>87316.939788385294</v>
      </c>
      <c r="CY52" s="72">
        <f t="shared" si="90"/>
        <v>90253.369999884701</v>
      </c>
    </row>
    <row r="53" spans="2:154">
      <c r="B53" s="1" t="s">
        <v>237</v>
      </c>
      <c r="C53" s="1">
        <f t="shared" ref="C53:AJ53" ca="1" si="91">C48-C49-C52</f>
        <v>4482</v>
      </c>
      <c r="D53" s="1">
        <f t="shared" ca="1" si="91"/>
        <v>8513</v>
      </c>
      <c r="E53" s="1">
        <f t="shared" ca="1" si="91"/>
        <v>5173</v>
      </c>
      <c r="F53" s="1">
        <f t="shared" ca="1" si="91"/>
        <v>5930</v>
      </c>
      <c r="G53" s="1">
        <f t="shared" ca="1" si="91"/>
        <v>7116</v>
      </c>
      <c r="H53" s="1">
        <f t="shared" ca="1" si="91"/>
        <v>8165</v>
      </c>
      <c r="I53" s="1">
        <f t="shared" ca="1" si="91"/>
        <v>5709</v>
      </c>
      <c r="J53" s="1">
        <f t="shared" ca="1" si="91"/>
        <v>6171</v>
      </c>
      <c r="K53" s="1">
        <f t="shared" ca="1" si="91"/>
        <v>7203</v>
      </c>
      <c r="L53" s="1">
        <f t="shared" ca="1" si="91"/>
        <v>7994</v>
      </c>
      <c r="M53" s="1">
        <f t="shared" ca="1" si="91"/>
        <v>6374</v>
      </c>
      <c r="N53" s="1">
        <f t="shared" ca="1" si="91"/>
        <v>192</v>
      </c>
      <c r="O53" s="1">
        <f t="shared" ca="1" si="91"/>
        <v>5308</v>
      </c>
      <c r="P53" s="1">
        <f t="shared" ca="1" si="91"/>
        <v>7771</v>
      </c>
      <c r="Q53" s="1">
        <f t="shared" ca="1" si="91"/>
        <v>7612</v>
      </c>
      <c r="R53" s="1">
        <f t="shared" ca="1" si="91"/>
        <v>6073</v>
      </c>
      <c r="S53" s="1">
        <f t="shared" ca="1" si="91"/>
        <v>6334</v>
      </c>
      <c r="T53" s="1">
        <f t="shared" ca="1" si="91"/>
        <v>7969</v>
      </c>
      <c r="U53" s="1">
        <f t="shared" ca="1" si="91"/>
        <v>6974</v>
      </c>
      <c r="V53" s="1">
        <f t="shared" ca="1" si="91"/>
        <v>6609</v>
      </c>
      <c r="W53" s="1">
        <f t="shared" ca="1" si="91"/>
        <v>5844</v>
      </c>
      <c r="X53" s="1">
        <f t="shared" ca="1" si="91"/>
        <v>7776</v>
      </c>
      <c r="Y53" s="1">
        <f t="shared" ca="1" si="91"/>
        <v>6594</v>
      </c>
      <c r="Z53" s="1">
        <f t="shared" ca="1" si="91"/>
        <v>-2053</v>
      </c>
      <c r="AA53" s="1">
        <f t="shared" ca="1" si="91"/>
        <v>5793</v>
      </c>
      <c r="AB53" s="1">
        <f t="shared" ca="1" si="91"/>
        <v>6026</v>
      </c>
      <c r="AC53" s="1">
        <f t="shared" ca="1" si="91"/>
        <v>5283</v>
      </c>
      <c r="AD53" s="1">
        <f t="shared" ca="1" si="91"/>
        <v>8976</v>
      </c>
      <c r="AE53" s="1">
        <f t="shared" ca="1" si="91"/>
        <v>6715</v>
      </c>
      <c r="AF53" s="1">
        <f t="shared" ca="1" si="91"/>
        <v>7905</v>
      </c>
      <c r="AG53" s="1">
        <f t="shared" ca="1" si="91"/>
        <v>6723</v>
      </c>
      <c r="AH53" s="1">
        <f t="shared" ca="1" si="91"/>
        <v>7682</v>
      </c>
      <c r="AI53" s="1">
        <f t="shared" ca="1" si="91"/>
        <v>7708</v>
      </c>
      <c r="AJ53" s="1">
        <f t="shared" ca="1" si="91"/>
        <v>8679</v>
      </c>
      <c r="AK53" s="1">
        <f ca="1">AK48-AK49-AK52</f>
        <v>8292</v>
      </c>
      <c r="AL53" s="1">
        <f ca="1">AL48-AL49-AL52</f>
        <v>10379</v>
      </c>
      <c r="AM53" s="1">
        <f>AM48-AM49-AM52</f>
        <v>9955</v>
      </c>
      <c r="AN53" s="1">
        <f>AN48-AN49-AN52</f>
        <v>10258</v>
      </c>
      <c r="AO53" s="1">
        <f t="shared" ref="AO53:BM53" si="92">AO48-AO49-AO52</f>
        <v>10341</v>
      </c>
      <c r="AP53" s="1">
        <f t="shared" si="92"/>
        <v>12405</v>
      </c>
      <c r="AQ53" s="1">
        <f t="shared" si="92"/>
        <v>12686</v>
      </c>
      <c r="AR53" s="1">
        <f t="shared" si="92"/>
        <v>13891</v>
      </c>
      <c r="AS53" s="1">
        <f t="shared" si="92"/>
        <v>12975</v>
      </c>
      <c r="AT53" s="1">
        <f t="shared" si="92"/>
        <v>13407</v>
      </c>
      <c r="AU53" s="1">
        <f t="shared" si="92"/>
        <v>15876</v>
      </c>
      <c r="AV53" s="1">
        <f t="shared" si="92"/>
        <v>17897</v>
      </c>
      <c r="AW53" s="1">
        <f t="shared" si="92"/>
        <v>17048</v>
      </c>
      <c r="AX53" s="1">
        <f t="shared" si="92"/>
        <v>19095</v>
      </c>
      <c r="AY53" s="1">
        <f t="shared" si="92"/>
        <v>20238</v>
      </c>
      <c r="AZ53" s="1">
        <f t="shared" si="92"/>
        <v>22237</v>
      </c>
      <c r="BA53" s="1">
        <f t="shared" si="92"/>
        <v>20364</v>
      </c>
      <c r="BB53" s="1">
        <f t="shared" si="92"/>
        <v>20544</v>
      </c>
      <c r="BC53" s="1">
        <f t="shared" si="92"/>
        <v>21518</v>
      </c>
      <c r="BD53" s="1">
        <f t="shared" si="92"/>
        <v>20399</v>
      </c>
      <c r="BE53" s="1">
        <f t="shared" si="92"/>
        <v>22352</v>
      </c>
      <c r="BF53" s="1">
        <f t="shared" si="92"/>
        <v>24254</v>
      </c>
      <c r="BG53" s="1">
        <f t="shared" si="92"/>
        <v>26895</v>
      </c>
      <c r="BH53" s="1">
        <f t="shared" si="92"/>
        <v>27032</v>
      </c>
      <c r="BI53" s="1">
        <f t="shared" si="92"/>
        <v>27581</v>
      </c>
      <c r="BJ53" s="1">
        <f t="shared" si="92"/>
        <v>27925</v>
      </c>
      <c r="BK53" s="1">
        <f t="shared" si="92"/>
        <v>30552</v>
      </c>
      <c r="BL53" s="1">
        <f t="shared" si="92"/>
        <v>31653</v>
      </c>
      <c r="BM53" s="1">
        <f t="shared" si="92"/>
        <v>32000</v>
      </c>
      <c r="BN53" s="1">
        <f t="shared" ref="BN53:BO53" si="93">BN48-BN49-BN52</f>
        <v>34323</v>
      </c>
      <c r="BO53" s="1">
        <f t="shared" si="93"/>
        <v>37961</v>
      </c>
      <c r="BZ53" s="1">
        <f t="shared" ca="1" si="61"/>
        <v>62484</v>
      </c>
      <c r="CA53" s="1">
        <f t="shared" ca="1" si="62"/>
        <v>69943</v>
      </c>
      <c r="CB53" s="1">
        <f t="shared" ca="1" si="63"/>
        <v>73723</v>
      </c>
      <c r="CC53" s="1">
        <f t="shared" ca="1" si="64"/>
        <v>77849</v>
      </c>
      <c r="CD53" s="1">
        <f t="shared" ca="1" si="65"/>
        <v>86833</v>
      </c>
      <c r="CE53" s="1">
        <f t="shared" ca="1" si="66"/>
        <v>93580</v>
      </c>
      <c r="CF53" s="1">
        <f t="shared" ca="1" si="67"/>
        <v>91154</v>
      </c>
      <c r="CG53" s="1">
        <f t="shared" ca="1" si="68"/>
        <v>96571</v>
      </c>
      <c r="CH53" s="1">
        <f t="shared" ca="1" si="69"/>
        <v>35865</v>
      </c>
      <c r="CI53" s="1">
        <f t="shared" si="70"/>
        <v>42959</v>
      </c>
      <c r="CJ53" s="1">
        <f t="shared" si="71"/>
        <v>52959</v>
      </c>
      <c r="CK53" s="1">
        <f t="shared" si="72"/>
        <v>69916</v>
      </c>
      <c r="CL53" s="1">
        <f t="shared" si="73"/>
        <v>83383</v>
      </c>
      <c r="CM53" s="1">
        <f t="shared" si="74"/>
        <v>88523</v>
      </c>
      <c r="CN53" s="1">
        <f t="shared" si="76"/>
        <v>109433</v>
      </c>
      <c r="CO53" s="1">
        <f t="shared" si="77"/>
        <v>128528</v>
      </c>
      <c r="CP53" s="72">
        <f>CP48-CP49-CP52</f>
        <v>149811.33894749999</v>
      </c>
      <c r="CQ53" s="72">
        <f t="shared" ref="CQ53:CY53" si="94">CQ48-CQ49-CQ52</f>
        <v>171374.83576629998</v>
      </c>
      <c r="CR53" s="72">
        <f t="shared" si="94"/>
        <v>194615.98373455001</v>
      </c>
      <c r="CS53" s="72">
        <f t="shared" si="94"/>
        <v>228026.30723153817</v>
      </c>
      <c r="CT53" s="72">
        <f t="shared" si="94"/>
        <v>258352.1615724967</v>
      </c>
      <c r="CU53" s="72">
        <f t="shared" si="94"/>
        <v>291789.45560941484</v>
      </c>
      <c r="CV53" s="72">
        <f t="shared" si="94"/>
        <v>323637.02101546712</v>
      </c>
      <c r="CW53" s="72">
        <f t="shared" si="94"/>
        <v>349064.122642353</v>
      </c>
      <c r="CX53" s="72">
        <f t="shared" si="94"/>
        <v>371466.98113363923</v>
      </c>
      <c r="CY53" s="72">
        <f t="shared" si="94"/>
        <v>388012.35136702564</v>
      </c>
    </row>
    <row r="54" spans="2:154">
      <c r="B54" s="1" t="s">
        <v>238</v>
      </c>
      <c r="C54" s="37">
        <v>283</v>
      </c>
      <c r="D54" s="37">
        <v>370</v>
      </c>
      <c r="E54" s="37">
        <v>168</v>
      </c>
      <c r="F54" s="37">
        <v>94</v>
      </c>
      <c r="G54" s="37">
        <v>114</v>
      </c>
      <c r="H54" s="37">
        <v>332</v>
      </c>
      <c r="I54" s="37">
        <v>316</v>
      </c>
      <c r="J54" s="37">
        <v>148</v>
      </c>
      <c r="K54" s="37">
        <v>103</v>
      </c>
      <c r="L54" s="37">
        <v>245</v>
      </c>
      <c r="M54" s="37">
        <v>-11</v>
      </c>
      <c r="N54" s="37">
        <v>167</v>
      </c>
      <c r="O54" s="37">
        <v>226</v>
      </c>
      <c r="P54" s="37">
        <v>-1</v>
      </c>
      <c r="Q54" s="37">
        <v>-9</v>
      </c>
      <c r="R54" s="37">
        <v>72</v>
      </c>
      <c r="S54" s="37">
        <v>74</v>
      </c>
      <c r="T54" s="37">
        <v>-91</v>
      </c>
      <c r="U54" s="37">
        <v>-17</v>
      </c>
      <c r="V54" s="37">
        <v>95</v>
      </c>
      <c r="W54" s="37">
        <v>52</v>
      </c>
      <c r="X54" s="37">
        <v>74</v>
      </c>
      <c r="Y54" s="37">
        <v>-77</v>
      </c>
      <c r="Z54" s="37">
        <v>297</v>
      </c>
      <c r="AA54" s="37">
        <v>-280</v>
      </c>
      <c r="AB54" s="37">
        <v>-171</v>
      </c>
      <c r="AC54" s="37">
        <v>-247</v>
      </c>
      <c r="AD54" s="37">
        <v>259</v>
      </c>
      <c r="AE54" s="37">
        <v>112</v>
      </c>
      <c r="AF54" s="37">
        <v>117</v>
      </c>
      <c r="AG54" s="37">
        <v>371</v>
      </c>
      <c r="AH54" s="37">
        <v>276</v>
      </c>
      <c r="AI54" s="37">
        <v>276</v>
      </c>
      <c r="AJ54" s="37">
        <v>490</v>
      </c>
      <c r="AK54" s="37">
        <v>349</v>
      </c>
      <c r="AL54" s="37">
        <v>301</v>
      </c>
      <c r="AM54" s="1">
        <v>266</v>
      </c>
      <c r="AN54" s="1">
        <v>127</v>
      </c>
      <c r="AO54" s="1">
        <v>145</v>
      </c>
      <c r="AP54" s="1">
        <f>729-SUM(AM54:AO54)</f>
        <v>191</v>
      </c>
      <c r="AQ54" s="1">
        <v>0</v>
      </c>
      <c r="AR54" s="1">
        <v>194</v>
      </c>
      <c r="AS54" s="1">
        <v>-132</v>
      </c>
      <c r="AT54" s="1">
        <f>77-SUM(AQ54:AS54)</f>
        <v>15</v>
      </c>
      <c r="AU54" s="1">
        <v>248</v>
      </c>
      <c r="AV54" s="1">
        <v>440</v>
      </c>
      <c r="AW54" s="1">
        <v>188</v>
      </c>
      <c r="AX54" s="1">
        <f>1186-SUM(AU54:AW54)</f>
        <v>310</v>
      </c>
      <c r="AY54" s="1">
        <v>286</v>
      </c>
      <c r="AZ54" s="1">
        <v>268</v>
      </c>
      <c r="BA54" s="1">
        <v>-174</v>
      </c>
      <c r="BB54" s="1">
        <f>333-SUM(AY54:BA54)</f>
        <v>-47</v>
      </c>
      <c r="BC54" s="1">
        <v>54</v>
      </c>
      <c r="BD54" s="1">
        <v>-60</v>
      </c>
      <c r="BE54" s="1">
        <v>321</v>
      </c>
      <c r="BF54" s="1">
        <f>788-SUM(BC54:BE54)</f>
        <v>473</v>
      </c>
      <c r="BG54" s="1">
        <v>389</v>
      </c>
      <c r="BH54" s="1">
        <v>-506</v>
      </c>
      <c r="BI54" s="1">
        <v>-854</v>
      </c>
      <c r="BJ54" s="1">
        <f>-1646-SUM(BG54:BI54)</f>
        <v>-675</v>
      </c>
      <c r="BK54" s="1">
        <v>-283</v>
      </c>
      <c r="BL54" s="37">
        <v>-2288</v>
      </c>
      <c r="BM54" s="37">
        <v>-623</v>
      </c>
      <c r="BN54" s="1">
        <v>-1707</v>
      </c>
      <c r="BO54" s="37">
        <v>-3660</v>
      </c>
      <c r="BZ54" s="1">
        <f t="shared" si="61"/>
        <v>915</v>
      </c>
      <c r="CA54" s="1">
        <f t="shared" si="62"/>
        <v>910</v>
      </c>
      <c r="CB54" s="1">
        <f t="shared" si="63"/>
        <v>504</v>
      </c>
      <c r="CC54" s="1">
        <f t="shared" si="64"/>
        <v>288</v>
      </c>
      <c r="CD54" s="1">
        <f t="shared" si="65"/>
        <v>61</v>
      </c>
      <c r="CE54" s="1">
        <f t="shared" si="66"/>
        <v>346</v>
      </c>
      <c r="CF54" s="1">
        <f t="shared" si="67"/>
        <v>-439</v>
      </c>
      <c r="CG54" s="1">
        <f t="shared" si="68"/>
        <v>876</v>
      </c>
      <c r="CH54" s="1">
        <f t="shared" si="69"/>
        <v>1416</v>
      </c>
      <c r="CI54" s="1">
        <f t="shared" si="70"/>
        <v>729</v>
      </c>
      <c r="CJ54" s="1">
        <f t="shared" si="71"/>
        <v>77</v>
      </c>
      <c r="CK54" s="1">
        <f t="shared" si="72"/>
        <v>1186</v>
      </c>
      <c r="CL54" s="1">
        <f t="shared" si="73"/>
        <v>333</v>
      </c>
      <c r="CM54" s="1">
        <f t="shared" si="74"/>
        <v>788</v>
      </c>
      <c r="CN54" s="1">
        <f t="shared" si="76"/>
        <v>-1646</v>
      </c>
      <c r="CO54" s="1">
        <f t="shared" si="77"/>
        <v>-4901</v>
      </c>
      <c r="CP54" s="72">
        <f>SUM(CO70:CO71)*$CY$72</f>
        <v>22932.012500000001</v>
      </c>
      <c r="CQ54" s="72">
        <f t="shared" ref="CQ54:CY54" si="95">SUM(CP70:CP71)*$CY$72</f>
        <v>38751.382044514059</v>
      </c>
      <c r="CR54" s="72">
        <f t="shared" si="95"/>
        <v>77477.643987047093</v>
      </c>
      <c r="CS54" s="72">
        <f t="shared" si="95"/>
        <v>127624.49957613743</v>
      </c>
      <c r="CT54" s="72">
        <f t="shared" si="95"/>
        <v>193170.94327079205</v>
      </c>
      <c r="CU54" s="72">
        <f t="shared" si="95"/>
        <v>276386.65149341017</v>
      </c>
      <c r="CV54" s="72">
        <f t="shared" si="95"/>
        <v>381101.50803246087</v>
      </c>
      <c r="CW54" s="72">
        <f t="shared" si="95"/>
        <v>510984.818935994</v>
      </c>
      <c r="CX54" s="72">
        <f t="shared" si="95"/>
        <v>669491.83886888344</v>
      </c>
      <c r="CY54" s="72">
        <f t="shared" si="95"/>
        <v>861340.54939534841</v>
      </c>
    </row>
    <row r="55" spans="2:154">
      <c r="B55" s="1" t="s">
        <v>239</v>
      </c>
      <c r="C55" s="1">
        <f t="shared" ref="C55:AK55" ca="1" si="96">C53+C54</f>
        <v>4765</v>
      </c>
      <c r="D55" s="1">
        <f t="shared" ca="1" si="96"/>
        <v>8883</v>
      </c>
      <c r="E55" s="1">
        <f t="shared" ca="1" si="96"/>
        <v>5341</v>
      </c>
      <c r="F55" s="1">
        <f t="shared" ca="1" si="96"/>
        <v>6024</v>
      </c>
      <c r="G55" s="1">
        <f t="shared" ca="1" si="96"/>
        <v>7230</v>
      </c>
      <c r="H55" s="1">
        <f t="shared" ca="1" si="96"/>
        <v>8497</v>
      </c>
      <c r="I55" s="1">
        <f t="shared" ca="1" si="96"/>
        <v>6025</v>
      </c>
      <c r="J55" s="1">
        <f t="shared" ca="1" si="96"/>
        <v>6319</v>
      </c>
      <c r="K55" s="1">
        <f t="shared" ca="1" si="96"/>
        <v>7306</v>
      </c>
      <c r="L55" s="1">
        <f t="shared" ca="1" si="96"/>
        <v>8239</v>
      </c>
      <c r="M55" s="1">
        <f t="shared" ca="1" si="96"/>
        <v>6363</v>
      </c>
      <c r="N55" s="1">
        <f t="shared" ca="1" si="96"/>
        <v>359</v>
      </c>
      <c r="O55" s="1">
        <f t="shared" ca="1" si="96"/>
        <v>5534</v>
      </c>
      <c r="P55" s="1">
        <f t="shared" ca="1" si="96"/>
        <v>7770</v>
      </c>
      <c r="Q55" s="1">
        <f t="shared" ca="1" si="96"/>
        <v>7603</v>
      </c>
      <c r="R55" s="1">
        <f t="shared" ca="1" si="96"/>
        <v>6145</v>
      </c>
      <c r="S55" s="1">
        <f t="shared" ca="1" si="96"/>
        <v>6408</v>
      </c>
      <c r="T55" s="1">
        <f t="shared" ca="1" si="96"/>
        <v>7878</v>
      </c>
      <c r="U55" s="1">
        <f t="shared" ca="1" si="96"/>
        <v>6957</v>
      </c>
      <c r="V55" s="1">
        <f t="shared" ca="1" si="96"/>
        <v>6704</v>
      </c>
      <c r="W55" s="1">
        <f t="shared" ca="1" si="96"/>
        <v>5896</v>
      </c>
      <c r="X55" s="1">
        <f t="shared" ca="1" si="96"/>
        <v>7850</v>
      </c>
      <c r="Y55" s="1">
        <f t="shared" ca="1" si="96"/>
        <v>6517</v>
      </c>
      <c r="Z55" s="1">
        <f t="shared" ca="1" si="96"/>
        <v>-1756</v>
      </c>
      <c r="AA55" s="1">
        <f t="shared" ca="1" si="96"/>
        <v>5513</v>
      </c>
      <c r="AB55" s="1">
        <f t="shared" ca="1" si="96"/>
        <v>5855</v>
      </c>
      <c r="AC55" s="1">
        <f t="shared" ca="1" si="96"/>
        <v>5036</v>
      </c>
      <c r="AD55" s="1">
        <f t="shared" ca="1" si="96"/>
        <v>9235</v>
      </c>
      <c r="AE55" s="1">
        <f t="shared" ca="1" si="96"/>
        <v>6827</v>
      </c>
      <c r="AF55" s="1">
        <f t="shared" ca="1" si="96"/>
        <v>8022</v>
      </c>
      <c r="AG55" s="1">
        <f t="shared" ca="1" si="96"/>
        <v>7094</v>
      </c>
      <c r="AH55" s="1">
        <f t="shared" ca="1" si="96"/>
        <v>7958</v>
      </c>
      <c r="AI55" s="1">
        <f t="shared" ca="1" si="96"/>
        <v>7984</v>
      </c>
      <c r="AJ55" s="1">
        <f t="shared" ca="1" si="96"/>
        <v>9169</v>
      </c>
      <c r="AK55" s="1">
        <f t="shared" ca="1" si="96"/>
        <v>8641</v>
      </c>
      <c r="AL55" s="1">
        <f ca="1">AL53+AL54</f>
        <v>10680</v>
      </c>
      <c r="AM55" s="37">
        <f t="shared" ref="AM55:BL55" si="97">AM53+AM54</f>
        <v>10221</v>
      </c>
      <c r="AN55" s="37">
        <f t="shared" si="97"/>
        <v>10385</v>
      </c>
      <c r="AO55" s="37">
        <f t="shared" si="97"/>
        <v>10486</v>
      </c>
      <c r="AP55" s="37">
        <f t="shared" si="97"/>
        <v>12596</v>
      </c>
      <c r="AQ55" s="37">
        <f t="shared" si="97"/>
        <v>12686</v>
      </c>
      <c r="AR55" s="37">
        <f t="shared" si="97"/>
        <v>14085</v>
      </c>
      <c r="AS55" s="37">
        <f t="shared" si="97"/>
        <v>12843</v>
      </c>
      <c r="AT55" s="37">
        <f t="shared" si="97"/>
        <v>13422</v>
      </c>
      <c r="AU55" s="37">
        <f t="shared" si="97"/>
        <v>16124</v>
      </c>
      <c r="AV55" s="37">
        <f t="shared" si="97"/>
        <v>18337</v>
      </c>
      <c r="AW55" s="37">
        <f t="shared" si="97"/>
        <v>17236</v>
      </c>
      <c r="AX55" s="37">
        <f t="shared" si="97"/>
        <v>19405</v>
      </c>
      <c r="AY55" s="37">
        <f t="shared" si="97"/>
        <v>20524</v>
      </c>
      <c r="AZ55" s="37">
        <f t="shared" si="97"/>
        <v>22505</v>
      </c>
      <c r="BA55" s="37">
        <f t="shared" si="97"/>
        <v>20190</v>
      </c>
      <c r="BB55" s="37">
        <f t="shared" si="97"/>
        <v>20497</v>
      </c>
      <c r="BC55" s="37">
        <f t="shared" si="97"/>
        <v>21572</v>
      </c>
      <c r="BD55" s="37">
        <f t="shared" si="97"/>
        <v>20339</v>
      </c>
      <c r="BE55" s="37">
        <f t="shared" si="97"/>
        <v>22673</v>
      </c>
      <c r="BF55" s="37">
        <f t="shared" si="97"/>
        <v>24727</v>
      </c>
      <c r="BG55" s="37">
        <f t="shared" si="97"/>
        <v>27284</v>
      </c>
      <c r="BH55" s="37">
        <f t="shared" si="97"/>
        <v>26526</v>
      </c>
      <c r="BI55" s="37">
        <f t="shared" si="97"/>
        <v>26727</v>
      </c>
      <c r="BJ55" s="37">
        <f t="shared" si="97"/>
        <v>27250</v>
      </c>
      <c r="BK55" s="37">
        <f t="shared" si="97"/>
        <v>30269</v>
      </c>
      <c r="BL55" s="37">
        <f t="shared" si="97"/>
        <v>29365</v>
      </c>
      <c r="BM55" s="37">
        <f>BM53+BM54</f>
        <v>31377</v>
      </c>
      <c r="BN55" s="37">
        <f t="shared" ref="BN55" si="98">BN53+BN54</f>
        <v>32616</v>
      </c>
      <c r="BO55" s="37">
        <f>BO53+BO54</f>
        <v>34301</v>
      </c>
      <c r="BZ55" s="1">
        <f t="shared" ca="1" si="61"/>
        <v>62484</v>
      </c>
      <c r="CA55" s="1">
        <f t="shared" ca="1" si="62"/>
        <v>69943</v>
      </c>
      <c r="CB55" s="1">
        <f t="shared" ca="1" si="63"/>
        <v>73723</v>
      </c>
      <c r="CC55" s="1">
        <f t="shared" ca="1" si="64"/>
        <v>77849</v>
      </c>
      <c r="CD55" s="1">
        <f t="shared" ca="1" si="65"/>
        <v>86833</v>
      </c>
      <c r="CE55" s="1">
        <f t="shared" ca="1" si="66"/>
        <v>93580</v>
      </c>
      <c r="CF55" s="1">
        <f t="shared" ca="1" si="67"/>
        <v>91154</v>
      </c>
      <c r="CG55" s="1">
        <f t="shared" ca="1" si="68"/>
        <v>96571</v>
      </c>
      <c r="CH55" s="1">
        <f t="shared" ca="1" si="69"/>
        <v>35865</v>
      </c>
      <c r="CI55" s="1">
        <f t="shared" si="70"/>
        <v>43688</v>
      </c>
      <c r="CJ55" s="1">
        <f t="shared" si="71"/>
        <v>53036</v>
      </c>
      <c r="CK55" s="1">
        <f t="shared" si="72"/>
        <v>71102</v>
      </c>
      <c r="CL55" s="1">
        <f t="shared" si="73"/>
        <v>83716</v>
      </c>
      <c r="CM55" s="1">
        <f t="shared" si="74"/>
        <v>89311</v>
      </c>
      <c r="CN55" s="1">
        <f t="shared" si="76"/>
        <v>107787</v>
      </c>
      <c r="CO55" s="1">
        <f t="shared" si="77"/>
        <v>123627</v>
      </c>
      <c r="CP55" s="72">
        <f>CP53+CP54</f>
        <v>172743.3514475</v>
      </c>
      <c r="CQ55" s="72">
        <f t="shared" ref="CQ55:CY55" si="99">CQ53+CQ54</f>
        <v>210126.21781081404</v>
      </c>
      <c r="CR55" s="72">
        <f t="shared" si="99"/>
        <v>272093.62772159709</v>
      </c>
      <c r="CS55" s="72">
        <f t="shared" si="99"/>
        <v>355650.80680767563</v>
      </c>
      <c r="CT55" s="72">
        <f t="shared" si="99"/>
        <v>451523.10484328878</v>
      </c>
      <c r="CU55" s="72">
        <f t="shared" si="99"/>
        <v>568176.10710282507</v>
      </c>
      <c r="CV55" s="72">
        <f t="shared" si="99"/>
        <v>704738.52904792805</v>
      </c>
      <c r="CW55" s="72">
        <f t="shared" si="99"/>
        <v>860048.941578347</v>
      </c>
      <c r="CX55" s="72">
        <f t="shared" si="99"/>
        <v>1040958.8200025227</v>
      </c>
      <c r="CY55" s="72">
        <f t="shared" si="99"/>
        <v>1249352.900762374</v>
      </c>
    </row>
    <row r="56" spans="2:154">
      <c r="B56" s="1" t="s">
        <v>240</v>
      </c>
      <c r="C56" s="37">
        <v>1191</v>
      </c>
      <c r="D56" s="37">
        <v>2221</v>
      </c>
      <c r="E56" s="37">
        <v>1335</v>
      </c>
      <c r="F56" s="37">
        <v>1506</v>
      </c>
      <c r="G56" s="37">
        <v>1820</v>
      </c>
      <c r="H56" s="37">
        <v>1863</v>
      </c>
      <c r="I56" s="37">
        <v>793</v>
      </c>
      <c r="J56" s="37">
        <v>445</v>
      </c>
      <c r="K56" s="37">
        <v>1568</v>
      </c>
      <c r="L56" s="37">
        <v>1615</v>
      </c>
      <c r="M56" s="37">
        <v>1255</v>
      </c>
      <c r="N56" s="37">
        <v>851</v>
      </c>
      <c r="O56" s="37">
        <v>1068</v>
      </c>
      <c r="P56" s="37">
        <v>1393</v>
      </c>
      <c r="Q56" s="37">
        <v>1548</v>
      </c>
      <c r="R56" s="37">
        <v>1180</v>
      </c>
      <c r="S56" s="37">
        <v>1164</v>
      </c>
      <c r="T56" s="37">
        <v>1320</v>
      </c>
      <c r="U56" s="37">
        <v>1297</v>
      </c>
      <c r="V56" s="37">
        <v>1965</v>
      </c>
      <c r="W56" s="37">
        <v>1356</v>
      </c>
      <c r="X56" s="37">
        <v>1987</v>
      </c>
      <c r="Y56" s="37">
        <v>1532</v>
      </c>
      <c r="Z56" s="37">
        <v>1439</v>
      </c>
      <c r="AA56" s="37">
        <v>611</v>
      </c>
      <c r="AB56" s="37">
        <v>837</v>
      </c>
      <c r="AC56" s="37">
        <v>1280</v>
      </c>
      <c r="AD56" s="37">
        <v>2372</v>
      </c>
      <c r="AE56" s="37">
        <v>1160</v>
      </c>
      <c r="AF56" s="37">
        <v>1755</v>
      </c>
      <c r="AG56" s="37">
        <v>1608</v>
      </c>
      <c r="AH56" s="37">
        <v>-111</v>
      </c>
      <c r="AI56" s="37">
        <v>1408</v>
      </c>
      <c r="AJ56" s="37">
        <v>15471</v>
      </c>
      <c r="AK56" s="37">
        <v>1217</v>
      </c>
      <c r="AL56" s="37">
        <v>1807</v>
      </c>
      <c r="AM56" s="1">
        <v>1397</v>
      </c>
      <c r="AN56" s="1">
        <v>1965</v>
      </c>
      <c r="AO56" s="1">
        <v>1677</v>
      </c>
      <c r="AP56" s="1">
        <f>4448-SUM(AM56:AO56)</f>
        <v>-591</v>
      </c>
      <c r="AQ56" s="1">
        <v>2008</v>
      </c>
      <c r="AR56" s="1">
        <v>2436</v>
      </c>
      <c r="AS56" s="1">
        <v>2091</v>
      </c>
      <c r="AT56" s="1">
        <f>8755-SUM(AQ56:AS56)</f>
        <v>2220</v>
      </c>
      <c r="AU56" s="1">
        <v>2231</v>
      </c>
      <c r="AV56" s="1">
        <v>2874</v>
      </c>
      <c r="AW56" s="1">
        <v>1779</v>
      </c>
      <c r="AX56" s="1">
        <f>9831-SUM(AU56:AW56)</f>
        <v>2947</v>
      </c>
      <c r="AY56" s="1">
        <v>19</v>
      </c>
      <c r="AZ56" s="1">
        <v>3750</v>
      </c>
      <c r="BA56" s="1">
        <v>3462</v>
      </c>
      <c r="BB56" s="1">
        <f>10978-SUM(AY56:BA56)</f>
        <v>3747</v>
      </c>
      <c r="BC56" s="1">
        <v>4016</v>
      </c>
      <c r="BD56" s="1">
        <v>3914</v>
      </c>
      <c r="BE56" s="1">
        <v>4374</v>
      </c>
      <c r="BF56" s="1">
        <f>16950-SUM(BC56:BE56)</f>
        <v>4646</v>
      </c>
      <c r="BG56" s="1">
        <v>4993</v>
      </c>
      <c r="BH56" s="1">
        <v>4656</v>
      </c>
      <c r="BI56" s="1">
        <v>4788</v>
      </c>
      <c r="BJ56" s="1">
        <f>19651-SUM(BG56:BI56)</f>
        <v>5214</v>
      </c>
      <c r="BK56" s="1">
        <v>5602</v>
      </c>
      <c r="BL56" s="37">
        <v>5257</v>
      </c>
      <c r="BM56" s="37">
        <v>5553</v>
      </c>
      <c r="BN56" s="1">
        <v>5383</v>
      </c>
      <c r="BO56" s="37">
        <v>6554</v>
      </c>
      <c r="BZ56" s="1">
        <f t="shared" si="61"/>
        <v>6253</v>
      </c>
      <c r="CA56" s="1">
        <f t="shared" si="62"/>
        <v>4921</v>
      </c>
      <c r="CB56" s="1">
        <f t="shared" si="63"/>
        <v>5289</v>
      </c>
      <c r="CC56" s="1">
        <f t="shared" si="64"/>
        <v>5189</v>
      </c>
      <c r="CD56" s="1">
        <f t="shared" si="65"/>
        <v>5746</v>
      </c>
      <c r="CE56" s="1">
        <f t="shared" si="66"/>
        <v>6314</v>
      </c>
      <c r="CF56" s="1">
        <f t="shared" si="67"/>
        <v>5100</v>
      </c>
      <c r="CG56" s="1">
        <f t="shared" si="68"/>
        <v>4412</v>
      </c>
      <c r="CH56" s="1">
        <f t="shared" si="69"/>
        <v>19903</v>
      </c>
      <c r="CI56" s="1">
        <f t="shared" si="70"/>
        <v>4448</v>
      </c>
      <c r="CJ56" s="1">
        <f t="shared" si="71"/>
        <v>8755</v>
      </c>
      <c r="CK56" s="1">
        <f t="shared" si="72"/>
        <v>9831</v>
      </c>
      <c r="CL56" s="1">
        <f t="shared" si="73"/>
        <v>10978</v>
      </c>
      <c r="CM56" s="1">
        <f t="shared" si="74"/>
        <v>16950</v>
      </c>
      <c r="CN56" s="1">
        <f t="shared" si="76"/>
        <v>19651</v>
      </c>
      <c r="CO56" s="1">
        <f t="shared" si="77"/>
        <v>21795</v>
      </c>
      <c r="CP56" s="72">
        <f>CP55*CP67</f>
        <v>43185.837861874999</v>
      </c>
      <c r="CQ56" s="72">
        <f t="shared" ref="CQ56:CY56" si="100">CQ55*CQ67</f>
        <v>50430.292274595369</v>
      </c>
      <c r="CR56" s="72">
        <f t="shared" si="100"/>
        <v>65302.4706531833</v>
      </c>
      <c r="CS56" s="72">
        <f t="shared" si="100"/>
        <v>85356.193633842151</v>
      </c>
      <c r="CT56" s="72">
        <f t="shared" si="100"/>
        <v>108365.5451623893</v>
      </c>
      <c r="CU56" s="72">
        <f t="shared" si="100"/>
        <v>136362.26570467802</v>
      </c>
      <c r="CV56" s="72">
        <f t="shared" si="100"/>
        <v>169137.24697150273</v>
      </c>
      <c r="CW56" s="72">
        <f t="shared" si="100"/>
        <v>206411.74597880329</v>
      </c>
      <c r="CX56" s="72">
        <f t="shared" si="100"/>
        <v>249830.11680060544</v>
      </c>
      <c r="CY56" s="72">
        <f t="shared" si="100"/>
        <v>299844.69618296978</v>
      </c>
    </row>
    <row r="57" spans="2:154" s="2" customFormat="1" ht="15">
      <c r="B57" s="2" t="s">
        <v>241</v>
      </c>
      <c r="C57" s="2">
        <v>3574</v>
      </c>
      <c r="D57" s="2">
        <v>6662</v>
      </c>
      <c r="E57" s="2">
        <v>4006</v>
      </c>
      <c r="F57" s="2">
        <v>4518</v>
      </c>
      <c r="G57" s="2">
        <v>5410</v>
      </c>
      <c r="H57" s="2">
        <v>6634</v>
      </c>
      <c r="I57" s="2">
        <v>5234</v>
      </c>
      <c r="J57" s="2">
        <v>5874</v>
      </c>
      <c r="K57" s="2">
        <v>5738</v>
      </c>
      <c r="L57" s="2">
        <v>6624</v>
      </c>
      <c r="M57" s="2">
        <v>5108</v>
      </c>
      <c r="N57" s="2">
        <v>-492</v>
      </c>
      <c r="O57" s="2">
        <v>4466</v>
      </c>
      <c r="P57" s="2">
        <v>6377</v>
      </c>
      <c r="Q57" s="2">
        <v>6055</v>
      </c>
      <c r="R57" s="2">
        <v>4965</v>
      </c>
      <c r="S57" s="2">
        <v>5244</v>
      </c>
      <c r="T57" s="2">
        <v>6558</v>
      </c>
      <c r="U57" s="2">
        <v>5660</v>
      </c>
      <c r="V57" s="2">
        <v>4739</v>
      </c>
      <c r="W57" s="2">
        <v>4540</v>
      </c>
      <c r="X57" s="2">
        <v>5863</v>
      </c>
      <c r="Y57" s="2">
        <v>4985</v>
      </c>
      <c r="Z57" s="2">
        <v>-3195</v>
      </c>
      <c r="AA57" s="2">
        <v>4902</v>
      </c>
      <c r="AB57" s="2">
        <v>5018</v>
      </c>
      <c r="AC57" s="2">
        <v>3756</v>
      </c>
      <c r="AD57" s="2">
        <v>6863</v>
      </c>
      <c r="AE57" s="2">
        <v>5667</v>
      </c>
      <c r="AF57" s="2">
        <v>6267</v>
      </c>
      <c r="AG57" s="2">
        <v>5486</v>
      </c>
      <c r="AH57" s="2">
        <v>8069</v>
      </c>
      <c r="AI57" s="2">
        <v>6576</v>
      </c>
      <c r="AJ57" s="2">
        <v>12</v>
      </c>
      <c r="AK57" s="2">
        <v>7424</v>
      </c>
      <c r="AL57" s="33">
        <f ca="1">AL55-AL56</f>
        <v>8809</v>
      </c>
      <c r="AM57" s="33">
        <f t="shared" ref="AM57" si="101">AM55-AM56</f>
        <v>8824</v>
      </c>
      <c r="AN57" s="33">
        <f t="shared" ref="AN57" si="102">AN55-AN56</f>
        <v>8420</v>
      </c>
      <c r="AO57" s="33">
        <f t="shared" ref="AO57:AU57" si="103">AO55-AO56</f>
        <v>8809</v>
      </c>
      <c r="AP57" s="33">
        <f t="shared" si="103"/>
        <v>13187</v>
      </c>
      <c r="AQ57" s="33">
        <f t="shared" si="103"/>
        <v>10678</v>
      </c>
      <c r="AR57" s="33">
        <f t="shared" si="103"/>
        <v>11649</v>
      </c>
      <c r="AS57" s="33">
        <f t="shared" si="103"/>
        <v>10752</v>
      </c>
      <c r="AT57" s="33">
        <f t="shared" si="103"/>
        <v>11202</v>
      </c>
      <c r="AU57" s="33">
        <f t="shared" si="103"/>
        <v>13893</v>
      </c>
      <c r="AV57" s="33">
        <f t="shared" ref="AV57:AY57" si="104">AV55-AV56</f>
        <v>15463</v>
      </c>
      <c r="AW57" s="33">
        <f t="shared" si="104"/>
        <v>15457</v>
      </c>
      <c r="AX57" s="33">
        <f t="shared" si="104"/>
        <v>16458</v>
      </c>
      <c r="AY57" s="33">
        <f t="shared" si="104"/>
        <v>20505</v>
      </c>
      <c r="AZ57" s="33">
        <f t="shared" ref="AZ57:BC57" si="105">AZ55-AZ56</f>
        <v>18755</v>
      </c>
      <c r="BA57" s="33">
        <f t="shared" si="105"/>
        <v>16728</v>
      </c>
      <c r="BB57" s="33">
        <f t="shared" si="105"/>
        <v>16750</v>
      </c>
      <c r="BC57" s="33">
        <f t="shared" si="105"/>
        <v>17556</v>
      </c>
      <c r="BD57" s="33">
        <f t="shared" ref="BD57:BE57" si="106">BD55-BD56</f>
        <v>16425</v>
      </c>
      <c r="BE57" s="33">
        <f t="shared" si="106"/>
        <v>18299</v>
      </c>
      <c r="BF57" s="33">
        <f>BF55-BF56</f>
        <v>20081</v>
      </c>
      <c r="BG57" s="33">
        <f>BG55-BG56</f>
        <v>22291</v>
      </c>
      <c r="BH57" s="33">
        <f t="shared" ref="BH57:BL57" si="107">BH55-BH56</f>
        <v>21870</v>
      </c>
      <c r="BI57" s="33">
        <f t="shared" si="107"/>
        <v>21939</v>
      </c>
      <c r="BJ57" s="33">
        <f t="shared" si="107"/>
        <v>22036</v>
      </c>
      <c r="BK57" s="33">
        <f t="shared" si="107"/>
        <v>24667</v>
      </c>
      <c r="BL57" s="33">
        <f t="shared" si="107"/>
        <v>24108</v>
      </c>
      <c r="BM57" s="33">
        <f>BM55-BM56</f>
        <v>25824</v>
      </c>
      <c r="BN57" s="33">
        <f>BN55-BN56</f>
        <v>27233</v>
      </c>
      <c r="BO57" s="33">
        <f>BO55-BO56</f>
        <v>27747</v>
      </c>
      <c r="BP57" s="34"/>
      <c r="BQ57" s="34"/>
      <c r="BR57" s="34"/>
      <c r="BZ57" s="2">
        <f t="shared" si="61"/>
        <v>18760</v>
      </c>
      <c r="CA57" s="2">
        <f t="shared" si="62"/>
        <v>23152</v>
      </c>
      <c r="CB57" s="2">
        <f t="shared" si="63"/>
        <v>16978</v>
      </c>
      <c r="CC57" s="2">
        <f t="shared" si="64"/>
        <v>21863</v>
      </c>
      <c r="CD57" s="2">
        <f t="shared" si="65"/>
        <v>22201</v>
      </c>
      <c r="CE57" s="2">
        <f t="shared" si="66"/>
        <v>12193</v>
      </c>
      <c r="CF57" s="2">
        <f t="shared" si="67"/>
        <v>20539</v>
      </c>
      <c r="CG57" s="2">
        <f t="shared" si="68"/>
        <v>25489</v>
      </c>
      <c r="CH57" s="2">
        <f ca="1">SUM(AI57:AL57)</f>
        <v>22885</v>
      </c>
      <c r="CI57" s="2">
        <f t="shared" si="70"/>
        <v>39240</v>
      </c>
      <c r="CJ57" s="2">
        <f t="shared" si="71"/>
        <v>44281</v>
      </c>
      <c r="CK57" s="2">
        <f t="shared" si="72"/>
        <v>61271</v>
      </c>
      <c r="CL57" s="2">
        <f t="shared" si="73"/>
        <v>72738</v>
      </c>
      <c r="CM57" s="2">
        <f t="shared" si="74"/>
        <v>72361</v>
      </c>
      <c r="CN57" s="2">
        <f t="shared" si="76"/>
        <v>88136</v>
      </c>
      <c r="CO57" s="2">
        <f t="shared" si="77"/>
        <v>101832</v>
      </c>
      <c r="CP57" s="80">
        <f>CP55-CP56</f>
        <v>129557.513585625</v>
      </c>
      <c r="CQ57" s="80">
        <f t="shared" ref="CQ57:CY57" si="108">CQ55-CQ56</f>
        <v>159695.92553621868</v>
      </c>
      <c r="CR57" s="80">
        <f t="shared" si="108"/>
        <v>206791.1570684138</v>
      </c>
      <c r="CS57" s="80">
        <f t="shared" si="108"/>
        <v>270294.61317383347</v>
      </c>
      <c r="CT57" s="80">
        <f t="shared" si="108"/>
        <v>343157.55968089949</v>
      </c>
      <c r="CU57" s="80">
        <f t="shared" si="108"/>
        <v>431813.84139814705</v>
      </c>
      <c r="CV57" s="80">
        <f t="shared" si="108"/>
        <v>535601.28207642538</v>
      </c>
      <c r="CW57" s="80">
        <f t="shared" si="108"/>
        <v>653637.19559954375</v>
      </c>
      <c r="CX57" s="80">
        <f t="shared" si="108"/>
        <v>791128.70320191723</v>
      </c>
      <c r="CY57" s="80">
        <f t="shared" si="108"/>
        <v>949508.20457940432</v>
      </c>
      <c r="CZ57" s="70">
        <f>CY57*(1+$CY$73)</f>
        <v>966124.59815954394</v>
      </c>
      <c r="DA57" s="70">
        <f t="shared" ref="DA57:EV57" si="109">CZ57*(1+$CY$73)</f>
        <v>983031.77862733603</v>
      </c>
      <c r="DB57" s="70">
        <f t="shared" si="109"/>
        <v>1000234.8347533145</v>
      </c>
      <c r="DC57" s="70">
        <f t="shared" si="109"/>
        <v>1017738.9443614975</v>
      </c>
      <c r="DD57" s="70">
        <f t="shared" si="109"/>
        <v>1035549.3758878238</v>
      </c>
      <c r="DE57" s="70">
        <f t="shared" si="109"/>
        <v>1053671.4899658607</v>
      </c>
      <c r="DF57" s="70">
        <f t="shared" si="109"/>
        <v>1072110.7410402633</v>
      </c>
      <c r="DG57" s="70">
        <f t="shared" si="109"/>
        <v>1090872.6790084681</v>
      </c>
      <c r="DH57" s="70">
        <f t="shared" si="109"/>
        <v>1109962.9508911164</v>
      </c>
      <c r="DI57" s="70">
        <f t="shared" si="109"/>
        <v>1129387.3025317111</v>
      </c>
      <c r="DJ57" s="70">
        <f t="shared" si="109"/>
        <v>1149151.5803260161</v>
      </c>
      <c r="DK57" s="70">
        <f t="shared" si="109"/>
        <v>1169261.7329817214</v>
      </c>
      <c r="DL57" s="70">
        <f t="shared" si="109"/>
        <v>1189723.8133089016</v>
      </c>
      <c r="DM57" s="70">
        <f t="shared" si="109"/>
        <v>1210543.9800418075</v>
      </c>
      <c r="DN57" s="70">
        <f t="shared" si="109"/>
        <v>1231728.4996925392</v>
      </c>
      <c r="DO57" s="70">
        <f t="shared" si="109"/>
        <v>1253283.7484371588</v>
      </c>
      <c r="DP57" s="70">
        <f t="shared" si="109"/>
        <v>1275216.214034809</v>
      </c>
      <c r="DQ57" s="70">
        <f t="shared" si="109"/>
        <v>1297532.4977804183</v>
      </c>
      <c r="DR57" s="70">
        <f t="shared" si="109"/>
        <v>1320239.3164915757</v>
      </c>
      <c r="DS57" s="70">
        <f t="shared" si="109"/>
        <v>1343343.5045301784</v>
      </c>
      <c r="DT57" s="70">
        <f t="shared" si="109"/>
        <v>1366852.0158594565</v>
      </c>
      <c r="DU57" s="70">
        <f t="shared" si="109"/>
        <v>1390771.9261369971</v>
      </c>
      <c r="DV57" s="70">
        <f t="shared" si="109"/>
        <v>1415110.4348443947</v>
      </c>
      <c r="DW57" s="70">
        <f t="shared" si="109"/>
        <v>1439874.8674541716</v>
      </c>
      <c r="DX57" s="70">
        <f t="shared" si="109"/>
        <v>1465072.6776346196</v>
      </c>
      <c r="DY57" s="70">
        <f t="shared" si="109"/>
        <v>1490711.4494932257</v>
      </c>
      <c r="DZ57" s="70">
        <f t="shared" si="109"/>
        <v>1516798.8998593572</v>
      </c>
      <c r="EA57" s="70">
        <f t="shared" si="109"/>
        <v>1543342.880606896</v>
      </c>
      <c r="EB57" s="70">
        <f t="shared" si="109"/>
        <v>1570351.3810175168</v>
      </c>
      <c r="EC57" s="70">
        <f t="shared" si="109"/>
        <v>1597832.5301853234</v>
      </c>
      <c r="ED57" s="70">
        <f t="shared" si="109"/>
        <v>1625794.5994635667</v>
      </c>
      <c r="EE57" s="70">
        <f t="shared" si="109"/>
        <v>1654246.0049541793</v>
      </c>
      <c r="EF57" s="70">
        <f t="shared" si="109"/>
        <v>1683195.3100408774</v>
      </c>
      <c r="EG57" s="70">
        <f t="shared" si="109"/>
        <v>1712651.2279665929</v>
      </c>
      <c r="EH57" s="70">
        <f t="shared" si="109"/>
        <v>1742622.6244560084</v>
      </c>
      <c r="EI57" s="70">
        <f t="shared" si="109"/>
        <v>1773118.5203839887</v>
      </c>
      <c r="EJ57" s="70">
        <f t="shared" si="109"/>
        <v>1804148.0944907088</v>
      </c>
      <c r="EK57" s="70">
        <f t="shared" si="109"/>
        <v>1835720.6861442963</v>
      </c>
      <c r="EL57" s="70">
        <f t="shared" si="109"/>
        <v>1867845.7981518216</v>
      </c>
      <c r="EM57" s="70">
        <f t="shared" si="109"/>
        <v>1900533.0996194787</v>
      </c>
      <c r="EN57" s="70">
        <f t="shared" si="109"/>
        <v>1933792.4288628197</v>
      </c>
      <c r="EO57" s="70">
        <f t="shared" si="109"/>
        <v>1967633.7963679191</v>
      </c>
      <c r="EP57" s="70">
        <f t="shared" si="109"/>
        <v>2002067.3878043578</v>
      </c>
      <c r="EQ57" s="70">
        <f t="shared" si="109"/>
        <v>2037103.5670909341</v>
      </c>
      <c r="ER57" s="70">
        <f t="shared" si="109"/>
        <v>2072752.8795150255</v>
      </c>
      <c r="ES57" s="70">
        <f t="shared" si="109"/>
        <v>2109026.0549065387</v>
      </c>
      <c r="ET57" s="70">
        <f t="shared" si="109"/>
        <v>2145934.0108674034</v>
      </c>
      <c r="EU57" s="70">
        <f t="shared" si="109"/>
        <v>2183487.8560575829</v>
      </c>
      <c r="EV57" s="70">
        <f t="shared" si="109"/>
        <v>2221698.8935385905</v>
      </c>
      <c r="EW57" s="70"/>
      <c r="EX57" s="70"/>
    </row>
    <row r="58" spans="2:154">
      <c r="B58" s="1" t="s">
        <v>136</v>
      </c>
      <c r="C58" s="1">
        <v>8945</v>
      </c>
      <c r="D58" s="1">
        <v>8914</v>
      </c>
      <c r="E58" s="1">
        <v>8856</v>
      </c>
      <c r="F58" s="1">
        <v>8767</v>
      </c>
      <c r="G58" s="1">
        <v>8813</v>
      </c>
      <c r="H58" s="1">
        <v>8614</v>
      </c>
      <c r="I58" s="1">
        <v>8497</v>
      </c>
      <c r="J58" s="1">
        <v>8420</v>
      </c>
      <c r="K58" s="1">
        <v>8490</v>
      </c>
      <c r="L58" s="1">
        <v>8392</v>
      </c>
      <c r="M58" s="1">
        <v>8402</v>
      </c>
      <c r="N58" s="1">
        <v>8401</v>
      </c>
      <c r="O58" s="1">
        <v>8396</v>
      </c>
      <c r="P58" s="1">
        <v>8393</v>
      </c>
      <c r="Q58" s="1">
        <v>8364</v>
      </c>
      <c r="R58" s="1">
        <v>8375</v>
      </c>
      <c r="S58" s="1">
        <v>8339</v>
      </c>
      <c r="T58" s="1">
        <v>8326</v>
      </c>
      <c r="U58" s="1">
        <v>8284</v>
      </c>
      <c r="V58" s="1">
        <v>8299</v>
      </c>
      <c r="W58" s="1">
        <v>8249</v>
      </c>
      <c r="X58" s="1">
        <v>8228</v>
      </c>
      <c r="Y58" s="1">
        <v>8167</v>
      </c>
      <c r="Z58" s="1">
        <v>8177</v>
      </c>
      <c r="AA58" s="1">
        <v>7996</v>
      </c>
      <c r="AB58" s="1">
        <v>7964</v>
      </c>
      <c r="AC58" s="1">
        <v>7895</v>
      </c>
      <c r="AD58" s="1">
        <v>7925</v>
      </c>
      <c r="AE58" s="1">
        <v>7789</v>
      </c>
      <c r="AF58" s="1">
        <v>7755</v>
      </c>
      <c r="AG58" s="1">
        <v>7725</v>
      </c>
      <c r="AH58" s="1">
        <v>7746</v>
      </c>
      <c r="AI58" s="1">
        <v>7708</v>
      </c>
      <c r="AJ58" s="1">
        <v>7710</v>
      </c>
      <c r="AK58" s="1">
        <v>7698</v>
      </c>
      <c r="AL58" s="1">
        <v>7700</v>
      </c>
      <c r="AM58" s="1">
        <v>7672</v>
      </c>
      <c r="AN58" s="1">
        <v>7692</v>
      </c>
      <c r="AO58" s="1">
        <v>7672</v>
      </c>
      <c r="AP58" s="1">
        <v>7673</v>
      </c>
      <c r="AQ58" s="1">
        <v>7634</v>
      </c>
      <c r="AR58" s="1">
        <v>7621</v>
      </c>
      <c r="AS58" s="1">
        <v>7602</v>
      </c>
      <c r="AT58" s="1">
        <v>7610</v>
      </c>
      <c r="AU58" s="1">
        <v>7566</v>
      </c>
      <c r="AV58" s="1">
        <v>7555</v>
      </c>
      <c r="AW58" s="1">
        <v>7539</v>
      </c>
      <c r="AX58" s="1">
        <v>7547</v>
      </c>
      <c r="AY58" s="1">
        <v>7513</v>
      </c>
      <c r="AZ58" s="1">
        <v>7505</v>
      </c>
      <c r="BA58" s="1">
        <v>7493</v>
      </c>
      <c r="BB58" s="1">
        <v>7496</v>
      </c>
      <c r="BC58" s="1">
        <v>7457</v>
      </c>
      <c r="BD58" s="1">
        <v>7451</v>
      </c>
      <c r="BE58" s="1">
        <v>7441</v>
      </c>
      <c r="BF58" s="1">
        <v>7446</v>
      </c>
      <c r="BG58" s="1">
        <v>7429</v>
      </c>
      <c r="BH58" s="1">
        <v>7432</v>
      </c>
      <c r="BI58" s="1">
        <v>7431</v>
      </c>
      <c r="BJ58" s="1">
        <v>7431</v>
      </c>
      <c r="BK58" s="1">
        <v>7433</v>
      </c>
      <c r="BL58" s="37">
        <v>7435</v>
      </c>
      <c r="BM58" s="37">
        <v>7434</v>
      </c>
      <c r="BN58" s="1">
        <v>7431</v>
      </c>
      <c r="BO58" s="37">
        <v>7433</v>
      </c>
      <c r="BZ58" s="51">
        <f>AVERAGE(C58:F58)</f>
        <v>8870.5</v>
      </c>
      <c r="CA58" s="51">
        <f>AVERAGE(G58:J58)</f>
        <v>8586</v>
      </c>
      <c r="CB58" s="51">
        <f>AVERAGE(K58:N58)</f>
        <v>8421.25</v>
      </c>
      <c r="CC58" s="51">
        <f>AVERAGE(O58:R58)</f>
        <v>8382</v>
      </c>
      <c r="CD58" s="51">
        <f>AVERAGE(S58:V58)</f>
        <v>8312</v>
      </c>
      <c r="CE58" s="51">
        <f>AVERAGE(W58:Z58)</f>
        <v>8205.25</v>
      </c>
      <c r="CF58" s="51">
        <f>AVERAGE(AA58:AD58)</f>
        <v>7945</v>
      </c>
      <c r="CG58" s="51">
        <f>AVERAGE(AE58:AH58)</f>
        <v>7753.75</v>
      </c>
      <c r="CH58" s="51">
        <f>AVERAGE(AI58:AL58)</f>
        <v>7704</v>
      </c>
      <c r="CI58" s="51">
        <f>AVERAGE(AM58:AP58)</f>
        <v>7677.25</v>
      </c>
      <c r="CJ58" s="51">
        <f>AVERAGE(AQ58:AT58)</f>
        <v>7616.75</v>
      </c>
      <c r="CK58" s="51">
        <f>AVERAGE(AU58:AX58)</f>
        <v>7551.75</v>
      </c>
      <c r="CL58" s="51">
        <f>AVERAGE(AY58:BB58)</f>
        <v>7501.75</v>
      </c>
      <c r="CM58" s="51">
        <f>AVERAGE(BC58:BF58)</f>
        <v>7448.75</v>
      </c>
      <c r="CN58" s="51">
        <f>AVERAGE(BG58:BJ58)</f>
        <v>7430.75</v>
      </c>
      <c r="CO58" s="1">
        <f t="shared" si="77"/>
        <v>29733</v>
      </c>
      <c r="CP58" s="72"/>
    </row>
    <row r="59" spans="2:154">
      <c r="B59" s="1" t="s">
        <v>242</v>
      </c>
      <c r="C59" s="50">
        <f t="shared" ref="C59" si="110">C57/C58</f>
        <v>0.39955282280603688</v>
      </c>
      <c r="D59" s="50">
        <f t="shared" ref="D59" si="111">D57/D58</f>
        <v>0.74736369755440879</v>
      </c>
      <c r="E59" s="50">
        <f t="shared" ref="E59" si="112">E57/E58</f>
        <v>0.45234869015356821</v>
      </c>
      <c r="F59" s="50">
        <f t="shared" ref="F59" si="113">F57/F58</f>
        <v>0.51534162199155931</v>
      </c>
      <c r="G59" s="50">
        <f t="shared" ref="G59" si="114">G57/G58</f>
        <v>0.6138658799500738</v>
      </c>
      <c r="H59" s="50">
        <f t="shared" ref="H59" si="115">H57/H58</f>
        <v>0.77014162990480617</v>
      </c>
      <c r="I59" s="50">
        <f t="shared" ref="I59" si="116">I57/I58</f>
        <v>0.61598211133341174</v>
      </c>
      <c r="J59" s="50">
        <f t="shared" ref="J59" si="117">J57/J58</f>
        <v>0.69762470308788593</v>
      </c>
      <c r="K59" s="50">
        <f t="shared" ref="K59" si="118">K57/K58</f>
        <v>0.67585394581861014</v>
      </c>
      <c r="L59" s="50">
        <f t="shared" ref="L59" si="119">L57/L58</f>
        <v>0.78932316491897048</v>
      </c>
      <c r="M59" s="50">
        <f t="shared" ref="M59" si="120">M57/M58</f>
        <v>0.6079504879790526</v>
      </c>
      <c r="N59" s="50">
        <f t="shared" ref="N59" si="121">N57/N58</f>
        <v>-5.8564456612308059E-2</v>
      </c>
      <c r="O59" s="50">
        <f t="shared" ref="O59" si="122">O57/O58</f>
        <v>0.53191996188661272</v>
      </c>
      <c r="P59" s="50">
        <f t="shared" ref="P59" si="123">P57/P58</f>
        <v>0.75979983319432864</v>
      </c>
      <c r="Q59" s="50">
        <f t="shared" ref="Q59" si="124">Q57/Q58</f>
        <v>0.72393591582974648</v>
      </c>
      <c r="R59" s="50">
        <f t="shared" ref="R59" si="125">R57/R58</f>
        <v>0.59283582089552234</v>
      </c>
      <c r="S59" s="50">
        <f t="shared" ref="S59" si="126">S57/S58</f>
        <v>0.62885238038134073</v>
      </c>
      <c r="T59" s="50">
        <f t="shared" ref="T59" si="127">T57/T58</f>
        <v>0.78765313475858756</v>
      </c>
      <c r="U59" s="50">
        <f t="shared" ref="U59" si="128">U57/U58</f>
        <v>0.6832448092708836</v>
      </c>
      <c r="V59" s="50">
        <f t="shared" ref="V59" si="129">V57/V58</f>
        <v>0.57103265453669116</v>
      </c>
      <c r="W59" s="50">
        <f t="shared" ref="W59" si="130">W57/W58</f>
        <v>0.55036974178688325</v>
      </c>
      <c r="X59" s="50">
        <f t="shared" ref="X59" si="131">X57/X58</f>
        <v>0.71256684491978606</v>
      </c>
      <c r="Y59" s="50">
        <f t="shared" ref="Y59" si="132">Y57/Y58</f>
        <v>0.61038324966327906</v>
      </c>
      <c r="Z59" s="50">
        <f t="shared" ref="Z59" si="133">Z57/Z58</f>
        <v>-0.39073009661244956</v>
      </c>
      <c r="AA59" s="50">
        <f t="shared" ref="AA59" si="134">AA57/AA58</f>
        <v>0.61305652826413204</v>
      </c>
      <c r="AB59" s="50">
        <f t="shared" ref="AB59" si="135">AB57/AB58</f>
        <v>0.6300853842290306</v>
      </c>
      <c r="AC59" s="50">
        <f t="shared" ref="AC59" si="136">AC57/AC58</f>
        <v>0.47574414186193792</v>
      </c>
      <c r="AD59" s="50">
        <f t="shared" ref="AD59" si="137">AD57/AD58</f>
        <v>0.86599369085173505</v>
      </c>
      <c r="AE59" s="50">
        <f t="shared" ref="AE59" si="138">AE57/AE58</f>
        <v>0.72756451405828737</v>
      </c>
      <c r="AF59" s="50">
        <f t="shared" ref="AF59" si="139">AF57/AF58</f>
        <v>0.80812379110251453</v>
      </c>
      <c r="AG59" s="50">
        <f t="shared" ref="AG59" si="140">AG57/AG58</f>
        <v>0.71016181229773467</v>
      </c>
      <c r="AH59" s="50">
        <f t="shared" ref="AH59" si="141">AH57/AH58</f>
        <v>1.041698941389104</v>
      </c>
      <c r="AI59" s="50">
        <f t="shared" ref="AI59" si="142">AI57/AI58</f>
        <v>0.85313959522573946</v>
      </c>
      <c r="AJ59" s="50">
        <f t="shared" ref="AJ59" si="143">AJ57/AJ58</f>
        <v>1.5564202334630351E-3</v>
      </c>
      <c r="AK59" s="50">
        <f>AK57/AK58</f>
        <v>0.9644063393089114</v>
      </c>
      <c r="AL59" s="50">
        <f ca="1">AL57/AL58</f>
        <v>1.1523376623376624</v>
      </c>
      <c r="AM59" s="50">
        <f t="shared" ref="AM59" si="144">AM57/AM58</f>
        <v>1.1501564129301356</v>
      </c>
      <c r="AN59" s="50">
        <f t="shared" ref="AN59" si="145">AN57/AN58</f>
        <v>1.09464378575143</v>
      </c>
      <c r="AO59" s="50">
        <f t="shared" ref="AO59" si="146">AO57/AO58</f>
        <v>1.1482012513034412</v>
      </c>
      <c r="AP59" s="50">
        <f t="shared" ref="AP59:BL59" si="147">AP57/AP58</f>
        <v>1.7186237456014597</v>
      </c>
      <c r="AQ59" s="50">
        <f t="shared" si="147"/>
        <v>1.3987424679067331</v>
      </c>
      <c r="AR59" s="50">
        <f t="shared" si="147"/>
        <v>1.5285395617373048</v>
      </c>
      <c r="AS59" s="50">
        <f t="shared" si="147"/>
        <v>1.4143646408839778</v>
      </c>
      <c r="AT59" s="50">
        <f t="shared" si="147"/>
        <v>1.4720105124835743</v>
      </c>
      <c r="AU59" s="50">
        <f t="shared" si="147"/>
        <v>1.8362410785091197</v>
      </c>
      <c r="AV59" s="50">
        <f t="shared" si="147"/>
        <v>2.0467240238252811</v>
      </c>
      <c r="AW59" s="50">
        <f t="shared" si="147"/>
        <v>2.0502719193526993</v>
      </c>
      <c r="AX59" s="50">
        <f t="shared" si="147"/>
        <v>2.1807340665164965</v>
      </c>
      <c r="AY59" s="50">
        <f t="shared" si="147"/>
        <v>2.7292692666045522</v>
      </c>
      <c r="AZ59" s="50">
        <f t="shared" si="147"/>
        <v>2.4990006662225182</v>
      </c>
      <c r="BA59" s="50">
        <f t="shared" si="147"/>
        <v>2.2324836514079807</v>
      </c>
      <c r="BB59" s="50">
        <f t="shared" si="147"/>
        <v>2.2345250800426895</v>
      </c>
      <c r="BC59" s="50">
        <f t="shared" si="147"/>
        <v>2.3542979750569932</v>
      </c>
      <c r="BD59" s="50">
        <f t="shared" si="147"/>
        <v>2.2044020936787008</v>
      </c>
      <c r="BE59" s="50">
        <f t="shared" si="147"/>
        <v>2.4592124714420103</v>
      </c>
      <c r="BF59" s="50">
        <f t="shared" si="147"/>
        <v>2.6968842331453131</v>
      </c>
      <c r="BG59" s="50">
        <f t="shared" si="147"/>
        <v>3.000538430475165</v>
      </c>
      <c r="BH59" s="50">
        <f t="shared" si="147"/>
        <v>2.9426803013993541</v>
      </c>
      <c r="BI59" s="50">
        <f t="shared" si="147"/>
        <v>2.952361727896649</v>
      </c>
      <c r="BJ59" s="50">
        <f t="shared" si="147"/>
        <v>2.9654151527385277</v>
      </c>
      <c r="BK59" s="50">
        <f t="shared" si="147"/>
        <v>3.3185793084891699</v>
      </c>
      <c r="BL59" s="50">
        <f t="shared" si="147"/>
        <v>3.2425016812373908</v>
      </c>
      <c r="BM59" s="50">
        <f>BM57/BM58</f>
        <v>3.4737691686844228</v>
      </c>
      <c r="BN59" s="50">
        <f t="shared" ref="BN59" si="148">BN57/BN58</f>
        <v>3.6647826672049524</v>
      </c>
      <c r="BO59" s="50">
        <f>BO57/BO58</f>
        <v>3.7329476658146103</v>
      </c>
      <c r="BZ59" s="39">
        <f>SUM(C59:F59)</f>
        <v>2.1146068325055731</v>
      </c>
      <c r="CA59" s="39">
        <f>SUM(G59:J59)</f>
        <v>2.6976143242761776</v>
      </c>
      <c r="CB59" s="39">
        <f>SUM(K59:N59)</f>
        <v>2.0145631421043251</v>
      </c>
      <c r="CC59" s="39">
        <f>SUM(O59:R59)</f>
        <v>2.6084915318062101</v>
      </c>
      <c r="CD59" s="39">
        <f>SUM(S59:V59)</f>
        <v>2.6707829789475035</v>
      </c>
      <c r="CE59" s="39">
        <f>SUM(W59:Z59)</f>
        <v>1.4825897397574987</v>
      </c>
      <c r="CF59" s="39">
        <f>SUM(AA59:AD59)</f>
        <v>2.5848797452068357</v>
      </c>
      <c r="CG59" s="39">
        <f>SUM(AE59:AH59)</f>
        <v>3.2875490588476408</v>
      </c>
      <c r="CH59" s="39">
        <v>2.97</v>
      </c>
      <c r="CI59" s="39">
        <f>SUM(AM59:AP59)</f>
        <v>5.1116251955864662</v>
      </c>
      <c r="CJ59" s="39">
        <f>SUM(AQ59:AT59)</f>
        <v>5.8136571830115908</v>
      </c>
      <c r="CK59" s="39">
        <f>SUM(AU59:AX59)</f>
        <v>8.1139710882035967</v>
      </c>
      <c r="CL59" s="39">
        <f>SUM(AY59:BB59)</f>
        <v>9.6952786642777404</v>
      </c>
      <c r="CM59" s="39">
        <f>SUM(BC59:BF59)</f>
        <v>9.7147967733230178</v>
      </c>
      <c r="CN59" s="39">
        <f>SUM(BG59:BJ59)</f>
        <v>11.860995612509695</v>
      </c>
      <c r="CO59" s="39">
        <f t="shared" si="77"/>
        <v>13.699632825615936</v>
      </c>
    </row>
    <row r="60" spans="2:154">
      <c r="BO60" s="37"/>
    </row>
    <row r="61" spans="2:154">
      <c r="B61" s="37" t="s">
        <v>118</v>
      </c>
      <c r="C61" s="48">
        <f t="shared" ref="C61:BL61" si="149">C48/C46</f>
        <v>0.78003095975232195</v>
      </c>
      <c r="D61" s="48">
        <f t="shared" si="149"/>
        <v>0.8092734728209442</v>
      </c>
      <c r="E61" s="48">
        <f t="shared" si="149"/>
        <v>0.8100393022133352</v>
      </c>
      <c r="F61" s="48">
        <f t="shared" si="149"/>
        <v>0.80235675540869134</v>
      </c>
      <c r="G61" s="48">
        <f t="shared" si="149"/>
        <v>0.8061747452917567</v>
      </c>
      <c r="H61" s="48">
        <f t="shared" si="149"/>
        <v>0.75778078484438427</v>
      </c>
      <c r="I61" s="48">
        <f t="shared" si="149"/>
        <v>0.76278305332359386</v>
      </c>
      <c r="J61" s="48">
        <f t="shared" si="149"/>
        <v>0.78649162204180345</v>
      </c>
      <c r="K61" s="48">
        <f t="shared" si="149"/>
        <v>0.78258116509325348</v>
      </c>
      <c r="L61" s="48">
        <f t="shared" si="149"/>
        <v>0.73004548719176443</v>
      </c>
      <c r="M61" s="48">
        <f t="shared" si="149"/>
        <v>0.77296489917849143</v>
      </c>
      <c r="N61" s="48">
        <f t="shared" si="149"/>
        <v>0.76947782269228637</v>
      </c>
      <c r="O61" s="48">
        <f t="shared" si="149"/>
        <v>0.73963018490754617</v>
      </c>
      <c r="P61" s="48">
        <f t="shared" si="149"/>
        <v>0.7347129008202834</v>
      </c>
      <c r="Q61" s="48">
        <f t="shared" si="149"/>
        <v>0.76636243838157059</v>
      </c>
      <c r="R61" s="48">
        <f t="shared" si="149"/>
        <v>0.71160032167269804</v>
      </c>
      <c r="S61" s="48">
        <f t="shared" si="149"/>
        <v>0.72232716282584053</v>
      </c>
      <c r="T61" s="48">
        <f t="shared" si="149"/>
        <v>0.66058974672702797</v>
      </c>
      <c r="U61" s="48">
        <f t="shared" si="149"/>
        <v>0.70700387197961079</v>
      </c>
      <c r="V61" s="48">
        <f t="shared" si="149"/>
        <v>0.67355230519202802</v>
      </c>
      <c r="W61" s="48">
        <f t="shared" si="149"/>
        <v>0.64342054221800782</v>
      </c>
      <c r="X61" s="48">
        <f t="shared" si="149"/>
        <v>0.61707593502077829</v>
      </c>
      <c r="Y61" s="48">
        <f t="shared" si="149"/>
        <v>0.67044042523816094</v>
      </c>
      <c r="Z61" s="48">
        <f t="shared" si="149"/>
        <v>0.66330027051397655</v>
      </c>
      <c r="AA61" s="48">
        <f t="shared" si="149"/>
        <v>0.6463516364885421</v>
      </c>
      <c r="AB61" s="48">
        <f t="shared" si="149"/>
        <v>0.58514035972432343</v>
      </c>
      <c r="AC61" s="48">
        <f t="shared" si="149"/>
        <v>0.62388583118211483</v>
      </c>
      <c r="AD61" s="48">
        <f t="shared" si="149"/>
        <v>0.69831367211131279</v>
      </c>
      <c r="AE61" s="48">
        <f t="shared" si="149"/>
        <v>0.64228383801532285</v>
      </c>
      <c r="AF61" s="48">
        <f t="shared" si="149"/>
        <v>0.61662665530860372</v>
      </c>
      <c r="AG61" s="48">
        <f t="shared" si="149"/>
        <v>0.65276581078752371</v>
      </c>
      <c r="AH61" s="48">
        <f t="shared" si="149"/>
        <v>0.66975200156219483</v>
      </c>
      <c r="AI61" s="48">
        <f t="shared" si="149"/>
        <v>0.66264569239546822</v>
      </c>
      <c r="AJ61" s="48">
        <f t="shared" si="149"/>
        <v>0.6174009267584204</v>
      </c>
      <c r="AK61" s="48">
        <f t="shared" si="149"/>
        <v>0.65438681531749876</v>
      </c>
      <c r="AL61" s="48">
        <f t="shared" si="149"/>
        <v>0.67618414492271894</v>
      </c>
      <c r="AM61" s="48">
        <f t="shared" si="149"/>
        <v>0.65943474075092834</v>
      </c>
      <c r="AN61" s="48">
        <f t="shared" si="149"/>
        <v>0.61741246034923469</v>
      </c>
      <c r="AO61" s="48">
        <f t="shared" si="149"/>
        <v>0.66733178502502366</v>
      </c>
      <c r="AP61" s="48">
        <f t="shared" si="149"/>
        <v>0.69119435299700449</v>
      </c>
      <c r="AQ61" s="48">
        <f t="shared" si="149"/>
        <v>0.6851913477537438</v>
      </c>
      <c r="AR61" s="48">
        <f t="shared" si="149"/>
        <v>0.66514929821709212</v>
      </c>
      <c r="AS61" s="48">
        <f t="shared" si="149"/>
        <v>0.68661660146769077</v>
      </c>
      <c r="AT61" s="48">
        <f t="shared" si="149"/>
        <v>0.67557121447164303</v>
      </c>
      <c r="AU61" s="48">
        <f t="shared" si="149"/>
        <v>0.70388114334930285</v>
      </c>
      <c r="AV61" s="48">
        <f t="shared" si="149"/>
        <v>0.67048936762930633</v>
      </c>
      <c r="AW61" s="48">
        <f t="shared" si="149"/>
        <v>0.68721526878626582</v>
      </c>
      <c r="AX61" s="48">
        <f t="shared" si="149"/>
        <v>0.69684954064829263</v>
      </c>
      <c r="AY61" s="48">
        <f t="shared" si="149"/>
        <v>0.6988768012004325</v>
      </c>
      <c r="AZ61" s="48">
        <f t="shared" si="149"/>
        <v>0.67213114754098358</v>
      </c>
      <c r="BA61" s="48">
        <f t="shared" si="149"/>
        <v>0.68365072933549431</v>
      </c>
      <c r="BB61" s="48">
        <f t="shared" si="149"/>
        <v>0.68323532247180174</v>
      </c>
      <c r="BC61" s="48">
        <f t="shared" si="149"/>
        <v>0.69171222217788597</v>
      </c>
      <c r="BD61" s="48">
        <f t="shared" si="149"/>
        <v>0.66845507801391546</v>
      </c>
      <c r="BE61" s="48">
        <f t="shared" si="149"/>
        <v>0.69487485101311086</v>
      </c>
      <c r="BF61" s="48">
        <f t="shared" si="149"/>
        <v>0.70109807969531401</v>
      </c>
      <c r="BG61" s="48">
        <f t="shared" si="149"/>
        <v>0.71155581506449384</v>
      </c>
      <c r="BH61" s="48">
        <f t="shared" si="149"/>
        <v>0.68360206385037081</v>
      </c>
      <c r="BI61" s="48">
        <f t="shared" si="149"/>
        <v>0.70084710142584628</v>
      </c>
      <c r="BJ61" s="48">
        <f t="shared" si="149"/>
        <v>0.69589197707293715</v>
      </c>
      <c r="BK61" s="48">
        <f t="shared" si="149"/>
        <v>0.69354273080734929</v>
      </c>
      <c r="BL61" s="48">
        <f t="shared" si="149"/>
        <v>0.68693991268382348</v>
      </c>
      <c r="BM61" s="48">
        <f>BM48/BM46</f>
        <v>0.6871663859789342</v>
      </c>
      <c r="BN61" s="48">
        <f>BN48/BN46</f>
        <v>0.68584921704320978</v>
      </c>
      <c r="BO61" s="48">
        <f>BO48/BO46</f>
        <v>0.69045871795862135</v>
      </c>
      <c r="BZ61" s="48">
        <f t="shared" ref="BZ61:CM61" si="150">BZ48/BZ46</f>
        <v>0.80162921707957235</v>
      </c>
      <c r="CA61" s="48">
        <f t="shared" si="150"/>
        <v>0.77729007906438097</v>
      </c>
      <c r="CB61" s="48">
        <f t="shared" si="150"/>
        <v>0.76221803236439101</v>
      </c>
      <c r="CC61" s="48">
        <f t="shared" si="150"/>
        <v>0.73814692545825888</v>
      </c>
      <c r="CD61" s="48">
        <f t="shared" si="150"/>
        <v>0.68816003132449644</v>
      </c>
      <c r="CE61" s="48">
        <f t="shared" si="150"/>
        <v>0.64695447745244705</v>
      </c>
      <c r="CF61" s="48">
        <f t="shared" si="150"/>
        <v>0.64038879259275516</v>
      </c>
      <c r="CG61" s="48">
        <f t="shared" si="150"/>
        <v>0.64522475691460168</v>
      </c>
      <c r="CH61" s="48">
        <f t="shared" si="150"/>
        <v>0.65247372236317502</v>
      </c>
      <c r="CI61" s="48">
        <f t="shared" si="150"/>
        <v>0.65901957200638894</v>
      </c>
      <c r="CJ61" s="48">
        <f t="shared" si="150"/>
        <v>0.67781001992797962</v>
      </c>
      <c r="CK61" s="48">
        <f t="shared" si="150"/>
        <v>0.68925800771024703</v>
      </c>
      <c r="CL61" s="48">
        <f t="shared" si="150"/>
        <v>0.68401674484289099</v>
      </c>
      <c r="CM61" s="48">
        <f t="shared" si="150"/>
        <v>0.68920085883491022</v>
      </c>
      <c r="CN61" s="48">
        <f>CN48/CN46</f>
        <v>0.69764443827971379</v>
      </c>
      <c r="CO61" s="48">
        <f>CO48/CO46</f>
        <v>0.68823742386165188</v>
      </c>
      <c r="CP61" s="71">
        <v>0.68899999999999995</v>
      </c>
      <c r="CQ61" s="71">
        <v>0.69099999999999995</v>
      </c>
      <c r="CR61" s="71">
        <v>0.69299999999999995</v>
      </c>
      <c r="CS61" s="71">
        <v>0.69499999999999995</v>
      </c>
      <c r="CT61" s="71">
        <v>0.7</v>
      </c>
      <c r="CU61" s="71">
        <v>0.70499999999999996</v>
      </c>
      <c r="CV61" s="71">
        <v>0.71</v>
      </c>
      <c r="CW61" s="71">
        <v>0.71499999999999997</v>
      </c>
      <c r="CX61" s="71">
        <v>0.72</v>
      </c>
      <c r="CY61" s="71">
        <v>0.72</v>
      </c>
    </row>
    <row r="62" spans="2:154">
      <c r="B62" s="37" t="s">
        <v>119</v>
      </c>
      <c r="C62" s="48">
        <f t="shared" ref="C62:BL62" si="151">C49/C46</f>
        <v>0.15982972136222912</v>
      </c>
      <c r="D62" s="48">
        <f t="shared" si="151"/>
        <v>0.10929450110398486</v>
      </c>
      <c r="E62" s="48">
        <f t="shared" si="151"/>
        <v>0.15307177825277529</v>
      </c>
      <c r="F62" s="48">
        <f t="shared" si="151"/>
        <v>0.14651786270964523</v>
      </c>
      <c r="G62" s="48">
        <f t="shared" si="151"/>
        <v>0.13559740660697747</v>
      </c>
      <c r="H62" s="48">
        <f t="shared" si="151"/>
        <v>0.1095073422542976</v>
      </c>
      <c r="I62" s="48">
        <f t="shared" si="151"/>
        <v>0.13811784757730702</v>
      </c>
      <c r="J62" s="48">
        <f t="shared" si="151"/>
        <v>0.13779006161110152</v>
      </c>
      <c r="K62" s="48">
        <f t="shared" si="151"/>
        <v>0.134066313608105</v>
      </c>
      <c r="L62" s="48">
        <f t="shared" si="151"/>
        <v>0.1135264543931051</v>
      </c>
      <c r="M62" s="48">
        <f t="shared" si="151"/>
        <v>0.14459700120641122</v>
      </c>
      <c r="N62" s="48">
        <f t="shared" si="151"/>
        <v>0.14364029016003102</v>
      </c>
      <c r="O62" s="48">
        <f t="shared" si="151"/>
        <v>0.15367316341829085</v>
      </c>
      <c r="P62" s="48">
        <f t="shared" si="151"/>
        <v>0.11782252050708426</v>
      </c>
      <c r="Q62" s="48">
        <f t="shared" si="151"/>
        <v>0.12884962662892283</v>
      </c>
      <c r="R62" s="48">
        <f t="shared" si="151"/>
        <v>0.13987736228387615</v>
      </c>
      <c r="S62" s="48">
        <f t="shared" si="151"/>
        <v>0.14933347725187543</v>
      </c>
      <c r="T62" s="48">
        <f t="shared" si="151"/>
        <v>0.1120763489538725</v>
      </c>
      <c r="U62" s="48">
        <f t="shared" si="151"/>
        <v>0.13444101357643484</v>
      </c>
      <c r="V62" s="48">
        <f t="shared" si="151"/>
        <v>0.13356428021555042</v>
      </c>
      <c r="W62" s="48">
        <f t="shared" si="151"/>
        <v>0.13210637472522735</v>
      </c>
      <c r="X62" s="48">
        <f t="shared" si="151"/>
        <v>0.10967132602946732</v>
      </c>
      <c r="Y62" s="48">
        <f t="shared" si="151"/>
        <v>0.13732799484559804</v>
      </c>
      <c r="Z62" s="48">
        <f t="shared" si="151"/>
        <v>0.1394950405770965</v>
      </c>
      <c r="AA62" s="48">
        <f t="shared" si="151"/>
        <v>0.14534569900387653</v>
      </c>
      <c r="AB62" s="48">
        <f t="shared" si="151"/>
        <v>0.12186922171793579</v>
      </c>
      <c r="AC62" s="48">
        <f t="shared" si="151"/>
        <v>0.1451463640348741</v>
      </c>
      <c r="AD62" s="48">
        <f t="shared" si="151"/>
        <v>0.11895039322444041</v>
      </c>
      <c r="AE62" s="48">
        <f t="shared" si="151"/>
        <v>0.14164538489602335</v>
      </c>
      <c r="AF62" s="48">
        <f t="shared" si="151"/>
        <v>0.11856268876326183</v>
      </c>
      <c r="AG62" s="48">
        <f t="shared" si="151"/>
        <v>0.14453730828881614</v>
      </c>
      <c r="AH62" s="48">
        <f t="shared" si="151"/>
        <v>0.13723882054286271</v>
      </c>
      <c r="AI62" s="48">
        <f t="shared" si="151"/>
        <v>0.14565164235063982</v>
      </c>
      <c r="AJ62" s="48">
        <f t="shared" si="151"/>
        <v>0.12117020540839615</v>
      </c>
      <c r="AK62" s="48">
        <f t="shared" si="151"/>
        <v>0.13852119765837653</v>
      </c>
      <c r="AL62" s="48">
        <f t="shared" si="151"/>
        <v>0.1307295994681735</v>
      </c>
      <c r="AM62" s="48">
        <f t="shared" si="151"/>
        <v>0.13674185118965754</v>
      </c>
      <c r="AN62" s="48">
        <f t="shared" si="151"/>
        <v>0.12534261340888794</v>
      </c>
      <c r="AO62" s="48">
        <f t="shared" si="151"/>
        <v>0.14117954924601747</v>
      </c>
      <c r="AP62" s="48">
        <f t="shared" si="151"/>
        <v>0.13384939348103331</v>
      </c>
      <c r="AQ62" s="48">
        <f t="shared" si="151"/>
        <v>0.13810316139767054</v>
      </c>
      <c r="AR62" s="48">
        <f t="shared" si="151"/>
        <v>0.1247222673819975</v>
      </c>
      <c r="AS62" s="48">
        <f t="shared" si="151"/>
        <v>0.13954484452185831</v>
      </c>
      <c r="AT62" s="48">
        <f t="shared" si="151"/>
        <v>0.13709147319433124</v>
      </c>
      <c r="AU62" s="48">
        <f t="shared" si="151"/>
        <v>0.13258330193249718</v>
      </c>
      <c r="AV62" s="48">
        <f t="shared" si="151"/>
        <v>0.11372922276905933</v>
      </c>
      <c r="AW62" s="48">
        <f t="shared" si="151"/>
        <v>0.12477820937035439</v>
      </c>
      <c r="AX62" s="48">
        <f t="shared" si="151"/>
        <v>0.12322326226382388</v>
      </c>
      <c r="AY62" s="48">
        <f t="shared" si="151"/>
        <v>0.12355186795242404</v>
      </c>
      <c r="AZ62" s="48">
        <f t="shared" si="151"/>
        <v>0.11150634085988247</v>
      </c>
      <c r="BA62" s="48">
        <f t="shared" si="151"/>
        <v>0.12775526742301457</v>
      </c>
      <c r="BB62" s="48">
        <f t="shared" si="151"/>
        <v>0.1318615636749253</v>
      </c>
      <c r="BC62" s="48">
        <f t="shared" si="151"/>
        <v>0.13223734088823272</v>
      </c>
      <c r="BD62" s="48">
        <f t="shared" si="151"/>
        <v>0.1297514550590555</v>
      </c>
      <c r="BE62" s="48">
        <f t="shared" si="151"/>
        <v>0.13213008683807254</v>
      </c>
      <c r="BF62" s="48">
        <f t="shared" si="151"/>
        <v>0.11993450675399099</v>
      </c>
      <c r="BG62" s="48">
        <f t="shared" si="151"/>
        <v>0.11782295592476599</v>
      </c>
      <c r="BH62" s="48">
        <f t="shared" si="151"/>
        <v>0.11515640116091583</v>
      </c>
      <c r="BI62" s="48">
        <f t="shared" si="151"/>
        <v>0.12371883992369621</v>
      </c>
      <c r="BJ62" s="48">
        <f t="shared" si="151"/>
        <v>0.12446119857246589</v>
      </c>
      <c r="BK62" s="48">
        <f t="shared" si="151"/>
        <v>0.11502630174582602</v>
      </c>
      <c r="BL62" s="48">
        <f t="shared" si="151"/>
        <v>0.11369772518382353</v>
      </c>
      <c r="BM62" s="48">
        <f>BM49/BM46</f>
        <v>0.11700396768760883</v>
      </c>
      <c r="BN62" s="48">
        <f t="shared" ref="BN62" si="152">BN49/BN46</f>
        <v>0.11550084378801952</v>
      </c>
      <c r="BO62" s="48">
        <f>BO49/BO46</f>
        <v>0.10487556808672255</v>
      </c>
      <c r="BZ62" s="48">
        <f t="shared" ref="BZ62:CM62" si="153">BZ49/BZ46</f>
        <v>0.139459701683631</v>
      </c>
      <c r="CA62" s="48">
        <f t="shared" si="153"/>
        <v>0.12929099409519179</v>
      </c>
      <c r="CB62" s="48">
        <f t="shared" si="153"/>
        <v>0.13307922900587332</v>
      </c>
      <c r="CC62" s="48">
        <f t="shared" si="153"/>
        <v>0.13373325283561768</v>
      </c>
      <c r="CD62" s="48">
        <f t="shared" si="153"/>
        <v>0.13106768164177213</v>
      </c>
      <c r="CE62" s="48">
        <f t="shared" si="153"/>
        <v>0.12872408634323573</v>
      </c>
      <c r="CF62" s="48">
        <f t="shared" si="153"/>
        <v>0.13151370208657875</v>
      </c>
      <c r="CG62" s="48">
        <f t="shared" si="153"/>
        <v>0.13499911981857907</v>
      </c>
      <c r="CH62" s="48">
        <f t="shared" si="153"/>
        <v>0.13343602754621239</v>
      </c>
      <c r="CI62" s="48">
        <f t="shared" si="153"/>
        <v>0.13410360528595155</v>
      </c>
      <c r="CJ62" s="48">
        <f t="shared" si="153"/>
        <v>0.1347341187987274</v>
      </c>
      <c r="CK62" s="48">
        <f t="shared" si="153"/>
        <v>0.12324496692208843</v>
      </c>
      <c r="CL62" s="48">
        <f t="shared" si="153"/>
        <v>0.12362939426035205</v>
      </c>
      <c r="CM62" s="48">
        <f t="shared" si="153"/>
        <v>0.12832975485454073</v>
      </c>
      <c r="CN62" s="48">
        <f>CN49/CN46</f>
        <v>0.12038903076835208</v>
      </c>
      <c r="CO62" s="48">
        <f>CO49/CO46</f>
        <v>0.11531853871164686</v>
      </c>
      <c r="CP62" s="71">
        <v>0.115</v>
      </c>
      <c r="CQ62" s="71">
        <v>0.12</v>
      </c>
      <c r="CR62" s="71">
        <v>0.125</v>
      </c>
      <c r="CS62" s="71">
        <v>0.11</v>
      </c>
      <c r="CT62" s="71">
        <v>0.11</v>
      </c>
      <c r="CU62" s="71">
        <v>0.105</v>
      </c>
      <c r="CV62" s="71">
        <v>0.1</v>
      </c>
      <c r="CW62" s="71">
        <v>0.1</v>
      </c>
      <c r="CX62" s="71">
        <v>0.1</v>
      </c>
      <c r="CY62" s="71">
        <v>0.1</v>
      </c>
    </row>
    <row r="63" spans="2:154">
      <c r="B63" s="49" t="s">
        <v>271</v>
      </c>
      <c r="C63" s="48">
        <f t="shared" ref="C63:BL63" ca="1" si="154">C50/C46</f>
        <v>8.8659264122398884E-2</v>
      </c>
      <c r="D63" s="48">
        <f t="shared" ca="1" si="154"/>
        <v>8.8659264122398884E-2</v>
      </c>
      <c r="E63" s="48">
        <f t="shared" ca="1" si="154"/>
        <v>8.8659264122398884E-2</v>
      </c>
      <c r="F63" s="48">
        <f t="shared" ca="1" si="154"/>
        <v>8.8659264122398884E-2</v>
      </c>
      <c r="G63" s="48">
        <f t="shared" ca="1" si="154"/>
        <v>8.8659264122398884E-2</v>
      </c>
      <c r="H63" s="48">
        <f t="shared" ca="1" si="154"/>
        <v>8.8659264122398884E-2</v>
      </c>
      <c r="I63" s="48">
        <f t="shared" ca="1" si="154"/>
        <v>8.8659264122398884E-2</v>
      </c>
      <c r="J63" s="48">
        <f t="shared" ca="1" si="154"/>
        <v>8.8659264122398884E-2</v>
      </c>
      <c r="K63" s="48">
        <f t="shared" ca="1" si="154"/>
        <v>8.8659264122398884E-2</v>
      </c>
      <c r="L63" s="48">
        <f t="shared" ca="1" si="154"/>
        <v>8.8659264122398884E-2</v>
      </c>
      <c r="M63" s="48">
        <f t="shared" ca="1" si="154"/>
        <v>8.8659264122398884E-2</v>
      </c>
      <c r="N63" s="48">
        <f t="shared" ca="1" si="154"/>
        <v>8.8659264122398884E-2</v>
      </c>
      <c r="O63" s="48">
        <f t="shared" ca="1" si="154"/>
        <v>8.8659264122398884E-2</v>
      </c>
      <c r="P63" s="48">
        <f t="shared" ca="1" si="154"/>
        <v>8.8659264122398884E-2</v>
      </c>
      <c r="Q63" s="48">
        <f t="shared" ca="1" si="154"/>
        <v>8.8659264122398884E-2</v>
      </c>
      <c r="R63" s="48">
        <f t="shared" ca="1" si="154"/>
        <v>8.8659264122398884E-2</v>
      </c>
      <c r="S63" s="48">
        <f t="shared" ca="1" si="154"/>
        <v>8.8659264122398884E-2</v>
      </c>
      <c r="T63" s="48">
        <f t="shared" ca="1" si="154"/>
        <v>8.8659264122398884E-2</v>
      </c>
      <c r="U63" s="48">
        <f t="shared" ca="1" si="154"/>
        <v>8.8659264122398884E-2</v>
      </c>
      <c r="V63" s="48">
        <f t="shared" ca="1" si="154"/>
        <v>8.8659264122398884E-2</v>
      </c>
      <c r="W63" s="48">
        <f t="shared" ca="1" si="154"/>
        <v>8.8659264122398884E-2</v>
      </c>
      <c r="X63" s="48">
        <f t="shared" ca="1" si="154"/>
        <v>8.8659264122398884E-2</v>
      </c>
      <c r="Y63" s="48">
        <f t="shared" ca="1" si="154"/>
        <v>8.8659264122398884E-2</v>
      </c>
      <c r="Z63" s="48">
        <f t="shared" ca="1" si="154"/>
        <v>8.8659264122398884E-2</v>
      </c>
      <c r="AA63" s="48">
        <f t="shared" ca="1" si="154"/>
        <v>8.8659264122398884E-2</v>
      </c>
      <c r="AB63" s="48">
        <f t="shared" ca="1" si="154"/>
        <v>8.8659264122398884E-2</v>
      </c>
      <c r="AC63" s="48">
        <f t="shared" ca="1" si="154"/>
        <v>8.8659264122398884E-2</v>
      </c>
      <c r="AD63" s="48">
        <f t="shared" ca="1" si="154"/>
        <v>8.8659264122398884E-2</v>
      </c>
      <c r="AE63" s="48">
        <f t="shared" ca="1" si="154"/>
        <v>8.8659264122398884E-2</v>
      </c>
      <c r="AF63" s="48">
        <f t="shared" ca="1" si="154"/>
        <v>8.8659264122398884E-2</v>
      </c>
      <c r="AG63" s="48">
        <f t="shared" ca="1" si="154"/>
        <v>8.8659264122398884E-2</v>
      </c>
      <c r="AH63" s="48">
        <f t="shared" ca="1" si="154"/>
        <v>8.8659264122398884E-2</v>
      </c>
      <c r="AI63" s="48">
        <f t="shared" ca="1" si="154"/>
        <v>8.8659264122398884E-2</v>
      </c>
      <c r="AJ63" s="48">
        <f t="shared" ca="1" si="154"/>
        <v>8.8659264122398884E-2</v>
      </c>
      <c r="AK63" s="48">
        <f t="shared" ca="1" si="154"/>
        <v>8.8659264122398884E-2</v>
      </c>
      <c r="AL63" s="48">
        <f t="shared" ca="1" si="154"/>
        <v>8.8659264122398884E-2</v>
      </c>
      <c r="AM63" s="48">
        <f t="shared" si="154"/>
        <v>0.14090221427589053</v>
      </c>
      <c r="AN63" s="48">
        <f t="shared" si="154"/>
        <v>0.14129530966092821</v>
      </c>
      <c r="AO63" s="48">
        <f t="shared" si="154"/>
        <v>0.14932452324098</v>
      </c>
      <c r="AP63" s="48">
        <f t="shared" si="154"/>
        <v>0.14716611798202686</v>
      </c>
      <c r="AQ63" s="48">
        <f t="shared" si="154"/>
        <v>0.13120556648010892</v>
      </c>
      <c r="AR63" s="48">
        <f t="shared" si="154"/>
        <v>0.13366390288841923</v>
      </c>
      <c r="AS63" s="48">
        <f t="shared" si="154"/>
        <v>0.14023014762571029</v>
      </c>
      <c r="AT63" s="48">
        <f t="shared" si="154"/>
        <v>0.14242894328609365</v>
      </c>
      <c r="AU63" s="48">
        <f t="shared" si="154"/>
        <v>0.11387737524896377</v>
      </c>
      <c r="AV63" s="48">
        <f t="shared" si="154"/>
        <v>0.11484353236140775</v>
      </c>
      <c r="AW63" s="48">
        <f t="shared" si="154"/>
        <v>0.12185297079556898</v>
      </c>
      <c r="AX63" s="48">
        <f t="shared" si="154"/>
        <v>0.12690674293638413</v>
      </c>
      <c r="AY63" s="48">
        <f t="shared" si="154"/>
        <v>0.100337621643092</v>
      </c>
      <c r="AZ63" s="48">
        <f t="shared" si="154"/>
        <v>0.10398623569440149</v>
      </c>
      <c r="BA63" s="48">
        <f t="shared" si="154"/>
        <v>0.11335089141004863</v>
      </c>
      <c r="BB63" s="48">
        <f t="shared" si="154"/>
        <v>0.12154632218258941</v>
      </c>
      <c r="BC63" s="48">
        <f t="shared" si="154"/>
        <v>0.10227046007741111</v>
      </c>
      <c r="BD63" s="48">
        <f t="shared" si="154"/>
        <v>0.10766489089426887</v>
      </c>
      <c r="BE63" s="48">
        <f t="shared" si="154"/>
        <v>0.10878407779480485</v>
      </c>
      <c r="BF63" s="48">
        <f t="shared" si="154"/>
        <v>0.11041307017387746</v>
      </c>
      <c r="BG63" s="48">
        <f t="shared" si="154"/>
        <v>9.1777695206751955E-2</v>
      </c>
      <c r="BH63" s="48">
        <f t="shared" si="154"/>
        <v>0.10070944856497904</v>
      </c>
      <c r="BI63" s="48">
        <f t="shared" si="154"/>
        <v>0.10034272042419735</v>
      </c>
      <c r="BJ63" s="48">
        <f t="shared" si="154"/>
        <v>0.10530381448236439</v>
      </c>
      <c r="BK63" s="48">
        <f t="shared" si="154"/>
        <v>8.716932225356408E-2</v>
      </c>
      <c r="BL63" s="48">
        <f t="shared" si="154"/>
        <v>9.2486213235294115E-2</v>
      </c>
      <c r="BM63" s="48">
        <f>BM50/BM46</f>
        <v>8.8659264122398884E-2</v>
      </c>
      <c r="BN63" s="48">
        <f t="shared" ref="BN63" si="155">BN50/BN46</f>
        <v>9.5302259258774738E-2</v>
      </c>
      <c r="BO63" s="48">
        <f>BO50/BO46</f>
        <v>7.3603440062827499E-2</v>
      </c>
      <c r="BZ63" s="48">
        <f t="shared" ref="BZ63:CN63" ca="1" si="156">BZ50/BZ46</f>
        <v>8.8659264122398884E-2</v>
      </c>
      <c r="CA63" s="48">
        <f t="shared" ca="1" si="156"/>
        <v>8.8659264122398884E-2</v>
      </c>
      <c r="CB63" s="48">
        <f t="shared" ca="1" si="156"/>
        <v>8.8659264122398884E-2</v>
      </c>
      <c r="CC63" s="48">
        <f t="shared" ca="1" si="156"/>
        <v>8.8659264122398884E-2</v>
      </c>
      <c r="CD63" s="48">
        <f t="shared" ca="1" si="156"/>
        <v>8.8659264122398884E-2</v>
      </c>
      <c r="CE63" s="48">
        <f t="shared" ca="1" si="156"/>
        <v>8.8659264122398884E-2</v>
      </c>
      <c r="CF63" s="48">
        <f t="shared" ca="1" si="156"/>
        <v>8.8659264122398884E-2</v>
      </c>
      <c r="CG63" s="48">
        <f t="shared" ca="1" si="156"/>
        <v>8.8659264122398884E-2</v>
      </c>
      <c r="CH63" s="48">
        <f t="shared" ca="1" si="156"/>
        <v>8.8659264122398884E-2</v>
      </c>
      <c r="CI63" s="48">
        <f t="shared" si="156"/>
        <v>0.14472795467368069</v>
      </c>
      <c r="CJ63" s="48">
        <f t="shared" si="156"/>
        <v>0.13703457679264414</v>
      </c>
      <c r="CK63" s="48">
        <f t="shared" si="156"/>
        <v>0.1196813573842273</v>
      </c>
      <c r="CL63" s="48">
        <f t="shared" si="156"/>
        <v>0.11007716749886519</v>
      </c>
      <c r="CM63" s="48">
        <f t="shared" si="156"/>
        <v>0.10739683363612769</v>
      </c>
      <c r="CN63" s="48">
        <f t="shared" si="156"/>
        <v>9.9770726413785787E-2</v>
      </c>
      <c r="CO63" s="48">
        <f t="shared" ref="CO63" si="157">CO50/CO46</f>
        <v>9.1060754497309424E-2</v>
      </c>
      <c r="CP63" s="71">
        <v>0.09</v>
      </c>
      <c r="CQ63" s="71">
        <v>9.1999999999999998E-2</v>
      </c>
      <c r="CR63" s="71">
        <v>9.2999999999999999E-2</v>
      </c>
      <c r="CS63" s="71">
        <v>9.5000000000000001E-2</v>
      </c>
      <c r="CT63" s="71">
        <v>9.5000000000000001E-2</v>
      </c>
      <c r="CU63" s="71">
        <v>9.4E-2</v>
      </c>
      <c r="CV63" s="71">
        <v>9.2999999999999999E-2</v>
      </c>
      <c r="CW63" s="71">
        <v>9.1999999999999998E-2</v>
      </c>
      <c r="CX63" s="71">
        <v>9.0999999999999998E-2</v>
      </c>
      <c r="CY63" s="71">
        <v>0.09</v>
      </c>
    </row>
    <row r="64" spans="2:154">
      <c r="B64" s="49" t="s">
        <v>272</v>
      </c>
      <c r="C64" s="48">
        <f t="shared" ref="C64:BL64" si="158">C51/C46</f>
        <v>5.7352941176470586E-2</v>
      </c>
      <c r="D64" s="48">
        <f t="shared" si="158"/>
        <v>6.219114709283987E-2</v>
      </c>
      <c r="E64" s="48">
        <f t="shared" si="158"/>
        <v>7.9431841687926635E-2</v>
      </c>
      <c r="F64" s="48">
        <f t="shared" si="158"/>
        <v>6.1537502338050998E-2</v>
      </c>
      <c r="G64" s="48">
        <f t="shared" si="158"/>
        <v>5.7919110836677987E-2</v>
      </c>
      <c r="H64" s="48">
        <f t="shared" si="158"/>
        <v>4.7361299052774017E-2</v>
      </c>
      <c r="I64" s="48">
        <f t="shared" si="158"/>
        <v>7.0611151692232768E-2</v>
      </c>
      <c r="J64" s="48">
        <f t="shared" si="158"/>
        <v>6.7887372603212995E-2</v>
      </c>
      <c r="K64" s="48">
        <f t="shared" si="158"/>
        <v>6.694681096016579E-2</v>
      </c>
      <c r="L64" s="48">
        <f t="shared" si="158"/>
        <v>5.3627005027531718E-2</v>
      </c>
      <c r="M64" s="48">
        <f t="shared" si="158"/>
        <v>6.606537599816166E-2</v>
      </c>
      <c r="N64" s="48">
        <f t="shared" si="158"/>
        <v>6.2904922753197853E-2</v>
      </c>
      <c r="O64" s="48">
        <f t="shared" si="158"/>
        <v>7.040229885057471E-2</v>
      </c>
      <c r="P64" s="48">
        <f t="shared" si="158"/>
        <v>5.3877703206562266E-2</v>
      </c>
      <c r="Q64" s="48">
        <f t="shared" si="158"/>
        <v>8.0823856703597055E-2</v>
      </c>
      <c r="R64" s="48">
        <f t="shared" si="158"/>
        <v>5.3980699638118218E-2</v>
      </c>
      <c r="S64" s="48">
        <f t="shared" si="158"/>
        <v>5.2836094770359977E-2</v>
      </c>
      <c r="T64" s="48">
        <f t="shared" si="158"/>
        <v>4.881928300501652E-2</v>
      </c>
      <c r="U64" s="48">
        <f t="shared" si="158"/>
        <v>5.7148458560015686E-2</v>
      </c>
      <c r="V64" s="48">
        <f t="shared" si="158"/>
        <v>5.7095201437002821E-2</v>
      </c>
      <c r="W64" s="48">
        <f t="shared" si="158"/>
        <v>4.9609930606439374E-2</v>
      </c>
      <c r="X64" s="48">
        <f t="shared" si="158"/>
        <v>4.1443143180959575E-2</v>
      </c>
      <c r="Y64" s="48">
        <f t="shared" si="158"/>
        <v>5.0209397579271939E-2</v>
      </c>
      <c r="Z64" s="48">
        <f t="shared" si="158"/>
        <v>5.734896302975654E-2</v>
      </c>
      <c r="AA64" s="48">
        <f t="shared" si="158"/>
        <v>5.3192011384268122E-2</v>
      </c>
      <c r="AB64" s="48">
        <f t="shared" si="158"/>
        <v>4.3620776601109433E-2</v>
      </c>
      <c r="AC64" s="48">
        <f t="shared" si="158"/>
        <v>5.5525790268374654E-2</v>
      </c>
      <c r="AD64" s="48">
        <f t="shared" si="158"/>
        <v>4.9190865093768903E-2</v>
      </c>
      <c r="AE64" s="48">
        <f t="shared" si="158"/>
        <v>4.7655964976286026E-2</v>
      </c>
      <c r="AF64" s="48">
        <f t="shared" si="158"/>
        <v>3.4035468132889338E-2</v>
      </c>
      <c r="AG64" s="48">
        <f t="shared" si="158"/>
        <v>5.178356022746855E-2</v>
      </c>
      <c r="AH64" s="48">
        <f t="shared" si="158"/>
        <v>5.291935168912322E-2</v>
      </c>
      <c r="AI64" s="48">
        <f t="shared" si="158"/>
        <v>4.7518135137338005E-2</v>
      </c>
      <c r="AJ64" s="48">
        <f t="shared" si="158"/>
        <v>3.834981672314821E-2</v>
      </c>
      <c r="AK64" s="48">
        <f t="shared" si="158"/>
        <v>4.5042693612737238E-2</v>
      </c>
      <c r="AL64" s="48">
        <f t="shared" si="158"/>
        <v>4.2246966927040053E-2</v>
      </c>
      <c r="AM64" s="48">
        <f t="shared" si="158"/>
        <v>3.9506257736212351E-2</v>
      </c>
      <c r="AN64" s="48">
        <f t="shared" si="158"/>
        <v>3.486187675156293E-2</v>
      </c>
      <c r="AO64" s="48">
        <f t="shared" si="158"/>
        <v>3.8565961205063622E-2</v>
      </c>
      <c r="AP64" s="48">
        <f t="shared" si="158"/>
        <v>4.2263546578877126E-2</v>
      </c>
      <c r="AQ64" s="48">
        <f t="shared" si="158"/>
        <v>3.2098018454091666E-2</v>
      </c>
      <c r="AR64" s="48">
        <f t="shared" si="158"/>
        <v>3.0374464856662873E-2</v>
      </c>
      <c r="AS64" s="48">
        <f t="shared" si="158"/>
        <v>3.6349618800148482E-2</v>
      </c>
      <c r="AT64" s="48">
        <f t="shared" si="158"/>
        <v>4.3541135329845132E-2</v>
      </c>
      <c r="AU64" s="48">
        <f t="shared" si="158"/>
        <v>3.0117887710609893E-2</v>
      </c>
      <c r="AV64" s="48">
        <f t="shared" si="158"/>
        <v>2.6441638035100752E-2</v>
      </c>
      <c r="AW64" s="48">
        <f t="shared" si="158"/>
        <v>3.1817963842133028E-2</v>
      </c>
      <c r="AX64" s="48">
        <f t="shared" si="158"/>
        <v>3.2977985786098112E-2</v>
      </c>
      <c r="AY64" s="48">
        <f t="shared" si="158"/>
        <v>2.8399938213032636E-2</v>
      </c>
      <c r="AZ64" s="48">
        <f t="shared" si="158"/>
        <v>2.6755335601608414E-2</v>
      </c>
      <c r="BA64" s="48">
        <f t="shared" si="158"/>
        <v>2.9983792544570502E-2</v>
      </c>
      <c r="BB64" s="48">
        <f t="shared" si="158"/>
        <v>3.3722163308589605E-2</v>
      </c>
      <c r="BC64" s="48">
        <f t="shared" si="158"/>
        <v>2.789194365747576E-2</v>
      </c>
      <c r="BD64" s="48">
        <f t="shared" si="158"/>
        <v>4.4305837298803726E-2</v>
      </c>
      <c r="BE64" s="48">
        <f t="shared" si="158"/>
        <v>3.1083867794237281E-2</v>
      </c>
      <c r="BF64" s="48">
        <f t="shared" si="158"/>
        <v>3.9100179750484972E-2</v>
      </c>
      <c r="BG64" s="48">
        <f t="shared" si="158"/>
        <v>2.608064830051135E-2</v>
      </c>
      <c r="BH64" s="48">
        <f t="shared" si="158"/>
        <v>3.1876813930990004E-2</v>
      </c>
      <c r="BI64" s="48">
        <f t="shared" si="158"/>
        <v>3.0909502408742604E-2</v>
      </c>
      <c r="BJ64" s="48">
        <f t="shared" si="158"/>
        <v>3.4699584408361274E-2</v>
      </c>
      <c r="BK64" s="48">
        <f t="shared" si="158"/>
        <v>2.550888160402531E-2</v>
      </c>
      <c r="BL64" s="48">
        <f t="shared" si="158"/>
        <v>2.6180491727941176E-2</v>
      </c>
      <c r="BM64" s="48">
        <f>BM51/BM46</f>
        <v>2.4790911426369425E-2</v>
      </c>
      <c r="BN64" s="48">
        <f t="shared" ref="BN64" si="159">BN51/BN46</f>
        <v>2.603314974947999E-2</v>
      </c>
      <c r="BO64" s="48">
        <f>BO51/BO46</f>
        <v>2.3251322853501215E-2</v>
      </c>
      <c r="BZ64" s="48">
        <f t="shared" ref="BZ64:CN64" si="160">BZ51/BZ46</f>
        <v>6.5024646309455217E-2</v>
      </c>
      <c r="CA64" s="48">
        <f t="shared" si="160"/>
        <v>6.0363438800165849E-2</v>
      </c>
      <c r="CB64" s="48">
        <f t="shared" si="160"/>
        <v>6.1975231610216619E-2</v>
      </c>
      <c r="CC64" s="48">
        <f t="shared" si="160"/>
        <v>6.4393890737196369E-2</v>
      </c>
      <c r="CD64" s="48">
        <f t="shared" si="160"/>
        <v>5.3862010986606472E-2</v>
      </c>
      <c r="CE64" s="48">
        <f t="shared" si="160"/>
        <v>4.9273349006197904E-2</v>
      </c>
      <c r="CF64" s="48">
        <f t="shared" si="160"/>
        <v>5.0058143361783353E-2</v>
      </c>
      <c r="CG64" s="48">
        <f t="shared" si="160"/>
        <v>4.6401093495977055E-2</v>
      </c>
      <c r="CH64" s="48">
        <f t="shared" si="160"/>
        <v>4.3077201884740846E-2</v>
      </c>
      <c r="CI64" s="48">
        <f t="shared" si="160"/>
        <v>3.8818209991815199E-2</v>
      </c>
      <c r="CJ64" s="48">
        <f t="shared" si="160"/>
        <v>3.5737510051393209E-2</v>
      </c>
      <c r="CK64" s="48">
        <f t="shared" si="160"/>
        <v>3.0382894674218265E-2</v>
      </c>
      <c r="CL64" s="48">
        <f t="shared" si="160"/>
        <v>2.9757401523175468E-2</v>
      </c>
      <c r="CM64" s="48">
        <f t="shared" si="160"/>
        <v>3.5745463983200811E-2</v>
      </c>
      <c r="CN64" s="48">
        <f t="shared" si="160"/>
        <v>3.1041685364838735E-2</v>
      </c>
      <c r="CO64" s="48">
        <f t="shared" ref="CO64" si="161">CO51/CO46</f>
        <v>2.5638568244097059E-2</v>
      </c>
      <c r="CP64" s="71">
        <v>3.1E-2</v>
      </c>
      <c r="CQ64" s="71">
        <v>0.03</v>
      </c>
      <c r="CR64" s="71">
        <v>2.9000000000000001E-2</v>
      </c>
      <c r="CS64" s="71">
        <v>2.8000000000000001E-2</v>
      </c>
      <c r="CT64" s="71">
        <v>2.75E-2</v>
      </c>
      <c r="CU64" s="71">
        <v>2.7E-2</v>
      </c>
      <c r="CV64" s="71">
        <v>2.7E-2</v>
      </c>
      <c r="CW64" s="71">
        <v>2.7E-2</v>
      </c>
      <c r="CX64" s="71">
        <v>2.7E-2</v>
      </c>
      <c r="CY64" s="71">
        <v>2.7E-2</v>
      </c>
    </row>
    <row r="65" spans="2:106">
      <c r="B65" s="37" t="s">
        <v>120</v>
      </c>
      <c r="C65" s="48">
        <f t="shared" ref="C65:BL65" ca="1" si="162">C52/C46</f>
        <v>0.11345017554876831</v>
      </c>
      <c r="D65" s="48">
        <f t="shared" ca="1" si="162"/>
        <v>0.11345017554876831</v>
      </c>
      <c r="E65" s="48">
        <f t="shared" ca="1" si="162"/>
        <v>0.11345017554876831</v>
      </c>
      <c r="F65" s="48">
        <f t="shared" ca="1" si="162"/>
        <v>0.11345017554876831</v>
      </c>
      <c r="G65" s="48">
        <f t="shared" ca="1" si="162"/>
        <v>0.11345017554876831</v>
      </c>
      <c r="H65" s="48">
        <f t="shared" ca="1" si="162"/>
        <v>0.11345017554876831</v>
      </c>
      <c r="I65" s="48">
        <f t="shared" ca="1" si="162"/>
        <v>0.11345017554876831</v>
      </c>
      <c r="J65" s="48">
        <f t="shared" ca="1" si="162"/>
        <v>0.11345017554876831</v>
      </c>
      <c r="K65" s="48">
        <f t="shared" ca="1" si="162"/>
        <v>0.11345017554876831</v>
      </c>
      <c r="L65" s="48">
        <f t="shared" ca="1" si="162"/>
        <v>0.11345017554876831</v>
      </c>
      <c r="M65" s="48">
        <f t="shared" ca="1" si="162"/>
        <v>0.11345017554876831</v>
      </c>
      <c r="N65" s="48">
        <f t="shared" ca="1" si="162"/>
        <v>0.11345017554876831</v>
      </c>
      <c r="O65" s="48">
        <f t="shared" ca="1" si="162"/>
        <v>0.11345017554876831</v>
      </c>
      <c r="P65" s="48">
        <f t="shared" ca="1" si="162"/>
        <v>0.11345017554876831</v>
      </c>
      <c r="Q65" s="48">
        <f t="shared" ca="1" si="162"/>
        <v>0.11345017554876831</v>
      </c>
      <c r="R65" s="48">
        <f t="shared" ca="1" si="162"/>
        <v>0.11345017554876831</v>
      </c>
      <c r="S65" s="48">
        <f t="shared" ca="1" si="162"/>
        <v>0.11345017554876831</v>
      </c>
      <c r="T65" s="48">
        <f t="shared" ca="1" si="162"/>
        <v>0.11345017554876831</v>
      </c>
      <c r="U65" s="48">
        <f t="shared" ca="1" si="162"/>
        <v>0.11345017554876831</v>
      </c>
      <c r="V65" s="48">
        <f t="shared" ca="1" si="162"/>
        <v>0.11345017554876831</v>
      </c>
      <c r="W65" s="48">
        <f t="shared" ca="1" si="162"/>
        <v>0.11345017554876831</v>
      </c>
      <c r="X65" s="48">
        <f t="shared" ca="1" si="162"/>
        <v>0.11345017554876831</v>
      </c>
      <c r="Y65" s="48">
        <f t="shared" ca="1" si="162"/>
        <v>0.11345017554876831</v>
      </c>
      <c r="Z65" s="48">
        <f t="shared" ca="1" si="162"/>
        <v>0.11345017554876831</v>
      </c>
      <c r="AA65" s="48">
        <f t="shared" ca="1" si="162"/>
        <v>0.11345017554876831</v>
      </c>
      <c r="AB65" s="48">
        <f t="shared" ca="1" si="162"/>
        <v>0.11345017554876831</v>
      </c>
      <c r="AC65" s="48">
        <f t="shared" ca="1" si="162"/>
        <v>0.11345017554876831</v>
      </c>
      <c r="AD65" s="48">
        <f t="shared" ca="1" si="162"/>
        <v>0.11345017554876831</v>
      </c>
      <c r="AE65" s="48">
        <f t="shared" ca="1" si="162"/>
        <v>0.11345017554876831</v>
      </c>
      <c r="AF65" s="48">
        <f t="shared" ca="1" si="162"/>
        <v>0.11345017554876831</v>
      </c>
      <c r="AG65" s="48">
        <f t="shared" ca="1" si="162"/>
        <v>0.11345017554876831</v>
      </c>
      <c r="AH65" s="48">
        <f t="shared" ca="1" si="162"/>
        <v>0.11345017554876831</v>
      </c>
      <c r="AI65" s="48">
        <f t="shared" ca="1" si="162"/>
        <v>0.11345017554876831</v>
      </c>
      <c r="AJ65" s="48">
        <f t="shared" ca="1" si="162"/>
        <v>0.11345017554876831</v>
      </c>
      <c r="AK65" s="48">
        <f t="shared" ca="1" si="162"/>
        <v>0.11345017554876831</v>
      </c>
      <c r="AL65" s="48">
        <f t="shared" ca="1" si="162"/>
        <v>0.11345017554876831</v>
      </c>
      <c r="AM65" s="48">
        <f t="shared" si="162"/>
        <v>0.18040847201210286</v>
      </c>
      <c r="AN65" s="48">
        <f t="shared" si="162"/>
        <v>0.17615718641249115</v>
      </c>
      <c r="AO65" s="48">
        <f t="shared" si="162"/>
        <v>0.18789048444604364</v>
      </c>
      <c r="AP65" s="48">
        <f t="shared" si="162"/>
        <v>0.18942966456090399</v>
      </c>
      <c r="AQ65" s="48">
        <f t="shared" si="162"/>
        <v>0.16330358493420058</v>
      </c>
      <c r="AR65" s="48">
        <f t="shared" si="162"/>
        <v>0.1640383677450821</v>
      </c>
      <c r="AS65" s="48">
        <f t="shared" si="162"/>
        <v>0.17657976642585876</v>
      </c>
      <c r="AT65" s="48">
        <f t="shared" si="162"/>
        <v>0.18597007861593878</v>
      </c>
      <c r="AU65" s="48">
        <f t="shared" si="162"/>
        <v>0.14399526295957366</v>
      </c>
      <c r="AV65" s="48">
        <f t="shared" si="162"/>
        <v>0.14128517039650851</v>
      </c>
      <c r="AW65" s="48">
        <f t="shared" si="162"/>
        <v>0.15367093463770201</v>
      </c>
      <c r="AX65" s="48">
        <f t="shared" si="162"/>
        <v>0.15988472872248224</v>
      </c>
      <c r="AY65" s="48">
        <f t="shared" si="162"/>
        <v>0.12873755985612464</v>
      </c>
      <c r="AZ65" s="48">
        <f t="shared" si="162"/>
        <v>0.13074157129600988</v>
      </c>
      <c r="BA65" s="48">
        <f t="shared" si="162"/>
        <v>0.14333468395461912</v>
      </c>
      <c r="BB65" s="48">
        <f t="shared" si="162"/>
        <v>0.15526848549117903</v>
      </c>
      <c r="BC65" s="48">
        <f t="shared" si="162"/>
        <v>0.13016240373488688</v>
      </c>
      <c r="BD65" s="48">
        <f t="shared" si="162"/>
        <v>0.15197072819307259</v>
      </c>
      <c r="BE65" s="48">
        <f t="shared" si="162"/>
        <v>0.13986794558904214</v>
      </c>
      <c r="BF65" s="48">
        <f t="shared" si="162"/>
        <v>0.14951324992436241</v>
      </c>
      <c r="BG65" s="48">
        <f t="shared" si="162"/>
        <v>0.11785834350726331</v>
      </c>
      <c r="BH65" s="48">
        <f t="shared" si="162"/>
        <v>0.13258626249596905</v>
      </c>
      <c r="BI65" s="48">
        <f t="shared" si="162"/>
        <v>0.13125222283293997</v>
      </c>
      <c r="BJ65" s="48">
        <f t="shared" si="162"/>
        <v>0.14000339889072566</v>
      </c>
      <c r="BK65" s="48">
        <f t="shared" si="162"/>
        <v>0.11267820385758939</v>
      </c>
      <c r="BL65" s="48">
        <f t="shared" si="162"/>
        <v>0.11866670496323529</v>
      </c>
      <c r="BM65" s="48">
        <f>BM52/BM46</f>
        <v>0.11345017554876831</v>
      </c>
      <c r="BN65" s="48">
        <f t="shared" ref="BN65" si="163">BN52/BN46</f>
        <v>0.12133540900825474</v>
      </c>
      <c r="BO65" s="48">
        <f>BO52/BO46</f>
        <v>9.6854762916328718E-2</v>
      </c>
      <c r="BZ65" s="48">
        <f t="shared" ref="BZ65:CM65" ca="1" si="164">BZ52/BZ46</f>
        <v>0.13081241177862452</v>
      </c>
      <c r="CA65" s="48">
        <f t="shared" ca="1" si="164"/>
        <v>0.13081241177862452</v>
      </c>
      <c r="CB65" s="48">
        <f t="shared" ca="1" si="164"/>
        <v>0.13081241177862452</v>
      </c>
      <c r="CC65" s="48">
        <f t="shared" ca="1" si="164"/>
        <v>0.13081241177862452</v>
      </c>
      <c r="CD65" s="48">
        <f t="shared" ca="1" si="164"/>
        <v>0.13081241177862452</v>
      </c>
      <c r="CE65" s="48">
        <f t="shared" ca="1" si="164"/>
        <v>0.13081241177862452</v>
      </c>
      <c r="CF65" s="48">
        <f t="shared" ca="1" si="164"/>
        <v>0.13081241177862452</v>
      </c>
      <c r="CG65" s="48">
        <f t="shared" ca="1" si="164"/>
        <v>0.13081241177862452</v>
      </c>
      <c r="CH65" s="48">
        <f t="shared" ca="1" si="164"/>
        <v>0.13081241177862452</v>
      </c>
      <c r="CI65" s="48">
        <f t="shared" si="164"/>
        <v>0.18354616466549589</v>
      </c>
      <c r="CJ65" s="48">
        <f t="shared" si="164"/>
        <v>0.17277208684403733</v>
      </c>
      <c r="CK65" s="48">
        <f t="shared" si="164"/>
        <v>0.15006425205844556</v>
      </c>
      <c r="CL65" s="48">
        <f t="shared" si="164"/>
        <v>0.13983456902204064</v>
      </c>
      <c r="CM65" s="48">
        <f t="shared" si="164"/>
        <v>0.14314229761932851</v>
      </c>
      <c r="CN65" s="48">
        <f>CN52/CN46</f>
        <v>0.13081241177862452</v>
      </c>
      <c r="CO65" s="48">
        <f>CO52/CO46</f>
        <v>0.11669932274140649</v>
      </c>
      <c r="CP65" s="71">
        <v>0.12</v>
      </c>
      <c r="CQ65" s="71">
        <v>0.12</v>
      </c>
      <c r="CR65" s="71">
        <v>0.12</v>
      </c>
      <c r="CS65" s="71">
        <v>0.12</v>
      </c>
      <c r="CT65" s="71">
        <v>0.12</v>
      </c>
      <c r="CU65" s="71">
        <v>0.12</v>
      </c>
      <c r="CV65" s="71">
        <v>0.12</v>
      </c>
      <c r="CW65" s="71">
        <v>0.12</v>
      </c>
      <c r="CX65" s="71">
        <v>0.12</v>
      </c>
      <c r="CY65" s="71">
        <v>0.12</v>
      </c>
    </row>
    <row r="66" spans="2:106">
      <c r="B66" s="37" t="s">
        <v>121</v>
      </c>
      <c r="C66" s="48">
        <f t="shared" ref="C66:BL66" ca="1" si="165">C53/C46</f>
        <v>0.45671224274255701</v>
      </c>
      <c r="D66" s="48">
        <f t="shared" ca="1" si="165"/>
        <v>0.45671224274255701</v>
      </c>
      <c r="E66" s="48">
        <f t="shared" ca="1" si="165"/>
        <v>0.45671224274255701</v>
      </c>
      <c r="F66" s="48">
        <f t="shared" ca="1" si="165"/>
        <v>0.45671224274255701</v>
      </c>
      <c r="G66" s="48">
        <f t="shared" ca="1" si="165"/>
        <v>0.45671224274255701</v>
      </c>
      <c r="H66" s="48">
        <f t="shared" ca="1" si="165"/>
        <v>0.45671224274255701</v>
      </c>
      <c r="I66" s="48">
        <f t="shared" ca="1" si="165"/>
        <v>0.45671224274255701</v>
      </c>
      <c r="J66" s="48">
        <f t="shared" ca="1" si="165"/>
        <v>0.45671224274255701</v>
      </c>
      <c r="K66" s="48">
        <f t="shared" ca="1" si="165"/>
        <v>0.45671224274255701</v>
      </c>
      <c r="L66" s="48">
        <f t="shared" ca="1" si="165"/>
        <v>0.45671224274255701</v>
      </c>
      <c r="M66" s="48">
        <f t="shared" ca="1" si="165"/>
        <v>0.45671224274255701</v>
      </c>
      <c r="N66" s="48">
        <f t="shared" ca="1" si="165"/>
        <v>0.45671224274255701</v>
      </c>
      <c r="O66" s="48">
        <f t="shared" ca="1" si="165"/>
        <v>0.45671224274255701</v>
      </c>
      <c r="P66" s="48">
        <f t="shared" ca="1" si="165"/>
        <v>0.45671224274255701</v>
      </c>
      <c r="Q66" s="48">
        <f t="shared" ca="1" si="165"/>
        <v>0.45671224274255701</v>
      </c>
      <c r="R66" s="48">
        <f t="shared" ca="1" si="165"/>
        <v>0.45671224274255701</v>
      </c>
      <c r="S66" s="48">
        <f t="shared" ca="1" si="165"/>
        <v>0.45671224274255701</v>
      </c>
      <c r="T66" s="48">
        <f t="shared" ca="1" si="165"/>
        <v>0.45671224274255701</v>
      </c>
      <c r="U66" s="48">
        <f t="shared" ca="1" si="165"/>
        <v>0.45671224274255701</v>
      </c>
      <c r="V66" s="48">
        <f t="shared" ca="1" si="165"/>
        <v>0.45671224274255701</v>
      </c>
      <c r="W66" s="48">
        <f t="shared" ca="1" si="165"/>
        <v>0.45671224274255701</v>
      </c>
      <c r="X66" s="48">
        <f t="shared" ca="1" si="165"/>
        <v>0.45671224274255701</v>
      </c>
      <c r="Y66" s="48">
        <f t="shared" ca="1" si="165"/>
        <v>0.45671224274255701</v>
      </c>
      <c r="Z66" s="48">
        <f t="shared" ca="1" si="165"/>
        <v>0.45671224274255701</v>
      </c>
      <c r="AA66" s="48">
        <f t="shared" ca="1" si="165"/>
        <v>0.45671224274255701</v>
      </c>
      <c r="AB66" s="48">
        <f t="shared" ca="1" si="165"/>
        <v>0.45671224274255701</v>
      </c>
      <c r="AC66" s="48">
        <f t="shared" ca="1" si="165"/>
        <v>0.45671224274255701</v>
      </c>
      <c r="AD66" s="48">
        <f t="shared" ca="1" si="165"/>
        <v>0.45671224274255701</v>
      </c>
      <c r="AE66" s="48">
        <f t="shared" ca="1" si="165"/>
        <v>0.45671224274255701</v>
      </c>
      <c r="AF66" s="48">
        <f t="shared" ca="1" si="165"/>
        <v>0.45671224274255701</v>
      </c>
      <c r="AG66" s="48">
        <f t="shared" ca="1" si="165"/>
        <v>0.45671224274255701</v>
      </c>
      <c r="AH66" s="48">
        <f t="shared" ca="1" si="165"/>
        <v>0.45671224274255701</v>
      </c>
      <c r="AI66" s="48">
        <f t="shared" ca="1" si="165"/>
        <v>0.45671224274255701</v>
      </c>
      <c r="AJ66" s="48">
        <f t="shared" ca="1" si="165"/>
        <v>0.45671224274255701</v>
      </c>
      <c r="AK66" s="48">
        <f t="shared" ca="1" si="165"/>
        <v>0.45671224274255701</v>
      </c>
      <c r="AL66" s="48">
        <f t="shared" ca="1" si="165"/>
        <v>0.45671224274255701</v>
      </c>
      <c r="AM66" s="48">
        <f t="shared" si="165"/>
        <v>0.34228441754916794</v>
      </c>
      <c r="AN66" s="48">
        <f t="shared" si="165"/>
        <v>0.3159126605278556</v>
      </c>
      <c r="AO66" s="48">
        <f t="shared" si="165"/>
        <v>0.3382617513329626</v>
      </c>
      <c r="AP66" s="48">
        <f t="shared" si="165"/>
        <v>0.3679152949550672</v>
      </c>
      <c r="AQ66" s="48">
        <f t="shared" si="165"/>
        <v>0.38378460142187265</v>
      </c>
      <c r="AR66" s="48">
        <f t="shared" si="165"/>
        <v>0.37638866309001245</v>
      </c>
      <c r="AS66" s="48">
        <f t="shared" si="165"/>
        <v>0.37049199051997372</v>
      </c>
      <c r="AT66" s="48">
        <f t="shared" si="165"/>
        <v>0.35250966266137301</v>
      </c>
      <c r="AU66" s="48">
        <f t="shared" si="165"/>
        <v>0.42730257845723207</v>
      </c>
      <c r="AV66" s="48">
        <f t="shared" si="165"/>
        <v>0.41547497446373849</v>
      </c>
      <c r="AW66" s="48">
        <f t="shared" si="165"/>
        <v>0.40876612477820939</v>
      </c>
      <c r="AX66" s="48">
        <f t="shared" si="165"/>
        <v>0.41374154966198645</v>
      </c>
      <c r="AY66" s="48">
        <f t="shared" si="165"/>
        <v>0.44658737339188381</v>
      </c>
      <c r="AZ66" s="48">
        <f t="shared" si="165"/>
        <v>0.42988323538509127</v>
      </c>
      <c r="BA66" s="48">
        <f t="shared" si="165"/>
        <v>0.41256077795786061</v>
      </c>
      <c r="BB66" s="48">
        <f t="shared" si="165"/>
        <v>0.3961052733056975</v>
      </c>
      <c r="BC66" s="48">
        <f t="shared" si="165"/>
        <v>0.42931247755476637</v>
      </c>
      <c r="BD66" s="48">
        <f t="shared" si="165"/>
        <v>0.3867328947617874</v>
      </c>
      <c r="BE66" s="48">
        <f t="shared" si="165"/>
        <v>0.42287681858599618</v>
      </c>
      <c r="BF66" s="48">
        <f t="shared" si="165"/>
        <v>0.4316503230169606</v>
      </c>
      <c r="BG66" s="48">
        <f t="shared" si="165"/>
        <v>0.47587451563246458</v>
      </c>
      <c r="BH66" s="48">
        <f t="shared" si="165"/>
        <v>0.43585940019348596</v>
      </c>
      <c r="BI66" s="48">
        <f t="shared" si="165"/>
        <v>0.44587603866921011</v>
      </c>
      <c r="BJ66" s="48">
        <f t="shared" si="165"/>
        <v>0.43142737960974553</v>
      </c>
      <c r="BK66" s="48">
        <f t="shared" si="165"/>
        <v>0.46583822520393381</v>
      </c>
      <c r="BL66" s="48">
        <f t="shared" si="165"/>
        <v>0.45457548253676472</v>
      </c>
      <c r="BM66" s="48">
        <f>BM53/BM46</f>
        <v>0.45671224274255701</v>
      </c>
      <c r="BN66" s="48">
        <f t="shared" ref="BN66" si="166">BN53/BN46</f>
        <v>0.44901296424693554</v>
      </c>
      <c r="BO66" s="48">
        <f>BO53/BO46</f>
        <v>0.48872838695557014</v>
      </c>
      <c r="BZ66" s="48">
        <f t="shared" ref="BZ66:CM66" ca="1" si="167">BZ53/BZ46</f>
        <v>0.44644299573273716</v>
      </c>
      <c r="CA66" s="48">
        <f t="shared" ca="1" si="167"/>
        <v>0.44644299573273716</v>
      </c>
      <c r="CB66" s="48">
        <f t="shared" ca="1" si="167"/>
        <v>0.44644299573273716</v>
      </c>
      <c r="CC66" s="48">
        <f t="shared" ca="1" si="167"/>
        <v>0.44644299573273716</v>
      </c>
      <c r="CD66" s="48">
        <f t="shared" ca="1" si="167"/>
        <v>0.44644299573273716</v>
      </c>
      <c r="CE66" s="48">
        <f t="shared" ca="1" si="167"/>
        <v>0.44644299573273716</v>
      </c>
      <c r="CF66" s="48">
        <f t="shared" ca="1" si="167"/>
        <v>0.44644299573273716</v>
      </c>
      <c r="CG66" s="48">
        <f t="shared" ca="1" si="167"/>
        <v>0.44644299573273716</v>
      </c>
      <c r="CH66" s="48">
        <f t="shared" ca="1" si="167"/>
        <v>0.44644299573273716</v>
      </c>
      <c r="CI66" s="48">
        <f t="shared" si="167"/>
        <v>0.3413698020549415</v>
      </c>
      <c r="CJ66" s="48">
        <f t="shared" si="167"/>
        <v>0.37030381428521486</v>
      </c>
      <c r="CK66" s="48">
        <f t="shared" si="167"/>
        <v>0.41594878872971303</v>
      </c>
      <c r="CL66" s="48">
        <f t="shared" si="167"/>
        <v>0.4205527815604983</v>
      </c>
      <c r="CM66" s="48">
        <f t="shared" si="167"/>
        <v>0.41772880636104098</v>
      </c>
      <c r="CN66" s="48">
        <f>CN53/CN46</f>
        <v>0.44644299573273716</v>
      </c>
      <c r="CO66" s="48">
        <f>CO53/CO46</f>
        <v>0.45621956240859851</v>
      </c>
      <c r="CP66" s="71">
        <f>CP53/CP46</f>
        <v>0.4529999999999999</v>
      </c>
      <c r="CQ66" s="71">
        <f t="shared" ref="CQ66:CY66" si="168">CQ53/CQ46</f>
        <v>0.4489999999999999</v>
      </c>
      <c r="CR66" s="71">
        <f t="shared" si="168"/>
        <v>0.44599999999999995</v>
      </c>
      <c r="CS66" s="71">
        <f t="shared" si="168"/>
        <v>0.46199999999999997</v>
      </c>
      <c r="CT66" s="71">
        <f t="shared" si="168"/>
        <v>0.46749999999999997</v>
      </c>
      <c r="CU66" s="71">
        <f t="shared" si="168"/>
        <v>0.47899999999999998</v>
      </c>
      <c r="CV66" s="71">
        <f t="shared" si="168"/>
        <v>0.48999999999999994</v>
      </c>
      <c r="CW66" s="71">
        <f t="shared" si="168"/>
        <v>0.49599999999999994</v>
      </c>
      <c r="CX66" s="71">
        <f t="shared" si="168"/>
        <v>0.502</v>
      </c>
      <c r="CY66" s="71">
        <f t="shared" si="168"/>
        <v>0.503</v>
      </c>
    </row>
    <row r="67" spans="2:106">
      <c r="B67" s="37" t="s">
        <v>122</v>
      </c>
      <c r="C67" s="48">
        <f t="shared" ref="C67:BL67" ca="1" si="169">C56/C55</f>
        <v>0.17697676642126398</v>
      </c>
      <c r="D67" s="48">
        <f t="shared" ca="1" si="169"/>
        <v>0.17697676642126398</v>
      </c>
      <c r="E67" s="48">
        <f t="shared" ca="1" si="169"/>
        <v>0.17697676642126398</v>
      </c>
      <c r="F67" s="48">
        <f t="shared" ca="1" si="169"/>
        <v>0.17697676642126398</v>
      </c>
      <c r="G67" s="48">
        <f t="shared" ca="1" si="169"/>
        <v>0.17697676642126398</v>
      </c>
      <c r="H67" s="48">
        <f t="shared" ca="1" si="169"/>
        <v>0.17697676642126398</v>
      </c>
      <c r="I67" s="48">
        <f t="shared" ca="1" si="169"/>
        <v>0.17697676642126398</v>
      </c>
      <c r="J67" s="48">
        <f t="shared" ca="1" si="169"/>
        <v>0.17697676642126398</v>
      </c>
      <c r="K67" s="48">
        <f t="shared" ca="1" si="169"/>
        <v>0.17697676642126398</v>
      </c>
      <c r="L67" s="48">
        <f t="shared" ca="1" si="169"/>
        <v>0.17697676642126398</v>
      </c>
      <c r="M67" s="48">
        <f t="shared" ca="1" si="169"/>
        <v>0.17697676642126398</v>
      </c>
      <c r="N67" s="48">
        <f t="shared" ca="1" si="169"/>
        <v>0.17697676642126398</v>
      </c>
      <c r="O67" s="48">
        <f t="shared" ca="1" si="169"/>
        <v>0.17697676642126398</v>
      </c>
      <c r="P67" s="48">
        <f t="shared" ca="1" si="169"/>
        <v>0.17697676642126398</v>
      </c>
      <c r="Q67" s="48">
        <f t="shared" ca="1" si="169"/>
        <v>0.17697676642126398</v>
      </c>
      <c r="R67" s="48">
        <f t="shared" ca="1" si="169"/>
        <v>0.17697676642126398</v>
      </c>
      <c r="S67" s="48">
        <f t="shared" ca="1" si="169"/>
        <v>0.17697676642126398</v>
      </c>
      <c r="T67" s="48">
        <f t="shared" ca="1" si="169"/>
        <v>0.17697676642126398</v>
      </c>
      <c r="U67" s="48">
        <f t="shared" ca="1" si="169"/>
        <v>0.17697676642126398</v>
      </c>
      <c r="V67" s="48">
        <f t="shared" ca="1" si="169"/>
        <v>0.17697676642126398</v>
      </c>
      <c r="W67" s="48">
        <f t="shared" ca="1" si="169"/>
        <v>0.17697676642126398</v>
      </c>
      <c r="X67" s="48">
        <f t="shared" ca="1" si="169"/>
        <v>0.17697676642126398</v>
      </c>
      <c r="Y67" s="48">
        <f t="shared" ca="1" si="169"/>
        <v>0.17697676642126398</v>
      </c>
      <c r="Z67" s="48">
        <f t="shared" ca="1" si="169"/>
        <v>0.17697676642126398</v>
      </c>
      <c r="AA67" s="48">
        <f t="shared" ca="1" si="169"/>
        <v>0.17697676642126398</v>
      </c>
      <c r="AB67" s="48">
        <f t="shared" ca="1" si="169"/>
        <v>0.17697676642126398</v>
      </c>
      <c r="AC67" s="48">
        <f t="shared" ca="1" si="169"/>
        <v>0.17697676642126398</v>
      </c>
      <c r="AD67" s="48">
        <f t="shared" ca="1" si="169"/>
        <v>0.17697676642126398</v>
      </c>
      <c r="AE67" s="48">
        <f t="shared" ca="1" si="169"/>
        <v>0.17697676642126398</v>
      </c>
      <c r="AF67" s="48">
        <f t="shared" ca="1" si="169"/>
        <v>0.17697676642126398</v>
      </c>
      <c r="AG67" s="48">
        <f t="shared" ca="1" si="169"/>
        <v>0.17697676642126398</v>
      </c>
      <c r="AH67" s="48">
        <f t="shared" ca="1" si="169"/>
        <v>0.17697676642126398</v>
      </c>
      <c r="AI67" s="48">
        <f t="shared" ca="1" si="169"/>
        <v>0.17697676642126398</v>
      </c>
      <c r="AJ67" s="48">
        <f t="shared" ca="1" si="169"/>
        <v>0.17697676642126398</v>
      </c>
      <c r="AK67" s="48">
        <f t="shared" ca="1" si="169"/>
        <v>0.17697676642126398</v>
      </c>
      <c r="AL67" s="48">
        <f t="shared" ca="1" si="169"/>
        <v>0.17697676642126398</v>
      </c>
      <c r="AM67" s="48">
        <f t="shared" si="169"/>
        <v>0.13667938557871051</v>
      </c>
      <c r="AN67" s="48">
        <f t="shared" si="169"/>
        <v>0.18921521425132404</v>
      </c>
      <c r="AO67" s="48">
        <f t="shared" si="169"/>
        <v>0.15992752241083349</v>
      </c>
      <c r="AP67" s="48">
        <f t="shared" si="169"/>
        <v>-4.6919657033979038E-2</v>
      </c>
      <c r="AQ67" s="48">
        <f t="shared" si="169"/>
        <v>0.15828472331704241</v>
      </c>
      <c r="AR67" s="48">
        <f t="shared" si="169"/>
        <v>0.17294994675186368</v>
      </c>
      <c r="AS67" s="48">
        <f t="shared" si="169"/>
        <v>0.16281242700303666</v>
      </c>
      <c r="AT67" s="48">
        <f t="shared" si="169"/>
        <v>0.16540008940545373</v>
      </c>
      <c r="AU67" s="48">
        <f t="shared" si="169"/>
        <v>0.13836516993301909</v>
      </c>
      <c r="AV67" s="48">
        <f t="shared" si="169"/>
        <v>0.15673228990565524</v>
      </c>
      <c r="AW67" s="48">
        <f t="shared" si="169"/>
        <v>0.10321420283128337</v>
      </c>
      <c r="AX67" s="48">
        <f t="shared" si="169"/>
        <v>0.15186807523834064</v>
      </c>
      <c r="AY67" s="48">
        <f t="shared" si="169"/>
        <v>9.2574546871954783E-4</v>
      </c>
      <c r="AZ67" s="48">
        <f t="shared" si="169"/>
        <v>0.16662963785825372</v>
      </c>
      <c r="BA67" s="48">
        <f t="shared" si="169"/>
        <v>0.17147102526002972</v>
      </c>
      <c r="BB67" s="48">
        <f t="shared" si="169"/>
        <v>0.18280724008391472</v>
      </c>
      <c r="BC67" s="48">
        <f t="shared" si="169"/>
        <v>0.18616725384758021</v>
      </c>
      <c r="BD67" s="48">
        <f t="shared" si="169"/>
        <v>0.19243817296818919</v>
      </c>
      <c r="BE67" s="48">
        <f t="shared" si="169"/>
        <v>0.19291668504388479</v>
      </c>
      <c r="BF67" s="48">
        <f t="shared" si="169"/>
        <v>0.18789177821814212</v>
      </c>
      <c r="BG67" s="48">
        <f t="shared" si="169"/>
        <v>0.18300102624248643</v>
      </c>
      <c r="BH67" s="48">
        <f t="shared" si="169"/>
        <v>0.17552589911784663</v>
      </c>
      <c r="BI67" s="48">
        <f t="shared" si="169"/>
        <v>0.17914468514984846</v>
      </c>
      <c r="BJ67" s="48">
        <f t="shared" si="169"/>
        <v>0.1913394495412844</v>
      </c>
      <c r="BK67" s="48">
        <f t="shared" si="169"/>
        <v>0.18507383791998414</v>
      </c>
      <c r="BL67" s="48">
        <f t="shared" si="169"/>
        <v>0.17902264600715137</v>
      </c>
      <c r="BM67" s="48">
        <f>BM56/BM55</f>
        <v>0.17697676642126398</v>
      </c>
      <c r="BN67" s="48">
        <f t="shared" ref="BN67" si="170">BN56/BN55</f>
        <v>0.16504169732646554</v>
      </c>
      <c r="BO67" s="48">
        <f>BO56/BO55</f>
        <v>0.19107314655549401</v>
      </c>
      <c r="BZ67" s="48">
        <f t="shared" ref="BZ67:CM67" ca="1" si="171">BZ56/BZ55</f>
        <v>0.18231326597827197</v>
      </c>
      <c r="CA67" s="48">
        <f t="shared" ca="1" si="171"/>
        <v>0.18231326597827197</v>
      </c>
      <c r="CB67" s="48">
        <f t="shared" ca="1" si="171"/>
        <v>0.18231326597827197</v>
      </c>
      <c r="CC67" s="48">
        <f t="shared" ca="1" si="171"/>
        <v>0.18231326597827197</v>
      </c>
      <c r="CD67" s="48">
        <f t="shared" ca="1" si="171"/>
        <v>0.18231326597827197</v>
      </c>
      <c r="CE67" s="48">
        <f t="shared" ca="1" si="171"/>
        <v>0.18231326597827197</v>
      </c>
      <c r="CF67" s="48">
        <f t="shared" ca="1" si="171"/>
        <v>0.18231326597827197</v>
      </c>
      <c r="CG67" s="48">
        <f t="shared" ca="1" si="171"/>
        <v>0.18231326597827197</v>
      </c>
      <c r="CH67" s="48">
        <f t="shared" ca="1" si="171"/>
        <v>0.18231326597827197</v>
      </c>
      <c r="CI67" s="48">
        <f t="shared" si="171"/>
        <v>0.10181285478850027</v>
      </c>
      <c r="CJ67" s="48">
        <f t="shared" si="171"/>
        <v>0.16507655177615205</v>
      </c>
      <c r="CK67" s="48">
        <f t="shared" si="171"/>
        <v>0.13826615285083402</v>
      </c>
      <c r="CL67" s="48">
        <f t="shared" si="171"/>
        <v>0.13113383343685794</v>
      </c>
      <c r="CM67" s="48">
        <f t="shared" si="171"/>
        <v>0.18978625253328257</v>
      </c>
      <c r="CN67" s="48">
        <f>CN56/CN55</f>
        <v>0.18231326597827197</v>
      </c>
      <c r="CO67" s="48">
        <f>CO56/CO55</f>
        <v>0.17629644009803683</v>
      </c>
      <c r="CP67" s="71">
        <v>0.25</v>
      </c>
      <c r="CQ67" s="71">
        <v>0.24</v>
      </c>
      <c r="CR67" s="71">
        <v>0.24</v>
      </c>
      <c r="CS67" s="71">
        <v>0.24</v>
      </c>
      <c r="CT67" s="71">
        <v>0.24</v>
      </c>
      <c r="CU67" s="71">
        <v>0.24</v>
      </c>
      <c r="CV67" s="71">
        <v>0.24</v>
      </c>
      <c r="CW67" s="71">
        <v>0.24</v>
      </c>
      <c r="CX67" s="71">
        <v>0.24</v>
      </c>
      <c r="CY67" s="71">
        <v>0.24</v>
      </c>
    </row>
    <row r="68" spans="2:106">
      <c r="B68" s="37" t="s">
        <v>123</v>
      </c>
      <c r="C68" s="48">
        <f t="shared" ref="C68:BL68" si="172">C57/C46</f>
        <v>0.27662538699690403</v>
      </c>
      <c r="D68" s="48">
        <f t="shared" si="172"/>
        <v>0.35022605404268742</v>
      </c>
      <c r="E68" s="48">
        <f t="shared" si="172"/>
        <v>0.27621871336964765</v>
      </c>
      <c r="F68" s="48">
        <f t="shared" si="172"/>
        <v>0.28168838456262857</v>
      </c>
      <c r="G68" s="48">
        <f t="shared" si="172"/>
        <v>0.33405372028403829</v>
      </c>
      <c r="H68" s="48">
        <f t="shared" si="172"/>
        <v>0.33248133112815115</v>
      </c>
      <c r="I68" s="48">
        <f t="shared" si="172"/>
        <v>0.31860238616995373</v>
      </c>
      <c r="J68" s="48">
        <f t="shared" si="172"/>
        <v>0.33822767317325964</v>
      </c>
      <c r="K68" s="48">
        <f t="shared" si="172"/>
        <v>0.33030163481464425</v>
      </c>
      <c r="L68" s="48">
        <f t="shared" si="172"/>
        <v>0.31716542973425904</v>
      </c>
      <c r="M68" s="48">
        <f t="shared" si="172"/>
        <v>0.29344516573792151</v>
      </c>
      <c r="N68" s="48">
        <f t="shared" si="172"/>
        <v>-2.7244033445927237E-2</v>
      </c>
      <c r="O68" s="48">
        <f t="shared" si="172"/>
        <v>0.27898550724637683</v>
      </c>
      <c r="P68" s="48">
        <f t="shared" si="172"/>
        <v>0.29721290082028334</v>
      </c>
      <c r="Q68" s="48">
        <f t="shared" si="172"/>
        <v>0.29552442774171506</v>
      </c>
      <c r="R68" s="48">
        <f t="shared" si="172"/>
        <v>0.24954764776839566</v>
      </c>
      <c r="S68" s="48">
        <f t="shared" si="172"/>
        <v>0.28301581304981382</v>
      </c>
      <c r="T68" s="48">
        <f t="shared" si="172"/>
        <v>0.26746604673926344</v>
      </c>
      <c r="U68" s="48">
        <f t="shared" si="172"/>
        <v>0.2774101847767485</v>
      </c>
      <c r="V68" s="48">
        <f t="shared" si="172"/>
        <v>0.2026772731160722</v>
      </c>
      <c r="W68" s="48">
        <f t="shared" si="172"/>
        <v>0.19568122063704152</v>
      </c>
      <c r="X68" s="48">
        <f t="shared" si="172"/>
        <v>0.22149603324518322</v>
      </c>
      <c r="Y68" s="48">
        <f t="shared" si="172"/>
        <v>0.22941690827925815</v>
      </c>
      <c r="Z68" s="48">
        <f t="shared" si="172"/>
        <v>-0.14404869251577998</v>
      </c>
      <c r="AA68" s="48">
        <f t="shared" si="172"/>
        <v>0.24054173413808333</v>
      </c>
      <c r="AB68" s="48">
        <f t="shared" si="172"/>
        <v>0.21087577744158681</v>
      </c>
      <c r="AC68" s="48">
        <f t="shared" si="172"/>
        <v>0.18294286688422387</v>
      </c>
      <c r="AD68" s="48">
        <f t="shared" si="172"/>
        <v>0.25949032062915911</v>
      </c>
      <c r="AE68" s="48">
        <f t="shared" si="172"/>
        <v>0.25843670193360085</v>
      </c>
      <c r="AF68" s="48">
        <f t="shared" si="172"/>
        <v>0.2426624332068458</v>
      </c>
      <c r="AG68" s="48">
        <f t="shared" si="172"/>
        <v>0.23634327072204031</v>
      </c>
      <c r="AH68" s="48">
        <f t="shared" si="172"/>
        <v>0.31513376293692641</v>
      </c>
      <c r="AI68" s="48">
        <f t="shared" si="172"/>
        <v>0.26799250142635911</v>
      </c>
      <c r="AJ68" s="48">
        <f t="shared" si="172"/>
        <v>4.1496645687806903E-4</v>
      </c>
      <c r="AK68" s="48">
        <f>AK57/AK46</f>
        <v>0.27681867332861032</v>
      </c>
      <c r="AL68" s="48">
        <f ca="1">AL57/AL46</f>
        <v>0.29493102875186972</v>
      </c>
      <c r="AM68" s="48">
        <f t="shared" si="172"/>
        <v>0.30339705680099022</v>
      </c>
      <c r="AN68" s="48">
        <f t="shared" si="172"/>
        <v>0.2593083058729328</v>
      </c>
      <c r="AO68" s="48">
        <f t="shared" si="172"/>
        <v>0.2881488992836348</v>
      </c>
      <c r="AP68" s="48">
        <f t="shared" si="172"/>
        <v>0.39110834297238783</v>
      </c>
      <c r="AQ68" s="48">
        <f t="shared" si="172"/>
        <v>0.32303736197247013</v>
      </c>
      <c r="AR68" s="48">
        <f t="shared" si="172"/>
        <v>0.31563973337668672</v>
      </c>
      <c r="AS68" s="48">
        <f t="shared" si="172"/>
        <v>0.30701579052568456</v>
      </c>
      <c r="AT68" s="48">
        <f t="shared" si="172"/>
        <v>0.29453369442326399</v>
      </c>
      <c r="AU68" s="48">
        <f t="shared" si="172"/>
        <v>0.37393012865371156</v>
      </c>
      <c r="AV68" s="48">
        <f t="shared" si="172"/>
        <v>0.3589701922184047</v>
      </c>
      <c r="AW68" s="48">
        <f t="shared" si="172"/>
        <v>0.3706181364791637</v>
      </c>
      <c r="AX68" s="48">
        <f t="shared" si="172"/>
        <v>0.35660426417056684</v>
      </c>
      <c r="AY68" s="48">
        <f t="shared" si="172"/>
        <v>0.45247920206545006</v>
      </c>
      <c r="AZ68" s="48">
        <f t="shared" si="172"/>
        <v>0.36256959480358802</v>
      </c>
      <c r="BA68" s="48">
        <f t="shared" si="172"/>
        <v>0.33889789303079415</v>
      </c>
      <c r="BB68" s="48">
        <f t="shared" si="172"/>
        <v>0.32295382242359971</v>
      </c>
      <c r="BC68" s="48">
        <f t="shared" si="172"/>
        <v>0.3502653525398029</v>
      </c>
      <c r="BD68" s="48">
        <f t="shared" si="172"/>
        <v>0.31139211708722769</v>
      </c>
      <c r="BE68" s="48">
        <f t="shared" si="172"/>
        <v>0.34619823296819718</v>
      </c>
      <c r="BF68" s="48">
        <f t="shared" si="172"/>
        <v>0.35738311769207498</v>
      </c>
      <c r="BG68" s="48">
        <f t="shared" si="172"/>
        <v>0.39441230072367606</v>
      </c>
      <c r="BH68" s="48">
        <f t="shared" si="172"/>
        <v>0.35262818445662691</v>
      </c>
      <c r="BI68" s="48">
        <f t="shared" si="172"/>
        <v>0.35466714087102719</v>
      </c>
      <c r="BJ68" s="48">
        <f t="shared" si="172"/>
        <v>0.34044525468506187</v>
      </c>
      <c r="BK68" s="48">
        <f t="shared" si="172"/>
        <v>0.37610734161774795</v>
      </c>
      <c r="BL68" s="48">
        <f t="shared" si="172"/>
        <v>0.34622012867647056</v>
      </c>
      <c r="BM68" s="48">
        <f>BM57/BM46</f>
        <v>0.36856677989324349</v>
      </c>
      <c r="BN68" s="48">
        <f t="shared" ref="BN68" si="173">BN57/BN46</f>
        <v>0.35626169202391389</v>
      </c>
      <c r="BO68" s="48">
        <f>BO57/BO46</f>
        <v>0.35722838051832684</v>
      </c>
      <c r="BZ68" s="48">
        <f t="shared" ref="BZ68:CM68" si="174">BZ57/BZ46</f>
        <v>0.30023686063632288</v>
      </c>
      <c r="CA68" s="48">
        <f t="shared" si="174"/>
        <v>0.33101239580801511</v>
      </c>
      <c r="CB68" s="48">
        <f t="shared" si="174"/>
        <v>0.23029448069123612</v>
      </c>
      <c r="CC68" s="48">
        <f t="shared" si="174"/>
        <v>0.28083854641678119</v>
      </c>
      <c r="CD68" s="48">
        <f t="shared" si="174"/>
        <v>0.2556746858913086</v>
      </c>
      <c r="CE68" s="48">
        <f t="shared" si="174"/>
        <v>0.13029493481513144</v>
      </c>
      <c r="CF68" s="48">
        <f t="shared" si="174"/>
        <v>0.22532198257893235</v>
      </c>
      <c r="CG68" s="48">
        <f t="shared" si="174"/>
        <v>0.26394052044609667</v>
      </c>
      <c r="CH68" s="48">
        <f t="shared" ca="1" si="174"/>
        <v>0.2073667995650598</v>
      </c>
      <c r="CI68" s="48">
        <f t="shared" si="174"/>
        <v>0.31181710544090652</v>
      </c>
      <c r="CJ68" s="48">
        <f t="shared" si="174"/>
        <v>0.30962486452470023</v>
      </c>
      <c r="CK68" s="48">
        <f t="shared" si="174"/>
        <v>0.36451739564989766</v>
      </c>
      <c r="CL68" s="48">
        <f t="shared" si="174"/>
        <v>0.36686336813436221</v>
      </c>
      <c r="CM68" s="48">
        <f t="shared" si="174"/>
        <v>0.34146237878394642</v>
      </c>
      <c r="CN68" s="48">
        <f>CN57/CN46</f>
        <v>0.35955972944084985</v>
      </c>
      <c r="CO68" s="48">
        <f>CO57/CO46</f>
        <v>0.36146015248967073</v>
      </c>
      <c r="CP68" s="71">
        <f>CP57/CP46</f>
        <v>0.39175641888398932</v>
      </c>
      <c r="CQ68" s="71">
        <f t="shared" ref="CQ68:CY68" si="175">CQ57/CQ46</f>
        <v>0.41840139624432721</v>
      </c>
      <c r="CR68" s="71">
        <f t="shared" si="175"/>
        <v>0.47390175402196033</v>
      </c>
      <c r="CS68" s="71">
        <f t="shared" si="175"/>
        <v>0.54763905446888506</v>
      </c>
      <c r="CT68" s="71">
        <f t="shared" si="175"/>
        <v>0.62095922934944359</v>
      </c>
      <c r="CU68" s="71">
        <f t="shared" si="175"/>
        <v>0.70886327813909733</v>
      </c>
      <c r="CV68" s="71">
        <f t="shared" si="175"/>
        <v>0.81092276586276502</v>
      </c>
      <c r="CW68" s="71">
        <f t="shared" si="175"/>
        <v>0.92878078263445396</v>
      </c>
      <c r="CX68" s="71">
        <f t="shared" si="175"/>
        <v>1.0691303108431183</v>
      </c>
      <c r="CY68" s="71">
        <f t="shared" si="175"/>
        <v>1.2308954218100912</v>
      </c>
    </row>
    <row r="69" spans="2:106">
      <c r="BO69" s="37"/>
    </row>
    <row r="70" spans="2:106" ht="15" customHeight="1">
      <c r="B70" s="1" t="s">
        <v>124</v>
      </c>
      <c r="AP70" s="1">
        <v>11356</v>
      </c>
      <c r="AQ70" s="1">
        <v>13117</v>
      </c>
      <c r="AR70" s="1">
        <v>8864</v>
      </c>
      <c r="AS70" s="1">
        <v>11710</v>
      </c>
      <c r="AT70" s="1">
        <v>13576</v>
      </c>
      <c r="AU70" s="1">
        <v>17205</v>
      </c>
      <c r="AV70" s="1">
        <v>14432</v>
      </c>
      <c r="AW70" s="1">
        <v>13702</v>
      </c>
      <c r="AX70" s="1">
        <v>14224</v>
      </c>
      <c r="AY70" s="1">
        <v>19165</v>
      </c>
      <c r="AZ70" s="1">
        <v>20604</v>
      </c>
      <c r="BA70" s="1">
        <v>12498</v>
      </c>
      <c r="BB70" s="1">
        <v>13931</v>
      </c>
      <c r="BC70" s="1">
        <v>22884</v>
      </c>
      <c r="BD70" s="1">
        <v>15646</v>
      </c>
      <c r="BE70" s="1">
        <v>26562</v>
      </c>
      <c r="BF70" s="1">
        <v>34704</v>
      </c>
      <c r="BG70" s="1">
        <v>80452</v>
      </c>
      <c r="BH70" s="1">
        <v>17305</v>
      </c>
      <c r="BI70" s="1">
        <v>19634</v>
      </c>
      <c r="BJ70" s="1">
        <v>18315</v>
      </c>
      <c r="BK70" s="1">
        <v>20840</v>
      </c>
      <c r="BL70" s="37">
        <v>17482</v>
      </c>
      <c r="BM70" s="37">
        <v>28828</v>
      </c>
      <c r="BN70" s="1">
        <v>30242</v>
      </c>
      <c r="BO70" s="37">
        <v>28849</v>
      </c>
      <c r="CI70" s="1">
        <f t="shared" ref="CI70:CI81" si="176">AP70</f>
        <v>11356</v>
      </c>
      <c r="CJ70" s="1">
        <f t="shared" ref="CJ70:CJ81" si="177">AT70</f>
        <v>13576</v>
      </c>
      <c r="CK70" s="1">
        <f t="shared" ref="CK70:CK81" si="178">AX70</f>
        <v>14224</v>
      </c>
      <c r="CL70" s="1">
        <f t="shared" ref="CL70:CL81" si="179">BB70</f>
        <v>13931</v>
      </c>
      <c r="CM70" s="1">
        <f t="shared" ref="CM70:CM81" si="180">BF70</f>
        <v>34704</v>
      </c>
      <c r="CN70" s="1">
        <f t="shared" ref="CN70:CN81" si="181">BJ70</f>
        <v>18315</v>
      </c>
      <c r="CO70" s="1">
        <v>30242</v>
      </c>
      <c r="CP70" s="72">
        <f t="shared" ref="CP70:CY70" si="182">CO70+CP57</f>
        <v>159799.51358562498</v>
      </c>
      <c r="CQ70" s="72">
        <f t="shared" si="182"/>
        <v>319495.43912184366</v>
      </c>
      <c r="CR70" s="72">
        <f t="shared" si="182"/>
        <v>526286.59619025746</v>
      </c>
      <c r="CS70" s="72">
        <f t="shared" si="182"/>
        <v>796581.20936409093</v>
      </c>
      <c r="CT70" s="72">
        <f t="shared" si="182"/>
        <v>1139738.7690449904</v>
      </c>
      <c r="CU70" s="72">
        <f t="shared" si="182"/>
        <v>1571552.6104431376</v>
      </c>
      <c r="CV70" s="72">
        <f t="shared" si="182"/>
        <v>2107153.892519563</v>
      </c>
      <c r="CW70" s="72">
        <f t="shared" si="182"/>
        <v>2760791.0881191068</v>
      </c>
      <c r="CX70" s="72">
        <f t="shared" si="182"/>
        <v>3551919.7913210243</v>
      </c>
      <c r="CY70" s="72">
        <f t="shared" si="182"/>
        <v>4501427.9959004289</v>
      </c>
    </row>
    <row r="71" spans="2:106" ht="15" customHeight="1">
      <c r="B71" s="1" t="s">
        <v>125</v>
      </c>
      <c r="AP71" s="1">
        <v>122463</v>
      </c>
      <c r="AQ71" s="1">
        <v>123519</v>
      </c>
      <c r="AR71" s="1">
        <v>125389</v>
      </c>
      <c r="AS71" s="1">
        <v>125916</v>
      </c>
      <c r="AT71" s="1">
        <v>122951</v>
      </c>
      <c r="AU71" s="1">
        <v>120772</v>
      </c>
      <c r="AV71" s="1">
        <v>117536</v>
      </c>
      <c r="AW71" s="1">
        <v>111705</v>
      </c>
      <c r="AX71" s="1">
        <v>116110</v>
      </c>
      <c r="AY71" s="1">
        <v>111450</v>
      </c>
      <c r="AZ71" s="1">
        <v>104765</v>
      </c>
      <c r="BA71" s="1">
        <v>92195</v>
      </c>
      <c r="BB71" s="1">
        <v>90826</v>
      </c>
      <c r="BC71" s="1">
        <v>84378</v>
      </c>
      <c r="BD71" s="1">
        <v>83862</v>
      </c>
      <c r="BE71" s="1">
        <v>77865</v>
      </c>
      <c r="BF71" s="1">
        <v>76558</v>
      </c>
      <c r="BG71" s="1">
        <v>63499</v>
      </c>
      <c r="BH71" s="1">
        <v>63712</v>
      </c>
      <c r="BI71" s="1">
        <v>60387</v>
      </c>
      <c r="BJ71" s="1">
        <v>57228</v>
      </c>
      <c r="BK71" s="1">
        <v>57588</v>
      </c>
      <c r="BL71" s="37">
        <v>54073</v>
      </c>
      <c r="BM71" s="37">
        <v>50790</v>
      </c>
      <c r="BN71" s="1">
        <v>64323</v>
      </c>
      <c r="BO71" s="37">
        <v>73163</v>
      </c>
      <c r="CI71" s="1">
        <f t="shared" si="176"/>
        <v>122463</v>
      </c>
      <c r="CJ71" s="1">
        <f t="shared" si="177"/>
        <v>122951</v>
      </c>
      <c r="CK71" s="1">
        <f t="shared" si="178"/>
        <v>116110</v>
      </c>
      <c r="CL71" s="1">
        <f t="shared" si="179"/>
        <v>90826</v>
      </c>
      <c r="CM71" s="1">
        <f t="shared" si="180"/>
        <v>76558</v>
      </c>
      <c r="CN71" s="1">
        <f t="shared" si="181"/>
        <v>57228</v>
      </c>
      <c r="CO71" s="1">
        <v>64323</v>
      </c>
    </row>
    <row r="72" spans="2:106" ht="15" customHeight="1">
      <c r="B72" s="1" t="s">
        <v>244</v>
      </c>
      <c r="AP72" s="1">
        <v>29524</v>
      </c>
      <c r="AQ72" s="1">
        <v>19087</v>
      </c>
      <c r="AR72" s="1">
        <v>23525</v>
      </c>
      <c r="AS72" s="1">
        <v>22699</v>
      </c>
      <c r="AT72" s="1">
        <v>32011</v>
      </c>
      <c r="AU72" s="1">
        <v>22851</v>
      </c>
      <c r="AV72" s="1">
        <v>27312</v>
      </c>
      <c r="AW72" s="1">
        <v>26322</v>
      </c>
      <c r="AX72" s="1">
        <v>38043</v>
      </c>
      <c r="AY72" s="1">
        <v>27349</v>
      </c>
      <c r="AZ72" s="1">
        <v>33520</v>
      </c>
      <c r="BA72" s="1">
        <v>32613</v>
      </c>
      <c r="BB72" s="1">
        <v>44261</v>
      </c>
      <c r="BC72" s="1">
        <v>31279</v>
      </c>
      <c r="BD72" s="1">
        <v>35833</v>
      </c>
      <c r="BE72" s="1">
        <v>37420</v>
      </c>
      <c r="BF72" s="1">
        <v>48688</v>
      </c>
      <c r="BG72" s="1">
        <v>36953</v>
      </c>
      <c r="BH72" s="1">
        <v>42831</v>
      </c>
      <c r="BI72" s="1">
        <v>44029</v>
      </c>
      <c r="BJ72" s="1">
        <v>56924</v>
      </c>
      <c r="BK72" s="1">
        <v>44148</v>
      </c>
      <c r="BL72" s="37">
        <v>48188</v>
      </c>
      <c r="BM72" s="37">
        <v>51700</v>
      </c>
      <c r="BN72" s="1">
        <v>69905</v>
      </c>
      <c r="BO72" s="37">
        <v>52894</v>
      </c>
      <c r="CI72" s="1">
        <f t="shared" si="176"/>
        <v>29524</v>
      </c>
      <c r="CJ72" s="1">
        <f t="shared" si="177"/>
        <v>32011</v>
      </c>
      <c r="CK72" s="1">
        <f t="shared" si="178"/>
        <v>38043</v>
      </c>
      <c r="CL72" s="1">
        <f t="shared" si="179"/>
        <v>44261</v>
      </c>
      <c r="CM72" s="1">
        <f t="shared" si="180"/>
        <v>48688</v>
      </c>
      <c r="CN72" s="1">
        <f t="shared" si="181"/>
        <v>56924</v>
      </c>
      <c r="CO72" s="1">
        <v>69905</v>
      </c>
      <c r="CQ72" s="73" t="s">
        <v>4068</v>
      </c>
      <c r="CT72" s="73" t="s">
        <v>4069</v>
      </c>
      <c r="CV72" s="74" t="s">
        <v>4070</v>
      </c>
      <c r="CX72" s="75" t="s">
        <v>4071</v>
      </c>
      <c r="CY72" s="76">
        <v>0.24249999999999999</v>
      </c>
      <c r="DB72" s="69" t="s">
        <v>4098</v>
      </c>
    </row>
    <row r="73" spans="2:106" ht="15" customHeight="1">
      <c r="B73" s="1" t="s">
        <v>245</v>
      </c>
      <c r="AP73" s="1">
        <v>2063</v>
      </c>
      <c r="AQ73" s="1">
        <v>2622</v>
      </c>
      <c r="AR73" s="1">
        <v>1823</v>
      </c>
      <c r="AS73" s="1">
        <v>1644</v>
      </c>
      <c r="AT73" s="1">
        <v>1895</v>
      </c>
      <c r="AU73" s="1">
        <v>2705</v>
      </c>
      <c r="AV73" s="1">
        <v>1924</v>
      </c>
      <c r="AW73" s="1">
        <v>2245</v>
      </c>
      <c r="AX73" s="1">
        <v>2636</v>
      </c>
      <c r="AY73" s="1">
        <v>3411</v>
      </c>
      <c r="AZ73" s="1">
        <v>3019</v>
      </c>
      <c r="BA73" s="1">
        <v>3296</v>
      </c>
      <c r="BB73" s="1">
        <v>3742</v>
      </c>
      <c r="BC73" s="1">
        <v>4268</v>
      </c>
      <c r="BD73" s="1">
        <v>2980</v>
      </c>
      <c r="BE73" s="1">
        <v>2877</v>
      </c>
      <c r="BF73" s="1">
        <v>2500</v>
      </c>
      <c r="BG73" s="1">
        <v>3000</v>
      </c>
      <c r="BH73" s="1">
        <v>1615</v>
      </c>
      <c r="BI73" s="1">
        <v>1304</v>
      </c>
      <c r="BJ73" s="1">
        <v>1246</v>
      </c>
      <c r="BK73" s="1">
        <v>1626</v>
      </c>
      <c r="BL73" s="37">
        <v>909</v>
      </c>
      <c r="BM73" s="37">
        <v>848</v>
      </c>
      <c r="BN73" s="1">
        <v>938</v>
      </c>
      <c r="BO73" s="37">
        <v>1130</v>
      </c>
      <c r="CI73" s="1">
        <f t="shared" si="176"/>
        <v>2063</v>
      </c>
      <c r="CJ73" s="1">
        <f t="shared" si="177"/>
        <v>1895</v>
      </c>
      <c r="CK73" s="1">
        <f t="shared" si="178"/>
        <v>2636</v>
      </c>
      <c r="CL73" s="1">
        <f t="shared" si="179"/>
        <v>3742</v>
      </c>
      <c r="CM73" s="1">
        <f t="shared" si="180"/>
        <v>2500</v>
      </c>
      <c r="CN73" s="1">
        <f t="shared" si="181"/>
        <v>1246</v>
      </c>
      <c r="CO73" s="1">
        <v>938</v>
      </c>
      <c r="CQ73" s="69">
        <v>2024</v>
      </c>
      <c r="CS73" s="69">
        <v>2023</v>
      </c>
      <c r="CT73" s="69">
        <v>2024</v>
      </c>
      <c r="CV73" s="74" t="s">
        <v>4072</v>
      </c>
      <c r="CX73" s="75" t="s">
        <v>4073</v>
      </c>
      <c r="CY73" s="77">
        <v>1.7500000000000002E-2</v>
      </c>
    </row>
    <row r="74" spans="2:106" ht="15" customHeight="1">
      <c r="B74" s="1" t="s">
        <v>246</v>
      </c>
      <c r="AP74" s="1">
        <v>10146</v>
      </c>
      <c r="AQ74" s="1">
        <v>7551</v>
      </c>
      <c r="AR74" s="1">
        <v>7473</v>
      </c>
      <c r="AS74" s="1">
        <v>8536</v>
      </c>
      <c r="AT74" s="1">
        <v>11482</v>
      </c>
      <c r="AU74" s="1">
        <v>13544</v>
      </c>
      <c r="AV74" s="1">
        <v>12769</v>
      </c>
      <c r="AW74" s="1">
        <v>11640</v>
      </c>
      <c r="AX74" s="1">
        <v>13393</v>
      </c>
      <c r="AY74" s="1">
        <v>12951</v>
      </c>
      <c r="AZ74" s="1">
        <v>12280</v>
      </c>
      <c r="BA74" s="1">
        <v>13320</v>
      </c>
      <c r="BB74" s="1">
        <v>16924</v>
      </c>
      <c r="BC74" s="1">
        <v>18003</v>
      </c>
      <c r="BD74" s="1">
        <v>19502</v>
      </c>
      <c r="BE74" s="1">
        <v>19165</v>
      </c>
      <c r="BF74" s="1">
        <v>21807</v>
      </c>
      <c r="BG74" s="1">
        <v>23682</v>
      </c>
      <c r="BH74" s="1">
        <v>21930</v>
      </c>
      <c r="BI74" s="1">
        <v>21826</v>
      </c>
      <c r="BJ74" s="1">
        <v>26021</v>
      </c>
      <c r="BK74" s="1">
        <v>25724</v>
      </c>
      <c r="BL74" s="37">
        <v>26428</v>
      </c>
      <c r="BM74" s="37">
        <v>24478</v>
      </c>
      <c r="BN74" s="1">
        <v>25723</v>
      </c>
      <c r="BO74" s="37">
        <v>33030</v>
      </c>
      <c r="CI74" s="1">
        <f t="shared" si="176"/>
        <v>10146</v>
      </c>
      <c r="CJ74" s="1">
        <f t="shared" si="177"/>
        <v>11482</v>
      </c>
      <c r="CK74" s="1">
        <f t="shared" si="178"/>
        <v>13393</v>
      </c>
      <c r="CL74" s="1">
        <f t="shared" si="179"/>
        <v>16924</v>
      </c>
      <c r="CM74" s="1">
        <f t="shared" si="180"/>
        <v>21807</v>
      </c>
      <c r="CN74" s="1">
        <f t="shared" si="181"/>
        <v>26021</v>
      </c>
      <c r="CO74" s="1">
        <v>25723</v>
      </c>
      <c r="CQ74" s="72">
        <f>CP53*(1-CP67)</f>
        <v>112358.50421062499</v>
      </c>
      <c r="CS74" s="69">
        <f>SUM(CN70:CN73)-SUM(CN83:CN85)+CN75+CN79+CN78</f>
        <v>385183</v>
      </c>
      <c r="CT74" s="69">
        <f>SUM(CO70:CO73)-SUM(CO83:CO85)+CO75+CO79+CO78</f>
        <v>481764</v>
      </c>
      <c r="CV74" s="69">
        <f>AVERAGE(CS74:CT74)</f>
        <v>433473.5</v>
      </c>
      <c r="CX74" s="75" t="s">
        <v>4074</v>
      </c>
      <c r="CY74" s="77">
        <v>4.1599999999999998E-2</v>
      </c>
    </row>
    <row r="75" spans="2:106" ht="15" customHeight="1">
      <c r="B75" s="1" t="s">
        <v>247</v>
      </c>
      <c r="AP75" s="1">
        <v>36477</v>
      </c>
      <c r="AQ75" s="1">
        <v>38409</v>
      </c>
      <c r="AR75" s="1">
        <v>40522</v>
      </c>
      <c r="AS75" s="1">
        <v>41221</v>
      </c>
      <c r="AT75" s="1">
        <v>44151</v>
      </c>
      <c r="AU75" s="1">
        <v>47927</v>
      </c>
      <c r="AV75" s="1">
        <v>51737</v>
      </c>
      <c r="AW75" s="1">
        <v>54945</v>
      </c>
      <c r="AX75" s="1">
        <v>59715</v>
      </c>
      <c r="AY75" s="1">
        <v>63772</v>
      </c>
      <c r="AZ75" s="1">
        <v>67214</v>
      </c>
      <c r="BA75" s="1">
        <v>70298</v>
      </c>
      <c r="BB75" s="1">
        <v>74398</v>
      </c>
      <c r="BC75" s="1">
        <v>77037</v>
      </c>
      <c r="BD75" s="1">
        <v>82755</v>
      </c>
      <c r="BE75" s="1">
        <v>88132</v>
      </c>
      <c r="BF75" s="1">
        <v>95641</v>
      </c>
      <c r="BG75" s="1">
        <v>102502</v>
      </c>
      <c r="BH75" s="1">
        <v>112308</v>
      </c>
      <c r="BI75" s="1">
        <v>121826</v>
      </c>
      <c r="BJ75" s="1">
        <v>135591</v>
      </c>
      <c r="BK75" s="1">
        <v>152863</v>
      </c>
      <c r="BL75" s="37">
        <v>166902</v>
      </c>
      <c r="BM75" s="37">
        <v>183939</v>
      </c>
      <c r="BN75" s="1">
        <v>204966</v>
      </c>
      <c r="BO75" s="37">
        <v>230861</v>
      </c>
      <c r="CI75" s="1">
        <f t="shared" si="176"/>
        <v>36477</v>
      </c>
      <c r="CJ75" s="1">
        <f t="shared" si="177"/>
        <v>44151</v>
      </c>
      <c r="CK75" s="1">
        <f t="shared" si="178"/>
        <v>59715</v>
      </c>
      <c r="CL75" s="1">
        <f t="shared" si="179"/>
        <v>74398</v>
      </c>
      <c r="CM75" s="1">
        <f t="shared" si="180"/>
        <v>95641</v>
      </c>
      <c r="CN75" s="1">
        <f t="shared" si="181"/>
        <v>135591</v>
      </c>
      <c r="CO75" s="1">
        <v>204966</v>
      </c>
      <c r="CQ75" s="71">
        <f>CQ74/CV74</f>
        <v>0.25920501301838517</v>
      </c>
      <c r="CX75" s="75" t="s">
        <v>4075</v>
      </c>
      <c r="CY75" s="77">
        <f>12%-CY74</f>
        <v>7.8399999999999997E-2</v>
      </c>
    </row>
    <row r="76" spans="2:106" ht="15" customHeight="1">
      <c r="B76" s="1" t="s">
        <v>248</v>
      </c>
      <c r="AP76" s="1">
        <v>7379</v>
      </c>
      <c r="AQ76" s="1">
        <v>7890</v>
      </c>
      <c r="AR76" s="1">
        <v>8439</v>
      </c>
      <c r="AS76" s="1">
        <v>8448</v>
      </c>
      <c r="AT76" s="1">
        <v>8753</v>
      </c>
      <c r="AU76" s="1">
        <v>9047</v>
      </c>
      <c r="AV76" s="1">
        <v>10298</v>
      </c>
      <c r="AW76" s="1">
        <v>10673</v>
      </c>
      <c r="AX76" s="1">
        <v>11088</v>
      </c>
      <c r="AY76" s="1">
        <v>11575</v>
      </c>
      <c r="AZ76" s="1">
        <v>12354</v>
      </c>
      <c r="BA76" s="1">
        <v>12916</v>
      </c>
      <c r="BB76" s="1">
        <v>13148</v>
      </c>
      <c r="BC76" s="1">
        <v>13347</v>
      </c>
      <c r="BD76" s="1">
        <v>13624</v>
      </c>
      <c r="BE76" s="1">
        <v>13879</v>
      </c>
      <c r="BF76" s="1">
        <v>14346</v>
      </c>
      <c r="BG76" s="1">
        <v>15435</v>
      </c>
      <c r="BH76" s="1">
        <v>16398</v>
      </c>
      <c r="BI76" s="1">
        <v>17371</v>
      </c>
      <c r="BJ76" s="1">
        <v>18961</v>
      </c>
      <c r="BK76" s="1">
        <v>20528</v>
      </c>
      <c r="BL76" s="37">
        <v>22816</v>
      </c>
      <c r="BM76" s="37">
        <v>24475</v>
      </c>
      <c r="BN76" s="1">
        <v>24823</v>
      </c>
      <c r="BO76" s="37">
        <v>24791</v>
      </c>
      <c r="CI76" s="1">
        <f t="shared" si="176"/>
        <v>7379</v>
      </c>
      <c r="CJ76" s="1">
        <f t="shared" si="177"/>
        <v>8753</v>
      </c>
      <c r="CK76" s="1">
        <f t="shared" si="178"/>
        <v>11088</v>
      </c>
      <c r="CL76" s="1">
        <f t="shared" si="179"/>
        <v>13148</v>
      </c>
      <c r="CM76" s="1">
        <f t="shared" si="180"/>
        <v>14346</v>
      </c>
      <c r="CN76" s="1">
        <f t="shared" si="181"/>
        <v>18961</v>
      </c>
      <c r="CO76" s="1">
        <v>24823</v>
      </c>
      <c r="CX76" s="75" t="s">
        <v>4076</v>
      </c>
      <c r="CY76" s="69">
        <f>'Notes | Quant Analysis'!K240</f>
        <v>1.05</v>
      </c>
    </row>
    <row r="77" spans="2:106" ht="15" customHeight="1">
      <c r="B77" s="1" t="s">
        <v>249</v>
      </c>
      <c r="AP77" s="1">
        <v>2649</v>
      </c>
      <c r="AQ77" s="1">
        <v>2684</v>
      </c>
      <c r="AR77" s="1">
        <v>2755</v>
      </c>
      <c r="AS77" s="1">
        <v>2660</v>
      </c>
      <c r="AT77" s="1">
        <v>2965</v>
      </c>
      <c r="AU77" s="1">
        <v>3103</v>
      </c>
      <c r="AV77" s="1">
        <v>3794</v>
      </c>
      <c r="AW77" s="1">
        <v>5395</v>
      </c>
      <c r="AX77" s="1">
        <v>5984</v>
      </c>
      <c r="AY77" s="1">
        <v>6393</v>
      </c>
      <c r="AZ77" s="1">
        <v>6994</v>
      </c>
      <c r="BA77" s="1">
        <v>6907</v>
      </c>
      <c r="BB77" s="1">
        <v>6891</v>
      </c>
      <c r="BC77" s="1">
        <v>6839</v>
      </c>
      <c r="BD77" s="1">
        <v>7097</v>
      </c>
      <c r="BE77" s="1">
        <v>9415</v>
      </c>
      <c r="BF77" s="1">
        <v>9879</v>
      </c>
      <c r="BG77" s="1">
        <v>11423</v>
      </c>
      <c r="BH77" s="1">
        <v>13367</v>
      </c>
      <c r="BI77" s="1">
        <v>14807</v>
      </c>
      <c r="BJ77" s="1">
        <v>14600</v>
      </c>
      <c r="BK77" s="1">
        <v>15778</v>
      </c>
      <c r="BL77" s="37">
        <v>15581</v>
      </c>
      <c r="BM77" s="37">
        <v>16035</v>
      </c>
      <c r="BN77" s="1">
        <v>15405</v>
      </c>
      <c r="BO77" s="37">
        <v>11465</v>
      </c>
      <c r="CI77" s="1">
        <f t="shared" si="176"/>
        <v>2649</v>
      </c>
      <c r="CJ77" s="1">
        <f t="shared" si="177"/>
        <v>2965</v>
      </c>
      <c r="CK77" s="1">
        <f t="shared" si="178"/>
        <v>5984</v>
      </c>
      <c r="CL77" s="1">
        <f t="shared" si="179"/>
        <v>6891</v>
      </c>
      <c r="CM77" s="1">
        <f t="shared" si="180"/>
        <v>9879</v>
      </c>
      <c r="CN77" s="1">
        <f t="shared" si="181"/>
        <v>14600</v>
      </c>
      <c r="CO77" s="1">
        <v>15405</v>
      </c>
      <c r="CX77" s="75" t="s">
        <v>4077</v>
      </c>
      <c r="CY77" s="77">
        <f>+CY74+(CY75*CY76)</f>
        <v>0.12392</v>
      </c>
    </row>
    <row r="78" spans="2:106" ht="15" customHeight="1">
      <c r="B78" s="1" t="s">
        <v>250</v>
      </c>
      <c r="AP78" s="1">
        <v>42026</v>
      </c>
      <c r="AQ78" s="1">
        <v>42113</v>
      </c>
      <c r="AR78" s="1">
        <v>42248</v>
      </c>
      <c r="AS78" s="1">
        <v>42064</v>
      </c>
      <c r="AT78" s="1">
        <v>43351</v>
      </c>
      <c r="AU78" s="1">
        <v>43890</v>
      </c>
      <c r="AV78" s="1">
        <v>44219</v>
      </c>
      <c r="AW78" s="1">
        <v>49698</v>
      </c>
      <c r="AX78" s="1">
        <v>49711</v>
      </c>
      <c r="AY78" s="1">
        <v>50455</v>
      </c>
      <c r="AZ78" s="1">
        <v>50921</v>
      </c>
      <c r="BA78" s="1">
        <v>67371</v>
      </c>
      <c r="BB78" s="1">
        <v>67524</v>
      </c>
      <c r="BC78" s="1">
        <v>67459</v>
      </c>
      <c r="BD78" s="1">
        <v>67905</v>
      </c>
      <c r="BE78" s="1">
        <v>67940</v>
      </c>
      <c r="BF78" s="1">
        <v>67886</v>
      </c>
      <c r="BG78" s="1">
        <v>67790</v>
      </c>
      <c r="BH78" s="1">
        <v>118931</v>
      </c>
      <c r="BI78" s="1">
        <v>119163</v>
      </c>
      <c r="BJ78" s="1">
        <v>119220</v>
      </c>
      <c r="BK78" s="1">
        <v>119374</v>
      </c>
      <c r="BL78" s="37">
        <v>119191</v>
      </c>
      <c r="BM78" s="37">
        <v>119329</v>
      </c>
      <c r="BN78" s="1">
        <v>119509</v>
      </c>
      <c r="BO78" s="37">
        <v>119497</v>
      </c>
      <c r="CI78" s="1">
        <f t="shared" si="176"/>
        <v>42026</v>
      </c>
      <c r="CJ78" s="1">
        <f t="shared" si="177"/>
        <v>43351</v>
      </c>
      <c r="CK78" s="1">
        <f t="shared" si="178"/>
        <v>49711</v>
      </c>
      <c r="CL78" s="1">
        <f t="shared" si="179"/>
        <v>67524</v>
      </c>
      <c r="CM78" s="1">
        <f t="shared" si="180"/>
        <v>67886</v>
      </c>
      <c r="CN78" s="1">
        <f t="shared" si="181"/>
        <v>119220</v>
      </c>
      <c r="CO78" s="1">
        <v>119509</v>
      </c>
      <c r="CX78" s="75"/>
    </row>
    <row r="79" spans="2:106" ht="15" customHeight="1">
      <c r="B79" s="1" t="s">
        <v>251</v>
      </c>
      <c r="AP79" s="1">
        <v>7750</v>
      </c>
      <c r="AQ79" s="1">
        <v>7508</v>
      </c>
      <c r="AR79" s="1">
        <v>7126</v>
      </c>
      <c r="AS79" s="1">
        <v>6855</v>
      </c>
      <c r="AT79" s="1">
        <v>7038</v>
      </c>
      <c r="AU79" s="1">
        <v>6923</v>
      </c>
      <c r="AV79" s="1">
        <v>6555</v>
      </c>
      <c r="AW79" s="1">
        <v>8127</v>
      </c>
      <c r="AX79" s="1">
        <v>7800</v>
      </c>
      <c r="AY79" s="1">
        <v>7794</v>
      </c>
      <c r="AZ79" s="1">
        <v>7462</v>
      </c>
      <c r="BA79" s="1">
        <v>11348</v>
      </c>
      <c r="BB79" s="1">
        <v>11298</v>
      </c>
      <c r="BC79" s="1">
        <v>10808</v>
      </c>
      <c r="BD79" s="1">
        <v>10354</v>
      </c>
      <c r="BE79" s="1">
        <v>9879</v>
      </c>
      <c r="BF79" s="1">
        <v>9366</v>
      </c>
      <c r="BG79" s="1">
        <v>8895</v>
      </c>
      <c r="BH79" s="1">
        <v>29896</v>
      </c>
      <c r="BI79" s="1">
        <v>28828</v>
      </c>
      <c r="BJ79" s="1">
        <v>27597</v>
      </c>
      <c r="BK79" s="1">
        <v>26751</v>
      </c>
      <c r="BL79" s="37">
        <v>25385</v>
      </c>
      <c r="BM79" s="37">
        <v>23968</v>
      </c>
      <c r="BN79" s="1">
        <v>22604</v>
      </c>
      <c r="BO79" s="37">
        <v>21236</v>
      </c>
      <c r="CI79" s="1">
        <f t="shared" si="176"/>
        <v>7750</v>
      </c>
      <c r="CJ79" s="1">
        <f t="shared" si="177"/>
        <v>7038</v>
      </c>
      <c r="CK79" s="1">
        <f t="shared" si="178"/>
        <v>7800</v>
      </c>
      <c r="CL79" s="1">
        <f t="shared" si="179"/>
        <v>11298</v>
      </c>
      <c r="CM79" s="1">
        <f t="shared" si="180"/>
        <v>9366</v>
      </c>
      <c r="CN79" s="1">
        <f t="shared" si="181"/>
        <v>27597</v>
      </c>
      <c r="CO79" s="1">
        <v>22604</v>
      </c>
      <c r="CX79" s="75" t="s">
        <v>4078</v>
      </c>
      <c r="CY79" s="72">
        <f>NPV(CY77,CP57:EX57)</f>
        <v>4828213.1137534538</v>
      </c>
    </row>
    <row r="80" spans="2:106" ht="15" customHeight="1">
      <c r="B80" s="1" t="s">
        <v>252</v>
      </c>
      <c r="AP80" s="1">
        <v>14723</v>
      </c>
      <c r="AQ80" s="1">
        <v>14455</v>
      </c>
      <c r="AR80" s="1">
        <v>14630</v>
      </c>
      <c r="AS80" s="1">
        <v>13696</v>
      </c>
      <c r="AT80" s="1">
        <v>13138</v>
      </c>
      <c r="AU80" s="1">
        <v>13034</v>
      </c>
      <c r="AV80" s="1">
        <v>13561</v>
      </c>
      <c r="AW80" s="1">
        <v>14427</v>
      </c>
      <c r="AX80" s="1">
        <v>15075</v>
      </c>
      <c r="AY80" s="1">
        <v>21103</v>
      </c>
      <c r="AZ80" s="1">
        <v>21256</v>
      </c>
      <c r="BA80" s="1">
        <v>21845</v>
      </c>
      <c r="BB80" s="1">
        <v>21897</v>
      </c>
      <c r="BC80" s="1">
        <v>23482</v>
      </c>
      <c r="BD80" s="1">
        <v>24994</v>
      </c>
      <c r="BE80" s="1">
        <v>26954</v>
      </c>
      <c r="BF80" s="1">
        <v>30601</v>
      </c>
      <c r="BG80" s="1">
        <v>32154</v>
      </c>
      <c r="BH80" s="1">
        <v>32265</v>
      </c>
      <c r="BI80" s="1">
        <v>35550</v>
      </c>
      <c r="BJ80" s="1">
        <v>36460</v>
      </c>
      <c r="BK80" s="1">
        <v>37793</v>
      </c>
      <c r="BL80" s="37">
        <v>36943</v>
      </c>
      <c r="BM80" s="37">
        <v>38234</v>
      </c>
      <c r="BN80" s="1">
        <v>40565</v>
      </c>
      <c r="BO80" s="37">
        <v>39435</v>
      </c>
      <c r="CI80" s="1">
        <f t="shared" si="176"/>
        <v>14723</v>
      </c>
      <c r="CJ80" s="1">
        <f t="shared" si="177"/>
        <v>13138</v>
      </c>
      <c r="CK80" s="1">
        <f t="shared" si="178"/>
        <v>15075</v>
      </c>
      <c r="CL80" s="1">
        <f t="shared" si="179"/>
        <v>21897</v>
      </c>
      <c r="CM80" s="1">
        <f t="shared" si="180"/>
        <v>30601</v>
      </c>
      <c r="CN80" s="1">
        <f t="shared" si="181"/>
        <v>36460</v>
      </c>
      <c r="CO80" s="1">
        <v>40565</v>
      </c>
      <c r="CX80" s="75" t="s">
        <v>136</v>
      </c>
      <c r="CY80" s="72">
        <f>Main!C4</f>
        <v>7433</v>
      </c>
    </row>
    <row r="81" spans="2:154" s="2" customFormat="1" ht="15" customHeight="1">
      <c r="B81" s="2" t="s">
        <v>253</v>
      </c>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f t="shared" ref="AP81:BL81" si="183">SUM(AP70:AP80)</f>
        <v>286556</v>
      </c>
      <c r="AQ81" s="33">
        <f t="shared" si="183"/>
        <v>278955</v>
      </c>
      <c r="AR81" s="33">
        <f t="shared" si="183"/>
        <v>282794</v>
      </c>
      <c r="AS81" s="33">
        <f t="shared" si="183"/>
        <v>285449</v>
      </c>
      <c r="AT81" s="33">
        <f t="shared" si="183"/>
        <v>301311</v>
      </c>
      <c r="AU81" s="33">
        <f t="shared" si="183"/>
        <v>301001</v>
      </c>
      <c r="AV81" s="33">
        <f t="shared" si="183"/>
        <v>304137</v>
      </c>
      <c r="AW81" s="33">
        <f t="shared" si="183"/>
        <v>308879</v>
      </c>
      <c r="AX81" s="33">
        <f t="shared" si="183"/>
        <v>333779</v>
      </c>
      <c r="AY81" s="33">
        <f t="shared" si="183"/>
        <v>335418</v>
      </c>
      <c r="AZ81" s="33">
        <f>SUM(AZ70:AZ80)</f>
        <v>340389</v>
      </c>
      <c r="BA81" s="33">
        <f t="shared" si="183"/>
        <v>344607</v>
      </c>
      <c r="BB81" s="33">
        <f t="shared" si="183"/>
        <v>364840</v>
      </c>
      <c r="BC81" s="33">
        <f t="shared" si="183"/>
        <v>359784</v>
      </c>
      <c r="BD81" s="33">
        <f t="shared" si="183"/>
        <v>364552</v>
      </c>
      <c r="BE81" s="33">
        <f t="shared" si="183"/>
        <v>380088</v>
      </c>
      <c r="BF81" s="33">
        <f t="shared" si="183"/>
        <v>411976</v>
      </c>
      <c r="BG81" s="33">
        <f t="shared" si="183"/>
        <v>445785</v>
      </c>
      <c r="BH81" s="33">
        <f>SUM(BH70:BH80)</f>
        <v>470558</v>
      </c>
      <c r="BI81" s="33">
        <f t="shared" ref="BI81" si="184">SUM(BI70:BI80)</f>
        <v>484725</v>
      </c>
      <c r="BJ81" s="33">
        <f t="shared" ref="BJ81" si="185">SUM(BJ70:BJ80)</f>
        <v>512163</v>
      </c>
      <c r="BK81" s="33">
        <f t="shared" ref="BK81" si="186">SUM(BK70:BK80)</f>
        <v>523013</v>
      </c>
      <c r="BL81" s="33">
        <f t="shared" si="183"/>
        <v>533898</v>
      </c>
      <c r="BM81" s="33">
        <f>SUM(BM70:BM80)</f>
        <v>562624</v>
      </c>
      <c r="BN81" s="33">
        <f t="shared" ref="BN81" si="187">SUM(BN70:BN80)</f>
        <v>619003</v>
      </c>
      <c r="BO81" s="33">
        <f>SUM(BO70:BO80)</f>
        <v>636351</v>
      </c>
      <c r="BP81" s="34"/>
      <c r="BQ81" s="34"/>
      <c r="BR81" s="34"/>
      <c r="CI81" s="2">
        <f t="shared" si="176"/>
        <v>286556</v>
      </c>
      <c r="CJ81" s="2">
        <f t="shared" si="177"/>
        <v>301311</v>
      </c>
      <c r="CK81" s="2">
        <f t="shared" si="178"/>
        <v>333779</v>
      </c>
      <c r="CL81" s="2">
        <f t="shared" si="179"/>
        <v>364840</v>
      </c>
      <c r="CM81" s="2">
        <f t="shared" si="180"/>
        <v>411976</v>
      </c>
      <c r="CN81" s="2">
        <f t="shared" si="181"/>
        <v>512163</v>
      </c>
      <c r="CO81" s="2">
        <f>BK81</f>
        <v>523013</v>
      </c>
      <c r="CP81" s="69"/>
      <c r="CQ81" s="69"/>
      <c r="CR81" s="69"/>
      <c r="CS81" s="69"/>
      <c r="CT81" s="69"/>
      <c r="CU81" s="69"/>
      <c r="CV81" s="69"/>
      <c r="CW81" s="69"/>
      <c r="CX81" s="75" t="s">
        <v>4079</v>
      </c>
      <c r="CY81" s="78">
        <f>CY79/CY80</f>
        <v>649.56452492310689</v>
      </c>
      <c r="CZ81" s="69"/>
      <c r="DA81" s="70"/>
      <c r="DB81" s="70"/>
      <c r="DC81" s="70"/>
      <c r="DD81" s="70"/>
      <c r="DE81" s="70"/>
      <c r="DF81" s="70"/>
      <c r="DG81" s="70"/>
      <c r="DH81" s="70"/>
      <c r="DI81" s="70"/>
      <c r="DJ81" s="70"/>
      <c r="DK81" s="70"/>
      <c r="DL81" s="70"/>
      <c r="DM81" s="70"/>
      <c r="DN81" s="70"/>
      <c r="DO81" s="70"/>
      <c r="DP81" s="70"/>
      <c r="DQ81" s="70"/>
      <c r="DR81" s="70"/>
      <c r="DS81" s="70"/>
      <c r="DT81" s="70"/>
      <c r="DU81" s="70"/>
      <c r="DV81" s="70"/>
      <c r="DW81" s="70"/>
      <c r="DX81" s="70"/>
      <c r="DY81" s="70"/>
      <c r="DZ81" s="70"/>
      <c r="EA81" s="70"/>
      <c r="EB81" s="70"/>
      <c r="EC81" s="70"/>
      <c r="ED81" s="70"/>
      <c r="EE81" s="70"/>
      <c r="EF81" s="70"/>
      <c r="EG81" s="70"/>
      <c r="EH81" s="70"/>
      <c r="EI81" s="70"/>
      <c r="EJ81" s="70"/>
      <c r="EK81" s="70"/>
      <c r="EL81" s="70"/>
      <c r="EM81" s="70"/>
      <c r="EN81" s="70"/>
      <c r="EO81" s="70"/>
      <c r="EP81" s="70"/>
      <c r="EQ81" s="70"/>
      <c r="ER81" s="70"/>
      <c r="ES81" s="70"/>
      <c r="ET81" s="70"/>
      <c r="EU81" s="70"/>
      <c r="EV81" s="70"/>
      <c r="EW81" s="70"/>
      <c r="EX81" s="70"/>
    </row>
    <row r="82" spans="2:154" ht="15" customHeight="1">
      <c r="BO82" s="37"/>
      <c r="CX82" s="75" t="s">
        <v>4080</v>
      </c>
      <c r="CY82" s="78">
        <f>Main!C3</f>
        <v>475.32</v>
      </c>
      <c r="CZ82" s="81" t="s">
        <v>4082</v>
      </c>
    </row>
    <row r="83" spans="2:154" ht="15" customHeight="1">
      <c r="B83" s="1" t="s">
        <v>254</v>
      </c>
      <c r="AP83" s="1">
        <v>9382</v>
      </c>
      <c r="AQ83" s="1">
        <v>8574</v>
      </c>
      <c r="AR83" s="1">
        <v>8811</v>
      </c>
      <c r="AS83" s="1">
        <v>9246</v>
      </c>
      <c r="AT83" s="1">
        <v>12530</v>
      </c>
      <c r="AU83" s="1">
        <v>12509</v>
      </c>
      <c r="AV83" s="1">
        <v>12770</v>
      </c>
      <c r="AW83" s="1">
        <v>13412</v>
      </c>
      <c r="AX83" s="1">
        <v>15163</v>
      </c>
      <c r="AY83" s="1">
        <v>14832</v>
      </c>
      <c r="AZ83" s="1">
        <v>15314</v>
      </c>
      <c r="BA83" s="1">
        <v>16085</v>
      </c>
      <c r="BB83" s="1">
        <v>19000</v>
      </c>
      <c r="BC83" s="1">
        <v>16609</v>
      </c>
      <c r="BD83" s="1">
        <v>15354</v>
      </c>
      <c r="BE83" s="1">
        <v>15305</v>
      </c>
      <c r="BF83" s="1">
        <v>18095</v>
      </c>
      <c r="BG83" s="1">
        <v>19307</v>
      </c>
      <c r="BH83" s="1">
        <v>17695</v>
      </c>
      <c r="BI83" s="1">
        <v>18087</v>
      </c>
      <c r="BJ83" s="1">
        <v>21996</v>
      </c>
      <c r="BK83" s="1">
        <v>22768</v>
      </c>
      <c r="BL83" s="37">
        <v>22608</v>
      </c>
      <c r="BM83" s="37">
        <v>26250</v>
      </c>
      <c r="BN83" s="1">
        <v>27724</v>
      </c>
      <c r="BO83" s="37">
        <v>32580</v>
      </c>
      <c r="CI83" s="1">
        <f t="shared" ref="CI83:CI98" si="188">AP83</f>
        <v>9382</v>
      </c>
      <c r="CJ83" s="1">
        <f t="shared" ref="CJ83:CJ98" si="189">AT83</f>
        <v>12530</v>
      </c>
      <c r="CK83" s="1">
        <f t="shared" ref="CK83:CK98" si="190">AX83</f>
        <v>15163</v>
      </c>
      <c r="CL83" s="1">
        <f t="shared" ref="CL83:CL98" si="191">BB83</f>
        <v>19000</v>
      </c>
      <c r="CM83" s="1">
        <f t="shared" ref="CM83:CM98" si="192">BF83</f>
        <v>18095</v>
      </c>
      <c r="CN83" s="1">
        <f t="shared" ref="CN83:CN98" si="193">BJ83</f>
        <v>21996</v>
      </c>
      <c r="CO83" s="1">
        <v>27724</v>
      </c>
      <c r="CP83" s="70"/>
      <c r="CQ83" s="70"/>
      <c r="CR83" s="70"/>
      <c r="CS83" s="70"/>
      <c r="CT83" s="70"/>
      <c r="CU83" s="70"/>
      <c r="CV83" s="70"/>
      <c r="CW83" s="70"/>
      <c r="CX83" s="75" t="s">
        <v>4081</v>
      </c>
      <c r="CY83" s="77">
        <f>CY81/CY82-1</f>
        <v>0.36658361719074928</v>
      </c>
      <c r="CZ83" s="73" t="str">
        <f>IF(CY83&gt;0,"Upside","Downside")</f>
        <v>Upside</v>
      </c>
    </row>
    <row r="84" spans="2:154" ht="15" customHeight="1">
      <c r="B84" s="1" t="s">
        <v>255</v>
      </c>
      <c r="AP84" s="1">
        <v>0</v>
      </c>
      <c r="AQ84" s="1">
        <v>0</v>
      </c>
      <c r="AR84" s="1">
        <v>0</v>
      </c>
      <c r="AS84" s="1">
        <v>0</v>
      </c>
      <c r="AT84" s="1">
        <v>0</v>
      </c>
      <c r="AU84" s="1">
        <v>0</v>
      </c>
      <c r="AV84" s="1">
        <v>0</v>
      </c>
      <c r="AW84" s="1">
        <v>0</v>
      </c>
      <c r="AX84" s="1">
        <v>0</v>
      </c>
      <c r="AZ84" s="1">
        <v>0</v>
      </c>
      <c r="BA84" s="1">
        <v>0</v>
      </c>
      <c r="BB84" s="1">
        <v>0</v>
      </c>
      <c r="BC84" s="1">
        <v>0</v>
      </c>
      <c r="BD84" s="1">
        <v>0</v>
      </c>
      <c r="BE84" s="1">
        <v>0</v>
      </c>
      <c r="BF84" s="1">
        <v>0</v>
      </c>
      <c r="BG84" s="1">
        <v>25808</v>
      </c>
      <c r="BH84" s="1">
        <v>27041</v>
      </c>
      <c r="BI84" s="1">
        <v>20535</v>
      </c>
      <c r="BJ84" s="1">
        <v>6693</v>
      </c>
      <c r="BK84" s="1">
        <v>0</v>
      </c>
      <c r="BL84" s="37">
        <v>0</v>
      </c>
      <c r="BM84" s="37">
        <v>0</v>
      </c>
      <c r="BN84" s="1">
        <v>0</v>
      </c>
      <c r="BO84" s="1">
        <v>0</v>
      </c>
      <c r="CI84" s="1">
        <f t="shared" si="188"/>
        <v>0</v>
      </c>
      <c r="CJ84" s="1">
        <f t="shared" si="189"/>
        <v>0</v>
      </c>
      <c r="CK84" s="1">
        <f t="shared" si="190"/>
        <v>0</v>
      </c>
      <c r="CL84" s="1">
        <f t="shared" si="191"/>
        <v>0</v>
      </c>
      <c r="CM84" s="1">
        <f t="shared" si="192"/>
        <v>0</v>
      </c>
      <c r="CN84" s="1">
        <f t="shared" si="193"/>
        <v>6693</v>
      </c>
      <c r="CO84" s="1">
        <v>0</v>
      </c>
      <c r="CX84" s="83" t="str" cm="1">
        <f t="array" ref="CX84">_xlfn.IFS(CY83&gt;=25%,"Strong Buy",CY83&gt;=10.00001%,"Buy",AND(CY83&lt;=10%,CY83&gt;=-4.9999%),"Hold",AND(CY83&lt;=-5%,CY83&gt;=-14.999999%),"Sell",CY83&lt;=-15%,"Strong Sell")</f>
        <v>Strong Buy</v>
      </c>
      <c r="CY84" s="83"/>
    </row>
    <row r="85" spans="2:154" ht="15" customHeight="1">
      <c r="B85" s="1" t="s">
        <v>256</v>
      </c>
      <c r="AP85" s="1">
        <v>5516</v>
      </c>
      <c r="AQ85" s="1">
        <v>3017</v>
      </c>
      <c r="AR85" s="1">
        <v>6247</v>
      </c>
      <c r="AS85" s="1">
        <v>3748</v>
      </c>
      <c r="AT85" s="1">
        <v>3749</v>
      </c>
      <c r="AU85" s="1">
        <v>6497</v>
      </c>
      <c r="AV85" s="1">
        <v>5387</v>
      </c>
      <c r="AW85" s="1">
        <v>8051</v>
      </c>
      <c r="AX85" s="1">
        <v>8072</v>
      </c>
      <c r="AY85" s="1">
        <v>3249</v>
      </c>
      <c r="AZ85" s="1">
        <v>4998</v>
      </c>
      <c r="BA85" s="1">
        <v>1749</v>
      </c>
      <c r="BB85" s="1">
        <v>2749</v>
      </c>
      <c r="BC85" s="1">
        <v>3248</v>
      </c>
      <c r="BD85" s="1">
        <v>3997</v>
      </c>
      <c r="BE85" s="1">
        <v>6245</v>
      </c>
      <c r="BF85" s="1">
        <v>5247</v>
      </c>
      <c r="BG85" s="1">
        <v>3748</v>
      </c>
      <c r="BH85" s="1">
        <v>2250</v>
      </c>
      <c r="BI85" s="1">
        <v>2249</v>
      </c>
      <c r="BJ85" s="1">
        <v>2249</v>
      </c>
      <c r="BK85" s="1">
        <v>2249</v>
      </c>
      <c r="BL85" s="37">
        <v>5248</v>
      </c>
      <c r="BM85" s="37">
        <v>2099</v>
      </c>
      <c r="BN85" s="1">
        <v>2999</v>
      </c>
      <c r="BO85" s="37">
        <v>7832</v>
      </c>
      <c r="CI85" s="1">
        <f t="shared" si="188"/>
        <v>5516</v>
      </c>
      <c r="CJ85" s="1">
        <f t="shared" si="189"/>
        <v>3749</v>
      </c>
      <c r="CK85" s="1">
        <f t="shared" si="190"/>
        <v>8072</v>
      </c>
      <c r="CL85" s="1">
        <f t="shared" si="191"/>
        <v>2749</v>
      </c>
      <c r="CM85" s="1">
        <f t="shared" si="192"/>
        <v>5247</v>
      </c>
      <c r="CN85" s="1">
        <f t="shared" si="193"/>
        <v>2249</v>
      </c>
      <c r="CO85" s="1">
        <v>2999</v>
      </c>
    </row>
    <row r="86" spans="2:154" ht="15" customHeight="1">
      <c r="B86" s="1" t="s">
        <v>257</v>
      </c>
      <c r="AP86" s="1">
        <v>6830</v>
      </c>
      <c r="AQ86" s="1">
        <v>4676</v>
      </c>
      <c r="AR86" s="1">
        <v>5421</v>
      </c>
      <c r="AS86" s="1">
        <v>6254</v>
      </c>
      <c r="AT86" s="1">
        <v>7874</v>
      </c>
      <c r="AU86" s="1">
        <v>5714</v>
      </c>
      <c r="AV86" s="1">
        <v>6838</v>
      </c>
      <c r="AW86" s="1">
        <v>8032</v>
      </c>
      <c r="AX86" s="1">
        <v>10057</v>
      </c>
      <c r="AY86" s="1">
        <v>6894</v>
      </c>
      <c r="AZ86" s="1">
        <v>7782</v>
      </c>
      <c r="BA86" s="1">
        <v>9067</v>
      </c>
      <c r="BB86" s="1">
        <v>10661</v>
      </c>
      <c r="BC86" s="1">
        <v>7405</v>
      </c>
      <c r="BD86" s="1">
        <v>9030</v>
      </c>
      <c r="BE86" s="1">
        <v>10411</v>
      </c>
      <c r="BF86" s="1">
        <v>11009</v>
      </c>
      <c r="BG86" s="1">
        <v>6990</v>
      </c>
      <c r="BH86" s="1">
        <v>8813</v>
      </c>
      <c r="BI86" s="1">
        <v>10432</v>
      </c>
      <c r="BJ86" s="1">
        <v>12564</v>
      </c>
      <c r="BK86" s="1">
        <v>8326</v>
      </c>
      <c r="BL86" s="37">
        <v>9176</v>
      </c>
      <c r="BM86" s="37">
        <v>10579</v>
      </c>
      <c r="BN86" s="1">
        <v>13709</v>
      </c>
      <c r="BO86" s="37">
        <v>9201</v>
      </c>
      <c r="CI86" s="1">
        <f t="shared" si="188"/>
        <v>6830</v>
      </c>
      <c r="CJ86" s="1">
        <f t="shared" si="189"/>
        <v>7874</v>
      </c>
      <c r="CK86" s="1">
        <f t="shared" si="190"/>
        <v>10057</v>
      </c>
      <c r="CL86" s="1">
        <f t="shared" si="191"/>
        <v>10661</v>
      </c>
      <c r="CM86" s="1">
        <f t="shared" si="192"/>
        <v>11009</v>
      </c>
      <c r="CN86" s="1">
        <f t="shared" si="193"/>
        <v>12564</v>
      </c>
      <c r="CO86" s="1">
        <v>13709</v>
      </c>
    </row>
    <row r="87" spans="2:154" ht="15" customHeight="1">
      <c r="B87" s="1" t="s">
        <v>258</v>
      </c>
      <c r="AP87" s="1">
        <v>5665</v>
      </c>
      <c r="AQ87" s="1">
        <v>3440</v>
      </c>
      <c r="AR87" s="1">
        <v>2687</v>
      </c>
      <c r="AS87" s="1">
        <v>3296</v>
      </c>
      <c r="AT87" s="1">
        <v>2130</v>
      </c>
      <c r="AU87" s="1">
        <v>2384</v>
      </c>
      <c r="AV87" s="1">
        <v>1562</v>
      </c>
      <c r="AW87" s="1">
        <v>2165</v>
      </c>
      <c r="AX87" s="1">
        <v>2174</v>
      </c>
      <c r="AY87" s="1">
        <v>6272</v>
      </c>
      <c r="AZ87" s="1">
        <v>3731</v>
      </c>
      <c r="BA87" s="1">
        <v>4646</v>
      </c>
      <c r="BB87" s="1">
        <v>4067</v>
      </c>
      <c r="BC87" s="1">
        <v>6729</v>
      </c>
      <c r="BD87" s="1">
        <v>3553</v>
      </c>
      <c r="BE87" s="1">
        <v>4163</v>
      </c>
      <c r="BF87" s="1">
        <v>4152</v>
      </c>
      <c r="BG87" s="1">
        <v>8035</v>
      </c>
      <c r="BH87" s="1">
        <v>5787</v>
      </c>
      <c r="BI87" s="1">
        <v>7311</v>
      </c>
      <c r="BJ87" s="1">
        <v>5017</v>
      </c>
      <c r="BK87" s="1">
        <v>9717</v>
      </c>
      <c r="BL87" s="37">
        <v>6056</v>
      </c>
      <c r="BM87" s="37">
        <v>6805</v>
      </c>
      <c r="BN87" s="1">
        <v>7211</v>
      </c>
      <c r="BO87" s="37">
        <v>3655</v>
      </c>
      <c r="CI87" s="1">
        <f t="shared" si="188"/>
        <v>5665</v>
      </c>
      <c r="CJ87" s="1">
        <f t="shared" si="189"/>
        <v>2130</v>
      </c>
      <c r="CK87" s="1">
        <f t="shared" si="190"/>
        <v>2174</v>
      </c>
      <c r="CL87" s="1">
        <f t="shared" si="191"/>
        <v>4067</v>
      </c>
      <c r="CM87" s="1">
        <f t="shared" si="192"/>
        <v>4152</v>
      </c>
      <c r="CN87" s="1">
        <f t="shared" si="193"/>
        <v>5017</v>
      </c>
      <c r="CO87" s="1">
        <v>7211</v>
      </c>
    </row>
    <row r="88" spans="2:154" ht="15" customHeight="1">
      <c r="B88" s="1" t="s">
        <v>259</v>
      </c>
      <c r="AP88" s="1">
        <v>32676</v>
      </c>
      <c r="AQ88" s="1">
        <v>29904</v>
      </c>
      <c r="AR88" s="1">
        <v>27343</v>
      </c>
      <c r="AS88" s="1">
        <v>27012</v>
      </c>
      <c r="AT88" s="1">
        <v>36000</v>
      </c>
      <c r="AU88" s="1">
        <v>33476</v>
      </c>
      <c r="AV88" s="1">
        <v>30402</v>
      </c>
      <c r="AW88" s="1">
        <v>30083</v>
      </c>
      <c r="AX88" s="1">
        <v>41525</v>
      </c>
      <c r="AY88" s="1">
        <v>38465</v>
      </c>
      <c r="AZ88" s="1">
        <v>34001</v>
      </c>
      <c r="BA88" s="1">
        <v>34027</v>
      </c>
      <c r="BB88" s="1">
        <v>45538</v>
      </c>
      <c r="BC88" s="1">
        <v>41340</v>
      </c>
      <c r="BD88" s="1">
        <v>36982</v>
      </c>
      <c r="BE88" s="1">
        <v>36903</v>
      </c>
      <c r="BF88" s="1">
        <v>50901</v>
      </c>
      <c r="BG88" s="1">
        <v>46429</v>
      </c>
      <c r="BH88" s="1">
        <v>43068</v>
      </c>
      <c r="BI88" s="1">
        <v>41888</v>
      </c>
      <c r="BJ88" s="1">
        <v>57582</v>
      </c>
      <c r="BK88" s="1">
        <v>53026</v>
      </c>
      <c r="BL88" s="37">
        <v>45508</v>
      </c>
      <c r="BM88" s="37">
        <v>44636</v>
      </c>
      <c r="BN88" s="1">
        <v>64555</v>
      </c>
      <c r="BO88" s="37">
        <v>58987</v>
      </c>
      <c r="CI88" s="1">
        <f t="shared" si="188"/>
        <v>32676</v>
      </c>
      <c r="CJ88" s="1">
        <f t="shared" si="189"/>
        <v>36000</v>
      </c>
      <c r="CK88" s="1">
        <f t="shared" si="190"/>
        <v>41525</v>
      </c>
      <c r="CL88" s="1">
        <f t="shared" si="191"/>
        <v>45538</v>
      </c>
      <c r="CM88" s="1">
        <f t="shared" si="192"/>
        <v>50901</v>
      </c>
      <c r="CN88" s="1">
        <f t="shared" si="193"/>
        <v>57582</v>
      </c>
      <c r="CO88" s="1">
        <v>64555</v>
      </c>
    </row>
    <row r="89" spans="2:154" ht="15" customHeight="1">
      <c r="B89" s="1" t="s">
        <v>260</v>
      </c>
      <c r="AP89" s="1">
        <v>9351</v>
      </c>
      <c r="AQ89" s="1">
        <v>8507</v>
      </c>
      <c r="AR89" s="1">
        <v>9131</v>
      </c>
      <c r="AS89" s="1">
        <v>9151</v>
      </c>
      <c r="AT89" s="1">
        <v>10027</v>
      </c>
      <c r="AU89" s="1">
        <v>9476</v>
      </c>
      <c r="AV89" s="1">
        <v>10527</v>
      </c>
      <c r="AW89" s="1">
        <v>10450</v>
      </c>
      <c r="AX89" s="1">
        <v>11666</v>
      </c>
      <c r="AY89" s="1">
        <v>10816</v>
      </c>
      <c r="AZ89" s="1">
        <v>11684</v>
      </c>
      <c r="BA89" s="1">
        <v>11865</v>
      </c>
      <c r="BB89" s="1">
        <v>13067</v>
      </c>
      <c r="BC89" s="1">
        <v>12058</v>
      </c>
      <c r="BD89" s="1">
        <v>12802</v>
      </c>
      <c r="BE89" s="1">
        <v>12664</v>
      </c>
      <c r="BF89" s="1">
        <v>14745</v>
      </c>
      <c r="BG89" s="1">
        <v>14475</v>
      </c>
      <c r="BH89" s="1">
        <v>16362</v>
      </c>
      <c r="BI89" s="1">
        <v>18023</v>
      </c>
      <c r="BJ89" s="1">
        <v>19185</v>
      </c>
      <c r="BK89" s="1">
        <v>19114</v>
      </c>
      <c r="BL89" s="37">
        <v>20286</v>
      </c>
      <c r="BM89" s="37">
        <v>22937</v>
      </c>
      <c r="BN89" s="1">
        <v>25020</v>
      </c>
      <c r="BO89" s="37">
        <v>22741</v>
      </c>
      <c r="CI89" s="1">
        <f t="shared" si="188"/>
        <v>9351</v>
      </c>
      <c r="CJ89" s="1">
        <f t="shared" si="189"/>
        <v>10027</v>
      </c>
      <c r="CK89" s="1">
        <f t="shared" si="190"/>
        <v>11666</v>
      </c>
      <c r="CL89" s="1">
        <f t="shared" si="191"/>
        <v>13067</v>
      </c>
      <c r="CM89" s="1">
        <f t="shared" si="192"/>
        <v>14745</v>
      </c>
      <c r="CN89" s="1">
        <f t="shared" si="193"/>
        <v>19185</v>
      </c>
      <c r="CO89" s="1">
        <v>25020</v>
      </c>
    </row>
    <row r="90" spans="2:154" ht="15" customHeight="1">
      <c r="B90" s="1" t="s">
        <v>261</v>
      </c>
      <c r="AP90" s="1">
        <v>66662</v>
      </c>
      <c r="AQ90" s="1">
        <v>66478</v>
      </c>
      <c r="AR90" s="1">
        <v>63361</v>
      </c>
      <c r="AS90" s="1">
        <v>62862</v>
      </c>
      <c r="AT90" s="1">
        <v>59578</v>
      </c>
      <c r="AU90" s="1">
        <v>57055</v>
      </c>
      <c r="AV90" s="1">
        <v>55136</v>
      </c>
      <c r="AW90" s="1">
        <v>50007</v>
      </c>
      <c r="AX90" s="1">
        <v>50074</v>
      </c>
      <c r="AY90" s="1">
        <v>50039</v>
      </c>
      <c r="AZ90" s="1">
        <v>48260</v>
      </c>
      <c r="BA90" s="1">
        <v>48177</v>
      </c>
      <c r="BB90" s="1">
        <v>47032</v>
      </c>
      <c r="BC90" s="1">
        <v>45374</v>
      </c>
      <c r="BD90" s="1">
        <v>44119</v>
      </c>
      <c r="BE90" s="1">
        <v>41965</v>
      </c>
      <c r="BF90" s="1">
        <v>41990</v>
      </c>
      <c r="BG90" s="1">
        <v>41946</v>
      </c>
      <c r="BH90" s="1">
        <v>44928</v>
      </c>
      <c r="BI90" s="1">
        <v>42658</v>
      </c>
      <c r="BJ90" s="1">
        <v>42688</v>
      </c>
      <c r="BK90" s="1">
        <v>42868</v>
      </c>
      <c r="BL90" s="37">
        <v>39722</v>
      </c>
      <c r="BM90" s="37">
        <v>39882</v>
      </c>
      <c r="BN90" s="1">
        <v>40152</v>
      </c>
      <c r="BO90" s="37">
        <v>35376</v>
      </c>
      <c r="CI90" s="1">
        <f t="shared" si="188"/>
        <v>66662</v>
      </c>
      <c r="CJ90" s="1">
        <f t="shared" si="189"/>
        <v>59578</v>
      </c>
      <c r="CK90" s="1">
        <f t="shared" si="190"/>
        <v>50074</v>
      </c>
      <c r="CL90" s="1">
        <f t="shared" si="191"/>
        <v>47032</v>
      </c>
      <c r="CM90" s="1">
        <f t="shared" si="192"/>
        <v>41990</v>
      </c>
      <c r="CN90" s="1">
        <f t="shared" si="193"/>
        <v>42688</v>
      </c>
      <c r="CO90" s="1">
        <v>40152</v>
      </c>
    </row>
    <row r="91" spans="2:154">
      <c r="B91" s="1" t="s">
        <v>262</v>
      </c>
      <c r="AP91" s="1">
        <v>29612</v>
      </c>
      <c r="AQ91" s="1">
        <v>28457</v>
      </c>
      <c r="AR91" s="1">
        <v>28754</v>
      </c>
      <c r="AS91" s="1">
        <v>28888</v>
      </c>
      <c r="AT91" s="1">
        <v>29432</v>
      </c>
      <c r="AU91" s="1">
        <v>28204</v>
      </c>
      <c r="AV91" s="1">
        <v>26701</v>
      </c>
      <c r="AW91" s="1">
        <v>27157</v>
      </c>
      <c r="AX91" s="1">
        <v>27190</v>
      </c>
      <c r="AY91" s="1">
        <v>25715</v>
      </c>
      <c r="AZ91" s="1">
        <v>26121</v>
      </c>
      <c r="BA91" s="1">
        <v>26483</v>
      </c>
      <c r="BB91" s="1">
        <v>26069</v>
      </c>
      <c r="BC91" s="1">
        <v>23712</v>
      </c>
      <c r="BD91" s="1">
        <v>24169</v>
      </c>
      <c r="BE91" s="1">
        <v>25000</v>
      </c>
      <c r="BF91" s="1">
        <v>25560</v>
      </c>
      <c r="BG91" s="1">
        <v>22983</v>
      </c>
      <c r="BH91" s="1">
        <v>25890</v>
      </c>
      <c r="BI91" s="1">
        <v>26786</v>
      </c>
      <c r="BJ91" s="1">
        <v>27931</v>
      </c>
      <c r="BK91" s="1">
        <v>24452</v>
      </c>
      <c r="BL91" s="37">
        <v>24389</v>
      </c>
      <c r="BM91" s="37">
        <v>25061</v>
      </c>
      <c r="BN91" s="1">
        <v>25986</v>
      </c>
      <c r="BO91" s="37">
        <v>26569</v>
      </c>
      <c r="CI91" s="1">
        <f t="shared" si="188"/>
        <v>29612</v>
      </c>
      <c r="CJ91" s="1">
        <f t="shared" si="189"/>
        <v>29432</v>
      </c>
      <c r="CK91" s="1">
        <f t="shared" si="190"/>
        <v>27190</v>
      </c>
      <c r="CL91" s="1">
        <f t="shared" si="191"/>
        <v>26069</v>
      </c>
      <c r="CM91" s="1">
        <f t="shared" si="192"/>
        <v>25560</v>
      </c>
      <c r="CN91" s="1">
        <f t="shared" si="193"/>
        <v>27931</v>
      </c>
      <c r="CO91" s="1">
        <v>25986</v>
      </c>
    </row>
    <row r="92" spans="2:154">
      <c r="B92" s="1" t="s">
        <v>263</v>
      </c>
      <c r="AP92" s="1">
        <v>4530</v>
      </c>
      <c r="AQ92" s="1">
        <v>4122</v>
      </c>
      <c r="AR92" s="1">
        <v>3878</v>
      </c>
      <c r="AS92" s="1">
        <v>3385</v>
      </c>
      <c r="AT92" s="1">
        <v>3180</v>
      </c>
      <c r="AU92" s="1">
        <v>2829</v>
      </c>
      <c r="AV92" s="1">
        <v>2985</v>
      </c>
      <c r="AW92" s="1">
        <v>2631</v>
      </c>
      <c r="AX92" s="1">
        <v>2616</v>
      </c>
      <c r="AY92" s="1">
        <v>2550</v>
      </c>
      <c r="AZ92" s="1">
        <v>2768</v>
      </c>
      <c r="BA92" s="1">
        <v>2769</v>
      </c>
      <c r="BB92" s="1">
        <v>2870</v>
      </c>
      <c r="BC92" s="1">
        <v>2549</v>
      </c>
      <c r="BD92" s="1">
        <v>2644</v>
      </c>
      <c r="BE92" s="1">
        <v>2698</v>
      </c>
      <c r="BF92" s="1">
        <v>2912</v>
      </c>
      <c r="BG92" s="1">
        <v>2759</v>
      </c>
      <c r="BH92" s="1">
        <v>2966</v>
      </c>
      <c r="BI92" s="1">
        <v>2945</v>
      </c>
      <c r="BJ92" s="1">
        <v>2602</v>
      </c>
      <c r="BK92" s="1">
        <v>2663</v>
      </c>
      <c r="BL92" s="37">
        <v>2537</v>
      </c>
      <c r="BM92" s="37">
        <v>2840</v>
      </c>
      <c r="BN92" s="1">
        <v>2710</v>
      </c>
      <c r="BO92" s="37">
        <v>2546</v>
      </c>
      <c r="CI92" s="1">
        <f t="shared" si="188"/>
        <v>4530</v>
      </c>
      <c r="CJ92" s="1">
        <f t="shared" si="189"/>
        <v>3180</v>
      </c>
      <c r="CK92" s="1">
        <f t="shared" si="190"/>
        <v>2616</v>
      </c>
      <c r="CL92" s="1">
        <f t="shared" si="191"/>
        <v>2870</v>
      </c>
      <c r="CM92" s="1">
        <f t="shared" si="192"/>
        <v>2912</v>
      </c>
      <c r="CN92" s="1">
        <f t="shared" si="193"/>
        <v>2602</v>
      </c>
      <c r="CO92" s="1">
        <v>2710</v>
      </c>
    </row>
    <row r="93" spans="2:154">
      <c r="B93" s="1" t="s">
        <v>264</v>
      </c>
      <c r="AP93" s="1">
        <v>233</v>
      </c>
      <c r="AQ93" s="1">
        <v>234</v>
      </c>
      <c r="AR93" s="1">
        <v>222</v>
      </c>
      <c r="AS93" s="1">
        <v>185</v>
      </c>
      <c r="AT93" s="1">
        <v>204</v>
      </c>
      <c r="AU93" s="1">
        <v>187</v>
      </c>
      <c r="AV93" s="1">
        <v>174</v>
      </c>
      <c r="AW93" s="1">
        <v>173</v>
      </c>
      <c r="AX93" s="1">
        <v>198</v>
      </c>
      <c r="AY93" s="1">
        <v>212</v>
      </c>
      <c r="AZ93" s="1">
        <v>199</v>
      </c>
      <c r="BA93" s="1">
        <v>304</v>
      </c>
      <c r="BB93" s="1">
        <v>230</v>
      </c>
      <c r="BC93" s="1">
        <v>223</v>
      </c>
      <c r="BD93" s="1">
        <v>289</v>
      </c>
      <c r="BE93" s="1">
        <v>302</v>
      </c>
      <c r="BF93" s="1">
        <v>433</v>
      </c>
      <c r="BG93" s="1">
        <v>470</v>
      </c>
      <c r="BH93" s="1">
        <v>2548</v>
      </c>
      <c r="BI93" s="1">
        <v>2469</v>
      </c>
      <c r="BJ93" s="1">
        <v>2618</v>
      </c>
      <c r="BK93" s="1">
        <v>2581</v>
      </c>
      <c r="BL93" s="37">
        <v>2513</v>
      </c>
      <c r="BM93" s="37">
        <v>2522</v>
      </c>
      <c r="BN93" s="1">
        <v>2835</v>
      </c>
      <c r="BO93" s="37">
        <v>2852</v>
      </c>
      <c r="CI93" s="1">
        <f t="shared" si="188"/>
        <v>233</v>
      </c>
      <c r="CJ93" s="1">
        <f t="shared" si="189"/>
        <v>204</v>
      </c>
      <c r="CK93" s="1">
        <f t="shared" si="190"/>
        <v>198</v>
      </c>
      <c r="CL93" s="1">
        <f t="shared" si="191"/>
        <v>230</v>
      </c>
      <c r="CM93" s="1">
        <f t="shared" si="192"/>
        <v>433</v>
      </c>
      <c r="CN93" s="1">
        <f t="shared" si="193"/>
        <v>2618</v>
      </c>
      <c r="CO93" s="1">
        <v>2835</v>
      </c>
    </row>
    <row r="94" spans="2:154">
      <c r="B94" s="1" t="s">
        <v>265</v>
      </c>
      <c r="AP94" s="1">
        <v>6188</v>
      </c>
      <c r="AQ94" s="1">
        <v>6659</v>
      </c>
      <c r="AR94" s="1">
        <v>7172</v>
      </c>
      <c r="AS94" s="1">
        <v>7248</v>
      </c>
      <c r="AT94" s="1">
        <v>7671</v>
      </c>
      <c r="AU94" s="1">
        <v>7753</v>
      </c>
      <c r="AV94" s="1">
        <v>8875</v>
      </c>
      <c r="AW94" s="1">
        <v>9272</v>
      </c>
      <c r="AX94" s="1">
        <v>9629</v>
      </c>
      <c r="AY94" s="1">
        <v>10050</v>
      </c>
      <c r="AZ94" s="1">
        <v>10774</v>
      </c>
      <c r="BA94" s="1">
        <v>11357</v>
      </c>
      <c r="BB94" s="1">
        <v>11489</v>
      </c>
      <c r="BC94" s="1">
        <v>11660</v>
      </c>
      <c r="BD94" s="1">
        <v>11998</v>
      </c>
      <c r="BE94" s="1">
        <v>12312</v>
      </c>
      <c r="BF94" s="1">
        <v>12728</v>
      </c>
      <c r="BG94" s="1">
        <v>13487</v>
      </c>
      <c r="BH94" s="1">
        <v>14155</v>
      </c>
      <c r="BI94" s="1">
        <v>14469</v>
      </c>
      <c r="BJ94" s="1">
        <v>15497</v>
      </c>
      <c r="BK94" s="1">
        <v>16361</v>
      </c>
      <c r="BL94" s="37">
        <v>17254</v>
      </c>
      <c r="BM94" s="37">
        <v>17686</v>
      </c>
      <c r="BN94" s="1">
        <v>17437</v>
      </c>
      <c r="BO94" s="37">
        <v>17348</v>
      </c>
      <c r="CI94" s="1">
        <f t="shared" si="188"/>
        <v>6188</v>
      </c>
      <c r="CJ94" s="1">
        <f t="shared" si="189"/>
        <v>7671</v>
      </c>
      <c r="CK94" s="1">
        <f t="shared" si="190"/>
        <v>9629</v>
      </c>
      <c r="CL94" s="1">
        <f t="shared" si="191"/>
        <v>11489</v>
      </c>
      <c r="CM94" s="1">
        <f t="shared" si="192"/>
        <v>12728</v>
      </c>
      <c r="CN94" s="1">
        <f t="shared" si="193"/>
        <v>15497</v>
      </c>
      <c r="CO94" s="1">
        <v>17437</v>
      </c>
    </row>
    <row r="95" spans="2:154">
      <c r="B95" s="1" t="s">
        <v>266</v>
      </c>
      <c r="AP95" s="1">
        <v>7581</v>
      </c>
      <c r="AQ95" s="1">
        <v>8826</v>
      </c>
      <c r="AR95" s="1">
        <v>9658</v>
      </c>
      <c r="AS95" s="1">
        <v>9673</v>
      </c>
      <c r="AT95" s="1">
        <v>10632</v>
      </c>
      <c r="AU95" s="1">
        <v>11525</v>
      </c>
      <c r="AV95" s="1">
        <v>12544</v>
      </c>
      <c r="AW95" s="1">
        <v>12941</v>
      </c>
      <c r="AX95" s="1">
        <v>13427</v>
      </c>
      <c r="AY95" s="1">
        <v>14346</v>
      </c>
      <c r="AZ95" s="1">
        <v>14747</v>
      </c>
      <c r="BA95" s="1">
        <v>15154</v>
      </c>
      <c r="BB95" s="1">
        <v>15526</v>
      </c>
      <c r="BC95" s="1">
        <v>15311</v>
      </c>
      <c r="BD95" s="1">
        <v>16479</v>
      </c>
      <c r="BE95" s="1">
        <v>17437</v>
      </c>
      <c r="BF95" s="1">
        <v>17981</v>
      </c>
      <c r="BG95" s="1">
        <v>18634</v>
      </c>
      <c r="BH95" s="1">
        <v>20787</v>
      </c>
      <c r="BI95" s="1">
        <v>23271</v>
      </c>
      <c r="BJ95" s="1">
        <v>27064</v>
      </c>
      <c r="BK95" s="1">
        <v>31165</v>
      </c>
      <c r="BL95" s="37">
        <v>35906</v>
      </c>
      <c r="BM95" s="37">
        <v>38536</v>
      </c>
      <c r="BN95" s="1">
        <v>45186</v>
      </c>
      <c r="BO95" s="37">
        <v>53588</v>
      </c>
      <c r="CI95" s="1">
        <f t="shared" si="188"/>
        <v>7581</v>
      </c>
      <c r="CJ95" s="1">
        <f t="shared" si="189"/>
        <v>10632</v>
      </c>
      <c r="CK95" s="1">
        <f t="shared" si="190"/>
        <v>13427</v>
      </c>
      <c r="CL95" s="1">
        <f t="shared" si="191"/>
        <v>15526</v>
      </c>
      <c r="CM95" s="1">
        <f t="shared" si="192"/>
        <v>17981</v>
      </c>
      <c r="CN95" s="1">
        <f t="shared" si="193"/>
        <v>27064</v>
      </c>
      <c r="CO95" s="1">
        <v>45186</v>
      </c>
    </row>
    <row r="96" spans="2:154" s="2" customFormat="1" ht="15">
      <c r="B96" s="2" t="s">
        <v>267</v>
      </c>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f t="shared" ref="AP96:BL96" si="194">SUM(AP83:AP95)</f>
        <v>184226</v>
      </c>
      <c r="AQ96" s="33">
        <f>SUM(AQ83:AQ95)</f>
        <v>172894</v>
      </c>
      <c r="AR96" s="33">
        <f t="shared" si="194"/>
        <v>172685</v>
      </c>
      <c r="AS96" s="33">
        <f t="shared" si="194"/>
        <v>170948</v>
      </c>
      <c r="AT96" s="33">
        <f t="shared" si="194"/>
        <v>183007</v>
      </c>
      <c r="AU96" s="33">
        <f t="shared" si="194"/>
        <v>177609</v>
      </c>
      <c r="AV96" s="33">
        <f t="shared" si="194"/>
        <v>173901</v>
      </c>
      <c r="AW96" s="33">
        <f t="shared" si="194"/>
        <v>174374</v>
      </c>
      <c r="AX96" s="33">
        <f>SUM(AX83:AX95)</f>
        <v>191791</v>
      </c>
      <c r="AY96" s="33">
        <f t="shared" si="194"/>
        <v>183440</v>
      </c>
      <c r="AZ96" s="33">
        <f t="shared" si="194"/>
        <v>180379</v>
      </c>
      <c r="BA96" s="33">
        <f t="shared" si="194"/>
        <v>181683</v>
      </c>
      <c r="BB96" s="33">
        <f>SUM(BB83:BB95)</f>
        <v>198298</v>
      </c>
      <c r="BC96" s="33">
        <f t="shared" si="194"/>
        <v>186218</v>
      </c>
      <c r="BD96" s="33">
        <f t="shared" si="194"/>
        <v>181416</v>
      </c>
      <c r="BE96" s="33">
        <f t="shared" si="194"/>
        <v>185405</v>
      </c>
      <c r="BF96" s="33">
        <f t="shared" si="194"/>
        <v>205753</v>
      </c>
      <c r="BG96" s="33">
        <f t="shared" si="194"/>
        <v>225071</v>
      </c>
      <c r="BH96" s="33">
        <f t="shared" si="194"/>
        <v>232290</v>
      </c>
      <c r="BI96" s="33">
        <f>SUM(BI83:BI95)</f>
        <v>231123</v>
      </c>
      <c r="BJ96" s="33">
        <f t="shared" ref="BJ96" si="195">SUM(BJ83:BJ95)</f>
        <v>243686</v>
      </c>
      <c r="BK96" s="33">
        <f t="shared" ref="BK96" si="196">SUM(BK83:BK95)</f>
        <v>235290</v>
      </c>
      <c r="BL96" s="33">
        <f t="shared" si="194"/>
        <v>231203</v>
      </c>
      <c r="BM96" s="33">
        <f>SUM(BM83:BM95)</f>
        <v>239833</v>
      </c>
      <c r="BN96" s="33">
        <f t="shared" ref="BN96" si="197">SUM(BN83:BN95)</f>
        <v>275524</v>
      </c>
      <c r="BO96" s="33">
        <f>SUM(BO83:BO95)</f>
        <v>273275</v>
      </c>
      <c r="BP96" s="34"/>
      <c r="BQ96" s="34"/>
      <c r="BR96" s="34"/>
      <c r="CI96" s="2">
        <f t="shared" si="188"/>
        <v>184226</v>
      </c>
      <c r="CJ96" s="2">
        <f t="shared" si="189"/>
        <v>183007</v>
      </c>
      <c r="CK96" s="2">
        <f t="shared" si="190"/>
        <v>191791</v>
      </c>
      <c r="CL96" s="2">
        <f t="shared" si="191"/>
        <v>198298</v>
      </c>
      <c r="CM96" s="2">
        <f t="shared" si="192"/>
        <v>205753</v>
      </c>
      <c r="CN96" s="2">
        <f t="shared" si="193"/>
        <v>243686</v>
      </c>
      <c r="CO96" s="2">
        <f>BK96</f>
        <v>235290</v>
      </c>
      <c r="CP96" s="70"/>
      <c r="CQ96" s="70"/>
      <c r="CR96" s="70"/>
      <c r="CS96" s="70"/>
      <c r="CT96" s="70"/>
      <c r="CU96" s="70"/>
      <c r="CV96" s="70"/>
      <c r="CW96" s="70"/>
      <c r="CX96" s="70"/>
      <c r="CY96" s="70"/>
      <c r="CZ96" s="70"/>
      <c r="DA96" s="70"/>
      <c r="DB96" s="70"/>
      <c r="DC96" s="70"/>
      <c r="DD96" s="70"/>
      <c r="DE96" s="70"/>
      <c r="DF96" s="70"/>
      <c r="DG96" s="70"/>
      <c r="DH96" s="70"/>
      <c r="DI96" s="70"/>
      <c r="DJ96" s="70"/>
      <c r="DK96" s="70"/>
      <c r="DL96" s="70"/>
      <c r="DM96" s="70"/>
      <c r="DN96" s="70"/>
      <c r="DO96" s="70"/>
      <c r="DP96" s="70"/>
      <c r="DQ96" s="70"/>
      <c r="DR96" s="70"/>
      <c r="DS96" s="70"/>
      <c r="DT96" s="70"/>
      <c r="DU96" s="70"/>
      <c r="DV96" s="70"/>
      <c r="DW96" s="70"/>
      <c r="DX96" s="70"/>
      <c r="DY96" s="70"/>
      <c r="DZ96" s="70"/>
      <c r="EA96" s="70"/>
      <c r="EB96" s="70"/>
      <c r="EC96" s="70"/>
      <c r="ED96" s="70"/>
      <c r="EE96" s="70"/>
      <c r="EF96" s="70"/>
      <c r="EG96" s="70"/>
      <c r="EH96" s="70"/>
      <c r="EI96" s="70"/>
      <c r="EJ96" s="70"/>
      <c r="EK96" s="70"/>
      <c r="EL96" s="70"/>
      <c r="EM96" s="70"/>
      <c r="EN96" s="70"/>
      <c r="EO96" s="70"/>
      <c r="EP96" s="70"/>
      <c r="EQ96" s="70"/>
      <c r="ER96" s="70"/>
      <c r="ES96" s="70"/>
      <c r="ET96" s="70"/>
      <c r="EU96" s="70"/>
      <c r="EV96" s="70"/>
      <c r="EW96" s="70"/>
      <c r="EX96" s="70"/>
    </row>
    <row r="97" spans="2:154">
      <c r="B97" s="1" t="s">
        <v>268</v>
      </c>
      <c r="AP97" s="1">
        <v>102330</v>
      </c>
      <c r="AQ97" s="1">
        <v>106061</v>
      </c>
      <c r="AR97" s="1">
        <v>110109</v>
      </c>
      <c r="AS97" s="1">
        <v>114501</v>
      </c>
      <c r="AT97" s="1">
        <v>118304</v>
      </c>
      <c r="AU97" s="1">
        <v>123392</v>
      </c>
      <c r="AV97" s="1">
        <v>130236</v>
      </c>
      <c r="AW97" s="1">
        <v>134505</v>
      </c>
      <c r="AX97" s="1">
        <v>141988</v>
      </c>
      <c r="AY97" s="1">
        <v>151978</v>
      </c>
      <c r="AZ97" s="1">
        <v>160010</v>
      </c>
      <c r="BA97" s="1">
        <v>162924</v>
      </c>
      <c r="BB97" s="1">
        <v>166542</v>
      </c>
      <c r="BC97" s="1">
        <v>173566</v>
      </c>
      <c r="BD97" s="1">
        <v>183136</v>
      </c>
      <c r="BE97" s="1">
        <v>194683</v>
      </c>
      <c r="BF97" s="1">
        <v>206223</v>
      </c>
      <c r="BG97" s="1">
        <v>220714</v>
      </c>
      <c r="BH97" s="1">
        <v>238268</v>
      </c>
      <c r="BI97" s="1">
        <v>253152</v>
      </c>
      <c r="BJ97" s="1">
        <v>268477</v>
      </c>
      <c r="BK97" s="1">
        <v>287723</v>
      </c>
      <c r="BL97" s="37">
        <v>302695</v>
      </c>
      <c r="BM97" s="37">
        <v>321891</v>
      </c>
      <c r="BN97" s="1">
        <v>343479</v>
      </c>
      <c r="BO97" s="37">
        <v>363076</v>
      </c>
      <c r="CI97" s="1">
        <f t="shared" si="188"/>
        <v>102330</v>
      </c>
      <c r="CJ97" s="1">
        <f t="shared" si="189"/>
        <v>118304</v>
      </c>
      <c r="CK97" s="1">
        <f t="shared" si="190"/>
        <v>141988</v>
      </c>
      <c r="CL97" s="1">
        <f t="shared" si="191"/>
        <v>166542</v>
      </c>
      <c r="CM97" s="1">
        <f t="shared" si="192"/>
        <v>206223</v>
      </c>
      <c r="CN97" s="1">
        <f t="shared" si="193"/>
        <v>268477</v>
      </c>
      <c r="CO97" s="1">
        <v>343479</v>
      </c>
    </row>
    <row r="98" spans="2:154" s="2" customFormat="1" ht="15">
      <c r="B98" s="2" t="s">
        <v>269</v>
      </c>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f t="shared" ref="AP98:BL98" si="198">AP96+AP97</f>
        <v>286556</v>
      </c>
      <c r="AQ98" s="33">
        <f t="shared" si="198"/>
        <v>278955</v>
      </c>
      <c r="AR98" s="33">
        <f t="shared" si="198"/>
        <v>282794</v>
      </c>
      <c r="AS98" s="33">
        <f t="shared" si="198"/>
        <v>285449</v>
      </c>
      <c r="AT98" s="33">
        <f t="shared" si="198"/>
        <v>301311</v>
      </c>
      <c r="AU98" s="33">
        <f t="shared" si="198"/>
        <v>301001</v>
      </c>
      <c r="AV98" s="33">
        <f t="shared" si="198"/>
        <v>304137</v>
      </c>
      <c r="AW98" s="33">
        <f t="shared" si="198"/>
        <v>308879</v>
      </c>
      <c r="AX98" s="33">
        <f t="shared" si="198"/>
        <v>333779</v>
      </c>
      <c r="AY98" s="33">
        <f t="shared" si="198"/>
        <v>335418</v>
      </c>
      <c r="AZ98" s="33">
        <f t="shared" si="198"/>
        <v>340389</v>
      </c>
      <c r="BA98" s="33">
        <f t="shared" si="198"/>
        <v>344607</v>
      </c>
      <c r="BB98" s="33">
        <f t="shared" si="198"/>
        <v>364840</v>
      </c>
      <c r="BC98" s="33">
        <f t="shared" si="198"/>
        <v>359784</v>
      </c>
      <c r="BD98" s="33">
        <f t="shared" si="198"/>
        <v>364552</v>
      </c>
      <c r="BE98" s="33">
        <f t="shared" si="198"/>
        <v>380088</v>
      </c>
      <c r="BF98" s="33">
        <f t="shared" si="198"/>
        <v>411976</v>
      </c>
      <c r="BG98" s="33">
        <f t="shared" si="198"/>
        <v>445785</v>
      </c>
      <c r="BH98" s="33">
        <f t="shared" si="198"/>
        <v>470558</v>
      </c>
      <c r="BI98" s="33">
        <f t="shared" ref="BI98" si="199">BI96+BI97</f>
        <v>484275</v>
      </c>
      <c r="BJ98" s="33">
        <f t="shared" ref="BJ98" si="200">BJ96+BJ97</f>
        <v>512163</v>
      </c>
      <c r="BK98" s="33">
        <f t="shared" ref="BK98" si="201">BK96+BK97</f>
        <v>523013</v>
      </c>
      <c r="BL98" s="33">
        <f t="shared" si="198"/>
        <v>533898</v>
      </c>
      <c r="BM98" s="33">
        <f>BM96+BM97</f>
        <v>561724</v>
      </c>
      <c r="BN98" s="33">
        <f t="shared" ref="BN98" si="202">BN96+BN97</f>
        <v>619003</v>
      </c>
      <c r="BO98" s="33">
        <f>BO96+BO97</f>
        <v>636351</v>
      </c>
      <c r="BP98" s="34"/>
      <c r="BQ98" s="34"/>
      <c r="BR98" s="34"/>
      <c r="CI98" s="2">
        <f t="shared" si="188"/>
        <v>286556</v>
      </c>
      <c r="CJ98" s="2">
        <f t="shared" si="189"/>
        <v>301311</v>
      </c>
      <c r="CK98" s="2">
        <f t="shared" si="190"/>
        <v>333779</v>
      </c>
      <c r="CL98" s="2">
        <f t="shared" si="191"/>
        <v>364840</v>
      </c>
      <c r="CM98" s="2">
        <f t="shared" si="192"/>
        <v>411976</v>
      </c>
      <c r="CN98" s="2">
        <f t="shared" si="193"/>
        <v>512163</v>
      </c>
      <c r="CO98" s="2">
        <f>BK98</f>
        <v>523013</v>
      </c>
      <c r="CP98" s="70"/>
      <c r="CQ98" s="70"/>
      <c r="CR98" s="70"/>
      <c r="CS98" s="70"/>
      <c r="CT98" s="70"/>
      <c r="CU98" s="70"/>
      <c r="CV98" s="70"/>
      <c r="CW98" s="70"/>
      <c r="CX98" s="70"/>
      <c r="CY98" s="70"/>
      <c r="CZ98" s="70"/>
      <c r="DA98" s="70"/>
      <c r="DB98" s="70"/>
      <c r="DC98" s="70"/>
      <c r="DD98" s="70"/>
      <c r="DE98" s="70"/>
      <c r="DF98" s="70"/>
      <c r="DG98" s="70"/>
      <c r="DH98" s="70"/>
      <c r="DI98" s="70"/>
      <c r="DJ98" s="70"/>
      <c r="DK98" s="70"/>
      <c r="DL98" s="70"/>
      <c r="DM98" s="70"/>
      <c r="DN98" s="70"/>
      <c r="DO98" s="70"/>
      <c r="DP98" s="70"/>
      <c r="DQ98" s="70"/>
      <c r="DR98" s="70"/>
      <c r="DS98" s="70"/>
      <c r="DT98" s="70"/>
      <c r="DU98" s="70"/>
      <c r="DV98" s="70"/>
      <c r="DW98" s="70"/>
      <c r="DX98" s="70"/>
      <c r="DY98" s="70"/>
      <c r="DZ98" s="70"/>
      <c r="EA98" s="70"/>
      <c r="EB98" s="70"/>
      <c r="EC98" s="70"/>
      <c r="ED98" s="70"/>
      <c r="EE98" s="70"/>
      <c r="EF98" s="70"/>
      <c r="EG98" s="70"/>
      <c r="EH98" s="70"/>
      <c r="EI98" s="70"/>
      <c r="EJ98" s="70"/>
      <c r="EK98" s="70"/>
      <c r="EL98" s="70"/>
      <c r="EM98" s="70"/>
      <c r="EN98" s="70"/>
      <c r="EO98" s="70"/>
      <c r="EP98" s="70"/>
      <c r="EQ98" s="70"/>
      <c r="ER98" s="70"/>
      <c r="ES98" s="70"/>
      <c r="ET98" s="70"/>
      <c r="EU98" s="70"/>
      <c r="EV98" s="70"/>
      <c r="EW98" s="70"/>
      <c r="EX98" s="70"/>
    </row>
    <row r="99" spans="2:154">
      <c r="BO99" s="37"/>
    </row>
    <row r="100" spans="2:154">
      <c r="B100" s="1" t="s">
        <v>126</v>
      </c>
      <c r="AP100" s="39">
        <f t="shared" ref="AP100:BL100" si="203">SUM(AP70:AP74)/SUM(AP83:AP89)</f>
        <v>2.5288389513108616</v>
      </c>
      <c r="AQ100" s="39">
        <f t="shared" si="203"/>
        <v>2.8544684951305963</v>
      </c>
      <c r="AR100" s="39">
        <f t="shared" si="203"/>
        <v>2.8013749161636485</v>
      </c>
      <c r="AS100" s="39">
        <f t="shared" si="203"/>
        <v>2.9043384945577189</v>
      </c>
      <c r="AT100" s="39">
        <f t="shared" si="203"/>
        <v>2.5157654542940118</v>
      </c>
      <c r="AU100" s="39">
        <f t="shared" si="203"/>
        <v>2.5276493091241292</v>
      </c>
      <c r="AV100" s="39">
        <f t="shared" si="203"/>
        <v>2.5779124559167825</v>
      </c>
      <c r="AW100" s="39">
        <f t="shared" si="203"/>
        <v>2.2940451290291302</v>
      </c>
      <c r="AX100" s="39">
        <f t="shared" si="203"/>
        <v>2.0799936835218875</v>
      </c>
      <c r="AY100" s="39">
        <f t="shared" si="203"/>
        <v>2.1647874031392806</v>
      </c>
      <c r="AZ100" s="39">
        <f t="shared" si="203"/>
        <v>2.2472971229518772</v>
      </c>
      <c r="BA100" s="39">
        <f t="shared" si="203"/>
        <v>1.987654799261354</v>
      </c>
      <c r="BB100" s="39">
        <f t="shared" si="203"/>
        <v>1.7846069708251824</v>
      </c>
      <c r="BC100" s="39">
        <f t="shared" si="203"/>
        <v>1.8401858357459178</v>
      </c>
      <c r="BD100" s="39">
        <f t="shared" si="203"/>
        <v>1.9313125627156809</v>
      </c>
      <c r="BE100" s="39">
        <f t="shared" si="203"/>
        <v>1.9125579115659754</v>
      </c>
      <c r="BF100" s="39">
        <f t="shared" si="203"/>
        <v>1.7691672507657299</v>
      </c>
      <c r="BG100" s="39">
        <f t="shared" si="203"/>
        <v>1.663455990768639</v>
      </c>
      <c r="BH100" s="39">
        <f t="shared" si="203"/>
        <v>1.2179629139948436</v>
      </c>
      <c r="BI100" s="39">
        <f t="shared" si="203"/>
        <v>1.2417633410672855</v>
      </c>
      <c r="BJ100" s="39">
        <f t="shared" si="203"/>
        <v>1.2749549031815206</v>
      </c>
      <c r="BK100" s="39">
        <f t="shared" si="203"/>
        <v>1.3014409722222222</v>
      </c>
      <c r="BL100" s="39">
        <f t="shared" si="203"/>
        <v>1.3508201539281057</v>
      </c>
      <c r="BM100" s="39">
        <f>SUM(BM70:BM74)/SUM(BM83:BM89)</f>
        <v>1.3824863643584628</v>
      </c>
      <c r="BN100" s="39">
        <f t="shared" ref="BN100" si="204">SUM(BN70:BN74)/SUM(BN83:BN89)</f>
        <v>1.3534464445042416</v>
      </c>
      <c r="BO100" s="39">
        <f>SUM(BO70:BO74)/SUM(BO83:BO90)</f>
        <v>1.1097246026342358</v>
      </c>
      <c r="CI100" s="39">
        <f t="shared" ref="CI100:CM100" si="205">SUM(CI70:CI74)/SUM(CI83:CI89)</f>
        <v>2.5288389513108616</v>
      </c>
      <c r="CJ100" s="39">
        <f t="shared" si="205"/>
        <v>2.5157654542940118</v>
      </c>
      <c r="CK100" s="39">
        <f t="shared" si="205"/>
        <v>2.0799936835218875</v>
      </c>
      <c r="CL100" s="39">
        <f t="shared" si="205"/>
        <v>1.7846069708251824</v>
      </c>
      <c r="CM100" s="39">
        <f t="shared" si="205"/>
        <v>1.7691672507657299</v>
      </c>
      <c r="CN100" s="39">
        <f>SUM(CN70:CN74)/SUM(CN83:CN89)</f>
        <v>1.2749549031815206</v>
      </c>
      <c r="CO100" s="39">
        <f>SUM(CO70:CO74)/SUM(CO83:CO89)</f>
        <v>1.3534464445042416</v>
      </c>
    </row>
    <row r="101" spans="2:154">
      <c r="B101" s="1" t="s">
        <v>127</v>
      </c>
      <c r="AP101" s="39">
        <f t="shared" ref="AP101:BL101" si="206">(SUM(AP70:AP74)-AP73)/(SUM(AP83:AP89))</f>
        <v>2.4991212906943243</v>
      </c>
      <c r="AQ101" s="39">
        <f t="shared" si="206"/>
        <v>2.8093533844936163</v>
      </c>
      <c r="AR101" s="39">
        <f t="shared" si="206"/>
        <v>2.7708081824279009</v>
      </c>
      <c r="AS101" s="39">
        <f t="shared" si="206"/>
        <v>2.8763350196739741</v>
      </c>
      <c r="AT101" s="39">
        <f t="shared" si="206"/>
        <v>2.4895588438666851</v>
      </c>
      <c r="AU101" s="39">
        <f t="shared" si="206"/>
        <v>2.4890373415553273</v>
      </c>
      <c r="AV101" s="39">
        <f t="shared" si="206"/>
        <v>2.5494028391073704</v>
      </c>
      <c r="AW101" s="39">
        <f t="shared" si="206"/>
        <v>2.262947931239871</v>
      </c>
      <c r="AX101" s="39">
        <f t="shared" si="206"/>
        <v>2.0502611186933914</v>
      </c>
      <c r="AY101" s="39">
        <f t="shared" si="206"/>
        <v>2.1224294655275182</v>
      </c>
      <c r="AZ101" s="39">
        <f t="shared" si="206"/>
        <v>2.208347310024513</v>
      </c>
      <c r="BA101" s="39">
        <f t="shared" si="206"/>
        <v>1.9450922661707926</v>
      </c>
      <c r="BB101" s="39">
        <f t="shared" si="206"/>
        <v>1.7452514671546664</v>
      </c>
      <c r="BC101" s="39">
        <f t="shared" si="206"/>
        <v>1.791346737003513</v>
      </c>
      <c r="BD101" s="39">
        <f t="shared" si="206"/>
        <v>1.8948456888323257</v>
      </c>
      <c r="BE101" s="39">
        <f t="shared" si="206"/>
        <v>1.8789837905964453</v>
      </c>
      <c r="BF101" s="39">
        <f t="shared" si="206"/>
        <v>1.7451631796752729</v>
      </c>
      <c r="BG101" s="39">
        <f t="shared" si="206"/>
        <v>1.6394159882043722</v>
      </c>
      <c r="BH101" s="39">
        <f t="shared" si="206"/>
        <v>1.2046175712302505</v>
      </c>
      <c r="BI101" s="39">
        <f t="shared" si="206"/>
        <v>1.2307614427336004</v>
      </c>
      <c r="BJ101" s="39">
        <f t="shared" si="206"/>
        <v>1.2650096579027186</v>
      </c>
      <c r="BK101" s="39">
        <f t="shared" si="206"/>
        <v>1.2873263888888888</v>
      </c>
      <c r="BL101" s="39">
        <f t="shared" si="206"/>
        <v>1.3424716665748242</v>
      </c>
      <c r="BM101" s="39">
        <f>(SUM(BM70:BM74)-BM73)/(SUM(BM83:BM89))</f>
        <v>1.3750022064144882</v>
      </c>
      <c r="BN101" s="39">
        <f t="shared" ref="BN101" si="207">(SUM(BN70:BN74)-BN73)/(SUM(BN83:BN89))</f>
        <v>1.3468042317551587</v>
      </c>
      <c r="BO101" s="39">
        <f>(SUM(BO70:BO74)-BO73)/(SUM(BO83:BO90))</f>
        <v>1.1030920573803207</v>
      </c>
      <c r="CI101" s="39">
        <f t="shared" ref="CI101:CM101" si="208">(SUM(CI70:CI74)-CI73)/(SUM(CI83:CI89))</f>
        <v>2.4991212906943243</v>
      </c>
      <c r="CJ101" s="39">
        <f t="shared" si="208"/>
        <v>2.4895588438666851</v>
      </c>
      <c r="CK101" s="39">
        <f t="shared" si="208"/>
        <v>2.0502611186933914</v>
      </c>
      <c r="CL101" s="39">
        <f t="shared" si="208"/>
        <v>1.7452514671546664</v>
      </c>
      <c r="CM101" s="39">
        <f t="shared" si="208"/>
        <v>1.7451631796752729</v>
      </c>
      <c r="CN101" s="39">
        <f>(SUM(CN70:CN74)-CN73)/(SUM(CN83:CN89))</f>
        <v>1.2650096579027186</v>
      </c>
      <c r="CO101" s="39">
        <f>(SUM(CO70:CO74)-CO73)/(SUM(CO83:CO89))</f>
        <v>1.3468042317551587</v>
      </c>
    </row>
    <row r="102" spans="2:154">
      <c r="B102" s="1" t="s">
        <v>128</v>
      </c>
      <c r="AP102" s="39">
        <f t="shared" ref="AP102:BL102" si="209">SUM(AP70:AP71)/SUM(AP83:AP89)</f>
        <v>1.9276721405934889</v>
      </c>
      <c r="AQ102" s="39">
        <f t="shared" si="209"/>
        <v>2.3510100141092263</v>
      </c>
      <c r="AR102" s="39">
        <f t="shared" si="209"/>
        <v>2.2510563380281692</v>
      </c>
      <c r="AS102" s="39">
        <f t="shared" si="209"/>
        <v>2.3442860306266713</v>
      </c>
      <c r="AT102" s="39">
        <f t="shared" si="209"/>
        <v>1.8880791038583875</v>
      </c>
      <c r="AU102" s="39">
        <f t="shared" si="209"/>
        <v>1.9695243804956035</v>
      </c>
      <c r="AV102" s="39">
        <f t="shared" si="209"/>
        <v>1.955487063983641</v>
      </c>
      <c r="AW102" s="39">
        <f t="shared" si="209"/>
        <v>1.7371074757940521</v>
      </c>
      <c r="AX102" s="39">
        <f t="shared" si="209"/>
        <v>1.4700926040808961</v>
      </c>
      <c r="AY102" s="39">
        <f t="shared" si="209"/>
        <v>1.6219824160540433</v>
      </c>
      <c r="AZ102" s="39">
        <f t="shared" si="209"/>
        <v>1.6174558121532705</v>
      </c>
      <c r="BA102" s="39">
        <f t="shared" si="209"/>
        <v>1.35194152817056</v>
      </c>
      <c r="BB102" s="39">
        <f t="shared" si="209"/>
        <v>1.1017542752571465</v>
      </c>
      <c r="BC102" s="39">
        <f t="shared" si="209"/>
        <v>1.227408483905297</v>
      </c>
      <c r="BD102" s="39">
        <f t="shared" si="209"/>
        <v>1.2176998947600284</v>
      </c>
      <c r="BE102" s="39">
        <f t="shared" si="209"/>
        <v>1.2186460655144649</v>
      </c>
      <c r="BF102" s="39">
        <f t="shared" si="209"/>
        <v>1.0682963830665682</v>
      </c>
      <c r="BG102" s="39">
        <f t="shared" si="209"/>
        <v>1.1535274697095967</v>
      </c>
      <c r="BH102" s="39">
        <f t="shared" si="209"/>
        <v>0.66947345805513325</v>
      </c>
      <c r="BI102" s="39">
        <f t="shared" si="209"/>
        <v>0.67514026576671593</v>
      </c>
      <c r="BJ102" s="39">
        <f t="shared" si="209"/>
        <v>0.60296441741295914</v>
      </c>
      <c r="BK102" s="39">
        <f t="shared" si="209"/>
        <v>0.68079861111111106</v>
      </c>
      <c r="BL102" s="39">
        <f t="shared" si="209"/>
        <v>0.65717933175364152</v>
      </c>
      <c r="BM102" s="39">
        <f>SUM(BM70:BM71)/SUM(BM83:BM89)</f>
        <v>0.70268123488606071</v>
      </c>
      <c r="BN102" s="39">
        <f t="shared" ref="BN102" si="210">SUM(BN70:BN71)/SUM(BN83:BN89)</f>
        <v>0.66963843136144119</v>
      </c>
      <c r="BO102" s="39">
        <f>SUM(BO70:BO71)/SUM(BO83:BO90)</f>
        <v>0.59876035968351604</v>
      </c>
      <c r="CI102" s="39">
        <f t="shared" ref="CI102:CM102" si="211">SUM(CI70:CI71)/SUM(CI83:CI89)</f>
        <v>1.9276721405934889</v>
      </c>
      <c r="CJ102" s="39">
        <f t="shared" si="211"/>
        <v>1.8880791038583875</v>
      </c>
      <c r="CK102" s="39">
        <f t="shared" si="211"/>
        <v>1.4700926040808961</v>
      </c>
      <c r="CL102" s="39">
        <f t="shared" si="211"/>
        <v>1.1017542752571465</v>
      </c>
      <c r="CM102" s="39">
        <f t="shared" si="211"/>
        <v>1.0682963830665682</v>
      </c>
      <c r="CN102" s="39">
        <f>SUM(CN70:CN71)/SUM(CN83:CN89)</f>
        <v>0.60296441741295914</v>
      </c>
      <c r="CO102" s="39">
        <f>SUM(CO70:CO71)/SUM(CO83:CO89)</f>
        <v>0.66963843136144119</v>
      </c>
    </row>
    <row r="103" spans="2:154">
      <c r="B103" s="1" t="s">
        <v>129</v>
      </c>
      <c r="AP103" s="39">
        <f t="shared" ref="AP103:BN103" si="212">AP46/AP81</f>
        <v>0.11766286519912338</v>
      </c>
      <c r="AQ103" s="39">
        <f t="shared" si="212"/>
        <v>0.11849581473714399</v>
      </c>
      <c r="AR103" s="39">
        <f t="shared" si="212"/>
        <v>0.13050489048565386</v>
      </c>
      <c r="AS103" s="39">
        <f t="shared" si="212"/>
        <v>0.12268741526507362</v>
      </c>
      <c r="AT103" s="39">
        <f t="shared" si="212"/>
        <v>0.12622506314074164</v>
      </c>
      <c r="AU103" s="39">
        <f t="shared" si="212"/>
        <v>0.12343480586443234</v>
      </c>
      <c r="AV103" s="39">
        <f t="shared" si="212"/>
        <v>0.1416335401480254</v>
      </c>
      <c r="AW103" s="39">
        <f t="shared" si="212"/>
        <v>0.13502374716312859</v>
      </c>
      <c r="AX103" s="39">
        <f t="shared" si="212"/>
        <v>0.13827113149718825</v>
      </c>
      <c r="AY103" s="39">
        <f t="shared" si="212"/>
        <v>0.13510604678341651</v>
      </c>
      <c r="AZ103" s="39">
        <f t="shared" si="212"/>
        <v>0.15196730799173885</v>
      </c>
      <c r="BA103" s="39">
        <f t="shared" si="212"/>
        <v>0.14323562783112356</v>
      </c>
      <c r="BB103" s="39">
        <f t="shared" si="212"/>
        <v>0.14215820633702445</v>
      </c>
      <c r="BC103" s="39">
        <f t="shared" si="212"/>
        <v>0.1393113645965357</v>
      </c>
      <c r="BD103" s="39">
        <f t="shared" si="212"/>
        <v>0.14468992077947729</v>
      </c>
      <c r="BE103" s="39">
        <f t="shared" si="212"/>
        <v>0.13906516385679105</v>
      </c>
      <c r="BF103" s="39">
        <f t="shared" si="212"/>
        <v>0.13638901295221081</v>
      </c>
      <c r="BG103" s="39">
        <f t="shared" si="212"/>
        <v>0.1267808472694236</v>
      </c>
      <c r="BH103" s="39">
        <f t="shared" si="212"/>
        <v>0.13180096821220763</v>
      </c>
      <c r="BI103" s="39">
        <f t="shared" si="212"/>
        <v>0.12761462685027594</v>
      </c>
      <c r="BJ103" s="39">
        <f t="shared" si="212"/>
        <v>0.12637968771660585</v>
      </c>
      <c r="BK103" s="39">
        <f t="shared" si="212"/>
        <v>0.12539841265895876</v>
      </c>
      <c r="BL103" s="39">
        <f t="shared" si="212"/>
        <v>0.1304219157966503</v>
      </c>
      <c r="BM103" s="39">
        <f t="shared" si="212"/>
        <v>0.12453432487771585</v>
      </c>
      <c r="BN103" s="39">
        <f t="shared" si="212"/>
        <v>0.12349051620105234</v>
      </c>
      <c r="BO103" s="39">
        <f t="shared" ref="BO103" si="213">BO46/BO81</f>
        <v>0.12205999519133308</v>
      </c>
      <c r="CI103" s="39">
        <f t="shared" ref="CI103:CO103" si="214">CI46/CI81</f>
        <v>0.43915674423149403</v>
      </c>
      <c r="CJ103" s="39">
        <f t="shared" si="214"/>
        <v>0.47464247903329121</v>
      </c>
      <c r="CK103" s="39">
        <f t="shared" si="214"/>
        <v>0.50359069923512267</v>
      </c>
      <c r="CL103" s="39">
        <f t="shared" si="214"/>
        <v>0.54344370134853637</v>
      </c>
      <c r="CM103" s="39">
        <f t="shared" si="214"/>
        <v>0.51438676039380937</v>
      </c>
      <c r="CN103" s="39">
        <f t="shared" si="214"/>
        <v>0.47860153896318164</v>
      </c>
      <c r="CO103" s="39">
        <f t="shared" si="214"/>
        <v>0.5386558269106122</v>
      </c>
    </row>
    <row r="104" spans="2:154">
      <c r="B104" s="1" t="s">
        <v>130</v>
      </c>
      <c r="AP104" s="39">
        <f t="shared" ref="AP104:BO104" si="215">AP47/AVERAGE(AM73:AP73)</f>
        <v>5.0470189045079978</v>
      </c>
      <c r="AQ104" s="39">
        <f t="shared" si="215"/>
        <v>4.4422625400213445</v>
      </c>
      <c r="AR104" s="39">
        <f t="shared" si="215"/>
        <v>5.6966810079901657</v>
      </c>
      <c r="AS104" s="39">
        <f t="shared" si="215"/>
        <v>5.3851815505397447</v>
      </c>
      <c r="AT104" s="39">
        <f t="shared" si="215"/>
        <v>6.1818637274549095</v>
      </c>
      <c r="AU104" s="39">
        <f t="shared" si="215"/>
        <v>5.4553117639766953</v>
      </c>
      <c r="AV104" s="39">
        <f t="shared" si="215"/>
        <v>6.9510284035259549</v>
      </c>
      <c r="AW104" s="39">
        <f t="shared" si="215"/>
        <v>5.950507469494811</v>
      </c>
      <c r="AX104" s="39">
        <f t="shared" si="215"/>
        <v>5.8847528916929548</v>
      </c>
      <c r="AY104" s="39">
        <f t="shared" si="215"/>
        <v>5.3429913860610805</v>
      </c>
      <c r="AZ104" s="39">
        <f t="shared" si="215"/>
        <v>5.9977013526655467</v>
      </c>
      <c r="BA104" s="39">
        <f t="shared" si="215"/>
        <v>5.0525804885940788</v>
      </c>
      <c r="BB104" s="39">
        <f t="shared" si="215"/>
        <v>4.8794178794178791</v>
      </c>
      <c r="BC104" s="39">
        <f t="shared" si="215"/>
        <v>4.3146945898778357</v>
      </c>
      <c r="BD104" s="39">
        <f t="shared" si="215"/>
        <v>4.8965420691586168</v>
      </c>
      <c r="BE104" s="39">
        <f t="shared" si="215"/>
        <v>4.652195860676426</v>
      </c>
      <c r="BF104" s="39">
        <f t="shared" si="215"/>
        <v>5.3211881188118815</v>
      </c>
      <c r="BG104" s="39">
        <f t="shared" si="215"/>
        <v>5.7416571277626129</v>
      </c>
      <c r="BH104" s="39">
        <f t="shared" si="215"/>
        <v>7.8554843875100078</v>
      </c>
      <c r="BI104" s="39">
        <f t="shared" si="215"/>
        <v>8.79201805440076</v>
      </c>
      <c r="BJ104" s="39">
        <f t="shared" si="215"/>
        <v>10.98897418004187</v>
      </c>
      <c r="BK104" s="39">
        <f t="shared" si="215"/>
        <v>13.882921775168365</v>
      </c>
      <c r="BL104" s="39">
        <f t="shared" si="215"/>
        <v>17.147689282202556</v>
      </c>
      <c r="BM104" s="39">
        <f t="shared" si="215"/>
        <v>18.940591920501188</v>
      </c>
      <c r="BN104" s="39">
        <f t="shared" si="215"/>
        <v>22.230039342744735</v>
      </c>
      <c r="BO104" s="39">
        <f t="shared" si="215"/>
        <v>25.143006535947713</v>
      </c>
      <c r="CI104" s="39">
        <f t="shared" ref="CI104:CO104" si="216">CI47/AVERAGE(CF73:CI73)</f>
        <v>20.799806107610276</v>
      </c>
      <c r="CJ104" s="39">
        <f t="shared" si="216"/>
        <v>23.283476503284486</v>
      </c>
      <c r="CK104" s="39">
        <f t="shared" si="216"/>
        <v>23.763421292083713</v>
      </c>
      <c r="CL104" s="39">
        <f t="shared" si="216"/>
        <v>24.245356037151701</v>
      </c>
      <c r="CM104" s="39">
        <f t="shared" si="216"/>
        <v>24.454840805718</v>
      </c>
      <c r="CN104" s="39">
        <f t="shared" si="216"/>
        <v>29.28249703674437</v>
      </c>
      <c r="CO104" s="39">
        <f t="shared" si="216"/>
        <v>41.695229052931403</v>
      </c>
    </row>
    <row r="105" spans="2:154">
      <c r="B105" s="1" t="s">
        <v>131</v>
      </c>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c r="AA105" s="47"/>
      <c r="AB105" s="47"/>
      <c r="AC105" s="47"/>
      <c r="AD105" s="47"/>
      <c r="AE105" s="47"/>
      <c r="AF105" s="47"/>
      <c r="AG105" s="47"/>
      <c r="AH105" s="47"/>
      <c r="AI105" s="47"/>
      <c r="AJ105" s="47"/>
      <c r="AK105" s="47"/>
      <c r="AL105" s="47"/>
      <c r="AM105" s="47"/>
      <c r="AN105" s="47"/>
      <c r="AO105" s="47"/>
      <c r="AP105" s="47">
        <f t="shared" ref="AP105:BN105" si="217">AP57/AP81</f>
        <v>4.6018928237412583E-2</v>
      </c>
      <c r="AQ105" s="47">
        <f t="shared" si="217"/>
        <v>3.8278575397465542E-2</v>
      </c>
      <c r="AR105" s="47">
        <f t="shared" si="217"/>
        <v>4.1192528837245487E-2</v>
      </c>
      <c r="AS105" s="47">
        <f t="shared" si="217"/>
        <v>3.766697378515952E-2</v>
      </c>
      <c r="AT105" s="47">
        <f t="shared" si="217"/>
        <v>3.7177534175652401E-2</v>
      </c>
      <c r="AU105" s="47">
        <f t="shared" si="217"/>
        <v>4.6155992837233102E-2</v>
      </c>
      <c r="AV105" s="47">
        <f t="shared" si="217"/>
        <v>5.0842219131509811E-2</v>
      </c>
      <c r="AW105" s="47">
        <f t="shared" si="217"/>
        <v>5.0042249554032484E-2</v>
      </c>
      <c r="AX105" s="47">
        <f t="shared" si="217"/>
        <v>4.9308075103586507E-2</v>
      </c>
      <c r="AY105" s="47">
        <f t="shared" si="217"/>
        <v>6.113267624277767E-2</v>
      </c>
      <c r="AZ105" s="47">
        <f t="shared" si="217"/>
        <v>5.509872528195682E-2</v>
      </c>
      <c r="BA105" s="47">
        <f t="shared" si="217"/>
        <v>4.8542252478910759E-2</v>
      </c>
      <c r="BB105" s="47">
        <f t="shared" si="217"/>
        <v>4.5910536125424846E-2</v>
      </c>
      <c r="BC105" s="47">
        <f t="shared" si="217"/>
        <v>4.8795944233206594E-2</v>
      </c>
      <c r="BD105" s="47">
        <f t="shared" si="217"/>
        <v>4.505530075270469E-2</v>
      </c>
      <c r="BE105" s="47">
        <f t="shared" si="217"/>
        <v>4.8144113994653868E-2</v>
      </c>
      <c r="BF105" s="47">
        <f t="shared" si="217"/>
        <v>4.874313066780589E-2</v>
      </c>
      <c r="BG105" s="47">
        <f t="shared" si="217"/>
        <v>5.0003925659230349E-2</v>
      </c>
      <c r="BH105" s="47">
        <f t="shared" si="217"/>
        <v>4.6476736130296369E-2</v>
      </c>
      <c r="BI105" s="47">
        <f t="shared" si="217"/>
        <v>4.526071483831038E-2</v>
      </c>
      <c r="BJ105" s="47">
        <f t="shared" si="217"/>
        <v>4.3025364971698461E-2</v>
      </c>
      <c r="BK105" s="47">
        <f t="shared" si="217"/>
        <v>4.7163263628246334E-2</v>
      </c>
      <c r="BL105" s="47">
        <f t="shared" si="217"/>
        <v>4.5154692469348078E-2</v>
      </c>
      <c r="BM105" s="47">
        <f t="shared" si="217"/>
        <v>4.5899215106358776E-2</v>
      </c>
      <c r="BN105" s="47">
        <f t="shared" si="217"/>
        <v>4.3994940250693455E-2</v>
      </c>
      <c r="BO105" s="47">
        <f t="shared" ref="BO105" si="218">BO57/BO81</f>
        <v>4.3603294408274679E-2</v>
      </c>
      <c r="BP105" s="68"/>
      <c r="BQ105" s="68"/>
      <c r="BR105" s="68"/>
      <c r="BS105" s="47"/>
      <c r="BT105" s="47"/>
      <c r="BU105" s="47"/>
      <c r="BV105" s="47"/>
      <c r="BW105" s="47"/>
      <c r="BX105" s="47"/>
      <c r="BY105" s="47"/>
      <c r="BZ105" s="47"/>
      <c r="CA105" s="47"/>
      <c r="CB105" s="47"/>
      <c r="CC105" s="47"/>
      <c r="CD105" s="47"/>
      <c r="CE105" s="47"/>
      <c r="CF105" s="47"/>
      <c r="CG105" s="47"/>
      <c r="CH105" s="47"/>
      <c r="CI105" s="47">
        <f t="shared" ref="CI105:CO105" si="219">CI57/CI81</f>
        <v>0.13693658482111698</v>
      </c>
      <c r="CJ105" s="47">
        <f t="shared" si="219"/>
        <v>0.14696111326835065</v>
      </c>
      <c r="CK105" s="47">
        <f t="shared" si="219"/>
        <v>0.18356757015869782</v>
      </c>
      <c r="CL105" s="47">
        <f t="shared" si="219"/>
        <v>0.19936958666812848</v>
      </c>
      <c r="CM105" s="47">
        <f t="shared" si="219"/>
        <v>0.175643726819038</v>
      </c>
      <c r="CN105" s="47">
        <f t="shared" si="219"/>
        <v>0.17208583985957596</v>
      </c>
      <c r="CO105" s="47">
        <f t="shared" si="219"/>
        <v>0.19470261733455957</v>
      </c>
    </row>
    <row r="106" spans="2:154">
      <c r="B106" s="1" t="s">
        <v>132</v>
      </c>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c r="AA106" s="47"/>
      <c r="AB106" s="47"/>
      <c r="AC106" s="47"/>
      <c r="AD106" s="47"/>
      <c r="AE106" s="47"/>
      <c r="AF106" s="47"/>
      <c r="AG106" s="47"/>
      <c r="AH106" s="47"/>
      <c r="AI106" s="47"/>
      <c r="AJ106" s="47"/>
      <c r="AK106" s="47"/>
      <c r="AL106" s="47"/>
      <c r="AM106" s="47"/>
      <c r="AN106" s="47"/>
      <c r="AO106" s="47"/>
      <c r="AP106" s="47">
        <f t="shared" ref="AP106:BN106" si="220">AP57/AP97</f>
        <v>0.1288673898172579</v>
      </c>
      <c r="AQ106" s="47">
        <f t="shared" si="220"/>
        <v>0.1006779117677563</v>
      </c>
      <c r="AR106" s="47">
        <f t="shared" si="220"/>
        <v>0.10579516660763426</v>
      </c>
      <c r="AS106" s="47">
        <f t="shared" si="220"/>
        <v>9.3903110016506405E-2</v>
      </c>
      <c r="AT106" s="47">
        <f t="shared" si="220"/>
        <v>9.4688260751961045E-2</v>
      </c>
      <c r="AU106" s="47">
        <f t="shared" si="220"/>
        <v>0.11259238848547717</v>
      </c>
      <c r="AV106" s="47">
        <f t="shared" si="220"/>
        <v>0.11873061211953684</v>
      </c>
      <c r="AW106" s="47">
        <f t="shared" si="220"/>
        <v>0.11491766105349244</v>
      </c>
      <c r="AX106" s="47">
        <f t="shared" si="220"/>
        <v>0.11591120376369834</v>
      </c>
      <c r="AY106" s="47">
        <f t="shared" si="220"/>
        <v>0.1349208438063404</v>
      </c>
      <c r="AZ106" s="47">
        <f t="shared" si="220"/>
        <v>0.11721142428598212</v>
      </c>
      <c r="BA106" s="47">
        <f t="shared" si="220"/>
        <v>0.10267363924283715</v>
      </c>
      <c r="BB106" s="47">
        <f t="shared" si="220"/>
        <v>0.10057523027224363</v>
      </c>
      <c r="BC106" s="47">
        <f t="shared" si="220"/>
        <v>0.10114884251523916</v>
      </c>
      <c r="BD106" s="47">
        <f t="shared" si="220"/>
        <v>8.9687445395771448E-2</v>
      </c>
      <c r="BE106" s="47">
        <f t="shared" si="220"/>
        <v>9.3993825860501437E-2</v>
      </c>
      <c r="BF106" s="47">
        <f t="shared" si="220"/>
        <v>9.7375171537607344E-2</v>
      </c>
      <c r="BG106" s="47">
        <f t="shared" si="220"/>
        <v>0.10099495274427539</v>
      </c>
      <c r="BH106" s="47">
        <f t="shared" si="220"/>
        <v>9.1787399063239711E-2</v>
      </c>
      <c r="BI106" s="47">
        <f t="shared" si="220"/>
        <v>8.6663348502085708E-2</v>
      </c>
      <c r="BJ106" s="47">
        <f t="shared" si="220"/>
        <v>8.2077794373447255E-2</v>
      </c>
      <c r="BK106" s="47">
        <f t="shared" si="220"/>
        <v>8.5731762841343928E-2</v>
      </c>
      <c r="BL106" s="47">
        <f t="shared" si="220"/>
        <v>7.9644526668758986E-2</v>
      </c>
      <c r="BM106" s="47">
        <f t="shared" si="220"/>
        <v>8.0225914983643537E-2</v>
      </c>
      <c r="BN106" s="47">
        <f t="shared" si="220"/>
        <v>7.9285778752121672E-2</v>
      </c>
      <c r="BO106" s="47">
        <f t="shared" ref="BO106" si="221">BO57/BO97</f>
        <v>7.6422016327160155E-2</v>
      </c>
      <c r="BP106" s="68"/>
      <c r="BQ106" s="68"/>
      <c r="BR106" s="68"/>
      <c r="BS106" s="47"/>
      <c r="BT106" s="47"/>
      <c r="BU106" s="47"/>
      <c r="BV106" s="47"/>
      <c r="BW106" s="47"/>
      <c r="BX106" s="47"/>
      <c r="BY106" s="47"/>
      <c r="BZ106" s="47"/>
      <c r="CA106" s="47"/>
      <c r="CB106" s="47"/>
      <c r="CC106" s="47"/>
      <c r="CD106" s="47"/>
      <c r="CE106" s="47"/>
      <c r="CF106" s="47"/>
      <c r="CG106" s="47"/>
      <c r="CH106" s="47"/>
      <c r="CI106" s="47">
        <f t="shared" ref="CI106:CO106" si="222">CI57/CI97</f>
        <v>0.38346525945470539</v>
      </c>
      <c r="CJ106" s="47">
        <f t="shared" si="222"/>
        <v>0.37429841763592103</v>
      </c>
      <c r="CK106" s="47">
        <f t="shared" si="222"/>
        <v>0.43152238217314137</v>
      </c>
      <c r="CL106" s="47">
        <f t="shared" si="222"/>
        <v>0.43675469250999749</v>
      </c>
      <c r="CM106" s="47">
        <f t="shared" si="222"/>
        <v>0.35088714643856406</v>
      </c>
      <c r="CN106" s="47">
        <f t="shared" si="222"/>
        <v>0.32828137978299815</v>
      </c>
      <c r="CO106" s="47">
        <f t="shared" si="222"/>
        <v>0.29647227341409521</v>
      </c>
    </row>
    <row r="107" spans="2:154">
      <c r="BO107" s="37"/>
    </row>
    <row r="108" spans="2:154">
      <c r="B108" s="1" t="s">
        <v>241</v>
      </c>
      <c r="C108" s="1">
        <f t="shared" ref="C108:AH108" si="223">C57</f>
        <v>3574</v>
      </c>
      <c r="D108" s="1">
        <f t="shared" si="223"/>
        <v>6662</v>
      </c>
      <c r="E108" s="1">
        <f t="shared" si="223"/>
        <v>4006</v>
      </c>
      <c r="F108" s="1">
        <f t="shared" si="223"/>
        <v>4518</v>
      </c>
      <c r="G108" s="1">
        <f t="shared" si="223"/>
        <v>5410</v>
      </c>
      <c r="H108" s="1">
        <f t="shared" si="223"/>
        <v>6634</v>
      </c>
      <c r="I108" s="1">
        <f t="shared" si="223"/>
        <v>5234</v>
      </c>
      <c r="J108" s="1">
        <f t="shared" si="223"/>
        <v>5874</v>
      </c>
      <c r="K108" s="1">
        <f t="shared" si="223"/>
        <v>5738</v>
      </c>
      <c r="L108" s="1">
        <f t="shared" si="223"/>
        <v>6624</v>
      </c>
      <c r="M108" s="1">
        <f t="shared" si="223"/>
        <v>5108</v>
      </c>
      <c r="N108" s="1">
        <f t="shared" si="223"/>
        <v>-492</v>
      </c>
      <c r="O108" s="1">
        <f t="shared" si="223"/>
        <v>4466</v>
      </c>
      <c r="P108" s="1">
        <f t="shared" si="223"/>
        <v>6377</v>
      </c>
      <c r="Q108" s="1">
        <f t="shared" si="223"/>
        <v>6055</v>
      </c>
      <c r="R108" s="1">
        <f t="shared" si="223"/>
        <v>4965</v>
      </c>
      <c r="S108" s="1">
        <f t="shared" si="223"/>
        <v>5244</v>
      </c>
      <c r="T108" s="1">
        <f t="shared" si="223"/>
        <v>6558</v>
      </c>
      <c r="U108" s="1">
        <f t="shared" si="223"/>
        <v>5660</v>
      </c>
      <c r="V108" s="1">
        <f t="shared" si="223"/>
        <v>4739</v>
      </c>
      <c r="W108" s="1">
        <f t="shared" si="223"/>
        <v>4540</v>
      </c>
      <c r="X108" s="1">
        <f t="shared" si="223"/>
        <v>5863</v>
      </c>
      <c r="Y108" s="1">
        <f t="shared" si="223"/>
        <v>4985</v>
      </c>
      <c r="Z108" s="1">
        <f t="shared" si="223"/>
        <v>-3195</v>
      </c>
      <c r="AA108" s="1">
        <f t="shared" si="223"/>
        <v>4902</v>
      </c>
      <c r="AB108" s="1">
        <f t="shared" si="223"/>
        <v>5018</v>
      </c>
      <c r="AC108" s="1">
        <f t="shared" si="223"/>
        <v>3756</v>
      </c>
      <c r="AD108" s="1">
        <f t="shared" si="223"/>
        <v>6863</v>
      </c>
      <c r="AE108" s="1">
        <f t="shared" si="223"/>
        <v>5667</v>
      </c>
      <c r="AF108" s="1">
        <f t="shared" si="223"/>
        <v>6267</v>
      </c>
      <c r="AG108" s="1">
        <f t="shared" si="223"/>
        <v>5486</v>
      </c>
      <c r="AH108" s="1">
        <f t="shared" si="223"/>
        <v>8069</v>
      </c>
      <c r="AI108" s="1">
        <f t="shared" ref="AI108:BN108" si="224">AI57</f>
        <v>6576</v>
      </c>
      <c r="AJ108" s="1">
        <f t="shared" si="224"/>
        <v>12</v>
      </c>
      <c r="AK108" s="1">
        <f>AK57</f>
        <v>7424</v>
      </c>
      <c r="AL108" s="1">
        <f ca="1">AL57</f>
        <v>8873</v>
      </c>
      <c r="AM108" s="1">
        <f t="shared" si="224"/>
        <v>8824</v>
      </c>
      <c r="AN108" s="1">
        <f t="shared" si="224"/>
        <v>8420</v>
      </c>
      <c r="AO108" s="1">
        <f t="shared" si="224"/>
        <v>8809</v>
      </c>
      <c r="AP108" s="1">
        <f t="shared" si="224"/>
        <v>13187</v>
      </c>
      <c r="AQ108" s="1">
        <f t="shared" si="224"/>
        <v>10678</v>
      </c>
      <c r="AR108" s="1">
        <f t="shared" si="224"/>
        <v>11649</v>
      </c>
      <c r="AS108" s="1">
        <f t="shared" si="224"/>
        <v>10752</v>
      </c>
      <c r="AT108" s="1">
        <f t="shared" si="224"/>
        <v>11202</v>
      </c>
      <c r="AU108" s="1">
        <f t="shared" si="224"/>
        <v>13893</v>
      </c>
      <c r="AV108" s="1">
        <f t="shared" si="224"/>
        <v>15463</v>
      </c>
      <c r="AW108" s="1">
        <f t="shared" si="224"/>
        <v>15457</v>
      </c>
      <c r="AX108" s="1">
        <f t="shared" si="224"/>
        <v>16458</v>
      </c>
      <c r="AY108" s="1">
        <f t="shared" si="224"/>
        <v>20505</v>
      </c>
      <c r="AZ108" s="1">
        <f t="shared" si="224"/>
        <v>18755</v>
      </c>
      <c r="BA108" s="1">
        <f t="shared" si="224"/>
        <v>16728</v>
      </c>
      <c r="BB108" s="1">
        <f t="shared" si="224"/>
        <v>16750</v>
      </c>
      <c r="BC108" s="1">
        <f t="shared" si="224"/>
        <v>17556</v>
      </c>
      <c r="BD108" s="1">
        <f t="shared" si="224"/>
        <v>16425</v>
      </c>
      <c r="BE108" s="1">
        <f t="shared" si="224"/>
        <v>18299</v>
      </c>
      <c r="BF108" s="1">
        <f t="shared" si="224"/>
        <v>20081</v>
      </c>
      <c r="BG108" s="1">
        <f t="shared" si="224"/>
        <v>22291</v>
      </c>
      <c r="BH108" s="1">
        <f t="shared" si="224"/>
        <v>21870</v>
      </c>
      <c r="BI108" s="1">
        <f t="shared" si="224"/>
        <v>21939</v>
      </c>
      <c r="BJ108" s="1">
        <f t="shared" si="224"/>
        <v>22036</v>
      </c>
      <c r="BK108" s="1">
        <f t="shared" si="224"/>
        <v>24667</v>
      </c>
      <c r="BL108" s="1">
        <f t="shared" si="224"/>
        <v>24108</v>
      </c>
      <c r="BM108" s="1">
        <f t="shared" si="224"/>
        <v>25824</v>
      </c>
      <c r="BN108" s="1">
        <f t="shared" si="224"/>
        <v>27233</v>
      </c>
      <c r="BO108" s="1">
        <f t="shared" ref="BO108" si="225">BO57</f>
        <v>27747</v>
      </c>
      <c r="BZ108" s="1">
        <f>SUM(C108:F108)</f>
        <v>18760</v>
      </c>
      <c r="CA108" s="1">
        <f>SUM(G108:J108)</f>
        <v>23152</v>
      </c>
      <c r="CB108" s="1">
        <f>SUM(K108:N108)</f>
        <v>16978</v>
      </c>
      <c r="CC108" s="1">
        <f>SUM(O108:R108)</f>
        <v>21863</v>
      </c>
      <c r="CD108" s="1">
        <f>SUM(S108:V108)</f>
        <v>22201</v>
      </c>
      <c r="CE108" s="1">
        <f>SUM(W108:Z108)</f>
        <v>12193</v>
      </c>
      <c r="CF108" s="1">
        <f>SUM(AA108:AD108)</f>
        <v>20539</v>
      </c>
      <c r="CG108" s="1">
        <f>SUM(AE108:AH108)</f>
        <v>25489</v>
      </c>
      <c r="CH108" s="1">
        <v>22885</v>
      </c>
      <c r="CI108" s="1">
        <f>SUM(AM108:AP108)</f>
        <v>39240</v>
      </c>
      <c r="CJ108" s="1">
        <f>SUM(AQ108:AT108)</f>
        <v>44281</v>
      </c>
      <c r="CK108" s="1">
        <f>SUM(AU108:AX108)</f>
        <v>61271</v>
      </c>
      <c r="CL108" s="1">
        <f>SUM(AY108:BB108)</f>
        <v>72738</v>
      </c>
      <c r="CM108" s="1">
        <f>SUM(BC108:BF108)</f>
        <v>72361</v>
      </c>
      <c r="CN108" s="1">
        <f>SUM(BG108:BJ108)</f>
        <v>88136</v>
      </c>
      <c r="CO108" s="1">
        <f t="shared" ref="CO108:CO113" si="226">SUM(BK108:BN108)</f>
        <v>101832</v>
      </c>
      <c r="CP108" s="72"/>
      <c r="CQ108" s="72"/>
      <c r="CR108" s="72"/>
      <c r="CS108" s="72"/>
      <c r="CT108" s="72"/>
      <c r="CU108" s="72"/>
      <c r="CV108" s="72"/>
      <c r="CW108" s="72"/>
      <c r="CX108" s="72"/>
      <c r="CY108" s="72"/>
    </row>
    <row r="109" spans="2:154" s="2" customFormat="1" ht="15">
      <c r="B109" s="2" t="s">
        <v>133</v>
      </c>
      <c r="C109" s="2">
        <v>6107</v>
      </c>
      <c r="D109" s="2">
        <v>4969</v>
      </c>
      <c r="E109" s="2">
        <v>7393</v>
      </c>
      <c r="F109" s="2">
        <v>5604</v>
      </c>
      <c r="G109" s="2">
        <v>8194</v>
      </c>
      <c r="H109" s="2">
        <v>4186</v>
      </c>
      <c r="I109" s="2">
        <v>8672</v>
      </c>
      <c r="J109" s="2">
        <v>5942</v>
      </c>
      <c r="K109" s="2">
        <v>8493</v>
      </c>
      <c r="L109" s="2">
        <v>5862</v>
      </c>
      <c r="M109" s="2">
        <v>9594</v>
      </c>
      <c r="N109" s="2">
        <v>7677</v>
      </c>
      <c r="O109" s="2">
        <v>8484</v>
      </c>
      <c r="P109" s="2">
        <v>4780</v>
      </c>
      <c r="Q109" s="2">
        <v>9666</v>
      </c>
      <c r="R109" s="2">
        <v>5903</v>
      </c>
      <c r="S109" s="2">
        <v>8205</v>
      </c>
      <c r="T109" s="2">
        <v>4413</v>
      </c>
      <c r="U109" s="2">
        <v>10099</v>
      </c>
      <c r="V109" s="2">
        <v>9785</v>
      </c>
      <c r="W109" s="2">
        <v>8354</v>
      </c>
      <c r="X109" s="2">
        <v>4340</v>
      </c>
      <c r="Y109" s="2">
        <v>10125</v>
      </c>
      <c r="Z109" s="2">
        <v>6849</v>
      </c>
      <c r="AA109" s="2">
        <v>8876</v>
      </c>
      <c r="AB109" s="2">
        <v>5618</v>
      </c>
      <c r="AC109" s="2">
        <v>10367</v>
      </c>
      <c r="AD109" s="2">
        <v>8464</v>
      </c>
      <c r="AE109" s="2">
        <v>11549</v>
      </c>
      <c r="AF109" s="2">
        <v>6293</v>
      </c>
      <c r="AG109" s="2">
        <v>10660</v>
      </c>
      <c r="AH109" s="2">
        <v>11005</v>
      </c>
      <c r="AI109" s="2">
        <v>12440</v>
      </c>
      <c r="AJ109" s="2">
        <v>7875</v>
      </c>
      <c r="AK109" s="2">
        <v>12151</v>
      </c>
      <c r="AL109" s="2">
        <v>11418</v>
      </c>
      <c r="AM109" s="2">
        <v>13657</v>
      </c>
      <c r="AN109" s="2">
        <v>16108</v>
      </c>
      <c r="AO109" s="2">
        <v>13520</v>
      </c>
      <c r="AP109" s="2">
        <v>16108</v>
      </c>
      <c r="AQ109" s="2">
        <v>13818</v>
      </c>
      <c r="AR109" s="2">
        <v>10680</v>
      </c>
      <c r="AS109" s="2">
        <v>17504</v>
      </c>
      <c r="AT109" s="2">
        <v>18673</v>
      </c>
      <c r="AU109" s="2">
        <v>19335</v>
      </c>
      <c r="AV109" s="2">
        <v>12516</v>
      </c>
      <c r="AW109" s="2">
        <v>22179</v>
      </c>
      <c r="AX109" s="2">
        <v>22710</v>
      </c>
      <c r="AY109" s="2">
        <v>24540</v>
      </c>
      <c r="AZ109" s="2">
        <v>14480</v>
      </c>
      <c r="BA109" s="2">
        <v>25386</v>
      </c>
      <c r="BB109" s="2">
        <v>24629</v>
      </c>
      <c r="BC109" s="2">
        <v>23198</v>
      </c>
      <c r="BD109" s="2">
        <v>11173</v>
      </c>
      <c r="BE109" s="2">
        <v>24441</v>
      </c>
      <c r="BF109" s="2">
        <v>28770</v>
      </c>
      <c r="BG109" s="2">
        <v>30583</v>
      </c>
      <c r="BH109" s="2">
        <v>18853</v>
      </c>
      <c r="BI109" s="2">
        <v>31917</v>
      </c>
      <c r="BJ109" s="2">
        <v>37195</v>
      </c>
      <c r="BK109" s="2">
        <v>34180</v>
      </c>
      <c r="BL109" s="33">
        <v>22291</v>
      </c>
      <c r="BM109" s="33">
        <v>37044</v>
      </c>
      <c r="BN109" s="2">
        <v>42627</v>
      </c>
      <c r="BO109" s="33">
        <v>45057</v>
      </c>
      <c r="BP109" s="34"/>
      <c r="BQ109" s="34"/>
      <c r="BR109" s="34"/>
      <c r="BZ109" s="2">
        <f>SUM(C109:F109)</f>
        <v>24073</v>
      </c>
      <c r="CA109" s="2">
        <f>SUM(G109:J109)</f>
        <v>26994</v>
      </c>
      <c r="CB109" s="2">
        <f>SUM(K109:N109)</f>
        <v>31626</v>
      </c>
      <c r="CC109" s="2">
        <f>SUM(O109:R109)</f>
        <v>28833</v>
      </c>
      <c r="CD109" s="2">
        <f>SUM(S109:V109)</f>
        <v>32502</v>
      </c>
      <c r="CE109" s="2">
        <f>SUM(W109:Z109)</f>
        <v>29668</v>
      </c>
      <c r="CF109" s="2">
        <f>SUM(AA109:AD109)</f>
        <v>33325</v>
      </c>
      <c r="CG109" s="2">
        <f>SUM(AE109:AH109)</f>
        <v>39507</v>
      </c>
      <c r="CH109" s="2">
        <f>SUM(AI109:AL109)</f>
        <v>43884</v>
      </c>
      <c r="CI109" s="2">
        <f>SUM(AM109:AP109)</f>
        <v>59393</v>
      </c>
      <c r="CJ109" s="2">
        <f>SUM(AQ109:AT109)</f>
        <v>60675</v>
      </c>
      <c r="CK109" s="2">
        <f>SUM(AU109:AX109)</f>
        <v>76740</v>
      </c>
      <c r="CL109" s="2">
        <f>SUM(AY109:BB109)</f>
        <v>89035</v>
      </c>
      <c r="CM109" s="2">
        <f>SUM(BC109:BF109)</f>
        <v>87582</v>
      </c>
      <c r="CN109" s="2">
        <f>SUM(BG109:BJ109)</f>
        <v>118548</v>
      </c>
      <c r="CO109" s="2">
        <f t="shared" si="226"/>
        <v>136142</v>
      </c>
      <c r="CP109" s="70"/>
      <c r="CQ109" s="70"/>
      <c r="CR109" s="70"/>
      <c r="CS109" s="70"/>
      <c r="CT109" s="70"/>
      <c r="CU109" s="70"/>
      <c r="CV109" s="70"/>
      <c r="CW109" s="70"/>
      <c r="CX109" s="70"/>
      <c r="CY109" s="70"/>
      <c r="EW109" s="70"/>
      <c r="EX109" s="70"/>
    </row>
    <row r="110" spans="2:154">
      <c r="B110" s="1" t="s">
        <v>134</v>
      </c>
      <c r="C110" s="1">
        <v>-435</v>
      </c>
      <c r="D110" s="1">
        <v>-376</v>
      </c>
      <c r="E110" s="1">
        <v>-408</v>
      </c>
      <c r="F110" s="1">
        <v>-758</v>
      </c>
      <c r="G110" s="1">
        <v>-564</v>
      </c>
      <c r="H110" s="1">
        <v>-491</v>
      </c>
      <c r="I110" s="1">
        <v>-658</v>
      </c>
      <c r="J110" s="1">
        <v>-642</v>
      </c>
      <c r="K110" s="1">
        <v>-436</v>
      </c>
      <c r="L110" s="1">
        <v>-498</v>
      </c>
      <c r="M110" s="1">
        <v>-749</v>
      </c>
      <c r="N110" s="1">
        <v>-622</v>
      </c>
      <c r="O110" s="1">
        <v>-603</v>
      </c>
      <c r="P110" s="1">
        <v>-930</v>
      </c>
      <c r="Q110" s="1">
        <v>-930</v>
      </c>
      <c r="R110" s="1">
        <v>-1794</v>
      </c>
      <c r="S110" s="1">
        <v>-1231</v>
      </c>
      <c r="T110" s="1">
        <v>-1732</v>
      </c>
      <c r="U110" s="1">
        <v>-1192</v>
      </c>
      <c r="V110" s="1">
        <v>-1330</v>
      </c>
      <c r="W110" s="1">
        <v>-1282</v>
      </c>
      <c r="X110" s="1">
        <v>-1490</v>
      </c>
      <c r="Y110" s="1">
        <v>-1391</v>
      </c>
      <c r="Z110" s="1">
        <v>-1781</v>
      </c>
      <c r="AA110" s="1">
        <v>-1356</v>
      </c>
      <c r="AB110" s="1">
        <v>-2024</v>
      </c>
      <c r="AC110" s="1">
        <v>-2308</v>
      </c>
      <c r="AD110" s="1">
        <v>-2655</v>
      </c>
      <c r="AE110" s="1">
        <v>-2163</v>
      </c>
      <c r="AF110" s="1">
        <v>-1988</v>
      </c>
      <c r="AG110" s="1">
        <v>-1695</v>
      </c>
      <c r="AH110" s="1">
        <v>-2283</v>
      </c>
      <c r="AI110" s="1">
        <v>-2132</v>
      </c>
      <c r="AJ110" s="1">
        <v>-2586</v>
      </c>
      <c r="AK110" s="1">
        <v>-2934</v>
      </c>
      <c r="AL110" s="1">
        <v>-3980</v>
      </c>
      <c r="AM110" s="1">
        <v>-3602</v>
      </c>
      <c r="AN110" s="1">
        <v>-3707</v>
      </c>
      <c r="AO110" s="1">
        <v>-2565</v>
      </c>
      <c r="AP110" s="1">
        <v>-4051</v>
      </c>
      <c r="AQ110" s="1">
        <v>-3385</v>
      </c>
      <c r="AR110" s="1">
        <v>-3545</v>
      </c>
      <c r="AS110" s="1">
        <v>-3767</v>
      </c>
      <c r="AT110" s="1">
        <v>-4744</v>
      </c>
      <c r="AU110" s="1">
        <v>-4907</v>
      </c>
      <c r="AV110" s="1">
        <v>-4174</v>
      </c>
      <c r="AW110" s="1">
        <v>12516</v>
      </c>
      <c r="AX110" s="1">
        <v>-6452</v>
      </c>
      <c r="AY110" s="1">
        <v>-5810</v>
      </c>
      <c r="AZ110" s="1">
        <v>-5865</v>
      </c>
      <c r="BA110" s="1">
        <v>-5340</v>
      </c>
      <c r="BB110" s="1">
        <v>-6871</v>
      </c>
      <c r="BC110" s="1">
        <v>-6283</v>
      </c>
      <c r="BD110" s="1">
        <v>-6274</v>
      </c>
      <c r="BE110" s="1">
        <v>-6607</v>
      </c>
      <c r="BF110" s="1">
        <v>-8943</v>
      </c>
      <c r="BG110" s="1">
        <v>-9917</v>
      </c>
      <c r="BH110" s="1">
        <v>-9735</v>
      </c>
      <c r="BI110" s="1">
        <v>-10952</v>
      </c>
      <c r="BJ110" s="1">
        <v>-13873</v>
      </c>
      <c r="BK110" s="1">
        <v>-14923</v>
      </c>
      <c r="BL110" s="37">
        <v>-15804</v>
      </c>
      <c r="BM110" s="37">
        <v>-16745</v>
      </c>
      <c r="BN110" s="1">
        <v>-17079</v>
      </c>
      <c r="BO110" s="37">
        <v>-19394</v>
      </c>
      <c r="BZ110" s="1">
        <f>SUM(C110:F110)</f>
        <v>-1977</v>
      </c>
      <c r="CA110" s="1">
        <f>SUM(G110:J110)</f>
        <v>-2355</v>
      </c>
      <c r="CB110" s="1">
        <f>SUM(K110:N110)</f>
        <v>-2305</v>
      </c>
      <c r="CC110" s="1">
        <f>SUM(O110:R110)</f>
        <v>-4257</v>
      </c>
      <c r="CD110" s="1">
        <f>SUM(S110:V110)</f>
        <v>-5485</v>
      </c>
      <c r="CE110" s="1">
        <f>SUM(W110:Z110)</f>
        <v>-5944</v>
      </c>
      <c r="CF110" s="1">
        <f>SUM(AA110:AD110)</f>
        <v>-8343</v>
      </c>
      <c r="CG110" s="1">
        <f>SUM(AE110:AH110)</f>
        <v>-8129</v>
      </c>
      <c r="CH110" s="1">
        <f>SUM(AI110:AL110)</f>
        <v>-11632</v>
      </c>
      <c r="CI110" s="1">
        <f>SUM(AM110:AP110)</f>
        <v>-13925</v>
      </c>
      <c r="CJ110" s="1">
        <f>SUM(AQ110:AT110)</f>
        <v>-15441</v>
      </c>
      <c r="CK110" s="1">
        <f>SUM(AU110:AX110)</f>
        <v>-3017</v>
      </c>
      <c r="CL110" s="1">
        <f>SUM(AY110:BB110)</f>
        <v>-23886</v>
      </c>
      <c r="CM110" s="1">
        <f>SUM(BC110:BF110)</f>
        <v>-28107</v>
      </c>
      <c r="CN110" s="1">
        <f>SUM(BG110:BJ110)</f>
        <v>-44477</v>
      </c>
      <c r="CO110" s="1">
        <f t="shared" si="226"/>
        <v>-64551</v>
      </c>
    </row>
    <row r="111" spans="2:154" s="2" customFormat="1" ht="15">
      <c r="B111" s="2" t="s">
        <v>135</v>
      </c>
      <c r="C111" s="2">
        <f t="shared" ref="C111:J111" si="227">C109+C110</f>
        <v>5672</v>
      </c>
      <c r="D111" s="2">
        <f t="shared" si="227"/>
        <v>4593</v>
      </c>
      <c r="E111" s="2">
        <f t="shared" si="227"/>
        <v>6985</v>
      </c>
      <c r="F111" s="2">
        <f t="shared" si="227"/>
        <v>4846</v>
      </c>
      <c r="G111" s="2">
        <f t="shared" si="227"/>
        <v>7630</v>
      </c>
      <c r="H111" s="2">
        <f t="shared" si="227"/>
        <v>3695</v>
      </c>
      <c r="I111" s="2">
        <f t="shared" si="227"/>
        <v>8014</v>
      </c>
      <c r="J111" s="2">
        <f t="shared" si="227"/>
        <v>5300</v>
      </c>
      <c r="K111" s="2">
        <f t="shared" ref="K111" si="228">K109+K110</f>
        <v>8057</v>
      </c>
      <c r="L111" s="2">
        <f t="shared" ref="L111" si="229">L109+L110</f>
        <v>5364</v>
      </c>
      <c r="M111" s="2">
        <f t="shared" ref="M111" si="230">M109+M110</f>
        <v>8845</v>
      </c>
      <c r="N111" s="2">
        <f t="shared" ref="N111" si="231">N109+N110</f>
        <v>7055</v>
      </c>
      <c r="O111" s="2">
        <f t="shared" ref="O111" si="232">O109+O110</f>
        <v>7881</v>
      </c>
      <c r="P111" s="2">
        <f t="shared" ref="P111" si="233">P109+P110</f>
        <v>3850</v>
      </c>
      <c r="Q111" s="2">
        <f t="shared" ref="Q111" si="234">Q109+Q110</f>
        <v>8736</v>
      </c>
      <c r="R111" s="2">
        <f t="shared" ref="R111" si="235">R109+R110</f>
        <v>4109</v>
      </c>
      <c r="S111" s="2">
        <f t="shared" ref="S111" si="236">S109+S110</f>
        <v>6974</v>
      </c>
      <c r="T111" s="2">
        <f t="shared" ref="T111" si="237">T109+T110</f>
        <v>2681</v>
      </c>
      <c r="U111" s="2">
        <f t="shared" ref="U111" si="238">U109+U110</f>
        <v>8907</v>
      </c>
      <c r="V111" s="2">
        <f t="shared" ref="V111" si="239">V109+V110</f>
        <v>8455</v>
      </c>
      <c r="W111" s="2">
        <f t="shared" ref="W111" si="240">W109+W110</f>
        <v>7072</v>
      </c>
      <c r="X111" s="2">
        <f t="shared" ref="X111" si="241">X109+X110</f>
        <v>2850</v>
      </c>
      <c r="Y111" s="2">
        <f t="shared" ref="Y111" si="242">Y109+Y110</f>
        <v>8734</v>
      </c>
      <c r="Z111" s="2">
        <f t="shared" ref="Z111" si="243">Z109+Z110</f>
        <v>5068</v>
      </c>
      <c r="AA111" s="2">
        <f t="shared" ref="AA111" si="244">AA109+AA110</f>
        <v>7520</v>
      </c>
      <c r="AB111" s="2">
        <f t="shared" ref="AB111" si="245">AB109+AB110</f>
        <v>3594</v>
      </c>
      <c r="AC111" s="2">
        <f t="shared" ref="AC111" si="246">AC109+AC110</f>
        <v>8059</v>
      </c>
      <c r="AD111" s="2">
        <f t="shared" ref="AD111" si="247">AD109+AD110</f>
        <v>5809</v>
      </c>
      <c r="AE111" s="2">
        <f t="shared" ref="AE111" si="248">AE109+AE110</f>
        <v>9386</v>
      </c>
      <c r="AF111" s="2">
        <f t="shared" ref="AF111" si="249">AF109+AF110</f>
        <v>4305</v>
      </c>
      <c r="AG111" s="2">
        <f t="shared" ref="AG111" si="250">AG109+AG110</f>
        <v>8965</v>
      </c>
      <c r="AH111" s="2">
        <f t="shared" ref="AH111" si="251">AH109+AH110</f>
        <v>8722</v>
      </c>
      <c r="AI111" s="2">
        <f t="shared" ref="AI111" si="252">AI109+AI110</f>
        <v>10308</v>
      </c>
      <c r="AJ111" s="2">
        <f t="shared" ref="AJ111" si="253">AJ109+AJ110</f>
        <v>5289</v>
      </c>
      <c r="AK111" s="2">
        <f t="shared" ref="AK111" si="254">AK109+AK110</f>
        <v>9217</v>
      </c>
      <c r="AL111" s="2">
        <f t="shared" ref="AL111" si="255">AL109+AL110</f>
        <v>7438</v>
      </c>
      <c r="AM111" s="2">
        <f t="shared" ref="AM111" si="256">AM109+AM110</f>
        <v>10055</v>
      </c>
      <c r="AN111" s="2">
        <f t="shared" ref="AN111" si="257">AN109+AN110</f>
        <v>12401</v>
      </c>
      <c r="AO111" s="2">
        <f t="shared" ref="AO111" si="258">AO109+AO110</f>
        <v>10955</v>
      </c>
      <c r="AP111" s="2">
        <f t="shared" ref="AP111" si="259">AP109+AP110</f>
        <v>12057</v>
      </c>
      <c r="AQ111" s="2">
        <f t="shared" ref="AQ111" si="260">AQ109+AQ110</f>
        <v>10433</v>
      </c>
      <c r="AR111" s="2">
        <f t="shared" ref="AR111" si="261">AR109+AR110</f>
        <v>7135</v>
      </c>
      <c r="AS111" s="2">
        <f t="shared" ref="AS111" si="262">AS109+AS110</f>
        <v>13737</v>
      </c>
      <c r="AT111" s="2">
        <f t="shared" ref="AT111" si="263">AT109+AT110</f>
        <v>13929</v>
      </c>
      <c r="AU111" s="2">
        <f t="shared" ref="AU111" si="264">AU109+AU110</f>
        <v>14428</v>
      </c>
      <c r="AV111" s="2">
        <f t="shared" ref="AV111" si="265">AV109+AV110</f>
        <v>8342</v>
      </c>
      <c r="AW111" s="2">
        <f t="shared" ref="AW111" si="266">AW109+AW110</f>
        <v>34695</v>
      </c>
      <c r="AX111" s="2">
        <f t="shared" ref="AX111" si="267">AX109+AX110</f>
        <v>16258</v>
      </c>
      <c r="AY111" s="2">
        <f t="shared" ref="AY111" si="268">AY109+AY110</f>
        <v>18730</v>
      </c>
      <c r="AZ111" s="2">
        <f t="shared" ref="AZ111" si="269">AZ109+AZ110</f>
        <v>8615</v>
      </c>
      <c r="BA111" s="2">
        <f t="shared" ref="BA111" si="270">BA109+BA110</f>
        <v>20046</v>
      </c>
      <c r="BB111" s="2">
        <f t="shared" ref="BB111" si="271">BB109+BB110</f>
        <v>17758</v>
      </c>
      <c r="BC111" s="2">
        <f t="shared" ref="BC111" si="272">BC109+BC110</f>
        <v>16915</v>
      </c>
      <c r="BD111" s="2">
        <f t="shared" ref="BD111" si="273">BD109+BD110</f>
        <v>4899</v>
      </c>
      <c r="BE111" s="2">
        <f t="shared" ref="BE111" si="274">BE109+BE110</f>
        <v>17834</v>
      </c>
      <c r="BF111" s="2">
        <f t="shared" ref="BF111" si="275">BF109+BF110</f>
        <v>19827</v>
      </c>
      <c r="BG111" s="2">
        <f t="shared" ref="BG111" si="276">BG109+BG110</f>
        <v>20666</v>
      </c>
      <c r="BH111" s="2">
        <f t="shared" ref="BH111" si="277">BH109+BH110</f>
        <v>9118</v>
      </c>
      <c r="BI111" s="2">
        <f t="shared" ref="BI111" si="278">BI109+BI110</f>
        <v>20965</v>
      </c>
      <c r="BJ111" s="2">
        <f t="shared" ref="BJ111" si="279">BJ109+BJ110</f>
        <v>23322</v>
      </c>
      <c r="BK111" s="2">
        <f t="shared" ref="BK111" si="280">BK109+BK110</f>
        <v>19257</v>
      </c>
      <c r="BL111" s="2">
        <f t="shared" ref="BL111" si="281">BL109+BL110</f>
        <v>6487</v>
      </c>
      <c r="BM111" s="2">
        <f t="shared" ref="BM111:BN111" si="282">BM109+BM110</f>
        <v>20299</v>
      </c>
      <c r="BN111" s="2">
        <f t="shared" si="282"/>
        <v>25548</v>
      </c>
      <c r="BO111" s="2">
        <f t="shared" ref="BO111" si="283">BO109+BO110</f>
        <v>25663</v>
      </c>
      <c r="BP111" s="34"/>
      <c r="BQ111" s="34"/>
      <c r="BR111" s="34"/>
      <c r="BZ111" s="2">
        <f>SUM(C111:F111)</f>
        <v>22096</v>
      </c>
      <c r="CA111" s="2">
        <f>SUM(G111:J111)</f>
        <v>24639</v>
      </c>
      <c r="CB111" s="2">
        <f>SUM(K111:N111)</f>
        <v>29321</v>
      </c>
      <c r="CC111" s="2">
        <f>SUM(O111:R111)</f>
        <v>24576</v>
      </c>
      <c r="CD111" s="2">
        <f>SUM(S111:V111)</f>
        <v>27017</v>
      </c>
      <c r="CE111" s="2">
        <f>SUM(W111:Z111)</f>
        <v>23724</v>
      </c>
      <c r="CF111" s="2">
        <f>SUM(AA111:AD111)</f>
        <v>24982</v>
      </c>
      <c r="CG111" s="2">
        <f>SUM(AE111:AH111)</f>
        <v>31378</v>
      </c>
      <c r="CH111" s="2">
        <f>SUM(AI111:AL111)</f>
        <v>32252</v>
      </c>
      <c r="CI111" s="2">
        <f>SUM(AM111:AP111)</f>
        <v>45468</v>
      </c>
      <c r="CJ111" s="2">
        <f>SUM(AQ111:AT111)</f>
        <v>45234</v>
      </c>
      <c r="CK111" s="2">
        <f>SUM(AU111:AX111)</f>
        <v>73723</v>
      </c>
      <c r="CL111" s="2">
        <f>SUM(AY111:BB111)</f>
        <v>65149</v>
      </c>
      <c r="CM111" s="2">
        <f>SUM(BC111:BF111)</f>
        <v>59475</v>
      </c>
      <c r="CN111" s="2">
        <f>SUM(BG111:BJ111)</f>
        <v>74071</v>
      </c>
      <c r="CO111" s="2">
        <f t="shared" si="226"/>
        <v>71591</v>
      </c>
      <c r="CP111" s="70"/>
      <c r="CQ111" s="70"/>
      <c r="CR111" s="70"/>
      <c r="CS111" s="70"/>
      <c r="CT111" s="70"/>
      <c r="CU111" s="70"/>
      <c r="CV111" s="70"/>
      <c r="CW111" s="70"/>
      <c r="CX111" s="70"/>
      <c r="CY111" s="70"/>
      <c r="CZ111" s="70"/>
      <c r="DA111" s="70"/>
      <c r="DB111" s="70"/>
      <c r="DC111" s="70"/>
      <c r="DD111" s="70"/>
      <c r="DE111" s="70"/>
      <c r="DF111" s="70"/>
      <c r="DG111" s="70"/>
      <c r="DH111" s="70"/>
      <c r="DI111" s="70"/>
      <c r="DJ111" s="70"/>
      <c r="DK111" s="70"/>
      <c r="DL111" s="70"/>
      <c r="DM111" s="70"/>
      <c r="DN111" s="70"/>
      <c r="DO111" s="70"/>
      <c r="DP111" s="70"/>
      <c r="DQ111" s="70"/>
      <c r="DR111" s="70"/>
      <c r="DS111" s="70"/>
      <c r="DT111" s="70"/>
      <c r="DU111" s="70"/>
      <c r="DV111" s="70"/>
      <c r="DW111" s="70"/>
      <c r="DX111" s="70"/>
      <c r="DY111" s="70"/>
      <c r="DZ111" s="70"/>
      <c r="EA111" s="70"/>
      <c r="EB111" s="70"/>
      <c r="EC111" s="70"/>
      <c r="ED111" s="70"/>
      <c r="EE111" s="70"/>
      <c r="EF111" s="70"/>
      <c r="EG111" s="70"/>
      <c r="EH111" s="70"/>
      <c r="EI111" s="70"/>
      <c r="EJ111" s="70"/>
      <c r="EK111" s="70"/>
      <c r="EL111" s="70"/>
      <c r="EM111" s="70"/>
      <c r="EN111" s="70"/>
      <c r="EO111" s="70"/>
      <c r="EP111" s="70"/>
      <c r="EQ111" s="70"/>
      <c r="ER111" s="70"/>
      <c r="ES111" s="70"/>
      <c r="ET111" s="70"/>
      <c r="EU111" s="70"/>
      <c r="EV111" s="70"/>
      <c r="EW111" s="70"/>
      <c r="EX111" s="70"/>
    </row>
    <row r="112" spans="2:154">
      <c r="B112" s="1" t="s">
        <v>136</v>
      </c>
      <c r="C112" s="37">
        <f t="shared" ref="C112:AH112" si="284">C58</f>
        <v>8945</v>
      </c>
      <c r="D112" s="37">
        <f t="shared" si="284"/>
        <v>8914</v>
      </c>
      <c r="E112" s="37">
        <f t="shared" si="284"/>
        <v>8856</v>
      </c>
      <c r="F112" s="37">
        <f t="shared" si="284"/>
        <v>8767</v>
      </c>
      <c r="G112" s="37">
        <f t="shared" si="284"/>
        <v>8813</v>
      </c>
      <c r="H112" s="37">
        <f t="shared" si="284"/>
        <v>8614</v>
      </c>
      <c r="I112" s="37">
        <f t="shared" si="284"/>
        <v>8497</v>
      </c>
      <c r="J112" s="37">
        <f t="shared" si="284"/>
        <v>8420</v>
      </c>
      <c r="K112" s="37">
        <f t="shared" si="284"/>
        <v>8490</v>
      </c>
      <c r="L112" s="37">
        <f t="shared" si="284"/>
        <v>8392</v>
      </c>
      <c r="M112" s="37">
        <f t="shared" si="284"/>
        <v>8402</v>
      </c>
      <c r="N112" s="37">
        <f t="shared" si="284"/>
        <v>8401</v>
      </c>
      <c r="O112" s="37">
        <f t="shared" si="284"/>
        <v>8396</v>
      </c>
      <c r="P112" s="37">
        <f t="shared" si="284"/>
        <v>8393</v>
      </c>
      <c r="Q112" s="37">
        <f t="shared" si="284"/>
        <v>8364</v>
      </c>
      <c r="R112" s="37">
        <f t="shared" si="284"/>
        <v>8375</v>
      </c>
      <c r="S112" s="37">
        <f t="shared" si="284"/>
        <v>8339</v>
      </c>
      <c r="T112" s="37">
        <f t="shared" si="284"/>
        <v>8326</v>
      </c>
      <c r="U112" s="37">
        <f t="shared" si="284"/>
        <v>8284</v>
      </c>
      <c r="V112" s="37">
        <f t="shared" si="284"/>
        <v>8299</v>
      </c>
      <c r="W112" s="37">
        <f t="shared" si="284"/>
        <v>8249</v>
      </c>
      <c r="X112" s="37">
        <f t="shared" si="284"/>
        <v>8228</v>
      </c>
      <c r="Y112" s="37">
        <f t="shared" si="284"/>
        <v>8167</v>
      </c>
      <c r="Z112" s="37">
        <f t="shared" si="284"/>
        <v>8177</v>
      </c>
      <c r="AA112" s="37">
        <f t="shared" si="284"/>
        <v>7996</v>
      </c>
      <c r="AB112" s="37">
        <f t="shared" si="284"/>
        <v>7964</v>
      </c>
      <c r="AC112" s="37">
        <f t="shared" si="284"/>
        <v>7895</v>
      </c>
      <c r="AD112" s="37">
        <f t="shared" si="284"/>
        <v>7925</v>
      </c>
      <c r="AE112" s="37">
        <f t="shared" si="284"/>
        <v>7789</v>
      </c>
      <c r="AF112" s="37">
        <f t="shared" si="284"/>
        <v>7755</v>
      </c>
      <c r="AG112" s="37">
        <f t="shared" si="284"/>
        <v>7725</v>
      </c>
      <c r="AH112" s="37">
        <f t="shared" si="284"/>
        <v>7746</v>
      </c>
      <c r="AI112" s="37">
        <f t="shared" ref="AI112:BN112" si="285">AI58</f>
        <v>7708</v>
      </c>
      <c r="AJ112" s="37">
        <f t="shared" si="285"/>
        <v>7710</v>
      </c>
      <c r="AK112" s="37">
        <f t="shared" si="285"/>
        <v>7698</v>
      </c>
      <c r="AL112" s="37">
        <f t="shared" si="285"/>
        <v>7700</v>
      </c>
      <c r="AM112" s="37">
        <f t="shared" si="285"/>
        <v>7672</v>
      </c>
      <c r="AN112" s="37">
        <f t="shared" si="285"/>
        <v>7692</v>
      </c>
      <c r="AO112" s="37">
        <f t="shared" si="285"/>
        <v>7672</v>
      </c>
      <c r="AP112" s="37">
        <f t="shared" si="285"/>
        <v>7673</v>
      </c>
      <c r="AQ112" s="37">
        <f t="shared" si="285"/>
        <v>7634</v>
      </c>
      <c r="AR112" s="37">
        <f t="shared" si="285"/>
        <v>7621</v>
      </c>
      <c r="AS112" s="37">
        <f t="shared" si="285"/>
        <v>7602</v>
      </c>
      <c r="AT112" s="37">
        <f t="shared" si="285"/>
        <v>7610</v>
      </c>
      <c r="AU112" s="37">
        <f t="shared" si="285"/>
        <v>7566</v>
      </c>
      <c r="AV112" s="37">
        <f t="shared" si="285"/>
        <v>7555</v>
      </c>
      <c r="AW112" s="37">
        <f t="shared" si="285"/>
        <v>7539</v>
      </c>
      <c r="AX112" s="37">
        <f t="shared" si="285"/>
        <v>7547</v>
      </c>
      <c r="AY112" s="37">
        <f t="shared" si="285"/>
        <v>7513</v>
      </c>
      <c r="AZ112" s="37">
        <f t="shared" si="285"/>
        <v>7505</v>
      </c>
      <c r="BA112" s="37">
        <f t="shared" si="285"/>
        <v>7493</v>
      </c>
      <c r="BB112" s="37">
        <f t="shared" si="285"/>
        <v>7496</v>
      </c>
      <c r="BC112" s="37">
        <f t="shared" si="285"/>
        <v>7457</v>
      </c>
      <c r="BD112" s="37">
        <f t="shared" si="285"/>
        <v>7451</v>
      </c>
      <c r="BE112" s="37">
        <f t="shared" si="285"/>
        <v>7441</v>
      </c>
      <c r="BF112" s="37">
        <f t="shared" si="285"/>
        <v>7446</v>
      </c>
      <c r="BG112" s="37">
        <f t="shared" si="285"/>
        <v>7429</v>
      </c>
      <c r="BH112" s="37">
        <f t="shared" si="285"/>
        <v>7432</v>
      </c>
      <c r="BI112" s="37">
        <f t="shared" si="285"/>
        <v>7431</v>
      </c>
      <c r="BJ112" s="37">
        <f t="shared" si="285"/>
        <v>7431</v>
      </c>
      <c r="BK112" s="37">
        <f t="shared" si="285"/>
        <v>7433</v>
      </c>
      <c r="BL112" s="37">
        <f t="shared" si="285"/>
        <v>7435</v>
      </c>
      <c r="BM112" s="37">
        <f t="shared" si="285"/>
        <v>7434</v>
      </c>
      <c r="BN112" s="37">
        <f t="shared" si="285"/>
        <v>7431</v>
      </c>
      <c r="BO112" s="37">
        <f t="shared" ref="BO112" si="286">BO58</f>
        <v>7433</v>
      </c>
      <c r="BZ112" s="51">
        <f t="shared" ref="BZ112:CN112" si="287">BZ58</f>
        <v>8870.5</v>
      </c>
      <c r="CA112" s="51">
        <f t="shared" si="287"/>
        <v>8586</v>
      </c>
      <c r="CB112" s="51">
        <f t="shared" si="287"/>
        <v>8421.25</v>
      </c>
      <c r="CC112" s="51">
        <f t="shared" si="287"/>
        <v>8382</v>
      </c>
      <c r="CD112" s="51">
        <f t="shared" si="287"/>
        <v>8312</v>
      </c>
      <c r="CE112" s="51">
        <f t="shared" si="287"/>
        <v>8205.25</v>
      </c>
      <c r="CF112" s="51">
        <f t="shared" si="287"/>
        <v>7945</v>
      </c>
      <c r="CG112" s="51">
        <f t="shared" si="287"/>
        <v>7753.75</v>
      </c>
      <c r="CH112" s="51">
        <f t="shared" si="287"/>
        <v>7704</v>
      </c>
      <c r="CI112" s="51">
        <f t="shared" si="287"/>
        <v>7677.25</v>
      </c>
      <c r="CJ112" s="51">
        <f t="shared" si="287"/>
        <v>7616.75</v>
      </c>
      <c r="CK112" s="51">
        <f t="shared" si="287"/>
        <v>7551.75</v>
      </c>
      <c r="CL112" s="51">
        <f t="shared" si="287"/>
        <v>7501.75</v>
      </c>
      <c r="CM112" s="51">
        <f t="shared" si="287"/>
        <v>7448.75</v>
      </c>
      <c r="CN112" s="51">
        <f t="shared" si="287"/>
        <v>7430.75</v>
      </c>
      <c r="CO112" s="1">
        <f t="shared" si="226"/>
        <v>29733</v>
      </c>
    </row>
    <row r="113" spans="2:104">
      <c r="B113" s="1" t="s">
        <v>137</v>
      </c>
      <c r="C113" s="50">
        <f t="shared" ref="C113:K113" si="288">C111/C112</f>
        <v>0.634097261039687</v>
      </c>
      <c r="D113" s="50">
        <f t="shared" si="288"/>
        <v>0.51525689925959162</v>
      </c>
      <c r="E113" s="50">
        <f t="shared" si="288"/>
        <v>0.78873080397470641</v>
      </c>
      <c r="F113" s="50">
        <f t="shared" si="288"/>
        <v>0.55275464811223907</v>
      </c>
      <c r="G113" s="50">
        <f t="shared" si="288"/>
        <v>0.86576648133439238</v>
      </c>
      <c r="H113" s="50">
        <f t="shared" si="288"/>
        <v>0.4289528674251219</v>
      </c>
      <c r="I113" s="50">
        <f t="shared" si="288"/>
        <v>0.94315640814405088</v>
      </c>
      <c r="J113" s="50">
        <f t="shared" si="288"/>
        <v>0.62945368171021376</v>
      </c>
      <c r="K113" s="50">
        <f t="shared" si="288"/>
        <v>0.94899882214369846</v>
      </c>
      <c r="L113" s="50">
        <f t="shared" ref="L113" si="289">L111/L112</f>
        <v>0.63918017159199236</v>
      </c>
      <c r="M113" s="50">
        <f t="shared" ref="M113" si="290">M111/M112</f>
        <v>1.052725541537729</v>
      </c>
      <c r="N113" s="50">
        <f t="shared" ref="N113" si="291">N111/N112</f>
        <v>0.83978097845494581</v>
      </c>
      <c r="O113" s="50">
        <f t="shared" ref="O113" si="292">O111/O112</f>
        <v>0.93866126727012866</v>
      </c>
      <c r="P113" s="50">
        <f t="shared" ref="P113" si="293">P111/P112</f>
        <v>0.45871559633027525</v>
      </c>
      <c r="Q113" s="50">
        <f t="shared" ref="Q113" si="294">Q111/Q112</f>
        <v>1.0444763271162123</v>
      </c>
      <c r="R113" s="50">
        <f t="shared" ref="R113" si="295">R111/R112</f>
        <v>0.49062686567164177</v>
      </c>
      <c r="S113" s="50">
        <f t="shared" ref="S113" si="296">S111/S112</f>
        <v>0.83631130831034894</v>
      </c>
      <c r="T113" s="50">
        <f t="shared" ref="T113" si="297">T111/T112</f>
        <v>0.32200336295940429</v>
      </c>
      <c r="U113" s="50">
        <f t="shared" ref="U113" si="298">U111/U112</f>
        <v>1.0752052148720426</v>
      </c>
      <c r="V113" s="50">
        <f t="shared" ref="V113" si="299">V111/V112</f>
        <v>1.0187974454753586</v>
      </c>
      <c r="W113" s="50">
        <f t="shared" ref="W113" si="300">W111/W112</f>
        <v>0.85731603830767367</v>
      </c>
      <c r="X113" s="50">
        <f t="shared" ref="X113" si="301">X111/X112</f>
        <v>0.34637822070977153</v>
      </c>
      <c r="Y113" s="50">
        <f t="shared" ref="Y113" si="302">Y111/Y112</f>
        <v>1.0694257377249907</v>
      </c>
      <c r="Z113" s="50">
        <f t="shared" ref="Z113" si="303">Z111/Z112</f>
        <v>0.61978720802250209</v>
      </c>
      <c r="AA113" s="50">
        <f t="shared" ref="AA113" si="304">AA111/AA112</f>
        <v>0.94047023511755878</v>
      </c>
      <c r="AB113" s="50">
        <f t="shared" ref="AB113" si="305">AB111/AB112</f>
        <v>0.45128076343545959</v>
      </c>
      <c r="AC113" s="50">
        <f t="shared" ref="AC113" si="306">AC111/AC112</f>
        <v>1.0207726409119695</v>
      </c>
      <c r="AD113" s="50">
        <f t="shared" ref="AD113" si="307">AD111/AD112</f>
        <v>0.73299684542586752</v>
      </c>
      <c r="AE113" s="50">
        <f t="shared" ref="AE113" si="308">AE111/AE112</f>
        <v>1.2050327384773398</v>
      </c>
      <c r="AF113" s="50">
        <f t="shared" ref="AF113" si="309">AF111/AF112</f>
        <v>0.55512572533849125</v>
      </c>
      <c r="AG113" s="50">
        <f t="shared" ref="AG113" si="310">AG111/AG112</f>
        <v>1.1605177993527509</v>
      </c>
      <c r="AH113" s="50">
        <f t="shared" ref="AH113" si="311">AH111/AH112</f>
        <v>1.1260005163955591</v>
      </c>
      <c r="AI113" s="50">
        <f t="shared" ref="AI113" si="312">AI111/AI112</f>
        <v>1.3373118837571354</v>
      </c>
      <c r="AJ113" s="50">
        <f t="shared" ref="AJ113" si="313">AJ111/AJ112</f>
        <v>0.68599221789883269</v>
      </c>
      <c r="AK113" s="50">
        <f t="shared" ref="AK113" si="314">AK111/AK112</f>
        <v>1.1973239802546116</v>
      </c>
      <c r="AL113" s="50">
        <f t="shared" ref="AL113" si="315">AL111/AL112</f>
        <v>0.96597402597402593</v>
      </c>
      <c r="AM113" s="50">
        <f t="shared" ref="AM113" si="316">AM111/AM112</f>
        <v>1.3106100104275287</v>
      </c>
      <c r="AN113" s="50">
        <f t="shared" ref="AN113" si="317">AN111/AN112</f>
        <v>1.6121944877795111</v>
      </c>
      <c r="AO113" s="50">
        <f t="shared" ref="AO113" si="318">AO111/AO112</f>
        <v>1.427919708029197</v>
      </c>
      <c r="AP113" s="50">
        <f t="shared" ref="AP113" si="319">AP111/AP112</f>
        <v>1.5713540987879577</v>
      </c>
      <c r="AQ113" s="50">
        <f t="shared" ref="AQ113" si="320">AQ111/AQ112</f>
        <v>1.366649200943149</v>
      </c>
      <c r="AR113" s="50">
        <f t="shared" ref="AR113" si="321">AR111/AR112</f>
        <v>0.93622884135940165</v>
      </c>
      <c r="AS113" s="50">
        <f t="shared" ref="AS113" si="322">AS111/AS112</f>
        <v>1.8070244672454616</v>
      </c>
      <c r="AT113" s="50">
        <f t="shared" ref="AT113" si="323">AT111/AT112</f>
        <v>1.8303547963206308</v>
      </c>
      <c r="AU113" s="50">
        <f t="shared" ref="AU113" si="324">AU111/AU112</f>
        <v>1.9069521543748349</v>
      </c>
      <c r="AV113" s="50">
        <f t="shared" ref="AV113" si="325">AV111/AV112</f>
        <v>1.1041694242223692</v>
      </c>
      <c r="AW113" s="50">
        <f t="shared" ref="AW113" si="326">AW111/AW112</f>
        <v>4.6020692399522485</v>
      </c>
      <c r="AX113" s="50">
        <f t="shared" ref="AX113" si="327">AX111/AX112</f>
        <v>2.1542334702530805</v>
      </c>
      <c r="AY113" s="50">
        <f t="shared" ref="AY113" si="328">AY111/AY112</f>
        <v>2.4930121123386129</v>
      </c>
      <c r="AZ113" s="50">
        <f t="shared" ref="AZ113" si="329">AZ111/AZ112</f>
        <v>1.1479013990672884</v>
      </c>
      <c r="BA113" s="50">
        <f t="shared" ref="BA113" si="330">BA111/BA112</f>
        <v>2.6752969438142267</v>
      </c>
      <c r="BB113" s="50">
        <f t="shared" ref="BB113" si="331">BB111/BB112</f>
        <v>2.3689967982924225</v>
      </c>
      <c r="BC113" s="50">
        <f t="shared" ref="BC113" si="332">BC111/BC112</f>
        <v>2.2683384739171251</v>
      </c>
      <c r="BD113" s="50">
        <f t="shared" ref="BD113" si="333">BD111/BD112</f>
        <v>0.65749563816937329</v>
      </c>
      <c r="BE113" s="50">
        <f t="shared" ref="BE113" si="334">BE111/BE112</f>
        <v>2.3967208708506922</v>
      </c>
      <c r="BF113" s="50">
        <f t="shared" ref="BF113" si="335">BF111/BF112</f>
        <v>2.662771958098308</v>
      </c>
      <c r="BG113" s="50">
        <f t="shared" ref="BG113" si="336">BG111/BG112</f>
        <v>2.7818010499394266</v>
      </c>
      <c r="BH113" s="50">
        <f t="shared" ref="BH113" si="337">BH111/BH112</f>
        <v>1.2268568353067815</v>
      </c>
      <c r="BI113" s="50">
        <f t="shared" ref="BI113" si="338">BI111/BI112</f>
        <v>2.821289193917373</v>
      </c>
      <c r="BJ113" s="50">
        <f t="shared" ref="BJ113" si="339">BJ111/BJ112</f>
        <v>3.1384739604360115</v>
      </c>
      <c r="BK113" s="50">
        <f t="shared" ref="BK113" si="340">BK111/BK112</f>
        <v>2.5907439795506524</v>
      </c>
      <c r="BL113" s="50">
        <f t="shared" ref="BL113" si="341">BL111/BL112</f>
        <v>0.87249495628782781</v>
      </c>
      <c r="BM113" s="50">
        <f t="shared" ref="BM113:BN113" si="342">BM111/BM112</f>
        <v>2.730562281409739</v>
      </c>
      <c r="BN113" s="50">
        <f t="shared" si="342"/>
        <v>3.4380298748486071</v>
      </c>
      <c r="BO113" s="50">
        <f t="shared" ref="BO113" si="343">BO111/BO112</f>
        <v>3.4525763487151888</v>
      </c>
      <c r="BZ113" s="39">
        <f>SUM(C113:F113)</f>
        <v>2.4908396123862242</v>
      </c>
      <c r="CA113" s="39">
        <f>SUM(G113:J113)</f>
        <v>2.8673294386137793</v>
      </c>
      <c r="CB113" s="39">
        <f>SUM(K113:N113)</f>
        <v>3.4806855137283654</v>
      </c>
      <c r="CC113" s="39">
        <f>SUM(O113:R113)</f>
        <v>2.932480056388258</v>
      </c>
      <c r="CD113" s="39">
        <f>SUM(S113:V113)</f>
        <v>3.2523173316171543</v>
      </c>
      <c r="CE113" s="39">
        <f>SUM(W113:Z113)</f>
        <v>2.892907204764938</v>
      </c>
      <c r="CF113" s="39">
        <f>SUM(AA113:AD113)</f>
        <v>3.1455204848908553</v>
      </c>
      <c r="CG113" s="39">
        <f>SUM(AE113:AH113)</f>
        <v>4.046676779564141</v>
      </c>
      <c r="CH113" s="39">
        <f>SUM(AI113:AL113)</f>
        <v>4.1866021078846059</v>
      </c>
      <c r="CI113" s="39">
        <f>SUM(AM113:AP113)</f>
        <v>5.9220783050241943</v>
      </c>
      <c r="CJ113" s="39">
        <f>SUM(AQ113:AT113)</f>
        <v>5.9402573058686432</v>
      </c>
      <c r="CK113" s="39">
        <f>SUM(AU113:AX113)</f>
        <v>9.767424288802534</v>
      </c>
      <c r="CL113" s="39">
        <f>SUM(AY113:BB113)</f>
        <v>8.6852072535125515</v>
      </c>
      <c r="CM113" s="39">
        <f>SUM(BC113:BF113)</f>
        <v>7.985326941035499</v>
      </c>
      <c r="CN113" s="39">
        <f>SUM(BG113:BJ113)</f>
        <v>9.9684210395995922</v>
      </c>
      <c r="CO113" s="39">
        <f t="shared" si="226"/>
        <v>9.6318310920968262</v>
      </c>
    </row>
    <row r="115" spans="2:104">
      <c r="CP115" s="82"/>
      <c r="CQ115" s="82"/>
      <c r="CR115" s="82"/>
      <c r="CS115" s="82"/>
      <c r="CT115" s="82"/>
      <c r="CU115" s="82"/>
      <c r="CV115" s="82"/>
      <c r="CW115" s="82"/>
      <c r="CX115" s="82"/>
      <c r="CY115" s="82"/>
    </row>
    <row r="116" spans="2:104">
      <c r="CP116" s="82"/>
      <c r="CQ116" s="82"/>
      <c r="CR116" s="82"/>
      <c r="CS116" s="82"/>
      <c r="CT116" s="82"/>
      <c r="CU116" s="82"/>
      <c r="CV116" s="82"/>
      <c r="CW116" s="82"/>
      <c r="CX116" s="82"/>
      <c r="CY116" s="82"/>
    </row>
    <row r="118" spans="2:104" ht="15" customHeight="1">
      <c r="CX118" s="75"/>
      <c r="CY118" s="77"/>
    </row>
    <row r="119" spans="2:104" ht="15" customHeight="1">
      <c r="CX119" s="75"/>
      <c r="CY119" s="77"/>
    </row>
    <row r="120" spans="2:104" ht="15" customHeight="1">
      <c r="CX120" s="75"/>
      <c r="CY120" s="77"/>
    </row>
    <row r="121" spans="2:104" ht="15" customHeight="1">
      <c r="CX121" s="75"/>
    </row>
    <row r="122" spans="2:104" ht="15" customHeight="1">
      <c r="CX122" s="75"/>
      <c r="CY122" s="77"/>
    </row>
    <row r="123" spans="2:104" ht="15" customHeight="1">
      <c r="CX123" s="75"/>
    </row>
    <row r="124" spans="2:104" ht="15" customHeight="1">
      <c r="CX124" s="75"/>
      <c r="CY124" s="72"/>
    </row>
    <row r="125" spans="2:104" ht="15" customHeight="1">
      <c r="CX125" s="75"/>
      <c r="CY125" s="72"/>
    </row>
    <row r="126" spans="2:104" ht="15" customHeight="1">
      <c r="CX126" s="75"/>
      <c r="CY126" s="78"/>
    </row>
    <row r="127" spans="2:104" ht="15" customHeight="1">
      <c r="CX127" s="75"/>
      <c r="CY127" s="78"/>
      <c r="CZ127" s="81"/>
    </row>
    <row r="128" spans="2:104" ht="15" customHeight="1">
      <c r="CX128" s="75"/>
      <c r="CY128" s="77"/>
      <c r="CZ128" s="73"/>
    </row>
  </sheetData>
  <mergeCells count="1">
    <mergeCell ref="CX84:CY84"/>
  </mergeCells>
  <conditionalFormatting sqref="CX84:CY84">
    <cfRule type="colorScale" priority="1">
      <colorScale>
        <cfvo type="min"/>
        <cfvo type="percentile" val="50"/>
        <cfvo type="max"/>
        <color rgb="FFF8696B"/>
        <color rgb="FFFCFCFF"/>
        <color rgb="FF63BE7B"/>
      </colorScale>
    </cfRule>
    <cfRule type="containsText" dxfId="4" priority="2" operator="containsText" text="Strong Sell">
      <formula>NOT(ISERROR(SEARCH("Strong Sell",CX84)))</formula>
    </cfRule>
    <cfRule type="containsText" dxfId="3" priority="3" operator="containsText" text="Sell">
      <formula>NOT(ISERROR(SEARCH("Sell",CX84)))</formula>
    </cfRule>
    <cfRule type="containsText" dxfId="2" priority="4" operator="containsText" text="Hold">
      <formula>NOT(ISERROR(SEARCH("Hold",CX84)))</formula>
    </cfRule>
    <cfRule type="beginsWith" dxfId="1" priority="5" operator="beginsWith" text="Buy">
      <formula>LEFT(CX84,LEN("Buy"))="Buy"</formula>
    </cfRule>
    <cfRule type="beginsWith" dxfId="0" priority="6" operator="beginsWith" text="Strong">
      <formula>LEFT(CX84,LEN("Strong"))="Strong"</formula>
    </cfRule>
  </conditionalFormatting>
  <pageMargins left="0.7" right="0.7" top="0.75" bottom="0.75" header="0.3" footer="0.3"/>
  <ignoredErrors>
    <ignoredError sqref="BZ47:CN57 BZ59:CG59 BZ109:CN111 BZ113:CN113 AP100:BM106 AM49:AP52 AP54 AP56 BG52:BM52 AQ53:BM54 AQ52:BF52 BG55:BM55 AQ56:BF56 AQ58:BF58 BZ46:CM46 CO47:CO58 BN100:BN104 CO100:CO103 CO109:CO110 BN47 CP54 BO52 BO100:BO105 CI59:CN59" formulaRange="1"/>
    <ignoredError sqref="P55:AO55 BL81 CO14 BL96" formula="1"/>
    <ignoredError sqref="P56:AL56" evalError="1" formula="1"/>
    <ignoredError sqref="C56:O56 BM59" evalError="1"/>
    <ignoredError sqref="BZ58:CN58 BZ112:CN112 AP55 AQ55:BF55" formula="1" formulaRange="1"/>
    <ignoredError sqref="BG58:BM58 BG56:BM56" evalError="1" formulaRange="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FD4A5-C172-4508-BDD9-9132B91E029B}">
  <dimension ref="A1:CF2982"/>
  <sheetViews>
    <sheetView topLeftCell="H49" zoomScale="40" zoomScaleNormal="40" workbookViewId="0">
      <selection activeCell="AH86" sqref="AH86:BP116"/>
    </sheetView>
  </sheetViews>
  <sheetFormatPr defaultRowHeight="14.25"/>
  <cols>
    <col min="1" max="7" width="0" style="1" hidden="1" customWidth="1"/>
    <col min="8" max="8" width="3.140625" style="1" customWidth="1"/>
    <col min="9" max="33" width="9.140625" style="1"/>
    <col min="34" max="34" width="2.85546875" style="1" customWidth="1"/>
    <col min="35" max="16384" width="9.140625" style="1"/>
  </cols>
  <sheetData>
    <row r="1" spans="8:84">
      <c r="CF1" s="1">
        <v>0</v>
      </c>
    </row>
    <row r="2" spans="8:84" ht="15">
      <c r="H2" s="2" t="s">
        <v>185</v>
      </c>
      <c r="AI2" s="2" t="s">
        <v>3992</v>
      </c>
    </row>
    <row r="29" spans="9:35">
      <c r="I29" s="1" t="s">
        <v>15</v>
      </c>
      <c r="J29" s="1" t="s">
        <v>16</v>
      </c>
    </row>
    <row r="30" spans="9:35">
      <c r="J30" s="1" t="s">
        <v>17</v>
      </c>
    </row>
    <row r="31" spans="9:35">
      <c r="J31" s="1" t="s">
        <v>18</v>
      </c>
    </row>
    <row r="32" spans="9:35" ht="15">
      <c r="AI32" s="2" t="s">
        <v>3991</v>
      </c>
    </row>
    <row r="33" spans="8:35" ht="15">
      <c r="H33" s="2" t="s">
        <v>14</v>
      </c>
      <c r="AI33" s="2" t="s">
        <v>138</v>
      </c>
    </row>
    <row r="64" spans="8:8" ht="15">
      <c r="H64" s="2" t="s">
        <v>273</v>
      </c>
    </row>
    <row r="87" spans="35:35" ht="15">
      <c r="AI87" s="2" t="s">
        <v>139</v>
      </c>
    </row>
    <row r="98" spans="8:12">
      <c r="I98" s="1" t="s">
        <v>15</v>
      </c>
      <c r="J98" s="1" t="s">
        <v>776</v>
      </c>
    </row>
    <row r="99" spans="8:12">
      <c r="J99" s="1" t="s">
        <v>775</v>
      </c>
    </row>
    <row r="100" spans="8:12">
      <c r="K100" s="1" t="s">
        <v>4066</v>
      </c>
    </row>
    <row r="101" spans="8:12">
      <c r="K101" s="1" t="s">
        <v>4067</v>
      </c>
    </row>
    <row r="102" spans="8:12">
      <c r="K102" s="1" t="s">
        <v>1029</v>
      </c>
    </row>
    <row r="103" spans="8:12">
      <c r="K103" s="1" t="s">
        <v>1030</v>
      </c>
    </row>
    <row r="104" spans="8:12">
      <c r="K104" s="1" t="s">
        <v>1028</v>
      </c>
    </row>
    <row r="105" spans="8:12" ht="15">
      <c r="K105" s="1" t="s">
        <v>1031</v>
      </c>
      <c r="L105" s="52" t="s">
        <v>1027</v>
      </c>
    </row>
    <row r="106" spans="8:12">
      <c r="J106" s="1" t="s">
        <v>18</v>
      </c>
    </row>
    <row r="108" spans="8:12" ht="15">
      <c r="H108" s="2" t="s">
        <v>1026</v>
      </c>
    </row>
    <row r="137" spans="9:13">
      <c r="I137" s="1" t="s">
        <v>15</v>
      </c>
      <c r="J137" s="1" t="s">
        <v>4058</v>
      </c>
    </row>
    <row r="138" spans="9:13">
      <c r="K138" s="1" t="s">
        <v>4059</v>
      </c>
    </row>
    <row r="139" spans="9:13">
      <c r="K139" s="1" t="s">
        <v>4060</v>
      </c>
    </row>
    <row r="140" spans="9:13">
      <c r="K140" s="1" t="s">
        <v>4061</v>
      </c>
    </row>
    <row r="141" spans="9:13">
      <c r="K141" s="1" t="s">
        <v>4062</v>
      </c>
    </row>
    <row r="142" spans="9:13">
      <c r="L142" s="1" t="s">
        <v>4064</v>
      </c>
    </row>
    <row r="143" spans="9:13">
      <c r="L143" s="1" t="s">
        <v>4065</v>
      </c>
    </row>
    <row r="144" spans="9:13">
      <c r="M144" s="1" t="s">
        <v>4095</v>
      </c>
    </row>
    <row r="145" spans="10:14">
      <c r="N145" s="1" t="s">
        <v>4096</v>
      </c>
    </row>
    <row r="146" spans="10:14">
      <c r="N146" s="1" t="s">
        <v>4097</v>
      </c>
    </row>
    <row r="147" spans="10:14">
      <c r="K147" s="1" t="s">
        <v>4063</v>
      </c>
    </row>
    <row r="148" spans="10:14">
      <c r="L148" s="1" t="s">
        <v>4084</v>
      </c>
    </row>
    <row r="149" spans="10:14">
      <c r="L149" s="1" t="s">
        <v>4085</v>
      </c>
    </row>
    <row r="150" spans="10:14">
      <c r="K150" s="1" t="s">
        <v>4086</v>
      </c>
    </row>
    <row r="151" spans="10:14">
      <c r="L151" s="1" t="s">
        <v>4087</v>
      </c>
    </row>
    <row r="152" spans="10:14">
      <c r="M152" s="1" t="s">
        <v>4088</v>
      </c>
    </row>
    <row r="153" spans="10:14">
      <c r="K153" s="1" t="s">
        <v>4089</v>
      </c>
    </row>
    <row r="154" spans="10:14">
      <c r="L154" s="1" t="s">
        <v>4090</v>
      </c>
    </row>
    <row r="155" spans="10:14">
      <c r="K155" s="1" t="s">
        <v>4091</v>
      </c>
    </row>
    <row r="156" spans="10:14">
      <c r="K156" s="1" t="s">
        <v>4092</v>
      </c>
    </row>
    <row r="157" spans="10:14">
      <c r="K157" s="1" t="s">
        <v>4093</v>
      </c>
    </row>
    <row r="158" spans="10:14">
      <c r="L158" s="1" t="s">
        <v>4094</v>
      </c>
    </row>
    <row r="159" spans="10:14">
      <c r="J159" s="1" t="s">
        <v>17</v>
      </c>
    </row>
    <row r="160" spans="10:14">
      <c r="J160" s="1" t="s">
        <v>18</v>
      </c>
    </row>
    <row r="162" spans="8:8" ht="15">
      <c r="H162" s="2" t="s">
        <v>3993</v>
      </c>
    </row>
    <row r="191" spans="9:10">
      <c r="I191" s="1" t="s">
        <v>15</v>
      </c>
      <c r="J191" s="1" t="s">
        <v>16</v>
      </c>
    </row>
    <row r="192" spans="9:10">
      <c r="J192" s="1" t="s">
        <v>17</v>
      </c>
    </row>
    <row r="193" spans="8:10">
      <c r="J193" s="1" t="s">
        <v>18</v>
      </c>
    </row>
    <row r="195" spans="8:10" ht="15">
      <c r="H195" s="2" t="s">
        <v>3994</v>
      </c>
    </row>
    <row r="213" spans="1:7">
      <c r="A213" s="1" t="s">
        <v>1032</v>
      </c>
    </row>
    <row r="214" spans="1:7">
      <c r="A214" s="24" t="s">
        <v>19</v>
      </c>
      <c r="B214" s="24" t="s">
        <v>20</v>
      </c>
      <c r="C214" s="24" t="s">
        <v>21</v>
      </c>
      <c r="D214" s="24" t="s">
        <v>22</v>
      </c>
      <c r="E214" s="24" t="s">
        <v>23</v>
      </c>
      <c r="F214" s="24" t="s">
        <v>24</v>
      </c>
      <c r="G214" s="24" t="s">
        <v>25</v>
      </c>
    </row>
    <row r="215" spans="1:7">
      <c r="A215" s="54">
        <v>458.68</v>
      </c>
      <c r="B215" s="54">
        <v>461.72</v>
      </c>
      <c r="C215" s="54">
        <v>455.31049999999999</v>
      </c>
      <c r="D215" s="54">
        <v>461.55</v>
      </c>
      <c r="E215" s="54">
        <v>13931807</v>
      </c>
      <c r="F215" s="54" t="s">
        <v>1033</v>
      </c>
      <c r="G215" s="25">
        <f>A215/D215-1</f>
        <v>-6.218177878886344E-3</v>
      </c>
    </row>
    <row r="216" spans="1:7">
      <c r="A216" s="54">
        <v>457.36</v>
      </c>
      <c r="B216" s="54">
        <v>462.52</v>
      </c>
      <c r="C216" s="54">
        <v>456.93</v>
      </c>
      <c r="D216" s="54">
        <v>461.22</v>
      </c>
      <c r="E216" s="54">
        <v>17086261</v>
      </c>
      <c r="F216" s="54" t="s">
        <v>1034</v>
      </c>
      <c r="G216" s="25">
        <f t="shared" ref="G216:G279" si="0">A216/D216-1</f>
        <v>-8.3691080178657229E-3</v>
      </c>
    </row>
    <row r="217" spans="1:7">
      <c r="A217" s="54">
        <v>460.69</v>
      </c>
      <c r="B217" s="54">
        <v>460.95</v>
      </c>
      <c r="C217" s="54">
        <v>456.11500000000001</v>
      </c>
      <c r="D217" s="54">
        <v>456.48</v>
      </c>
      <c r="E217" s="54">
        <v>20974293</v>
      </c>
      <c r="F217" s="54" t="s">
        <v>1035</v>
      </c>
      <c r="G217" s="25">
        <f t="shared" si="0"/>
        <v>9.2227479845776728E-3</v>
      </c>
    </row>
    <row r="218" spans="1:7">
      <c r="A218" s="54">
        <v>450.18</v>
      </c>
      <c r="B218" s="54">
        <v>453.69</v>
      </c>
      <c r="C218" s="54">
        <v>448.91</v>
      </c>
      <c r="D218" s="54">
        <v>449.98</v>
      </c>
      <c r="E218" s="54">
        <v>16832745</v>
      </c>
      <c r="F218" s="54" t="s">
        <v>1036</v>
      </c>
      <c r="G218" s="25">
        <f t="shared" si="0"/>
        <v>4.4446419840871165E-4</v>
      </c>
    </row>
    <row r="219" spans="1:7">
      <c r="A219" s="54">
        <v>454.86</v>
      </c>
      <c r="B219" s="54">
        <v>460.25</v>
      </c>
      <c r="C219" s="54">
        <v>453.9</v>
      </c>
      <c r="D219" s="54">
        <v>454.95</v>
      </c>
      <c r="E219" s="54">
        <v>18025612</v>
      </c>
      <c r="F219" s="54" t="s">
        <v>1037</v>
      </c>
      <c r="G219" s="25">
        <f t="shared" si="0"/>
        <v>-1.9782393669631748E-4</v>
      </c>
    </row>
    <row r="220" spans="1:7">
      <c r="A220" s="54">
        <v>452.57</v>
      </c>
      <c r="B220" s="54">
        <v>457.78</v>
      </c>
      <c r="C220" s="54">
        <v>451.81400000000002</v>
      </c>
      <c r="D220" s="54">
        <v>454.57</v>
      </c>
      <c r="E220" s="54">
        <v>19216906</v>
      </c>
      <c r="F220" s="54" t="s">
        <v>1038</v>
      </c>
      <c r="G220" s="25">
        <f t="shared" si="0"/>
        <v>-4.3997624128296886E-3</v>
      </c>
    </row>
    <row r="221" spans="1:7">
      <c r="A221" s="54">
        <v>458.17</v>
      </c>
      <c r="B221" s="54">
        <v>458.34</v>
      </c>
      <c r="C221" s="54">
        <v>454.32010000000002</v>
      </c>
      <c r="D221" s="54">
        <v>455.59</v>
      </c>
      <c r="E221" s="54">
        <v>15441808</v>
      </c>
      <c r="F221" s="54" t="s">
        <v>1039</v>
      </c>
      <c r="G221" s="25">
        <f t="shared" si="0"/>
        <v>5.6629864571215993E-3</v>
      </c>
    </row>
    <row r="222" spans="1:7">
      <c r="A222" s="54">
        <v>458.87</v>
      </c>
      <c r="B222" s="54">
        <v>459.58499999999998</v>
      </c>
      <c r="C222" s="54">
        <v>450.8</v>
      </c>
      <c r="D222" s="54">
        <v>450.875</v>
      </c>
      <c r="E222" s="54">
        <v>21336509</v>
      </c>
      <c r="F222" s="54" t="s">
        <v>1040</v>
      </c>
      <c r="G222" s="25">
        <f t="shared" si="0"/>
        <v>1.773218741336291E-2</v>
      </c>
    </row>
    <row r="223" spans="1:7">
      <c r="A223" s="54">
        <v>454.27</v>
      </c>
      <c r="B223" s="54">
        <v>454.36</v>
      </c>
      <c r="C223" s="54">
        <v>448.73</v>
      </c>
      <c r="D223" s="54">
        <v>452.05</v>
      </c>
      <c r="E223" s="54">
        <v>23849781</v>
      </c>
      <c r="F223" s="54" t="s">
        <v>1041</v>
      </c>
      <c r="G223" s="25">
        <f t="shared" si="0"/>
        <v>4.9109611768609618E-3</v>
      </c>
    </row>
    <row r="224" spans="1:7">
      <c r="A224" s="54">
        <v>453.13</v>
      </c>
      <c r="B224" s="54">
        <v>456.19</v>
      </c>
      <c r="C224" s="54">
        <v>450.43009999999998</v>
      </c>
      <c r="D224" s="54">
        <v>450.76499999999999</v>
      </c>
      <c r="E224" s="54">
        <v>21992323</v>
      </c>
      <c r="F224" s="54" t="s">
        <v>1042</v>
      </c>
      <c r="G224" s="25">
        <f t="shared" si="0"/>
        <v>5.246636273889882E-3</v>
      </c>
    </row>
    <row r="225" spans="1:13">
      <c r="A225" s="54">
        <v>452.11</v>
      </c>
      <c r="B225" s="54">
        <v>453.06819999999999</v>
      </c>
      <c r="C225" s="54">
        <v>447.31880000000001</v>
      </c>
      <c r="D225" s="54">
        <v>447.31880000000001</v>
      </c>
      <c r="E225" s="54">
        <v>19902796</v>
      </c>
      <c r="F225" s="54" t="s">
        <v>1043</v>
      </c>
      <c r="G225" s="25">
        <f t="shared" si="0"/>
        <v>1.0710929207536024E-2</v>
      </c>
    </row>
    <row r="226" spans="1:13">
      <c r="A226" s="54">
        <v>448.31700000000001</v>
      </c>
      <c r="B226" s="54">
        <v>449.84750000000003</v>
      </c>
      <c r="C226" s="54">
        <v>444.54390000000001</v>
      </c>
      <c r="D226" s="54">
        <v>446.95949999999999</v>
      </c>
      <c r="E226" s="54">
        <v>23618819</v>
      </c>
      <c r="F226" s="54" t="s">
        <v>1044</v>
      </c>
      <c r="G226" s="25">
        <f t="shared" si="0"/>
        <v>3.0371879331350105E-3</v>
      </c>
    </row>
    <row r="227" spans="1:13">
      <c r="A227" s="54">
        <v>448.43669999999997</v>
      </c>
      <c r="B227" s="54">
        <v>448.54649999999998</v>
      </c>
      <c r="C227" s="54">
        <v>438.97410000000002</v>
      </c>
      <c r="D227" s="54">
        <v>445.12279999999998</v>
      </c>
      <c r="E227" s="54">
        <v>22821935</v>
      </c>
      <c r="F227" s="54" t="s">
        <v>1045</v>
      </c>
      <c r="G227" s="25">
        <f t="shared" si="0"/>
        <v>7.4449118310722096E-3</v>
      </c>
    </row>
    <row r="228" spans="1:13">
      <c r="A228" s="54">
        <v>437.92599999999999</v>
      </c>
      <c r="B228" s="54">
        <v>439.93239999999997</v>
      </c>
      <c r="C228" s="54">
        <v>435.0813</v>
      </c>
      <c r="D228" s="54">
        <v>439.19369999999998</v>
      </c>
      <c r="E228" s="54">
        <v>15324233</v>
      </c>
      <c r="F228" s="54" t="s">
        <v>1046</v>
      </c>
      <c r="G228" s="25">
        <f t="shared" si="0"/>
        <v>-2.8864257388027115E-3</v>
      </c>
    </row>
    <row r="229" spans="1:13">
      <c r="A229" s="54">
        <v>437.36709999999999</v>
      </c>
      <c r="B229" s="54">
        <v>442.85700000000003</v>
      </c>
      <c r="C229" s="54">
        <v>434.86169999999998</v>
      </c>
      <c r="D229" s="54">
        <v>437.1275</v>
      </c>
      <c r="E229" s="54">
        <v>23491330</v>
      </c>
      <c r="F229" s="54" t="s">
        <v>1047</v>
      </c>
      <c r="G229" s="25">
        <f t="shared" si="0"/>
        <v>5.4812383114755114E-4</v>
      </c>
    </row>
    <row r="230" spans="1:13">
      <c r="A230" s="54">
        <v>432.55590000000001</v>
      </c>
      <c r="B230" s="54">
        <v>437.31720000000001</v>
      </c>
      <c r="C230" s="54">
        <v>430.32029999999997</v>
      </c>
      <c r="D230" s="54">
        <v>433.04500000000002</v>
      </c>
      <c r="E230" s="54">
        <v>23307241</v>
      </c>
      <c r="F230" s="54" t="s">
        <v>1048</v>
      </c>
      <c r="G230" s="25">
        <f t="shared" si="0"/>
        <v>-1.1294438222355652E-3</v>
      </c>
    </row>
    <row r="231" spans="1:13">
      <c r="A231" s="54">
        <v>432.51600000000002</v>
      </c>
      <c r="B231" s="54">
        <v>436.92790000000002</v>
      </c>
      <c r="C231" s="54">
        <v>430.37990000000002</v>
      </c>
      <c r="D231" s="54">
        <v>431.40800000000002</v>
      </c>
      <c r="E231" s="54">
        <v>15104204</v>
      </c>
      <c r="F231" s="54" t="s">
        <v>1049</v>
      </c>
      <c r="G231" s="25">
        <f t="shared" si="0"/>
        <v>2.5683343841560458E-3</v>
      </c>
    </row>
    <row r="232" spans="1:13">
      <c r="A232" s="54">
        <v>435.3707</v>
      </c>
      <c r="B232" s="54">
        <v>438.69459999999998</v>
      </c>
      <c r="C232" s="54">
        <v>431.31819999999999</v>
      </c>
      <c r="D232" s="54">
        <v>432.07679999999999</v>
      </c>
      <c r="E232" s="54">
        <v>20136053</v>
      </c>
      <c r="F232" s="54" t="s">
        <v>1050</v>
      </c>
      <c r="G232" s="25">
        <f t="shared" si="0"/>
        <v>7.6234132450527792E-3</v>
      </c>
    </row>
    <row r="233" spans="1:13">
      <c r="A233" s="54">
        <v>434.48239999999998</v>
      </c>
      <c r="B233" s="54">
        <v>438.63470000000001</v>
      </c>
      <c r="C233" s="54">
        <v>429.19709999999998</v>
      </c>
      <c r="D233" s="54">
        <v>430.94880000000001</v>
      </c>
      <c r="E233" s="54">
        <v>30757434</v>
      </c>
      <c r="F233" s="54" t="s">
        <v>1051</v>
      </c>
      <c r="G233" s="25">
        <f t="shared" si="0"/>
        <v>8.1995819456974761E-3</v>
      </c>
    </row>
    <row r="234" spans="1:13">
      <c r="A234" s="54">
        <v>424.62049999999999</v>
      </c>
      <c r="B234" s="54">
        <v>436.18920000000003</v>
      </c>
      <c r="C234" s="54">
        <v>424.12139999999999</v>
      </c>
      <c r="D234" s="54">
        <v>430.32</v>
      </c>
      <c r="E234" s="54">
        <v>58938100</v>
      </c>
      <c r="F234" s="54" t="s">
        <v>1052</v>
      </c>
      <c r="G234" s="25">
        <f t="shared" si="0"/>
        <v>-1.3244794571481644E-2</v>
      </c>
      <c r="I234" s="26"/>
      <c r="J234" s="26" t="s">
        <v>26</v>
      </c>
      <c r="K234" s="27">
        <f>MIN(G215:G2982)</f>
        <v>-5.9246408396180339E-2</v>
      </c>
    </row>
    <row r="235" spans="1:13">
      <c r="A235" s="54">
        <v>394.53570000000002</v>
      </c>
      <c r="B235" s="54">
        <v>395.93310000000002</v>
      </c>
      <c r="C235" s="54">
        <v>383.7355</v>
      </c>
      <c r="D235" s="54">
        <v>389.58479999999997</v>
      </c>
      <c r="E235" s="54">
        <v>36461075</v>
      </c>
      <c r="F235" s="54" t="s">
        <v>1053</v>
      </c>
      <c r="G235" s="25">
        <f t="shared" si="0"/>
        <v>1.2708144670942056E-2</v>
      </c>
      <c r="I235" s="26"/>
      <c r="J235" s="26" t="s">
        <v>27</v>
      </c>
      <c r="K235" s="27">
        <f>MAX(G215:G2982)</f>
        <v>0.10452971941175537</v>
      </c>
    </row>
    <row r="236" spans="1:13">
      <c r="A236" s="54">
        <v>393.31790000000001</v>
      </c>
      <c r="B236" s="54">
        <v>394.37599999999998</v>
      </c>
      <c r="C236" s="54">
        <v>389.66460000000001</v>
      </c>
      <c r="D236" s="54">
        <v>390.58300000000003</v>
      </c>
      <c r="E236" s="54">
        <v>14973976</v>
      </c>
      <c r="F236" s="54" t="s">
        <v>1054</v>
      </c>
      <c r="G236" s="25">
        <f t="shared" si="0"/>
        <v>7.0020968654549431E-3</v>
      </c>
      <c r="I236" s="26"/>
      <c r="J236" s="26" t="s">
        <v>28</v>
      </c>
      <c r="K236" s="27">
        <f>AVERAGE(G215:G2982)</f>
        <v>5.3586158056428458E-4</v>
      </c>
    </row>
    <row r="237" spans="1:13">
      <c r="A237" s="54">
        <v>390.44319999999999</v>
      </c>
      <c r="B237" s="54">
        <v>392.02030000000002</v>
      </c>
      <c r="C237" s="54">
        <v>385.92950000000002</v>
      </c>
      <c r="D237" s="54">
        <v>391.23680000000002</v>
      </c>
      <c r="E237" s="54">
        <v>16579430</v>
      </c>
      <c r="F237" s="54" t="s">
        <v>1055</v>
      </c>
      <c r="G237" s="25">
        <f t="shared" si="0"/>
        <v>-2.0284390425441279E-3</v>
      </c>
      <c r="I237" s="26"/>
      <c r="J237" s="26" t="s">
        <v>29</v>
      </c>
      <c r="K237" s="27">
        <f>MEDIAN(G215:G2982)</f>
        <v>7.5582138759366924E-4</v>
      </c>
    </row>
    <row r="238" spans="1:13" ht="15">
      <c r="A238" s="54">
        <v>391.13189999999997</v>
      </c>
      <c r="B238" s="54">
        <v>391.44139999999999</v>
      </c>
      <c r="C238" s="54">
        <v>383.89519999999999</v>
      </c>
      <c r="D238" s="54">
        <v>386.29079999999999</v>
      </c>
      <c r="E238" s="54">
        <v>18973165</v>
      </c>
      <c r="F238" s="54" t="s">
        <v>1056</v>
      </c>
      <c r="G238" s="25">
        <f t="shared" si="0"/>
        <v>1.2532268436110883E-2</v>
      </c>
      <c r="I238" s="26"/>
      <c r="J238" s="26" t="s">
        <v>30</v>
      </c>
      <c r="K238" s="27">
        <f>_xlfn.STDEV.P(G215:G2982)</f>
        <v>1.3083966022997818E-2</v>
      </c>
      <c r="M238" s="2"/>
    </row>
    <row r="239" spans="1:13" ht="15">
      <c r="A239" s="54">
        <v>386.59030000000001</v>
      </c>
      <c r="B239" s="54">
        <v>387.73820000000001</v>
      </c>
      <c r="C239" s="54">
        <v>374.5025</v>
      </c>
      <c r="D239" s="54">
        <v>375.00650000000002</v>
      </c>
      <c r="E239" s="54">
        <v>22232289</v>
      </c>
      <c r="F239" s="54" t="s">
        <v>1057</v>
      </c>
      <c r="G239" s="25">
        <f t="shared" si="0"/>
        <v>3.0889597913636102E-2</v>
      </c>
      <c r="I239" s="26"/>
      <c r="J239" s="28" t="s">
        <v>31</v>
      </c>
      <c r="K239" s="27">
        <f>3*K238</f>
        <v>3.9251898068993457E-2</v>
      </c>
      <c r="L239" s="26"/>
      <c r="M239" s="2" t="s">
        <v>150</v>
      </c>
    </row>
    <row r="240" spans="1:13" ht="15">
      <c r="A240" s="54">
        <v>373.70389999999998</v>
      </c>
      <c r="B240" s="54">
        <v>379.69290000000001</v>
      </c>
      <c r="C240" s="54">
        <v>372.3365</v>
      </c>
      <c r="D240" s="54">
        <v>375.37090000000001</v>
      </c>
      <c r="E240" s="54">
        <v>20545526</v>
      </c>
      <c r="F240" s="54" t="s">
        <v>1058</v>
      </c>
      <c r="G240" s="25">
        <f t="shared" si="0"/>
        <v>-4.4409409466744654E-3</v>
      </c>
      <c r="I240" s="26"/>
      <c r="J240" s="28" t="s">
        <v>32</v>
      </c>
      <c r="K240" s="26">
        <v>1.05</v>
      </c>
      <c r="L240" s="26"/>
      <c r="M240" s="2" t="s">
        <v>33</v>
      </c>
    </row>
    <row r="241" spans="1:17">
      <c r="A241" s="54">
        <v>366.14780000000002</v>
      </c>
      <c r="B241" s="54">
        <v>367.09609999999998</v>
      </c>
      <c r="C241" s="54">
        <v>359.20080000000002</v>
      </c>
      <c r="D241" s="54">
        <v>362.70909999999998</v>
      </c>
      <c r="E241" s="54">
        <v>19484993</v>
      </c>
      <c r="F241" s="54" t="s">
        <v>1059</v>
      </c>
      <c r="G241" s="25">
        <f t="shared" si="0"/>
        <v>9.4806002937342093E-3</v>
      </c>
    </row>
    <row r="242" spans="1:17" ht="15" customHeight="1">
      <c r="A242" s="54">
        <v>358.46190000000001</v>
      </c>
      <c r="B242" s="54">
        <v>363.81209999999999</v>
      </c>
      <c r="C242" s="54">
        <v>355.01819999999998</v>
      </c>
      <c r="D242" s="54">
        <v>362.15019999999998</v>
      </c>
      <c r="E242" s="54">
        <v>20807279</v>
      </c>
      <c r="F242" s="54" t="s">
        <v>1060</v>
      </c>
      <c r="G242" s="25">
        <f t="shared" si="0"/>
        <v>-1.0184448331106766E-2</v>
      </c>
    </row>
    <row r="243" spans="1:17">
      <c r="A243" s="54">
        <v>367.10610000000003</v>
      </c>
      <c r="B243" s="54">
        <v>373.63560000000001</v>
      </c>
      <c r="C243" s="54">
        <v>366.21769999999998</v>
      </c>
      <c r="D243" s="54">
        <v>373.06009999999998</v>
      </c>
      <c r="E243" s="54">
        <v>21120192</v>
      </c>
      <c r="F243" s="54" t="s">
        <v>1061</v>
      </c>
      <c r="G243" s="25">
        <f t="shared" si="0"/>
        <v>-1.5959894933818886E-2</v>
      </c>
      <c r="I243" s="29" t="s">
        <v>34</v>
      </c>
      <c r="J243" s="30">
        <v>2768</v>
      </c>
    </row>
    <row r="244" spans="1:17" ht="15" thickBot="1">
      <c r="A244" s="54">
        <v>370.92899999999997</v>
      </c>
      <c r="B244" s="54">
        <v>380.91070000000002</v>
      </c>
      <c r="C244" s="54">
        <v>367.32569999999998</v>
      </c>
      <c r="D244" s="54">
        <v>379.97239999999999</v>
      </c>
      <c r="E244" s="54">
        <v>21967826</v>
      </c>
      <c r="F244" s="54" t="s">
        <v>1062</v>
      </c>
      <c r="G244" s="25">
        <f t="shared" si="0"/>
        <v>-2.380014969508315E-2</v>
      </c>
      <c r="I244" s="1" t="s">
        <v>35</v>
      </c>
      <c r="L244" s="1" t="s">
        <v>36</v>
      </c>
      <c r="P244" s="1" t="s">
        <v>37</v>
      </c>
    </row>
    <row r="245" spans="1:17" ht="15" customHeight="1">
      <c r="A245" s="54">
        <v>385.02319999999997</v>
      </c>
      <c r="B245" s="54">
        <v>391.17189999999999</v>
      </c>
      <c r="C245" s="54">
        <v>383.45589999999999</v>
      </c>
      <c r="D245" s="54">
        <v>387.79309999999998</v>
      </c>
      <c r="E245" s="54">
        <v>17199890</v>
      </c>
      <c r="F245" s="54" t="s">
        <v>1063</v>
      </c>
      <c r="G245" s="25">
        <f t="shared" si="0"/>
        <v>-7.1427263661989482E-3</v>
      </c>
      <c r="I245" s="56" t="s">
        <v>38</v>
      </c>
      <c r="J245" s="56" t="s">
        <v>39</v>
      </c>
      <c r="L245" s="31" t="s">
        <v>40</v>
      </c>
      <c r="M245" s="32" t="s">
        <v>41</v>
      </c>
      <c r="P245" s="31" t="s">
        <v>42</v>
      </c>
      <c r="Q245" s="32" t="s">
        <v>43</v>
      </c>
    </row>
    <row r="246" spans="1:17" ht="15">
      <c r="A246" s="54">
        <v>387.09930000000003</v>
      </c>
      <c r="B246" s="54">
        <v>393.92680000000001</v>
      </c>
      <c r="C246" s="54">
        <v>383.5059</v>
      </c>
      <c r="D246" s="54">
        <v>392.49939999999998</v>
      </c>
      <c r="E246" s="54">
        <v>19251172</v>
      </c>
      <c r="F246" s="54" t="s">
        <v>1064</v>
      </c>
      <c r="G246" s="25">
        <f t="shared" si="0"/>
        <v>-1.3758237592210176E-2</v>
      </c>
      <c r="I246" s="53">
        <v>-0.04</v>
      </c>
      <c r="J246">
        <v>1</v>
      </c>
      <c r="L246" s="53">
        <v>-4.0999999999999995E-2</v>
      </c>
      <c r="M246" s="1">
        <f>_xlfn.NORM.DIST(L246,$K$236,$K$238,FALSE)</f>
        <v>0.19760350224413178</v>
      </c>
      <c r="O246" s="1" t="s">
        <v>142</v>
      </c>
      <c r="P246" s="57">
        <f>K236</f>
        <v>5.3586158056428458E-4</v>
      </c>
      <c r="Q246" s="1">
        <v>0</v>
      </c>
    </row>
    <row r="247" spans="1:17" ht="15">
      <c r="A247" s="54">
        <v>387.73820000000001</v>
      </c>
      <c r="B247" s="54">
        <v>389.33519999999999</v>
      </c>
      <c r="C247" s="54">
        <v>378.19569999999999</v>
      </c>
      <c r="D247" s="54">
        <v>379.9375</v>
      </c>
      <c r="E247" s="54">
        <v>23839220</v>
      </c>
      <c r="F247" s="54" t="s">
        <v>1065</v>
      </c>
      <c r="G247" s="25">
        <f t="shared" si="0"/>
        <v>2.0531534791906614E-2</v>
      </c>
      <c r="I247" s="53">
        <v>-3.9E-2</v>
      </c>
      <c r="J247">
        <v>3</v>
      </c>
      <c r="L247" s="53">
        <v>-0.04</v>
      </c>
      <c r="M247" s="1">
        <f t="shared" ref="M247:M310" si="1">_xlfn.NORM.DIST(L247,$K$236,$K$238,FALSE)</f>
        <v>0.25113025035480857</v>
      </c>
      <c r="P247" s="57">
        <f>K236</f>
        <v>5.3586158056428458E-4</v>
      </c>
      <c r="Q247" s="1">
        <v>35</v>
      </c>
    </row>
    <row r="248" spans="1:17" ht="15">
      <c r="A248" s="54">
        <v>380.65120000000002</v>
      </c>
      <c r="B248" s="54">
        <v>383.19650000000001</v>
      </c>
      <c r="C248" s="54">
        <v>367.12599999999998</v>
      </c>
      <c r="D248" s="54">
        <v>381.35989999999998</v>
      </c>
      <c r="E248" s="54">
        <v>38024368</v>
      </c>
      <c r="F248" s="54" t="s">
        <v>1066</v>
      </c>
      <c r="G248" s="25">
        <f t="shared" si="0"/>
        <v>-1.8583495537941586E-3</v>
      </c>
      <c r="I248" s="53">
        <v>-3.7999999999999999E-2</v>
      </c>
      <c r="J248">
        <v>2</v>
      </c>
      <c r="L248" s="53">
        <v>-3.9E-2</v>
      </c>
      <c r="M248" s="1">
        <f t="shared" si="1"/>
        <v>0.31729739683217978</v>
      </c>
      <c r="O248" s="38" t="s">
        <v>143</v>
      </c>
      <c r="P248" s="57">
        <f>($K$238*-3)+$K$236</f>
        <v>-3.8716036488429174E-2</v>
      </c>
      <c r="Q248" s="1">
        <v>0</v>
      </c>
    </row>
    <row r="249" spans="1:17" ht="15">
      <c r="A249" s="54">
        <v>389.77440000000001</v>
      </c>
      <c r="B249" s="54">
        <v>392.50439999999998</v>
      </c>
      <c r="C249" s="54">
        <v>352.45299999999997</v>
      </c>
      <c r="D249" s="54">
        <v>352.88720000000001</v>
      </c>
      <c r="E249" s="54">
        <v>50199696</v>
      </c>
      <c r="F249" s="54" t="s">
        <v>1067</v>
      </c>
      <c r="G249" s="25">
        <f t="shared" si="0"/>
        <v>0.10452971941175537</v>
      </c>
      <c r="I249" s="53">
        <v>-3.6999999999999998E-2</v>
      </c>
      <c r="J249">
        <v>4</v>
      </c>
      <c r="L249" s="53">
        <v>-3.7999999999999999E-2</v>
      </c>
      <c r="M249" s="1">
        <f t="shared" si="1"/>
        <v>0.39856308888920694</v>
      </c>
      <c r="O249" s="39"/>
      <c r="P249" s="57">
        <f>($K$238*-3)+$K$236</f>
        <v>-3.8716036488429174E-2</v>
      </c>
      <c r="Q249" s="1">
        <v>5</v>
      </c>
    </row>
    <row r="250" spans="1:17" ht="15">
      <c r="A250" s="54">
        <v>353.91030000000001</v>
      </c>
      <c r="B250" s="54">
        <v>372.96530000000001</v>
      </c>
      <c r="C250" s="54">
        <v>349.60820000000001</v>
      </c>
      <c r="D250" s="54">
        <v>367.58019999999999</v>
      </c>
      <c r="E250" s="54">
        <v>35868918</v>
      </c>
      <c r="F250" s="54" t="s">
        <v>1068</v>
      </c>
      <c r="G250" s="25">
        <f t="shared" si="0"/>
        <v>-3.7188891022965853E-2</v>
      </c>
      <c r="I250" s="53">
        <v>-3.5999999999999997E-2</v>
      </c>
      <c r="J250">
        <v>3</v>
      </c>
      <c r="L250" s="53">
        <v>-3.6999999999999998E-2</v>
      </c>
      <c r="M250" s="1">
        <f t="shared" si="1"/>
        <v>0.49772646137623111</v>
      </c>
      <c r="O250" s="38" t="s">
        <v>144</v>
      </c>
      <c r="P250" s="57">
        <f>($K$238*-2)+$K$236</f>
        <v>-2.563207046543135E-2</v>
      </c>
      <c r="Q250" s="1">
        <v>0</v>
      </c>
    </row>
    <row r="251" spans="1:17" ht="15">
      <c r="A251" s="54">
        <v>357.20420000000001</v>
      </c>
      <c r="B251" s="54">
        <v>370.32010000000002</v>
      </c>
      <c r="C251" s="54">
        <v>344.15820000000002</v>
      </c>
      <c r="D251" s="54">
        <v>350.23700000000002</v>
      </c>
      <c r="E251" s="54">
        <v>50424998</v>
      </c>
      <c r="F251" s="54" t="s">
        <v>1069</v>
      </c>
      <c r="G251" s="25">
        <f t="shared" si="0"/>
        <v>1.9892815436404421E-2</v>
      </c>
      <c r="I251" s="53">
        <v>-3.4999999999999996E-2</v>
      </c>
      <c r="J251">
        <v>4</v>
      </c>
      <c r="L251" s="53">
        <v>-3.5999999999999997E-2</v>
      </c>
      <c r="M251" s="1">
        <f t="shared" si="1"/>
        <v>0.61794165581328075</v>
      </c>
      <c r="O251" s="39"/>
      <c r="P251" s="57">
        <f>($K$238*-2)+$K$236</f>
        <v>-2.563207046543135E-2</v>
      </c>
      <c r="Q251" s="1">
        <v>15</v>
      </c>
    </row>
    <row r="252" spans="1:17" ht="15">
      <c r="A252" s="54">
        <v>359.18060000000003</v>
      </c>
      <c r="B252" s="54">
        <v>373.90359999999998</v>
      </c>
      <c r="C252" s="54">
        <v>358.82130000000001</v>
      </c>
      <c r="D252" s="54">
        <v>363.45780000000002</v>
      </c>
      <c r="E252" s="54">
        <v>49209854</v>
      </c>
      <c r="F252" s="54" t="s">
        <v>1070</v>
      </c>
      <c r="G252" s="25">
        <f t="shared" si="0"/>
        <v>-1.1768078715053032E-2</v>
      </c>
      <c r="I252" s="53">
        <v>-3.3999999999999996E-2</v>
      </c>
      <c r="J252">
        <v>5</v>
      </c>
      <c r="L252" s="53">
        <v>-3.4999999999999996E-2</v>
      </c>
      <c r="M252" s="1">
        <f t="shared" si="1"/>
        <v>0.7627238056973058</v>
      </c>
      <c r="O252" s="40" t="s">
        <v>145</v>
      </c>
      <c r="P252" s="57">
        <f>($K$238*-1)+$K$236</f>
        <v>-1.2548104442433533E-2</v>
      </c>
      <c r="Q252" s="1">
        <v>0</v>
      </c>
    </row>
    <row r="253" spans="1:17" ht="15">
      <c r="A253" s="54">
        <v>372.42630000000003</v>
      </c>
      <c r="B253" s="54">
        <v>376.78829999999999</v>
      </c>
      <c r="C253" s="54">
        <v>368.67320000000001</v>
      </c>
      <c r="D253" s="54">
        <v>374.09820000000002</v>
      </c>
      <c r="E253" s="54">
        <v>30197997</v>
      </c>
      <c r="F253" s="54" t="s">
        <v>1071</v>
      </c>
      <c r="G253" s="25">
        <f t="shared" si="0"/>
        <v>-4.469147405681162E-3</v>
      </c>
      <c r="I253" s="53">
        <v>-3.2999999999999995E-2</v>
      </c>
      <c r="J253">
        <v>4</v>
      </c>
      <c r="L253" s="53">
        <v>-3.3999999999999996E-2</v>
      </c>
      <c r="M253" s="1">
        <f t="shared" si="1"/>
        <v>0.93594476241885194</v>
      </c>
      <c r="P253" s="57">
        <f>($K$238*-1)+$K$236</f>
        <v>-1.2548104442433533E-2</v>
      </c>
      <c r="Q253" s="1">
        <v>25</v>
      </c>
    </row>
    <row r="254" spans="1:17" ht="15">
      <c r="A254" s="54">
        <v>381.43970000000002</v>
      </c>
      <c r="B254" s="54">
        <v>384.37439999999998</v>
      </c>
      <c r="C254" s="54">
        <v>375.92989999999998</v>
      </c>
      <c r="D254" s="54">
        <v>377.2724</v>
      </c>
      <c r="E254" s="54">
        <v>16092555</v>
      </c>
      <c r="F254" s="54" t="s">
        <v>1072</v>
      </c>
      <c r="G254" s="25">
        <f t="shared" si="0"/>
        <v>1.1045865003642019E-2</v>
      </c>
      <c r="I254" s="53">
        <v>-3.1999999999999994E-2</v>
      </c>
      <c r="J254">
        <v>8</v>
      </c>
      <c r="L254" s="53">
        <v>-3.2999999999999995E-2</v>
      </c>
      <c r="M254" s="1">
        <f t="shared" si="1"/>
        <v>1.1418162580144247</v>
      </c>
      <c r="O254" s="1" t="s">
        <v>146</v>
      </c>
      <c r="P254" s="57">
        <f>($K$238*1)+$K$236</f>
        <v>1.3619827603562102E-2</v>
      </c>
      <c r="Q254" s="1">
        <v>0</v>
      </c>
    </row>
    <row r="255" spans="1:17" ht="15">
      <c r="A255" s="54">
        <v>381.4896</v>
      </c>
      <c r="B255" s="54">
        <v>382.14839999999998</v>
      </c>
      <c r="C255" s="54">
        <v>372.54610000000002</v>
      </c>
      <c r="D255" s="54">
        <v>373.96350000000001</v>
      </c>
      <c r="E255" s="54">
        <v>19689503</v>
      </c>
      <c r="F255" s="54" t="s">
        <v>1073</v>
      </c>
      <c r="G255" s="25">
        <f t="shared" si="0"/>
        <v>2.0125226125009554E-2</v>
      </c>
      <c r="I255" s="53">
        <v>-3.0999999999999993E-2</v>
      </c>
      <c r="J255">
        <v>1</v>
      </c>
      <c r="L255" s="53">
        <v>-3.1999999999999994E-2</v>
      </c>
      <c r="M255" s="1">
        <f t="shared" si="1"/>
        <v>1.384858223241322</v>
      </c>
      <c r="P255" s="57">
        <f>($K$238*1)+$K$236</f>
        <v>1.3619827603562102E-2</v>
      </c>
      <c r="Q255" s="1">
        <v>25</v>
      </c>
    </row>
    <row r="256" spans="1:17" ht="15">
      <c r="A256" s="54">
        <v>374.70209999999997</v>
      </c>
      <c r="B256" s="54">
        <v>376.37900000000002</v>
      </c>
      <c r="C256" s="54">
        <v>366.56700000000001</v>
      </c>
      <c r="D256" s="54">
        <v>371.85230000000001</v>
      </c>
      <c r="E256" s="54">
        <v>35184676</v>
      </c>
      <c r="F256" s="54" t="s">
        <v>1074</v>
      </c>
      <c r="G256" s="25">
        <f t="shared" si="0"/>
        <v>7.6637955446288153E-3</v>
      </c>
      <c r="I256" s="53">
        <v>-2.9999999999999992E-2</v>
      </c>
      <c r="J256">
        <v>5</v>
      </c>
      <c r="L256" s="53">
        <v>-3.0999999999999993E-2</v>
      </c>
      <c r="M256" s="1">
        <f t="shared" si="1"/>
        <v>1.6698501245617172</v>
      </c>
      <c r="O256" s="41" t="s">
        <v>147</v>
      </c>
      <c r="P256" s="57">
        <f>($K$238*2)+$K$236</f>
        <v>2.6703793626559922E-2</v>
      </c>
      <c r="Q256" s="1">
        <v>0</v>
      </c>
    </row>
    <row r="257" spans="1:35" ht="15">
      <c r="A257" s="54">
        <v>378.10590000000002</v>
      </c>
      <c r="B257" s="54">
        <v>388.4169</v>
      </c>
      <c r="C257" s="54">
        <v>376.23930000000001</v>
      </c>
      <c r="D257" s="54">
        <v>387.3689</v>
      </c>
      <c r="E257" s="54">
        <v>21632016</v>
      </c>
      <c r="F257" s="54" t="s">
        <v>1075</v>
      </c>
      <c r="G257" s="25">
        <f t="shared" si="0"/>
        <v>-2.391260630370684E-2</v>
      </c>
      <c r="I257" s="53">
        <v>-2.8999999999999991E-2</v>
      </c>
      <c r="J257">
        <v>6</v>
      </c>
      <c r="L257" s="53">
        <v>-2.9999999999999992E-2</v>
      </c>
      <c r="M257" s="1">
        <f t="shared" si="1"/>
        <v>2.0017634713679739</v>
      </c>
      <c r="P257" s="57">
        <f>($K$238*2)+$K$236</f>
        <v>2.6703793626559922E-2</v>
      </c>
      <c r="Q257" s="1">
        <v>15</v>
      </c>
    </row>
    <row r="258" spans="1:35" ht="15">
      <c r="A258" s="54">
        <v>389.86430000000001</v>
      </c>
      <c r="B258" s="54">
        <v>391.52120000000002</v>
      </c>
      <c r="C258" s="54">
        <v>386.68509999999998</v>
      </c>
      <c r="D258" s="54">
        <v>389.4151</v>
      </c>
      <c r="E258" s="54">
        <v>13766761</v>
      </c>
      <c r="F258" s="54" t="s">
        <v>1076</v>
      </c>
      <c r="G258" s="25">
        <f t="shared" si="0"/>
        <v>1.1535248633143258E-3</v>
      </c>
      <c r="I258" s="53">
        <v>-2.799999999999999E-2</v>
      </c>
      <c r="J258">
        <v>8</v>
      </c>
      <c r="L258" s="53">
        <v>-2.8999999999999991E-2</v>
      </c>
      <c r="M258" s="1">
        <f t="shared" si="1"/>
        <v>2.3856740903028548</v>
      </c>
      <c r="O258" s="41" t="s">
        <v>148</v>
      </c>
      <c r="P258" s="57">
        <f>($K$238*3)+$K$236</f>
        <v>3.978775964955774E-2</v>
      </c>
      <c r="Q258" s="1">
        <v>0</v>
      </c>
    </row>
    <row r="259" spans="1:35" ht="15">
      <c r="A259" s="54">
        <v>389.25540000000001</v>
      </c>
      <c r="B259" s="54">
        <v>394.5856</v>
      </c>
      <c r="C259" s="54">
        <v>387.858</v>
      </c>
      <c r="D259" s="54">
        <v>394.27620000000002</v>
      </c>
      <c r="E259" s="54">
        <v>16132906</v>
      </c>
      <c r="F259" s="54" t="s">
        <v>1077</v>
      </c>
      <c r="G259" s="25">
        <f t="shared" si="0"/>
        <v>-1.2734220325751333E-2</v>
      </c>
      <c r="I259" s="53">
        <v>-2.6999999999999989E-2</v>
      </c>
      <c r="J259">
        <v>10</v>
      </c>
      <c r="L259" s="53">
        <v>-2.799999999999999E-2</v>
      </c>
      <c r="M259" s="1">
        <f t="shared" si="1"/>
        <v>2.8266533751805327</v>
      </c>
      <c r="O259" s="41"/>
      <c r="P259" s="57">
        <f>($K$238*3)+$K$236</f>
        <v>3.978775964955774E-2</v>
      </c>
      <c r="Q259" s="1">
        <v>5</v>
      </c>
      <c r="AI259" s="2" t="s">
        <v>140</v>
      </c>
    </row>
    <row r="260" spans="1:35" ht="15">
      <c r="A260" s="54">
        <v>394.4359</v>
      </c>
      <c r="B260" s="54">
        <v>395.63369999999998</v>
      </c>
      <c r="C260" s="54">
        <v>391.9205</v>
      </c>
      <c r="D260" s="54">
        <v>393.19319999999999</v>
      </c>
      <c r="E260" s="54">
        <v>15774968</v>
      </c>
      <c r="F260" s="54" t="s">
        <v>1078</v>
      </c>
      <c r="G260" s="25">
        <f t="shared" si="0"/>
        <v>3.1605327864265842E-3</v>
      </c>
      <c r="I260" s="53">
        <v>-2.5999999999999988E-2</v>
      </c>
      <c r="J260">
        <v>13</v>
      </c>
      <c r="L260" s="53">
        <v>-2.6999999999999989E-2</v>
      </c>
      <c r="M260" s="1">
        <f t="shared" si="1"/>
        <v>3.3296384983288507</v>
      </c>
    </row>
    <row r="261" spans="1:35" ht="15">
      <c r="A261" s="54">
        <v>392.35969999999998</v>
      </c>
      <c r="B261" s="54">
        <v>394.67540000000002</v>
      </c>
      <c r="C261" s="54">
        <v>389.09570000000002</v>
      </c>
      <c r="D261" s="54">
        <v>394.67540000000002</v>
      </c>
      <c r="E261" s="54">
        <v>21004548</v>
      </c>
      <c r="F261" s="54" t="s">
        <v>1079</v>
      </c>
      <c r="G261" s="25">
        <f t="shared" si="0"/>
        <v>-5.8673532730949551E-3</v>
      </c>
      <c r="I261" s="53">
        <v>-2.4999999999999988E-2</v>
      </c>
      <c r="J261">
        <v>7</v>
      </c>
      <c r="L261" s="53">
        <v>-2.5999999999999988E-2</v>
      </c>
      <c r="M261" s="1">
        <f t="shared" si="1"/>
        <v>3.8992825010577099</v>
      </c>
    </row>
    <row r="262" spans="1:35" ht="15">
      <c r="A262" s="54">
        <v>390.54300000000001</v>
      </c>
      <c r="B262" s="54">
        <v>391.02210000000002</v>
      </c>
      <c r="C262" s="54">
        <v>382.0985</v>
      </c>
      <c r="D262" s="54">
        <v>382.51280000000003</v>
      </c>
      <c r="E262" s="54">
        <v>39675928</v>
      </c>
      <c r="F262" s="54" t="s">
        <v>1080</v>
      </c>
      <c r="G262" s="25">
        <f t="shared" si="0"/>
        <v>2.09932844077374E-2</v>
      </c>
      <c r="I262" s="53">
        <v>-2.3999999999999987E-2</v>
      </c>
      <c r="J262">
        <v>7</v>
      </c>
      <c r="L262" s="53">
        <v>-2.4999999999999988E-2</v>
      </c>
      <c r="M262" s="1">
        <f t="shared" si="1"/>
        <v>4.539786244331971</v>
      </c>
    </row>
    <row r="263" spans="1:35" ht="15">
      <c r="A263" s="54">
        <v>386.1311</v>
      </c>
      <c r="B263" s="54">
        <v>391.06709999999998</v>
      </c>
      <c r="C263" s="54">
        <v>382.57769999999999</v>
      </c>
      <c r="D263" s="54">
        <v>385.02820000000003</v>
      </c>
      <c r="E263" s="54">
        <v>18470542</v>
      </c>
      <c r="F263" s="54" t="s">
        <v>1081</v>
      </c>
      <c r="G263" s="25">
        <f t="shared" si="0"/>
        <v>2.8644655118768014E-3</v>
      </c>
      <c r="I263" s="53">
        <v>-2.2999999999999986E-2</v>
      </c>
      <c r="J263">
        <v>12</v>
      </c>
      <c r="L263" s="53">
        <v>-2.3999999999999987E-2</v>
      </c>
      <c r="M263" s="1">
        <f t="shared" si="1"/>
        <v>5.254715359799353</v>
      </c>
    </row>
    <row r="264" spans="1:35" ht="15">
      <c r="A264" s="54">
        <v>387.10930000000002</v>
      </c>
      <c r="B264" s="54">
        <v>388.96589999999998</v>
      </c>
      <c r="C264" s="54">
        <v>383.29629999999997</v>
      </c>
      <c r="D264" s="54">
        <v>384.81849999999997</v>
      </c>
      <c r="E264" s="54">
        <v>19185532</v>
      </c>
      <c r="F264" s="54" t="s">
        <v>1082</v>
      </c>
      <c r="G264" s="25">
        <f t="shared" si="0"/>
        <v>5.9529362543642161E-3</v>
      </c>
      <c r="I264" s="53">
        <v>-2.1999999999999985E-2</v>
      </c>
      <c r="J264">
        <v>13</v>
      </c>
      <c r="L264" s="53">
        <v>-2.2999999999999986E-2</v>
      </c>
      <c r="M264" s="1">
        <f t="shared" si="1"/>
        <v>6.0468065476946995</v>
      </c>
    </row>
    <row r="265" spans="1:35" ht="15">
      <c r="A265" s="54">
        <v>382.81720000000001</v>
      </c>
      <c r="B265" s="54">
        <v>386.66019999999997</v>
      </c>
      <c r="C265" s="54">
        <v>380.40159999999997</v>
      </c>
      <c r="D265" s="54">
        <v>386.36070000000001</v>
      </c>
      <c r="E265" s="54">
        <v>19486850</v>
      </c>
      <c r="F265" s="54" t="s">
        <v>1083</v>
      </c>
      <c r="G265" s="25">
        <f t="shared" si="0"/>
        <v>-9.1714814679649814E-3</v>
      </c>
      <c r="I265" s="53">
        <v>-2.0999999999999984E-2</v>
      </c>
      <c r="J265">
        <v>15</v>
      </c>
      <c r="L265" s="53">
        <v>-2.1999999999999985E-2</v>
      </c>
      <c r="M265" s="1">
        <f t="shared" si="1"/>
        <v>6.9177687618747292</v>
      </c>
    </row>
    <row r="266" spans="1:35" ht="15">
      <c r="A266" s="54">
        <v>387.98770000000002</v>
      </c>
      <c r="B266" s="54">
        <v>391.98540000000003</v>
      </c>
      <c r="C266" s="54">
        <v>384.86349999999999</v>
      </c>
      <c r="D266" s="54">
        <v>385.9914</v>
      </c>
      <c r="E266" s="54">
        <v>22474272</v>
      </c>
      <c r="F266" s="54" t="s">
        <v>1084</v>
      </c>
      <c r="G266" s="25">
        <f t="shared" si="0"/>
        <v>5.1718768863762143E-3</v>
      </c>
      <c r="I266" s="53">
        <v>-1.9999999999999983E-2</v>
      </c>
      <c r="J266">
        <v>10</v>
      </c>
      <c r="L266" s="53">
        <v>-2.0999999999999984E-2</v>
      </c>
      <c r="M266" s="1">
        <f t="shared" si="1"/>
        <v>7.8680859339858671</v>
      </c>
    </row>
    <row r="267" spans="1:35" ht="15">
      <c r="A267" s="54">
        <v>387.84800000000001</v>
      </c>
      <c r="B267" s="54">
        <v>389.51490000000001</v>
      </c>
      <c r="C267" s="54">
        <v>378.81459999999998</v>
      </c>
      <c r="D267" s="54">
        <v>379.07909999999998</v>
      </c>
      <c r="E267" s="54">
        <v>19952846</v>
      </c>
      <c r="F267" s="54" t="s">
        <v>1085</v>
      </c>
      <c r="G267" s="25">
        <f t="shared" si="0"/>
        <v>2.3132111477525585E-2</v>
      </c>
      <c r="I267" s="53">
        <v>-1.8999999999999982E-2</v>
      </c>
      <c r="J267">
        <v>8</v>
      </c>
      <c r="L267" s="53">
        <v>-1.9999999999999983E-2</v>
      </c>
      <c r="M267" s="1">
        <f t="shared" si="1"/>
        <v>8.8968288429724112</v>
      </c>
    </row>
    <row r="268" spans="1:35" ht="15">
      <c r="A268" s="54">
        <v>378.07589999999999</v>
      </c>
      <c r="B268" s="54">
        <v>384.6139</v>
      </c>
      <c r="C268" s="54">
        <v>376.75830000000002</v>
      </c>
      <c r="D268" s="54">
        <v>382.4529</v>
      </c>
      <c r="E268" s="54">
        <v>20473017</v>
      </c>
      <c r="F268" s="54" t="s">
        <v>1086</v>
      </c>
      <c r="G268" s="25">
        <f t="shared" si="0"/>
        <v>-1.1444546504942199E-2</v>
      </c>
      <c r="I268" s="53">
        <v>-1.7999999999999981E-2</v>
      </c>
      <c r="J268">
        <v>19</v>
      </c>
      <c r="L268" s="53">
        <v>-1.8999999999999982E-2</v>
      </c>
      <c r="M268" s="1">
        <f t="shared" si="1"/>
        <v>10.001484455202542</v>
      </c>
    </row>
    <row r="269" spans="1:35" ht="15">
      <c r="A269" s="54">
        <v>382.5677</v>
      </c>
      <c r="B269" s="54">
        <v>384.51060000000001</v>
      </c>
      <c r="C269" s="54">
        <v>378.25630000000001</v>
      </c>
      <c r="D269" s="54">
        <v>382.24829999999997</v>
      </c>
      <c r="E269" s="54">
        <v>24253567</v>
      </c>
      <c r="F269" s="54" t="s">
        <v>1087</v>
      </c>
      <c r="G269" s="25">
        <f t="shared" si="0"/>
        <v>8.3558252580862025E-4</v>
      </c>
      <c r="I269" s="53">
        <v>-1.699999999999998E-2</v>
      </c>
      <c r="J269">
        <v>21</v>
      </c>
      <c r="L269" s="53">
        <v>-1.7999999999999981E-2</v>
      </c>
      <c r="M269" s="1">
        <f t="shared" si="1"/>
        <v>11.177811469791191</v>
      </c>
    </row>
    <row r="270" spans="1:35" ht="15">
      <c r="A270" s="54">
        <v>379.75279999999998</v>
      </c>
      <c r="B270" s="54">
        <v>385.29270000000002</v>
      </c>
      <c r="C270" s="54">
        <v>376.21929999999998</v>
      </c>
      <c r="D270" s="54">
        <v>378.30549999999999</v>
      </c>
      <c r="E270" s="54">
        <v>30380177</v>
      </c>
      <c r="F270" s="54" t="s">
        <v>1088</v>
      </c>
      <c r="G270" s="25">
        <f t="shared" si="0"/>
        <v>3.8257440084799033E-3</v>
      </c>
      <c r="I270" s="53">
        <v>-1.599999999999998E-2</v>
      </c>
      <c r="J270">
        <v>21</v>
      </c>
      <c r="L270" s="53">
        <v>-1.699999999999998E-2</v>
      </c>
      <c r="M270" s="1">
        <f t="shared" si="1"/>
        <v>12.419730837069507</v>
      </c>
    </row>
    <row r="271" spans="1:35" ht="15">
      <c r="A271" s="54">
        <v>379.46339999999998</v>
      </c>
      <c r="B271" s="54">
        <v>385.69189999999998</v>
      </c>
      <c r="C271" s="54">
        <v>376.52879999999999</v>
      </c>
      <c r="D271" s="54">
        <v>385.13299999999998</v>
      </c>
      <c r="E271" s="54">
        <v>32840134</v>
      </c>
      <c r="F271" s="54" t="s">
        <v>1089</v>
      </c>
      <c r="G271" s="25">
        <f t="shared" si="0"/>
        <v>-1.4721148278646567E-2</v>
      </c>
      <c r="I271" s="53">
        <v>-1.4999999999999979E-2</v>
      </c>
      <c r="J271">
        <v>29</v>
      </c>
      <c r="L271" s="53">
        <v>-1.599999999999998E-2</v>
      </c>
      <c r="M271" s="1">
        <f t="shared" si="1"/>
        <v>13.719259623576857</v>
      </c>
    </row>
    <row r="272" spans="1:35" ht="15">
      <c r="A272" s="54">
        <v>392.58929999999998</v>
      </c>
      <c r="B272" s="54">
        <v>394.07650000000001</v>
      </c>
      <c r="C272" s="54">
        <v>384.83350000000002</v>
      </c>
      <c r="D272" s="54">
        <v>391.60109999999997</v>
      </c>
      <c r="E272" s="54">
        <v>22034087</v>
      </c>
      <c r="F272" s="54" t="s">
        <v>1090</v>
      </c>
      <c r="G272" s="25">
        <f t="shared" si="0"/>
        <v>2.5234862721275064E-3</v>
      </c>
      <c r="I272" s="53">
        <v>-1.3999999999999978E-2</v>
      </c>
      <c r="J272">
        <v>27</v>
      </c>
      <c r="L272" s="53">
        <v>-1.4999999999999979E-2</v>
      </c>
      <c r="M272" s="1">
        <f t="shared" si="1"/>
        <v>15.066495741975533</v>
      </c>
    </row>
    <row r="273" spans="1:13" ht="15">
      <c r="A273" s="54">
        <v>396.16269999999997</v>
      </c>
      <c r="B273" s="54">
        <v>401.41309999999999</v>
      </c>
      <c r="C273" s="54">
        <v>391.9581</v>
      </c>
      <c r="D273" s="54">
        <v>393.5575</v>
      </c>
      <c r="E273" s="54">
        <v>23304625</v>
      </c>
      <c r="F273" s="54" t="s">
        <v>1091</v>
      </c>
      <c r="G273" s="25">
        <f t="shared" si="0"/>
        <v>6.6196172096832928E-3</v>
      </c>
      <c r="I273" s="53">
        <v>-1.2999999999999977E-2</v>
      </c>
      <c r="J273">
        <v>38</v>
      </c>
      <c r="L273" s="53">
        <v>-1.3999999999999978E-2</v>
      </c>
      <c r="M273" s="1">
        <f t="shared" si="1"/>
        <v>16.449659740677184</v>
      </c>
    </row>
    <row r="274" spans="1:13" ht="15">
      <c r="A274" s="54">
        <v>400.2851</v>
      </c>
      <c r="B274" s="54">
        <v>400.93400000000003</v>
      </c>
      <c r="C274" s="54">
        <v>388.09750000000003</v>
      </c>
      <c r="D274" s="54">
        <v>388.62650000000002</v>
      </c>
      <c r="E274" s="54">
        <v>23433132</v>
      </c>
      <c r="F274" s="54" t="s">
        <v>1092</v>
      </c>
      <c r="G274" s="25">
        <f t="shared" si="0"/>
        <v>2.9999498232879063E-2</v>
      </c>
      <c r="I274" s="53">
        <v>-1.1999999999999976E-2</v>
      </c>
      <c r="J274">
        <v>42</v>
      </c>
      <c r="L274" s="53">
        <v>-1.2999999999999977E-2</v>
      </c>
      <c r="M274" s="1">
        <f t="shared" si="1"/>
        <v>17.855198075180347</v>
      </c>
    </row>
    <row r="275" spans="1:13" ht="15">
      <c r="A275" s="54">
        <v>387.89789999999999</v>
      </c>
      <c r="B275" s="54">
        <v>391.86059999999998</v>
      </c>
      <c r="C275" s="54">
        <v>380.30180000000001</v>
      </c>
      <c r="D275" s="54">
        <v>382.69740000000002</v>
      </c>
      <c r="E275" s="54">
        <v>29342923</v>
      </c>
      <c r="F275" s="54" t="s">
        <v>1093</v>
      </c>
      <c r="G275" s="25">
        <f t="shared" si="0"/>
        <v>1.3589065407813017E-2</v>
      </c>
      <c r="I275" s="53">
        <v>-1.0999999999999975E-2</v>
      </c>
      <c r="J275">
        <v>52</v>
      </c>
      <c r="L275" s="53">
        <v>-1.1999999999999976E-2</v>
      </c>
      <c r="M275" s="1">
        <f t="shared" si="1"/>
        <v>19.267950110141125</v>
      </c>
    </row>
    <row r="276" spans="1:13" ht="15">
      <c r="A276" s="54">
        <v>387.77809999999999</v>
      </c>
      <c r="B276" s="54">
        <v>398.08920000000001</v>
      </c>
      <c r="C276" s="54">
        <v>385.44740000000002</v>
      </c>
      <c r="D276" s="54">
        <v>398.08920000000001</v>
      </c>
      <c r="E276" s="54">
        <v>23007726</v>
      </c>
      <c r="F276" s="54" t="s">
        <v>1094</v>
      </c>
      <c r="G276" s="25">
        <f t="shared" si="0"/>
        <v>-2.5901481376535695E-2</v>
      </c>
      <c r="I276" s="53">
        <v>-9.9999999999999742E-3</v>
      </c>
      <c r="J276">
        <v>46</v>
      </c>
      <c r="L276" s="53">
        <v>-1.0999999999999975E-2</v>
      </c>
      <c r="M276" s="1">
        <f t="shared" si="1"/>
        <v>20.671378606448908</v>
      </c>
    </row>
    <row r="277" spans="1:13" ht="15">
      <c r="A277" s="54">
        <v>396.26249999999999</v>
      </c>
      <c r="B277" s="54">
        <v>396.90140000000002</v>
      </c>
      <c r="C277" s="54">
        <v>385.86160000000001</v>
      </c>
      <c r="D277" s="54">
        <v>391.93549999999999</v>
      </c>
      <c r="E277" s="54">
        <v>32845658</v>
      </c>
      <c r="F277" s="54" t="s">
        <v>1095</v>
      </c>
      <c r="G277" s="25">
        <f t="shared" si="0"/>
        <v>1.1040081850202332E-2</v>
      </c>
      <c r="I277" s="53">
        <v>-8.9999999999999733E-3</v>
      </c>
      <c r="J277">
        <v>56</v>
      </c>
      <c r="L277" s="53">
        <v>-9.9999999999999742E-3</v>
      </c>
      <c r="M277" s="1">
        <f t="shared" si="1"/>
        <v>22.047860736632387</v>
      </c>
    </row>
    <row r="278" spans="1:13" ht="15">
      <c r="A278" s="54">
        <v>391.8107</v>
      </c>
      <c r="B278" s="54">
        <v>404.99650000000003</v>
      </c>
      <c r="C278" s="54">
        <v>391.45139999999998</v>
      </c>
      <c r="D278" s="54">
        <v>400.52969999999999</v>
      </c>
      <c r="E278" s="54">
        <v>21127406</v>
      </c>
      <c r="F278" s="54" t="s">
        <v>1096</v>
      </c>
      <c r="G278" s="25">
        <f t="shared" si="0"/>
        <v>-2.1768672834998282E-2</v>
      </c>
      <c r="I278" s="53">
        <v>-7.9999999999999724E-3</v>
      </c>
      <c r="J278">
        <v>63</v>
      </c>
      <c r="L278" s="53">
        <v>-8.9999999999999733E-3</v>
      </c>
      <c r="M278" s="1">
        <f t="shared" si="1"/>
        <v>23.379033873061289</v>
      </c>
    </row>
    <row r="279" spans="1:13" ht="15">
      <c r="A279" s="54">
        <v>398.9975</v>
      </c>
      <c r="B279" s="54">
        <v>402.86040000000003</v>
      </c>
      <c r="C279" s="54">
        <v>393.52260000000001</v>
      </c>
      <c r="D279" s="54">
        <v>397.28070000000002</v>
      </c>
      <c r="E279" s="54">
        <v>19618954</v>
      </c>
      <c r="F279" s="54" t="s">
        <v>1097</v>
      </c>
      <c r="G279" s="25">
        <f t="shared" si="0"/>
        <v>4.321377806674187E-3</v>
      </c>
      <c r="I279" s="53">
        <v>-6.9999999999999724E-3</v>
      </c>
      <c r="J279">
        <v>78</v>
      </c>
      <c r="L279" s="53">
        <v>-7.9999999999999724E-3</v>
      </c>
      <c r="M279" s="1">
        <f t="shared" si="1"/>
        <v>24.646187651121995</v>
      </c>
    </row>
    <row r="280" spans="1:13" ht="15">
      <c r="A280" s="54">
        <v>397.17090000000002</v>
      </c>
      <c r="B280" s="54">
        <v>401.17849999999999</v>
      </c>
      <c r="C280" s="54">
        <v>395.97309999999999</v>
      </c>
      <c r="D280" s="54">
        <v>400.36500000000001</v>
      </c>
      <c r="E280" s="54">
        <v>29387402</v>
      </c>
      <c r="F280" s="54" t="s">
        <v>1098</v>
      </c>
      <c r="G280" s="25">
        <f t="shared" ref="G280:G343" si="2">A280/D280-1</f>
        <v>-7.9779701022816285E-3</v>
      </c>
      <c r="I280" s="53">
        <v>-5.9999999999999724E-3</v>
      </c>
      <c r="J280">
        <v>57</v>
      </c>
      <c r="L280" s="53">
        <v>-6.9999999999999724E-3</v>
      </c>
      <c r="M280" s="1">
        <f t="shared" si="1"/>
        <v>25.830691276291358</v>
      </c>
    </row>
    <row r="281" spans="1:13" ht="15">
      <c r="A281" s="54">
        <v>403.25970000000001</v>
      </c>
      <c r="B281" s="54">
        <v>408.6198</v>
      </c>
      <c r="C281" s="54">
        <v>398.5883</v>
      </c>
      <c r="D281" s="54">
        <v>407.76139999999998</v>
      </c>
      <c r="E281" s="54">
        <v>26443656</v>
      </c>
      <c r="F281" s="54" t="s">
        <v>1099</v>
      </c>
      <c r="G281" s="25">
        <f t="shared" si="2"/>
        <v>-1.1040034686951694E-2</v>
      </c>
      <c r="I281" s="53">
        <v>-4.9999999999999723E-3</v>
      </c>
      <c r="J281">
        <v>75</v>
      </c>
      <c r="L281" s="53">
        <v>-5.9999999999999724E-3</v>
      </c>
      <c r="M281" s="1">
        <f t="shared" si="1"/>
        <v>26.914442870804539</v>
      </c>
    </row>
    <row r="282" spans="1:13" ht="15">
      <c r="A282" s="54">
        <v>407.46199999999999</v>
      </c>
      <c r="B282" s="54">
        <v>417.28190000000001</v>
      </c>
      <c r="C282" s="54">
        <v>407.14260000000002</v>
      </c>
      <c r="D282" s="54">
        <v>416.5702</v>
      </c>
      <c r="E282" s="54">
        <v>27524799</v>
      </c>
      <c r="F282" s="54" t="s">
        <v>1100</v>
      </c>
      <c r="G282" s="25">
        <f t="shared" si="2"/>
        <v>-2.1864742125096814E-2</v>
      </c>
      <c r="I282" s="53">
        <v>-3.9999999999999723E-3</v>
      </c>
      <c r="J282">
        <v>101</v>
      </c>
      <c r="L282" s="53">
        <v>-4.9999999999999723E-3</v>
      </c>
      <c r="M282" s="1">
        <f t="shared" si="1"/>
        <v>27.880325981903852</v>
      </c>
    </row>
    <row r="283" spans="1:13" ht="15">
      <c r="A283" s="54">
        <v>415.36750000000001</v>
      </c>
      <c r="B283" s="54">
        <v>418.54160000000002</v>
      </c>
      <c r="C283" s="54">
        <v>411.78399999999999</v>
      </c>
      <c r="D283" s="54">
        <v>414.529</v>
      </c>
      <c r="E283" s="54">
        <v>23508728</v>
      </c>
      <c r="F283" s="54" t="s">
        <v>1101</v>
      </c>
      <c r="G283" s="25">
        <f t="shared" si="2"/>
        <v>2.0227776584991197E-3</v>
      </c>
      <c r="I283" s="53">
        <v>-2.9999999999999723E-3</v>
      </c>
      <c r="J283">
        <v>108</v>
      </c>
      <c r="L283" s="53">
        <v>-3.9999999999999723E-3</v>
      </c>
      <c r="M283" s="1">
        <f t="shared" si="1"/>
        <v>28.712657317600357</v>
      </c>
    </row>
    <row r="284" spans="1:13" ht="15">
      <c r="A284" s="54">
        <v>413.18150000000003</v>
      </c>
      <c r="B284" s="54">
        <v>413.89870000000002</v>
      </c>
      <c r="C284" s="54">
        <v>406.08870000000002</v>
      </c>
      <c r="D284" s="54">
        <v>406.31790000000001</v>
      </c>
      <c r="E284" s="54">
        <v>24114197</v>
      </c>
      <c r="F284" s="54" t="s">
        <v>1102</v>
      </c>
      <c r="G284" s="25">
        <f t="shared" si="2"/>
        <v>1.6892192049624333E-2</v>
      </c>
      <c r="I284" s="53">
        <v>-1.9999999999999723E-3</v>
      </c>
      <c r="J284">
        <v>87</v>
      </c>
      <c r="L284" s="53">
        <v>-2.9999999999999723E-3</v>
      </c>
      <c r="M284" s="1">
        <f t="shared" si="1"/>
        <v>29.397609425312343</v>
      </c>
    </row>
    <row r="285" spans="1:13" ht="15">
      <c r="A285" s="54">
        <v>408.0711</v>
      </c>
      <c r="B285" s="54">
        <v>409.02440000000001</v>
      </c>
      <c r="C285" s="54">
        <v>404.94310000000002</v>
      </c>
      <c r="D285" s="54">
        <v>406.43740000000003</v>
      </c>
      <c r="E285" s="54">
        <v>21423051</v>
      </c>
      <c r="F285" s="54" t="s">
        <v>1103</v>
      </c>
      <c r="G285" s="25">
        <f t="shared" si="2"/>
        <v>4.0195611919571217E-3</v>
      </c>
      <c r="I285" s="53">
        <v>-9.9999999999997227E-4</v>
      </c>
      <c r="J285">
        <v>101</v>
      </c>
      <c r="L285" s="53">
        <v>-1.9999999999999723E-3</v>
      </c>
      <c r="M285" s="1">
        <f t="shared" si="1"/>
        <v>29.923592433941042</v>
      </c>
    </row>
    <row r="286" spans="1:13" ht="15">
      <c r="A286" s="54">
        <v>406.8657</v>
      </c>
      <c r="B286" s="54">
        <v>407.34390000000002</v>
      </c>
      <c r="C286" s="54">
        <v>404.32549999999998</v>
      </c>
      <c r="D286" s="54">
        <v>406.22820000000002</v>
      </c>
      <c r="E286" s="54">
        <v>22758464</v>
      </c>
      <c r="F286" s="54" t="s">
        <v>1104</v>
      </c>
      <c r="G286" s="25">
        <f t="shared" si="2"/>
        <v>1.5693149810869222E-3</v>
      </c>
      <c r="I286" s="53">
        <v>2.7755575615628914E-17</v>
      </c>
      <c r="J286">
        <v>113</v>
      </c>
      <c r="L286" s="53">
        <v>-9.9999999999997227E-4</v>
      </c>
      <c r="M286" s="1">
        <f t="shared" si="1"/>
        <v>30.281580148670873</v>
      </c>
    </row>
    <row r="287" spans="1:13" ht="15">
      <c r="A287" s="54">
        <v>408.96769999999998</v>
      </c>
      <c r="B287" s="54">
        <v>409.42590000000001</v>
      </c>
      <c r="C287" s="54">
        <v>404.80369999999999</v>
      </c>
      <c r="D287" s="54">
        <v>405.44119999999998</v>
      </c>
      <c r="E287" s="54">
        <v>23891731</v>
      </c>
      <c r="F287" s="54" t="s">
        <v>1105</v>
      </c>
      <c r="G287" s="25">
        <f t="shared" si="2"/>
        <v>8.6979320305879959E-3</v>
      </c>
      <c r="I287" s="53">
        <v>1.0000000000000278E-3</v>
      </c>
      <c r="J287">
        <v>113</v>
      </c>
      <c r="L287" s="53">
        <v>2.7755575615628914E-17</v>
      </c>
      <c r="M287" s="1">
        <f t="shared" si="1"/>
        <v>30.465367683152735</v>
      </c>
    </row>
    <row r="288" spans="1:13" ht="15">
      <c r="A288" s="54">
        <v>407.47340000000003</v>
      </c>
      <c r="B288" s="54">
        <v>409.17689999999999</v>
      </c>
      <c r="C288" s="54">
        <v>402.8186</v>
      </c>
      <c r="D288" s="54">
        <v>405.65039999999999</v>
      </c>
      <c r="E288" s="54">
        <v>19121734</v>
      </c>
      <c r="F288" s="54" t="s">
        <v>1106</v>
      </c>
      <c r="G288" s="25">
        <f t="shared" si="2"/>
        <v>4.4940175086725098E-3</v>
      </c>
      <c r="I288" s="53">
        <v>2.0000000000000278E-3</v>
      </c>
      <c r="J288">
        <v>117</v>
      </c>
      <c r="L288" s="53">
        <v>1.0000000000000278E-3</v>
      </c>
      <c r="M288" s="1">
        <f t="shared" si="1"/>
        <v>30.471750355123852</v>
      </c>
    </row>
    <row r="289" spans="1:13" ht="15">
      <c r="A289" s="54">
        <v>409.86419999999998</v>
      </c>
      <c r="B289" s="54">
        <v>410.91019999999997</v>
      </c>
      <c r="C289" s="54">
        <v>407.73239999999998</v>
      </c>
      <c r="D289" s="54">
        <v>408.0711</v>
      </c>
      <c r="E289" s="54">
        <v>18140592</v>
      </c>
      <c r="F289" s="54" t="s">
        <v>1107</v>
      </c>
      <c r="G289" s="25">
        <f t="shared" si="2"/>
        <v>4.3940872068617409E-3</v>
      </c>
      <c r="I289" s="53">
        <v>3.0000000000000278E-3</v>
      </c>
      <c r="J289">
        <v>112</v>
      </c>
      <c r="L289" s="53">
        <v>2.0000000000000278E-3</v>
      </c>
      <c r="M289" s="1">
        <f t="shared" si="1"/>
        <v>30.300616638605995</v>
      </c>
    </row>
    <row r="290" spans="1:13" ht="15">
      <c r="A290" s="54">
        <v>410.64120000000003</v>
      </c>
      <c r="B290" s="54">
        <v>413.87119999999999</v>
      </c>
      <c r="C290" s="54">
        <v>409.34620000000001</v>
      </c>
      <c r="D290" s="54">
        <v>412.12549999999999</v>
      </c>
      <c r="E290" s="54">
        <v>20817919</v>
      </c>
      <c r="F290" s="54" t="s">
        <v>1108</v>
      </c>
      <c r="G290" s="25">
        <f t="shared" si="2"/>
        <v>-3.601572821870902E-3</v>
      </c>
      <c r="I290" s="53">
        <v>4.0000000000000278E-3</v>
      </c>
      <c r="J290">
        <v>103</v>
      </c>
      <c r="L290" s="53">
        <v>3.0000000000000278E-3</v>
      </c>
      <c r="M290" s="1">
        <f t="shared" si="1"/>
        <v>29.954951405467384</v>
      </c>
    </row>
    <row r="291" spans="1:13" ht="15">
      <c r="A291" s="54">
        <v>408.1807</v>
      </c>
      <c r="B291" s="54">
        <v>417.04660000000001</v>
      </c>
      <c r="C291" s="54">
        <v>406.53699999999998</v>
      </c>
      <c r="D291" s="54">
        <v>414.88490000000002</v>
      </c>
      <c r="E291" s="54">
        <v>22886844</v>
      </c>
      <c r="F291" s="54" t="s">
        <v>1109</v>
      </c>
      <c r="G291" s="25">
        <f t="shared" si="2"/>
        <v>-1.6159180534167428E-2</v>
      </c>
      <c r="I291" s="53">
        <v>5.0000000000000279E-3</v>
      </c>
      <c r="J291">
        <v>106</v>
      </c>
      <c r="L291" s="53">
        <v>4.0000000000000278E-3</v>
      </c>
      <c r="M291" s="1">
        <f t="shared" si="1"/>
        <v>29.440749324699169</v>
      </c>
    </row>
    <row r="292" spans="1:13" ht="15">
      <c r="A292" s="54">
        <v>414.22739999999999</v>
      </c>
      <c r="B292" s="54">
        <v>416.59829999999999</v>
      </c>
      <c r="C292" s="54">
        <v>412.4144</v>
      </c>
      <c r="D292" s="54">
        <v>412.4144</v>
      </c>
      <c r="E292" s="54">
        <v>16309755</v>
      </c>
      <c r="F292" s="54" t="s">
        <v>1110</v>
      </c>
      <c r="G292" s="25">
        <f t="shared" si="2"/>
        <v>4.3960637649897993E-3</v>
      </c>
      <c r="I292" s="53">
        <v>6.0000000000000279E-3</v>
      </c>
      <c r="J292">
        <v>86</v>
      </c>
      <c r="L292" s="53">
        <v>5.0000000000000279E-3</v>
      </c>
      <c r="M292" s="1">
        <f t="shared" si="1"/>
        <v>28.766841930184285</v>
      </c>
    </row>
    <row r="293" spans="1:13" ht="15">
      <c r="A293" s="54">
        <v>411.70710000000003</v>
      </c>
      <c r="B293" s="54">
        <v>412.24209999999999</v>
      </c>
      <c r="C293" s="54">
        <v>408.82819999999998</v>
      </c>
      <c r="D293" s="54">
        <v>410.77069999999998</v>
      </c>
      <c r="E293" s="54">
        <v>16336188</v>
      </c>
      <c r="F293" s="54" t="s">
        <v>1111</v>
      </c>
      <c r="G293" s="25">
        <f t="shared" si="2"/>
        <v>2.2796173144774556E-3</v>
      </c>
      <c r="I293" s="53">
        <v>7.0000000000000279E-3</v>
      </c>
      <c r="J293">
        <v>63</v>
      </c>
      <c r="L293" s="53">
        <v>6.0000000000000279E-3</v>
      </c>
      <c r="M293" s="1">
        <f t="shared" si="1"/>
        <v>27.944645327526157</v>
      </c>
    </row>
    <row r="294" spans="1:13" ht="15">
      <c r="A294" s="54">
        <v>410.79070000000002</v>
      </c>
      <c r="B294" s="54">
        <v>412.33460000000002</v>
      </c>
      <c r="C294" s="54">
        <v>408.17070000000001</v>
      </c>
      <c r="D294" s="54">
        <v>411.10449999999997</v>
      </c>
      <c r="E294" s="54">
        <v>20532096</v>
      </c>
      <c r="F294" s="54" t="s">
        <v>1112</v>
      </c>
      <c r="G294" s="25">
        <f t="shared" si="2"/>
        <v>-7.6330957214032491E-4</v>
      </c>
      <c r="I294" s="53">
        <v>8.0000000000000279E-3</v>
      </c>
      <c r="J294">
        <v>82</v>
      </c>
      <c r="L294" s="53">
        <v>7.0000000000000279E-3</v>
      </c>
      <c r="M294" s="1">
        <f t="shared" si="1"/>
        <v>26.987838609750025</v>
      </c>
    </row>
    <row r="295" spans="1:13" ht="15">
      <c r="A295" s="54">
        <v>409.34620000000001</v>
      </c>
      <c r="B295" s="54">
        <v>413.81900000000002</v>
      </c>
      <c r="C295" s="54">
        <v>407.0949</v>
      </c>
      <c r="D295" s="54">
        <v>410.02359999999999</v>
      </c>
      <c r="E295" s="54">
        <v>25679149</v>
      </c>
      <c r="F295" s="54" t="s">
        <v>1113</v>
      </c>
      <c r="G295" s="25">
        <f t="shared" si="2"/>
        <v>-1.6521000254619E-3</v>
      </c>
      <c r="I295" s="53">
        <v>9.0000000000000288E-3</v>
      </c>
      <c r="J295">
        <v>72</v>
      </c>
      <c r="L295" s="53">
        <v>8.0000000000000279E-3</v>
      </c>
      <c r="M295" s="1">
        <f t="shared" si="1"/>
        <v>25.911985635230543</v>
      </c>
    </row>
    <row r="296" spans="1:13" ht="15">
      <c r="A296" s="54">
        <v>413.47039999999998</v>
      </c>
      <c r="B296" s="54">
        <v>419.0788</v>
      </c>
      <c r="C296" s="54">
        <v>413.32089999999999</v>
      </c>
      <c r="D296" s="54">
        <v>417.37529999999998</v>
      </c>
      <c r="E296" s="54">
        <v>34223388</v>
      </c>
      <c r="F296" s="54" t="s">
        <v>1114</v>
      </c>
      <c r="G296" s="25">
        <f t="shared" si="2"/>
        <v>-9.3558483216423793E-3</v>
      </c>
      <c r="I296" s="53">
        <v>1.000000000000003E-2</v>
      </c>
      <c r="J296">
        <v>69</v>
      </c>
      <c r="L296" s="53">
        <v>9.0000000000000288E-3</v>
      </c>
      <c r="M296" s="1">
        <f t="shared" si="1"/>
        <v>24.734114766091967</v>
      </c>
    </row>
    <row r="297" spans="1:13" ht="15">
      <c r="A297" s="54">
        <v>413.4006</v>
      </c>
      <c r="B297" s="54">
        <v>421.2405</v>
      </c>
      <c r="C297" s="54">
        <v>411.57760000000002</v>
      </c>
      <c r="D297" s="54">
        <v>417.16609999999997</v>
      </c>
      <c r="E297" s="54">
        <v>54586260</v>
      </c>
      <c r="F297" s="54" t="s">
        <v>1115</v>
      </c>
      <c r="G297" s="25">
        <f t="shared" si="2"/>
        <v>-9.026380619134633E-3</v>
      </c>
      <c r="I297" s="53">
        <v>1.1000000000000031E-2</v>
      </c>
      <c r="J297">
        <v>70</v>
      </c>
      <c r="L297" s="53">
        <v>1.000000000000003E-2</v>
      </c>
      <c r="M297" s="1">
        <f t="shared" si="1"/>
        <v>23.472272387932122</v>
      </c>
    </row>
    <row r="298" spans="1:13" ht="15">
      <c r="A298" s="54">
        <v>440.63589999999999</v>
      </c>
      <c r="B298" s="54">
        <v>445.16849999999999</v>
      </c>
      <c r="C298" s="54">
        <v>438.7133</v>
      </c>
      <c r="D298" s="54">
        <v>444.97919999999999</v>
      </c>
      <c r="E298" s="54">
        <v>23581370</v>
      </c>
      <c r="F298" s="54" t="s">
        <v>1116</v>
      </c>
      <c r="G298" s="25">
        <f t="shared" si="2"/>
        <v>-9.760680948682543E-3</v>
      </c>
      <c r="I298" s="53">
        <v>1.2000000000000031E-2</v>
      </c>
      <c r="J298">
        <v>65</v>
      </c>
      <c r="L298" s="53">
        <v>1.1000000000000031E-2</v>
      </c>
      <c r="M298" s="1">
        <f t="shared" si="1"/>
        <v>22.145066491947539</v>
      </c>
    </row>
    <row r="299" spans="1:13" ht="15">
      <c r="A299" s="54">
        <v>445.4873</v>
      </c>
      <c r="B299" s="54">
        <v>446.66269999999997</v>
      </c>
      <c r="C299" s="54">
        <v>429.72789999999998</v>
      </c>
      <c r="D299" s="54">
        <v>432.93549999999999</v>
      </c>
      <c r="E299" s="54">
        <v>23491703</v>
      </c>
      <c r="F299" s="54" t="s">
        <v>1117</v>
      </c>
      <c r="G299" s="25">
        <f t="shared" si="2"/>
        <v>2.8992309477970712E-2</v>
      </c>
      <c r="I299" s="53">
        <v>1.3000000000000032E-2</v>
      </c>
      <c r="J299">
        <v>56</v>
      </c>
      <c r="L299" s="53">
        <v>1.2000000000000031E-2</v>
      </c>
      <c r="M299" s="1">
        <f t="shared" si="1"/>
        <v>20.771216302985266</v>
      </c>
    </row>
    <row r="300" spans="1:13" ht="15">
      <c r="A300" s="54">
        <v>432.89569999999998</v>
      </c>
      <c r="B300" s="54">
        <v>433.53320000000002</v>
      </c>
      <c r="C300" s="54">
        <v>421.87799999999999</v>
      </c>
      <c r="D300" s="54">
        <v>422.3861</v>
      </c>
      <c r="E300" s="54">
        <v>35647805</v>
      </c>
      <c r="F300" s="54" t="s">
        <v>1118</v>
      </c>
      <c r="G300" s="25">
        <f t="shared" si="2"/>
        <v>2.488150059862293E-2</v>
      </c>
      <c r="I300" s="53">
        <v>1.4000000000000033E-2</v>
      </c>
      <c r="J300">
        <v>41</v>
      </c>
      <c r="L300" s="53">
        <v>1.3000000000000032E-2</v>
      </c>
      <c r="M300" s="1">
        <f t="shared" si="1"/>
        <v>19.36912292907699</v>
      </c>
    </row>
    <row r="301" spans="1:13" ht="15">
      <c r="A301" s="54">
        <v>442.35930000000002</v>
      </c>
      <c r="B301" s="54">
        <v>444.93939999999998</v>
      </c>
      <c r="C301" s="54">
        <v>439.70949999999999</v>
      </c>
      <c r="D301" s="54">
        <v>443.45510000000002</v>
      </c>
      <c r="E301" s="54">
        <v>15549453</v>
      </c>
      <c r="F301" s="54" t="s">
        <v>1119</v>
      </c>
      <c r="G301" s="25">
        <f t="shared" si="2"/>
        <v>-2.4710506204573823E-3</v>
      </c>
      <c r="I301" s="53">
        <v>1.5000000000000034E-2</v>
      </c>
      <c r="J301">
        <v>30</v>
      </c>
      <c r="L301" s="53">
        <v>1.4000000000000033E-2</v>
      </c>
      <c r="M301" s="1">
        <f t="shared" si="1"/>
        <v>17.956474374982282</v>
      </c>
    </row>
    <row r="302" spans="1:13" ht="15">
      <c r="A302" s="54">
        <v>444.9991</v>
      </c>
      <c r="B302" s="54">
        <v>445.03899999999999</v>
      </c>
      <c r="C302" s="54">
        <v>439.81389999999999</v>
      </c>
      <c r="D302" s="54">
        <v>440.30720000000002</v>
      </c>
      <c r="E302" s="54">
        <v>18389270</v>
      </c>
      <c r="F302" s="54" t="s">
        <v>1120</v>
      </c>
      <c r="G302" s="25">
        <f t="shared" si="2"/>
        <v>1.0655969286897715E-2</v>
      </c>
      <c r="I302" s="53">
        <v>1.6000000000000035E-2</v>
      </c>
      <c r="J302">
        <v>35</v>
      </c>
      <c r="L302" s="53">
        <v>1.5000000000000034E-2</v>
      </c>
      <c r="M302" s="1">
        <f t="shared" si="1"/>
        <v>16.549896120421224</v>
      </c>
    </row>
    <row r="303" spans="1:13" ht="15">
      <c r="A303" s="54">
        <v>444.49110000000002</v>
      </c>
      <c r="B303" s="54">
        <v>445.55700000000002</v>
      </c>
      <c r="C303" s="54">
        <v>434.33019999999999</v>
      </c>
      <c r="D303" s="54">
        <v>435.88420000000002</v>
      </c>
      <c r="E303" s="54">
        <v>27803811</v>
      </c>
      <c r="F303" s="54" t="s">
        <v>1121</v>
      </c>
      <c r="G303" s="25">
        <f t="shared" si="2"/>
        <v>1.9745840753117472E-2</v>
      </c>
      <c r="I303" s="53">
        <v>1.7000000000000036E-2</v>
      </c>
      <c r="J303">
        <v>39</v>
      </c>
      <c r="L303" s="53">
        <v>1.6000000000000035E-2</v>
      </c>
      <c r="M303" s="1">
        <f t="shared" si="1"/>
        <v>15.164655951297542</v>
      </c>
    </row>
    <row r="304" spans="1:13" ht="15">
      <c r="A304" s="54">
        <v>426.85890000000001</v>
      </c>
      <c r="B304" s="54">
        <v>429.24959999999999</v>
      </c>
      <c r="C304" s="54">
        <v>423.96499999999997</v>
      </c>
      <c r="D304" s="54">
        <v>428.55239999999998</v>
      </c>
      <c r="E304" s="54">
        <v>26085703</v>
      </c>
      <c r="F304" s="54" t="s">
        <v>1122</v>
      </c>
      <c r="G304" s="25">
        <f t="shared" si="2"/>
        <v>-3.9516754543901245E-3</v>
      </c>
      <c r="I304" s="53">
        <v>1.8000000000000037E-2</v>
      </c>
      <c r="J304">
        <v>34</v>
      </c>
      <c r="L304" s="53">
        <v>1.7000000000000036E-2</v>
      </c>
      <c r="M304" s="1">
        <f t="shared" si="1"/>
        <v>13.814428999804264</v>
      </c>
    </row>
    <row r="305" spans="1:13" ht="15">
      <c r="A305" s="54">
        <v>427.38690000000003</v>
      </c>
      <c r="B305" s="54">
        <v>432.81599999999997</v>
      </c>
      <c r="C305" s="54">
        <v>426.5301</v>
      </c>
      <c r="D305" s="54">
        <v>432.42250000000001</v>
      </c>
      <c r="E305" s="54">
        <v>26197507</v>
      </c>
      <c r="F305" s="54" t="s">
        <v>1123</v>
      </c>
      <c r="G305" s="25">
        <f t="shared" si="2"/>
        <v>-1.1645092473217766E-2</v>
      </c>
      <c r="I305" s="53">
        <v>1.9000000000000038E-2</v>
      </c>
      <c r="J305">
        <v>22</v>
      </c>
      <c r="L305" s="53">
        <v>1.8000000000000037E-2</v>
      </c>
      <c r="M305" s="1">
        <f t="shared" si="1"/>
        <v>12.511126149546261</v>
      </c>
    </row>
    <row r="306" spans="1:13" ht="15">
      <c r="A306" s="54">
        <v>422.95389999999998</v>
      </c>
      <c r="B306" s="54">
        <v>427.8451</v>
      </c>
      <c r="C306" s="54">
        <v>422.76459999999997</v>
      </c>
      <c r="D306" s="54">
        <v>427.05309999999997</v>
      </c>
      <c r="E306" s="54">
        <v>15300023</v>
      </c>
      <c r="F306" s="54" t="s">
        <v>1124</v>
      </c>
      <c r="G306" s="25">
        <f t="shared" si="2"/>
        <v>-9.598806331109655E-3</v>
      </c>
      <c r="I306" s="53">
        <v>2.0000000000000039E-2</v>
      </c>
      <c r="J306">
        <v>20</v>
      </c>
      <c r="L306" s="53">
        <v>1.9000000000000038E-2</v>
      </c>
      <c r="M306" s="1">
        <f t="shared" si="1"/>
        <v>11.264786240057049</v>
      </c>
    </row>
    <row r="307" spans="1:13" ht="15">
      <c r="A307" s="54">
        <v>424.6773</v>
      </c>
      <c r="B307" s="54">
        <v>426.5102</v>
      </c>
      <c r="C307" s="54">
        <v>416.66309999999999</v>
      </c>
      <c r="D307" s="54">
        <v>417.52480000000003</v>
      </c>
      <c r="E307" s="54">
        <v>19637838</v>
      </c>
      <c r="F307" s="54" t="s">
        <v>1125</v>
      </c>
      <c r="G307" s="25">
        <f t="shared" si="2"/>
        <v>1.7130718941725132E-2</v>
      </c>
      <c r="I307" s="53">
        <v>2.1000000000000039E-2</v>
      </c>
      <c r="J307">
        <v>20</v>
      </c>
      <c r="L307" s="53">
        <v>2.0000000000000039E-2</v>
      </c>
      <c r="M307" s="1">
        <f t="shared" si="1"/>
        <v>10.08352999101537</v>
      </c>
    </row>
    <row r="308" spans="1:13" ht="15">
      <c r="A308" s="54">
        <v>414.07799999999997</v>
      </c>
      <c r="B308" s="54">
        <v>418.13240000000002</v>
      </c>
      <c r="C308" s="54">
        <v>409.14699999999999</v>
      </c>
      <c r="D308" s="54">
        <v>416.20979999999997</v>
      </c>
      <c r="E308" s="54">
        <v>16935856</v>
      </c>
      <c r="F308" s="54" t="s">
        <v>1126</v>
      </c>
      <c r="G308" s="25">
        <f t="shared" si="2"/>
        <v>-5.1219361004954944E-3</v>
      </c>
      <c r="I308" s="53">
        <v>2.200000000000004E-2</v>
      </c>
      <c r="J308">
        <v>11</v>
      </c>
      <c r="L308" s="53">
        <v>2.1000000000000039E-2</v>
      </c>
      <c r="M308" s="1">
        <f t="shared" si="1"/>
        <v>8.9735713674596358</v>
      </c>
    </row>
    <row r="309" spans="1:13" ht="15">
      <c r="A309" s="54">
        <v>415.59219999999999</v>
      </c>
      <c r="B309" s="54">
        <v>416.8972</v>
      </c>
      <c r="C309" s="54">
        <v>410.71100000000001</v>
      </c>
      <c r="D309" s="54">
        <v>413.6447</v>
      </c>
      <c r="E309" s="54">
        <v>17604780</v>
      </c>
      <c r="F309" s="54" t="s">
        <v>1127</v>
      </c>
      <c r="G309" s="25">
        <f t="shared" si="2"/>
        <v>4.7081468709739838E-3</v>
      </c>
      <c r="I309" s="53">
        <v>2.3000000000000041E-2</v>
      </c>
      <c r="J309">
        <v>14</v>
      </c>
      <c r="L309" s="53">
        <v>2.200000000000004E-2</v>
      </c>
      <c r="M309" s="1">
        <f t="shared" si="1"/>
        <v>7.9392803038195385</v>
      </c>
    </row>
    <row r="310" spans="1:13" ht="15">
      <c r="A310" s="54">
        <v>417.34550000000002</v>
      </c>
      <c r="B310" s="54">
        <v>423.08339999999998</v>
      </c>
      <c r="C310" s="54">
        <v>413.43049999999999</v>
      </c>
      <c r="D310" s="54">
        <v>423.00369999999998</v>
      </c>
      <c r="E310" s="54">
        <v>20201132</v>
      </c>
      <c r="F310" s="54" t="s">
        <v>1128</v>
      </c>
      <c r="G310" s="25">
        <f t="shared" si="2"/>
        <v>-1.3376242335468858E-2</v>
      </c>
      <c r="I310" s="53">
        <v>2.4000000000000042E-2</v>
      </c>
      <c r="J310">
        <v>11</v>
      </c>
      <c r="L310" s="53">
        <v>2.3000000000000041E-2</v>
      </c>
      <c r="M310" s="1">
        <f t="shared" si="1"/>
        <v>6.9832893477637645</v>
      </c>
    </row>
    <row r="311" spans="1:13" ht="15">
      <c r="A311" s="54">
        <v>422.93400000000003</v>
      </c>
      <c r="B311" s="54">
        <v>425.3347</v>
      </c>
      <c r="C311" s="54">
        <v>419.9255</v>
      </c>
      <c r="D311" s="54">
        <v>421.83819999999997</v>
      </c>
      <c r="E311" s="54">
        <v>15054575</v>
      </c>
      <c r="F311" s="54" t="s">
        <v>1129</v>
      </c>
      <c r="G311" s="25">
        <f t="shared" si="2"/>
        <v>2.5976784463808134E-3</v>
      </c>
      <c r="I311" s="53">
        <v>2.5000000000000043E-2</v>
      </c>
      <c r="J311">
        <v>11</v>
      </c>
      <c r="L311" s="53">
        <v>2.4000000000000042E-2</v>
      </c>
      <c r="M311" s="1">
        <f t="shared" ref="M311:M328" si="3">_xlfn.NORM.DIST(L311,$K$236,$K$238,FALSE)</f>
        <v>6.1066358962363063</v>
      </c>
    </row>
    <row r="312" spans="1:13" ht="15">
      <c r="A312" s="54">
        <v>420.75240000000002</v>
      </c>
      <c r="B312" s="54">
        <v>429.00060000000002</v>
      </c>
      <c r="C312" s="54">
        <v>419.1884</v>
      </c>
      <c r="D312" s="54">
        <v>427.35700000000003</v>
      </c>
      <c r="E312" s="54">
        <v>18139065</v>
      </c>
      <c r="F312" s="54" t="s">
        <v>1130</v>
      </c>
      <c r="G312" s="25">
        <f t="shared" si="2"/>
        <v>-1.5454526309385375E-2</v>
      </c>
      <c r="I312" s="53">
        <v>2.6000000000000044E-2</v>
      </c>
      <c r="J312">
        <v>5</v>
      </c>
      <c r="L312" s="53">
        <v>2.5000000000000043E-2</v>
      </c>
      <c r="M312" s="1">
        <f t="shared" si="3"/>
        <v>5.3089312692753117</v>
      </c>
    </row>
    <row r="313" spans="1:13" ht="15">
      <c r="A313" s="54">
        <v>426.21140000000003</v>
      </c>
      <c r="B313" s="54">
        <v>432.65660000000003</v>
      </c>
      <c r="C313" s="54">
        <v>423.84789999999998</v>
      </c>
      <c r="D313" s="54">
        <v>426.36079999999998</v>
      </c>
      <c r="E313" s="54">
        <v>20573648</v>
      </c>
      <c r="F313" s="54" t="s">
        <v>1131</v>
      </c>
      <c r="G313" s="25">
        <f t="shared" si="2"/>
        <v>-3.5040744833947368E-4</v>
      </c>
      <c r="I313" s="53">
        <v>2.7000000000000045E-2</v>
      </c>
      <c r="J313">
        <v>11</v>
      </c>
      <c r="L313" s="53">
        <v>2.6000000000000044E-2</v>
      </c>
      <c r="M313" s="1">
        <f t="shared" si="3"/>
        <v>4.5885478714144119</v>
      </c>
    </row>
    <row r="314" spans="1:13" ht="15">
      <c r="A314" s="54">
        <v>421.72859999999997</v>
      </c>
      <c r="B314" s="54">
        <v>422.40600000000001</v>
      </c>
      <c r="C314" s="54">
        <v>417.9332</v>
      </c>
      <c r="D314" s="54">
        <v>419.46730000000002</v>
      </c>
      <c r="E314" s="54">
        <v>16662943</v>
      </c>
      <c r="F314" s="54" t="s">
        <v>1132</v>
      </c>
      <c r="G314" s="25">
        <f t="shared" si="2"/>
        <v>5.3908850582631285E-3</v>
      </c>
      <c r="I314" s="53">
        <v>2.8000000000000046E-2</v>
      </c>
      <c r="J314">
        <v>7</v>
      </c>
      <c r="L314" s="53">
        <v>2.7000000000000045E-2</v>
      </c>
      <c r="M314" s="1">
        <f t="shared" si="3"/>
        <v>3.9428160748717098</v>
      </c>
    </row>
    <row r="315" spans="1:13" ht="15">
      <c r="A315" s="54">
        <v>416.9769</v>
      </c>
      <c r="B315" s="54">
        <v>424.43819999999999</v>
      </c>
      <c r="C315" s="54">
        <v>413.26119999999997</v>
      </c>
      <c r="D315" s="54">
        <v>423.90030000000002</v>
      </c>
      <c r="E315" s="54">
        <v>16896469</v>
      </c>
      <c r="F315" s="54" t="s">
        <v>1133</v>
      </c>
      <c r="G315" s="25">
        <f t="shared" si="2"/>
        <v>-1.6332614060428852E-2</v>
      </c>
      <c r="I315" s="53">
        <v>2.9000000000000047E-2</v>
      </c>
      <c r="J315">
        <v>5</v>
      </c>
      <c r="L315" s="53">
        <v>2.8000000000000046E-2</v>
      </c>
      <c r="M315" s="1">
        <f t="shared" si="3"/>
        <v>3.3682231580004709</v>
      </c>
    </row>
    <row r="316" spans="1:13" ht="15">
      <c r="A316" s="54">
        <v>419.88569999999999</v>
      </c>
      <c r="B316" s="54">
        <v>425.09570000000002</v>
      </c>
      <c r="C316" s="54">
        <v>419.0489</v>
      </c>
      <c r="D316" s="54">
        <v>424.46809999999999</v>
      </c>
      <c r="E316" s="54">
        <v>13246509</v>
      </c>
      <c r="F316" s="54" t="s">
        <v>1134</v>
      </c>
      <c r="G316" s="25">
        <f t="shared" si="2"/>
        <v>-1.0795628693887727E-2</v>
      </c>
      <c r="I316" s="53">
        <v>3.0000000000000047E-2</v>
      </c>
      <c r="J316">
        <v>8</v>
      </c>
      <c r="L316" s="53">
        <v>2.9000000000000047E-2</v>
      </c>
      <c r="M316" s="1">
        <f t="shared" si="3"/>
        <v>2.8606075723936693</v>
      </c>
    </row>
    <row r="317" spans="1:13" ht="15">
      <c r="A317" s="54">
        <v>423.2029</v>
      </c>
      <c r="B317" s="54">
        <v>425.91250000000002</v>
      </c>
      <c r="C317" s="54">
        <v>420.2842</v>
      </c>
      <c r="D317" s="54">
        <v>424.4282</v>
      </c>
      <c r="E317" s="54">
        <v>13158703</v>
      </c>
      <c r="F317" s="54" t="s">
        <v>1135</v>
      </c>
      <c r="G317" s="25">
        <f t="shared" si="2"/>
        <v>-2.8869429505391508E-3</v>
      </c>
      <c r="I317" s="53">
        <v>3.1000000000000048E-2</v>
      </c>
      <c r="J317">
        <v>4</v>
      </c>
      <c r="L317" s="53">
        <v>3.0000000000000047E-2</v>
      </c>
      <c r="M317" s="1">
        <f t="shared" si="3"/>
        <v>2.4153429150491652</v>
      </c>
    </row>
    <row r="318" spans="1:13" ht="15">
      <c r="A318" s="54">
        <v>428.8811</v>
      </c>
      <c r="B318" s="54">
        <v>433.55309999999997</v>
      </c>
      <c r="C318" s="54">
        <v>424.71710000000002</v>
      </c>
      <c r="D318" s="54">
        <v>432.93549999999999</v>
      </c>
      <c r="E318" s="54">
        <v>18117713</v>
      </c>
      <c r="F318" s="54" t="s">
        <v>1136</v>
      </c>
      <c r="G318" s="25">
        <f t="shared" si="2"/>
        <v>-9.364905395838341E-3</v>
      </c>
      <c r="I318" s="53">
        <v>3.2000000000000049E-2</v>
      </c>
      <c r="J318">
        <v>5</v>
      </c>
      <c r="L318" s="53">
        <v>3.1000000000000048E-2</v>
      </c>
      <c r="M318" s="1">
        <f t="shared" si="3"/>
        <v>2.0275071722579598</v>
      </c>
    </row>
    <row r="319" spans="1:13" ht="15">
      <c r="A319" s="54">
        <v>436.43209999999999</v>
      </c>
      <c r="B319" s="54">
        <v>439.25119999999998</v>
      </c>
      <c r="C319" s="54">
        <v>434.95769999999999</v>
      </c>
      <c r="D319" s="54">
        <v>437.39839999999998</v>
      </c>
      <c r="E319" s="54">
        <v>8199927</v>
      </c>
      <c r="F319" s="54" t="s">
        <v>1137</v>
      </c>
      <c r="G319" s="25">
        <f t="shared" si="2"/>
        <v>-2.2091987533562341E-3</v>
      </c>
      <c r="I319" s="53">
        <v>3.300000000000005E-2</v>
      </c>
      <c r="J319">
        <v>3</v>
      </c>
      <c r="L319" s="53">
        <v>3.2000000000000049E-2</v>
      </c>
      <c r="M319" s="1">
        <f t="shared" si="3"/>
        <v>1.6920340094644606</v>
      </c>
    </row>
    <row r="320" spans="1:13" ht="15">
      <c r="A320" s="54">
        <v>437.6474</v>
      </c>
      <c r="B320" s="54">
        <v>437.91640000000001</v>
      </c>
      <c r="C320" s="54">
        <v>432.52710000000002</v>
      </c>
      <c r="D320" s="54">
        <v>432.9853</v>
      </c>
      <c r="E320" s="54">
        <v>7164543</v>
      </c>
      <c r="F320" s="54" t="s">
        <v>1138</v>
      </c>
      <c r="G320" s="25">
        <f t="shared" si="2"/>
        <v>1.0767340138337245E-2</v>
      </c>
      <c r="I320" s="53">
        <v>3.4000000000000051E-2</v>
      </c>
      <c r="J320">
        <v>2</v>
      </c>
      <c r="L320" s="53">
        <v>3.300000000000005E-2</v>
      </c>
      <c r="M320" s="1">
        <f t="shared" si="3"/>
        <v>1.403844045569141</v>
      </c>
    </row>
    <row r="321" spans="1:13" ht="15">
      <c r="A321" s="54">
        <v>433.58300000000003</v>
      </c>
      <c r="B321" s="54">
        <v>435.97379999999998</v>
      </c>
      <c r="C321" s="54">
        <v>431.17230000000001</v>
      </c>
      <c r="D321" s="54">
        <v>435.06729999999999</v>
      </c>
      <c r="E321" s="54">
        <v>19152519</v>
      </c>
      <c r="F321" s="54" t="s">
        <v>1139</v>
      </c>
      <c r="G321" s="25">
        <f t="shared" si="2"/>
        <v>-3.4116560817141206E-3</v>
      </c>
      <c r="I321" s="53">
        <v>3.5000000000000052E-2</v>
      </c>
      <c r="J321">
        <v>1</v>
      </c>
      <c r="L321" s="53">
        <v>3.4000000000000051E-2</v>
      </c>
      <c r="M321" s="1">
        <f t="shared" si="3"/>
        <v>1.1579551217254083</v>
      </c>
    </row>
    <row r="322" spans="1:13" ht="15">
      <c r="A322" s="54">
        <v>434.92790000000002</v>
      </c>
      <c r="B322" s="54">
        <v>442.04050000000001</v>
      </c>
      <c r="C322" s="54">
        <v>426.98840000000001</v>
      </c>
      <c r="D322" s="54">
        <v>431.45119999999997</v>
      </c>
      <c r="E322" s="54">
        <v>64263694</v>
      </c>
      <c r="F322" s="54" t="s">
        <v>1140</v>
      </c>
      <c r="G322" s="25">
        <f t="shared" si="2"/>
        <v>8.0581535061208243E-3</v>
      </c>
      <c r="I322" s="53">
        <v>3.6000000000000053E-2</v>
      </c>
      <c r="J322">
        <v>0</v>
      </c>
      <c r="L322" s="53">
        <v>3.5000000000000052E-2</v>
      </c>
      <c r="M322" s="1">
        <f t="shared" si="3"/>
        <v>0.94957151691493402</v>
      </c>
    </row>
    <row r="323" spans="1:13" ht="15">
      <c r="A323" s="54">
        <v>435.3562</v>
      </c>
      <c r="B323" s="54">
        <v>441.48599999999999</v>
      </c>
      <c r="C323" s="54">
        <v>434.64890000000003</v>
      </c>
      <c r="D323" s="54">
        <v>439.92860000000002</v>
      </c>
      <c r="E323" s="54">
        <v>22963681</v>
      </c>
      <c r="F323" s="54" t="s">
        <v>1141</v>
      </c>
      <c r="G323" s="25">
        <f t="shared" si="2"/>
        <v>-1.0393504764182215E-2</v>
      </c>
      <c r="I323" s="53">
        <v>3.7000000000000054E-2</v>
      </c>
      <c r="J323">
        <v>1</v>
      </c>
      <c r="L323" s="53">
        <v>3.6000000000000053E-2</v>
      </c>
      <c r="M323" s="1">
        <f t="shared" si="3"/>
        <v>0.77415285149171154</v>
      </c>
    </row>
    <row r="324" spans="1:13" ht="15">
      <c r="A324" s="54">
        <v>435.71480000000003</v>
      </c>
      <c r="B324" s="54">
        <v>450.91640000000001</v>
      </c>
      <c r="C324" s="54">
        <v>435.34629999999999</v>
      </c>
      <c r="D324" s="54">
        <v>449.5915</v>
      </c>
      <c r="E324" s="54">
        <v>24444545</v>
      </c>
      <c r="F324" s="54" t="s">
        <v>1142</v>
      </c>
      <c r="G324" s="25">
        <f t="shared" si="2"/>
        <v>-3.0865129790042634E-2</v>
      </c>
      <c r="I324" s="53">
        <v>3.8000000000000055E-2</v>
      </c>
      <c r="J324">
        <v>0</v>
      </c>
      <c r="L324" s="53">
        <v>3.7000000000000054E-2</v>
      </c>
      <c r="M324" s="1">
        <f t="shared" si="3"/>
        <v>0.62746404355161067</v>
      </c>
    </row>
    <row r="325" spans="1:13" ht="15">
      <c r="A325" s="54">
        <v>452.71949999999998</v>
      </c>
      <c r="B325" s="54">
        <v>453.54629999999997</v>
      </c>
      <c r="C325" s="54">
        <v>447.84820000000002</v>
      </c>
      <c r="D325" s="54">
        <v>449.28269999999998</v>
      </c>
      <c r="E325" s="54">
        <v>22733494</v>
      </c>
      <c r="F325" s="54" t="s">
        <v>1143</v>
      </c>
      <c r="G325" s="25">
        <f t="shared" si="2"/>
        <v>7.6495266788594307E-3</v>
      </c>
      <c r="I325" s="53">
        <v>3.9000000000000055E-2</v>
      </c>
      <c r="J325">
        <v>1</v>
      </c>
      <c r="L325" s="53">
        <v>3.8000000000000055E-2</v>
      </c>
      <c r="M325" s="1">
        <f t="shared" si="3"/>
        <v>0.50560814023675338</v>
      </c>
    </row>
    <row r="326" spans="1:13" ht="15">
      <c r="A326" s="54">
        <v>449.86040000000003</v>
      </c>
      <c r="B326" s="54">
        <v>450.44819999999999</v>
      </c>
      <c r="C326" s="54">
        <v>443.57459999999998</v>
      </c>
      <c r="D326" s="54">
        <v>445.55700000000002</v>
      </c>
      <c r="E326" s="54">
        <v>23598834</v>
      </c>
      <c r="F326" s="54" t="s">
        <v>1144</v>
      </c>
      <c r="G326" s="25">
        <f t="shared" si="2"/>
        <v>9.6584724288923951E-3</v>
      </c>
      <c r="I326" s="53">
        <v>4.0000000000000056E-2</v>
      </c>
      <c r="J326">
        <v>1</v>
      </c>
      <c r="L326" s="53">
        <v>3.9000000000000055E-2</v>
      </c>
      <c r="M326" s="1">
        <f t="shared" si="3"/>
        <v>0.40504414471020306</v>
      </c>
    </row>
    <row r="327" spans="1:13" ht="15.75" thickBot="1">
      <c r="A327" s="54">
        <v>445.55700000000002</v>
      </c>
      <c r="B327" s="54">
        <v>449.7011</v>
      </c>
      <c r="C327" s="54">
        <v>443.87349999999998</v>
      </c>
      <c r="D327" s="54">
        <v>446.71749999999997</v>
      </c>
      <c r="E327" s="54">
        <v>20177833</v>
      </c>
      <c r="F327" s="54" t="s">
        <v>1145</v>
      </c>
      <c r="G327" s="25">
        <f t="shared" si="2"/>
        <v>-2.5978386788070296E-3</v>
      </c>
      <c r="I327" s="55" t="s">
        <v>3801</v>
      </c>
      <c r="J327" s="55">
        <v>29</v>
      </c>
      <c r="L327" s="53">
        <v>4.0000000000000056E-2</v>
      </c>
      <c r="M327" s="1">
        <f t="shared" si="3"/>
        <v>0.32259211425182388</v>
      </c>
    </row>
    <row r="328" spans="1:13" ht="15">
      <c r="A328" s="54">
        <v>447.83819999999997</v>
      </c>
      <c r="B328" s="54">
        <v>454.41770000000002</v>
      </c>
      <c r="C328" s="54">
        <v>447.38990000000001</v>
      </c>
      <c r="D328" s="54">
        <v>447.38990000000001</v>
      </c>
      <c r="E328" s="54">
        <v>20834779</v>
      </c>
      <c r="F328" s="54" t="s">
        <v>1146</v>
      </c>
      <c r="G328" s="25">
        <f t="shared" si="2"/>
        <v>1.0020342435088647E-3</v>
      </c>
      <c r="L328" s="53">
        <v>4.1000000000000057E-2</v>
      </c>
      <c r="M328" s="1">
        <f t="shared" si="3"/>
        <v>0.25542783526984525</v>
      </c>
    </row>
    <row r="329" spans="1:13">
      <c r="A329" s="54">
        <v>447.2704</v>
      </c>
      <c r="B329" s="54">
        <v>448.62520000000001</v>
      </c>
      <c r="C329" s="54">
        <v>442.34930000000003</v>
      </c>
      <c r="D329" s="54">
        <v>442.34930000000003</v>
      </c>
      <c r="E329" s="54">
        <v>19200208</v>
      </c>
      <c r="F329" s="54" t="s">
        <v>1147</v>
      </c>
      <c r="G329" s="25">
        <f t="shared" si="2"/>
        <v>1.1124918701125974E-2</v>
      </c>
    </row>
    <row r="330" spans="1:13">
      <c r="A330" s="54">
        <v>441.63209999999998</v>
      </c>
      <c r="B330" s="54">
        <v>447.89800000000002</v>
      </c>
      <c r="C330" s="54">
        <v>439.90870000000001</v>
      </c>
      <c r="D330" s="54">
        <v>442.68799999999999</v>
      </c>
      <c r="E330" s="54">
        <v>18469459</v>
      </c>
      <c r="F330" s="54" t="s">
        <v>1148</v>
      </c>
      <c r="G330" s="25">
        <f t="shared" si="2"/>
        <v>-2.3852013155992724E-3</v>
      </c>
    </row>
    <row r="331" spans="1:13">
      <c r="A331" s="54">
        <v>444.31180000000001</v>
      </c>
      <c r="B331" s="54">
        <v>446.61290000000002</v>
      </c>
      <c r="C331" s="54">
        <v>438.81290000000001</v>
      </c>
      <c r="D331" s="54">
        <v>440.9049</v>
      </c>
      <c r="E331" s="54">
        <v>19144388</v>
      </c>
      <c r="F331" s="54" t="s">
        <v>1149</v>
      </c>
      <c r="G331" s="25">
        <f t="shared" si="2"/>
        <v>7.7270631376515908E-3</v>
      </c>
    </row>
    <row r="332" spans="1:13">
      <c r="A332" s="54">
        <v>441.87119999999999</v>
      </c>
      <c r="B332" s="54">
        <v>444.39150000000001</v>
      </c>
      <c r="C332" s="54">
        <v>440.07839999999999</v>
      </c>
      <c r="D332" s="54">
        <v>440.60599999999999</v>
      </c>
      <c r="E332" s="54">
        <v>18821002</v>
      </c>
      <c r="F332" s="54" t="s">
        <v>1150</v>
      </c>
      <c r="G332" s="25">
        <f t="shared" si="2"/>
        <v>2.8714997072214477E-3</v>
      </c>
    </row>
    <row r="333" spans="1:13">
      <c r="A333" s="54">
        <v>440.9248</v>
      </c>
      <c r="B333" s="54">
        <v>442.95699999999999</v>
      </c>
      <c r="C333" s="54">
        <v>434.50049999999999</v>
      </c>
      <c r="D333" s="54">
        <v>436.24279999999999</v>
      </c>
      <c r="E333" s="54">
        <v>21697775</v>
      </c>
      <c r="F333" s="54" t="s">
        <v>1151</v>
      </c>
      <c r="G333" s="25">
        <f t="shared" si="2"/>
        <v>1.0732555356787632E-2</v>
      </c>
    </row>
    <row r="334" spans="1:13">
      <c r="A334" s="54">
        <v>435.74470000000002</v>
      </c>
      <c r="B334" s="54">
        <v>437.98610000000002</v>
      </c>
      <c r="C334" s="54">
        <v>430.97309999999999</v>
      </c>
      <c r="D334" s="54">
        <v>431.37150000000003</v>
      </c>
      <c r="E334" s="54">
        <v>26009429</v>
      </c>
      <c r="F334" s="54" t="s">
        <v>1152</v>
      </c>
      <c r="G334" s="25">
        <f t="shared" si="2"/>
        <v>1.0137897380795957E-2</v>
      </c>
    </row>
    <row r="335" spans="1:13">
      <c r="A335" s="54">
        <v>429.54849999999999</v>
      </c>
      <c r="B335" s="54">
        <v>430.81369999999998</v>
      </c>
      <c r="C335" s="54">
        <v>426.10180000000003</v>
      </c>
      <c r="D335" s="54">
        <v>428.19369999999998</v>
      </c>
      <c r="E335" s="54">
        <v>18301987</v>
      </c>
      <c r="F335" s="54" t="s">
        <v>1153</v>
      </c>
      <c r="G335" s="25">
        <f t="shared" si="2"/>
        <v>3.1639886341159329E-3</v>
      </c>
    </row>
    <row r="336" spans="1:13">
      <c r="A336" s="54">
        <v>429.32940000000002</v>
      </c>
      <c r="B336" s="54">
        <v>431.34160000000003</v>
      </c>
      <c r="C336" s="54">
        <v>419.69639999999998</v>
      </c>
      <c r="D336" s="54">
        <v>419.9554</v>
      </c>
      <c r="E336" s="54">
        <v>20207223</v>
      </c>
      <c r="F336" s="54" t="s">
        <v>1154</v>
      </c>
      <c r="G336" s="25">
        <f t="shared" si="2"/>
        <v>2.2321417941048027E-2</v>
      </c>
    </row>
    <row r="337" spans="1:35">
      <c r="A337" s="54">
        <v>421.83819999999997</v>
      </c>
      <c r="B337" s="54">
        <v>423.25760000000002</v>
      </c>
      <c r="C337" s="54">
        <v>416.19990000000001</v>
      </c>
      <c r="D337" s="54">
        <v>418.48110000000003</v>
      </c>
      <c r="E337" s="54">
        <v>16271921</v>
      </c>
      <c r="F337" s="54" t="s">
        <v>1155</v>
      </c>
      <c r="G337" s="25">
        <f t="shared" si="2"/>
        <v>8.0221066136558772E-3</v>
      </c>
    </row>
    <row r="338" spans="1:35">
      <c r="A338" s="54">
        <v>421.37</v>
      </c>
      <c r="B338" s="54">
        <v>425.59359999999998</v>
      </c>
      <c r="C338" s="54">
        <v>420.40370000000001</v>
      </c>
      <c r="D338" s="54">
        <v>423.4769</v>
      </c>
      <c r="E338" s="54">
        <v>18332444</v>
      </c>
      <c r="F338" s="54" t="s">
        <v>1156</v>
      </c>
      <c r="G338" s="25">
        <f t="shared" si="2"/>
        <v>-4.9752418608901561E-3</v>
      </c>
    </row>
    <row r="339" spans="1:35">
      <c r="A339" s="54">
        <v>426.35079999999999</v>
      </c>
      <c r="B339" s="54">
        <v>427.39819999999997</v>
      </c>
      <c r="C339" s="54">
        <v>417.24579999999997</v>
      </c>
      <c r="D339" s="54">
        <v>417.97800000000001</v>
      </c>
      <c r="E339" s="54">
        <v>23458889</v>
      </c>
      <c r="F339" s="54" t="s">
        <v>1157</v>
      </c>
      <c r="G339" s="25">
        <f t="shared" si="2"/>
        <v>2.0031676308322366E-2</v>
      </c>
    </row>
    <row r="340" spans="1:35">
      <c r="A340" s="54">
        <v>417.18610000000001</v>
      </c>
      <c r="B340" s="54">
        <v>419.46730000000002</v>
      </c>
      <c r="C340" s="54">
        <v>413.26119999999997</v>
      </c>
      <c r="D340" s="54">
        <v>416.77760000000001</v>
      </c>
      <c r="E340" s="54">
        <v>27691090</v>
      </c>
      <c r="F340" s="54" t="s">
        <v>1158</v>
      </c>
      <c r="G340" s="25">
        <f t="shared" si="2"/>
        <v>9.8013904777993766E-4</v>
      </c>
    </row>
    <row r="341" spans="1:35">
      <c r="A341" s="54">
        <v>415.40289999999999</v>
      </c>
      <c r="B341" s="54">
        <v>415.8014</v>
      </c>
      <c r="C341" s="54">
        <v>409.48570000000001</v>
      </c>
      <c r="D341" s="54">
        <v>409.78949999999998</v>
      </c>
      <c r="E341" s="54">
        <v>24814626</v>
      </c>
      <c r="F341" s="54" t="s">
        <v>1159</v>
      </c>
      <c r="G341" s="25">
        <f t="shared" si="2"/>
        <v>1.3698252395437205E-2</v>
      </c>
    </row>
    <row r="342" spans="1:35">
      <c r="A342" s="54">
        <v>411.28870000000001</v>
      </c>
      <c r="B342" s="54">
        <v>418.17230000000001</v>
      </c>
      <c r="C342" s="54">
        <v>408.71730000000002</v>
      </c>
      <c r="D342" s="54">
        <v>417.89339999999999</v>
      </c>
      <c r="E342" s="54">
        <v>20780162</v>
      </c>
      <c r="F342" s="54" t="s">
        <v>1160</v>
      </c>
      <c r="G342" s="25">
        <f t="shared" si="2"/>
        <v>-1.5804748292267745E-2</v>
      </c>
    </row>
    <row r="343" spans="1:35">
      <c r="A343" s="54">
        <v>413.07190000000003</v>
      </c>
      <c r="B343" s="54">
        <v>414.8614</v>
      </c>
      <c r="C343" s="54">
        <v>408.19049999999999</v>
      </c>
      <c r="D343" s="54">
        <v>414.44389999999999</v>
      </c>
      <c r="E343" s="54">
        <v>19191655</v>
      </c>
      <c r="F343" s="54" t="s">
        <v>1161</v>
      </c>
      <c r="G343" s="25">
        <f t="shared" si="2"/>
        <v>-3.3104601129367861E-3</v>
      </c>
    </row>
    <row r="344" spans="1:35">
      <c r="A344" s="54">
        <v>415.35849999999999</v>
      </c>
      <c r="B344" s="54">
        <v>415.50760000000002</v>
      </c>
      <c r="C344" s="54">
        <v>409.15480000000002</v>
      </c>
      <c r="D344" s="54">
        <v>410.70569999999998</v>
      </c>
      <c r="E344" s="54">
        <v>18133529</v>
      </c>
      <c r="F344" s="54" t="s">
        <v>1162</v>
      </c>
      <c r="G344" s="25">
        <f t="shared" ref="G344:G407" si="4">A344/D344-1</f>
        <v>1.13287933427757E-2</v>
      </c>
    </row>
    <row r="345" spans="1:35" ht="15">
      <c r="A345" s="54">
        <v>413.34030000000001</v>
      </c>
      <c r="B345" s="54">
        <v>415.96859999999998</v>
      </c>
      <c r="C345" s="54">
        <v>409.70159999999998</v>
      </c>
      <c r="D345" s="54">
        <v>412.45549999999997</v>
      </c>
      <c r="E345" s="54">
        <v>24742013</v>
      </c>
      <c r="F345" s="54" t="s">
        <v>1163</v>
      </c>
      <c r="G345" s="25">
        <f t="shared" si="4"/>
        <v>2.145201118666229E-3</v>
      </c>
      <c r="AI345" s="2" t="s">
        <v>141</v>
      </c>
    </row>
    <row r="346" spans="1:35">
      <c r="A346" s="54">
        <v>412.5847</v>
      </c>
      <c r="B346" s="54">
        <v>420.33929999999998</v>
      </c>
      <c r="C346" s="54">
        <v>411.23270000000002</v>
      </c>
      <c r="D346" s="54">
        <v>417.37670000000003</v>
      </c>
      <c r="E346" s="54">
        <v>28247644</v>
      </c>
      <c r="F346" s="54" t="s">
        <v>1164</v>
      </c>
      <c r="G346" s="25">
        <f t="shared" si="4"/>
        <v>-1.148123505696419E-2</v>
      </c>
    </row>
    <row r="347" spans="1:35">
      <c r="A347" s="54">
        <v>424.40550000000002</v>
      </c>
      <c r="B347" s="54">
        <v>425.67809999999997</v>
      </c>
      <c r="C347" s="54">
        <v>417.55560000000003</v>
      </c>
      <c r="D347" s="54">
        <v>422.5265</v>
      </c>
      <c r="E347" s="54">
        <v>30246881</v>
      </c>
      <c r="F347" s="54" t="s">
        <v>1165</v>
      </c>
      <c r="G347" s="25">
        <f t="shared" si="4"/>
        <v>4.4470583501863281E-3</v>
      </c>
    </row>
    <row r="348" spans="1:35">
      <c r="A348" s="54">
        <v>422.72539999999998</v>
      </c>
      <c r="B348" s="54">
        <v>426.82639999999998</v>
      </c>
      <c r="C348" s="54">
        <v>415.77609999999999</v>
      </c>
      <c r="D348" s="54">
        <v>419.18610000000001</v>
      </c>
      <c r="E348" s="54">
        <v>21502185</v>
      </c>
      <c r="F348" s="54" t="s">
        <v>1166</v>
      </c>
      <c r="G348" s="25">
        <f t="shared" si="4"/>
        <v>8.4432666064069295E-3</v>
      </c>
    </row>
    <row r="349" spans="1:35">
      <c r="A349" s="54">
        <v>420.56799999999998</v>
      </c>
      <c r="B349" s="54">
        <v>421.96980000000002</v>
      </c>
      <c r="C349" s="54">
        <v>414.77190000000002</v>
      </c>
      <c r="D349" s="54">
        <v>415.81580000000002</v>
      </c>
      <c r="E349" s="54">
        <v>19401204</v>
      </c>
      <c r="F349" s="54" t="s">
        <v>1167</v>
      </c>
      <c r="G349" s="25">
        <f t="shared" si="4"/>
        <v>1.1428618152556913E-2</v>
      </c>
    </row>
    <row r="350" spans="1:35">
      <c r="A350" s="54">
        <v>415.5772</v>
      </c>
      <c r="B350" s="54">
        <v>422.33760000000001</v>
      </c>
      <c r="C350" s="54">
        <v>413.57889999999998</v>
      </c>
      <c r="D350" s="54">
        <v>420.05599999999998</v>
      </c>
      <c r="E350" s="54">
        <v>24503321</v>
      </c>
      <c r="F350" s="54" t="s">
        <v>1168</v>
      </c>
      <c r="G350" s="25">
        <f t="shared" si="4"/>
        <v>-1.0662387872093171E-2</v>
      </c>
    </row>
    <row r="351" spans="1:35">
      <c r="A351" s="54">
        <v>420.08089999999999</v>
      </c>
      <c r="B351" s="54">
        <v>424.01780000000002</v>
      </c>
      <c r="C351" s="54">
        <v>419.32530000000003</v>
      </c>
      <c r="D351" s="54">
        <v>422.84469999999999</v>
      </c>
      <c r="E351" s="54">
        <v>16891414</v>
      </c>
      <c r="F351" s="54" t="s">
        <v>1169</v>
      </c>
      <c r="G351" s="25">
        <f t="shared" si="4"/>
        <v>-6.5362058457868466E-3</v>
      </c>
    </row>
    <row r="352" spans="1:35">
      <c r="A352" s="54">
        <v>422.95400000000001</v>
      </c>
      <c r="B352" s="54">
        <v>424.36579999999998</v>
      </c>
      <c r="C352" s="54">
        <v>417.43630000000002</v>
      </c>
      <c r="D352" s="54">
        <v>418.82819999999998</v>
      </c>
      <c r="E352" s="54">
        <v>19901782</v>
      </c>
      <c r="F352" s="54" t="s">
        <v>1170</v>
      </c>
      <c r="G352" s="25">
        <f t="shared" si="4"/>
        <v>9.8508171130788913E-3</v>
      </c>
    </row>
    <row r="353" spans="1:7">
      <c r="A353" s="54">
        <v>417.7346</v>
      </c>
      <c r="B353" s="54">
        <v>418.00299999999999</v>
      </c>
      <c r="C353" s="54">
        <v>408.13080000000002</v>
      </c>
      <c r="D353" s="54">
        <v>410.01979999999998</v>
      </c>
      <c r="E353" s="54">
        <v>26681842</v>
      </c>
      <c r="F353" s="54" t="s">
        <v>1171</v>
      </c>
      <c r="G353" s="25">
        <f t="shared" si="4"/>
        <v>1.8815676706344542E-2</v>
      </c>
    </row>
    <row r="354" spans="1:7">
      <c r="A354" s="54">
        <v>409.06529999999998</v>
      </c>
      <c r="B354" s="54">
        <v>412.4853</v>
      </c>
      <c r="C354" s="54">
        <v>405.70499999999998</v>
      </c>
      <c r="D354" s="54">
        <v>405.99329999999998</v>
      </c>
      <c r="E354" s="54">
        <v>17626011</v>
      </c>
      <c r="F354" s="54" t="s">
        <v>1172</v>
      </c>
      <c r="G354" s="25">
        <f t="shared" si="4"/>
        <v>7.5666273310421861E-3</v>
      </c>
    </row>
    <row r="355" spans="1:7">
      <c r="A355" s="54">
        <v>406.08280000000002</v>
      </c>
      <c r="B355" s="54">
        <v>408.02640000000002</v>
      </c>
      <c r="C355" s="54">
        <v>403.21089999999998</v>
      </c>
      <c r="D355" s="54">
        <v>407.41500000000002</v>
      </c>
      <c r="E355" s="54">
        <v>19672286</v>
      </c>
      <c r="F355" s="54" t="s">
        <v>1173</v>
      </c>
      <c r="G355" s="25">
        <f t="shared" si="4"/>
        <v>-3.2698845157885792E-3</v>
      </c>
    </row>
    <row r="356" spans="1:7">
      <c r="A356" s="54">
        <v>407.98169999999999</v>
      </c>
      <c r="B356" s="54">
        <v>413.08179999999999</v>
      </c>
      <c r="C356" s="54">
        <v>405.1284</v>
      </c>
      <c r="D356" s="54">
        <v>406.62959999999998</v>
      </c>
      <c r="E356" s="54">
        <v>24230442</v>
      </c>
      <c r="F356" s="54" t="s">
        <v>1174</v>
      </c>
      <c r="G356" s="25">
        <f t="shared" si="4"/>
        <v>3.325139143830258E-3</v>
      </c>
    </row>
    <row r="357" spans="1:7">
      <c r="A357" s="54">
        <v>403.98509999999999</v>
      </c>
      <c r="B357" s="54">
        <v>413.738</v>
      </c>
      <c r="C357" s="54">
        <v>403.93540000000002</v>
      </c>
      <c r="D357" s="54">
        <v>412.94260000000003</v>
      </c>
      <c r="E357" s="54">
        <v>53970981</v>
      </c>
      <c r="F357" s="54" t="s">
        <v>1175</v>
      </c>
      <c r="G357" s="25">
        <f t="shared" si="4"/>
        <v>-2.1691876788686892E-2</v>
      </c>
    </row>
    <row r="358" spans="1:7">
      <c r="A358" s="54">
        <v>430.0127</v>
      </c>
      <c r="B358" s="54">
        <v>435.94799999999998</v>
      </c>
      <c r="C358" s="54">
        <v>429.58519999999999</v>
      </c>
      <c r="D358" s="54">
        <v>434.88920000000002</v>
      </c>
      <c r="E358" s="54">
        <v>29749149</v>
      </c>
      <c r="F358" s="54" t="s">
        <v>1176</v>
      </c>
      <c r="G358" s="25">
        <f t="shared" si="4"/>
        <v>-1.1213200971649795E-2</v>
      </c>
    </row>
    <row r="359" spans="1:7">
      <c r="A359" s="54">
        <v>429.43610000000001</v>
      </c>
      <c r="B359" s="54">
        <v>430.649</v>
      </c>
      <c r="C359" s="54">
        <v>423.322</v>
      </c>
      <c r="D359" s="54">
        <v>425.50909999999999</v>
      </c>
      <c r="E359" s="54">
        <v>17644080</v>
      </c>
      <c r="F359" s="54" t="s">
        <v>1177</v>
      </c>
      <c r="G359" s="25">
        <f t="shared" si="4"/>
        <v>9.2289448098761273E-3</v>
      </c>
    </row>
    <row r="360" spans="1:7">
      <c r="A360" s="54">
        <v>424.10730000000001</v>
      </c>
      <c r="B360" s="54">
        <v>429.42619999999999</v>
      </c>
      <c r="C360" s="54">
        <v>423.81900000000002</v>
      </c>
      <c r="D360" s="54">
        <v>429.14280000000002</v>
      </c>
      <c r="E360" s="54">
        <v>14882444</v>
      </c>
      <c r="F360" s="54" t="s">
        <v>1178</v>
      </c>
      <c r="G360" s="25">
        <f t="shared" si="4"/>
        <v>-1.1733856422617372E-2</v>
      </c>
    </row>
    <row r="361" spans="1:7">
      <c r="A361" s="54">
        <v>425.65820000000002</v>
      </c>
      <c r="B361" s="54">
        <v>430.00279999999998</v>
      </c>
      <c r="C361" s="54">
        <v>424.08240000000001</v>
      </c>
      <c r="D361" s="54">
        <v>424.27629999999999</v>
      </c>
      <c r="E361" s="54">
        <v>16899064</v>
      </c>
      <c r="F361" s="54" t="s">
        <v>1179</v>
      </c>
      <c r="G361" s="25">
        <f t="shared" si="4"/>
        <v>3.257075636796225E-3</v>
      </c>
    </row>
    <row r="362" spans="1:7">
      <c r="A362" s="54">
        <v>422.25810000000001</v>
      </c>
      <c r="B362" s="54">
        <v>423.49900000000002</v>
      </c>
      <c r="C362" s="54">
        <v>419.94170000000003</v>
      </c>
      <c r="D362" s="54">
        <v>422.84960000000001</v>
      </c>
      <c r="E362" s="54">
        <v>13581631</v>
      </c>
      <c r="F362" s="54" t="s">
        <v>1180</v>
      </c>
      <c r="G362" s="25">
        <f t="shared" si="4"/>
        <v>-1.3988425198936394E-3</v>
      </c>
    </row>
    <row r="363" spans="1:7">
      <c r="A363" s="54">
        <v>422.12889999999999</v>
      </c>
      <c r="B363" s="54">
        <v>428.57119999999998</v>
      </c>
      <c r="C363" s="54">
        <v>420.07089999999999</v>
      </c>
      <c r="D363" s="54">
        <v>428.34750000000003</v>
      </c>
      <c r="E363" s="54">
        <v>19654379</v>
      </c>
      <c r="F363" s="54" t="s">
        <v>1181</v>
      </c>
      <c r="G363" s="25">
        <f t="shared" si="4"/>
        <v>-1.4517652139909853E-2</v>
      </c>
    </row>
    <row r="364" spans="1:7">
      <c r="A364" s="54">
        <v>425.02190000000002</v>
      </c>
      <c r="B364" s="54">
        <v>428.07339999999999</v>
      </c>
      <c r="C364" s="54">
        <v>415.60700000000003</v>
      </c>
      <c r="D364" s="54">
        <v>416.05439999999999</v>
      </c>
      <c r="E364" s="54">
        <v>25482197</v>
      </c>
      <c r="F364" s="54" t="s">
        <v>1182</v>
      </c>
      <c r="G364" s="25">
        <f t="shared" si="4"/>
        <v>2.1553671827530207E-2</v>
      </c>
    </row>
    <row r="365" spans="1:7">
      <c r="A365" s="54">
        <v>416.34269999999998</v>
      </c>
      <c r="B365" s="54">
        <v>416.52170000000001</v>
      </c>
      <c r="C365" s="54">
        <v>411.34210000000002</v>
      </c>
      <c r="D365" s="54">
        <v>413.69819999999999</v>
      </c>
      <c r="E365" s="54">
        <v>14206115</v>
      </c>
      <c r="F365" s="54" t="s">
        <v>1183</v>
      </c>
      <c r="G365" s="25">
        <f t="shared" si="4"/>
        <v>6.3923410834274552E-3</v>
      </c>
    </row>
    <row r="366" spans="1:7">
      <c r="A366" s="54">
        <v>415.72629999999998</v>
      </c>
      <c r="B366" s="54">
        <v>417.20769999999999</v>
      </c>
      <c r="C366" s="54">
        <v>413.83749999999998</v>
      </c>
      <c r="D366" s="54">
        <v>414.71230000000003</v>
      </c>
      <c r="E366" s="54">
        <v>17145317</v>
      </c>
      <c r="F366" s="54" t="s">
        <v>1184</v>
      </c>
      <c r="G366" s="25">
        <f t="shared" si="4"/>
        <v>2.4450685451093968E-3</v>
      </c>
    </row>
    <row r="367" spans="1:7">
      <c r="A367" s="54">
        <v>414.29469999999998</v>
      </c>
      <c r="B367" s="54">
        <v>420.04109999999997</v>
      </c>
      <c r="C367" s="54">
        <v>413.17129999999997</v>
      </c>
      <c r="D367" s="54">
        <v>419.90190000000001</v>
      </c>
      <c r="E367" s="54">
        <v>14820004</v>
      </c>
      <c r="F367" s="54" t="s">
        <v>1185</v>
      </c>
      <c r="G367" s="25">
        <f t="shared" si="4"/>
        <v>-1.3353595208785762E-2</v>
      </c>
    </row>
    <row r="368" spans="1:7">
      <c r="A368" s="54">
        <v>413.69819999999999</v>
      </c>
      <c r="B368" s="54">
        <v>413.93680000000001</v>
      </c>
      <c r="C368" s="54">
        <v>408.09100000000001</v>
      </c>
      <c r="D368" s="54">
        <v>412.75380000000001</v>
      </c>
      <c r="E368" s="54">
        <v>15508932</v>
      </c>
      <c r="F368" s="54" t="s">
        <v>1186</v>
      </c>
      <c r="G368" s="25">
        <f t="shared" si="4"/>
        <v>2.2880467726764664E-3</v>
      </c>
    </row>
    <row r="369" spans="1:7">
      <c r="A369" s="54">
        <v>416.303</v>
      </c>
      <c r="B369" s="54">
        <v>420.02120000000002</v>
      </c>
      <c r="C369" s="54">
        <v>412.84320000000002</v>
      </c>
      <c r="D369" s="54">
        <v>419.72300000000001</v>
      </c>
      <c r="E369" s="54">
        <v>18900201</v>
      </c>
      <c r="F369" s="54" t="s">
        <v>1187</v>
      </c>
      <c r="G369" s="25">
        <f t="shared" si="4"/>
        <v>-8.1482310952699644E-3</v>
      </c>
    </row>
    <row r="370" spans="1:7">
      <c r="A370" s="54">
        <v>416.70060000000001</v>
      </c>
      <c r="B370" s="54">
        <v>421.57209999999998</v>
      </c>
      <c r="C370" s="54">
        <v>415.09010000000001</v>
      </c>
      <c r="D370" s="54">
        <v>415.33859999999999</v>
      </c>
      <c r="E370" s="54">
        <v>16653086</v>
      </c>
      <c r="F370" s="54" t="s">
        <v>1188</v>
      </c>
      <c r="G370" s="25">
        <f t="shared" si="4"/>
        <v>3.2792521571556321E-3</v>
      </c>
    </row>
    <row r="371" spans="1:7">
      <c r="A371" s="54">
        <v>413.89710000000002</v>
      </c>
      <c r="B371" s="54">
        <v>414.70229999999998</v>
      </c>
      <c r="C371" s="54">
        <v>410.8449</v>
      </c>
      <c r="D371" s="54">
        <v>413.7131</v>
      </c>
      <c r="E371" s="54">
        <v>14144944</v>
      </c>
      <c r="F371" s="54" t="s">
        <v>1189</v>
      </c>
      <c r="G371" s="25">
        <f t="shared" si="4"/>
        <v>4.4475265588639346E-4</v>
      </c>
    </row>
    <row r="372" spans="1:7">
      <c r="A372" s="54">
        <v>413.41989999999998</v>
      </c>
      <c r="B372" s="54">
        <v>414.92110000000002</v>
      </c>
      <c r="C372" s="54">
        <v>410.74549999999999</v>
      </c>
      <c r="D372" s="54">
        <v>412.80840000000001</v>
      </c>
      <c r="E372" s="54">
        <v>13848376</v>
      </c>
      <c r="F372" s="54" t="s">
        <v>1190</v>
      </c>
      <c r="G372" s="25">
        <f t="shared" si="4"/>
        <v>1.481316756151152E-3</v>
      </c>
    </row>
    <row r="373" spans="1:7">
      <c r="A373" s="54">
        <v>415.03039999999999</v>
      </c>
      <c r="B373" s="54">
        <v>417.93340000000001</v>
      </c>
      <c r="C373" s="54">
        <v>411.8888</v>
      </c>
      <c r="D373" s="54">
        <v>413.43970000000002</v>
      </c>
      <c r="E373" s="54">
        <v>14974257</v>
      </c>
      <c r="F373" s="54" t="s">
        <v>1191</v>
      </c>
      <c r="G373" s="25">
        <f t="shared" si="4"/>
        <v>3.8474776370047703E-3</v>
      </c>
    </row>
    <row r="374" spans="1:7">
      <c r="A374" s="54">
        <v>412.29640000000001</v>
      </c>
      <c r="B374" s="54">
        <v>413.24090000000001</v>
      </c>
      <c r="C374" s="54">
        <v>405.79450000000003</v>
      </c>
      <c r="D374" s="54">
        <v>408.5086</v>
      </c>
      <c r="E374" s="54">
        <v>19229261</v>
      </c>
      <c r="F374" s="54" t="s">
        <v>1192</v>
      </c>
      <c r="G374" s="25">
        <f t="shared" si="4"/>
        <v>9.2722650147389896E-3</v>
      </c>
    </row>
    <row r="375" spans="1:7">
      <c r="A375" s="54">
        <v>407.15649999999999</v>
      </c>
      <c r="B375" s="54">
        <v>414.6825</v>
      </c>
      <c r="C375" s="54">
        <v>406.61970000000002</v>
      </c>
      <c r="D375" s="54">
        <v>413.57889999999998</v>
      </c>
      <c r="E375" s="54">
        <v>20919761</v>
      </c>
      <c r="F375" s="54" t="s">
        <v>1193</v>
      </c>
      <c r="G375" s="25">
        <f t="shared" si="4"/>
        <v>-1.5528838632725139E-2</v>
      </c>
    </row>
    <row r="376" spans="1:7">
      <c r="A376" s="54">
        <v>413.6386</v>
      </c>
      <c r="B376" s="54">
        <v>417.30709999999999</v>
      </c>
      <c r="C376" s="54">
        <v>412.55489999999998</v>
      </c>
      <c r="D376" s="54">
        <v>415.80590000000001</v>
      </c>
      <c r="E376" s="54">
        <v>19190913</v>
      </c>
      <c r="F376" s="54" t="s">
        <v>1194</v>
      </c>
      <c r="G376" s="25">
        <f t="shared" si="4"/>
        <v>-5.2122877525306865E-3</v>
      </c>
    </row>
    <row r="377" spans="1:7">
      <c r="A377" s="54">
        <v>414.11579999999998</v>
      </c>
      <c r="B377" s="54">
        <v>417.10829999999999</v>
      </c>
      <c r="C377" s="54">
        <v>411.87889999999999</v>
      </c>
      <c r="D377" s="54">
        <v>415.19940000000003</v>
      </c>
      <c r="E377" s="54">
        <v>13686421</v>
      </c>
      <c r="F377" s="54" t="s">
        <v>1195</v>
      </c>
      <c r="G377" s="25">
        <f t="shared" si="4"/>
        <v>-2.6098303610266882E-3</v>
      </c>
    </row>
    <row r="378" spans="1:7">
      <c r="A378" s="54">
        <v>414.70229999999998</v>
      </c>
      <c r="B378" s="54">
        <v>420.35919999999999</v>
      </c>
      <c r="C378" s="54">
        <v>414.28480000000002</v>
      </c>
      <c r="D378" s="54">
        <v>420.12060000000002</v>
      </c>
      <c r="E378" s="54">
        <v>16582257</v>
      </c>
      <c r="F378" s="54" t="s">
        <v>1196</v>
      </c>
      <c r="G378" s="25">
        <f t="shared" si="4"/>
        <v>-1.2897011001126946E-2</v>
      </c>
    </row>
    <row r="379" spans="1:7">
      <c r="A379" s="54">
        <v>418.24160000000001</v>
      </c>
      <c r="B379" s="54">
        <v>425.98630000000003</v>
      </c>
      <c r="C379" s="54">
        <v>416.37259999999998</v>
      </c>
      <c r="D379" s="54">
        <v>425.95650000000001</v>
      </c>
      <c r="E379" s="54">
        <v>19092945</v>
      </c>
      <c r="F379" s="54" t="s">
        <v>1197</v>
      </c>
      <c r="G379" s="25">
        <f t="shared" si="4"/>
        <v>-1.8111943355718196E-2</v>
      </c>
    </row>
    <row r="380" spans="1:7">
      <c r="A380" s="54">
        <v>427.79570000000001</v>
      </c>
      <c r="B380" s="54">
        <v>427.91500000000002</v>
      </c>
      <c r="C380" s="54">
        <v>422.89440000000002</v>
      </c>
      <c r="D380" s="54">
        <v>425.71789999999999</v>
      </c>
      <c r="E380" s="54">
        <v>16854606</v>
      </c>
      <c r="F380" s="54" t="s">
        <v>1198</v>
      </c>
      <c r="G380" s="25">
        <f t="shared" si="4"/>
        <v>4.8806968182451005E-3</v>
      </c>
    </row>
    <row r="381" spans="1:7">
      <c r="A381" s="54">
        <v>425.529</v>
      </c>
      <c r="B381" s="54">
        <v>429.33670000000001</v>
      </c>
      <c r="C381" s="54">
        <v>424.98219999999998</v>
      </c>
      <c r="D381" s="54">
        <v>429.0086</v>
      </c>
      <c r="E381" s="54">
        <v>14896131</v>
      </c>
      <c r="F381" s="54" t="s">
        <v>1199</v>
      </c>
      <c r="G381" s="25">
        <f t="shared" si="4"/>
        <v>-8.1107931169678293E-3</v>
      </c>
    </row>
    <row r="382" spans="1:7">
      <c r="A382" s="54">
        <v>428.7998</v>
      </c>
      <c r="B382" s="54">
        <v>432.76659999999998</v>
      </c>
      <c r="C382" s="54">
        <v>426.63249999999999</v>
      </c>
      <c r="D382" s="54">
        <v>432.55279999999999</v>
      </c>
      <c r="E382" s="54">
        <v>14492044</v>
      </c>
      <c r="F382" s="54" t="s">
        <v>1200</v>
      </c>
      <c r="G382" s="25">
        <f t="shared" si="4"/>
        <v>-8.6763974247767717E-3</v>
      </c>
    </row>
    <row r="383" spans="1:7">
      <c r="A383" s="54">
        <v>429.59519999999998</v>
      </c>
      <c r="B383" s="54">
        <v>430.59829999999999</v>
      </c>
      <c r="C383" s="54">
        <v>426.07580000000002</v>
      </c>
      <c r="D383" s="54">
        <v>427.32839999999999</v>
      </c>
      <c r="E383" s="54">
        <v>13396364</v>
      </c>
      <c r="F383" s="54" t="s">
        <v>1201</v>
      </c>
      <c r="G383" s="25">
        <f t="shared" si="4"/>
        <v>5.3045854195508113E-3</v>
      </c>
    </row>
    <row r="384" spans="1:7">
      <c r="A384" s="54">
        <v>426.67230000000001</v>
      </c>
      <c r="B384" s="54">
        <v>430.8279</v>
      </c>
      <c r="C384" s="54">
        <v>423.62009999999998</v>
      </c>
      <c r="D384" s="54">
        <v>430.48</v>
      </c>
      <c r="E384" s="54">
        <v>17015754</v>
      </c>
      <c r="F384" s="54" t="s">
        <v>1202</v>
      </c>
      <c r="G384" s="25">
        <f t="shared" si="4"/>
        <v>-8.8452425199777585E-3</v>
      </c>
    </row>
    <row r="385" spans="1:7">
      <c r="A385" s="54">
        <v>430.98700000000002</v>
      </c>
      <c r="B385" s="54">
        <v>433.91980000000001</v>
      </c>
      <c r="C385" s="54">
        <v>427.88409999999999</v>
      </c>
      <c r="D385" s="54">
        <v>431.7525</v>
      </c>
      <c r="E385" s="54">
        <v>15128891</v>
      </c>
      <c r="F385" s="54" t="s">
        <v>1203</v>
      </c>
      <c r="G385" s="25">
        <f t="shared" si="4"/>
        <v>-1.7730065257294259E-3</v>
      </c>
    </row>
    <row r="386" spans="1:7">
      <c r="A386" s="54">
        <v>432.73680000000002</v>
      </c>
      <c r="B386" s="54">
        <v>436.68369999999999</v>
      </c>
      <c r="C386" s="54">
        <v>431.69290000000001</v>
      </c>
      <c r="D386" s="54">
        <v>434.67540000000002</v>
      </c>
      <c r="E386" s="54">
        <v>55167106</v>
      </c>
      <c r="F386" s="54" t="s">
        <v>1204</v>
      </c>
      <c r="G386" s="25">
        <f t="shared" si="4"/>
        <v>-4.4598797171406801E-3</v>
      </c>
    </row>
    <row r="387" spans="1:7">
      <c r="A387" s="54">
        <v>436.13690000000003</v>
      </c>
      <c r="B387" s="54">
        <v>438.93049999999999</v>
      </c>
      <c r="C387" s="54">
        <v>434.35730000000001</v>
      </c>
      <c r="D387" s="54">
        <v>438.65710000000001</v>
      </c>
      <c r="E387" s="54">
        <v>21706559</v>
      </c>
      <c r="F387" s="54" t="s">
        <v>1205</v>
      </c>
      <c r="G387" s="25">
        <f t="shared" si="4"/>
        <v>-5.7452620737244997E-3</v>
      </c>
    </row>
    <row r="388" spans="1:7">
      <c r="A388" s="54">
        <v>428.30270000000002</v>
      </c>
      <c r="B388" s="54">
        <v>433.4923</v>
      </c>
      <c r="C388" s="54">
        <v>427.9051</v>
      </c>
      <c r="D388" s="54">
        <v>432.4683</v>
      </c>
      <c r="E388" s="54">
        <v>18898042</v>
      </c>
      <c r="F388" s="54" t="s">
        <v>1206</v>
      </c>
      <c r="G388" s="25">
        <f t="shared" si="4"/>
        <v>-9.6321510732694238E-3</v>
      </c>
    </row>
    <row r="389" spans="1:7">
      <c r="A389" s="54">
        <v>432.61750000000001</v>
      </c>
      <c r="B389" s="54">
        <v>439.27850000000001</v>
      </c>
      <c r="C389" s="54">
        <v>429.75420000000003</v>
      </c>
      <c r="D389" s="54">
        <v>437.66789999999997</v>
      </c>
      <c r="E389" s="54">
        <v>18874231</v>
      </c>
      <c r="F389" s="54" t="s">
        <v>1207</v>
      </c>
      <c r="G389" s="25">
        <f t="shared" si="4"/>
        <v>-1.1539342958439391E-2</v>
      </c>
    </row>
    <row r="390" spans="1:7">
      <c r="A390" s="54">
        <v>428.82960000000003</v>
      </c>
      <c r="B390" s="54">
        <v>431.00689999999997</v>
      </c>
      <c r="C390" s="54">
        <v>425.7278</v>
      </c>
      <c r="D390" s="54">
        <v>428.09390000000002</v>
      </c>
      <c r="E390" s="54">
        <v>13834697</v>
      </c>
      <c r="F390" s="54" t="s">
        <v>1208</v>
      </c>
      <c r="G390" s="25">
        <f t="shared" si="4"/>
        <v>1.7185481970194427E-3</v>
      </c>
    </row>
    <row r="391" spans="1:7">
      <c r="A391" s="54">
        <v>428.084</v>
      </c>
      <c r="B391" s="54">
        <v>429.3168</v>
      </c>
      <c r="C391" s="54">
        <v>422.98390000000001</v>
      </c>
      <c r="D391" s="54">
        <v>423.3467</v>
      </c>
      <c r="E391" s="54">
        <v>15874555</v>
      </c>
      <c r="F391" s="54" t="s">
        <v>1209</v>
      </c>
      <c r="G391" s="25">
        <f t="shared" si="4"/>
        <v>1.1190119115136676E-2</v>
      </c>
    </row>
    <row r="392" spans="1:7">
      <c r="A392" s="54">
        <v>424.51490000000001</v>
      </c>
      <c r="B392" s="54">
        <v>424.88200000000001</v>
      </c>
      <c r="C392" s="54">
        <v>417.30709999999999</v>
      </c>
      <c r="D392" s="54">
        <v>420.84640000000002</v>
      </c>
      <c r="E392" s="54">
        <v>17418759</v>
      </c>
      <c r="F392" s="54" t="s">
        <v>1210</v>
      </c>
      <c r="G392" s="25">
        <f t="shared" si="4"/>
        <v>8.7169570655707407E-3</v>
      </c>
    </row>
    <row r="393" spans="1:7">
      <c r="A393" s="54">
        <v>420.5779</v>
      </c>
      <c r="B393" s="54">
        <v>421.5224</v>
      </c>
      <c r="C393" s="54">
        <v>407.19630000000001</v>
      </c>
      <c r="D393" s="54">
        <v>413.08179999999999</v>
      </c>
      <c r="E393" s="54">
        <v>19266923</v>
      </c>
      <c r="F393" s="54" t="s">
        <v>1211</v>
      </c>
      <c r="G393" s="25">
        <f t="shared" si="4"/>
        <v>1.8146768993453577E-2</v>
      </c>
    </row>
    <row r="394" spans="1:7">
      <c r="A394" s="54">
        <v>411.7894</v>
      </c>
      <c r="B394" s="54">
        <v>413.90699999999998</v>
      </c>
      <c r="C394" s="54">
        <v>405.3272</v>
      </c>
      <c r="D394" s="54">
        <v>405.82429999999999</v>
      </c>
      <c r="E394" s="54">
        <v>19594287</v>
      </c>
      <c r="F394" s="54" t="s">
        <v>1212</v>
      </c>
      <c r="G394" s="25">
        <f t="shared" si="4"/>
        <v>1.4698725532206858E-2</v>
      </c>
    </row>
    <row r="395" spans="1:7">
      <c r="A395" s="54">
        <v>403.3587</v>
      </c>
      <c r="B395" s="54">
        <v>406.27170000000001</v>
      </c>
      <c r="C395" s="54">
        <v>399.80950000000001</v>
      </c>
      <c r="D395" s="54">
        <v>404.86989999999997</v>
      </c>
      <c r="E395" s="54">
        <v>15295134</v>
      </c>
      <c r="F395" s="54" t="s">
        <v>1213</v>
      </c>
      <c r="G395" s="25">
        <f t="shared" si="4"/>
        <v>-3.7325570510428063E-3</v>
      </c>
    </row>
    <row r="396" spans="1:7">
      <c r="A396" s="54">
        <v>399.3621</v>
      </c>
      <c r="B396" s="54">
        <v>408.26010000000002</v>
      </c>
      <c r="C396" s="54">
        <v>398.4674</v>
      </c>
      <c r="D396" s="54">
        <v>406.67930000000001</v>
      </c>
      <c r="E396" s="54">
        <v>19609526</v>
      </c>
      <c r="F396" s="54" t="s">
        <v>1214</v>
      </c>
      <c r="G396" s="25">
        <f t="shared" si="4"/>
        <v>-1.7992555805028676E-2</v>
      </c>
    </row>
    <row r="397" spans="1:7">
      <c r="A397" s="54">
        <v>406.01319999999998</v>
      </c>
      <c r="B397" s="54">
        <v>410.69580000000002</v>
      </c>
      <c r="C397" s="54">
        <v>403.76639999999998</v>
      </c>
      <c r="D397" s="54">
        <v>405.24770000000001</v>
      </c>
      <c r="E397" s="54">
        <v>14195516</v>
      </c>
      <c r="F397" s="54" t="s">
        <v>1215</v>
      </c>
      <c r="G397" s="25">
        <f t="shared" si="4"/>
        <v>1.8889681545384285E-3</v>
      </c>
    </row>
    <row r="398" spans="1:7">
      <c r="A398" s="54">
        <v>406.52019999999999</v>
      </c>
      <c r="B398" s="54">
        <v>408.84660000000002</v>
      </c>
      <c r="C398" s="54">
        <v>402.01659999999998</v>
      </c>
      <c r="D398" s="54">
        <v>403.54759999999999</v>
      </c>
      <c r="E398" s="54">
        <v>15135806</v>
      </c>
      <c r="F398" s="54" t="s">
        <v>1216</v>
      </c>
      <c r="G398" s="25">
        <f t="shared" si="4"/>
        <v>7.3661694432081148E-3</v>
      </c>
    </row>
    <row r="399" spans="1:7">
      <c r="A399" s="54">
        <v>407.05709999999999</v>
      </c>
      <c r="B399" s="54">
        <v>417.43630000000002</v>
      </c>
      <c r="C399" s="54">
        <v>404.66109999999998</v>
      </c>
      <c r="D399" s="54">
        <v>415.4778</v>
      </c>
      <c r="E399" s="54">
        <v>20313603</v>
      </c>
      <c r="F399" s="54" t="s">
        <v>1217</v>
      </c>
      <c r="G399" s="25">
        <f t="shared" si="4"/>
        <v>-2.0267508877730656E-2</v>
      </c>
    </row>
    <row r="400" spans="1:7">
      <c r="A400" s="54">
        <v>414.71230000000003</v>
      </c>
      <c r="B400" s="54">
        <v>415.06020000000001</v>
      </c>
      <c r="C400" s="54">
        <v>409.73140000000001</v>
      </c>
      <c r="D400" s="54">
        <v>413.18119999999999</v>
      </c>
      <c r="E400" s="54">
        <v>24308324</v>
      </c>
      <c r="F400" s="54" t="s">
        <v>1218</v>
      </c>
      <c r="G400" s="25">
        <f t="shared" si="4"/>
        <v>3.705638107445397E-3</v>
      </c>
    </row>
    <row r="401" spans="1:7">
      <c r="A401" s="54">
        <v>410.71570000000003</v>
      </c>
      <c r="B401" s="54">
        <v>419.59370000000001</v>
      </c>
      <c r="C401" s="54">
        <v>408.21030000000002</v>
      </c>
      <c r="D401" s="54">
        <v>412.52510000000001</v>
      </c>
      <c r="E401" s="54">
        <v>17045241</v>
      </c>
      <c r="F401" s="54" t="s">
        <v>1219</v>
      </c>
      <c r="G401" s="25">
        <f t="shared" si="4"/>
        <v>-4.3861573513950258E-3</v>
      </c>
    </row>
    <row r="402" spans="1:7">
      <c r="A402" s="54">
        <v>408.21030000000002</v>
      </c>
      <c r="B402" s="54">
        <v>412.5847</v>
      </c>
      <c r="C402" s="54">
        <v>404.93950000000001</v>
      </c>
      <c r="D402" s="54">
        <v>412.46539999999999</v>
      </c>
      <c r="E402" s="54">
        <v>14882660</v>
      </c>
      <c r="F402" s="54" t="s">
        <v>1220</v>
      </c>
      <c r="G402" s="25">
        <f t="shared" si="4"/>
        <v>-1.0316259254715576E-2</v>
      </c>
    </row>
    <row r="403" spans="1:7">
      <c r="A403" s="54">
        <v>411.43150000000003</v>
      </c>
      <c r="B403" s="54">
        <v>411.94850000000002</v>
      </c>
      <c r="C403" s="54">
        <v>407.86239999999998</v>
      </c>
      <c r="D403" s="54">
        <v>410.4572</v>
      </c>
      <c r="E403" s="54">
        <v>13492911</v>
      </c>
      <c r="F403" s="54" t="s">
        <v>1221</v>
      </c>
      <c r="G403" s="25">
        <f t="shared" si="4"/>
        <v>2.3736945045671476E-3</v>
      </c>
    </row>
    <row r="404" spans="1:7">
      <c r="A404" s="54">
        <v>411.08350000000002</v>
      </c>
      <c r="B404" s="54">
        <v>414.85140000000001</v>
      </c>
      <c r="C404" s="54">
        <v>408.94600000000003</v>
      </c>
      <c r="D404" s="54">
        <v>413.9418</v>
      </c>
      <c r="E404" s="54">
        <v>13152830</v>
      </c>
      <c r="F404" s="54" t="s">
        <v>1222</v>
      </c>
      <c r="G404" s="25">
        <f t="shared" si="4"/>
        <v>-6.9050769939155154E-3</v>
      </c>
    </row>
    <row r="405" spans="1:7">
      <c r="A405" s="54">
        <v>414.36430000000001</v>
      </c>
      <c r="B405" s="54">
        <v>416.81990000000002</v>
      </c>
      <c r="C405" s="54">
        <v>409.69170000000003</v>
      </c>
      <c r="D405" s="54">
        <v>414.5532</v>
      </c>
      <c r="E405" s="54">
        <v>18493784</v>
      </c>
      <c r="F405" s="54" t="s">
        <v>1223</v>
      </c>
      <c r="G405" s="25">
        <f t="shared" si="4"/>
        <v>-4.5567131070267664E-4</v>
      </c>
    </row>
    <row r="406" spans="1:7">
      <c r="A406" s="54">
        <v>413.13150000000002</v>
      </c>
      <c r="B406" s="54">
        <v>424.30599999999998</v>
      </c>
      <c r="C406" s="54">
        <v>412.197</v>
      </c>
      <c r="D406" s="54">
        <v>421.89030000000002</v>
      </c>
      <c r="E406" s="54">
        <v>19361901</v>
      </c>
      <c r="F406" s="54" t="s">
        <v>1224</v>
      </c>
      <c r="G406" s="25">
        <f t="shared" si="4"/>
        <v>-2.076084707327952E-2</v>
      </c>
    </row>
    <row r="407" spans="1:7">
      <c r="A407" s="54">
        <v>421.67149999999998</v>
      </c>
      <c r="B407" s="54">
        <v>423.91840000000002</v>
      </c>
      <c r="C407" s="54">
        <v>419.26560000000001</v>
      </c>
      <c r="D407" s="54">
        <v>421.6069</v>
      </c>
      <c r="E407" s="54">
        <v>16067298</v>
      </c>
      <c r="F407" s="54" t="s">
        <v>1225</v>
      </c>
      <c r="G407" s="25">
        <f t="shared" si="4"/>
        <v>1.5322329876465979E-4</v>
      </c>
    </row>
    <row r="408" spans="1:7">
      <c r="A408" s="54">
        <v>422.32769999999999</v>
      </c>
      <c r="B408" s="54">
        <v>423.38150000000002</v>
      </c>
      <c r="C408" s="54">
        <v>419.18610000000001</v>
      </c>
      <c r="D408" s="54">
        <v>419.2457</v>
      </c>
      <c r="E408" s="54">
        <v>16387581</v>
      </c>
      <c r="F408" s="54" t="s">
        <v>1226</v>
      </c>
      <c r="G408" s="25">
        <f t="shared" ref="G408:G471" si="5">A408/D408-1</f>
        <v>7.3512978189163025E-3</v>
      </c>
    </row>
    <row r="409" spans="1:7">
      <c r="A409" s="54">
        <v>419.07670000000002</v>
      </c>
      <c r="B409" s="54">
        <v>419.2955</v>
      </c>
      <c r="C409" s="54">
        <v>414.03620000000001</v>
      </c>
      <c r="D409" s="54">
        <v>416.52170000000001</v>
      </c>
      <c r="E409" s="54">
        <v>15233957</v>
      </c>
      <c r="F409" s="54" t="s">
        <v>1227</v>
      </c>
      <c r="G409" s="25">
        <f t="shared" si="5"/>
        <v>6.1341341879666E-3</v>
      </c>
    </row>
    <row r="410" spans="1:7">
      <c r="A410" s="54">
        <v>416.03449999999998</v>
      </c>
      <c r="B410" s="54">
        <v>418.88780000000003</v>
      </c>
      <c r="C410" s="54">
        <v>414.87139999999999</v>
      </c>
      <c r="D410" s="54">
        <v>418.15210000000002</v>
      </c>
      <c r="E410" s="54">
        <v>22775593</v>
      </c>
      <c r="F410" s="54" t="s">
        <v>1228</v>
      </c>
      <c r="G410" s="25">
        <f t="shared" si="5"/>
        <v>-5.0641859744338102E-3</v>
      </c>
    </row>
    <row r="411" spans="1:7">
      <c r="A411" s="54">
        <v>418.57960000000003</v>
      </c>
      <c r="B411" s="54">
        <v>418.6592</v>
      </c>
      <c r="C411" s="54">
        <v>415.22930000000002</v>
      </c>
      <c r="D411" s="54">
        <v>417.35680000000002</v>
      </c>
      <c r="E411" s="54">
        <v>20752144</v>
      </c>
      <c r="F411" s="54" t="s">
        <v>1229</v>
      </c>
      <c r="G411" s="25">
        <f t="shared" si="5"/>
        <v>2.9298672023554406E-3</v>
      </c>
    </row>
    <row r="412" spans="1:7">
      <c r="A412" s="54">
        <v>413.68830000000003</v>
      </c>
      <c r="B412" s="54">
        <v>414.54169999999999</v>
      </c>
      <c r="C412" s="54">
        <v>409.3075</v>
      </c>
      <c r="D412" s="54">
        <v>411.64400000000001</v>
      </c>
      <c r="E412" s="54">
        <v>18266980</v>
      </c>
      <c r="F412" s="54" t="s">
        <v>1230</v>
      </c>
      <c r="G412" s="25">
        <f t="shared" si="5"/>
        <v>4.9661843729047472E-3</v>
      </c>
    </row>
    <row r="413" spans="1:7">
      <c r="A413" s="54">
        <v>410.86</v>
      </c>
      <c r="B413" s="54">
        <v>411.7928</v>
      </c>
      <c r="C413" s="54">
        <v>406.45370000000003</v>
      </c>
      <c r="D413" s="54">
        <v>406.47359999999998</v>
      </c>
      <c r="E413" s="54">
        <v>19414271</v>
      </c>
      <c r="F413" s="54" t="s">
        <v>1231</v>
      </c>
      <c r="G413" s="25">
        <f t="shared" si="5"/>
        <v>1.0791352747140381E-2</v>
      </c>
    </row>
    <row r="414" spans="1:7">
      <c r="A414" s="54">
        <v>403.71469999999999</v>
      </c>
      <c r="B414" s="54">
        <v>405.6499</v>
      </c>
      <c r="C414" s="54">
        <v>401.16770000000002</v>
      </c>
      <c r="D414" s="54">
        <v>403.96280000000002</v>
      </c>
      <c r="E414" s="54">
        <v>16762883</v>
      </c>
      <c r="F414" s="54" t="s">
        <v>1232</v>
      </c>
      <c r="G414" s="25">
        <f t="shared" si="5"/>
        <v>-6.1416546276049644E-4</v>
      </c>
    </row>
    <row r="415" spans="1:7">
      <c r="A415" s="54">
        <v>402.93079999999998</v>
      </c>
      <c r="B415" s="54">
        <v>404.94529999999997</v>
      </c>
      <c r="C415" s="54">
        <v>399.20170000000002</v>
      </c>
      <c r="D415" s="54">
        <v>400.95589999999999</v>
      </c>
      <c r="E415" s="54">
        <v>19276666</v>
      </c>
      <c r="F415" s="54" t="s">
        <v>1233</v>
      </c>
      <c r="G415" s="25">
        <f t="shared" si="5"/>
        <v>4.9254793357573767E-3</v>
      </c>
    </row>
    <row r="416" spans="1:7">
      <c r="A416" s="54">
        <v>399.62610000000001</v>
      </c>
      <c r="B416" s="54">
        <v>402.77199999999999</v>
      </c>
      <c r="C416" s="54">
        <v>396.89769999999999</v>
      </c>
      <c r="D416" s="54">
        <v>399.37799999999999</v>
      </c>
      <c r="E416" s="54">
        <v>20203030</v>
      </c>
      <c r="F416" s="54" t="s">
        <v>1234</v>
      </c>
      <c r="G416" s="25">
        <f t="shared" si="5"/>
        <v>6.2121599086584212E-4</v>
      </c>
    </row>
    <row r="417" spans="1:7">
      <c r="A417" s="54">
        <v>395.39850000000001</v>
      </c>
      <c r="B417" s="54">
        <v>406.9599</v>
      </c>
      <c r="C417" s="54">
        <v>394.44580000000002</v>
      </c>
      <c r="D417" s="54">
        <v>405.52589999999998</v>
      </c>
      <c r="E417" s="54">
        <v>20650906</v>
      </c>
      <c r="F417" s="54" t="s">
        <v>1235</v>
      </c>
      <c r="G417" s="25">
        <f t="shared" si="5"/>
        <v>-2.4973497377109521E-2</v>
      </c>
    </row>
    <row r="418" spans="1:7">
      <c r="A418" s="54">
        <v>396.56950000000001</v>
      </c>
      <c r="B418" s="54">
        <v>402.58339999999998</v>
      </c>
      <c r="C418" s="54">
        <v>395.46800000000002</v>
      </c>
      <c r="D418" s="54">
        <v>396.95659999999998</v>
      </c>
      <c r="E418" s="54">
        <v>24946525</v>
      </c>
      <c r="F418" s="54" t="s">
        <v>1236</v>
      </c>
      <c r="G418" s="25">
        <f t="shared" si="5"/>
        <v>-9.7516957773213786E-4</v>
      </c>
    </row>
    <row r="419" spans="1:7">
      <c r="A419" s="54">
        <v>392.14350000000002</v>
      </c>
      <c r="B419" s="54">
        <v>397.98860000000002</v>
      </c>
      <c r="C419" s="54">
        <v>382.6463</v>
      </c>
      <c r="D419" s="54">
        <v>386.209</v>
      </c>
      <c r="E419" s="54">
        <v>40709238</v>
      </c>
      <c r="F419" s="54" t="s">
        <v>1237</v>
      </c>
      <c r="G419" s="25">
        <f t="shared" si="5"/>
        <v>1.5366032381430861E-2</v>
      </c>
    </row>
    <row r="420" spans="1:7">
      <c r="A420" s="54">
        <v>405.38200000000001</v>
      </c>
      <c r="B420" s="54">
        <v>411.8424</v>
      </c>
      <c r="C420" s="54">
        <v>401.26350000000002</v>
      </c>
      <c r="D420" s="54">
        <v>409.35149999999999</v>
      </c>
      <c r="E420" s="54">
        <v>29437900</v>
      </c>
      <c r="F420" s="54" t="s">
        <v>1238</v>
      </c>
      <c r="G420" s="25">
        <f t="shared" si="5"/>
        <v>-9.6970452044269351E-3</v>
      </c>
    </row>
    <row r="421" spans="1:7">
      <c r="A421" s="54">
        <v>413.93639999999999</v>
      </c>
      <c r="B421" s="54">
        <v>424.20760000000001</v>
      </c>
      <c r="C421" s="54">
        <v>409.94709999999998</v>
      </c>
      <c r="D421" s="54">
        <v>417.58339999999998</v>
      </c>
      <c r="E421" s="54">
        <v>30296400</v>
      </c>
      <c r="F421" s="54" t="s">
        <v>1239</v>
      </c>
      <c r="G421" s="25">
        <f t="shared" si="5"/>
        <v>-8.7335847162506308E-3</v>
      </c>
    </row>
    <row r="422" spans="1:7">
      <c r="A422" s="54">
        <v>415.1669</v>
      </c>
      <c r="B422" s="54">
        <v>418.5659</v>
      </c>
      <c r="C422" s="54">
        <v>409.07369999999997</v>
      </c>
      <c r="D422" s="54">
        <v>417.29559999999998</v>
      </c>
      <c r="E422" s="54">
        <v>42891366</v>
      </c>
      <c r="F422" s="54" t="s">
        <v>1240</v>
      </c>
      <c r="G422" s="25">
        <f t="shared" si="5"/>
        <v>-5.101180074747913E-3</v>
      </c>
    </row>
    <row r="423" spans="1:7">
      <c r="A423" s="54">
        <v>419.7022</v>
      </c>
      <c r="B423" s="54">
        <v>425.78550000000001</v>
      </c>
      <c r="C423" s="54">
        <v>414.18450000000001</v>
      </c>
      <c r="D423" s="54">
        <v>424.46559999999999</v>
      </c>
      <c r="E423" s="54">
        <v>32687578</v>
      </c>
      <c r="F423" s="54" t="s">
        <v>1241</v>
      </c>
      <c r="G423" s="25">
        <f t="shared" si="5"/>
        <v>-1.1222110814162578E-2</v>
      </c>
    </row>
    <row r="424" spans="1:7">
      <c r="A424" s="54">
        <v>423.48320000000001</v>
      </c>
      <c r="B424" s="54">
        <v>428.86189999999999</v>
      </c>
      <c r="C424" s="54">
        <v>421.47280000000001</v>
      </c>
      <c r="D424" s="54">
        <v>428.29629999999997</v>
      </c>
      <c r="E424" s="54">
        <v>15125836</v>
      </c>
      <c r="F424" s="54" t="s">
        <v>1242</v>
      </c>
      <c r="G424" s="25">
        <f t="shared" si="5"/>
        <v>-1.12377809474421E-2</v>
      </c>
    </row>
    <row r="425" spans="1:7">
      <c r="A425" s="54">
        <v>422.03429999999997</v>
      </c>
      <c r="B425" s="54">
        <v>425.65159999999997</v>
      </c>
      <c r="C425" s="54">
        <v>414.09519999999998</v>
      </c>
      <c r="D425" s="54">
        <v>415.0181</v>
      </c>
      <c r="E425" s="54">
        <v>23583839</v>
      </c>
      <c r="F425" s="54" t="s">
        <v>1243</v>
      </c>
      <c r="G425" s="25">
        <f t="shared" si="5"/>
        <v>1.6905768688160849E-2</v>
      </c>
    </row>
    <row r="426" spans="1:7">
      <c r="A426" s="54">
        <v>415.21660000000003</v>
      </c>
      <c r="B426" s="54">
        <v>426.52980000000002</v>
      </c>
      <c r="C426" s="54">
        <v>414.33330000000001</v>
      </c>
      <c r="D426" s="54">
        <v>425.53739999999999</v>
      </c>
      <c r="E426" s="54">
        <v>29943795</v>
      </c>
      <c r="F426" s="54" t="s">
        <v>1244</v>
      </c>
      <c r="G426" s="25">
        <f t="shared" si="5"/>
        <v>-2.4253567371516516E-2</v>
      </c>
    </row>
    <row r="427" spans="1:7">
      <c r="A427" s="54">
        <v>425.63670000000002</v>
      </c>
      <c r="B427" s="54">
        <v>438.12099999999998</v>
      </c>
      <c r="C427" s="54">
        <v>424.33170000000001</v>
      </c>
      <c r="D427" s="54">
        <v>437.09879999999998</v>
      </c>
      <c r="E427" s="54">
        <v>26805800</v>
      </c>
      <c r="F427" s="54" t="s">
        <v>1245</v>
      </c>
      <c r="G427" s="25">
        <f t="shared" si="5"/>
        <v>-2.6223133076549221E-2</v>
      </c>
    </row>
    <row r="428" spans="1:7">
      <c r="A428" s="54">
        <v>441.46530000000001</v>
      </c>
      <c r="B428" s="54">
        <v>444.97840000000002</v>
      </c>
      <c r="C428" s="54">
        <v>439.72859999999997</v>
      </c>
      <c r="D428" s="54">
        <v>440.51760000000002</v>
      </c>
      <c r="E428" s="54">
        <v>13107050</v>
      </c>
      <c r="F428" s="54" t="s">
        <v>1246</v>
      </c>
      <c r="G428" s="25">
        <f t="shared" si="5"/>
        <v>2.1513328865860881E-3</v>
      </c>
    </row>
    <row r="429" spans="1:7">
      <c r="A429" s="54">
        <v>439.56979999999999</v>
      </c>
      <c r="B429" s="54">
        <v>441.21719999999999</v>
      </c>
      <c r="C429" s="54">
        <v>435.57299999999998</v>
      </c>
      <c r="D429" s="54">
        <v>438.42860000000002</v>
      </c>
      <c r="E429" s="54">
        <v>15808755</v>
      </c>
      <c r="F429" s="54" t="s">
        <v>1247</v>
      </c>
      <c r="G429" s="25">
        <f t="shared" si="5"/>
        <v>2.6029323816922911E-3</v>
      </c>
    </row>
    <row r="430" spans="1:7">
      <c r="A430" s="54">
        <v>433.7842</v>
      </c>
      <c r="B430" s="54">
        <v>437.7835</v>
      </c>
      <c r="C430" s="54">
        <v>428.7131</v>
      </c>
      <c r="D430" s="54">
        <v>429.80470000000003</v>
      </c>
      <c r="E430" s="54">
        <v>20940417</v>
      </c>
      <c r="F430" s="54" t="s">
        <v>1248</v>
      </c>
      <c r="G430" s="25">
        <f t="shared" si="5"/>
        <v>9.2588564061770739E-3</v>
      </c>
    </row>
    <row r="431" spans="1:7">
      <c r="A431" s="54">
        <v>437.01940000000002</v>
      </c>
      <c r="B431" s="54">
        <v>441.26679999999999</v>
      </c>
      <c r="C431" s="54">
        <v>431.09480000000002</v>
      </c>
      <c r="D431" s="54">
        <v>440.95920000000001</v>
      </c>
      <c r="E431" s="54">
        <v>20794822</v>
      </c>
      <c r="F431" s="54" t="s">
        <v>1249</v>
      </c>
      <c r="G431" s="25">
        <f t="shared" si="5"/>
        <v>-8.9346134517660492E-3</v>
      </c>
    </row>
    <row r="432" spans="1:7">
      <c r="A432" s="54">
        <v>440.1454</v>
      </c>
      <c r="B432" s="54">
        <v>441.46530000000001</v>
      </c>
      <c r="C432" s="54">
        <v>435.83850000000001</v>
      </c>
      <c r="D432" s="54">
        <v>439.22250000000003</v>
      </c>
      <c r="E432" s="54">
        <v>21754021</v>
      </c>
      <c r="F432" s="54" t="s">
        <v>1250</v>
      </c>
      <c r="G432" s="25">
        <f t="shared" si="5"/>
        <v>2.1012129387725231E-3</v>
      </c>
    </row>
    <row r="433" spans="1:7">
      <c r="A433" s="54">
        <v>446.09980000000002</v>
      </c>
      <c r="B433" s="54">
        <v>450.84339999999997</v>
      </c>
      <c r="C433" s="54">
        <v>443.26150000000001</v>
      </c>
      <c r="D433" s="54">
        <v>450.76400000000001</v>
      </c>
      <c r="E433" s="54">
        <v>17175679</v>
      </c>
      <c r="F433" s="54" t="s">
        <v>1251</v>
      </c>
      <c r="G433" s="25">
        <f t="shared" si="5"/>
        <v>-1.0347321436494417E-2</v>
      </c>
    </row>
    <row r="434" spans="1:7">
      <c r="A434" s="54">
        <v>450.50599999999997</v>
      </c>
      <c r="B434" s="54">
        <v>453.78089999999997</v>
      </c>
      <c r="C434" s="54">
        <v>447.99529999999999</v>
      </c>
      <c r="D434" s="54">
        <v>449.851</v>
      </c>
      <c r="E434" s="54">
        <v>14429447</v>
      </c>
      <c r="F434" s="54" t="s">
        <v>1252</v>
      </c>
      <c r="G434" s="25">
        <f t="shared" si="5"/>
        <v>1.4560376658048213E-3</v>
      </c>
    </row>
    <row r="435" spans="1:7">
      <c r="A435" s="54">
        <v>450.09910000000002</v>
      </c>
      <c r="B435" s="54">
        <v>452.8877</v>
      </c>
      <c r="C435" s="54">
        <v>447.21620000000001</v>
      </c>
      <c r="D435" s="54">
        <v>450.8682</v>
      </c>
      <c r="E435" s="54">
        <v>16324274</v>
      </c>
      <c r="F435" s="54" t="s">
        <v>1253</v>
      </c>
      <c r="G435" s="25">
        <f t="shared" si="5"/>
        <v>-1.7058200156940817E-3</v>
      </c>
    </row>
    <row r="436" spans="1:7">
      <c r="A436" s="54">
        <v>451.24040000000002</v>
      </c>
      <c r="B436" s="54">
        <v>461.24369999999999</v>
      </c>
      <c r="C436" s="54">
        <v>448.11430000000001</v>
      </c>
      <c r="D436" s="54">
        <v>459.45740000000001</v>
      </c>
      <c r="E436" s="54">
        <v>23111175</v>
      </c>
      <c r="F436" s="54" t="s">
        <v>1254</v>
      </c>
      <c r="G436" s="25">
        <f t="shared" si="5"/>
        <v>-1.7884138986552389E-2</v>
      </c>
    </row>
    <row r="437" spans="1:7">
      <c r="A437" s="54">
        <v>462.70249999999999</v>
      </c>
      <c r="B437" s="54">
        <v>462.91090000000003</v>
      </c>
      <c r="C437" s="54">
        <v>455.36380000000003</v>
      </c>
      <c r="D437" s="54">
        <v>457.71080000000001</v>
      </c>
      <c r="E437" s="54">
        <v>18196100</v>
      </c>
      <c r="F437" s="54" t="s">
        <v>1255</v>
      </c>
      <c r="G437" s="25">
        <f t="shared" si="5"/>
        <v>1.0905794663355062E-2</v>
      </c>
    </row>
    <row r="438" spans="1:7">
      <c r="A438" s="54">
        <v>456.04349999999999</v>
      </c>
      <c r="B438" s="54">
        <v>463.77429999999998</v>
      </c>
      <c r="C438" s="54">
        <v>454.51530000000002</v>
      </c>
      <c r="D438" s="54">
        <v>463.4468</v>
      </c>
      <c r="E438" s="54">
        <v>17228507</v>
      </c>
      <c r="F438" s="54" t="s">
        <v>1256</v>
      </c>
      <c r="G438" s="25">
        <f t="shared" si="5"/>
        <v>-1.597443331143944E-2</v>
      </c>
    </row>
    <row r="439" spans="1:7">
      <c r="A439" s="54">
        <v>462.69260000000003</v>
      </c>
      <c r="B439" s="54">
        <v>464.14150000000001</v>
      </c>
      <c r="C439" s="54">
        <v>460.92610000000002</v>
      </c>
      <c r="D439" s="54">
        <v>463.00020000000001</v>
      </c>
      <c r="E439" s="54">
        <v>12962321</v>
      </c>
      <c r="F439" s="54" t="s">
        <v>1257</v>
      </c>
      <c r="G439" s="25">
        <f t="shared" si="5"/>
        <v>-6.643625639901618E-4</v>
      </c>
    </row>
    <row r="440" spans="1:7">
      <c r="A440" s="54">
        <v>464.0025</v>
      </c>
      <c r="B440" s="54">
        <v>464.78649999999999</v>
      </c>
      <c r="C440" s="54">
        <v>455.47289999999998</v>
      </c>
      <c r="D440" s="54">
        <v>456.113</v>
      </c>
      <c r="E440" s="54">
        <v>16000290</v>
      </c>
      <c r="F440" s="54" t="s">
        <v>1258</v>
      </c>
      <c r="G440" s="25">
        <f t="shared" si="5"/>
        <v>1.7297248708105117E-2</v>
      </c>
    </row>
    <row r="441" spans="1:7">
      <c r="A441" s="54">
        <v>457.26420000000002</v>
      </c>
      <c r="B441" s="54">
        <v>457.51229999999998</v>
      </c>
      <c r="C441" s="54">
        <v>454.39620000000002</v>
      </c>
      <c r="D441" s="54">
        <v>454.7038</v>
      </c>
      <c r="E441" s="54">
        <v>9932830</v>
      </c>
      <c r="F441" s="54" t="s">
        <v>1259</v>
      </c>
      <c r="G441" s="25">
        <f t="shared" si="5"/>
        <v>5.6309184132616874E-3</v>
      </c>
    </row>
    <row r="442" spans="1:7">
      <c r="A442" s="54">
        <v>455.78550000000001</v>
      </c>
      <c r="B442" s="54">
        <v>456.09320000000002</v>
      </c>
      <c r="C442" s="54">
        <v>449.66539999999998</v>
      </c>
      <c r="D442" s="54">
        <v>449.7518</v>
      </c>
      <c r="E442" s="54">
        <v>13979779</v>
      </c>
      <c r="F442" s="54" t="s">
        <v>1260</v>
      </c>
      <c r="G442" s="25">
        <f t="shared" si="5"/>
        <v>1.3415621682892676E-2</v>
      </c>
    </row>
    <row r="443" spans="1:7">
      <c r="A443" s="54">
        <v>453.25490000000002</v>
      </c>
      <c r="B443" s="54">
        <v>453.89010000000002</v>
      </c>
      <c r="C443" s="54">
        <v>442.26920000000001</v>
      </c>
      <c r="D443" s="54">
        <v>445.24630000000002</v>
      </c>
      <c r="E443" s="54">
        <v>17662818</v>
      </c>
      <c r="F443" s="54" t="s">
        <v>1261</v>
      </c>
      <c r="G443" s="25">
        <f t="shared" si="5"/>
        <v>1.798689848742141E-2</v>
      </c>
    </row>
    <row r="444" spans="1:7">
      <c r="A444" s="54">
        <v>443.54930000000002</v>
      </c>
      <c r="B444" s="54">
        <v>451.91520000000003</v>
      </c>
      <c r="C444" s="54">
        <v>443.01339999999999</v>
      </c>
      <c r="D444" s="54">
        <v>449.62279999999998</v>
      </c>
      <c r="E444" s="54">
        <v>28362271</v>
      </c>
      <c r="F444" s="54" t="s">
        <v>1262</v>
      </c>
      <c r="G444" s="25">
        <f t="shared" si="5"/>
        <v>-1.3507989363528594E-2</v>
      </c>
    </row>
    <row r="445" spans="1:7">
      <c r="A445" s="54">
        <v>449.40440000000001</v>
      </c>
      <c r="B445" s="54">
        <v>452.69920000000002</v>
      </c>
      <c r="C445" s="54">
        <v>448.33269999999999</v>
      </c>
      <c r="D445" s="54">
        <v>448.7346</v>
      </c>
      <c r="E445" s="54">
        <v>14806324</v>
      </c>
      <c r="F445" s="54" t="s">
        <v>1263</v>
      </c>
      <c r="G445" s="25">
        <f t="shared" si="5"/>
        <v>1.4926417530540803E-3</v>
      </c>
    </row>
    <row r="446" spans="1:7">
      <c r="A446" s="54">
        <v>448.71969999999999</v>
      </c>
      <c r="B446" s="54">
        <v>450.14870000000002</v>
      </c>
      <c r="C446" s="54">
        <v>444.7799</v>
      </c>
      <c r="D446" s="54">
        <v>445.58370000000002</v>
      </c>
      <c r="E446" s="54">
        <v>16507030</v>
      </c>
      <c r="F446" s="54" t="s">
        <v>1264</v>
      </c>
      <c r="G446" s="25">
        <f t="shared" si="5"/>
        <v>7.0379594226628317E-3</v>
      </c>
    </row>
    <row r="447" spans="1:7">
      <c r="A447" s="54">
        <v>447.51889999999997</v>
      </c>
      <c r="B447" s="54">
        <v>447.9853</v>
      </c>
      <c r="C447" s="54">
        <v>443.35090000000002</v>
      </c>
      <c r="D447" s="54">
        <v>444.83940000000001</v>
      </c>
      <c r="E447" s="54">
        <v>16747529</v>
      </c>
      <c r="F447" s="54" t="s">
        <v>1265</v>
      </c>
      <c r="G447" s="25">
        <f t="shared" si="5"/>
        <v>6.0235221969995312E-3</v>
      </c>
    </row>
    <row r="448" spans="1:7">
      <c r="A448" s="54">
        <v>444.26389999999998</v>
      </c>
      <c r="B448" s="54">
        <v>449.30520000000001</v>
      </c>
      <c r="C448" s="54">
        <v>443.01339999999999</v>
      </c>
      <c r="D448" s="54">
        <v>446.3777</v>
      </c>
      <c r="E448" s="54">
        <v>15913719</v>
      </c>
      <c r="F448" s="54" t="s">
        <v>1266</v>
      </c>
      <c r="G448" s="25">
        <f t="shared" si="5"/>
        <v>-4.7354516141824288E-3</v>
      </c>
    </row>
    <row r="449" spans="1:7">
      <c r="A449" s="54">
        <v>446.3578</v>
      </c>
      <c r="B449" s="54">
        <v>447.15170000000001</v>
      </c>
      <c r="C449" s="54">
        <v>443.11270000000002</v>
      </c>
      <c r="D449" s="54">
        <v>443.97609999999997</v>
      </c>
      <c r="E449" s="54">
        <v>34486172</v>
      </c>
      <c r="F449" s="54" t="s">
        <v>1267</v>
      </c>
      <c r="G449" s="25">
        <f t="shared" si="5"/>
        <v>5.3644779527546316E-3</v>
      </c>
    </row>
    <row r="450" spans="1:7">
      <c r="A450" s="54">
        <v>442.30880000000002</v>
      </c>
      <c r="B450" s="54">
        <v>443.13249999999999</v>
      </c>
      <c r="C450" s="54">
        <v>437.9126</v>
      </c>
      <c r="D450" s="54">
        <v>442.90429999999998</v>
      </c>
      <c r="E450" s="54">
        <v>19877378</v>
      </c>
      <c r="F450" s="54" t="s">
        <v>1268</v>
      </c>
      <c r="G450" s="25">
        <f t="shared" si="5"/>
        <v>-1.3445342481434031E-3</v>
      </c>
    </row>
    <row r="451" spans="1:7">
      <c r="A451" s="54">
        <v>442.94400000000002</v>
      </c>
      <c r="B451" s="54">
        <v>446.71510000000001</v>
      </c>
      <c r="C451" s="54">
        <v>441.505</v>
      </c>
      <c r="D451" s="54">
        <v>446.28339999999997</v>
      </c>
      <c r="E451" s="54">
        <v>17112504</v>
      </c>
      <c r="F451" s="54" t="s">
        <v>1269</v>
      </c>
      <c r="G451" s="25">
        <f t="shared" si="5"/>
        <v>-7.482689250821184E-3</v>
      </c>
    </row>
    <row r="452" spans="1:7">
      <c r="A452" s="54">
        <v>444.95850000000002</v>
      </c>
      <c r="B452" s="54">
        <v>447.50900000000001</v>
      </c>
      <c r="C452" s="54">
        <v>437.36669999999998</v>
      </c>
      <c r="D452" s="54">
        <v>439.21749999999997</v>
      </c>
      <c r="E452" s="54">
        <v>20790030</v>
      </c>
      <c r="F452" s="54" t="s">
        <v>1270</v>
      </c>
      <c r="G452" s="25">
        <f t="shared" si="5"/>
        <v>1.3070972809599013E-2</v>
      </c>
    </row>
    <row r="453" spans="1:7">
      <c r="A453" s="54">
        <v>439.20269999999999</v>
      </c>
      <c r="B453" s="54">
        <v>439.76589999999999</v>
      </c>
      <c r="C453" s="54">
        <v>433.39819999999997</v>
      </c>
      <c r="D453" s="54">
        <v>434.94029999999998</v>
      </c>
      <c r="E453" s="54">
        <v>13581985</v>
      </c>
      <c r="F453" s="54" t="s">
        <v>1271</v>
      </c>
      <c r="G453" s="25">
        <f t="shared" si="5"/>
        <v>9.7999656504583754E-3</v>
      </c>
    </row>
    <row r="454" spans="1:7">
      <c r="A454" s="54">
        <v>438.22019999999998</v>
      </c>
      <c r="B454" s="54">
        <v>440.01639999999998</v>
      </c>
      <c r="C454" s="54">
        <v>436.02699999999999</v>
      </c>
      <c r="D454" s="54">
        <v>437.4957</v>
      </c>
      <c r="E454" s="54">
        <v>15960565</v>
      </c>
      <c r="F454" s="54" t="s">
        <v>1272</v>
      </c>
      <c r="G454" s="25">
        <f t="shared" si="5"/>
        <v>1.6560162762742081E-3</v>
      </c>
    </row>
    <row r="455" spans="1:7">
      <c r="A455" s="54">
        <v>437.70420000000001</v>
      </c>
      <c r="B455" s="54">
        <v>440.02629999999999</v>
      </c>
      <c r="C455" s="54">
        <v>429.95359999999999</v>
      </c>
      <c r="D455" s="54">
        <v>432.00779999999997</v>
      </c>
      <c r="E455" s="54">
        <v>22366233</v>
      </c>
      <c r="F455" s="54" t="s">
        <v>1273</v>
      </c>
      <c r="G455" s="25">
        <f t="shared" si="5"/>
        <v>1.3185873032848017E-2</v>
      </c>
    </row>
    <row r="456" spans="1:7">
      <c r="A456" s="54">
        <v>429.3879</v>
      </c>
      <c r="B456" s="54">
        <v>429.52679999999998</v>
      </c>
      <c r="C456" s="54">
        <v>422.01440000000002</v>
      </c>
      <c r="D456" s="54">
        <v>422.23770000000002</v>
      </c>
      <c r="E456" s="54">
        <v>14551101</v>
      </c>
      <c r="F456" s="54" t="s">
        <v>1274</v>
      </c>
      <c r="G456" s="25">
        <f t="shared" si="5"/>
        <v>1.6934063443411196E-2</v>
      </c>
    </row>
    <row r="457" spans="1:7">
      <c r="A457" s="54">
        <v>424.61450000000002</v>
      </c>
      <c r="B457" s="54">
        <v>424.8229</v>
      </c>
      <c r="C457" s="54">
        <v>420.66480000000001</v>
      </c>
      <c r="D457" s="54">
        <v>421.46859999999998</v>
      </c>
      <c r="E457" s="54">
        <v>14003034</v>
      </c>
      <c r="F457" s="54" t="s">
        <v>1275</v>
      </c>
      <c r="G457" s="25">
        <f t="shared" si="5"/>
        <v>7.4641384909814867E-3</v>
      </c>
    </row>
    <row r="458" spans="1:7">
      <c r="A458" s="54">
        <v>420.62509999999997</v>
      </c>
      <c r="B458" s="54">
        <v>423.03660000000002</v>
      </c>
      <c r="C458" s="54">
        <v>419.78160000000003</v>
      </c>
      <c r="D458" s="54">
        <v>422.9572</v>
      </c>
      <c r="E458" s="54">
        <v>13621650</v>
      </c>
      <c r="F458" s="54" t="s">
        <v>1276</v>
      </c>
      <c r="G458" s="25">
        <f t="shared" si="5"/>
        <v>-5.5137966678425743E-3</v>
      </c>
    </row>
    <row r="459" spans="1:7">
      <c r="A459" s="54">
        <v>421.29</v>
      </c>
      <c r="B459" s="54">
        <v>422.07400000000001</v>
      </c>
      <c r="C459" s="54">
        <v>417.38</v>
      </c>
      <c r="D459" s="54">
        <v>420.78390000000002</v>
      </c>
      <c r="E459" s="54">
        <v>14861251</v>
      </c>
      <c r="F459" s="54" t="s">
        <v>1277</v>
      </c>
      <c r="G459" s="25">
        <f t="shared" si="5"/>
        <v>1.2027551434359296E-3</v>
      </c>
    </row>
    <row r="460" spans="1:7">
      <c r="A460" s="54">
        <v>420.78390000000002</v>
      </c>
      <c r="B460" s="54">
        <v>420.85329999999999</v>
      </c>
      <c r="C460" s="54">
        <v>413.13249999999999</v>
      </c>
      <c r="D460" s="54">
        <v>414.6311</v>
      </c>
      <c r="E460" s="54">
        <v>16988038</v>
      </c>
      <c r="F460" s="54" t="s">
        <v>1278</v>
      </c>
      <c r="G460" s="25">
        <f t="shared" si="5"/>
        <v>1.4839214906937848E-2</v>
      </c>
    </row>
    <row r="461" spans="1:7">
      <c r="A461" s="54">
        <v>412.90429999999998</v>
      </c>
      <c r="B461" s="54">
        <v>413.2715</v>
      </c>
      <c r="C461" s="54">
        <v>406.55790000000002</v>
      </c>
      <c r="D461" s="54">
        <v>409.29199999999997</v>
      </c>
      <c r="E461" s="54">
        <v>14348917</v>
      </c>
      <c r="F461" s="54" t="s">
        <v>1279</v>
      </c>
      <c r="G461" s="25">
        <f t="shared" si="5"/>
        <v>8.8257283308739165E-3</v>
      </c>
    </row>
    <row r="462" spans="1:7">
      <c r="A462" s="54">
        <v>410.37369999999999</v>
      </c>
      <c r="B462" s="54">
        <v>413.26159999999999</v>
      </c>
      <c r="C462" s="54">
        <v>405.81209999999999</v>
      </c>
      <c r="D462" s="54">
        <v>412.36340000000001</v>
      </c>
      <c r="E462" s="54">
        <v>17484675</v>
      </c>
      <c r="F462" s="54" t="s">
        <v>1280</v>
      </c>
      <c r="G462" s="25">
        <f t="shared" si="5"/>
        <v>-4.8251129949943294E-3</v>
      </c>
    </row>
    <row r="463" spans="1:7">
      <c r="A463" s="54">
        <v>411.97140000000002</v>
      </c>
      <c r="B463" s="54">
        <v>413.57909999999998</v>
      </c>
      <c r="C463" s="54">
        <v>401.43220000000002</v>
      </c>
      <c r="D463" s="54">
        <v>413.57909999999998</v>
      </c>
      <c r="E463" s="54">
        <v>47995250</v>
      </c>
      <c r="F463" s="54" t="s">
        <v>1281</v>
      </c>
      <c r="G463" s="25">
        <f t="shared" si="5"/>
        <v>-3.8872854068301432E-3</v>
      </c>
    </row>
    <row r="464" spans="1:7">
      <c r="A464" s="54">
        <v>411.51490000000001</v>
      </c>
      <c r="B464" s="54">
        <v>421.07170000000002</v>
      </c>
      <c r="C464" s="54">
        <v>411.08819999999997</v>
      </c>
      <c r="D464" s="54">
        <v>421.07170000000002</v>
      </c>
      <c r="E464" s="54">
        <v>28424847</v>
      </c>
      <c r="F464" s="54" t="s">
        <v>1282</v>
      </c>
      <c r="G464" s="25">
        <f t="shared" si="5"/>
        <v>-2.2696372138046872E-2</v>
      </c>
    </row>
    <row r="465" spans="1:7">
      <c r="A465" s="54">
        <v>425.90460000000002</v>
      </c>
      <c r="B465" s="54">
        <v>427.66120000000001</v>
      </c>
      <c r="C465" s="54">
        <v>422.4511</v>
      </c>
      <c r="D465" s="54">
        <v>422.4511</v>
      </c>
      <c r="E465" s="54">
        <v>15517130</v>
      </c>
      <c r="F465" s="54" t="s">
        <v>1283</v>
      </c>
      <c r="G465" s="25">
        <f t="shared" si="5"/>
        <v>8.174910658298673E-3</v>
      </c>
    </row>
    <row r="466" spans="1:7">
      <c r="A466" s="54">
        <v>427.04590000000002</v>
      </c>
      <c r="B466" s="54">
        <v>427.5421</v>
      </c>
      <c r="C466" s="54">
        <v>423.35419999999999</v>
      </c>
      <c r="D466" s="54">
        <v>426.36110000000002</v>
      </c>
      <c r="E466" s="54">
        <v>15718024</v>
      </c>
      <c r="F466" s="54" t="s">
        <v>1284</v>
      </c>
      <c r="G466" s="25">
        <f t="shared" si="5"/>
        <v>1.6061502796573812E-3</v>
      </c>
    </row>
    <row r="467" spans="1:7">
      <c r="A467" s="54">
        <v>426.88709999999998</v>
      </c>
      <c r="B467" s="54">
        <v>427.77530000000002</v>
      </c>
      <c r="C467" s="54">
        <v>421.18079999999998</v>
      </c>
      <c r="D467" s="54">
        <v>423.93970000000002</v>
      </c>
      <c r="E467" s="54">
        <v>11855285</v>
      </c>
      <c r="F467" s="54" t="s">
        <v>1285</v>
      </c>
      <c r="G467" s="25">
        <f t="shared" si="5"/>
        <v>6.9524038442259073E-3</v>
      </c>
    </row>
    <row r="468" spans="1:7">
      <c r="A468" s="54">
        <v>423.75110000000001</v>
      </c>
      <c r="B468" s="54">
        <v>430.30090000000001</v>
      </c>
      <c r="C468" s="54">
        <v>422.18709999999999</v>
      </c>
      <c r="D468" s="54">
        <v>429.67570000000001</v>
      </c>
      <c r="E468" s="54">
        <v>17211689</v>
      </c>
      <c r="F468" s="54" t="s">
        <v>1286</v>
      </c>
      <c r="G468" s="25">
        <f t="shared" si="5"/>
        <v>-1.378853865834162E-2</v>
      </c>
    </row>
    <row r="469" spans="1:7">
      <c r="A469" s="54">
        <v>427.24430000000001</v>
      </c>
      <c r="B469" s="54">
        <v>429.12</v>
      </c>
      <c r="C469" s="54">
        <v>423.88010000000003</v>
      </c>
      <c r="D469" s="54">
        <v>426.81760000000003</v>
      </c>
      <c r="E469" s="54">
        <v>18073698</v>
      </c>
      <c r="F469" s="54" t="s">
        <v>1287</v>
      </c>
      <c r="G469" s="25">
        <f t="shared" si="5"/>
        <v>9.9972447246776674E-4</v>
      </c>
    </row>
    <row r="470" spans="1:7">
      <c r="A470" s="54">
        <v>425.7756</v>
      </c>
      <c r="B470" s="54">
        <v>429.67570000000001</v>
      </c>
      <c r="C470" s="54">
        <v>421.61750000000001</v>
      </c>
      <c r="D470" s="54">
        <v>423.57749999999999</v>
      </c>
      <c r="E470" s="54">
        <v>21453255</v>
      </c>
      <c r="F470" s="54" t="s">
        <v>1288</v>
      </c>
      <c r="G470" s="25">
        <f t="shared" si="5"/>
        <v>5.1893691237141493E-3</v>
      </c>
    </row>
    <row r="471" spans="1:7">
      <c r="A471" s="54">
        <v>422.10379999999998</v>
      </c>
      <c r="B471" s="54">
        <v>423.52289999999999</v>
      </c>
      <c r="C471" s="54">
        <v>416.79450000000003</v>
      </c>
      <c r="D471" s="54">
        <v>417.01280000000003</v>
      </c>
      <c r="E471" s="54">
        <v>16272137</v>
      </c>
      <c r="F471" s="54" t="s">
        <v>1289</v>
      </c>
      <c r="G471" s="25">
        <f t="shared" si="5"/>
        <v>1.2208258355618673E-2</v>
      </c>
    </row>
    <row r="472" spans="1:7">
      <c r="A472" s="54">
        <v>417.01280000000003</v>
      </c>
      <c r="B472" s="54">
        <v>419.7022</v>
      </c>
      <c r="C472" s="54">
        <v>414.84440000000001</v>
      </c>
      <c r="D472" s="54">
        <v>419.32510000000002</v>
      </c>
      <c r="E472" s="54">
        <v>15352239</v>
      </c>
      <c r="F472" s="54" t="s">
        <v>1290</v>
      </c>
      <c r="G472" s="25">
        <f t="shared" ref="G472:G535" si="6">A472/D472-1</f>
        <v>-5.5143372051899009E-3</v>
      </c>
    </row>
    <row r="473" spans="1:7">
      <c r="A473" s="54">
        <v>417.7869</v>
      </c>
      <c r="B473" s="54">
        <v>422.18310000000002</v>
      </c>
      <c r="C473" s="54">
        <v>417.15170000000001</v>
      </c>
      <c r="D473" s="54">
        <v>418.59070000000003</v>
      </c>
      <c r="E473" s="54">
        <v>17530050</v>
      </c>
      <c r="F473" s="54" t="s">
        <v>1291</v>
      </c>
      <c r="G473" s="25">
        <f t="shared" si="6"/>
        <v>-1.9202528866504309E-3</v>
      </c>
    </row>
    <row r="474" spans="1:7">
      <c r="A474" s="54">
        <v>419.86099999999999</v>
      </c>
      <c r="B474" s="54">
        <v>420.58539999999999</v>
      </c>
      <c r="C474" s="54">
        <v>414.09519999999998</v>
      </c>
      <c r="D474" s="54">
        <v>414.72039999999998</v>
      </c>
      <c r="E474" s="54">
        <v>22239533</v>
      </c>
      <c r="F474" s="54" t="s">
        <v>1292</v>
      </c>
      <c r="G474" s="25">
        <f t="shared" si="6"/>
        <v>1.2395339124865901E-2</v>
      </c>
    </row>
    <row r="475" spans="1:7">
      <c r="A475" s="54">
        <v>412.6463</v>
      </c>
      <c r="B475" s="54">
        <v>413.5675</v>
      </c>
      <c r="C475" s="54">
        <v>407.68329999999997</v>
      </c>
      <c r="D475" s="54">
        <v>408.14890000000003</v>
      </c>
      <c r="E475" s="54">
        <v>15109306</v>
      </c>
      <c r="F475" s="54" t="s">
        <v>1293</v>
      </c>
      <c r="G475" s="25">
        <f t="shared" si="6"/>
        <v>1.10190178143319E-2</v>
      </c>
    </row>
    <row r="476" spans="1:7">
      <c r="A476" s="54">
        <v>409.83300000000003</v>
      </c>
      <c r="B476" s="54">
        <v>414.41750000000002</v>
      </c>
      <c r="C476" s="54">
        <v>406.96019999999999</v>
      </c>
      <c r="D476" s="54">
        <v>414.08260000000001</v>
      </c>
      <c r="E476" s="54">
        <v>15440226</v>
      </c>
      <c r="F476" s="54" t="s">
        <v>1294</v>
      </c>
      <c r="G476" s="25">
        <f t="shared" si="6"/>
        <v>-1.0262686719992531E-2</v>
      </c>
    </row>
    <row r="477" spans="1:7">
      <c r="A477" s="54">
        <v>410.84339999999997</v>
      </c>
      <c r="B477" s="54">
        <v>411.47739999999999</v>
      </c>
      <c r="C477" s="54">
        <v>407.93099999999998</v>
      </c>
      <c r="D477" s="54">
        <v>409.05529999999999</v>
      </c>
      <c r="E477" s="54">
        <v>13402281</v>
      </c>
      <c r="F477" s="54" t="s">
        <v>1295</v>
      </c>
      <c r="G477" s="25">
        <f t="shared" si="6"/>
        <v>4.371291607760508E-3</v>
      </c>
    </row>
    <row r="478" spans="1:7">
      <c r="A478" s="54">
        <v>408.4461</v>
      </c>
      <c r="B478" s="54">
        <v>408.84230000000002</v>
      </c>
      <c r="C478" s="54">
        <v>405.25639999999999</v>
      </c>
      <c r="D478" s="54">
        <v>406.71249999999998</v>
      </c>
      <c r="E478" s="54">
        <v>14689727</v>
      </c>
      <c r="F478" s="54" t="s">
        <v>1296</v>
      </c>
      <c r="G478" s="25">
        <f t="shared" si="6"/>
        <v>4.262470418292974E-3</v>
      </c>
    </row>
    <row r="479" spans="1:7">
      <c r="A479" s="54">
        <v>406.68279999999999</v>
      </c>
      <c r="B479" s="54">
        <v>408.35700000000003</v>
      </c>
      <c r="C479" s="54">
        <v>402.892</v>
      </c>
      <c r="D479" s="54">
        <v>404.33510000000001</v>
      </c>
      <c r="E479" s="54">
        <v>11792308</v>
      </c>
      <c r="F479" s="54" t="s">
        <v>1297</v>
      </c>
      <c r="G479" s="25">
        <f t="shared" si="6"/>
        <v>5.8063225280218234E-3</v>
      </c>
    </row>
    <row r="480" spans="1:7">
      <c r="A480" s="54">
        <v>405.4941</v>
      </c>
      <c r="B480" s="54">
        <v>410.774</v>
      </c>
      <c r="C480" s="54">
        <v>405.24650000000003</v>
      </c>
      <c r="D480" s="54">
        <v>410.76409999999998</v>
      </c>
      <c r="E480" s="54">
        <v>20018228</v>
      </c>
      <c r="F480" s="54" t="s">
        <v>1298</v>
      </c>
      <c r="G480" s="25">
        <f t="shared" si="6"/>
        <v>-1.2829748266705798E-2</v>
      </c>
    </row>
    <row r="481" spans="1:7">
      <c r="A481" s="54">
        <v>409.65460000000002</v>
      </c>
      <c r="B481" s="54">
        <v>410.041</v>
      </c>
      <c r="C481" s="54">
        <v>402.5521</v>
      </c>
      <c r="D481" s="54">
        <v>404.9196</v>
      </c>
      <c r="E481" s="54">
        <v>16996639</v>
      </c>
      <c r="F481" s="54" t="s">
        <v>1299</v>
      </c>
      <c r="G481" s="25">
        <f t="shared" si="6"/>
        <v>1.169367943660915E-2</v>
      </c>
    </row>
    <row r="482" spans="1:7">
      <c r="A482" s="54">
        <v>402.83929999999998</v>
      </c>
      <c r="B482" s="54">
        <v>403.32470000000001</v>
      </c>
      <c r="C482" s="54">
        <v>398.08440000000002</v>
      </c>
      <c r="D482" s="54">
        <v>398.50040000000001</v>
      </c>
      <c r="E482" s="54">
        <v>17446724</v>
      </c>
      <c r="F482" s="54" t="s">
        <v>1300</v>
      </c>
      <c r="G482" s="25">
        <f t="shared" si="6"/>
        <v>1.088806937207587E-2</v>
      </c>
    </row>
    <row r="483" spans="1:7">
      <c r="A483" s="54">
        <v>394.10210000000001</v>
      </c>
      <c r="B483" s="54">
        <v>396.17250000000001</v>
      </c>
      <c r="C483" s="54">
        <v>390.9436</v>
      </c>
      <c r="D483" s="54">
        <v>393.92380000000003</v>
      </c>
      <c r="E483" s="54">
        <v>17709364</v>
      </c>
      <c r="F483" s="54" t="s">
        <v>1301</v>
      </c>
      <c r="G483" s="25">
        <f t="shared" si="6"/>
        <v>4.526256093182468E-4</v>
      </c>
    </row>
    <row r="484" spans="1:7">
      <c r="A484" s="54">
        <v>391.2294</v>
      </c>
      <c r="B484" s="54">
        <v>397.94560000000001</v>
      </c>
      <c r="C484" s="54">
        <v>386.6429</v>
      </c>
      <c r="D484" s="54">
        <v>388.92129999999997</v>
      </c>
      <c r="E484" s="54">
        <v>23562481</v>
      </c>
      <c r="F484" s="54" t="s">
        <v>1302</v>
      </c>
      <c r="G484" s="25">
        <f t="shared" si="6"/>
        <v>5.9346196775542648E-3</v>
      </c>
    </row>
    <row r="485" spans="1:7">
      <c r="A485" s="54">
        <v>385.6721</v>
      </c>
      <c r="B485" s="54">
        <v>398.38159999999999</v>
      </c>
      <c r="C485" s="54">
        <v>385.5136</v>
      </c>
      <c r="D485" s="54">
        <v>397.71789999999999</v>
      </c>
      <c r="E485" s="54">
        <v>28781374</v>
      </c>
      <c r="F485" s="54" t="s">
        <v>1303</v>
      </c>
      <c r="G485" s="25">
        <f t="shared" si="6"/>
        <v>-3.0287296598920932E-2</v>
      </c>
    </row>
    <row r="486" spans="1:7">
      <c r="A486" s="54">
        <v>398.47070000000002</v>
      </c>
      <c r="B486" s="54">
        <v>402.5025</v>
      </c>
      <c r="C486" s="54">
        <v>395.43950000000001</v>
      </c>
      <c r="D486" s="54">
        <v>401.4425</v>
      </c>
      <c r="E486" s="54">
        <v>19582091</v>
      </c>
      <c r="F486" s="54" t="s">
        <v>1304</v>
      </c>
      <c r="G486" s="25">
        <f t="shared" si="6"/>
        <v>-7.4028036393753993E-3</v>
      </c>
    </row>
    <row r="487" spans="1:7">
      <c r="A487" s="54">
        <v>402.5025</v>
      </c>
      <c r="B487" s="54">
        <v>409.11970000000002</v>
      </c>
      <c r="C487" s="54">
        <v>401.94779999999997</v>
      </c>
      <c r="D487" s="54">
        <v>408.29750000000001</v>
      </c>
      <c r="E487" s="54">
        <v>29694654</v>
      </c>
      <c r="F487" s="54" t="s">
        <v>1305</v>
      </c>
      <c r="G487" s="25">
        <f t="shared" si="6"/>
        <v>-1.4193082250075095E-2</v>
      </c>
    </row>
    <row r="488" spans="1:7">
      <c r="A488" s="54">
        <v>395.29090000000002</v>
      </c>
      <c r="B488" s="54">
        <v>396.13279999999997</v>
      </c>
      <c r="C488" s="54">
        <v>384.3843</v>
      </c>
      <c r="D488" s="54">
        <v>390.3279</v>
      </c>
      <c r="E488" s="54">
        <v>40586450</v>
      </c>
      <c r="F488" s="54" t="s">
        <v>1306</v>
      </c>
      <c r="G488" s="25">
        <f t="shared" si="6"/>
        <v>1.2714950686333326E-2</v>
      </c>
    </row>
    <row r="489" spans="1:7">
      <c r="A489" s="54">
        <v>405.2167</v>
      </c>
      <c r="B489" s="54">
        <v>408.59469999999999</v>
      </c>
      <c r="C489" s="54">
        <v>402.95819999999998</v>
      </c>
      <c r="D489" s="54">
        <v>405.71199999999999</v>
      </c>
      <c r="E489" s="54">
        <v>15065330</v>
      </c>
      <c r="F489" s="54" t="s">
        <v>1307</v>
      </c>
      <c r="G489" s="25">
        <f t="shared" si="6"/>
        <v>-1.2208167369957001E-3</v>
      </c>
    </row>
    <row r="490" spans="1:7">
      <c r="A490" s="54">
        <v>403.7407</v>
      </c>
      <c r="B490" s="54">
        <v>404.3648</v>
      </c>
      <c r="C490" s="54">
        <v>399.2731</v>
      </c>
      <c r="D490" s="54">
        <v>400.43709999999999</v>
      </c>
      <c r="E490" s="54">
        <v>15734501</v>
      </c>
      <c r="F490" s="54" t="s">
        <v>1308</v>
      </c>
      <c r="G490" s="25">
        <f t="shared" si="6"/>
        <v>8.2499848290780164E-3</v>
      </c>
    </row>
    <row r="491" spans="1:7">
      <c r="A491" s="54">
        <v>397.19279999999998</v>
      </c>
      <c r="B491" s="54">
        <v>399.06509999999997</v>
      </c>
      <c r="C491" s="54">
        <v>392.03179999999998</v>
      </c>
      <c r="D491" s="54">
        <v>396.3211</v>
      </c>
      <c r="E491" s="54">
        <v>20286875</v>
      </c>
      <c r="F491" s="54" t="s">
        <v>1309</v>
      </c>
      <c r="G491" s="25">
        <f t="shared" si="6"/>
        <v>2.199479159701534E-3</v>
      </c>
    </row>
    <row r="492" spans="1:7">
      <c r="A492" s="54">
        <v>395.37009999999998</v>
      </c>
      <c r="B492" s="54">
        <v>401.67039999999997</v>
      </c>
      <c r="C492" s="54">
        <v>394.03280000000001</v>
      </c>
      <c r="D492" s="54">
        <v>400.23399999999998</v>
      </c>
      <c r="E492" s="54">
        <v>30565789</v>
      </c>
      <c r="F492" s="54" t="s">
        <v>1310</v>
      </c>
      <c r="G492" s="25">
        <f t="shared" si="6"/>
        <v>-1.2152640705187512E-2</v>
      </c>
    </row>
    <row r="493" spans="1:7">
      <c r="A493" s="54">
        <v>400.4717</v>
      </c>
      <c r="B493" s="54">
        <v>408.02010000000001</v>
      </c>
      <c r="C493" s="54">
        <v>400.15469999999999</v>
      </c>
      <c r="D493" s="54">
        <v>406.77199999999999</v>
      </c>
      <c r="E493" s="54">
        <v>21029917</v>
      </c>
      <c r="F493" s="54" t="s">
        <v>1311</v>
      </c>
      <c r="G493" s="25">
        <f t="shared" si="6"/>
        <v>-1.5488529200633261E-2</v>
      </c>
    </row>
    <row r="494" spans="1:7">
      <c r="A494" s="54">
        <v>407.97059999999999</v>
      </c>
      <c r="B494" s="54">
        <v>414.94450000000001</v>
      </c>
      <c r="C494" s="54">
        <v>406.47480000000002</v>
      </c>
      <c r="D494" s="54">
        <v>413.32979999999998</v>
      </c>
      <c r="E494" s="54">
        <v>15855485</v>
      </c>
      <c r="F494" s="54" t="s">
        <v>1312</v>
      </c>
      <c r="G494" s="25">
        <f t="shared" si="6"/>
        <v>-1.2965917289292972E-2</v>
      </c>
    </row>
    <row r="495" spans="1:7">
      <c r="A495" s="54">
        <v>410.68490000000003</v>
      </c>
      <c r="B495" s="54">
        <v>414.46899999999999</v>
      </c>
      <c r="C495" s="54">
        <v>409.84300000000002</v>
      </c>
      <c r="D495" s="54">
        <v>410.67500000000001</v>
      </c>
      <c r="E495" s="54">
        <v>16765616</v>
      </c>
      <c r="F495" s="54" t="s">
        <v>1313</v>
      </c>
      <c r="G495" s="25">
        <f t="shared" si="6"/>
        <v>2.4106653679911716E-5</v>
      </c>
    </row>
    <row r="496" spans="1:7">
      <c r="A496" s="54">
        <v>409.75369999999998</v>
      </c>
      <c r="B496" s="54">
        <v>422.80990000000003</v>
      </c>
      <c r="C496" s="54">
        <v>409.54570000000001</v>
      </c>
      <c r="D496" s="54">
        <v>422.59190000000001</v>
      </c>
      <c r="E496" s="54">
        <v>20273538</v>
      </c>
      <c r="F496" s="54" t="s">
        <v>1314</v>
      </c>
      <c r="G496" s="25">
        <f t="shared" si="6"/>
        <v>-3.0379664162990427E-2</v>
      </c>
    </row>
    <row r="497" spans="1:7">
      <c r="A497" s="54">
        <v>417.93610000000001</v>
      </c>
      <c r="B497" s="54">
        <v>421.18470000000002</v>
      </c>
      <c r="C497" s="54">
        <v>415.8261</v>
      </c>
      <c r="D497" s="54">
        <v>420.0659</v>
      </c>
      <c r="E497" s="54">
        <v>19253750</v>
      </c>
      <c r="F497" s="54" t="s">
        <v>1315</v>
      </c>
      <c r="G497" s="25">
        <f t="shared" si="6"/>
        <v>-5.0701568491990923E-3</v>
      </c>
    </row>
    <row r="498" spans="1:7">
      <c r="A498" s="54">
        <v>423.90940000000001</v>
      </c>
      <c r="B498" s="54">
        <v>425.33589999999998</v>
      </c>
      <c r="C498" s="54">
        <v>418.39179999999999</v>
      </c>
      <c r="D498" s="54">
        <v>421.8193</v>
      </c>
      <c r="E498" s="54">
        <v>17966423</v>
      </c>
      <c r="F498" s="54" t="s">
        <v>1316</v>
      </c>
      <c r="G498" s="25">
        <f t="shared" si="6"/>
        <v>4.9549653133462712E-3</v>
      </c>
    </row>
    <row r="499" spans="1:7">
      <c r="A499" s="54">
        <v>419.2833</v>
      </c>
      <c r="B499" s="54">
        <v>420.04610000000002</v>
      </c>
      <c r="C499" s="54">
        <v>415.7568</v>
      </c>
      <c r="D499" s="54">
        <v>418.22340000000003</v>
      </c>
      <c r="E499" s="54">
        <v>16216581</v>
      </c>
      <c r="F499" s="54" t="s">
        <v>1317</v>
      </c>
      <c r="G499" s="25">
        <f t="shared" si="6"/>
        <v>2.5342914815382755E-3</v>
      </c>
    </row>
    <row r="500" spans="1:7">
      <c r="A500" s="54">
        <v>422.2749</v>
      </c>
      <c r="B500" s="54">
        <v>423.72120000000001</v>
      </c>
      <c r="C500" s="54">
        <v>417.65870000000001</v>
      </c>
      <c r="D500" s="54">
        <v>422.43340000000001</v>
      </c>
      <c r="E500" s="54">
        <v>12512289</v>
      </c>
      <c r="F500" s="54" t="s">
        <v>1318</v>
      </c>
      <c r="G500" s="25">
        <f t="shared" si="6"/>
        <v>-3.7520707406191178E-4</v>
      </c>
    </row>
    <row r="501" spans="1:7">
      <c r="A501" s="54">
        <v>420.60079999999999</v>
      </c>
      <c r="B501" s="54">
        <v>423.26560000000001</v>
      </c>
      <c r="C501" s="54">
        <v>419.3229</v>
      </c>
      <c r="D501" s="54">
        <v>421.17540000000002</v>
      </c>
      <c r="E501" s="54">
        <v>14272387</v>
      </c>
      <c r="F501" s="54" t="s">
        <v>1319</v>
      </c>
      <c r="G501" s="25">
        <f t="shared" si="6"/>
        <v>-1.3642772108722889E-3</v>
      </c>
    </row>
    <row r="502" spans="1:7">
      <c r="A502" s="54">
        <v>421.52210000000002</v>
      </c>
      <c r="B502" s="54">
        <v>422.50279999999998</v>
      </c>
      <c r="C502" s="54">
        <v>414.3897</v>
      </c>
      <c r="D502" s="54">
        <v>416.06389999999999</v>
      </c>
      <c r="E502" s="54">
        <v>16554761</v>
      </c>
      <c r="F502" s="54" t="s">
        <v>1320</v>
      </c>
      <c r="G502" s="25">
        <f t="shared" si="6"/>
        <v>1.3118657975373482E-2</v>
      </c>
    </row>
    <row r="503" spans="1:7">
      <c r="A503" s="54">
        <v>413.95389999999998</v>
      </c>
      <c r="B503" s="54">
        <v>424.64249999999998</v>
      </c>
      <c r="C503" s="54">
        <v>413.64679999999998</v>
      </c>
      <c r="D503" s="54">
        <v>420.99709999999999</v>
      </c>
      <c r="E503" s="54">
        <v>19370875</v>
      </c>
      <c r="F503" s="54" t="s">
        <v>1321</v>
      </c>
      <c r="G503" s="25">
        <f t="shared" si="6"/>
        <v>-1.6729806452348561E-2</v>
      </c>
    </row>
    <row r="504" spans="1:7">
      <c r="A504" s="54">
        <v>416.49970000000002</v>
      </c>
      <c r="B504" s="54">
        <v>419.2833</v>
      </c>
      <c r="C504" s="54">
        <v>415.14749999999998</v>
      </c>
      <c r="D504" s="54">
        <v>415.78649999999999</v>
      </c>
      <c r="E504" s="54">
        <v>16502264</v>
      </c>
      <c r="F504" s="54" t="s">
        <v>1322</v>
      </c>
      <c r="G504" s="25">
        <f t="shared" si="6"/>
        <v>1.7153034069168349E-3</v>
      </c>
    </row>
    <row r="505" spans="1:7">
      <c r="A505" s="54">
        <v>417.48039999999997</v>
      </c>
      <c r="B505" s="54">
        <v>418.41160000000002</v>
      </c>
      <c r="C505" s="54">
        <v>413.91419999999999</v>
      </c>
      <c r="D505" s="54">
        <v>416.16289999999998</v>
      </c>
      <c r="E505" s="54">
        <v>17911992</v>
      </c>
      <c r="F505" s="54" t="s">
        <v>1323</v>
      </c>
      <c r="G505" s="25">
        <f t="shared" si="6"/>
        <v>3.1658276122161766E-3</v>
      </c>
    </row>
    <row r="506" spans="1:7">
      <c r="A506" s="54">
        <v>420.58100000000002</v>
      </c>
      <c r="B506" s="54">
        <v>423.8698</v>
      </c>
      <c r="C506" s="54">
        <v>418.25310000000002</v>
      </c>
      <c r="D506" s="54">
        <v>419.96679999999998</v>
      </c>
      <c r="E506" s="54">
        <v>16315961</v>
      </c>
      <c r="F506" s="54" t="s">
        <v>1324</v>
      </c>
      <c r="G506" s="25">
        <f t="shared" si="6"/>
        <v>1.4624965592520134E-3</v>
      </c>
    </row>
    <row r="507" spans="1:7">
      <c r="A507" s="54">
        <v>416.7672</v>
      </c>
      <c r="B507" s="54">
        <v>417.90640000000002</v>
      </c>
      <c r="C507" s="54">
        <v>415.18220000000002</v>
      </c>
      <c r="D507" s="54">
        <v>417.00490000000002</v>
      </c>
      <c r="E507" s="54">
        <v>21871161</v>
      </c>
      <c r="F507" s="54" t="s">
        <v>1325</v>
      </c>
      <c r="G507" s="25">
        <f t="shared" si="6"/>
        <v>-5.7001728277061847E-4</v>
      </c>
    </row>
    <row r="508" spans="1:7">
      <c r="A508" s="54">
        <v>417.47050000000002</v>
      </c>
      <c r="B508" s="54">
        <v>420.46210000000002</v>
      </c>
      <c r="C508" s="54">
        <v>415.07319999999999</v>
      </c>
      <c r="D508" s="54">
        <v>420.4522</v>
      </c>
      <c r="E508" s="54">
        <v>16704978</v>
      </c>
      <c r="F508" s="54" t="s">
        <v>1326</v>
      </c>
      <c r="G508" s="25">
        <f t="shared" si="6"/>
        <v>-7.0916503707199041E-3</v>
      </c>
    </row>
    <row r="509" spans="1:7">
      <c r="A509" s="54">
        <v>417.6884</v>
      </c>
      <c r="B509" s="54">
        <v>421.98770000000002</v>
      </c>
      <c r="C509" s="54">
        <v>417.3913</v>
      </c>
      <c r="D509" s="54">
        <v>421.6112</v>
      </c>
      <c r="E509" s="54">
        <v>16725647</v>
      </c>
      <c r="F509" s="54" t="s">
        <v>1327</v>
      </c>
      <c r="G509" s="25">
        <f t="shared" si="6"/>
        <v>-9.3043069064578932E-3</v>
      </c>
    </row>
    <row r="510" spans="1:7">
      <c r="A510" s="54">
        <v>418.88709999999998</v>
      </c>
      <c r="B510" s="54">
        <v>423.39429999999999</v>
      </c>
      <c r="C510" s="54">
        <v>417.64879999999999</v>
      </c>
      <c r="D510" s="54">
        <v>421.24470000000002</v>
      </c>
      <c r="E510" s="54">
        <v>18060450</v>
      </c>
      <c r="F510" s="54" t="s">
        <v>1328</v>
      </c>
      <c r="G510" s="25">
        <f t="shared" si="6"/>
        <v>-5.5967469739086617E-3</v>
      </c>
    </row>
    <row r="511" spans="1:7">
      <c r="A511" s="54">
        <v>424.71179999999998</v>
      </c>
      <c r="B511" s="54">
        <v>425.82130000000001</v>
      </c>
      <c r="C511" s="54">
        <v>422.06689999999998</v>
      </c>
      <c r="D511" s="54">
        <v>425.6628</v>
      </c>
      <c r="E511" s="54">
        <v>17648473</v>
      </c>
      <c r="F511" s="54" t="s">
        <v>1329</v>
      </c>
      <c r="G511" s="25">
        <f t="shared" si="6"/>
        <v>-2.2341628162010352E-3</v>
      </c>
    </row>
    <row r="512" spans="1:7">
      <c r="A512" s="54">
        <v>425.33589999999998</v>
      </c>
      <c r="B512" s="54">
        <v>426.77229999999997</v>
      </c>
      <c r="C512" s="54">
        <v>423.14670000000001</v>
      </c>
      <c r="D512" s="54">
        <v>425.79160000000002</v>
      </c>
      <c r="E512" s="54">
        <v>21296222</v>
      </c>
      <c r="F512" s="54" t="s">
        <v>1330</v>
      </c>
      <c r="G512" s="25">
        <f t="shared" si="6"/>
        <v>-1.0702418741939113E-3</v>
      </c>
    </row>
    <row r="513" spans="1:7">
      <c r="A513" s="54">
        <v>421.23480000000001</v>
      </c>
      <c r="B513" s="54">
        <v>421.95800000000003</v>
      </c>
      <c r="C513" s="54">
        <v>416.70769999999999</v>
      </c>
      <c r="D513" s="54">
        <v>418.03519999999997</v>
      </c>
      <c r="E513" s="54">
        <v>17860085</v>
      </c>
      <c r="F513" s="54" t="s">
        <v>1331</v>
      </c>
      <c r="G513" s="25">
        <f t="shared" si="6"/>
        <v>7.6539009155209836E-3</v>
      </c>
    </row>
    <row r="514" spans="1:7">
      <c r="A514" s="54">
        <v>417.45069999999998</v>
      </c>
      <c r="B514" s="54">
        <v>417.70389999999998</v>
      </c>
      <c r="C514" s="54">
        <v>411.64580000000001</v>
      </c>
      <c r="D514" s="54">
        <v>413.90429999999998</v>
      </c>
      <c r="E514" s="54">
        <v>19837915</v>
      </c>
      <c r="F514" s="54" t="s">
        <v>1332</v>
      </c>
      <c r="G514" s="25">
        <f t="shared" si="6"/>
        <v>8.5681641867456637E-3</v>
      </c>
    </row>
    <row r="515" spans="1:7">
      <c r="A515" s="54">
        <v>413.39909999999998</v>
      </c>
      <c r="B515" s="54">
        <v>416.77710000000002</v>
      </c>
      <c r="C515" s="54">
        <v>409.89240000000001</v>
      </c>
      <c r="D515" s="54">
        <v>410.358</v>
      </c>
      <c r="E515" s="54">
        <v>20105977</v>
      </c>
      <c r="F515" s="54" t="s">
        <v>1333</v>
      </c>
      <c r="G515" s="25">
        <f t="shared" si="6"/>
        <v>7.4108461392246028E-3</v>
      </c>
    </row>
    <row r="516" spans="1:7">
      <c r="A516" s="54">
        <v>412.50760000000002</v>
      </c>
      <c r="B516" s="54">
        <v>418.62950000000001</v>
      </c>
      <c r="C516" s="54">
        <v>408.9117</v>
      </c>
      <c r="D516" s="54">
        <v>415.35059999999999</v>
      </c>
      <c r="E516" s="54">
        <v>45079903</v>
      </c>
      <c r="F516" s="54" t="s">
        <v>1334</v>
      </c>
      <c r="G516" s="25">
        <f t="shared" si="6"/>
        <v>-6.8448197739451322E-3</v>
      </c>
    </row>
    <row r="517" spans="1:7">
      <c r="A517" s="54">
        <v>421.22489999999999</v>
      </c>
      <c r="B517" s="54">
        <v>423.8005</v>
      </c>
      <c r="C517" s="54">
        <v>414.06279999999998</v>
      </c>
      <c r="D517" s="54">
        <v>416.29169999999999</v>
      </c>
      <c r="E517" s="54">
        <v>34157299</v>
      </c>
      <c r="F517" s="54" t="s">
        <v>1335</v>
      </c>
      <c r="G517" s="25">
        <f t="shared" si="6"/>
        <v>1.1850344361898246E-2</v>
      </c>
    </row>
    <row r="518" spans="1:7">
      <c r="A518" s="54">
        <v>411.2</v>
      </c>
      <c r="B518" s="54">
        <v>414.25099999999998</v>
      </c>
      <c r="C518" s="54">
        <v>407.58429999999998</v>
      </c>
      <c r="D518" s="54">
        <v>414.17180000000002</v>
      </c>
      <c r="E518" s="54">
        <v>17115931</v>
      </c>
      <c r="F518" s="54" t="s">
        <v>1336</v>
      </c>
      <c r="G518" s="25">
        <f t="shared" si="6"/>
        <v>-7.1752833003116967E-3</v>
      </c>
    </row>
    <row r="519" spans="1:7">
      <c r="A519" s="54">
        <v>411.37830000000002</v>
      </c>
      <c r="B519" s="54">
        <v>411.66559999999998</v>
      </c>
      <c r="C519" s="54">
        <v>402.96809999999999</v>
      </c>
      <c r="D519" s="54">
        <v>403.7903</v>
      </c>
      <c r="E519" s="54">
        <v>22457003</v>
      </c>
      <c r="F519" s="54" t="s">
        <v>1337</v>
      </c>
      <c r="G519" s="25">
        <f t="shared" si="6"/>
        <v>1.8791932347062446E-2</v>
      </c>
    </row>
    <row r="520" spans="1:7">
      <c r="A520" s="54">
        <v>400.71940000000001</v>
      </c>
      <c r="B520" s="54">
        <v>401.86849999999998</v>
      </c>
      <c r="C520" s="54">
        <v>397.49</v>
      </c>
      <c r="D520" s="54">
        <v>399.96850000000001</v>
      </c>
      <c r="E520" s="54">
        <v>16120752</v>
      </c>
      <c r="F520" s="54" t="s">
        <v>1338</v>
      </c>
      <c r="G520" s="25">
        <f t="shared" si="6"/>
        <v>1.8773978450803419E-3</v>
      </c>
    </row>
    <row r="521" spans="1:7">
      <c r="A521" s="54">
        <v>402.40339999999998</v>
      </c>
      <c r="B521" s="54">
        <v>406.56400000000002</v>
      </c>
      <c r="C521" s="54">
        <v>400.53120000000001</v>
      </c>
      <c r="D521" s="54">
        <v>404.12709999999998</v>
      </c>
      <c r="E521" s="54">
        <v>18002186</v>
      </c>
      <c r="F521" s="54" t="s">
        <v>1339</v>
      </c>
      <c r="G521" s="25">
        <f t="shared" si="6"/>
        <v>-4.2652422962974335E-3</v>
      </c>
    </row>
    <row r="522" spans="1:7">
      <c r="A522" s="54">
        <v>405.29599999999999</v>
      </c>
      <c r="B522" s="54">
        <v>405.93</v>
      </c>
      <c r="C522" s="54">
        <v>398.46080000000001</v>
      </c>
      <c r="D522" s="54">
        <v>402.30439999999999</v>
      </c>
      <c r="E522" s="54">
        <v>18718479</v>
      </c>
      <c r="F522" s="54" t="s">
        <v>1340</v>
      </c>
      <c r="G522" s="25">
        <f t="shared" si="6"/>
        <v>7.4361602806234384E-3</v>
      </c>
    </row>
    <row r="523" spans="1:7">
      <c r="A523" s="54">
        <v>398.31220000000002</v>
      </c>
      <c r="B523" s="54">
        <v>401.35340000000002</v>
      </c>
      <c r="C523" s="54">
        <v>394.64699999999999</v>
      </c>
      <c r="D523" s="54">
        <v>399.18400000000003</v>
      </c>
      <c r="E523" s="54">
        <v>22344149</v>
      </c>
      <c r="F523" s="54" t="s">
        <v>1341</v>
      </c>
      <c r="G523" s="25">
        <f t="shared" si="6"/>
        <v>-2.1839552687482611E-3</v>
      </c>
    </row>
    <row r="524" spans="1:7">
      <c r="A524" s="54">
        <v>398.86700000000002</v>
      </c>
      <c r="B524" s="54">
        <v>410.358</v>
      </c>
      <c r="C524" s="54">
        <v>396.87580000000003</v>
      </c>
      <c r="D524" s="54">
        <v>410.07069999999999</v>
      </c>
      <c r="E524" s="54">
        <v>26919177</v>
      </c>
      <c r="F524" s="54" t="s">
        <v>1342</v>
      </c>
      <c r="G524" s="25">
        <f t="shared" si="6"/>
        <v>-2.7321386287779137E-2</v>
      </c>
    </row>
    <row r="525" spans="1:7">
      <c r="A525" s="54">
        <v>411.02170000000001</v>
      </c>
      <c r="B525" s="54">
        <v>413.42880000000002</v>
      </c>
      <c r="C525" s="54">
        <v>408.4461</v>
      </c>
      <c r="D525" s="54">
        <v>409.55560000000003</v>
      </c>
      <c r="E525" s="54">
        <v>17595956</v>
      </c>
      <c r="F525" s="54" t="s">
        <v>1343</v>
      </c>
      <c r="G525" s="25">
        <f t="shared" si="6"/>
        <v>3.579733740669111E-3</v>
      </c>
    </row>
    <row r="526" spans="1:7">
      <c r="A526" s="54">
        <v>411.59620000000001</v>
      </c>
      <c r="B526" s="54">
        <v>411.96280000000002</v>
      </c>
      <c r="C526" s="54">
        <v>407.01960000000003</v>
      </c>
      <c r="D526" s="54">
        <v>407.40600000000001</v>
      </c>
      <c r="E526" s="54">
        <v>17823445</v>
      </c>
      <c r="F526" s="54" t="s">
        <v>1344</v>
      </c>
      <c r="G526" s="25">
        <f t="shared" si="6"/>
        <v>1.0285071893884723E-2</v>
      </c>
    </row>
    <row r="527" spans="1:7">
      <c r="A527" s="54">
        <v>409.75369999999998</v>
      </c>
      <c r="B527" s="54">
        <v>410.30840000000001</v>
      </c>
      <c r="C527" s="54">
        <v>402.1062</v>
      </c>
      <c r="D527" s="54">
        <v>404.80070000000001</v>
      </c>
      <c r="E527" s="54">
        <v>31947263</v>
      </c>
      <c r="F527" s="54" t="s">
        <v>1345</v>
      </c>
      <c r="G527" s="25">
        <f t="shared" si="6"/>
        <v>1.2235650778271712E-2</v>
      </c>
    </row>
    <row r="528" spans="1:7">
      <c r="A528" s="54">
        <v>403.88929999999999</v>
      </c>
      <c r="B528" s="54">
        <v>405.4545</v>
      </c>
      <c r="C528" s="54">
        <v>401.512</v>
      </c>
      <c r="D528" s="54">
        <v>404.34</v>
      </c>
      <c r="E528" s="54">
        <v>13183125</v>
      </c>
      <c r="F528" s="54" t="s">
        <v>1346</v>
      </c>
      <c r="G528" s="25">
        <f t="shared" si="6"/>
        <v>-1.1146559825888636E-3</v>
      </c>
    </row>
    <row r="529" spans="1:7">
      <c r="A529" s="54">
        <v>403.65159999999997</v>
      </c>
      <c r="B529" s="54">
        <v>404.4837</v>
      </c>
      <c r="C529" s="54">
        <v>400.0557</v>
      </c>
      <c r="D529" s="54">
        <v>404.15679999999998</v>
      </c>
      <c r="E529" s="54">
        <v>14835827</v>
      </c>
      <c r="F529" s="54" t="s">
        <v>1347</v>
      </c>
      <c r="G529" s="25">
        <f t="shared" si="6"/>
        <v>-1.2500098971488516E-3</v>
      </c>
    </row>
    <row r="530" spans="1:7">
      <c r="A530" s="54">
        <v>403.71100000000001</v>
      </c>
      <c r="B530" s="54">
        <v>408.2876</v>
      </c>
      <c r="C530" s="54">
        <v>403.53269999999998</v>
      </c>
      <c r="D530" s="54">
        <v>407.58920000000001</v>
      </c>
      <c r="E530" s="54">
        <v>16193505</v>
      </c>
      <c r="F530" s="54" t="s">
        <v>1348</v>
      </c>
      <c r="G530" s="25">
        <f t="shared" si="6"/>
        <v>-9.5149724281212711E-3</v>
      </c>
    </row>
    <row r="531" spans="1:7">
      <c r="A531" s="54">
        <v>406.48469999999998</v>
      </c>
      <c r="B531" s="54">
        <v>411.95280000000002</v>
      </c>
      <c r="C531" s="54">
        <v>405.12759999999997</v>
      </c>
      <c r="D531" s="54">
        <v>411.76459999999997</v>
      </c>
      <c r="E531" s="54">
        <v>16295879</v>
      </c>
      <c r="F531" s="54" t="s">
        <v>1349</v>
      </c>
      <c r="G531" s="25">
        <f t="shared" si="6"/>
        <v>-1.2822617582958773E-2</v>
      </c>
    </row>
    <row r="532" spans="1:7">
      <c r="A532" s="54">
        <v>407.7824</v>
      </c>
      <c r="B532" s="54">
        <v>408.9513</v>
      </c>
      <c r="C532" s="54">
        <v>404.73129999999998</v>
      </c>
      <c r="D532" s="54">
        <v>406.33609999999999</v>
      </c>
      <c r="E532" s="54">
        <v>27009869</v>
      </c>
      <c r="F532" s="54" t="s">
        <v>1350</v>
      </c>
      <c r="G532" s="25">
        <f t="shared" si="6"/>
        <v>3.5593687097947857E-3</v>
      </c>
    </row>
    <row r="533" spans="1:7">
      <c r="A533" s="54">
        <v>398.40140000000002</v>
      </c>
      <c r="B533" s="54">
        <v>398.51029999999997</v>
      </c>
      <c r="C533" s="54">
        <v>393.488</v>
      </c>
      <c r="D533" s="54">
        <v>396.41030000000001</v>
      </c>
      <c r="E533" s="54">
        <v>18631072</v>
      </c>
      <c r="F533" s="54" t="s">
        <v>1351</v>
      </c>
      <c r="G533" s="25">
        <f t="shared" si="6"/>
        <v>5.0228260971019179E-3</v>
      </c>
    </row>
    <row r="534" spans="1:7">
      <c r="A534" s="54">
        <v>399.00560000000002</v>
      </c>
      <c r="B534" s="54">
        <v>400.68970000000002</v>
      </c>
      <c r="C534" s="54">
        <v>394.2706</v>
      </c>
      <c r="D534" s="54">
        <v>399.45139999999998</v>
      </c>
      <c r="E534" s="54">
        <v>24307915</v>
      </c>
      <c r="F534" s="54" t="s">
        <v>1352</v>
      </c>
      <c r="G534" s="25">
        <f t="shared" si="6"/>
        <v>-1.1160306360171734E-3</v>
      </c>
    </row>
    <row r="535" spans="1:7">
      <c r="A535" s="54">
        <v>400.26369999999997</v>
      </c>
      <c r="B535" s="54">
        <v>404.45400000000001</v>
      </c>
      <c r="C535" s="54">
        <v>399.64949999999999</v>
      </c>
      <c r="D535" s="54">
        <v>404.12709999999998</v>
      </c>
      <c r="E535" s="54">
        <v>22296495</v>
      </c>
      <c r="F535" s="54" t="s">
        <v>1353</v>
      </c>
      <c r="G535" s="25">
        <f t="shared" si="6"/>
        <v>-9.5598637161428135E-3</v>
      </c>
    </row>
    <row r="536" spans="1:7">
      <c r="A536" s="54">
        <v>402.74020000000002</v>
      </c>
      <c r="B536" s="54">
        <v>405.28609999999998</v>
      </c>
      <c r="C536" s="54">
        <v>400.49149999999997</v>
      </c>
      <c r="D536" s="54">
        <v>404.30540000000002</v>
      </c>
      <c r="E536" s="54">
        <v>21825525</v>
      </c>
      <c r="F536" s="54" t="s">
        <v>1354</v>
      </c>
      <c r="G536" s="25">
        <f t="shared" ref="G536:G599" si="7">A536/D536-1</f>
        <v>-3.8713309295399512E-3</v>
      </c>
    </row>
    <row r="537" spans="1:7">
      <c r="A537" s="54">
        <v>405.64269999999999</v>
      </c>
      <c r="B537" s="54">
        <v>405.98939999999999</v>
      </c>
      <c r="C537" s="54">
        <v>400.76889999999997</v>
      </c>
      <c r="D537" s="54">
        <v>404.23599999999999</v>
      </c>
      <c r="E537" s="54">
        <v>20401190</v>
      </c>
      <c r="F537" s="54" t="s">
        <v>1355</v>
      </c>
      <c r="G537" s="25">
        <f t="shared" si="7"/>
        <v>3.4798978814356563E-3</v>
      </c>
    </row>
    <row r="538" spans="1:7">
      <c r="A538" s="54">
        <v>401.7595</v>
      </c>
      <c r="B538" s="54">
        <v>405.46839999999997</v>
      </c>
      <c r="C538" s="54">
        <v>398.86239999999998</v>
      </c>
      <c r="D538" s="54">
        <v>400.39499999999998</v>
      </c>
      <c r="E538" s="54">
        <v>27824936</v>
      </c>
      <c r="F538" s="54" t="s">
        <v>1356</v>
      </c>
      <c r="G538" s="25">
        <f t="shared" si="7"/>
        <v>3.4078847138452328E-3</v>
      </c>
    </row>
    <row r="539" spans="1:7">
      <c r="A539" s="54">
        <v>410.5992</v>
      </c>
      <c r="B539" s="54">
        <v>416.01769999999999</v>
      </c>
      <c r="C539" s="54">
        <v>410.0949</v>
      </c>
      <c r="D539" s="54">
        <v>415.83479999999997</v>
      </c>
      <c r="E539" s="54">
        <v>21202921</v>
      </c>
      <c r="F539" s="54" t="s">
        <v>1357</v>
      </c>
      <c r="G539" s="25">
        <f t="shared" si="7"/>
        <v>-1.2590576834839218E-2</v>
      </c>
    </row>
    <row r="540" spans="1:7">
      <c r="A540" s="54">
        <v>415.82979999999998</v>
      </c>
      <c r="B540" s="54">
        <v>416.09679999999997</v>
      </c>
      <c r="C540" s="54">
        <v>410.43110000000001</v>
      </c>
      <c r="D540" s="54">
        <v>410.58929999999998</v>
      </c>
      <c r="E540" s="54">
        <v>22032844</v>
      </c>
      <c r="F540" s="54" t="s">
        <v>1358</v>
      </c>
      <c r="G540" s="25">
        <f t="shared" si="7"/>
        <v>1.2763362318501725E-2</v>
      </c>
    </row>
    <row r="541" spans="1:7">
      <c r="A541" s="54">
        <v>409.46210000000002</v>
      </c>
      <c r="B541" s="54">
        <v>410.89580000000001</v>
      </c>
      <c r="C541" s="54">
        <v>407.89980000000003</v>
      </c>
      <c r="D541" s="54">
        <v>409.40280000000001</v>
      </c>
      <c r="E541" s="54">
        <v>21225257</v>
      </c>
      <c r="F541" s="54" t="s">
        <v>1359</v>
      </c>
      <c r="G541" s="25">
        <f t="shared" si="7"/>
        <v>1.4484512563184282E-4</v>
      </c>
    </row>
    <row r="542" spans="1:7">
      <c r="A542" s="54">
        <v>409.40280000000001</v>
      </c>
      <c r="B542" s="54">
        <v>409.65</v>
      </c>
      <c r="C542" s="54">
        <v>402.82740000000001</v>
      </c>
      <c r="D542" s="54">
        <v>402.86700000000002</v>
      </c>
      <c r="E542" s="54">
        <v>22340526</v>
      </c>
      <c r="F542" s="54" t="s">
        <v>1360</v>
      </c>
      <c r="G542" s="25">
        <f t="shared" si="7"/>
        <v>1.6223220070147315E-2</v>
      </c>
    </row>
    <row r="543" spans="1:7">
      <c r="A543" s="54">
        <v>400.93880000000001</v>
      </c>
      <c r="B543" s="54">
        <v>403.39100000000002</v>
      </c>
      <c r="C543" s="54">
        <v>398.38780000000003</v>
      </c>
      <c r="D543" s="54">
        <v>401.3245</v>
      </c>
      <c r="E543" s="54">
        <v>18382624</v>
      </c>
      <c r="F543" s="54" t="s">
        <v>1361</v>
      </c>
      <c r="G543" s="25">
        <f t="shared" si="7"/>
        <v>-9.6106766469528093E-4</v>
      </c>
    </row>
    <row r="544" spans="1:7">
      <c r="A544" s="54">
        <v>401.09699999999998</v>
      </c>
      <c r="B544" s="54">
        <v>406.54520000000002</v>
      </c>
      <c r="C544" s="54">
        <v>399.45569999999998</v>
      </c>
      <c r="D544" s="54">
        <v>405.29930000000002</v>
      </c>
      <c r="E544" s="54">
        <v>25352286</v>
      </c>
      <c r="F544" s="54" t="s">
        <v>1362</v>
      </c>
      <c r="G544" s="25">
        <f t="shared" si="7"/>
        <v>-1.036838701670606E-2</v>
      </c>
    </row>
    <row r="545" spans="1:7">
      <c r="A545" s="54">
        <v>406.60449999999997</v>
      </c>
      <c r="B545" s="54">
        <v>408.01850000000002</v>
      </c>
      <c r="C545" s="54">
        <v>399.03050000000002</v>
      </c>
      <c r="D545" s="54">
        <v>399.27769999999998</v>
      </c>
      <c r="E545" s="54">
        <v>28256670</v>
      </c>
      <c r="F545" s="54" t="s">
        <v>1363</v>
      </c>
      <c r="G545" s="25">
        <f t="shared" si="7"/>
        <v>1.8350135757644326E-2</v>
      </c>
    </row>
    <row r="546" spans="1:7">
      <c r="A546" s="54">
        <v>399.24799999999999</v>
      </c>
      <c r="B546" s="54">
        <v>403.42070000000001</v>
      </c>
      <c r="C546" s="54">
        <v>397.2903</v>
      </c>
      <c r="D546" s="54">
        <v>397.31990000000002</v>
      </c>
      <c r="E546" s="54">
        <v>30657726</v>
      </c>
      <c r="F546" s="54" t="s">
        <v>1364</v>
      </c>
      <c r="G546" s="25">
        <f t="shared" si="7"/>
        <v>4.8527647369285276E-3</v>
      </c>
    </row>
    <row r="547" spans="1:7">
      <c r="A547" s="54">
        <v>393.11759999999998</v>
      </c>
      <c r="B547" s="54">
        <v>410.6585</v>
      </c>
      <c r="C547" s="54">
        <v>392.7518</v>
      </c>
      <c r="D547" s="54">
        <v>402.39229999999998</v>
      </c>
      <c r="E547" s="54">
        <v>47871097</v>
      </c>
      <c r="F547" s="54" t="s">
        <v>1365</v>
      </c>
      <c r="G547" s="25">
        <f t="shared" si="7"/>
        <v>-2.3048900289593055E-2</v>
      </c>
    </row>
    <row r="548" spans="1:7">
      <c r="A548" s="54">
        <v>404.00400000000002</v>
      </c>
      <c r="B548" s="54">
        <v>408.41399999999999</v>
      </c>
      <c r="C548" s="54">
        <v>401.88819999999998</v>
      </c>
      <c r="D548" s="54">
        <v>407.63290000000001</v>
      </c>
      <c r="E548" s="54">
        <v>33477610</v>
      </c>
      <c r="F548" s="54" t="s">
        <v>1366</v>
      </c>
      <c r="G548" s="25">
        <f t="shared" si="7"/>
        <v>-8.9023726985726359E-3</v>
      </c>
    </row>
    <row r="549" spans="1:7">
      <c r="A549" s="54">
        <v>405.12139999999999</v>
      </c>
      <c r="B549" s="54">
        <v>405.3784</v>
      </c>
      <c r="C549" s="54">
        <v>399.7919</v>
      </c>
      <c r="D549" s="54">
        <v>401.50240000000002</v>
      </c>
      <c r="E549" s="54">
        <v>24510236</v>
      </c>
      <c r="F549" s="54" t="s">
        <v>1367</v>
      </c>
      <c r="G549" s="25">
        <f t="shared" si="7"/>
        <v>9.0136447503177397E-3</v>
      </c>
    </row>
    <row r="550" spans="1:7">
      <c r="A550" s="54">
        <v>399.3963</v>
      </c>
      <c r="B550" s="54">
        <v>401.6112</v>
      </c>
      <c r="C550" s="54">
        <v>397.91320000000002</v>
      </c>
      <c r="D550" s="54">
        <v>399.83139999999997</v>
      </c>
      <c r="E550" s="54">
        <v>17803271</v>
      </c>
      <c r="F550" s="54" t="s">
        <v>1368</v>
      </c>
      <c r="G550" s="25">
        <f t="shared" si="7"/>
        <v>-1.0882086799585133E-3</v>
      </c>
    </row>
    <row r="551" spans="1:7">
      <c r="A551" s="54">
        <v>400.32580000000002</v>
      </c>
      <c r="B551" s="54">
        <v>402.4418</v>
      </c>
      <c r="C551" s="54">
        <v>398.01150000000001</v>
      </c>
      <c r="D551" s="54">
        <v>399.78199999999998</v>
      </c>
      <c r="E551" s="54">
        <v>21021155</v>
      </c>
      <c r="F551" s="54" t="s">
        <v>1369</v>
      </c>
      <c r="G551" s="25">
        <f t="shared" si="7"/>
        <v>1.3602413315256801E-3</v>
      </c>
    </row>
    <row r="552" spans="1:7">
      <c r="A552" s="54">
        <v>398.04169999999999</v>
      </c>
      <c r="B552" s="54">
        <v>401.07729999999998</v>
      </c>
      <c r="C552" s="54">
        <v>395.9554</v>
      </c>
      <c r="D552" s="54">
        <v>397.03320000000002</v>
      </c>
      <c r="E552" s="54">
        <v>24866953</v>
      </c>
      <c r="F552" s="54" t="s">
        <v>1370</v>
      </c>
      <c r="G552" s="25">
        <f t="shared" si="7"/>
        <v>2.5400898463905364E-3</v>
      </c>
    </row>
    <row r="553" spans="1:7">
      <c r="A553" s="54">
        <v>394.4228</v>
      </c>
      <c r="B553" s="54">
        <v>394.8974</v>
      </c>
      <c r="C553" s="54">
        <v>389.5086</v>
      </c>
      <c r="D553" s="54">
        <v>391.3082</v>
      </c>
      <c r="E553" s="54">
        <v>20525882</v>
      </c>
      <c r="F553" s="54" t="s">
        <v>1371</v>
      </c>
      <c r="G553" s="25">
        <f t="shared" si="7"/>
        <v>7.9594549769210765E-3</v>
      </c>
    </row>
    <row r="554" spans="1:7">
      <c r="A554" s="54">
        <v>392.05959999999999</v>
      </c>
      <c r="B554" s="54">
        <v>396.12349999999998</v>
      </c>
      <c r="C554" s="54">
        <v>389.17239999999998</v>
      </c>
      <c r="D554" s="54">
        <v>395.53019999999998</v>
      </c>
      <c r="E554" s="54">
        <v>27016902</v>
      </c>
      <c r="F554" s="54" t="s">
        <v>1372</v>
      </c>
      <c r="G554" s="25">
        <f t="shared" si="7"/>
        <v>-8.7745512226373723E-3</v>
      </c>
    </row>
    <row r="555" spans="1:7">
      <c r="A555" s="54">
        <v>394.19540000000001</v>
      </c>
      <c r="B555" s="54">
        <v>394.19540000000001</v>
      </c>
      <c r="C555" s="54">
        <v>389.08339999999998</v>
      </c>
      <c r="D555" s="54">
        <v>391.31799999999998</v>
      </c>
      <c r="E555" s="54">
        <v>29331136</v>
      </c>
      <c r="F555" s="54" t="s">
        <v>1373</v>
      </c>
      <c r="G555" s="25">
        <f t="shared" si="7"/>
        <v>7.3530990141010832E-3</v>
      </c>
    </row>
    <row r="556" spans="1:7">
      <c r="A556" s="54">
        <v>389.44929999999999</v>
      </c>
      <c r="B556" s="54">
        <v>389.56790000000001</v>
      </c>
      <c r="C556" s="54">
        <v>385.74130000000002</v>
      </c>
      <c r="D556" s="54">
        <v>387.32339999999999</v>
      </c>
      <c r="E556" s="54">
        <v>23392068</v>
      </c>
      <c r="F556" s="54" t="s">
        <v>1374</v>
      </c>
      <c r="G556" s="25">
        <f t="shared" si="7"/>
        <v>5.4886949768591098E-3</v>
      </c>
    </row>
    <row r="557" spans="1:7">
      <c r="A557" s="54">
        <v>385.09859999999998</v>
      </c>
      <c r="B557" s="54">
        <v>385.73149999999998</v>
      </c>
      <c r="C557" s="54">
        <v>380.49090000000001</v>
      </c>
      <c r="D557" s="54">
        <v>383.62540000000001</v>
      </c>
      <c r="E557" s="54">
        <v>22234108</v>
      </c>
      <c r="F557" s="54" t="s">
        <v>1375</v>
      </c>
      <c r="G557" s="25">
        <f t="shared" si="7"/>
        <v>3.8402045328593815E-3</v>
      </c>
    </row>
    <row r="558" spans="1:7">
      <c r="A558" s="54">
        <v>385.8897</v>
      </c>
      <c r="B558" s="54">
        <v>389.60750000000002</v>
      </c>
      <c r="C558" s="54">
        <v>383.27229999999997</v>
      </c>
      <c r="D558" s="54">
        <v>389.24160000000001</v>
      </c>
      <c r="E558" s="54">
        <v>27202268</v>
      </c>
      <c r="F558" s="54" t="s">
        <v>1376</v>
      </c>
      <c r="G558" s="25">
        <f t="shared" si="7"/>
        <v>-8.6113611700291415E-3</v>
      </c>
    </row>
    <row r="559" spans="1:7">
      <c r="A559" s="54">
        <v>384.10989999999998</v>
      </c>
      <c r="B559" s="54">
        <v>384.3175</v>
      </c>
      <c r="C559" s="54">
        <v>380.33269999999999</v>
      </c>
      <c r="D559" s="54">
        <v>381.16329999999999</v>
      </c>
      <c r="E559" s="54">
        <v>21661153</v>
      </c>
      <c r="F559" s="54" t="s">
        <v>1377</v>
      </c>
      <c r="G559" s="25">
        <f t="shared" si="7"/>
        <v>7.7305448871913818E-3</v>
      </c>
    </row>
    <row r="560" spans="1:7">
      <c r="A560" s="54">
        <v>380.31299999999999</v>
      </c>
      <c r="B560" s="54">
        <v>386.29509999999999</v>
      </c>
      <c r="C560" s="54">
        <v>376.11070000000001</v>
      </c>
      <c r="D560" s="54">
        <v>381.66759999999999</v>
      </c>
      <c r="E560" s="54">
        <v>27850846</v>
      </c>
      <c r="F560" s="54" t="s">
        <v>1378</v>
      </c>
      <c r="G560" s="25">
        <f t="shared" si="7"/>
        <v>-3.5491616265043158E-3</v>
      </c>
    </row>
    <row r="561" spans="1:7">
      <c r="A561" s="54">
        <v>378.47379999999998</v>
      </c>
      <c r="B561" s="54">
        <v>379.85809999999998</v>
      </c>
      <c r="C561" s="54">
        <v>372.09620000000001</v>
      </c>
      <c r="D561" s="54">
        <v>372.14569999999998</v>
      </c>
      <c r="E561" s="54">
        <v>25514245</v>
      </c>
      <c r="F561" s="54" t="s">
        <v>1379</v>
      </c>
      <c r="G561" s="25">
        <f t="shared" si="7"/>
        <v>1.700436146380313E-2</v>
      </c>
    </row>
    <row r="562" spans="1:7">
      <c r="A562" s="54">
        <v>371.57220000000001</v>
      </c>
      <c r="B562" s="54">
        <v>371.76990000000001</v>
      </c>
      <c r="C562" s="54">
        <v>367.02379999999999</v>
      </c>
      <c r="D562" s="54">
        <v>367.83460000000002</v>
      </c>
      <c r="E562" s="54">
        <v>20829953</v>
      </c>
      <c r="F562" s="54" t="s">
        <v>1380</v>
      </c>
      <c r="G562" s="25">
        <f t="shared" si="7"/>
        <v>1.0161088706717614E-2</v>
      </c>
    </row>
    <row r="563" spans="1:7">
      <c r="A563" s="54">
        <v>370.48450000000003</v>
      </c>
      <c r="B563" s="54">
        <v>370.98880000000003</v>
      </c>
      <c r="C563" s="54">
        <v>364.86829999999998</v>
      </c>
      <c r="D563" s="54">
        <v>365.15499999999997</v>
      </c>
      <c r="E563" s="54">
        <v>23133967</v>
      </c>
      <c r="F563" s="54" t="s">
        <v>1381</v>
      </c>
      <c r="G563" s="25">
        <f t="shared" si="7"/>
        <v>1.4595171913297289E-2</v>
      </c>
    </row>
    <row r="564" spans="1:7">
      <c r="A564" s="54">
        <v>363.62240000000003</v>
      </c>
      <c r="B564" s="54">
        <v>367.88409999999999</v>
      </c>
      <c r="C564" s="54">
        <v>362.38650000000001</v>
      </c>
      <c r="D564" s="54">
        <v>364.82870000000003</v>
      </c>
      <c r="E564" s="54">
        <v>21004575</v>
      </c>
      <c r="F564" s="54" t="s">
        <v>1382</v>
      </c>
      <c r="G564" s="25">
        <f t="shared" si="7"/>
        <v>-3.3064832892807372E-3</v>
      </c>
    </row>
    <row r="565" spans="1:7">
      <c r="A565" s="54">
        <v>363.81029999999998</v>
      </c>
      <c r="B565" s="54">
        <v>368.91239999999999</v>
      </c>
      <c r="C565" s="54">
        <v>363.0489</v>
      </c>
      <c r="D565" s="54">
        <v>366.50470000000001</v>
      </c>
      <c r="E565" s="54">
        <v>20901502</v>
      </c>
      <c r="F565" s="54" t="s">
        <v>1383</v>
      </c>
      <c r="G565" s="25">
        <f t="shared" si="7"/>
        <v>-7.351611043460049E-3</v>
      </c>
    </row>
    <row r="566" spans="1:7">
      <c r="A566" s="54">
        <v>366.44040000000001</v>
      </c>
      <c r="B566" s="54">
        <v>369.0668</v>
      </c>
      <c r="C566" s="54">
        <v>364.37389999999999</v>
      </c>
      <c r="D566" s="54">
        <v>364.86829999999998</v>
      </c>
      <c r="E566" s="54">
        <v>23083465</v>
      </c>
      <c r="F566" s="54" t="s">
        <v>1384</v>
      </c>
      <c r="G566" s="25">
        <f t="shared" si="7"/>
        <v>4.3086779531136266E-3</v>
      </c>
    </row>
    <row r="567" spans="1:7">
      <c r="A567" s="54">
        <v>366.70740000000001</v>
      </c>
      <c r="B567" s="54">
        <v>371.68099999999998</v>
      </c>
      <c r="C567" s="54">
        <v>362.65440000000001</v>
      </c>
      <c r="D567" s="54">
        <v>369.66379999999998</v>
      </c>
      <c r="E567" s="54">
        <v>25258633</v>
      </c>
      <c r="F567" s="54" t="s">
        <v>1385</v>
      </c>
      <c r="G567" s="25">
        <f t="shared" si="7"/>
        <v>-7.99753722165919E-3</v>
      </c>
    </row>
    <row r="568" spans="1:7">
      <c r="A568" s="54">
        <v>371.81939999999997</v>
      </c>
      <c r="B568" s="54">
        <v>372.92680000000001</v>
      </c>
      <c r="C568" s="54">
        <v>369.28809999999999</v>
      </c>
      <c r="D568" s="54">
        <v>371.77980000000002</v>
      </c>
      <c r="E568" s="54">
        <v>18730838</v>
      </c>
      <c r="F568" s="54" t="s">
        <v>1386</v>
      </c>
      <c r="G568" s="25">
        <f t="shared" si="7"/>
        <v>1.0651466271149879E-4</v>
      </c>
    </row>
    <row r="569" spans="1:7">
      <c r="A569" s="54">
        <v>371.06790000000001</v>
      </c>
      <c r="B569" s="54">
        <v>372.23270000000002</v>
      </c>
      <c r="C569" s="54">
        <v>369.96050000000002</v>
      </c>
      <c r="D569" s="54">
        <v>371.15690000000001</v>
      </c>
      <c r="E569" s="54">
        <v>14327013</v>
      </c>
      <c r="F569" s="54" t="s">
        <v>1387</v>
      </c>
      <c r="G569" s="25">
        <f t="shared" si="7"/>
        <v>-2.3979077312052954E-4</v>
      </c>
    </row>
    <row r="570" spans="1:7">
      <c r="A570" s="54">
        <v>369.87150000000003</v>
      </c>
      <c r="B570" s="54">
        <v>370.85039999999998</v>
      </c>
      <c r="C570" s="54">
        <v>368.62720000000002</v>
      </c>
      <c r="D570" s="54">
        <v>369.49579999999997</v>
      </c>
      <c r="E570" s="54">
        <v>14905412</v>
      </c>
      <c r="F570" s="54" t="s">
        <v>1388</v>
      </c>
      <c r="G570" s="25">
        <f t="shared" si="7"/>
        <v>1.0167909892346838E-3</v>
      </c>
    </row>
    <row r="571" spans="1:7">
      <c r="A571" s="54">
        <v>370.45490000000001</v>
      </c>
      <c r="B571" s="54">
        <v>372.70929999999998</v>
      </c>
      <c r="C571" s="54">
        <v>369.30790000000002</v>
      </c>
      <c r="D571" s="54">
        <v>370.79109999999997</v>
      </c>
      <c r="E571" s="54">
        <v>12673050</v>
      </c>
      <c r="F571" s="54" t="s">
        <v>1389</v>
      </c>
      <c r="G571" s="25">
        <f t="shared" si="7"/>
        <v>-9.0671000463593554E-4</v>
      </c>
    </row>
    <row r="572" spans="1:7">
      <c r="A572" s="54">
        <v>370.37580000000003</v>
      </c>
      <c r="B572" s="54">
        <v>370.96899999999999</v>
      </c>
      <c r="C572" s="54">
        <v>368.52679999999998</v>
      </c>
      <c r="D572" s="54">
        <v>369.48590000000002</v>
      </c>
      <c r="E572" s="54">
        <v>17107484</v>
      </c>
      <c r="F572" s="54" t="s">
        <v>1390</v>
      </c>
      <c r="G572" s="25">
        <f t="shared" si="7"/>
        <v>2.4084816227087913E-3</v>
      </c>
    </row>
    <row r="573" spans="1:7">
      <c r="A573" s="54">
        <v>369.34739999999999</v>
      </c>
      <c r="B573" s="54">
        <v>370.20769999999999</v>
      </c>
      <c r="C573" s="54">
        <v>365.88670000000002</v>
      </c>
      <c r="D573" s="54">
        <v>368.3784</v>
      </c>
      <c r="E573" s="54">
        <v>17708006</v>
      </c>
      <c r="F573" s="54" t="s">
        <v>1391</v>
      </c>
      <c r="G573" s="25">
        <f t="shared" si="7"/>
        <v>2.630447387794721E-3</v>
      </c>
    </row>
    <row r="574" spans="1:7">
      <c r="A574" s="54">
        <v>366.46019999999999</v>
      </c>
      <c r="B574" s="54">
        <v>371.80950000000001</v>
      </c>
      <c r="C574" s="54">
        <v>366.37119999999999</v>
      </c>
      <c r="D574" s="54">
        <v>370.79109999999997</v>
      </c>
      <c r="E574" s="54">
        <v>26316650</v>
      </c>
      <c r="F574" s="54" t="s">
        <v>1392</v>
      </c>
      <c r="G574" s="25">
        <f t="shared" si="7"/>
        <v>-1.1680161686728696E-2</v>
      </c>
    </row>
    <row r="575" spans="1:7">
      <c r="A575" s="54">
        <v>369.07060000000001</v>
      </c>
      <c r="B575" s="54">
        <v>369.07060000000001</v>
      </c>
      <c r="C575" s="54">
        <v>365.68900000000002</v>
      </c>
      <c r="D575" s="54">
        <v>367.32049999999998</v>
      </c>
      <c r="E575" s="54">
        <v>20603658</v>
      </c>
      <c r="F575" s="54" t="s">
        <v>1393</v>
      </c>
      <c r="G575" s="25">
        <f t="shared" si="7"/>
        <v>4.7645040230535063E-3</v>
      </c>
    </row>
    <row r="576" spans="1:7">
      <c r="A576" s="54">
        <v>368.4674</v>
      </c>
      <c r="B576" s="54">
        <v>368.81349999999998</v>
      </c>
      <c r="C576" s="54">
        <v>364.54199999999997</v>
      </c>
      <c r="D576" s="54">
        <v>365.30329999999998</v>
      </c>
      <c r="E576" s="54">
        <v>21802878</v>
      </c>
      <c r="F576" s="54" t="s">
        <v>1394</v>
      </c>
      <c r="G576" s="25">
        <f t="shared" si="7"/>
        <v>8.6615697148095805E-3</v>
      </c>
    </row>
    <row r="577" spans="1:7">
      <c r="A577" s="54">
        <v>366.56900000000002</v>
      </c>
      <c r="B577" s="54">
        <v>368.22019999999998</v>
      </c>
      <c r="C577" s="54">
        <v>362.16890000000001</v>
      </c>
      <c r="D577" s="54">
        <v>362.73250000000002</v>
      </c>
      <c r="E577" s="54">
        <v>78502324</v>
      </c>
      <c r="F577" s="54" t="s">
        <v>1395</v>
      </c>
      <c r="G577" s="25">
        <f t="shared" si="7"/>
        <v>1.0576664622001131E-2</v>
      </c>
    </row>
    <row r="578" spans="1:7">
      <c r="A578" s="54">
        <v>361.8229</v>
      </c>
      <c r="B578" s="54">
        <v>369.565</v>
      </c>
      <c r="C578" s="54">
        <v>360.04309999999998</v>
      </c>
      <c r="D578" s="54">
        <v>369.12</v>
      </c>
      <c r="E578" s="54">
        <v>43277461</v>
      </c>
      <c r="F578" s="54" t="s">
        <v>1396</v>
      </c>
      <c r="G578" s="25">
        <f t="shared" si="7"/>
        <v>-1.9768909839618543E-2</v>
      </c>
    </row>
    <row r="579" spans="1:7">
      <c r="A579" s="54">
        <v>370.16809999999998</v>
      </c>
      <c r="B579" s="54">
        <v>373.39760000000001</v>
      </c>
      <c r="C579" s="54">
        <v>366.60849999999999</v>
      </c>
      <c r="D579" s="54">
        <v>371.7996</v>
      </c>
      <c r="E579" s="54">
        <v>30955531</v>
      </c>
      <c r="F579" s="54" t="s">
        <v>1397</v>
      </c>
      <c r="G579" s="25">
        <f t="shared" si="7"/>
        <v>-4.3881166090550261E-3</v>
      </c>
    </row>
    <row r="580" spans="1:7">
      <c r="A580" s="54">
        <v>370.178</v>
      </c>
      <c r="B580" s="54">
        <v>370.2176</v>
      </c>
      <c r="C580" s="54">
        <v>366.30200000000002</v>
      </c>
      <c r="D580" s="54">
        <v>366.68759999999997</v>
      </c>
      <c r="E580" s="54">
        <v>24838253</v>
      </c>
      <c r="F580" s="54" t="s">
        <v>1398</v>
      </c>
      <c r="G580" s="25">
        <f t="shared" si="7"/>
        <v>9.5187292943639257E-3</v>
      </c>
    </row>
    <row r="581" spans="1:7">
      <c r="A581" s="54">
        <v>367.13260000000002</v>
      </c>
      <c r="B581" s="54">
        <v>367.42919999999998</v>
      </c>
      <c r="C581" s="54">
        <v>361.99090000000001</v>
      </c>
      <c r="D581" s="54">
        <v>364.3442</v>
      </c>
      <c r="E581" s="54">
        <v>27708757</v>
      </c>
      <c r="F581" s="54" t="s">
        <v>1399</v>
      </c>
      <c r="G581" s="25">
        <f t="shared" si="7"/>
        <v>7.6532026583653323E-3</v>
      </c>
    </row>
    <row r="582" spans="1:7">
      <c r="A582" s="54">
        <v>370.02969999999999</v>
      </c>
      <c r="B582" s="54">
        <v>370.25709999999998</v>
      </c>
      <c r="C582" s="54">
        <v>364.09699999999998</v>
      </c>
      <c r="D582" s="54">
        <v>365.05619999999999</v>
      </c>
      <c r="E582" s="54">
        <v>20154366</v>
      </c>
      <c r="F582" s="54" t="s">
        <v>1400</v>
      </c>
      <c r="G582" s="25">
        <f t="shared" si="7"/>
        <v>1.3623929685347091E-2</v>
      </c>
    </row>
    <row r="583" spans="1:7">
      <c r="A583" s="54">
        <v>366.78649999999999</v>
      </c>
      <c r="B583" s="54">
        <v>367.28359999999998</v>
      </c>
      <c r="C583" s="54">
        <v>362.20850000000002</v>
      </c>
      <c r="D583" s="54">
        <v>364.09699999999998</v>
      </c>
      <c r="E583" s="54">
        <v>23118864</v>
      </c>
      <c r="F583" s="54" t="s">
        <v>1401</v>
      </c>
      <c r="G583" s="25">
        <f t="shared" si="7"/>
        <v>7.3867678118744173E-3</v>
      </c>
    </row>
    <row r="584" spans="1:7">
      <c r="A584" s="54">
        <v>364.66059999999999</v>
      </c>
      <c r="B584" s="54">
        <v>369.9803</v>
      </c>
      <c r="C584" s="54">
        <v>363.89929999999998</v>
      </c>
      <c r="D584" s="54">
        <v>369.34739999999999</v>
      </c>
      <c r="E584" s="54">
        <v>21182072</v>
      </c>
      <c r="F584" s="54" t="s">
        <v>1402</v>
      </c>
      <c r="G584" s="25">
        <f t="shared" si="7"/>
        <v>-1.2689408399788382E-2</v>
      </c>
    </row>
    <row r="585" spans="1:7">
      <c r="A585" s="54">
        <v>368.33890000000002</v>
      </c>
      <c r="B585" s="54">
        <v>368.8877</v>
      </c>
      <c r="C585" s="54">
        <v>361.51729999999998</v>
      </c>
      <c r="D585" s="54">
        <v>362.33699999999999</v>
      </c>
      <c r="E585" s="54">
        <v>23065035</v>
      </c>
      <c r="F585" s="54" t="s">
        <v>1403</v>
      </c>
      <c r="G585" s="25">
        <f t="shared" si="7"/>
        <v>1.6564413791580801E-2</v>
      </c>
    </row>
    <row r="586" spans="1:7">
      <c r="A586" s="54">
        <v>364.99680000000001</v>
      </c>
      <c r="B586" s="54">
        <v>365.37259999999998</v>
      </c>
      <c r="C586" s="54">
        <v>358.82690000000002</v>
      </c>
      <c r="D586" s="54">
        <v>364.95729999999998</v>
      </c>
      <c r="E586" s="54">
        <v>32063305</v>
      </c>
      <c r="F586" s="54" t="s">
        <v>1404</v>
      </c>
      <c r="G586" s="25">
        <f t="shared" si="7"/>
        <v>1.0823183972497041E-4</v>
      </c>
    </row>
    <row r="587" spans="1:7">
      <c r="A587" s="54">
        <v>370.3066</v>
      </c>
      <c r="B587" s="54">
        <v>373.91559999999998</v>
      </c>
      <c r="C587" s="54">
        <v>367.14249999999998</v>
      </c>
      <c r="D587" s="54">
        <v>372.53129999999999</v>
      </c>
      <c r="E587" s="54">
        <v>33040472</v>
      </c>
      <c r="F587" s="54" t="s">
        <v>1405</v>
      </c>
      <c r="G587" s="25">
        <f t="shared" si="7"/>
        <v>-5.9718471978058574E-3</v>
      </c>
    </row>
    <row r="588" spans="1:7">
      <c r="A588" s="54">
        <v>374.65719999999999</v>
      </c>
      <c r="B588" s="54">
        <v>375.82389999999998</v>
      </c>
      <c r="C588" s="54">
        <v>371.25580000000002</v>
      </c>
      <c r="D588" s="54">
        <v>374.24189999999999</v>
      </c>
      <c r="E588" s="54">
        <v>30554415</v>
      </c>
      <c r="F588" s="54" t="s">
        <v>1406</v>
      </c>
      <c r="G588" s="25">
        <f t="shared" si="7"/>
        <v>1.1097100565169438E-3</v>
      </c>
    </row>
    <row r="589" spans="1:7">
      <c r="A589" s="54">
        <v>374.59780000000001</v>
      </c>
      <c r="B589" s="54">
        <v>379.98669999999998</v>
      </c>
      <c r="C589" s="54">
        <v>373.20370000000003</v>
      </c>
      <c r="D589" s="54">
        <v>379.45269999999999</v>
      </c>
      <c r="E589" s="54">
        <v>28963399</v>
      </c>
      <c r="F589" s="54" t="s">
        <v>1407</v>
      </c>
      <c r="G589" s="25">
        <f t="shared" si="7"/>
        <v>-1.279448004981909E-2</v>
      </c>
    </row>
    <row r="590" spans="1:7">
      <c r="A590" s="54">
        <v>378.40460000000002</v>
      </c>
      <c r="B590" s="54">
        <v>378.7013</v>
      </c>
      <c r="C590" s="54">
        <v>373.91559999999998</v>
      </c>
      <c r="D590" s="54">
        <v>374.1035</v>
      </c>
      <c r="E590" s="54">
        <v>20453112</v>
      </c>
      <c r="F590" s="54" t="s">
        <v>1408</v>
      </c>
      <c r="G590" s="25">
        <f t="shared" si="7"/>
        <v>1.1497085699545773E-2</v>
      </c>
    </row>
    <row r="591" spans="1:7">
      <c r="A591" s="54">
        <v>374.3605</v>
      </c>
      <c r="B591" s="54">
        <v>376.36779999999999</v>
      </c>
      <c r="C591" s="54">
        <v>371.9776</v>
      </c>
      <c r="D591" s="54">
        <v>372.55110000000002</v>
      </c>
      <c r="E591" s="54">
        <v>22179228</v>
      </c>
      <c r="F591" s="54" t="s">
        <v>1409</v>
      </c>
      <c r="G591" s="25">
        <f t="shared" si="7"/>
        <v>4.8567834050148306E-3</v>
      </c>
    </row>
    <row r="592" spans="1:7">
      <c r="A592" s="54">
        <v>373.19380000000001</v>
      </c>
      <c r="B592" s="54">
        <v>373.72770000000003</v>
      </c>
      <c r="C592" s="54">
        <v>370.92450000000002</v>
      </c>
      <c r="D592" s="54">
        <v>373.0949</v>
      </c>
      <c r="E592" s="54">
        <v>10176649</v>
      </c>
      <c r="F592" s="54" t="s">
        <v>1410</v>
      </c>
      <c r="G592" s="25">
        <f t="shared" si="7"/>
        <v>2.650800104746498E-4</v>
      </c>
    </row>
    <row r="593" spans="1:7">
      <c r="A593" s="54">
        <v>373.60910000000001</v>
      </c>
      <c r="B593" s="54">
        <v>375.52719999999999</v>
      </c>
      <c r="C593" s="54">
        <v>370.75639999999999</v>
      </c>
      <c r="D593" s="54">
        <v>373.75740000000002</v>
      </c>
      <c r="E593" s="54">
        <v>23361184</v>
      </c>
      <c r="F593" s="54" t="s">
        <v>1411</v>
      </c>
      <c r="G593" s="25">
        <f t="shared" si="7"/>
        <v>-3.9678144165178342E-4</v>
      </c>
    </row>
    <row r="594" spans="1:7">
      <c r="A594" s="54">
        <v>368.8827</v>
      </c>
      <c r="B594" s="54">
        <v>371.99880000000002</v>
      </c>
      <c r="C594" s="54">
        <v>366.95460000000003</v>
      </c>
      <c r="D594" s="54">
        <v>371.45350000000002</v>
      </c>
      <c r="E594" s="54">
        <v>28423145</v>
      </c>
      <c r="F594" s="54" t="s">
        <v>1412</v>
      </c>
      <c r="G594" s="25">
        <f t="shared" si="7"/>
        <v>-6.9209201151692046E-3</v>
      </c>
    </row>
    <row r="595" spans="1:7">
      <c r="A595" s="54">
        <v>373.20370000000003</v>
      </c>
      <c r="B595" s="54">
        <v>374.61759999999998</v>
      </c>
      <c r="C595" s="54">
        <v>366.83589999999998</v>
      </c>
      <c r="D595" s="54">
        <v>367.05349999999999</v>
      </c>
      <c r="E595" s="54">
        <v>52528964</v>
      </c>
      <c r="F595" s="54" t="s">
        <v>1413</v>
      </c>
      <c r="G595" s="25">
        <f t="shared" si="7"/>
        <v>1.6755595573942239E-2</v>
      </c>
    </row>
    <row r="596" spans="1:7">
      <c r="A596" s="54">
        <v>365.69889999999998</v>
      </c>
      <c r="B596" s="54">
        <v>370.16809999999998</v>
      </c>
      <c r="C596" s="54">
        <v>362.88080000000002</v>
      </c>
      <c r="D596" s="54">
        <v>369.41669999999999</v>
      </c>
      <c r="E596" s="54">
        <v>40325371</v>
      </c>
      <c r="F596" s="54" t="s">
        <v>1414</v>
      </c>
      <c r="G596" s="25">
        <f t="shared" si="7"/>
        <v>-1.006397382684654E-2</v>
      </c>
    </row>
    <row r="597" spans="1:7">
      <c r="A597" s="54">
        <v>371.9479</v>
      </c>
      <c r="B597" s="54">
        <v>372.1259</v>
      </c>
      <c r="C597" s="54">
        <v>366.02519999999998</v>
      </c>
      <c r="D597" s="54">
        <v>366.79640000000001</v>
      </c>
      <c r="E597" s="54">
        <v>27182315</v>
      </c>
      <c r="F597" s="54" t="s">
        <v>1415</v>
      </c>
      <c r="G597" s="25">
        <f t="shared" si="7"/>
        <v>1.4044576228120054E-2</v>
      </c>
    </row>
    <row r="598" spans="1:7">
      <c r="A598" s="54">
        <v>365.52089999999998</v>
      </c>
      <c r="B598" s="54">
        <v>368.94200000000001</v>
      </c>
      <c r="C598" s="54">
        <v>362.9896</v>
      </c>
      <c r="D598" s="54">
        <v>367.11279999999999</v>
      </c>
      <c r="E598" s="54">
        <v>26860095</v>
      </c>
      <c r="F598" s="54" t="s">
        <v>1416</v>
      </c>
      <c r="G598" s="25">
        <f t="shared" si="7"/>
        <v>-4.3362693973079125E-3</v>
      </c>
    </row>
    <row r="599" spans="1:7">
      <c r="A599" s="54">
        <v>365.37259999999998</v>
      </c>
      <c r="B599" s="54">
        <v>367.03030000000001</v>
      </c>
      <c r="C599" s="54">
        <v>362.48660000000001</v>
      </c>
      <c r="D599" s="54">
        <v>366.1028</v>
      </c>
      <c r="E599" s="54">
        <v>27683862</v>
      </c>
      <c r="F599" s="54" t="s">
        <v>1417</v>
      </c>
      <c r="G599" s="25">
        <f t="shared" si="7"/>
        <v>-1.9945217572769902E-3</v>
      </c>
    </row>
    <row r="600" spans="1:7">
      <c r="A600" s="54">
        <v>361.83</v>
      </c>
      <c r="B600" s="54">
        <v>363.59640000000002</v>
      </c>
      <c r="C600" s="54">
        <v>361.06040000000002</v>
      </c>
      <c r="D600" s="54">
        <v>363.34969999999998</v>
      </c>
      <c r="E600" s="54">
        <v>19986506</v>
      </c>
      <c r="F600" s="54" t="s">
        <v>1418</v>
      </c>
      <c r="G600" s="25">
        <f t="shared" ref="G600:G663" si="8">A600/D600-1</f>
        <v>-4.1824721473555648E-3</v>
      </c>
    </row>
    <row r="601" spans="1:7">
      <c r="A601" s="54">
        <v>364.78050000000002</v>
      </c>
      <c r="B601" s="54">
        <v>365.20479999999998</v>
      </c>
      <c r="C601" s="54">
        <v>356.29419999999999</v>
      </c>
      <c r="D601" s="54">
        <v>356.70870000000002</v>
      </c>
      <c r="E601" s="54">
        <v>28065164</v>
      </c>
      <c r="F601" s="54" t="s">
        <v>1419</v>
      </c>
      <c r="G601" s="25">
        <f t="shared" si="8"/>
        <v>2.2628548168295293E-2</v>
      </c>
    </row>
    <row r="602" spans="1:7">
      <c r="A602" s="54">
        <v>355.91930000000002</v>
      </c>
      <c r="B602" s="54">
        <v>359.96499999999997</v>
      </c>
      <c r="C602" s="54">
        <v>355.59559999999999</v>
      </c>
      <c r="D602" s="54">
        <v>357.50799999999998</v>
      </c>
      <c r="E602" s="54">
        <v>24847331</v>
      </c>
      <c r="F602" s="54" t="s">
        <v>1420</v>
      </c>
      <c r="G602" s="25">
        <f t="shared" si="8"/>
        <v>-4.443816641865217E-3</v>
      </c>
    </row>
    <row r="603" spans="1:7">
      <c r="A603" s="54">
        <v>358.39609999999999</v>
      </c>
      <c r="B603" s="54">
        <v>359.05720000000002</v>
      </c>
      <c r="C603" s="54">
        <v>355.78109999999998</v>
      </c>
      <c r="D603" s="54">
        <v>356.89620000000002</v>
      </c>
      <c r="E603" s="54">
        <v>26767828</v>
      </c>
      <c r="F603" s="54" t="s">
        <v>1421</v>
      </c>
      <c r="G603" s="25">
        <f t="shared" si="8"/>
        <v>4.2026224992026684E-3</v>
      </c>
    </row>
    <row r="604" spans="1:7">
      <c r="A604" s="54">
        <v>355.76139999999998</v>
      </c>
      <c r="B604" s="54">
        <v>357.66590000000002</v>
      </c>
      <c r="C604" s="54">
        <v>352.8997</v>
      </c>
      <c r="D604" s="54">
        <v>354.6463</v>
      </c>
      <c r="E604" s="54">
        <v>25833931</v>
      </c>
      <c r="F604" s="54" t="s">
        <v>1422</v>
      </c>
      <c r="G604" s="25">
        <f t="shared" si="8"/>
        <v>3.1442595058794875E-3</v>
      </c>
    </row>
    <row r="605" spans="1:7">
      <c r="A605" s="54">
        <v>351.8143</v>
      </c>
      <c r="B605" s="54">
        <v>352.8109</v>
      </c>
      <c r="C605" s="54">
        <v>348.6764</v>
      </c>
      <c r="D605" s="54">
        <v>348.77499999999998</v>
      </c>
      <c r="E605" s="54">
        <v>23828301</v>
      </c>
      <c r="F605" s="54" t="s">
        <v>1423</v>
      </c>
      <c r="G605" s="25">
        <f t="shared" si="8"/>
        <v>8.7142140348361874E-3</v>
      </c>
    </row>
    <row r="606" spans="1:7">
      <c r="A606" s="54">
        <v>348.1336</v>
      </c>
      <c r="B606" s="54">
        <v>349.70260000000002</v>
      </c>
      <c r="C606" s="54">
        <v>342.73599999999999</v>
      </c>
      <c r="D606" s="54">
        <v>345.00560000000002</v>
      </c>
      <c r="E606" s="54">
        <v>23637673</v>
      </c>
      <c r="F606" s="54" t="s">
        <v>1424</v>
      </c>
      <c r="G606" s="25">
        <f t="shared" si="8"/>
        <v>9.0665194999732801E-3</v>
      </c>
    </row>
    <row r="607" spans="1:7">
      <c r="A607" s="54">
        <v>343.71289999999999</v>
      </c>
      <c r="B607" s="54">
        <v>344.21609999999998</v>
      </c>
      <c r="C607" s="54">
        <v>340.20979999999997</v>
      </c>
      <c r="D607" s="54">
        <v>342.6472</v>
      </c>
      <c r="E607" s="54">
        <v>24348072</v>
      </c>
      <c r="F607" s="54" t="s">
        <v>1425</v>
      </c>
      <c r="G607" s="25">
        <f t="shared" si="8"/>
        <v>3.1101961434385483E-3</v>
      </c>
    </row>
    <row r="608" spans="1:7">
      <c r="A608" s="54">
        <v>341.49259999999998</v>
      </c>
      <c r="B608" s="54">
        <v>342.82479999999998</v>
      </c>
      <c r="C608" s="54">
        <v>335.1576</v>
      </c>
      <c r="D608" s="54">
        <v>335.29570000000001</v>
      </c>
      <c r="E608" s="54">
        <v>28158819</v>
      </c>
      <c r="F608" s="54" t="s">
        <v>1426</v>
      </c>
      <c r="G608" s="25">
        <f t="shared" si="8"/>
        <v>1.8481895234564449E-2</v>
      </c>
    </row>
    <row r="609" spans="1:7">
      <c r="A609" s="54">
        <v>333.6379</v>
      </c>
      <c r="B609" s="54">
        <v>334.51620000000003</v>
      </c>
      <c r="C609" s="54">
        <v>330.26319999999998</v>
      </c>
      <c r="D609" s="54">
        <v>334.36810000000003</v>
      </c>
      <c r="E609" s="54">
        <v>20265282</v>
      </c>
      <c r="F609" s="54" t="s">
        <v>1427</v>
      </c>
      <c r="G609" s="25">
        <f t="shared" si="8"/>
        <v>-2.1838207651986297E-3</v>
      </c>
    </row>
    <row r="610" spans="1:7">
      <c r="A610" s="54">
        <v>332.8485</v>
      </c>
      <c r="B610" s="54">
        <v>334.96019999999999</v>
      </c>
      <c r="C610" s="54">
        <v>327.44099999999997</v>
      </c>
      <c r="D610" s="54">
        <v>329.00009999999997</v>
      </c>
      <c r="E610" s="54">
        <v>22828082</v>
      </c>
      <c r="F610" s="54" t="s">
        <v>1428</v>
      </c>
      <c r="G610" s="25">
        <f t="shared" si="8"/>
        <v>1.1697260882291616E-2</v>
      </c>
    </row>
    <row r="611" spans="1:7">
      <c r="A611" s="54">
        <v>325.4477</v>
      </c>
      <c r="B611" s="54">
        <v>332.2663</v>
      </c>
      <c r="C611" s="54">
        <v>324.05709999999999</v>
      </c>
      <c r="D611" s="54">
        <v>326.05459999999999</v>
      </c>
      <c r="E611" s="54">
        <v>29856522</v>
      </c>
      <c r="F611" s="54" t="s">
        <v>1429</v>
      </c>
      <c r="G611" s="25">
        <f t="shared" si="8"/>
        <v>-1.861344695029632E-3</v>
      </c>
    </row>
    <row r="612" spans="1:7">
      <c r="A612" s="54">
        <v>323.55309999999997</v>
      </c>
      <c r="B612" s="54">
        <v>337.1114</v>
      </c>
      <c r="C612" s="54">
        <v>322.6157</v>
      </c>
      <c r="D612" s="54">
        <v>336.03579999999999</v>
      </c>
      <c r="E612" s="54">
        <v>37828543</v>
      </c>
      <c r="F612" s="54" t="s">
        <v>1430</v>
      </c>
      <c r="G612" s="25">
        <f t="shared" si="8"/>
        <v>-3.714693493967014E-2</v>
      </c>
    </row>
    <row r="613" spans="1:7">
      <c r="A613" s="54">
        <v>336.16410000000002</v>
      </c>
      <c r="B613" s="54">
        <v>341.62090000000001</v>
      </c>
      <c r="C613" s="54">
        <v>333.15440000000001</v>
      </c>
      <c r="D613" s="54">
        <v>340.45650000000001</v>
      </c>
      <c r="E613" s="54">
        <v>55053828</v>
      </c>
      <c r="F613" s="54" t="s">
        <v>1431</v>
      </c>
      <c r="G613" s="25">
        <f t="shared" si="8"/>
        <v>-1.2607778086187182E-2</v>
      </c>
    </row>
    <row r="614" spans="1:7">
      <c r="A614" s="54">
        <v>326.15820000000002</v>
      </c>
      <c r="B614" s="54">
        <v>327.45089999999999</v>
      </c>
      <c r="C614" s="54">
        <v>323.26690000000002</v>
      </c>
      <c r="D614" s="54">
        <v>326.91800000000001</v>
      </c>
      <c r="E614" s="54">
        <v>31153571</v>
      </c>
      <c r="F614" s="54" t="s">
        <v>1432</v>
      </c>
      <c r="G614" s="25">
        <f t="shared" si="8"/>
        <v>-2.3241302100220906E-3</v>
      </c>
    </row>
    <row r="615" spans="1:7">
      <c r="A615" s="54">
        <v>324.96420000000001</v>
      </c>
      <c r="B615" s="54">
        <v>328.32420000000002</v>
      </c>
      <c r="C615" s="54">
        <v>320.0994</v>
      </c>
      <c r="D615" s="54">
        <v>321.1651</v>
      </c>
      <c r="E615" s="54">
        <v>24374748</v>
      </c>
      <c r="F615" s="54" t="s">
        <v>1433</v>
      </c>
      <c r="G615" s="25">
        <f t="shared" si="8"/>
        <v>1.1829118419155682E-2</v>
      </c>
    </row>
    <row r="616" spans="1:7">
      <c r="A616" s="54">
        <v>322.3492</v>
      </c>
      <c r="B616" s="54">
        <v>327.52980000000002</v>
      </c>
      <c r="C616" s="54">
        <v>321.1454</v>
      </c>
      <c r="D616" s="54">
        <v>327.33240000000001</v>
      </c>
      <c r="E616" s="54">
        <v>25027715</v>
      </c>
      <c r="F616" s="54" t="s">
        <v>1434</v>
      </c>
      <c r="G616" s="25">
        <f t="shared" si="8"/>
        <v>-1.5223668662191714E-2</v>
      </c>
    </row>
    <row r="617" spans="1:7">
      <c r="A617" s="54">
        <v>326.93770000000001</v>
      </c>
      <c r="B617" s="54">
        <v>332.42419999999998</v>
      </c>
      <c r="C617" s="54">
        <v>326.53320000000002</v>
      </c>
      <c r="D617" s="54">
        <v>327.7568</v>
      </c>
      <c r="E617" s="54">
        <v>25052071</v>
      </c>
      <c r="F617" s="54" t="s">
        <v>1435</v>
      </c>
      <c r="G617" s="25">
        <f t="shared" si="8"/>
        <v>-2.4991090955244211E-3</v>
      </c>
    </row>
    <row r="618" spans="1:7">
      <c r="A618" s="54">
        <v>325.74369999999999</v>
      </c>
      <c r="B618" s="54">
        <v>331.15129999999999</v>
      </c>
      <c r="C618" s="54">
        <v>323.95769999999999</v>
      </c>
      <c r="D618" s="54">
        <v>328.09230000000002</v>
      </c>
      <c r="E618" s="54">
        <v>23153602</v>
      </c>
      <c r="F618" s="54" t="s">
        <v>1436</v>
      </c>
      <c r="G618" s="25">
        <f t="shared" si="8"/>
        <v>-7.1583514760938938E-3</v>
      </c>
    </row>
    <row r="619" spans="1:7">
      <c r="A619" s="54">
        <v>327.66800000000001</v>
      </c>
      <c r="B619" s="54">
        <v>329.04939999999999</v>
      </c>
      <c r="C619" s="54">
        <v>323.0795</v>
      </c>
      <c r="D619" s="54">
        <v>325.23059999999998</v>
      </c>
      <c r="E619" s="54">
        <v>18338523</v>
      </c>
      <c r="F619" s="54" t="s">
        <v>1437</v>
      </c>
      <c r="G619" s="25">
        <f t="shared" si="8"/>
        <v>7.4943747605544786E-3</v>
      </c>
    </row>
    <row r="620" spans="1:7">
      <c r="A620" s="54">
        <v>328.24029999999999</v>
      </c>
      <c r="B620" s="54">
        <v>331.69400000000002</v>
      </c>
      <c r="C620" s="54">
        <v>326.22730000000001</v>
      </c>
      <c r="D620" s="54">
        <v>326.67129999999997</v>
      </c>
      <c r="E620" s="54">
        <v>22158048</v>
      </c>
      <c r="F620" s="54" t="s">
        <v>1438</v>
      </c>
      <c r="G620" s="25">
        <f t="shared" si="8"/>
        <v>4.8029931004041071E-3</v>
      </c>
    </row>
    <row r="621" spans="1:7">
      <c r="A621" s="54">
        <v>323.39519999999999</v>
      </c>
      <c r="B621" s="54">
        <v>329.41449999999998</v>
      </c>
      <c r="C621" s="54">
        <v>322.04329999999999</v>
      </c>
      <c r="D621" s="54">
        <v>327.9837</v>
      </c>
      <c r="E621" s="54">
        <v>21085695</v>
      </c>
      <c r="F621" s="54" t="s">
        <v>1439</v>
      </c>
      <c r="G621" s="25">
        <f t="shared" si="8"/>
        <v>-1.3990024504266563E-2</v>
      </c>
    </row>
    <row r="622" spans="1:7">
      <c r="A622" s="54">
        <v>326.7799</v>
      </c>
      <c r="B622" s="54">
        <v>329.21710000000002</v>
      </c>
      <c r="C622" s="54">
        <v>324.37209999999999</v>
      </c>
      <c r="D622" s="54">
        <v>326.1927</v>
      </c>
      <c r="E622" s="54">
        <v>19313098</v>
      </c>
      <c r="F622" s="54" t="s">
        <v>1440</v>
      </c>
      <c r="G622" s="25">
        <f t="shared" si="8"/>
        <v>1.8001629098383098E-3</v>
      </c>
    </row>
    <row r="623" spans="1:7">
      <c r="A623" s="54">
        <v>328.02319999999997</v>
      </c>
      <c r="B623" s="54">
        <v>328.41789999999997</v>
      </c>
      <c r="C623" s="54">
        <v>324.78660000000002</v>
      </c>
      <c r="D623" s="54">
        <v>326.82920000000001</v>
      </c>
      <c r="E623" s="54">
        <v>20063246</v>
      </c>
      <c r="F623" s="54" t="s">
        <v>1441</v>
      </c>
      <c r="G623" s="25">
        <f t="shared" si="8"/>
        <v>3.6532843454621933E-3</v>
      </c>
    </row>
    <row r="624" spans="1:7">
      <c r="A624" s="54">
        <v>324.04649999999998</v>
      </c>
      <c r="B624" s="54">
        <v>326.72059999999999</v>
      </c>
      <c r="C624" s="54">
        <v>323.33600000000001</v>
      </c>
      <c r="D624" s="54">
        <v>326.58249999999998</v>
      </c>
      <c r="E624" s="54">
        <v>20557094</v>
      </c>
      <c r="F624" s="54" t="s">
        <v>1442</v>
      </c>
      <c r="G624" s="25">
        <f t="shared" si="8"/>
        <v>-7.7652660506916105E-3</v>
      </c>
    </row>
    <row r="625" spans="1:7">
      <c r="A625" s="54">
        <v>325.45760000000001</v>
      </c>
      <c r="B625" s="54">
        <v>325.93119999999999</v>
      </c>
      <c r="C625" s="54">
        <v>318.90539999999999</v>
      </c>
      <c r="D625" s="54">
        <v>320.45460000000003</v>
      </c>
      <c r="E625" s="54">
        <v>19891180</v>
      </c>
      <c r="F625" s="54" t="s">
        <v>1443</v>
      </c>
      <c r="G625" s="25">
        <f t="shared" si="8"/>
        <v>1.5612195924165295E-2</v>
      </c>
    </row>
    <row r="626" spans="1:7">
      <c r="A626" s="54">
        <v>322.9314</v>
      </c>
      <c r="B626" s="54">
        <v>324.83589999999998</v>
      </c>
      <c r="C626" s="54">
        <v>312.1164</v>
      </c>
      <c r="D626" s="54">
        <v>312.36309999999997</v>
      </c>
      <c r="E626" s="54">
        <v>25673630</v>
      </c>
      <c r="F626" s="54" t="s">
        <v>1444</v>
      </c>
      <c r="G626" s="25">
        <f t="shared" si="8"/>
        <v>3.3833381727867318E-2</v>
      </c>
    </row>
    <row r="627" spans="1:7">
      <c r="A627" s="54">
        <v>315.13589999999999</v>
      </c>
      <c r="B627" s="54">
        <v>315.74770000000001</v>
      </c>
      <c r="C627" s="54">
        <v>310.73489999999998</v>
      </c>
      <c r="D627" s="54">
        <v>314.86950000000002</v>
      </c>
      <c r="E627" s="54">
        <v>16965629</v>
      </c>
      <c r="F627" s="54" t="s">
        <v>1445</v>
      </c>
      <c r="G627" s="25">
        <f t="shared" si="8"/>
        <v>8.4606479827353809E-4</v>
      </c>
    </row>
    <row r="628" spans="1:7">
      <c r="A628" s="54">
        <v>314.73630000000003</v>
      </c>
      <c r="B628" s="54">
        <v>315.80689999999998</v>
      </c>
      <c r="C628" s="54">
        <v>309.84679999999997</v>
      </c>
      <c r="D628" s="54">
        <v>309.87639999999999</v>
      </c>
      <c r="E628" s="54">
        <v>20720144</v>
      </c>
      <c r="F628" s="54" t="s">
        <v>1446</v>
      </c>
      <c r="G628" s="25">
        <f t="shared" si="8"/>
        <v>1.5683349877564146E-2</v>
      </c>
    </row>
    <row r="629" spans="1:7">
      <c r="A629" s="54">
        <v>309.24489999999997</v>
      </c>
      <c r="B629" s="54">
        <v>317.13909999999998</v>
      </c>
      <c r="C629" s="54">
        <v>307.09870000000001</v>
      </c>
      <c r="D629" s="54">
        <v>316.5865</v>
      </c>
      <c r="E629" s="54">
        <v>21033492</v>
      </c>
      <c r="F629" s="54" t="s">
        <v>1447</v>
      </c>
      <c r="G629" s="25">
        <f t="shared" si="8"/>
        <v>-2.3189870698845483E-2</v>
      </c>
    </row>
    <row r="630" spans="1:7">
      <c r="A630" s="54">
        <v>317.5437</v>
      </c>
      <c r="B630" s="54">
        <v>317.63049999999998</v>
      </c>
      <c r="C630" s="54">
        <v>311.01119999999997</v>
      </c>
      <c r="D630" s="54">
        <v>312.0967</v>
      </c>
      <c r="E630" s="54">
        <v>20570006</v>
      </c>
      <c r="F630" s="54" t="s">
        <v>1448</v>
      </c>
      <c r="G630" s="25">
        <f t="shared" si="8"/>
        <v>1.7452924045656459E-2</v>
      </c>
    </row>
    <row r="631" spans="1:7">
      <c r="A631" s="54">
        <v>311.57369999999997</v>
      </c>
      <c r="B631" s="54">
        <v>315.24450000000002</v>
      </c>
      <c r="C631" s="54">
        <v>310.81389999999999</v>
      </c>
      <c r="D631" s="54">
        <v>313.54719999999998</v>
      </c>
      <c r="E631" s="54">
        <v>24147298</v>
      </c>
      <c r="F631" s="54" t="s">
        <v>1449</v>
      </c>
      <c r="G631" s="25">
        <f t="shared" si="8"/>
        <v>-6.2941081916852992E-3</v>
      </c>
    </row>
    <row r="632" spans="1:7">
      <c r="A632" s="54">
        <v>309.49160000000001</v>
      </c>
      <c r="B632" s="54">
        <v>311.3073</v>
      </c>
      <c r="C632" s="54">
        <v>305.35700000000003</v>
      </c>
      <c r="D632" s="54">
        <v>306.8766</v>
      </c>
      <c r="E632" s="54">
        <v>19683564</v>
      </c>
      <c r="F632" s="54" t="s">
        <v>1450</v>
      </c>
      <c r="G632" s="25">
        <f t="shared" si="8"/>
        <v>8.5213404997317443E-3</v>
      </c>
    </row>
    <row r="633" spans="1:7">
      <c r="A633" s="54">
        <v>308.65280000000001</v>
      </c>
      <c r="B633" s="54">
        <v>310.14190000000002</v>
      </c>
      <c r="C633" s="54">
        <v>305.59379999999999</v>
      </c>
      <c r="D633" s="54">
        <v>308.16930000000002</v>
      </c>
      <c r="E633" s="54">
        <v>19410082</v>
      </c>
      <c r="F633" s="54" t="s">
        <v>1451</v>
      </c>
      <c r="G633" s="25">
        <f t="shared" si="8"/>
        <v>1.5689427856699911E-3</v>
      </c>
    </row>
    <row r="634" spans="1:7">
      <c r="A634" s="54">
        <v>308.01139999999998</v>
      </c>
      <c r="B634" s="54">
        <v>311.702</v>
      </c>
      <c r="C634" s="54">
        <v>305.91950000000003</v>
      </c>
      <c r="D634" s="54">
        <v>310.96190000000001</v>
      </c>
      <c r="E634" s="54">
        <v>26297573</v>
      </c>
      <c r="F634" s="54" t="s">
        <v>1452</v>
      </c>
      <c r="G634" s="25">
        <f t="shared" si="8"/>
        <v>-9.4883006567686445E-3</v>
      </c>
    </row>
    <row r="635" spans="1:7">
      <c r="A635" s="54">
        <v>313.33999999999997</v>
      </c>
      <c r="B635" s="54">
        <v>313.4683</v>
      </c>
      <c r="C635" s="54">
        <v>310.83359999999999</v>
      </c>
      <c r="D635" s="54">
        <v>312.40260000000001</v>
      </c>
      <c r="E635" s="54">
        <v>17835964</v>
      </c>
      <c r="F635" s="54" t="s">
        <v>1453</v>
      </c>
      <c r="G635" s="25">
        <f t="shared" si="8"/>
        <v>3.0006152317554324E-3</v>
      </c>
    </row>
    <row r="636" spans="1:7">
      <c r="A636" s="54">
        <v>312.81700000000001</v>
      </c>
      <c r="B636" s="54">
        <v>317.19830000000002</v>
      </c>
      <c r="C636" s="54">
        <v>311.96839999999997</v>
      </c>
      <c r="D636" s="54">
        <v>317.07</v>
      </c>
      <c r="E636" s="54">
        <v>21447887</v>
      </c>
      <c r="F636" s="54" t="s">
        <v>1454</v>
      </c>
      <c r="G636" s="25">
        <f t="shared" si="8"/>
        <v>-1.341344182672588E-2</v>
      </c>
    </row>
    <row r="637" spans="1:7">
      <c r="A637" s="54">
        <v>315.30369999999999</v>
      </c>
      <c r="B637" s="54">
        <v>321.04660000000001</v>
      </c>
      <c r="C637" s="54">
        <v>310.83359999999999</v>
      </c>
      <c r="D637" s="54">
        <v>315.03730000000002</v>
      </c>
      <c r="E637" s="54">
        <v>35560362</v>
      </c>
      <c r="F637" s="54" t="s">
        <v>1455</v>
      </c>
      <c r="G637" s="25">
        <f t="shared" si="8"/>
        <v>8.4561415426032127E-4</v>
      </c>
    </row>
    <row r="638" spans="1:7">
      <c r="A638" s="54">
        <v>316.52730000000003</v>
      </c>
      <c r="B638" s="54">
        <v>325.23059999999998</v>
      </c>
      <c r="C638" s="54">
        <v>316.27069999999998</v>
      </c>
      <c r="D638" s="54">
        <v>325.15170000000001</v>
      </c>
      <c r="E638" s="54">
        <v>21436525</v>
      </c>
      <c r="F638" s="54" t="s">
        <v>1456</v>
      </c>
      <c r="G638" s="25">
        <f t="shared" si="8"/>
        <v>-2.6524234687993253E-2</v>
      </c>
    </row>
    <row r="639" spans="1:7">
      <c r="A639" s="54">
        <v>324.30309999999997</v>
      </c>
      <c r="B639" s="54">
        <v>325.0333</v>
      </c>
      <c r="C639" s="54">
        <v>320.21780000000001</v>
      </c>
      <c r="D639" s="54">
        <v>321.85590000000002</v>
      </c>
      <c r="E639" s="54">
        <v>16514487</v>
      </c>
      <c r="F639" s="54" t="s">
        <v>1457</v>
      </c>
      <c r="G639" s="25">
        <f t="shared" si="8"/>
        <v>7.6034026407467703E-3</v>
      </c>
    </row>
    <row r="640" spans="1:7">
      <c r="A640" s="54">
        <v>324.70760000000001</v>
      </c>
      <c r="B640" s="54">
        <v>326.0299</v>
      </c>
      <c r="C640" s="54">
        <v>322.04329999999999</v>
      </c>
      <c r="D640" s="54">
        <v>323.46429999999998</v>
      </c>
      <c r="E640" s="54">
        <v>16834208</v>
      </c>
      <c r="F640" s="54" t="s">
        <v>1458</v>
      </c>
      <c r="G640" s="25">
        <f t="shared" si="8"/>
        <v>3.8437008349918589E-3</v>
      </c>
    </row>
    <row r="641" spans="1:7">
      <c r="A641" s="54">
        <v>325.85230000000001</v>
      </c>
      <c r="B641" s="54">
        <v>332.93490000000003</v>
      </c>
      <c r="C641" s="54">
        <v>325.28980000000001</v>
      </c>
      <c r="D641" s="54">
        <v>332.46370000000002</v>
      </c>
      <c r="E641" s="54">
        <v>37679792</v>
      </c>
      <c r="F641" s="54" t="s">
        <v>1459</v>
      </c>
      <c r="G641" s="25">
        <f t="shared" si="8"/>
        <v>-1.9886080796189143E-2</v>
      </c>
    </row>
    <row r="642" spans="1:7">
      <c r="A642" s="54">
        <v>334.2201</v>
      </c>
      <c r="B642" s="54">
        <v>336.35160000000002</v>
      </c>
      <c r="C642" s="54">
        <v>332.11829999999998</v>
      </c>
      <c r="D642" s="54">
        <v>334.66219999999998</v>
      </c>
      <c r="E642" s="54">
        <v>20267048</v>
      </c>
      <c r="F642" s="54" t="s">
        <v>1460</v>
      </c>
      <c r="G642" s="25">
        <f t="shared" si="8"/>
        <v>-1.3210335675793994E-3</v>
      </c>
    </row>
    <row r="643" spans="1:7">
      <c r="A643" s="54">
        <v>331.61500000000001</v>
      </c>
      <c r="B643" s="54">
        <v>332.39460000000003</v>
      </c>
      <c r="C643" s="54">
        <v>326.78969999999998</v>
      </c>
      <c r="D643" s="54">
        <v>326.92790000000002</v>
      </c>
      <c r="E643" s="54">
        <v>16544412</v>
      </c>
      <c r="F643" s="54" t="s">
        <v>1461</v>
      </c>
      <c r="G643" s="25">
        <f t="shared" si="8"/>
        <v>1.4336800254735049E-2</v>
      </c>
    </row>
    <row r="644" spans="1:7">
      <c r="A644" s="54">
        <v>327.3818</v>
      </c>
      <c r="B644" s="54">
        <v>332.33539999999999</v>
      </c>
      <c r="C644" s="54">
        <v>327.09559999999999</v>
      </c>
      <c r="D644" s="54">
        <v>331.37329999999997</v>
      </c>
      <c r="E644" s="54">
        <v>17565482</v>
      </c>
      <c r="F644" s="54" t="s">
        <v>1462</v>
      </c>
      <c r="G644" s="25">
        <f t="shared" si="8"/>
        <v>-1.2045327731594502E-2</v>
      </c>
    </row>
    <row r="645" spans="1:7">
      <c r="A645" s="54">
        <v>333.47019999999998</v>
      </c>
      <c r="B645" s="54">
        <v>333.94380000000001</v>
      </c>
      <c r="C645" s="54">
        <v>330.99340000000001</v>
      </c>
      <c r="D645" s="54">
        <v>332.77940000000001</v>
      </c>
      <c r="E645" s="54">
        <v>16583324</v>
      </c>
      <c r="F645" s="54" t="s">
        <v>1463</v>
      </c>
      <c r="G645" s="25">
        <f t="shared" si="8"/>
        <v>2.0758496469432952E-3</v>
      </c>
    </row>
    <row r="646" spans="1:7">
      <c r="A646" s="54">
        <v>329.84870000000001</v>
      </c>
      <c r="B646" s="54">
        <v>331.71370000000002</v>
      </c>
      <c r="C646" s="54">
        <v>325.10230000000001</v>
      </c>
      <c r="D646" s="54">
        <v>325.72399999999999</v>
      </c>
      <c r="E646" s="54">
        <v>19548165</v>
      </c>
      <c r="F646" s="54" t="s">
        <v>1464</v>
      </c>
      <c r="G646" s="25">
        <f t="shared" si="8"/>
        <v>1.2663174957940004E-2</v>
      </c>
    </row>
    <row r="647" spans="1:7">
      <c r="A647" s="54">
        <v>325.54640000000001</v>
      </c>
      <c r="B647" s="54">
        <v>328.67450000000002</v>
      </c>
      <c r="C647" s="54">
        <v>324.678</v>
      </c>
      <c r="D647" s="54">
        <v>326.90809999999999</v>
      </c>
      <c r="E647" s="54">
        <v>18380995</v>
      </c>
      <c r="F647" s="54" t="s">
        <v>1465</v>
      </c>
      <c r="G647" s="25">
        <f t="shared" si="8"/>
        <v>-4.1653908239043247E-3</v>
      </c>
    </row>
    <row r="648" spans="1:7">
      <c r="A648" s="54">
        <v>328.47710000000001</v>
      </c>
      <c r="B648" s="54">
        <v>330.03620000000001</v>
      </c>
      <c r="C648" s="54">
        <v>325.81279999999998</v>
      </c>
      <c r="D648" s="54">
        <v>328.97050000000002</v>
      </c>
      <c r="E648" s="54">
        <v>17535773</v>
      </c>
      <c r="F648" s="54" t="s">
        <v>1466</v>
      </c>
      <c r="G648" s="25">
        <f t="shared" si="8"/>
        <v>-1.4998305319170457E-3</v>
      </c>
    </row>
    <row r="649" spans="1:7">
      <c r="A649" s="54">
        <v>329.13819999999998</v>
      </c>
      <c r="B649" s="54">
        <v>330.42099999999999</v>
      </c>
      <c r="C649" s="54">
        <v>324.31290000000001</v>
      </c>
      <c r="D649" s="54">
        <v>324.64839999999998</v>
      </c>
      <c r="E649" s="54">
        <v>18553859</v>
      </c>
      <c r="F649" s="54" t="s">
        <v>1467</v>
      </c>
      <c r="G649" s="25">
        <f t="shared" si="8"/>
        <v>1.3829730871921742E-2</v>
      </c>
    </row>
    <row r="650" spans="1:7">
      <c r="A650" s="54">
        <v>324.31290000000001</v>
      </c>
      <c r="B650" s="54">
        <v>327.59890000000001</v>
      </c>
      <c r="C650" s="54">
        <v>322.45780000000002</v>
      </c>
      <c r="D650" s="54">
        <v>326.92790000000002</v>
      </c>
      <c r="E650" s="54">
        <v>14942024</v>
      </c>
      <c r="F650" s="54" t="s">
        <v>1468</v>
      </c>
      <c r="G650" s="25">
        <f t="shared" si="8"/>
        <v>-7.9987055249797212E-3</v>
      </c>
    </row>
    <row r="651" spans="1:7">
      <c r="A651" s="54">
        <v>323.4248</v>
      </c>
      <c r="B651" s="54">
        <v>326.53309999999999</v>
      </c>
      <c r="C651" s="54">
        <v>322.45780000000002</v>
      </c>
      <c r="D651" s="54">
        <v>324.8458</v>
      </c>
      <c r="E651" s="54">
        <v>26410954</v>
      </c>
      <c r="F651" s="54" t="s">
        <v>1469</v>
      </c>
      <c r="G651" s="25">
        <f t="shared" si="8"/>
        <v>-4.3743831688758394E-3</v>
      </c>
    </row>
    <row r="652" spans="1:7">
      <c r="A652" s="54">
        <v>324.44119999999998</v>
      </c>
      <c r="B652" s="54">
        <v>325.4477</v>
      </c>
      <c r="C652" s="54">
        <v>322.12720000000002</v>
      </c>
      <c r="D652" s="54">
        <v>324.32279999999997</v>
      </c>
      <c r="E652" s="54">
        <v>15222110</v>
      </c>
      <c r="F652" s="54" t="s">
        <v>1470</v>
      </c>
      <c r="G652" s="25">
        <f t="shared" si="8"/>
        <v>3.6506838248806517E-4</v>
      </c>
    </row>
    <row r="653" spans="1:7">
      <c r="A653" s="54">
        <v>324.06619999999998</v>
      </c>
      <c r="B653" s="54">
        <v>324.63209999999998</v>
      </c>
      <c r="C653" s="54">
        <v>317.62259999999998</v>
      </c>
      <c r="D653" s="54">
        <v>317.62259999999998</v>
      </c>
      <c r="E653" s="54">
        <v>19284590</v>
      </c>
      <c r="F653" s="54" t="s">
        <v>1471</v>
      </c>
      <c r="G653" s="25">
        <f t="shared" si="8"/>
        <v>2.0286969504059282E-2</v>
      </c>
    </row>
    <row r="654" spans="1:7">
      <c r="A654" s="54">
        <v>319.41849999999999</v>
      </c>
      <c r="B654" s="54">
        <v>321.83609999999999</v>
      </c>
      <c r="C654" s="54">
        <v>317.4667</v>
      </c>
      <c r="D654" s="54">
        <v>321.3526</v>
      </c>
      <c r="E654" s="54">
        <v>14808482</v>
      </c>
      <c r="F654" s="54" t="s">
        <v>1472</v>
      </c>
      <c r="G654" s="25">
        <f t="shared" si="8"/>
        <v>-6.0186225348729527E-3</v>
      </c>
    </row>
    <row r="655" spans="1:7">
      <c r="A655" s="54">
        <v>318.7081</v>
      </c>
      <c r="B655" s="54">
        <v>321.0566</v>
      </c>
      <c r="C655" s="54">
        <v>314.58339999999998</v>
      </c>
      <c r="D655" s="54">
        <v>317.21800000000002</v>
      </c>
      <c r="E655" s="54">
        <v>21684104</v>
      </c>
      <c r="F655" s="54" t="s">
        <v>1473</v>
      </c>
      <c r="G655" s="25">
        <f t="shared" si="8"/>
        <v>4.6974005258213491E-3</v>
      </c>
    </row>
    <row r="656" spans="1:7">
      <c r="A656" s="54">
        <v>315.73790000000002</v>
      </c>
      <c r="B656" s="54">
        <v>328.57580000000002</v>
      </c>
      <c r="C656" s="54">
        <v>315.72800000000001</v>
      </c>
      <c r="D656" s="54">
        <v>328.44749999999999</v>
      </c>
      <c r="E656" s="54">
        <v>23281434</v>
      </c>
      <c r="F656" s="54" t="s">
        <v>1474</v>
      </c>
      <c r="G656" s="25">
        <f t="shared" si="8"/>
        <v>-3.8695986420965167E-2</v>
      </c>
    </row>
    <row r="657" spans="1:7">
      <c r="A657" s="54">
        <v>322.67489999999998</v>
      </c>
      <c r="B657" s="54">
        <v>324.8458</v>
      </c>
      <c r="C657" s="54">
        <v>319.18169999999998</v>
      </c>
      <c r="D657" s="54">
        <v>319.5369</v>
      </c>
      <c r="E657" s="54">
        <v>21166382</v>
      </c>
      <c r="F657" s="54" t="s">
        <v>1475</v>
      </c>
      <c r="G657" s="25">
        <f t="shared" si="8"/>
        <v>9.8204620499227069E-3</v>
      </c>
    </row>
    <row r="658" spans="1:7">
      <c r="A658" s="54">
        <v>318.19490000000002</v>
      </c>
      <c r="B658" s="54">
        <v>321.76209999999998</v>
      </c>
      <c r="C658" s="54">
        <v>317.20819999999998</v>
      </c>
      <c r="D658" s="54">
        <v>321.19470000000001</v>
      </c>
      <c r="E658" s="54">
        <v>16102024</v>
      </c>
      <c r="F658" s="54" t="s">
        <v>1476</v>
      </c>
      <c r="G658" s="25">
        <f t="shared" si="8"/>
        <v>-9.339506536066744E-3</v>
      </c>
    </row>
    <row r="659" spans="1:7">
      <c r="A659" s="54">
        <v>317.62259999999998</v>
      </c>
      <c r="B659" s="54">
        <v>318.50080000000003</v>
      </c>
      <c r="C659" s="54">
        <v>312.84660000000002</v>
      </c>
      <c r="D659" s="54">
        <v>313.72480000000002</v>
      </c>
      <c r="E659" s="54">
        <v>24039956</v>
      </c>
      <c r="F659" s="54" t="s">
        <v>1477</v>
      </c>
      <c r="G659" s="25">
        <f t="shared" si="8"/>
        <v>1.2424264833382548E-2</v>
      </c>
    </row>
    <row r="660" spans="1:7">
      <c r="A660" s="54">
        <v>312.29399999999998</v>
      </c>
      <c r="B660" s="54">
        <v>314.16890000000001</v>
      </c>
      <c r="C660" s="54">
        <v>307.43</v>
      </c>
      <c r="D660" s="54">
        <v>310.33030000000002</v>
      </c>
      <c r="E660" s="54">
        <v>24755012</v>
      </c>
      <c r="F660" s="54" t="s">
        <v>1478</v>
      </c>
      <c r="G660" s="25">
        <f t="shared" si="8"/>
        <v>6.3277739879088468E-3</v>
      </c>
    </row>
    <row r="661" spans="1:7">
      <c r="A661" s="54">
        <v>312.68869999999998</v>
      </c>
      <c r="B661" s="54">
        <v>317.61270000000002</v>
      </c>
      <c r="C661" s="54">
        <v>312.02760000000001</v>
      </c>
      <c r="D661" s="54">
        <v>316.30029999999999</v>
      </c>
      <c r="E661" s="54">
        <v>21257161</v>
      </c>
      <c r="F661" s="54" t="s">
        <v>1479</v>
      </c>
      <c r="G661" s="25">
        <f t="shared" si="8"/>
        <v>-1.1418262960863457E-2</v>
      </c>
    </row>
    <row r="662" spans="1:7">
      <c r="A662" s="54">
        <v>316.16219999999998</v>
      </c>
      <c r="B662" s="54">
        <v>320.12900000000002</v>
      </c>
      <c r="C662" s="54">
        <v>315.5736</v>
      </c>
      <c r="D662" s="54">
        <v>316.55689999999998</v>
      </c>
      <c r="E662" s="54">
        <v>20698864</v>
      </c>
      <c r="F662" s="54" t="s">
        <v>1480</v>
      </c>
      <c r="G662" s="25">
        <f t="shared" si="8"/>
        <v>-1.2468532513427721E-3</v>
      </c>
    </row>
    <row r="663" spans="1:7">
      <c r="A663" s="54">
        <v>316.93189999999998</v>
      </c>
      <c r="B663" s="54">
        <v>320.11239999999998</v>
      </c>
      <c r="C663" s="54">
        <v>315.98989999999998</v>
      </c>
      <c r="D663" s="54">
        <v>318.05439999999999</v>
      </c>
      <c r="E663" s="54">
        <v>16966285</v>
      </c>
      <c r="F663" s="54" t="s">
        <v>1481</v>
      </c>
      <c r="G663" s="25">
        <f t="shared" si="8"/>
        <v>-3.5292704644237505E-3</v>
      </c>
    </row>
    <row r="664" spans="1:7">
      <c r="A664" s="54">
        <v>319.07850000000002</v>
      </c>
      <c r="B664" s="54">
        <v>319.09820000000002</v>
      </c>
      <c r="C664" s="54">
        <v>315.17910000000001</v>
      </c>
      <c r="D664" s="54">
        <v>316.46910000000003</v>
      </c>
      <c r="E664" s="54">
        <v>18836139</v>
      </c>
      <c r="F664" s="54" t="s">
        <v>1482</v>
      </c>
      <c r="G664" s="25">
        <f t="shared" ref="G664:G727" si="9">A664/D664-1</f>
        <v>8.2453547597538535E-3</v>
      </c>
    </row>
    <row r="665" spans="1:7">
      <c r="A665" s="54">
        <v>316.0949</v>
      </c>
      <c r="B665" s="54">
        <v>317.47340000000003</v>
      </c>
      <c r="C665" s="54">
        <v>314.32240000000002</v>
      </c>
      <c r="D665" s="54">
        <v>315.35640000000001</v>
      </c>
      <c r="E665" s="54">
        <v>24355491</v>
      </c>
      <c r="F665" s="54" t="s">
        <v>1483</v>
      </c>
      <c r="G665" s="25">
        <f t="shared" si="9"/>
        <v>2.3417948708190917E-3</v>
      </c>
    </row>
    <row r="666" spans="1:7">
      <c r="A666" s="54">
        <v>317.9855</v>
      </c>
      <c r="B666" s="54">
        <v>323.23390000000001</v>
      </c>
      <c r="C666" s="54">
        <v>316.26229999999998</v>
      </c>
      <c r="D666" s="54">
        <v>321.02319999999997</v>
      </c>
      <c r="E666" s="54">
        <v>20113725</v>
      </c>
      <c r="F666" s="54" t="s">
        <v>1484</v>
      </c>
      <c r="G666" s="25">
        <f t="shared" si="9"/>
        <v>-9.4625559772626433E-3</v>
      </c>
    </row>
    <row r="667" spans="1:7">
      <c r="A667" s="54">
        <v>317.2962</v>
      </c>
      <c r="B667" s="54">
        <v>322.10149999999999</v>
      </c>
      <c r="C667" s="54">
        <v>316.13420000000002</v>
      </c>
      <c r="D667" s="54">
        <v>321.47129999999999</v>
      </c>
      <c r="E667" s="54">
        <v>22373268</v>
      </c>
      <c r="F667" s="54" t="s">
        <v>1485</v>
      </c>
      <c r="G667" s="25">
        <f t="shared" si="9"/>
        <v>-1.2987473531851812E-2</v>
      </c>
    </row>
    <row r="668" spans="1:7">
      <c r="A668" s="54">
        <v>321.05770000000001</v>
      </c>
      <c r="B668" s="54">
        <v>323.71640000000002</v>
      </c>
      <c r="C668" s="54">
        <v>318.05439999999999</v>
      </c>
      <c r="D668" s="54">
        <v>321.9538</v>
      </c>
      <c r="E668" s="54">
        <v>22327574</v>
      </c>
      <c r="F668" s="54" t="s">
        <v>1486</v>
      </c>
      <c r="G668" s="25">
        <f t="shared" si="9"/>
        <v>-2.7833186003706212E-3</v>
      </c>
    </row>
    <row r="669" spans="1:7">
      <c r="A669" s="54">
        <v>325.05549999999999</v>
      </c>
      <c r="B669" s="54">
        <v>326.04020000000003</v>
      </c>
      <c r="C669" s="54">
        <v>322.5052</v>
      </c>
      <c r="D669" s="54">
        <v>323.34219999999999</v>
      </c>
      <c r="E669" s="54">
        <v>17741526</v>
      </c>
      <c r="F669" s="54" t="s">
        <v>1487</v>
      </c>
      <c r="G669" s="25">
        <f t="shared" si="9"/>
        <v>5.2987206742578508E-3</v>
      </c>
    </row>
    <row r="670" spans="1:7">
      <c r="A670" s="54">
        <v>322.76119999999997</v>
      </c>
      <c r="B670" s="54">
        <v>330.00850000000003</v>
      </c>
      <c r="C670" s="54">
        <v>322.22949999999997</v>
      </c>
      <c r="D670" s="54">
        <v>326.79840000000002</v>
      </c>
      <c r="E670" s="54">
        <v>23741484</v>
      </c>
      <c r="F670" s="54" t="s">
        <v>1488</v>
      </c>
      <c r="G670" s="25">
        <f t="shared" si="9"/>
        <v>-1.2353793653824607E-2</v>
      </c>
    </row>
    <row r="671" spans="1:7">
      <c r="A671" s="54">
        <v>321.65839999999997</v>
      </c>
      <c r="B671" s="54">
        <v>324.82909999999998</v>
      </c>
      <c r="C671" s="54">
        <v>320.95920000000001</v>
      </c>
      <c r="D671" s="54">
        <v>321.00850000000003</v>
      </c>
      <c r="E671" s="54">
        <v>18360352</v>
      </c>
      <c r="F671" s="54" t="s">
        <v>1489</v>
      </c>
      <c r="G671" s="25">
        <f t="shared" si="9"/>
        <v>2.0245569821357723E-3</v>
      </c>
    </row>
    <row r="672" spans="1:7">
      <c r="A672" s="54">
        <v>322.4855</v>
      </c>
      <c r="B672" s="54">
        <v>328.52159999999998</v>
      </c>
      <c r="C672" s="54">
        <v>321.35809999999998</v>
      </c>
      <c r="D672" s="54">
        <v>328.52159999999998</v>
      </c>
      <c r="E672" s="54">
        <v>27761257</v>
      </c>
      <c r="F672" s="54" t="s">
        <v>1490</v>
      </c>
      <c r="G672" s="25">
        <f t="shared" si="9"/>
        <v>-1.8373525515521627E-2</v>
      </c>
    </row>
    <row r="673" spans="1:7">
      <c r="A673" s="54">
        <v>331.19009999999997</v>
      </c>
      <c r="B673" s="54">
        <v>333.35649999999998</v>
      </c>
      <c r="C673" s="54">
        <v>328.59059999999999</v>
      </c>
      <c r="D673" s="54">
        <v>330.05779999999999</v>
      </c>
      <c r="E673" s="54">
        <v>18381253</v>
      </c>
      <c r="F673" s="54" t="s">
        <v>1491</v>
      </c>
      <c r="G673" s="25">
        <f t="shared" si="9"/>
        <v>3.430611244454651E-3</v>
      </c>
    </row>
    <row r="674" spans="1:7">
      <c r="A674" s="54">
        <v>330.77659999999997</v>
      </c>
      <c r="B674" s="54">
        <v>332.52440000000001</v>
      </c>
      <c r="C674" s="54">
        <v>328.25580000000002</v>
      </c>
      <c r="D674" s="54">
        <v>331.76130000000001</v>
      </c>
      <c r="E674" s="54">
        <v>25446022</v>
      </c>
      <c r="F674" s="54" t="s">
        <v>1492</v>
      </c>
      <c r="G674" s="25">
        <f t="shared" si="9"/>
        <v>-2.9680978462528484E-3</v>
      </c>
    </row>
    <row r="675" spans="1:7">
      <c r="A675" s="54">
        <v>333.1891</v>
      </c>
      <c r="B675" s="54">
        <v>334.80399999999997</v>
      </c>
      <c r="C675" s="54">
        <v>328.06869999999998</v>
      </c>
      <c r="D675" s="54">
        <v>328.56099999999998</v>
      </c>
      <c r="E675" s="54">
        <v>28484868</v>
      </c>
      <c r="F675" s="54" t="s">
        <v>1493</v>
      </c>
      <c r="G675" s="25">
        <f t="shared" si="9"/>
        <v>1.4085968815531924E-2</v>
      </c>
    </row>
    <row r="676" spans="1:7">
      <c r="A676" s="54">
        <v>325.65620000000001</v>
      </c>
      <c r="B676" s="54">
        <v>336.1037</v>
      </c>
      <c r="C676" s="54">
        <v>324.01179999999999</v>
      </c>
      <c r="D676" s="54">
        <v>335.26679999999999</v>
      </c>
      <c r="E676" s="54">
        <v>39635262</v>
      </c>
      <c r="F676" s="54" t="s">
        <v>1494</v>
      </c>
      <c r="G676" s="25">
        <f t="shared" si="9"/>
        <v>-2.8665528468670209E-2</v>
      </c>
    </row>
    <row r="677" spans="1:7">
      <c r="A677" s="54">
        <v>332.59829999999999</v>
      </c>
      <c r="B677" s="54">
        <v>339.39260000000002</v>
      </c>
      <c r="C677" s="54">
        <v>328.00959999999998</v>
      </c>
      <c r="D677" s="54">
        <v>336.21210000000002</v>
      </c>
      <c r="E677" s="54">
        <v>58383702</v>
      </c>
      <c r="F677" s="54" t="s">
        <v>1495</v>
      </c>
      <c r="G677" s="25">
        <f t="shared" si="9"/>
        <v>-1.0748572106714871E-2</v>
      </c>
    </row>
    <row r="678" spans="1:7">
      <c r="A678" s="54">
        <v>345.60599999999999</v>
      </c>
      <c r="B678" s="54">
        <v>346.50209999999998</v>
      </c>
      <c r="C678" s="54">
        <v>339.78649999999999</v>
      </c>
      <c r="D678" s="54">
        <v>341.79520000000002</v>
      </c>
      <c r="E678" s="54">
        <v>41637739</v>
      </c>
      <c r="F678" s="54" t="s">
        <v>1496</v>
      </c>
      <c r="G678" s="25">
        <f t="shared" si="9"/>
        <v>1.1149366638267599E-2</v>
      </c>
    </row>
    <row r="679" spans="1:7">
      <c r="A679" s="54">
        <v>339.82589999999999</v>
      </c>
      <c r="B679" s="54">
        <v>341.60820000000001</v>
      </c>
      <c r="C679" s="54">
        <v>337.06869999999998</v>
      </c>
      <c r="D679" s="54">
        <v>340.55450000000002</v>
      </c>
      <c r="E679" s="54">
        <v>26719207</v>
      </c>
      <c r="F679" s="54" t="s">
        <v>1497</v>
      </c>
      <c r="G679" s="25">
        <f t="shared" si="9"/>
        <v>-2.1394519819882829E-3</v>
      </c>
    </row>
    <row r="680" spans="1:7">
      <c r="A680" s="54">
        <v>338.50639999999999</v>
      </c>
      <c r="B680" s="54">
        <v>344.93639999999999</v>
      </c>
      <c r="C680" s="54">
        <v>334.62670000000003</v>
      </c>
      <c r="D680" s="54">
        <v>343.80399999999997</v>
      </c>
      <c r="E680" s="54">
        <v>69405382</v>
      </c>
      <c r="F680" s="54" t="s">
        <v>1498</v>
      </c>
      <c r="G680" s="25">
        <f t="shared" si="9"/>
        <v>-1.5408779420832741E-2</v>
      </c>
    </row>
    <row r="681" spans="1:7">
      <c r="A681" s="54">
        <v>341.55889999999999</v>
      </c>
      <c r="B681" s="54">
        <v>352.48899999999998</v>
      </c>
      <c r="C681" s="54">
        <v>340.08190000000002</v>
      </c>
      <c r="D681" s="54">
        <v>348.15629999999999</v>
      </c>
      <c r="E681" s="54">
        <v>33778395</v>
      </c>
      <c r="F681" s="54" t="s">
        <v>1499</v>
      </c>
      <c r="G681" s="25">
        <f t="shared" si="9"/>
        <v>-1.8949535022057651E-2</v>
      </c>
    </row>
    <row r="682" spans="1:7">
      <c r="A682" s="54">
        <v>349.64319999999998</v>
      </c>
      <c r="B682" s="54">
        <v>356.91019999999997</v>
      </c>
      <c r="C682" s="54">
        <v>347.03870000000001</v>
      </c>
      <c r="D682" s="54">
        <v>356.21109999999999</v>
      </c>
      <c r="E682" s="54">
        <v>39732901</v>
      </c>
      <c r="F682" s="54" t="s">
        <v>1500</v>
      </c>
      <c r="G682" s="25">
        <f t="shared" si="9"/>
        <v>-1.8438223850969271E-2</v>
      </c>
    </row>
    <row r="683" spans="1:7">
      <c r="A683" s="54">
        <v>353.98570000000001</v>
      </c>
      <c r="B683" s="54">
        <v>361.16410000000002</v>
      </c>
      <c r="C683" s="54">
        <v>336.93090000000001</v>
      </c>
      <c r="D683" s="54">
        <v>340.53480000000002</v>
      </c>
      <c r="E683" s="54">
        <v>64872705</v>
      </c>
      <c r="F683" s="54" t="s">
        <v>1501</v>
      </c>
      <c r="G683" s="25">
        <f t="shared" si="9"/>
        <v>3.9499340449199227E-2</v>
      </c>
    </row>
    <row r="684" spans="1:7">
      <c r="A684" s="54">
        <v>340.43639999999999</v>
      </c>
      <c r="B684" s="54">
        <v>341.6771</v>
      </c>
      <c r="C684" s="54">
        <v>336.96039999999999</v>
      </c>
      <c r="D684" s="54">
        <v>340.3852</v>
      </c>
      <c r="E684" s="54">
        <v>20363927</v>
      </c>
      <c r="F684" s="54" t="s">
        <v>1502</v>
      </c>
      <c r="G684" s="25">
        <f t="shared" si="9"/>
        <v>1.5041782075120302E-4</v>
      </c>
    </row>
    <row r="685" spans="1:7">
      <c r="A685" s="54">
        <v>339.95389999999998</v>
      </c>
      <c r="B685" s="54">
        <v>346.04910000000001</v>
      </c>
      <c r="C685" s="54">
        <v>339.03809999999999</v>
      </c>
      <c r="D685" s="54">
        <v>342.2679</v>
      </c>
      <c r="E685" s="54">
        <v>28352729</v>
      </c>
      <c r="F685" s="54" t="s">
        <v>1503</v>
      </c>
      <c r="G685" s="25">
        <f t="shared" si="9"/>
        <v>-6.7607859223726141E-3</v>
      </c>
    </row>
    <row r="686" spans="1:7">
      <c r="A686" s="54">
        <v>337.41340000000002</v>
      </c>
      <c r="B686" s="54">
        <v>338.47680000000003</v>
      </c>
      <c r="C686" s="54">
        <v>333.82909999999998</v>
      </c>
      <c r="D686" s="54">
        <v>334.36079999999998</v>
      </c>
      <c r="E686" s="54">
        <v>20567159</v>
      </c>
      <c r="F686" s="54" t="s">
        <v>1504</v>
      </c>
      <c r="G686" s="25">
        <f t="shared" si="9"/>
        <v>9.1296587399003482E-3</v>
      </c>
    </row>
    <row r="687" spans="1:7">
      <c r="A687" s="54">
        <v>332.03699999999998</v>
      </c>
      <c r="B687" s="54">
        <v>336.42079999999999</v>
      </c>
      <c r="C687" s="54">
        <v>330.53039999999999</v>
      </c>
      <c r="D687" s="54">
        <v>331.44619999999998</v>
      </c>
      <c r="E687" s="54">
        <v>29995262</v>
      </c>
      <c r="F687" s="54" t="s">
        <v>1505</v>
      </c>
      <c r="G687" s="25">
        <f t="shared" si="9"/>
        <v>1.7824913967938727E-3</v>
      </c>
    </row>
    <row r="688" spans="1:7">
      <c r="A688" s="54">
        <v>327.37939999999998</v>
      </c>
      <c r="B688" s="54">
        <v>327.76339999999999</v>
      </c>
      <c r="C688" s="54">
        <v>321.9932</v>
      </c>
      <c r="D688" s="54">
        <v>325.99099999999999</v>
      </c>
      <c r="E688" s="54">
        <v>26698218</v>
      </c>
      <c r="F688" s="54" t="s">
        <v>1506</v>
      </c>
      <c r="G688" s="25">
        <f t="shared" si="9"/>
        <v>4.2590132856428209E-3</v>
      </c>
    </row>
    <row r="689" spans="1:7">
      <c r="A689" s="54">
        <v>326.74919999999997</v>
      </c>
      <c r="B689" s="54">
        <v>330.09710000000001</v>
      </c>
      <c r="C689" s="54">
        <v>322.57409999999999</v>
      </c>
      <c r="D689" s="54">
        <v>329.47680000000003</v>
      </c>
      <c r="E689" s="54">
        <v>32791449</v>
      </c>
      <c r="F689" s="54" t="s">
        <v>1507</v>
      </c>
      <c r="G689" s="25">
        <f t="shared" si="9"/>
        <v>-8.2785798575196745E-3</v>
      </c>
    </row>
    <row r="690" spans="1:7">
      <c r="A690" s="54">
        <v>332.05669999999998</v>
      </c>
      <c r="B690" s="54">
        <v>336.55669999999998</v>
      </c>
      <c r="C690" s="54">
        <v>331.84</v>
      </c>
      <c r="D690" s="54">
        <v>334.12450000000001</v>
      </c>
      <c r="E690" s="54">
        <v>21214824</v>
      </c>
      <c r="F690" s="54" t="s">
        <v>1508</v>
      </c>
      <c r="G690" s="25">
        <f t="shared" si="9"/>
        <v>-6.1887110942179246E-3</v>
      </c>
    </row>
    <row r="691" spans="1:7">
      <c r="A691" s="54">
        <v>336.04469999999998</v>
      </c>
      <c r="B691" s="54">
        <v>337.73829999999998</v>
      </c>
      <c r="C691" s="54">
        <v>330.363</v>
      </c>
      <c r="D691" s="54">
        <v>332.1354</v>
      </c>
      <c r="E691" s="54">
        <v>28195534</v>
      </c>
      <c r="F691" s="54" t="s">
        <v>1509</v>
      </c>
      <c r="G691" s="25">
        <f t="shared" si="9"/>
        <v>1.1770199743839305E-2</v>
      </c>
    </row>
    <row r="692" spans="1:7">
      <c r="A692" s="54">
        <v>332.97239999999999</v>
      </c>
      <c r="B692" s="54">
        <v>336.41879999999998</v>
      </c>
      <c r="C692" s="54">
        <v>329.60239999999999</v>
      </c>
      <c r="D692" s="54">
        <v>329.95929999999998</v>
      </c>
      <c r="E692" s="54">
        <v>18172378</v>
      </c>
      <c r="F692" s="54" t="s">
        <v>1510</v>
      </c>
      <c r="G692" s="25">
        <f t="shared" si="9"/>
        <v>9.1317323075907897E-3</v>
      </c>
    </row>
    <row r="693" spans="1:7">
      <c r="A693" s="54">
        <v>332.81490000000002</v>
      </c>
      <c r="B693" s="54">
        <v>335.68029999999999</v>
      </c>
      <c r="C693" s="54">
        <v>331.41759999999999</v>
      </c>
      <c r="D693" s="54">
        <v>333.99650000000003</v>
      </c>
      <c r="E693" s="54">
        <v>12508692</v>
      </c>
      <c r="F693" s="54" t="s">
        <v>1511</v>
      </c>
      <c r="G693" s="25">
        <f t="shared" si="9"/>
        <v>-3.5377616232505904E-3</v>
      </c>
    </row>
    <row r="694" spans="1:7">
      <c r="A694" s="54">
        <v>335.32580000000002</v>
      </c>
      <c r="B694" s="54">
        <v>337.48230000000001</v>
      </c>
      <c r="C694" s="54">
        <v>332.03699999999998</v>
      </c>
      <c r="D694" s="54">
        <v>332.57859999999999</v>
      </c>
      <c r="E694" s="54">
        <v>26832756</v>
      </c>
      <c r="F694" s="54" t="s">
        <v>1512</v>
      </c>
      <c r="G694" s="25">
        <f t="shared" si="9"/>
        <v>8.2603029780028425E-3</v>
      </c>
    </row>
    <row r="695" spans="1:7">
      <c r="A695" s="54">
        <v>329.91989999999998</v>
      </c>
      <c r="B695" s="54">
        <v>330.96370000000002</v>
      </c>
      <c r="C695" s="54">
        <v>327.52710000000002</v>
      </c>
      <c r="D695" s="54">
        <v>329.58510000000001</v>
      </c>
      <c r="E695" s="54">
        <v>16997042</v>
      </c>
      <c r="F695" s="54" t="s">
        <v>1513</v>
      </c>
      <c r="G695" s="25">
        <f t="shared" si="9"/>
        <v>1.0158226206220533E-3</v>
      </c>
    </row>
    <row r="696" spans="1:7">
      <c r="A696" s="54">
        <v>330.70769999999999</v>
      </c>
      <c r="B696" s="54">
        <v>332.80500000000001</v>
      </c>
      <c r="C696" s="54">
        <v>328.69889999999998</v>
      </c>
      <c r="D696" s="54">
        <v>329.53590000000003</v>
      </c>
      <c r="E696" s="54">
        <v>20259523</v>
      </c>
      <c r="F696" s="54" t="s">
        <v>1514</v>
      </c>
      <c r="G696" s="25">
        <f t="shared" si="9"/>
        <v>3.5559099934179272E-3</v>
      </c>
    </row>
    <row r="697" spans="1:7">
      <c r="A697" s="54">
        <v>329.44720000000001</v>
      </c>
      <c r="B697" s="54">
        <v>331.00310000000002</v>
      </c>
      <c r="C697" s="54">
        <v>324.25790000000001</v>
      </c>
      <c r="D697" s="54">
        <v>326.77870000000001</v>
      </c>
      <c r="E697" s="54">
        <v>24354110</v>
      </c>
      <c r="F697" s="54" t="s">
        <v>1515</v>
      </c>
      <c r="G697" s="25">
        <f t="shared" si="9"/>
        <v>8.1660769199460859E-3</v>
      </c>
    </row>
    <row r="698" spans="1:7">
      <c r="A698" s="54">
        <v>323.56869999999998</v>
      </c>
      <c r="B698" s="54">
        <v>330.96370000000002</v>
      </c>
      <c r="C698" s="54">
        <v>323.46030000000002</v>
      </c>
      <c r="D698" s="54">
        <v>328.6103</v>
      </c>
      <c r="E698" s="54">
        <v>21520582</v>
      </c>
      <c r="F698" s="54" t="s">
        <v>1516</v>
      </c>
      <c r="G698" s="25">
        <f t="shared" si="9"/>
        <v>-1.534218495281503E-2</v>
      </c>
    </row>
    <row r="699" spans="1:7">
      <c r="A699" s="54">
        <v>329.8904</v>
      </c>
      <c r="B699" s="54">
        <v>332.78530000000001</v>
      </c>
      <c r="C699" s="54">
        <v>328.34440000000001</v>
      </c>
      <c r="D699" s="54">
        <v>329.2405</v>
      </c>
      <c r="E699" s="54">
        <v>23146901</v>
      </c>
      <c r="F699" s="54" t="s">
        <v>1517</v>
      </c>
      <c r="G699" s="25">
        <f t="shared" si="9"/>
        <v>1.9739369852735944E-3</v>
      </c>
    </row>
    <row r="700" spans="1:7">
      <c r="A700" s="54">
        <v>334.50850000000003</v>
      </c>
      <c r="B700" s="54">
        <v>334.91230000000002</v>
      </c>
      <c r="C700" s="54">
        <v>328.23610000000002</v>
      </c>
      <c r="D700" s="54">
        <v>329.00409999999999</v>
      </c>
      <c r="E700" s="54">
        <v>23556764</v>
      </c>
      <c r="F700" s="54" t="s">
        <v>1518</v>
      </c>
      <c r="G700" s="25">
        <f t="shared" si="9"/>
        <v>1.6730490592670622E-2</v>
      </c>
    </row>
    <row r="701" spans="1:7">
      <c r="A701" s="54">
        <v>328.45269999999999</v>
      </c>
      <c r="B701" s="54">
        <v>332.55889999999999</v>
      </c>
      <c r="C701" s="54">
        <v>326.9855</v>
      </c>
      <c r="D701" s="54">
        <v>331.21969999999999</v>
      </c>
      <c r="E701" s="54">
        <v>25117799</v>
      </c>
      <c r="F701" s="54" t="s">
        <v>1519</v>
      </c>
      <c r="G701" s="25">
        <f t="shared" si="9"/>
        <v>-8.3539716991470891E-3</v>
      </c>
    </row>
    <row r="702" spans="1:7">
      <c r="A702" s="54">
        <v>332.87400000000002</v>
      </c>
      <c r="B702" s="54">
        <v>336.84230000000002</v>
      </c>
      <c r="C702" s="54">
        <v>330.71749999999997</v>
      </c>
      <c r="D702" s="54">
        <v>334.11470000000003</v>
      </c>
      <c r="E702" s="54">
        <v>26375407</v>
      </c>
      <c r="F702" s="54" t="s">
        <v>1520</v>
      </c>
      <c r="G702" s="25">
        <f t="shared" si="9"/>
        <v>-3.7133954297731142E-3</v>
      </c>
    </row>
    <row r="703" spans="1:7">
      <c r="A703" s="54">
        <v>337.08839999999998</v>
      </c>
      <c r="B703" s="54">
        <v>346.08850000000001</v>
      </c>
      <c r="C703" s="54">
        <v>336.71429999999998</v>
      </c>
      <c r="D703" s="54">
        <v>345.94080000000002</v>
      </c>
      <c r="E703" s="54">
        <v>46551985</v>
      </c>
      <c r="F703" s="54" t="s">
        <v>1521</v>
      </c>
      <c r="G703" s="25">
        <f t="shared" si="9"/>
        <v>-2.5589349391572314E-2</v>
      </c>
    </row>
    <row r="704" spans="1:7">
      <c r="A704" s="54">
        <v>342.77010000000001</v>
      </c>
      <c r="B704" s="54">
        <v>344.48340000000002</v>
      </c>
      <c r="C704" s="54">
        <v>332.03699999999998</v>
      </c>
      <c r="D704" s="54">
        <v>332.31270000000001</v>
      </c>
      <c r="E704" s="54">
        <v>38899075</v>
      </c>
      <c r="F704" s="54" t="s">
        <v>1522</v>
      </c>
      <c r="G704" s="25">
        <f t="shared" si="9"/>
        <v>3.1468553564158119E-2</v>
      </c>
    </row>
    <row r="705" spans="1:7">
      <c r="A705" s="54">
        <v>332.1748</v>
      </c>
      <c r="B705" s="54">
        <v>333.84879999999998</v>
      </c>
      <c r="C705" s="54">
        <v>327.71420000000001</v>
      </c>
      <c r="D705" s="54">
        <v>329.2208</v>
      </c>
      <c r="E705" s="54">
        <v>26003791</v>
      </c>
      <c r="F705" s="54" t="s">
        <v>1523</v>
      </c>
      <c r="G705" s="25">
        <f t="shared" si="9"/>
        <v>8.9727016033009921E-3</v>
      </c>
    </row>
    <row r="706" spans="1:7">
      <c r="A706" s="54">
        <v>329.17149999999998</v>
      </c>
      <c r="B706" s="54">
        <v>331.82029999999997</v>
      </c>
      <c r="C706" s="54">
        <v>325.3313</v>
      </c>
      <c r="D706" s="54">
        <v>329.34390000000002</v>
      </c>
      <c r="E706" s="54">
        <v>22951279</v>
      </c>
      <c r="F706" s="54" t="s">
        <v>1524</v>
      </c>
      <c r="G706" s="25">
        <f t="shared" si="9"/>
        <v>-5.2346498599198377E-4</v>
      </c>
    </row>
    <row r="707" spans="1:7">
      <c r="A707" s="54">
        <v>326.76889999999997</v>
      </c>
      <c r="B707" s="54">
        <v>327.01499999999999</v>
      </c>
      <c r="C707" s="54">
        <v>320.18130000000002</v>
      </c>
      <c r="D707" s="54">
        <v>323.54899999999998</v>
      </c>
      <c r="E707" s="54">
        <v>24306753</v>
      </c>
      <c r="F707" s="54" t="s">
        <v>1525</v>
      </c>
      <c r="G707" s="25">
        <f t="shared" si="9"/>
        <v>9.9518156446163353E-3</v>
      </c>
    </row>
    <row r="708" spans="1:7">
      <c r="A708" s="54">
        <v>321.78640000000001</v>
      </c>
      <c r="B708" s="54">
        <v>324.93740000000003</v>
      </c>
      <c r="C708" s="54">
        <v>319.44279999999998</v>
      </c>
      <c r="D708" s="54">
        <v>320.01389999999998</v>
      </c>
      <c r="E708" s="54">
        <v>22528950</v>
      </c>
      <c r="F708" s="54" t="s">
        <v>1526</v>
      </c>
      <c r="G708" s="25">
        <f t="shared" si="9"/>
        <v>5.5388219074234968E-3</v>
      </c>
    </row>
    <row r="709" spans="1:7">
      <c r="A709" s="54">
        <v>320.27980000000002</v>
      </c>
      <c r="B709" s="54">
        <v>321.63869999999997</v>
      </c>
      <c r="C709" s="54">
        <v>318.399</v>
      </c>
      <c r="D709" s="54">
        <v>318.9751</v>
      </c>
      <c r="E709" s="54">
        <v>23277708</v>
      </c>
      <c r="F709" s="54" t="s">
        <v>1527</v>
      </c>
      <c r="G709" s="25">
        <f t="shared" si="9"/>
        <v>4.0902879252957547E-3</v>
      </c>
    </row>
    <row r="710" spans="1:7">
      <c r="A710" s="54">
        <v>318.42860000000002</v>
      </c>
      <c r="B710" s="54">
        <v>329.36849999999998</v>
      </c>
      <c r="C710" s="54">
        <v>317.56209999999999</v>
      </c>
      <c r="D710" s="54">
        <v>326.572</v>
      </c>
      <c r="E710" s="54">
        <v>40717129</v>
      </c>
      <c r="F710" s="54" t="s">
        <v>1528</v>
      </c>
      <c r="G710" s="25">
        <f t="shared" si="9"/>
        <v>-2.4936001861763923E-2</v>
      </c>
    </row>
    <row r="711" spans="1:7">
      <c r="A711" s="54">
        <v>328.57089999999999</v>
      </c>
      <c r="B711" s="54">
        <v>330.23500000000001</v>
      </c>
      <c r="C711" s="54">
        <v>327.084</v>
      </c>
      <c r="D711" s="54">
        <v>330.19560000000001</v>
      </c>
      <c r="E711" s="54">
        <v>20396223</v>
      </c>
      <c r="F711" s="54" t="s">
        <v>1529</v>
      </c>
      <c r="G711" s="25">
        <f t="shared" si="9"/>
        <v>-4.9204168680625493E-3</v>
      </c>
    </row>
    <row r="712" spans="1:7">
      <c r="A712" s="54">
        <v>330.79629999999997</v>
      </c>
      <c r="B712" s="54">
        <v>333.37610000000001</v>
      </c>
      <c r="C712" s="54">
        <v>329.536</v>
      </c>
      <c r="D712" s="54">
        <v>330.08730000000003</v>
      </c>
      <c r="E712" s="54">
        <v>21307053</v>
      </c>
      <c r="F712" s="54" t="s">
        <v>1530</v>
      </c>
      <c r="G712" s="25">
        <f t="shared" si="9"/>
        <v>2.1479166269042782E-3</v>
      </c>
    </row>
    <row r="713" spans="1:7">
      <c r="A713" s="54">
        <v>330.2645</v>
      </c>
      <c r="B713" s="54">
        <v>332.33240000000001</v>
      </c>
      <c r="C713" s="54">
        <v>327.45819999999998</v>
      </c>
      <c r="D713" s="54">
        <v>329.12920000000003</v>
      </c>
      <c r="E713" s="54">
        <v>25873769</v>
      </c>
      <c r="F713" s="54" t="s">
        <v>1531</v>
      </c>
      <c r="G713" s="25">
        <f t="shared" si="9"/>
        <v>3.4494052791425034E-3</v>
      </c>
    </row>
    <row r="714" spans="1:7">
      <c r="A714" s="54">
        <v>327.48770000000002</v>
      </c>
      <c r="B714" s="54">
        <v>328.42320000000001</v>
      </c>
      <c r="C714" s="54">
        <v>319.74810000000002</v>
      </c>
      <c r="D714" s="54">
        <v>320.93950000000001</v>
      </c>
      <c r="E714" s="54">
        <v>26773851</v>
      </c>
      <c r="F714" s="54" t="s">
        <v>1532</v>
      </c>
      <c r="G714" s="25">
        <f t="shared" si="9"/>
        <v>2.0403222414193456E-2</v>
      </c>
    </row>
    <row r="715" spans="1:7">
      <c r="A715" s="54">
        <v>323.36189999999999</v>
      </c>
      <c r="B715" s="54">
        <v>330.79629999999997</v>
      </c>
      <c r="C715" s="54">
        <v>322.31810000000002</v>
      </c>
      <c r="D715" s="54">
        <v>327.2022</v>
      </c>
      <c r="E715" s="54">
        <v>45950553</v>
      </c>
      <c r="F715" s="54" t="s">
        <v>1533</v>
      </c>
      <c r="G715" s="25">
        <f t="shared" si="9"/>
        <v>-1.1736779275933973E-2</v>
      </c>
    </row>
    <row r="716" spans="1:7">
      <c r="A716" s="54">
        <v>326.13869999999997</v>
      </c>
      <c r="B716" s="54">
        <v>330.59930000000003</v>
      </c>
      <c r="C716" s="54">
        <v>325.45929999999998</v>
      </c>
      <c r="D716" s="54">
        <v>330.09710000000001</v>
      </c>
      <c r="E716" s="54">
        <v>29503070</v>
      </c>
      <c r="F716" s="54" t="s">
        <v>1534</v>
      </c>
      <c r="G716" s="25">
        <f t="shared" si="9"/>
        <v>-1.1991623070908619E-2</v>
      </c>
    </row>
    <row r="717" spans="1:7">
      <c r="A717" s="54">
        <v>327.79300000000001</v>
      </c>
      <c r="B717" s="54">
        <v>328.29520000000002</v>
      </c>
      <c r="C717" s="54">
        <v>318.92090000000002</v>
      </c>
      <c r="D717" s="54">
        <v>319.05880000000002</v>
      </c>
      <c r="E717" s="54">
        <v>36630633</v>
      </c>
      <c r="F717" s="54" t="s">
        <v>1535</v>
      </c>
      <c r="G717" s="25">
        <f t="shared" si="9"/>
        <v>2.7374891399328138E-2</v>
      </c>
    </row>
    <row r="718" spans="1:7">
      <c r="A718" s="54">
        <v>320.92970000000003</v>
      </c>
      <c r="B718" s="54">
        <v>321.8947</v>
      </c>
      <c r="C718" s="54">
        <v>315.1003</v>
      </c>
      <c r="D718" s="54">
        <v>318.29070000000002</v>
      </c>
      <c r="E718" s="54">
        <v>43301743</v>
      </c>
      <c r="F718" s="54" t="s">
        <v>1536</v>
      </c>
      <c r="G718" s="25">
        <f t="shared" si="9"/>
        <v>8.2911627641022445E-3</v>
      </c>
    </row>
    <row r="719" spans="1:7">
      <c r="A719" s="54">
        <v>309.04450000000003</v>
      </c>
      <c r="B719" s="54">
        <v>311.65390000000002</v>
      </c>
      <c r="C719" s="54">
        <v>307.82350000000002</v>
      </c>
      <c r="D719" s="54">
        <v>309.911</v>
      </c>
      <c r="E719" s="54">
        <v>23384887</v>
      </c>
      <c r="F719" s="54" t="s">
        <v>1537</v>
      </c>
      <c r="G719" s="25">
        <f t="shared" si="9"/>
        <v>-2.7959640025684296E-3</v>
      </c>
    </row>
    <row r="720" spans="1:7">
      <c r="A720" s="54">
        <v>310.43290000000002</v>
      </c>
      <c r="B720" s="54">
        <v>317.77870000000001</v>
      </c>
      <c r="C720" s="54">
        <v>310.42309999999998</v>
      </c>
      <c r="D720" s="54">
        <v>315.12990000000002</v>
      </c>
      <c r="E720" s="54">
        <v>30797173</v>
      </c>
      <c r="F720" s="54" t="s">
        <v>1538</v>
      </c>
      <c r="G720" s="25">
        <f t="shared" si="9"/>
        <v>-1.4904964587619252E-2</v>
      </c>
    </row>
    <row r="721" spans="1:7">
      <c r="A721" s="54">
        <v>316.26229999999998</v>
      </c>
      <c r="B721" s="54">
        <v>317.65069999999997</v>
      </c>
      <c r="C721" s="54">
        <v>313.14080000000001</v>
      </c>
      <c r="D721" s="54">
        <v>313.72179999999997</v>
      </c>
      <c r="E721" s="54">
        <v>24115664</v>
      </c>
      <c r="F721" s="54" t="s">
        <v>1539</v>
      </c>
      <c r="G721" s="25">
        <f t="shared" si="9"/>
        <v>8.0979390020075037E-3</v>
      </c>
    </row>
    <row r="722" spans="1:7">
      <c r="A722" s="54">
        <v>313.4658</v>
      </c>
      <c r="B722" s="54">
        <v>313.86950000000002</v>
      </c>
      <c r="C722" s="54">
        <v>311.52589999999998</v>
      </c>
      <c r="D722" s="54">
        <v>311.89030000000002</v>
      </c>
      <c r="E722" s="54">
        <v>27546701</v>
      </c>
      <c r="F722" s="54" t="s">
        <v>1540</v>
      </c>
      <c r="G722" s="25">
        <f t="shared" si="9"/>
        <v>5.0514555919178861E-3</v>
      </c>
    </row>
    <row r="723" spans="1:7">
      <c r="A723" s="54">
        <v>313.64299999999997</v>
      </c>
      <c r="B723" s="54">
        <v>314.15499999999997</v>
      </c>
      <c r="C723" s="54">
        <v>308.91649999999998</v>
      </c>
      <c r="D723" s="54">
        <v>309.71409999999997</v>
      </c>
      <c r="E723" s="54">
        <v>27275991</v>
      </c>
      <c r="F723" s="54" t="s">
        <v>1541</v>
      </c>
      <c r="G723" s="25">
        <f t="shared" si="9"/>
        <v>1.2685570337288565E-2</v>
      </c>
    </row>
    <row r="724" spans="1:7">
      <c r="A724" s="54">
        <v>309.19220000000001</v>
      </c>
      <c r="B724" s="54">
        <v>309.61559999999997</v>
      </c>
      <c r="C724" s="54">
        <v>305.9821</v>
      </c>
      <c r="D724" s="54">
        <v>307.50839999999999</v>
      </c>
      <c r="E724" s="54">
        <v>24315012</v>
      </c>
      <c r="F724" s="54" t="s">
        <v>1542</v>
      </c>
      <c r="G724" s="25">
        <f t="shared" si="9"/>
        <v>5.4756227797354562E-3</v>
      </c>
    </row>
    <row r="725" spans="1:7">
      <c r="A725" s="54">
        <v>306.29719999999998</v>
      </c>
      <c r="B725" s="54">
        <v>308.2328</v>
      </c>
      <c r="C725" s="54">
        <v>304.42059999999998</v>
      </c>
      <c r="D725" s="54">
        <v>304.42059999999998</v>
      </c>
      <c r="E725" s="54">
        <v>26730347</v>
      </c>
      <c r="F725" s="54" t="s">
        <v>1543</v>
      </c>
      <c r="G725" s="25">
        <f t="shared" si="9"/>
        <v>6.1644974091765725E-3</v>
      </c>
    </row>
    <row r="726" spans="1:7">
      <c r="A726" s="54">
        <v>304.05700000000002</v>
      </c>
      <c r="B726" s="54">
        <v>304.49430000000001</v>
      </c>
      <c r="C726" s="54">
        <v>302.21969999999999</v>
      </c>
      <c r="D726" s="54">
        <v>303.69839999999999</v>
      </c>
      <c r="E726" s="54">
        <v>16336547</v>
      </c>
      <c r="F726" s="54" t="s">
        <v>1544</v>
      </c>
      <c r="G726" s="25">
        <f t="shared" si="9"/>
        <v>1.1807767179545792E-3</v>
      </c>
    </row>
    <row r="727" spans="1:7">
      <c r="A727" s="54">
        <v>303.57560000000001</v>
      </c>
      <c r="B727" s="54">
        <v>305.22629999999998</v>
      </c>
      <c r="C727" s="54">
        <v>301.24700000000001</v>
      </c>
      <c r="D727" s="54">
        <v>305.12799999999999</v>
      </c>
      <c r="E727" s="54">
        <v>19774696</v>
      </c>
      <c r="F727" s="54" t="s">
        <v>1545</v>
      </c>
      <c r="G727" s="25">
        <f t="shared" si="9"/>
        <v>-5.0877008992946671E-3</v>
      </c>
    </row>
    <row r="728" spans="1:7">
      <c r="A728" s="54">
        <v>304.69569999999999</v>
      </c>
      <c r="B728" s="54">
        <v>305.68799999999999</v>
      </c>
      <c r="C728" s="54">
        <v>300.91300000000001</v>
      </c>
      <c r="D728" s="54">
        <v>304.6859</v>
      </c>
      <c r="E728" s="54">
        <v>31680179</v>
      </c>
      <c r="F728" s="54" t="s">
        <v>1546</v>
      </c>
      <c r="G728" s="25">
        <f t="shared" ref="G728:G791" si="10">A728/D728-1</f>
        <v>3.2164271467793881E-5</v>
      </c>
    </row>
    <row r="729" spans="1:7">
      <c r="A729" s="54">
        <v>306.85730000000001</v>
      </c>
      <c r="B729" s="54">
        <v>307.53519999999997</v>
      </c>
      <c r="C729" s="54">
        <v>302.29829999999998</v>
      </c>
      <c r="D729" s="54">
        <v>303.23169999999999</v>
      </c>
      <c r="E729" s="54">
        <v>30078044</v>
      </c>
      <c r="F729" s="54" t="s">
        <v>1547</v>
      </c>
      <c r="G729" s="25">
        <f t="shared" si="10"/>
        <v>1.1956533568225236E-2</v>
      </c>
    </row>
    <row r="730" spans="1:7">
      <c r="A730" s="54">
        <v>301.64</v>
      </c>
      <c r="B730" s="54">
        <v>304.62689999999998</v>
      </c>
      <c r="C730" s="54">
        <v>300.96199999999999</v>
      </c>
      <c r="D730" s="54">
        <v>302.6225</v>
      </c>
      <c r="E730" s="54">
        <v>21340829</v>
      </c>
      <c r="F730" s="54" t="s">
        <v>1548</v>
      </c>
      <c r="G730" s="25">
        <f t="shared" si="10"/>
        <v>-3.2466191377046316E-3</v>
      </c>
    </row>
    <row r="731" spans="1:7">
      <c r="A731" s="54">
        <v>303.26119999999997</v>
      </c>
      <c r="B731" s="54">
        <v>304.78410000000002</v>
      </c>
      <c r="C731" s="54">
        <v>300.74590000000001</v>
      </c>
      <c r="D731" s="54">
        <v>304.71530000000001</v>
      </c>
      <c r="E731" s="54">
        <v>21318613</v>
      </c>
      <c r="F731" s="54" t="s">
        <v>1549</v>
      </c>
      <c r="G731" s="25">
        <f t="shared" si="10"/>
        <v>-4.7719953674791871E-3</v>
      </c>
    </row>
    <row r="732" spans="1:7">
      <c r="A732" s="54">
        <v>305.22629999999998</v>
      </c>
      <c r="B732" s="54">
        <v>306.52319999999997</v>
      </c>
      <c r="C732" s="54">
        <v>298.95760000000001</v>
      </c>
      <c r="D732" s="54">
        <v>300.38229999999999</v>
      </c>
      <c r="E732" s="54">
        <v>28197052</v>
      </c>
      <c r="F732" s="54" t="s">
        <v>1550</v>
      </c>
      <c r="G732" s="25">
        <f t="shared" si="10"/>
        <v>1.6126116618722097E-2</v>
      </c>
    </row>
    <row r="733" spans="1:7">
      <c r="A733" s="54">
        <v>300.07769999999999</v>
      </c>
      <c r="B733" s="54">
        <v>302.38929999999999</v>
      </c>
      <c r="C733" s="54">
        <v>298.1028</v>
      </c>
      <c r="D733" s="54">
        <v>300.89319999999998</v>
      </c>
      <c r="E733" s="54">
        <v>22519907</v>
      </c>
      <c r="F733" s="54" t="s">
        <v>1551</v>
      </c>
      <c r="G733" s="25">
        <f t="shared" si="10"/>
        <v>-2.7102639740611556E-3</v>
      </c>
    </row>
    <row r="734" spans="1:7">
      <c r="A734" s="54">
        <v>299.08539999999999</v>
      </c>
      <c r="B734" s="54">
        <v>303.22190000000001</v>
      </c>
      <c r="C734" s="54">
        <v>298.7808</v>
      </c>
      <c r="D734" s="54">
        <v>301.26659999999998</v>
      </c>
      <c r="E734" s="54">
        <v>22360754</v>
      </c>
      <c r="F734" s="54" t="s">
        <v>1552</v>
      </c>
      <c r="G734" s="25">
        <f t="shared" si="10"/>
        <v>-7.2400989688202744E-3</v>
      </c>
    </row>
    <row r="735" spans="1:7">
      <c r="A735" s="54">
        <v>300.07769999999999</v>
      </c>
      <c r="B735" s="54">
        <v>303.78190000000001</v>
      </c>
      <c r="C735" s="54">
        <v>298.60390000000001</v>
      </c>
      <c r="D735" s="54">
        <v>302.38670000000002</v>
      </c>
      <c r="E735" s="54">
        <v>26404431</v>
      </c>
      <c r="F735" s="54" t="s">
        <v>1553</v>
      </c>
      <c r="G735" s="25">
        <f t="shared" si="10"/>
        <v>-7.6359178495616353E-3</v>
      </c>
    </row>
    <row r="736" spans="1:7">
      <c r="A736" s="54">
        <v>300.2251</v>
      </c>
      <c r="B736" s="54">
        <v>303.21199999999999</v>
      </c>
      <c r="C736" s="54">
        <v>299.82229999999998</v>
      </c>
      <c r="D736" s="54">
        <v>301.6105</v>
      </c>
      <c r="E736" s="54">
        <v>21294115</v>
      </c>
      <c r="F736" s="54" t="s">
        <v>1554</v>
      </c>
      <c r="G736" s="25">
        <f t="shared" si="10"/>
        <v>-4.593341412185592E-3</v>
      </c>
    </row>
    <row r="737" spans="1:7">
      <c r="A737" s="54">
        <v>301.8954</v>
      </c>
      <c r="B737" s="54">
        <v>303.53629999999998</v>
      </c>
      <c r="C737" s="54">
        <v>298.01440000000002</v>
      </c>
      <c r="D737" s="54">
        <v>298.7022</v>
      </c>
      <c r="E737" s="54">
        <v>36469613</v>
      </c>
      <c r="F737" s="54" t="s">
        <v>1555</v>
      </c>
      <c r="G737" s="25">
        <f t="shared" si="10"/>
        <v>1.0690246004214199E-2</v>
      </c>
    </row>
    <row r="738" spans="1:7">
      <c r="A738" s="54">
        <v>299.50790000000001</v>
      </c>
      <c r="B738" s="54">
        <v>299.87139999999999</v>
      </c>
      <c r="C738" s="54">
        <v>290.0951</v>
      </c>
      <c r="D738" s="54">
        <v>290.80259999999998</v>
      </c>
      <c r="E738" s="54">
        <v>46462638</v>
      </c>
      <c r="F738" s="54" t="s">
        <v>1556</v>
      </c>
      <c r="G738" s="25">
        <f t="shared" si="10"/>
        <v>2.9935426987241609E-2</v>
      </c>
    </row>
    <row r="739" spans="1:7">
      <c r="A739" s="54">
        <v>290.21300000000002</v>
      </c>
      <c r="B739" s="54">
        <v>294.33969999999999</v>
      </c>
      <c r="C739" s="54">
        <v>287.6191</v>
      </c>
      <c r="D739" s="54">
        <v>291.51979999999998</v>
      </c>
      <c r="E739" s="54">
        <v>64599182</v>
      </c>
      <c r="F739" s="54" t="s">
        <v>1557</v>
      </c>
      <c r="G739" s="25">
        <f t="shared" si="10"/>
        <v>-4.4827143816644766E-3</v>
      </c>
    </row>
    <row r="740" spans="1:7">
      <c r="A740" s="54">
        <v>270.61130000000003</v>
      </c>
      <c r="B740" s="54">
        <v>276.68340000000001</v>
      </c>
      <c r="C740" s="54">
        <v>270.56220000000002</v>
      </c>
      <c r="D740" s="54">
        <v>274.62990000000002</v>
      </c>
      <c r="E740" s="54">
        <v>45772236</v>
      </c>
      <c r="F740" s="54" t="s">
        <v>1558</v>
      </c>
      <c r="G740" s="25">
        <f t="shared" si="10"/>
        <v>-1.4632783975816133E-2</v>
      </c>
    </row>
    <row r="741" spans="1:7">
      <c r="A741" s="54">
        <v>276.85050000000001</v>
      </c>
      <c r="B741" s="54">
        <v>279.97500000000002</v>
      </c>
      <c r="C741" s="54">
        <v>273.8537</v>
      </c>
      <c r="D741" s="54">
        <v>277.16489999999999</v>
      </c>
      <c r="E741" s="54">
        <v>26611014</v>
      </c>
      <c r="F741" s="54" t="s">
        <v>1559</v>
      </c>
      <c r="G741" s="25">
        <f t="shared" si="10"/>
        <v>-1.1343427685106544E-3</v>
      </c>
    </row>
    <row r="742" spans="1:7">
      <c r="A742" s="54">
        <v>280.77080000000001</v>
      </c>
      <c r="B742" s="54">
        <v>281.27190000000002</v>
      </c>
      <c r="C742" s="54">
        <v>278.11869999999999</v>
      </c>
      <c r="D742" s="54">
        <v>280.03390000000002</v>
      </c>
      <c r="E742" s="54">
        <v>21676387</v>
      </c>
      <c r="F742" s="54" t="s">
        <v>1560</v>
      </c>
      <c r="G742" s="25">
        <f t="shared" si="10"/>
        <v>2.6314671188023553E-3</v>
      </c>
    </row>
    <row r="743" spans="1:7">
      <c r="A743" s="54">
        <v>281.11470000000003</v>
      </c>
      <c r="B743" s="54">
        <v>283.9837</v>
      </c>
      <c r="C743" s="54">
        <v>280.10270000000003</v>
      </c>
      <c r="D743" s="54">
        <v>280.2697</v>
      </c>
      <c r="E743" s="54">
        <v>23244363</v>
      </c>
      <c r="F743" s="54" t="s">
        <v>1561</v>
      </c>
      <c r="G743" s="25">
        <f t="shared" si="10"/>
        <v>3.0149530969634242E-3</v>
      </c>
    </row>
    <row r="744" spans="1:7">
      <c r="A744" s="54">
        <v>283.41390000000001</v>
      </c>
      <c r="B744" s="54">
        <v>284.0034</v>
      </c>
      <c r="C744" s="54">
        <v>279.57209999999998</v>
      </c>
      <c r="D744" s="54">
        <v>280.99680000000001</v>
      </c>
      <c r="E744" s="54">
        <v>17150271</v>
      </c>
      <c r="F744" s="54" t="s">
        <v>1562</v>
      </c>
      <c r="G744" s="25">
        <f t="shared" si="10"/>
        <v>8.6018773167524376E-3</v>
      </c>
    </row>
    <row r="745" spans="1:7">
      <c r="A745" s="54">
        <v>283.33519999999999</v>
      </c>
      <c r="B745" s="54">
        <v>286.66109999999998</v>
      </c>
      <c r="C745" s="54">
        <v>281.99900000000002</v>
      </c>
      <c r="D745" s="54">
        <v>286.4794</v>
      </c>
      <c r="E745" s="54">
        <v>20161845</v>
      </c>
      <c r="F745" s="54" t="s">
        <v>1563</v>
      </c>
      <c r="G745" s="25">
        <f t="shared" si="10"/>
        <v>-1.0975309219441343E-2</v>
      </c>
    </row>
    <row r="746" spans="1:7">
      <c r="A746" s="54">
        <v>283.7577</v>
      </c>
      <c r="B746" s="54">
        <v>286.50889999999998</v>
      </c>
      <c r="C746" s="54">
        <v>281.16379999999998</v>
      </c>
      <c r="D746" s="54">
        <v>284.86799999999999</v>
      </c>
      <c r="E746" s="54">
        <v>23836223</v>
      </c>
      <c r="F746" s="54" t="s">
        <v>1564</v>
      </c>
      <c r="G746" s="25">
        <f t="shared" si="10"/>
        <v>-3.8975946754286062E-3</v>
      </c>
    </row>
    <row r="747" spans="1:7">
      <c r="A747" s="54">
        <v>281.14420000000001</v>
      </c>
      <c r="B747" s="54">
        <v>283.44330000000002</v>
      </c>
      <c r="C747" s="54">
        <v>278.73700000000002</v>
      </c>
      <c r="D747" s="54">
        <v>281.98919999999998</v>
      </c>
      <c r="E747" s="54">
        <v>20987917</v>
      </c>
      <c r="F747" s="54" t="s">
        <v>1565</v>
      </c>
      <c r="G747" s="25">
        <f t="shared" si="10"/>
        <v>-2.9965686629132016E-3</v>
      </c>
    </row>
    <row r="748" spans="1:7">
      <c r="A748" s="54">
        <v>284.77960000000002</v>
      </c>
      <c r="B748" s="54">
        <v>284.83850000000001</v>
      </c>
      <c r="C748" s="54">
        <v>278.226</v>
      </c>
      <c r="D748" s="54">
        <v>278.63869999999997</v>
      </c>
      <c r="E748" s="54">
        <v>24222678</v>
      </c>
      <c r="F748" s="54" t="s">
        <v>1566</v>
      </c>
      <c r="G748" s="25">
        <f t="shared" si="10"/>
        <v>2.2038934290175893E-2</v>
      </c>
    </row>
    <row r="749" spans="1:7">
      <c r="A749" s="54">
        <v>278.54039999999998</v>
      </c>
      <c r="B749" s="54">
        <v>281.99900000000002</v>
      </c>
      <c r="C749" s="54">
        <v>277.03719999999998</v>
      </c>
      <c r="D749" s="54">
        <v>279.81779999999998</v>
      </c>
      <c r="E749" s="54">
        <v>27403432</v>
      </c>
      <c r="F749" s="54" t="s">
        <v>1567</v>
      </c>
      <c r="G749" s="25">
        <f t="shared" si="10"/>
        <v>-4.565113441675317E-3</v>
      </c>
    </row>
    <row r="750" spans="1:7">
      <c r="A750" s="54">
        <v>277.892</v>
      </c>
      <c r="B750" s="54">
        <v>280.98700000000002</v>
      </c>
      <c r="C750" s="54">
        <v>276.72269999999997</v>
      </c>
      <c r="D750" s="54">
        <v>280.76100000000002</v>
      </c>
      <c r="E750" s="54">
        <v>27276589</v>
      </c>
      <c r="F750" s="54" t="s">
        <v>1568</v>
      </c>
      <c r="G750" s="25">
        <f t="shared" si="10"/>
        <v>-1.0218655724976156E-2</v>
      </c>
    </row>
    <row r="751" spans="1:7">
      <c r="A751" s="54">
        <v>284.3374</v>
      </c>
      <c r="B751" s="54">
        <v>284.54379999999998</v>
      </c>
      <c r="C751" s="54">
        <v>279.73910000000001</v>
      </c>
      <c r="D751" s="54">
        <v>284.15859999999998</v>
      </c>
      <c r="E751" s="54">
        <v>23102994</v>
      </c>
      <c r="F751" s="54" t="s">
        <v>1569</v>
      </c>
      <c r="G751" s="25">
        <f t="shared" si="10"/>
        <v>6.2922607304516376E-4</v>
      </c>
    </row>
    <row r="752" spans="1:7">
      <c r="A752" s="54">
        <v>286.50889999999998</v>
      </c>
      <c r="B752" s="54">
        <v>286.98050000000001</v>
      </c>
      <c r="C752" s="54">
        <v>277.10590000000002</v>
      </c>
      <c r="D752" s="54">
        <v>278.26530000000002</v>
      </c>
      <c r="E752" s="54">
        <v>29770334</v>
      </c>
      <c r="F752" s="54" t="s">
        <v>1570</v>
      </c>
      <c r="G752" s="25">
        <f t="shared" si="10"/>
        <v>2.9624965814997184E-2</v>
      </c>
    </row>
    <row r="753" spans="1:7">
      <c r="A753" s="54">
        <v>279.37560000000002</v>
      </c>
      <c r="B753" s="54">
        <v>282.13650000000001</v>
      </c>
      <c r="C753" s="54">
        <v>277.98039999999997</v>
      </c>
      <c r="D753" s="54">
        <v>280.85919999999999</v>
      </c>
      <c r="E753" s="54">
        <v>22064770</v>
      </c>
      <c r="F753" s="54" t="s">
        <v>1571</v>
      </c>
      <c r="G753" s="25">
        <f t="shared" si="10"/>
        <v>-5.2823621230850826E-3</v>
      </c>
    </row>
    <row r="754" spans="1:7">
      <c r="A754" s="54">
        <v>282.166</v>
      </c>
      <c r="B754" s="54">
        <v>285.37880000000001</v>
      </c>
      <c r="C754" s="54">
        <v>280.68239999999997</v>
      </c>
      <c r="D754" s="54">
        <v>282.21519999999998</v>
      </c>
      <c r="E754" s="54">
        <v>25824299</v>
      </c>
      <c r="F754" s="54" t="s">
        <v>1572</v>
      </c>
      <c r="G754" s="25">
        <f t="shared" si="10"/>
        <v>-1.743350464468163E-4</v>
      </c>
    </row>
    <row r="755" spans="1:7">
      <c r="A755" s="54">
        <v>282.21519999999998</v>
      </c>
      <c r="B755" s="54">
        <v>283.23700000000002</v>
      </c>
      <c r="C755" s="54">
        <v>278.99239999999998</v>
      </c>
      <c r="D755" s="54">
        <v>281.51749999999998</v>
      </c>
      <c r="E755" s="54">
        <v>24883342</v>
      </c>
      <c r="F755" s="54" t="s">
        <v>1573</v>
      </c>
      <c r="G755" s="25">
        <f t="shared" si="10"/>
        <v>2.4783539211594707E-3</v>
      </c>
    </row>
    <row r="756" spans="1:7">
      <c r="A756" s="54">
        <v>283.26650000000001</v>
      </c>
      <c r="B756" s="54">
        <v>284.21949999999998</v>
      </c>
      <c r="C756" s="54">
        <v>278.05900000000003</v>
      </c>
      <c r="D756" s="54">
        <v>278.77629999999999</v>
      </c>
      <c r="E756" s="54">
        <v>32765976</v>
      </c>
      <c r="F756" s="54" t="s">
        <v>1574</v>
      </c>
      <c r="G756" s="25">
        <f t="shared" si="10"/>
        <v>1.6106821132212623E-2</v>
      </c>
    </row>
    <row r="757" spans="1:7">
      <c r="A757" s="54">
        <v>279.09070000000003</v>
      </c>
      <c r="B757" s="54">
        <v>279.49349999999998</v>
      </c>
      <c r="C757" s="54">
        <v>276.56549999999999</v>
      </c>
      <c r="D757" s="54">
        <v>279.26749999999998</v>
      </c>
      <c r="E757" s="54">
        <v>25053410</v>
      </c>
      <c r="F757" s="54" t="s">
        <v>1575</v>
      </c>
      <c r="G757" s="25">
        <f t="shared" si="10"/>
        <v>-6.3308476639767353E-4</v>
      </c>
    </row>
    <row r="758" spans="1:7">
      <c r="A758" s="54">
        <v>275.61250000000001</v>
      </c>
      <c r="B758" s="54">
        <v>276.23129999999998</v>
      </c>
      <c r="C758" s="54">
        <v>273.54910000000001</v>
      </c>
      <c r="D758" s="54">
        <v>274.08949999999999</v>
      </c>
      <c r="E758" s="54">
        <v>25087032</v>
      </c>
      <c r="F758" s="54" t="s">
        <v>1576</v>
      </c>
      <c r="G758" s="25">
        <f t="shared" si="10"/>
        <v>5.5565791465927994E-3</v>
      </c>
    </row>
    <row r="759" spans="1:7">
      <c r="A759" s="54">
        <v>270.42469999999997</v>
      </c>
      <c r="B759" s="54">
        <v>271.31880000000001</v>
      </c>
      <c r="C759" s="54">
        <v>267.29539999999997</v>
      </c>
      <c r="D759" s="54">
        <v>270.97489999999999</v>
      </c>
      <c r="E759" s="54">
        <v>21878647</v>
      </c>
      <c r="F759" s="54" t="s">
        <v>1577</v>
      </c>
      <c r="G759" s="25">
        <f t="shared" si="10"/>
        <v>-2.030446362375371E-3</v>
      </c>
    </row>
    <row r="760" spans="1:7">
      <c r="A760" s="54">
        <v>271.55459999999999</v>
      </c>
      <c r="B760" s="54">
        <v>276.54480000000001</v>
      </c>
      <c r="C760" s="54">
        <v>270.70960000000002</v>
      </c>
      <c r="D760" s="54">
        <v>275.60270000000003</v>
      </c>
      <c r="E760" s="54">
        <v>26840212</v>
      </c>
      <c r="F760" s="54" t="s">
        <v>1578</v>
      </c>
      <c r="G760" s="25">
        <f t="shared" si="10"/>
        <v>-1.468817250338994E-2</v>
      </c>
    </row>
    <row r="761" spans="1:7">
      <c r="A761" s="54">
        <v>275.67140000000001</v>
      </c>
      <c r="B761" s="54">
        <v>275.73039999999997</v>
      </c>
      <c r="C761" s="54">
        <v>270.47379999999998</v>
      </c>
      <c r="D761" s="54">
        <v>272.39960000000002</v>
      </c>
      <c r="E761" s="54">
        <v>28199962</v>
      </c>
      <c r="F761" s="54" t="s">
        <v>1579</v>
      </c>
      <c r="G761" s="25">
        <f t="shared" si="10"/>
        <v>1.2011030853202431E-2</v>
      </c>
    </row>
    <row r="762" spans="1:7">
      <c r="A762" s="54">
        <v>272.81220000000002</v>
      </c>
      <c r="B762" s="54">
        <v>276.15289999999999</v>
      </c>
      <c r="C762" s="54">
        <v>270.39519999999999</v>
      </c>
      <c r="D762" s="54">
        <v>273.08730000000003</v>
      </c>
      <c r="E762" s="54">
        <v>36610879</v>
      </c>
      <c r="F762" s="54" t="s">
        <v>1580</v>
      </c>
      <c r="G762" s="25">
        <f t="shared" si="10"/>
        <v>-1.0073701706377891E-3</v>
      </c>
    </row>
    <row r="763" spans="1:7">
      <c r="A763" s="54">
        <v>267.536</v>
      </c>
      <c r="B763" s="54">
        <v>276.13319999999999</v>
      </c>
      <c r="C763" s="54">
        <v>267.42790000000002</v>
      </c>
      <c r="D763" s="54">
        <v>268.6266</v>
      </c>
      <c r="E763" s="54">
        <v>34873330</v>
      </c>
      <c r="F763" s="54" t="s">
        <v>1581</v>
      </c>
      <c r="G763" s="25">
        <f t="shared" si="10"/>
        <v>-4.0599106715417665E-3</v>
      </c>
    </row>
    <row r="764" spans="1:7">
      <c r="A764" s="54">
        <v>269</v>
      </c>
      <c r="B764" s="54">
        <v>270.19869999999997</v>
      </c>
      <c r="C764" s="54">
        <v>264.81349999999998</v>
      </c>
      <c r="D764" s="54">
        <v>270.08080000000001</v>
      </c>
      <c r="E764" s="54">
        <v>34558704</v>
      </c>
      <c r="F764" s="54" t="s">
        <v>1582</v>
      </c>
      <c r="G764" s="25">
        <f t="shared" si="10"/>
        <v>-4.0017653976144318E-3</v>
      </c>
    </row>
    <row r="765" spans="1:7">
      <c r="A765" s="54">
        <v>267.47699999999998</v>
      </c>
      <c r="B765" s="54">
        <v>272.6354</v>
      </c>
      <c r="C765" s="54">
        <v>265.1386</v>
      </c>
      <c r="D765" s="54">
        <v>272.14409999999998</v>
      </c>
      <c r="E765" s="54">
        <v>43466649</v>
      </c>
      <c r="F765" s="54" t="s">
        <v>1583</v>
      </c>
      <c r="G765" s="25">
        <f t="shared" si="10"/>
        <v>-1.7149370498937944E-2</v>
      </c>
    </row>
    <row r="766" spans="1:7">
      <c r="A766" s="54">
        <v>274.55130000000003</v>
      </c>
      <c r="B766" s="54">
        <v>278.38319999999999</v>
      </c>
      <c r="C766" s="54">
        <v>271.4957</v>
      </c>
      <c r="D766" s="54">
        <v>273.40179999999998</v>
      </c>
      <c r="E766" s="54">
        <v>69527371</v>
      </c>
      <c r="F766" s="54" t="s">
        <v>1584</v>
      </c>
      <c r="G766" s="25">
        <f t="shared" si="10"/>
        <v>4.2044346452732029E-3</v>
      </c>
    </row>
    <row r="767" spans="1:7">
      <c r="A767" s="54">
        <v>271.3777</v>
      </c>
      <c r="B767" s="54">
        <v>271.73140000000001</v>
      </c>
      <c r="C767" s="54">
        <v>258.68329999999997</v>
      </c>
      <c r="D767" s="54">
        <v>260.57470000000001</v>
      </c>
      <c r="E767" s="54">
        <v>54832140</v>
      </c>
      <c r="F767" s="54" t="s">
        <v>1585</v>
      </c>
      <c r="G767" s="25">
        <f t="shared" si="10"/>
        <v>4.1458361076497363E-2</v>
      </c>
    </row>
    <row r="768" spans="1:7">
      <c r="A768" s="54">
        <v>260.80560000000003</v>
      </c>
      <c r="B768" s="54">
        <v>261.82740000000001</v>
      </c>
      <c r="C768" s="54">
        <v>254.68440000000001</v>
      </c>
      <c r="D768" s="54">
        <v>255.4409</v>
      </c>
      <c r="E768" s="54">
        <v>46028047</v>
      </c>
      <c r="F768" s="54" t="s">
        <v>1586</v>
      </c>
      <c r="G768" s="25">
        <f t="shared" si="10"/>
        <v>2.1001726818219213E-2</v>
      </c>
    </row>
    <row r="769" spans="1:7">
      <c r="A769" s="54">
        <v>256.23680000000002</v>
      </c>
      <c r="B769" s="54">
        <v>256.51190000000003</v>
      </c>
      <c r="C769" s="54">
        <v>251.3929</v>
      </c>
      <c r="D769" s="54">
        <v>252.26730000000001</v>
      </c>
      <c r="E769" s="54">
        <v>33620293</v>
      </c>
      <c r="F769" s="54" t="s">
        <v>1587</v>
      </c>
      <c r="G769" s="25">
        <f t="shared" si="10"/>
        <v>1.57352934764039E-2</v>
      </c>
    </row>
    <row r="770" spans="1:7">
      <c r="A770" s="54">
        <v>249.48670000000001</v>
      </c>
      <c r="B770" s="54">
        <v>253.40710000000001</v>
      </c>
      <c r="C770" s="54">
        <v>241.43969999999999</v>
      </c>
      <c r="D770" s="54">
        <v>243.0806</v>
      </c>
      <c r="E770" s="54">
        <v>33339721</v>
      </c>
      <c r="F770" s="54" t="s">
        <v>1588</v>
      </c>
      <c r="G770" s="25">
        <f t="shared" si="10"/>
        <v>2.6353810217681017E-2</v>
      </c>
    </row>
    <row r="771" spans="1:7">
      <c r="A771" s="54">
        <v>244.24979999999999</v>
      </c>
      <c r="B771" s="54">
        <v>248.37649999999999</v>
      </c>
      <c r="C771" s="54">
        <v>243.27709999999999</v>
      </c>
      <c r="D771" s="54">
        <v>246.69630000000001</v>
      </c>
      <c r="E771" s="54">
        <v>28333930</v>
      </c>
      <c r="F771" s="54" t="s">
        <v>1589</v>
      </c>
      <c r="G771" s="25">
        <f t="shared" si="10"/>
        <v>-9.9170518568783006E-3</v>
      </c>
    </row>
    <row r="772" spans="1:7">
      <c r="A772" s="54">
        <v>247.91470000000001</v>
      </c>
      <c r="B772" s="54">
        <v>255.0283</v>
      </c>
      <c r="C772" s="54">
        <v>247.1876</v>
      </c>
      <c r="D772" s="54">
        <v>251.3535</v>
      </c>
      <c r="E772" s="54">
        <v>26653387</v>
      </c>
      <c r="F772" s="54" t="s">
        <v>1590</v>
      </c>
      <c r="G772" s="25">
        <f t="shared" si="10"/>
        <v>-1.3681130360229665E-2</v>
      </c>
    </row>
    <row r="773" spans="1:7">
      <c r="A773" s="54">
        <v>249.2706</v>
      </c>
      <c r="B773" s="54">
        <v>250.0976</v>
      </c>
      <c r="C773" s="54">
        <v>246.43100000000001</v>
      </c>
      <c r="D773" s="54">
        <v>249.6046</v>
      </c>
      <c r="E773" s="54">
        <v>17340217</v>
      </c>
      <c r="F773" s="54" t="s">
        <v>1591</v>
      </c>
      <c r="G773" s="25">
        <f t="shared" si="10"/>
        <v>-1.3381163648426009E-3</v>
      </c>
    </row>
    <row r="774" spans="1:7">
      <c r="A774" s="54">
        <v>249.71270000000001</v>
      </c>
      <c r="B774" s="54">
        <v>253.1909</v>
      </c>
      <c r="C774" s="54">
        <v>248.96600000000001</v>
      </c>
      <c r="D774" s="54">
        <v>251.8252</v>
      </c>
      <c r="E774" s="54">
        <v>21473179</v>
      </c>
      <c r="F774" s="54" t="s">
        <v>1592</v>
      </c>
      <c r="G774" s="25">
        <f t="shared" si="10"/>
        <v>-8.3887553747599153E-3</v>
      </c>
    </row>
    <row r="775" spans="1:7">
      <c r="A775" s="54">
        <v>252.3852</v>
      </c>
      <c r="B775" s="54">
        <v>255.57849999999999</v>
      </c>
      <c r="C775" s="54">
        <v>251.51079999999999</v>
      </c>
      <c r="D775" s="54">
        <v>251.94800000000001</v>
      </c>
      <c r="E775" s="54">
        <v>24109849</v>
      </c>
      <c r="F775" s="54" t="s">
        <v>1593</v>
      </c>
      <c r="G775" s="25">
        <f t="shared" si="10"/>
        <v>1.7352787083049215E-3</v>
      </c>
    </row>
    <row r="776" spans="1:7">
      <c r="A776" s="54">
        <v>250.83279999999999</v>
      </c>
      <c r="B776" s="54">
        <v>251.15700000000001</v>
      </c>
      <c r="C776" s="54">
        <v>247.0009</v>
      </c>
      <c r="D776" s="54">
        <v>247.7869</v>
      </c>
      <c r="E776" s="54">
        <v>30760136</v>
      </c>
      <c r="F776" s="54" t="s">
        <v>1594</v>
      </c>
      <c r="G776" s="25">
        <f t="shared" si="10"/>
        <v>1.2292417395754152E-2</v>
      </c>
    </row>
    <row r="777" spans="1:7">
      <c r="A777" s="54">
        <v>246.72579999999999</v>
      </c>
      <c r="B777" s="54">
        <v>247.01070000000001</v>
      </c>
      <c r="C777" s="54">
        <v>241.3218</v>
      </c>
      <c r="D777" s="54">
        <v>242.24539999999999</v>
      </c>
      <c r="E777" s="54">
        <v>24833646</v>
      </c>
      <c r="F777" s="54" t="s">
        <v>1595</v>
      </c>
      <c r="G777" s="25">
        <f t="shared" si="10"/>
        <v>1.8495294441091659E-2</v>
      </c>
    </row>
    <row r="778" spans="1:7">
      <c r="A778" s="54">
        <v>241.97030000000001</v>
      </c>
      <c r="B778" s="54">
        <v>246.5489</v>
      </c>
      <c r="C778" s="54">
        <v>241.49870000000001</v>
      </c>
      <c r="D778" s="54">
        <v>246.3819</v>
      </c>
      <c r="E778" s="54">
        <v>27565259</v>
      </c>
      <c r="F778" s="54" t="s">
        <v>1596</v>
      </c>
      <c r="G778" s="25">
        <f t="shared" si="10"/>
        <v>-1.7905536080369489E-2</v>
      </c>
    </row>
    <row r="779" spans="1:7">
      <c r="A779" s="54">
        <v>245.06530000000001</v>
      </c>
      <c r="B779" s="54">
        <v>247.09909999999999</v>
      </c>
      <c r="C779" s="54">
        <v>244.38730000000001</v>
      </c>
      <c r="D779" s="54">
        <v>244.72139999999999</v>
      </c>
      <c r="E779" s="54">
        <v>22490950</v>
      </c>
      <c r="F779" s="54" t="s">
        <v>1597</v>
      </c>
      <c r="G779" s="25">
        <f t="shared" si="10"/>
        <v>1.4052714637953212E-3</v>
      </c>
    </row>
    <row r="780" spans="1:7">
      <c r="A780" s="54">
        <v>245.79239999999999</v>
      </c>
      <c r="B780" s="54">
        <v>248.4059</v>
      </c>
      <c r="C780" s="54">
        <v>245.03579999999999</v>
      </c>
      <c r="D780" s="54">
        <v>248.0522</v>
      </c>
      <c r="E780" s="54">
        <v>21190042</v>
      </c>
      <c r="F780" s="54" t="s">
        <v>1598</v>
      </c>
      <c r="G780" s="25">
        <f t="shared" si="10"/>
        <v>-9.1101792284044025E-3</v>
      </c>
    </row>
    <row r="781" spans="1:7">
      <c r="A781" s="54">
        <v>244.86879999999999</v>
      </c>
      <c r="B781" s="54">
        <v>246.61770000000001</v>
      </c>
      <c r="C781" s="54">
        <v>243.76830000000001</v>
      </c>
      <c r="D781" s="54">
        <v>245.5959</v>
      </c>
      <c r="E781" s="54">
        <v>24990905</v>
      </c>
      <c r="F781" s="54" t="s">
        <v>1599</v>
      </c>
      <c r="G781" s="25">
        <f t="shared" si="10"/>
        <v>-2.9605543089278319E-3</v>
      </c>
    </row>
    <row r="782" spans="1:7">
      <c r="A782" s="54">
        <v>250.3219</v>
      </c>
      <c r="B782" s="54">
        <v>252.35570000000001</v>
      </c>
      <c r="C782" s="54">
        <v>246.10679999999999</v>
      </c>
      <c r="D782" s="54">
        <v>251.09809999999999</v>
      </c>
      <c r="E782" s="54">
        <v>29219095</v>
      </c>
      <c r="F782" s="54" t="s">
        <v>1600</v>
      </c>
      <c r="G782" s="25">
        <f t="shared" si="10"/>
        <v>-3.0912221159777875E-3</v>
      </c>
    </row>
    <row r="783" spans="1:7">
      <c r="A783" s="54">
        <v>247.11879999999999</v>
      </c>
      <c r="B783" s="54">
        <v>249.89940000000001</v>
      </c>
      <c r="C783" s="54">
        <v>245.9692</v>
      </c>
      <c r="D783" s="54">
        <v>249.65379999999999</v>
      </c>
      <c r="E783" s="54">
        <v>22491056</v>
      </c>
      <c r="F783" s="54" t="s">
        <v>1601</v>
      </c>
      <c r="G783" s="25">
        <f t="shared" si="10"/>
        <v>-1.0154061344149312E-2</v>
      </c>
    </row>
    <row r="784" spans="1:7">
      <c r="A784" s="54">
        <v>248.2585</v>
      </c>
      <c r="B784" s="54">
        <v>251.02930000000001</v>
      </c>
      <c r="C784" s="54">
        <v>247.19739999999999</v>
      </c>
      <c r="D784" s="54">
        <v>250.0369</v>
      </c>
      <c r="E784" s="54">
        <v>28397444</v>
      </c>
      <c r="F784" s="54" t="s">
        <v>1602</v>
      </c>
      <c r="G784" s="25">
        <f t="shared" si="10"/>
        <v>-7.1125501875923813E-3</v>
      </c>
    </row>
    <row r="785" spans="1:7">
      <c r="A785" s="54">
        <v>253.55439999999999</v>
      </c>
      <c r="B785" s="54">
        <v>255.54900000000001</v>
      </c>
      <c r="C785" s="54">
        <v>251.53039999999999</v>
      </c>
      <c r="D785" s="54">
        <v>254.8612</v>
      </c>
      <c r="E785" s="54">
        <v>30000055</v>
      </c>
      <c r="F785" s="54" t="s">
        <v>1603</v>
      </c>
      <c r="G785" s="25">
        <f t="shared" si="10"/>
        <v>-5.1274968492653894E-3</v>
      </c>
    </row>
    <row r="786" spans="1:7">
      <c r="A786" s="54">
        <v>257.57299999999998</v>
      </c>
      <c r="B786" s="54">
        <v>262.0829</v>
      </c>
      <c r="C786" s="54">
        <v>257.32740000000001</v>
      </c>
      <c r="D786" s="54">
        <v>259.41039999999998</v>
      </c>
      <c r="E786" s="54">
        <v>29603616</v>
      </c>
      <c r="F786" s="54" t="s">
        <v>1604</v>
      </c>
      <c r="G786" s="25">
        <f t="shared" si="10"/>
        <v>-7.0829851077675032E-3</v>
      </c>
    </row>
    <row r="787" spans="1:7">
      <c r="A787" s="54">
        <v>264.61779999999999</v>
      </c>
      <c r="B787" s="54">
        <v>266.00319999999999</v>
      </c>
      <c r="C787" s="54">
        <v>261.53269999999998</v>
      </c>
      <c r="D787" s="54">
        <v>263.63529999999997</v>
      </c>
      <c r="E787" s="54">
        <v>28962163</v>
      </c>
      <c r="F787" s="54" t="s">
        <v>1605</v>
      </c>
      <c r="G787" s="25">
        <f t="shared" si="10"/>
        <v>3.7267391733959432E-3</v>
      </c>
    </row>
    <row r="788" spans="1:7">
      <c r="A788" s="54">
        <v>266.75</v>
      </c>
      <c r="B788" s="54">
        <v>269.49419999999998</v>
      </c>
      <c r="C788" s="54">
        <v>263.91750000000002</v>
      </c>
      <c r="D788" s="54">
        <v>267.24</v>
      </c>
      <c r="E788" s="54">
        <v>37047924</v>
      </c>
      <c r="F788" s="54" t="s">
        <v>1606</v>
      </c>
      <c r="G788" s="25">
        <f t="shared" si="10"/>
        <v>-1.8335578506212258E-3</v>
      </c>
    </row>
    <row r="789" spans="1:7">
      <c r="A789" s="54">
        <v>265.9169</v>
      </c>
      <c r="B789" s="54">
        <v>269.13159999999999</v>
      </c>
      <c r="C789" s="54">
        <v>261.82990000000001</v>
      </c>
      <c r="D789" s="54">
        <v>262.31020000000001</v>
      </c>
      <c r="E789" s="54">
        <v>44630921</v>
      </c>
      <c r="F789" s="54" t="s">
        <v>1607</v>
      </c>
      <c r="G789" s="25">
        <f t="shared" si="10"/>
        <v>1.3749751248712361E-2</v>
      </c>
    </row>
    <row r="790" spans="1:7">
      <c r="A790" s="54">
        <v>257.86059999999998</v>
      </c>
      <c r="B790" s="54">
        <v>258.83089999999999</v>
      </c>
      <c r="C790" s="54">
        <v>255.47110000000001</v>
      </c>
      <c r="D790" s="54">
        <v>256.3218</v>
      </c>
      <c r="E790" s="54">
        <v>25818489</v>
      </c>
      <c r="F790" s="54" t="s">
        <v>1608</v>
      </c>
      <c r="G790" s="25">
        <f t="shared" si="10"/>
        <v>6.0033910498442644E-3</v>
      </c>
    </row>
    <row r="791" spans="1:7">
      <c r="A791" s="54">
        <v>258.37020000000001</v>
      </c>
      <c r="B791" s="54">
        <v>268.52390000000003</v>
      </c>
      <c r="C791" s="54">
        <v>257.56659999999999</v>
      </c>
      <c r="D791" s="54">
        <v>268.34750000000003</v>
      </c>
      <c r="E791" s="54">
        <v>42375102</v>
      </c>
      <c r="F791" s="54" t="s">
        <v>1609</v>
      </c>
      <c r="G791" s="25">
        <f t="shared" si="10"/>
        <v>-3.718052152526119E-2</v>
      </c>
    </row>
    <row r="792" spans="1:7">
      <c r="A792" s="54">
        <v>261.41829999999999</v>
      </c>
      <c r="B792" s="54">
        <v>271.24860000000001</v>
      </c>
      <c r="C792" s="54">
        <v>260.90859999999998</v>
      </c>
      <c r="D792" s="54">
        <v>267.75940000000003</v>
      </c>
      <c r="E792" s="54">
        <v>54686049</v>
      </c>
      <c r="F792" s="54" t="s">
        <v>1610</v>
      </c>
      <c r="G792" s="25">
        <f t="shared" ref="G792:G855" si="11">A792/D792-1</f>
        <v>-2.3682081749511141E-2</v>
      </c>
    </row>
    <row r="793" spans="1:7">
      <c r="A793" s="54">
        <v>262.23180000000002</v>
      </c>
      <c r="B793" s="54">
        <v>263.42259999999999</v>
      </c>
      <c r="C793" s="54">
        <v>254.9007</v>
      </c>
      <c r="D793" s="54">
        <v>255.34180000000001</v>
      </c>
      <c r="E793" s="54">
        <v>50841365</v>
      </c>
      <c r="F793" s="54" t="s">
        <v>1611</v>
      </c>
      <c r="G793" s="25">
        <f t="shared" si="11"/>
        <v>2.69834394525299E-2</v>
      </c>
    </row>
    <row r="794" spans="1:7">
      <c r="A794" s="54">
        <v>251.6566</v>
      </c>
      <c r="B794" s="54">
        <v>253.15620000000001</v>
      </c>
      <c r="C794" s="54">
        <v>249.7063</v>
      </c>
      <c r="D794" s="54">
        <v>252.3133</v>
      </c>
      <c r="E794" s="54">
        <v>22517997</v>
      </c>
      <c r="F794" s="54" t="s">
        <v>1612</v>
      </c>
      <c r="G794" s="25">
        <f t="shared" si="11"/>
        <v>-2.6027165432817023E-3</v>
      </c>
    </row>
    <row r="795" spans="1:7">
      <c r="A795" s="54">
        <v>253.20519999999999</v>
      </c>
      <c r="B795" s="54">
        <v>258.93869999999998</v>
      </c>
      <c r="C795" s="54">
        <v>251.98009999999999</v>
      </c>
      <c r="D795" s="54">
        <v>254.3734</v>
      </c>
      <c r="E795" s="54">
        <v>29077256</v>
      </c>
      <c r="F795" s="54" t="s">
        <v>1613</v>
      </c>
      <c r="G795" s="25">
        <f t="shared" si="11"/>
        <v>-4.5924613186756336E-3</v>
      </c>
    </row>
    <row r="796" spans="1:7">
      <c r="A796" s="54">
        <v>259.33069999999998</v>
      </c>
      <c r="B796" s="54">
        <v>259.41890000000001</v>
      </c>
      <c r="C796" s="54">
        <v>252.12710000000001</v>
      </c>
      <c r="D796" s="54">
        <v>253.66579999999999</v>
      </c>
      <c r="E796" s="54">
        <v>39940437</v>
      </c>
      <c r="F796" s="54" t="s">
        <v>1614</v>
      </c>
      <c r="G796" s="25">
        <f t="shared" si="11"/>
        <v>2.2332139373932192E-2</v>
      </c>
    </row>
    <row r="797" spans="1:7">
      <c r="A797" s="54">
        <v>247.7167</v>
      </c>
      <c r="B797" s="54">
        <v>250.09829999999999</v>
      </c>
      <c r="C797" s="54">
        <v>240.58170000000001</v>
      </c>
      <c r="D797" s="54">
        <v>243.06129999999999</v>
      </c>
      <c r="E797" s="54">
        <v>31259912</v>
      </c>
      <c r="F797" s="54" t="s">
        <v>1615</v>
      </c>
      <c r="G797" s="25">
        <f t="shared" si="11"/>
        <v>1.915319304224905E-2</v>
      </c>
    </row>
    <row r="798" spans="1:7">
      <c r="A798" s="54">
        <v>242.8751</v>
      </c>
      <c r="B798" s="54">
        <v>243.01230000000001</v>
      </c>
      <c r="C798" s="54">
        <v>238.107</v>
      </c>
      <c r="D798" s="54">
        <v>238.6019</v>
      </c>
      <c r="E798" s="54">
        <v>26541072</v>
      </c>
      <c r="F798" s="54" t="s">
        <v>1616</v>
      </c>
      <c r="G798" s="25">
        <f t="shared" si="11"/>
        <v>1.7909329305424659E-2</v>
      </c>
    </row>
    <row r="799" spans="1:7">
      <c r="A799" s="54">
        <v>237.8766</v>
      </c>
      <c r="B799" s="54">
        <v>240.70910000000001</v>
      </c>
      <c r="C799" s="54">
        <v>237.3768</v>
      </c>
      <c r="D799" s="54">
        <v>239.64080000000001</v>
      </c>
      <c r="E799" s="54">
        <v>25867365</v>
      </c>
      <c r="F799" s="54" t="s">
        <v>1617</v>
      </c>
      <c r="G799" s="25">
        <f t="shared" si="11"/>
        <v>-7.361851571184963E-3</v>
      </c>
    </row>
    <row r="800" spans="1:7">
      <c r="A800" s="54">
        <v>243.21809999999999</v>
      </c>
      <c r="B800" s="54">
        <v>244.85480000000001</v>
      </c>
      <c r="C800" s="54">
        <v>241.91460000000001</v>
      </c>
      <c r="D800" s="54">
        <v>244.0316</v>
      </c>
      <c r="E800" s="54">
        <v>26498939</v>
      </c>
      <c r="F800" s="54" t="s">
        <v>1618</v>
      </c>
      <c r="G800" s="25">
        <f t="shared" si="11"/>
        <v>-3.3335846669038105E-3</v>
      </c>
    </row>
    <row r="801" spans="1:7">
      <c r="A801" s="54">
        <v>243.06129999999999</v>
      </c>
      <c r="B801" s="54">
        <v>243.36510000000001</v>
      </c>
      <c r="C801" s="54">
        <v>237.1808</v>
      </c>
      <c r="D801" s="54">
        <v>238.7979</v>
      </c>
      <c r="E801" s="54">
        <v>33454491</v>
      </c>
      <c r="F801" s="54" t="s">
        <v>1619</v>
      </c>
      <c r="G801" s="25">
        <f t="shared" si="11"/>
        <v>1.7853590839785438E-2</v>
      </c>
    </row>
    <row r="802" spans="1:7">
      <c r="A802" s="54">
        <v>235.8185</v>
      </c>
      <c r="B802" s="54">
        <v>238.45490000000001</v>
      </c>
      <c r="C802" s="54">
        <v>226.30179999999999</v>
      </c>
      <c r="D802" s="54">
        <v>229.81049999999999</v>
      </c>
      <c r="E802" s="54">
        <v>66526641</v>
      </c>
      <c r="F802" s="54" t="s">
        <v>1620</v>
      </c>
      <c r="G802" s="25">
        <f t="shared" si="11"/>
        <v>2.6143278918935531E-2</v>
      </c>
    </row>
    <row r="803" spans="1:7">
      <c r="A803" s="54">
        <v>237.22</v>
      </c>
      <c r="B803" s="54">
        <v>239.09190000000001</v>
      </c>
      <c r="C803" s="54">
        <v>235.65180000000001</v>
      </c>
      <c r="D803" s="54">
        <v>237.67080000000001</v>
      </c>
      <c r="E803" s="54">
        <v>40234444</v>
      </c>
      <c r="F803" s="54" t="s">
        <v>1621</v>
      </c>
      <c r="G803" s="25">
        <f t="shared" si="11"/>
        <v>-1.8967412067448786E-3</v>
      </c>
    </row>
    <row r="804" spans="1:7">
      <c r="A804" s="54">
        <v>237.7492</v>
      </c>
      <c r="B804" s="54">
        <v>240.28270000000001</v>
      </c>
      <c r="C804" s="54">
        <v>234.8776</v>
      </c>
      <c r="D804" s="54">
        <v>236.2987</v>
      </c>
      <c r="E804" s="54">
        <v>31933951</v>
      </c>
      <c r="F804" s="54" t="s">
        <v>1622</v>
      </c>
      <c r="G804" s="25">
        <f t="shared" si="11"/>
        <v>6.1384171813048116E-3</v>
      </c>
    </row>
    <row r="805" spans="1:7">
      <c r="A805" s="54">
        <v>235.43620000000001</v>
      </c>
      <c r="B805" s="54">
        <v>235.94589999999999</v>
      </c>
      <c r="C805" s="54">
        <v>229.8399</v>
      </c>
      <c r="D805" s="54">
        <v>230.1781</v>
      </c>
      <c r="E805" s="54">
        <v>35389809</v>
      </c>
      <c r="F805" s="54" t="s">
        <v>1623</v>
      </c>
      <c r="G805" s="25">
        <f t="shared" si="11"/>
        <v>2.2843615443867149E-2</v>
      </c>
    </row>
    <row r="806" spans="1:7">
      <c r="A806" s="54">
        <v>227.31129999999999</v>
      </c>
      <c r="B806" s="54">
        <v>230.82980000000001</v>
      </c>
      <c r="C806" s="54">
        <v>226.08619999999999</v>
      </c>
      <c r="D806" s="54">
        <v>229.12450000000001</v>
      </c>
      <c r="E806" s="54">
        <v>28623033</v>
      </c>
      <c r="F806" s="54" t="s">
        <v>1624</v>
      </c>
      <c r="G806" s="25">
        <f t="shared" si="11"/>
        <v>-7.9136015572320861E-3</v>
      </c>
    </row>
    <row r="807" spans="1:7">
      <c r="A807" s="54">
        <v>231.114</v>
      </c>
      <c r="B807" s="54">
        <v>237.5532</v>
      </c>
      <c r="C807" s="54">
        <v>230.82980000000001</v>
      </c>
      <c r="D807" s="54">
        <v>236.7544</v>
      </c>
      <c r="E807" s="54">
        <v>30028692</v>
      </c>
      <c r="F807" s="54" t="s">
        <v>1625</v>
      </c>
      <c r="G807" s="25">
        <f t="shared" si="11"/>
        <v>-2.3823844456533849E-2</v>
      </c>
    </row>
    <row r="808" spans="1:7">
      <c r="A808" s="54">
        <v>235.56360000000001</v>
      </c>
      <c r="B808" s="54">
        <v>236.11250000000001</v>
      </c>
      <c r="C808" s="54">
        <v>232.36850000000001</v>
      </c>
      <c r="D808" s="54">
        <v>233.23099999999999</v>
      </c>
      <c r="E808" s="54">
        <v>29831257</v>
      </c>
      <c r="F808" s="54" t="s">
        <v>1626</v>
      </c>
      <c r="G808" s="25">
        <f t="shared" si="11"/>
        <v>1.0001243402463666E-2</v>
      </c>
    </row>
    <row r="809" spans="1:7">
      <c r="A809" s="54">
        <v>234.4659</v>
      </c>
      <c r="B809" s="54">
        <v>234.60310000000001</v>
      </c>
      <c r="C809" s="54">
        <v>230.24180000000001</v>
      </c>
      <c r="D809" s="54">
        <v>232.28229999999999</v>
      </c>
      <c r="E809" s="54">
        <v>21333265</v>
      </c>
      <c r="F809" s="54" t="s">
        <v>1627</v>
      </c>
      <c r="G809" s="25">
        <f t="shared" si="11"/>
        <v>9.400630181464642E-3</v>
      </c>
    </row>
    <row r="810" spans="1:7">
      <c r="A810" s="54">
        <v>233.7603</v>
      </c>
      <c r="B810" s="54">
        <v>235.12260000000001</v>
      </c>
      <c r="C810" s="54">
        <v>228.90880000000001</v>
      </c>
      <c r="D810" s="54">
        <v>230.57499999999999</v>
      </c>
      <c r="E810" s="54">
        <v>27269486</v>
      </c>
      <c r="F810" s="54" t="s">
        <v>1628</v>
      </c>
      <c r="G810" s="25">
        <f t="shared" si="11"/>
        <v>1.3814593949907916E-2</v>
      </c>
    </row>
    <row r="811" spans="1:7">
      <c r="A811" s="54">
        <v>231.07480000000001</v>
      </c>
      <c r="B811" s="54">
        <v>231.25129999999999</v>
      </c>
      <c r="C811" s="54">
        <v>226.5076</v>
      </c>
      <c r="D811" s="54">
        <v>226.6841</v>
      </c>
      <c r="E811" s="54">
        <v>28669331</v>
      </c>
      <c r="F811" s="54" t="s">
        <v>1629</v>
      </c>
      <c r="G811" s="25">
        <f t="shared" si="11"/>
        <v>1.9369245571259741E-2</v>
      </c>
    </row>
    <row r="812" spans="1:7">
      <c r="A812" s="54">
        <v>224.29259999999999</v>
      </c>
      <c r="B812" s="54">
        <v>226.7037</v>
      </c>
      <c r="C812" s="54">
        <v>222.80289999999999</v>
      </c>
      <c r="D812" s="54">
        <v>223.21940000000001</v>
      </c>
      <c r="E812" s="54">
        <v>27033881</v>
      </c>
      <c r="F812" s="54" t="s">
        <v>1630</v>
      </c>
      <c r="G812" s="25">
        <f t="shared" si="11"/>
        <v>4.8078258430941379E-3</v>
      </c>
    </row>
    <row r="813" spans="1:7">
      <c r="A813" s="54">
        <v>222.59710000000001</v>
      </c>
      <c r="B813" s="54">
        <v>226.6317</v>
      </c>
      <c r="C813" s="54">
        <v>221.90119999999999</v>
      </c>
      <c r="D813" s="54">
        <v>221.94040000000001</v>
      </c>
      <c r="E813" s="54">
        <v>27369784</v>
      </c>
      <c r="F813" s="54" t="s">
        <v>1631</v>
      </c>
      <c r="G813" s="25">
        <f t="shared" si="11"/>
        <v>2.9589024801253139E-3</v>
      </c>
    </row>
    <row r="814" spans="1:7">
      <c r="A814" s="54">
        <v>220.45070000000001</v>
      </c>
      <c r="B814" s="54">
        <v>221.26429999999999</v>
      </c>
      <c r="C814" s="54">
        <v>214.98179999999999</v>
      </c>
      <c r="D814" s="54">
        <v>218.5591</v>
      </c>
      <c r="E814" s="54">
        <v>43613574</v>
      </c>
      <c r="F814" s="54" t="s">
        <v>1632</v>
      </c>
      <c r="G814" s="25">
        <f t="shared" si="11"/>
        <v>8.6548672647352998E-3</v>
      </c>
    </row>
    <row r="815" spans="1:7">
      <c r="A815" s="54">
        <v>217.88290000000001</v>
      </c>
      <c r="B815" s="54">
        <v>223.01849999999999</v>
      </c>
      <c r="C815" s="54">
        <v>217.34399999999999</v>
      </c>
      <c r="D815" s="54">
        <v>222.6755</v>
      </c>
      <c r="E815" s="54">
        <v>39585623</v>
      </c>
      <c r="F815" s="54" t="s">
        <v>1633</v>
      </c>
      <c r="G815" s="25">
        <f t="shared" si="11"/>
        <v>-2.1522798871002835E-2</v>
      </c>
    </row>
    <row r="816" spans="1:7">
      <c r="A816" s="54">
        <v>224.5377</v>
      </c>
      <c r="B816" s="54">
        <v>228.23259999999999</v>
      </c>
      <c r="C816" s="54">
        <v>221.46019999999999</v>
      </c>
      <c r="D816" s="54">
        <v>227.64940000000001</v>
      </c>
      <c r="E816" s="54">
        <v>50623394</v>
      </c>
      <c r="F816" s="54" t="s">
        <v>1634</v>
      </c>
      <c r="G816" s="25">
        <f t="shared" si="11"/>
        <v>-1.3668825834814435E-2</v>
      </c>
    </row>
    <row r="817" spans="1:7">
      <c r="A817" s="54">
        <v>234.809</v>
      </c>
      <c r="B817" s="54">
        <v>240.8561</v>
      </c>
      <c r="C817" s="54">
        <v>232.67240000000001</v>
      </c>
      <c r="D817" s="54">
        <v>238.23929999999999</v>
      </c>
      <c r="E817" s="54">
        <v>25740036</v>
      </c>
      <c r="F817" s="54" t="s">
        <v>1635</v>
      </c>
      <c r="G817" s="25">
        <f t="shared" si="11"/>
        <v>-1.4398548014538326E-2</v>
      </c>
    </row>
    <row r="818" spans="1:7">
      <c r="A818" s="54">
        <v>235.04419999999999</v>
      </c>
      <c r="B818" s="54">
        <v>235.1814</v>
      </c>
      <c r="C818" s="54">
        <v>231.94710000000001</v>
      </c>
      <c r="D818" s="54">
        <v>233.46619999999999</v>
      </c>
      <c r="E818" s="54">
        <v>21938472</v>
      </c>
      <c r="F818" s="54" t="s">
        <v>1636</v>
      </c>
      <c r="G818" s="25">
        <f t="shared" si="11"/>
        <v>6.7590083703765735E-3</v>
      </c>
    </row>
    <row r="819" spans="1:7">
      <c r="A819" s="54">
        <v>236.2105</v>
      </c>
      <c r="B819" s="54">
        <v>237.10239999999999</v>
      </c>
      <c r="C819" s="54">
        <v>230.9572</v>
      </c>
      <c r="D819" s="54">
        <v>230.9572</v>
      </c>
      <c r="E819" s="54">
        <v>19770693</v>
      </c>
      <c r="F819" s="54" t="s">
        <v>1637</v>
      </c>
      <c r="G819" s="25">
        <f t="shared" si="11"/>
        <v>2.2745772809853904E-2</v>
      </c>
    </row>
    <row r="820" spans="1:7">
      <c r="A820" s="54">
        <v>229.8595</v>
      </c>
      <c r="B820" s="54">
        <v>234.9462</v>
      </c>
      <c r="C820" s="54">
        <v>229.5067</v>
      </c>
      <c r="D820" s="54">
        <v>232.17250000000001</v>
      </c>
      <c r="E820" s="54">
        <v>17457104</v>
      </c>
      <c r="F820" s="54" t="s">
        <v>1638</v>
      </c>
      <c r="G820" s="25">
        <f t="shared" si="11"/>
        <v>-9.9624201832689829E-3</v>
      </c>
    </row>
    <row r="821" spans="1:7">
      <c r="A821" s="54">
        <v>232.24109999999999</v>
      </c>
      <c r="B821" s="54">
        <v>234.17189999999999</v>
      </c>
      <c r="C821" s="54">
        <v>231.1336</v>
      </c>
      <c r="D821" s="54">
        <v>233.94649999999999</v>
      </c>
      <c r="E821" s="54">
        <v>16688648</v>
      </c>
      <c r="F821" s="54" t="s">
        <v>1639</v>
      </c>
      <c r="G821" s="25">
        <f t="shared" si="11"/>
        <v>-7.2897008504081429E-3</v>
      </c>
    </row>
    <row r="822" spans="1:7">
      <c r="A822" s="54">
        <v>233.9759</v>
      </c>
      <c r="B822" s="54">
        <v>234.1131</v>
      </c>
      <c r="C822" s="54">
        <v>229.28399999999999</v>
      </c>
      <c r="D822" s="54">
        <v>231.40809999999999</v>
      </c>
      <c r="E822" s="54">
        <v>21206982</v>
      </c>
      <c r="F822" s="54" t="s">
        <v>1640</v>
      </c>
      <c r="G822" s="25">
        <f t="shared" si="11"/>
        <v>1.1096413651898951E-2</v>
      </c>
    </row>
    <row r="823" spans="1:7">
      <c r="A823" s="54">
        <v>233.44659999999999</v>
      </c>
      <c r="B823" s="54">
        <v>237.17099999999999</v>
      </c>
      <c r="C823" s="54">
        <v>229.21270000000001</v>
      </c>
      <c r="D823" s="54">
        <v>236.45060000000001</v>
      </c>
      <c r="E823" s="54">
        <v>28651664</v>
      </c>
      <c r="F823" s="54" t="s">
        <v>1641</v>
      </c>
      <c r="G823" s="25">
        <f t="shared" si="11"/>
        <v>-1.2704556469723571E-2</v>
      </c>
    </row>
    <row r="824" spans="1:7">
      <c r="A824" s="54">
        <v>239.5624</v>
      </c>
      <c r="B824" s="54">
        <v>240.72380000000001</v>
      </c>
      <c r="C824" s="54">
        <v>235.32839999999999</v>
      </c>
      <c r="D824" s="54">
        <v>236.87690000000001</v>
      </c>
      <c r="E824" s="54">
        <v>23690607</v>
      </c>
      <c r="F824" s="54" t="s">
        <v>1642</v>
      </c>
      <c r="G824" s="25">
        <f t="shared" si="11"/>
        <v>1.1337112230023205E-2</v>
      </c>
    </row>
    <row r="825" spans="1:7">
      <c r="A825" s="54">
        <v>236.98480000000001</v>
      </c>
      <c r="B825" s="54">
        <v>238.07259999999999</v>
      </c>
      <c r="C825" s="54">
        <v>233.6721</v>
      </c>
      <c r="D825" s="54">
        <v>234.63249999999999</v>
      </c>
      <c r="E825" s="54">
        <v>25150802</v>
      </c>
      <c r="F825" s="54" t="s">
        <v>1643</v>
      </c>
      <c r="G825" s="25">
        <f t="shared" si="11"/>
        <v>1.0025465355396168E-2</v>
      </c>
    </row>
    <row r="826" spans="1:7">
      <c r="A826" s="54">
        <v>235.66159999999999</v>
      </c>
      <c r="B826" s="54">
        <v>240.32679999999999</v>
      </c>
      <c r="C826" s="54">
        <v>233.9563</v>
      </c>
      <c r="D826" s="54">
        <v>239.9838</v>
      </c>
      <c r="E826" s="54">
        <v>29696436</v>
      </c>
      <c r="F826" s="54" t="s">
        <v>1644</v>
      </c>
      <c r="G826" s="25">
        <f t="shared" si="11"/>
        <v>-1.8010382367476541E-2</v>
      </c>
    </row>
    <row r="827" spans="1:7">
      <c r="A827" s="54">
        <v>239.81720000000001</v>
      </c>
      <c r="B827" s="54">
        <v>244.8646</v>
      </c>
      <c r="C827" s="54">
        <v>238.66069999999999</v>
      </c>
      <c r="D827" s="54">
        <v>243.6003</v>
      </c>
      <c r="E827" s="54">
        <v>86101994</v>
      </c>
      <c r="F827" s="54" t="s">
        <v>1645</v>
      </c>
      <c r="G827" s="25">
        <f t="shared" si="11"/>
        <v>-1.5529948033725649E-2</v>
      </c>
    </row>
    <row r="828" spans="1:7">
      <c r="A828" s="54">
        <v>244.05119999999999</v>
      </c>
      <c r="B828" s="54">
        <v>249.1378</v>
      </c>
      <c r="C828" s="54">
        <v>242.4144</v>
      </c>
      <c r="D828" s="54">
        <v>248.66739999999999</v>
      </c>
      <c r="E828" s="54">
        <v>35568093</v>
      </c>
      <c r="F828" s="54" t="s">
        <v>1646</v>
      </c>
      <c r="G828" s="25">
        <f t="shared" si="11"/>
        <v>-1.8563752224859398E-2</v>
      </c>
    </row>
    <row r="829" spans="1:7">
      <c r="A829" s="54">
        <v>252.0977</v>
      </c>
      <c r="B829" s="54">
        <v>257.35879999999997</v>
      </c>
      <c r="C829" s="54">
        <v>249.2456</v>
      </c>
      <c r="D829" s="54">
        <v>252.0095</v>
      </c>
      <c r="E829" s="54">
        <v>35410933</v>
      </c>
      <c r="F829" s="54" t="s">
        <v>1647</v>
      </c>
      <c r="G829" s="25">
        <f t="shared" si="11"/>
        <v>3.4998680605302646E-4</v>
      </c>
    </row>
    <row r="830" spans="1:7">
      <c r="A830" s="54">
        <v>251.80369999999999</v>
      </c>
      <c r="B830" s="54">
        <v>258.65940000000001</v>
      </c>
      <c r="C830" s="54">
        <v>248.03030000000001</v>
      </c>
      <c r="D830" s="54">
        <v>256.4787</v>
      </c>
      <c r="E830" s="54">
        <v>42196884</v>
      </c>
      <c r="F830" s="54" t="s">
        <v>1648</v>
      </c>
      <c r="G830" s="25">
        <f t="shared" si="11"/>
        <v>-1.8227634497523626E-2</v>
      </c>
    </row>
    <row r="831" spans="1:7">
      <c r="A831" s="54">
        <v>247.48150000000001</v>
      </c>
      <c r="B831" s="54">
        <v>247.51089999999999</v>
      </c>
      <c r="C831" s="54">
        <v>242.24780000000001</v>
      </c>
      <c r="D831" s="54">
        <v>242.51730000000001</v>
      </c>
      <c r="E831" s="54">
        <v>30665069</v>
      </c>
      <c r="F831" s="54" t="s">
        <v>1649</v>
      </c>
      <c r="G831" s="25">
        <f t="shared" si="11"/>
        <v>2.0469467539016906E-2</v>
      </c>
    </row>
    <row r="832" spans="1:7">
      <c r="A832" s="54">
        <v>240.53270000000001</v>
      </c>
      <c r="B832" s="54">
        <v>243.36510000000001</v>
      </c>
      <c r="C832" s="54">
        <v>239.2978</v>
      </c>
      <c r="D832" s="54">
        <v>239.82210000000001</v>
      </c>
      <c r="E832" s="54">
        <v>20609743</v>
      </c>
      <c r="F832" s="54" t="s">
        <v>1650</v>
      </c>
      <c r="G832" s="25">
        <f t="shared" si="11"/>
        <v>2.963029679083018E-3</v>
      </c>
    </row>
    <row r="833" spans="1:7">
      <c r="A833" s="54">
        <v>242.47319999999999</v>
      </c>
      <c r="B833" s="54">
        <v>243.78649999999999</v>
      </c>
      <c r="C833" s="54">
        <v>238.21969999999999</v>
      </c>
      <c r="D833" s="54">
        <v>239.96420000000001</v>
      </c>
      <c r="E833" s="54">
        <v>22611757</v>
      </c>
      <c r="F833" s="54" t="s">
        <v>1651</v>
      </c>
      <c r="G833" s="25">
        <f t="shared" si="11"/>
        <v>1.045572631250824E-2</v>
      </c>
    </row>
    <row r="834" spans="1:7">
      <c r="A834" s="54">
        <v>239.50360000000001</v>
      </c>
      <c r="B834" s="54">
        <v>241.25790000000001</v>
      </c>
      <c r="C834" s="54">
        <v>237.3817</v>
      </c>
      <c r="D834" s="54">
        <v>239.95439999999999</v>
      </c>
      <c r="E834" s="54">
        <v>20481522</v>
      </c>
      <c r="F834" s="54" t="s">
        <v>1652</v>
      </c>
      <c r="G834" s="25">
        <f t="shared" si="11"/>
        <v>-1.8786902844872833E-3</v>
      </c>
    </row>
    <row r="835" spans="1:7">
      <c r="A835" s="54">
        <v>240.23859999999999</v>
      </c>
      <c r="B835" s="54">
        <v>246.84440000000001</v>
      </c>
      <c r="C835" s="54">
        <v>238.92529999999999</v>
      </c>
      <c r="D835" s="54">
        <v>245.82509999999999</v>
      </c>
      <c r="E835" s="54">
        <v>22463727</v>
      </c>
      <c r="F835" s="54" t="s">
        <v>1653</v>
      </c>
      <c r="G835" s="25">
        <f t="shared" si="11"/>
        <v>-2.2725506874603174E-2</v>
      </c>
    </row>
    <row r="836" spans="1:7">
      <c r="A836" s="54">
        <v>245.2175</v>
      </c>
      <c r="B836" s="54">
        <v>248.76439999999999</v>
      </c>
      <c r="C836" s="54">
        <v>243.12010000000001</v>
      </c>
      <c r="D836" s="54">
        <v>246.9914</v>
      </c>
      <c r="E836" s="54">
        <v>23435294</v>
      </c>
      <c r="F836" s="54" t="s">
        <v>1654</v>
      </c>
      <c r="G836" s="25">
        <f t="shared" si="11"/>
        <v>-7.182031439151304E-3</v>
      </c>
    </row>
    <row r="837" spans="1:7">
      <c r="A837" s="54">
        <v>249.94149999999999</v>
      </c>
      <c r="B837" s="54">
        <v>250.96080000000001</v>
      </c>
      <c r="C837" s="54">
        <v>244.7176</v>
      </c>
      <c r="D837" s="54">
        <v>244.845</v>
      </c>
      <c r="E837" s="54">
        <v>21528520</v>
      </c>
      <c r="F837" s="54" t="s">
        <v>1655</v>
      </c>
      <c r="G837" s="25">
        <f t="shared" si="11"/>
        <v>2.0815209622414121E-2</v>
      </c>
    </row>
    <row r="838" spans="1:7">
      <c r="A838" s="54">
        <v>249.6181</v>
      </c>
      <c r="B838" s="54">
        <v>251.0196</v>
      </c>
      <c r="C838" s="54">
        <v>245.9188</v>
      </c>
      <c r="D838" s="54">
        <v>248.81440000000001</v>
      </c>
      <c r="E838" s="54">
        <v>26041524</v>
      </c>
      <c r="F838" s="54" t="s">
        <v>1656</v>
      </c>
      <c r="G838" s="25">
        <f t="shared" si="11"/>
        <v>3.2301185140408695E-3</v>
      </c>
    </row>
    <row r="839" spans="1:7">
      <c r="A839" s="54">
        <v>250.0591</v>
      </c>
      <c r="B839" s="54">
        <v>250.24529999999999</v>
      </c>
      <c r="C839" s="54">
        <v>235.08340000000001</v>
      </c>
      <c r="D839" s="54">
        <v>235.7792</v>
      </c>
      <c r="E839" s="54">
        <v>47594239</v>
      </c>
      <c r="F839" s="54" t="s">
        <v>1657</v>
      </c>
      <c r="G839" s="25">
        <f t="shared" si="11"/>
        <v>6.0564714784001383E-2</v>
      </c>
    </row>
    <row r="840" spans="1:7">
      <c r="A840" s="54">
        <v>235.54400000000001</v>
      </c>
      <c r="B840" s="54">
        <v>237.95500000000001</v>
      </c>
      <c r="C840" s="54">
        <v>233.46619999999999</v>
      </c>
      <c r="D840" s="54">
        <v>236.59270000000001</v>
      </c>
      <c r="E840" s="54">
        <v>17956313</v>
      </c>
      <c r="F840" s="54" t="s">
        <v>1658</v>
      </c>
      <c r="G840" s="25">
        <f t="shared" si="11"/>
        <v>-4.4325120766617321E-3</v>
      </c>
    </row>
    <row r="841" spans="1:7">
      <c r="A841" s="54">
        <v>236.94560000000001</v>
      </c>
      <c r="B841" s="54">
        <v>241.73820000000001</v>
      </c>
      <c r="C841" s="54">
        <v>236.00470000000001</v>
      </c>
      <c r="D841" s="54">
        <v>241.17949999999999</v>
      </c>
      <c r="E841" s="54">
        <v>24810271</v>
      </c>
      <c r="F841" s="54" t="s">
        <v>1659</v>
      </c>
      <c r="G841" s="25">
        <f t="shared" si="11"/>
        <v>-1.7554974614343188E-2</v>
      </c>
    </row>
    <row r="842" spans="1:7">
      <c r="A842" s="54">
        <v>242.56139999999999</v>
      </c>
      <c r="B842" s="54">
        <v>243.7473</v>
      </c>
      <c r="C842" s="54">
        <v>241.81659999999999</v>
      </c>
      <c r="D842" s="54">
        <v>242.38499999999999</v>
      </c>
      <c r="E842" s="54">
        <v>9200772</v>
      </c>
      <c r="F842" s="54" t="s">
        <v>1660</v>
      </c>
      <c r="G842" s="25">
        <f t="shared" si="11"/>
        <v>7.2776780741379277E-4</v>
      </c>
    </row>
    <row r="843" spans="1:7">
      <c r="A843" s="54">
        <v>242.6497</v>
      </c>
      <c r="B843" s="54">
        <v>243.3357</v>
      </c>
      <c r="C843" s="54">
        <v>239.40559999999999</v>
      </c>
      <c r="D843" s="54">
        <v>240.22389999999999</v>
      </c>
      <c r="E843" s="54">
        <v>19508462</v>
      </c>
      <c r="F843" s="54" t="s">
        <v>1661</v>
      </c>
      <c r="G843" s="25">
        <f t="shared" si="11"/>
        <v>1.0098079333488608E-2</v>
      </c>
    </row>
    <row r="844" spans="1:7">
      <c r="A844" s="54">
        <v>240.15039999999999</v>
      </c>
      <c r="B844" s="54">
        <v>240.42490000000001</v>
      </c>
      <c r="C844" s="54">
        <v>235.91650000000001</v>
      </c>
      <c r="D844" s="54">
        <v>238.73910000000001</v>
      </c>
      <c r="E844" s="54">
        <v>19665699</v>
      </c>
      <c r="F844" s="54" t="s">
        <v>1662</v>
      </c>
      <c r="G844" s="25">
        <f t="shared" si="11"/>
        <v>5.9114740735806137E-3</v>
      </c>
    </row>
    <row r="845" spans="1:7">
      <c r="A845" s="54">
        <v>237.22980000000001</v>
      </c>
      <c r="B845" s="54">
        <v>239.79759999999999</v>
      </c>
      <c r="C845" s="54">
        <v>236.3869</v>
      </c>
      <c r="D845" s="54">
        <v>236.62209999999999</v>
      </c>
      <c r="E845" s="54">
        <v>26394700</v>
      </c>
      <c r="F845" s="54" t="s">
        <v>1663</v>
      </c>
      <c r="G845" s="25">
        <f t="shared" si="11"/>
        <v>2.5682301019220866E-3</v>
      </c>
    </row>
    <row r="846" spans="1:7">
      <c r="A846" s="54">
        <v>236.41630000000001</v>
      </c>
      <c r="B846" s="54">
        <v>238.8861</v>
      </c>
      <c r="C846" s="54">
        <v>234.26990000000001</v>
      </c>
      <c r="D846" s="54">
        <v>238.66069999999999</v>
      </c>
      <c r="E846" s="54">
        <v>27613523</v>
      </c>
      <c r="F846" s="54" t="s">
        <v>1664</v>
      </c>
      <c r="G846" s="25">
        <f t="shared" si="11"/>
        <v>-9.4041457181680554E-3</v>
      </c>
    </row>
    <row r="847" spans="1:7">
      <c r="A847" s="54">
        <v>236.86709999999999</v>
      </c>
      <c r="B847" s="54">
        <v>238.4059</v>
      </c>
      <c r="C847" s="54">
        <v>232.89779999999999</v>
      </c>
      <c r="D847" s="54">
        <v>233.04480000000001</v>
      </c>
      <c r="E847" s="54">
        <v>23123544</v>
      </c>
      <c r="F847" s="54" t="s">
        <v>1665</v>
      </c>
      <c r="G847" s="25">
        <f t="shared" si="11"/>
        <v>1.640156742394594E-2</v>
      </c>
    </row>
    <row r="848" spans="1:7">
      <c r="A848" s="54">
        <v>236.9161</v>
      </c>
      <c r="B848" s="54">
        <v>238.94489999999999</v>
      </c>
      <c r="C848" s="54">
        <v>235.63220000000001</v>
      </c>
      <c r="D848" s="54">
        <v>237.95500000000001</v>
      </c>
      <c r="E848" s="54">
        <v>24093272</v>
      </c>
      <c r="F848" s="54" t="s">
        <v>1666</v>
      </c>
      <c r="G848" s="25">
        <f t="shared" si="11"/>
        <v>-4.3659515454603781E-3</v>
      </c>
    </row>
    <row r="849" spans="1:7">
      <c r="A849" s="54">
        <v>236.48490000000001</v>
      </c>
      <c r="B849" s="54">
        <v>241.40090000000001</v>
      </c>
      <c r="C849" s="54">
        <v>234.5889</v>
      </c>
      <c r="D849" s="54">
        <v>240.09129999999999</v>
      </c>
      <c r="E849" s="54">
        <v>31390117</v>
      </c>
      <c r="F849" s="54" t="s">
        <v>1667</v>
      </c>
      <c r="G849" s="25">
        <f t="shared" si="11"/>
        <v>-1.5020952446006874E-2</v>
      </c>
    </row>
    <row r="850" spans="1:7">
      <c r="A850" s="54">
        <v>236.0744</v>
      </c>
      <c r="B850" s="54">
        <v>238.3809</v>
      </c>
      <c r="C850" s="54">
        <v>233.78749999999999</v>
      </c>
      <c r="D850" s="54">
        <v>236.49959999999999</v>
      </c>
      <c r="E850" s="54">
        <v>31123340</v>
      </c>
      <c r="F850" s="54" t="s">
        <v>1668</v>
      </c>
      <c r="G850" s="25">
        <f t="shared" si="11"/>
        <v>-1.7978888759219158E-3</v>
      </c>
    </row>
    <row r="851" spans="1:7">
      <c r="A851" s="54">
        <v>241.50839999999999</v>
      </c>
      <c r="B851" s="54">
        <v>242.36840000000001</v>
      </c>
      <c r="C851" s="54">
        <v>236.44579999999999</v>
      </c>
      <c r="D851" s="54">
        <v>237.48179999999999</v>
      </c>
      <c r="E851" s="54">
        <v>34620246</v>
      </c>
      <c r="F851" s="54" t="s">
        <v>1669</v>
      </c>
      <c r="G851" s="25">
        <f t="shared" si="11"/>
        <v>1.6955404582582823E-2</v>
      </c>
    </row>
    <row r="852" spans="1:7">
      <c r="A852" s="54">
        <v>237.47200000000001</v>
      </c>
      <c r="B852" s="54">
        <v>237.8141</v>
      </c>
      <c r="C852" s="54">
        <v>229.6729</v>
      </c>
      <c r="D852" s="54">
        <v>230.0932</v>
      </c>
      <c r="E852" s="54">
        <v>46268021</v>
      </c>
      <c r="F852" s="54" t="s">
        <v>1670</v>
      </c>
      <c r="G852" s="25">
        <f t="shared" si="11"/>
        <v>3.2068744317520048E-2</v>
      </c>
    </row>
    <row r="853" spans="1:7">
      <c r="A853" s="54">
        <v>219.42070000000001</v>
      </c>
      <c r="B853" s="54">
        <v>223.44990000000001</v>
      </c>
      <c r="C853" s="54">
        <v>219.2448</v>
      </c>
      <c r="D853" s="54">
        <v>222.2159</v>
      </c>
      <c r="E853" s="54">
        <v>27852910</v>
      </c>
      <c r="F853" s="54" t="s">
        <v>1671</v>
      </c>
      <c r="G853" s="25">
        <f t="shared" si="11"/>
        <v>-1.2578757865661205E-2</v>
      </c>
    </row>
    <row r="854" spans="1:7">
      <c r="A854" s="54">
        <v>223.68190000000001</v>
      </c>
      <c r="B854" s="54">
        <v>226.39879999999999</v>
      </c>
      <c r="C854" s="54">
        <v>220.72059999999999</v>
      </c>
      <c r="D854" s="54">
        <v>223.51570000000001</v>
      </c>
      <c r="E854" s="54">
        <v>28192548</v>
      </c>
      <c r="F854" s="54" t="s">
        <v>1672</v>
      </c>
      <c r="G854" s="25">
        <f t="shared" si="11"/>
        <v>7.4357192805707406E-4</v>
      </c>
    </row>
    <row r="855" spans="1:7">
      <c r="A855" s="54">
        <v>222.7045</v>
      </c>
      <c r="B855" s="54">
        <v>223.23230000000001</v>
      </c>
      <c r="C855" s="54">
        <v>216.26390000000001</v>
      </c>
      <c r="D855" s="54">
        <v>216.95779999999999</v>
      </c>
      <c r="E855" s="54">
        <v>33497979</v>
      </c>
      <c r="F855" s="54" t="s">
        <v>1673</v>
      </c>
      <c r="G855" s="25">
        <f t="shared" si="11"/>
        <v>2.6487639531743046E-2</v>
      </c>
    </row>
    <row r="856" spans="1:7">
      <c r="A856" s="54">
        <v>216.37139999999999</v>
      </c>
      <c r="B856" s="54">
        <v>216.5669</v>
      </c>
      <c r="C856" s="54">
        <v>208.59280000000001</v>
      </c>
      <c r="D856" s="54">
        <v>212.61850000000001</v>
      </c>
      <c r="E856" s="54">
        <v>36789063</v>
      </c>
      <c r="F856" s="54" t="s">
        <v>1674</v>
      </c>
      <c r="G856" s="25">
        <f t="shared" ref="G856:G919" si="12">A856/D856-1</f>
        <v>1.7650862930553846E-2</v>
      </c>
    </row>
    <row r="857" spans="1:7">
      <c r="A857" s="54">
        <v>209.39330000000001</v>
      </c>
      <c r="B857" s="54">
        <v>215.4136</v>
      </c>
      <c r="C857" s="54">
        <v>209.1294</v>
      </c>
      <c r="D857" s="54">
        <v>215.1009</v>
      </c>
      <c r="E857" s="54">
        <v>36633922</v>
      </c>
      <c r="F857" s="54" t="s">
        <v>1675</v>
      </c>
      <c r="G857" s="25">
        <f t="shared" si="12"/>
        <v>-2.6534524030350393E-2</v>
      </c>
    </row>
    <row r="858" spans="1:7">
      <c r="A858" s="54">
        <v>215.11070000000001</v>
      </c>
      <c r="B858" s="54">
        <v>226.05680000000001</v>
      </c>
      <c r="C858" s="54">
        <v>215.05199999999999</v>
      </c>
      <c r="D858" s="54">
        <v>224.2585</v>
      </c>
      <c r="E858" s="54">
        <v>38407008</v>
      </c>
      <c r="F858" s="54" t="s">
        <v>1676</v>
      </c>
      <c r="G858" s="25">
        <f t="shared" si="12"/>
        <v>-4.0791318946661992E-2</v>
      </c>
    </row>
    <row r="859" spans="1:7">
      <c r="A859" s="54">
        <v>222.99770000000001</v>
      </c>
      <c r="B859" s="54">
        <v>230.39609999999999</v>
      </c>
      <c r="C859" s="54">
        <v>222.17189999999999</v>
      </c>
      <c r="D859" s="54">
        <v>229.28200000000001</v>
      </c>
      <c r="E859" s="54">
        <v>30592271</v>
      </c>
      <c r="F859" s="54" t="s">
        <v>1677</v>
      </c>
      <c r="G859" s="25">
        <f t="shared" si="12"/>
        <v>-2.7408605996109614E-2</v>
      </c>
    </row>
    <row r="860" spans="1:7">
      <c r="A860" s="54">
        <v>226.86799999999999</v>
      </c>
      <c r="B860" s="54">
        <v>229.59469999999999</v>
      </c>
      <c r="C860" s="54">
        <v>225.9102</v>
      </c>
      <c r="D860" s="54">
        <v>228.46100000000001</v>
      </c>
      <c r="E860" s="54">
        <v>28357265</v>
      </c>
      <c r="F860" s="54" t="s">
        <v>1678</v>
      </c>
      <c r="G860" s="25">
        <f t="shared" si="12"/>
        <v>-6.9727437068034526E-3</v>
      </c>
    </row>
    <row r="861" spans="1:7">
      <c r="A861" s="54">
        <v>230.5232</v>
      </c>
      <c r="B861" s="54">
        <v>231.23660000000001</v>
      </c>
      <c r="C861" s="54">
        <v>220.92580000000001</v>
      </c>
      <c r="D861" s="54">
        <v>221.11150000000001</v>
      </c>
      <c r="E861" s="54">
        <v>40647724</v>
      </c>
      <c r="F861" s="54" t="s">
        <v>1679</v>
      </c>
      <c r="G861" s="25">
        <f t="shared" si="12"/>
        <v>4.2565402523161433E-2</v>
      </c>
    </row>
    <row r="862" spans="1:7">
      <c r="A862" s="54">
        <v>221.60990000000001</v>
      </c>
      <c r="B862" s="54">
        <v>228.39259999999999</v>
      </c>
      <c r="C862" s="54">
        <v>220.6619</v>
      </c>
      <c r="D862" s="54">
        <v>225.80269999999999</v>
      </c>
      <c r="E862" s="54">
        <v>40424645</v>
      </c>
      <c r="F862" s="54" t="s">
        <v>1680</v>
      </c>
      <c r="G862" s="25">
        <f t="shared" si="12"/>
        <v>-1.8568422786795602E-2</v>
      </c>
    </row>
    <row r="863" spans="1:7">
      <c r="A863" s="54">
        <v>226.0763</v>
      </c>
      <c r="B863" s="54">
        <v>232.8981</v>
      </c>
      <c r="C863" s="54">
        <v>224.8449</v>
      </c>
      <c r="D863" s="54">
        <v>225.9297</v>
      </c>
      <c r="E863" s="54">
        <v>82684846</v>
      </c>
      <c r="F863" s="54" t="s">
        <v>1681</v>
      </c>
      <c r="G863" s="25">
        <f t="shared" si="12"/>
        <v>6.4887440650784889E-4</v>
      </c>
    </row>
    <row r="864" spans="1:7">
      <c r="A864" s="54">
        <v>244.97790000000001</v>
      </c>
      <c r="B864" s="54">
        <v>245.3493</v>
      </c>
      <c r="C864" s="54">
        <v>240.25739999999999</v>
      </c>
      <c r="D864" s="54">
        <v>241.655</v>
      </c>
      <c r="E864" s="54">
        <v>34775505</v>
      </c>
      <c r="F864" s="54" t="s">
        <v>1682</v>
      </c>
      <c r="G864" s="25">
        <f t="shared" si="12"/>
        <v>1.3750594856303477E-2</v>
      </c>
    </row>
    <row r="865" spans="1:7">
      <c r="A865" s="54">
        <v>241.64519999999999</v>
      </c>
      <c r="B865" s="54">
        <v>242.2218</v>
      </c>
      <c r="C865" s="54">
        <v>235.8252</v>
      </c>
      <c r="D865" s="54">
        <v>238.23429999999999</v>
      </c>
      <c r="E865" s="54">
        <v>24911212</v>
      </c>
      <c r="F865" s="54" t="s">
        <v>1683</v>
      </c>
      <c r="G865" s="25">
        <f t="shared" si="12"/>
        <v>1.4317417768977769E-2</v>
      </c>
    </row>
    <row r="866" spans="1:7">
      <c r="A866" s="54">
        <v>236.63149999999999</v>
      </c>
      <c r="B866" s="54">
        <v>237.49160000000001</v>
      </c>
      <c r="C866" s="54">
        <v>229.1842</v>
      </c>
      <c r="D866" s="54">
        <v>229.4188</v>
      </c>
      <c r="E866" s="54">
        <v>26299733</v>
      </c>
      <c r="F866" s="54" t="s">
        <v>1684</v>
      </c>
      <c r="G866" s="25">
        <f t="shared" si="12"/>
        <v>3.1439010229327158E-2</v>
      </c>
    </row>
    <row r="867" spans="1:7">
      <c r="A867" s="54">
        <v>230.79679999999999</v>
      </c>
      <c r="B867" s="54">
        <v>235.8399</v>
      </c>
      <c r="C867" s="54">
        <v>229.54589999999999</v>
      </c>
      <c r="D867" s="54">
        <v>230.4255</v>
      </c>
      <c r="E867" s="54">
        <v>21811015</v>
      </c>
      <c r="F867" s="54" t="s">
        <v>1685</v>
      </c>
      <c r="G867" s="25">
        <f t="shared" si="12"/>
        <v>1.6113667975115042E-3</v>
      </c>
    </row>
    <row r="868" spans="1:7">
      <c r="A868" s="54">
        <v>231.11940000000001</v>
      </c>
      <c r="B868" s="54">
        <v>234.17840000000001</v>
      </c>
      <c r="C868" s="54">
        <v>228.97900000000001</v>
      </c>
      <c r="D868" s="54">
        <v>231.66669999999999</v>
      </c>
      <c r="E868" s="54">
        <v>19985698</v>
      </c>
      <c r="F868" s="54" t="s">
        <v>1686</v>
      </c>
      <c r="G868" s="25">
        <f t="shared" si="12"/>
        <v>-2.3624457032451751E-3</v>
      </c>
    </row>
    <row r="869" spans="1:7">
      <c r="A869" s="54">
        <v>233.09360000000001</v>
      </c>
      <c r="B869" s="54">
        <v>238.40049999999999</v>
      </c>
      <c r="C869" s="54">
        <v>230.03450000000001</v>
      </c>
      <c r="D869" s="54">
        <v>237.7261</v>
      </c>
      <c r="E869" s="54">
        <v>26329591</v>
      </c>
      <c r="F869" s="54" t="s">
        <v>1687</v>
      </c>
      <c r="G869" s="25">
        <f t="shared" si="12"/>
        <v>-1.9486711808253232E-2</v>
      </c>
    </row>
    <row r="870" spans="1:7">
      <c r="A870" s="54">
        <v>232.1456</v>
      </c>
      <c r="B870" s="54">
        <v>233.54310000000001</v>
      </c>
      <c r="C870" s="54">
        <v>229.8048</v>
      </c>
      <c r="D870" s="54">
        <v>230.4743</v>
      </c>
      <c r="E870" s="54">
        <v>28142268</v>
      </c>
      <c r="F870" s="54" t="s">
        <v>1688</v>
      </c>
      <c r="G870" s="25">
        <f t="shared" si="12"/>
        <v>7.2515677452973382E-3</v>
      </c>
    </row>
    <row r="871" spans="1:7">
      <c r="A871" s="54">
        <v>223.37889999999999</v>
      </c>
      <c r="B871" s="54">
        <v>231.8621</v>
      </c>
      <c r="C871" s="54">
        <v>223.16390000000001</v>
      </c>
      <c r="D871" s="54">
        <v>230.20070000000001</v>
      </c>
      <c r="E871" s="54">
        <v>30198588</v>
      </c>
      <c r="F871" s="54" t="s">
        <v>1689</v>
      </c>
      <c r="G871" s="25">
        <f t="shared" si="12"/>
        <v>-2.963414099088324E-2</v>
      </c>
    </row>
    <row r="872" spans="1:7">
      <c r="A872" s="54">
        <v>228.93010000000001</v>
      </c>
      <c r="B872" s="54">
        <v>230.74799999999999</v>
      </c>
      <c r="C872" s="54">
        <v>214.1627</v>
      </c>
      <c r="D872" s="54">
        <v>214.8663</v>
      </c>
      <c r="E872" s="54">
        <v>42551818</v>
      </c>
      <c r="F872" s="54" t="s">
        <v>1690</v>
      </c>
      <c r="G872" s="25">
        <f t="shared" si="12"/>
        <v>6.5453726340519713E-2</v>
      </c>
    </row>
    <row r="873" spans="1:7">
      <c r="A873" s="54">
        <v>220.6326</v>
      </c>
      <c r="B873" s="54">
        <v>222.69479999999999</v>
      </c>
      <c r="C873" s="54">
        <v>218.88319999999999</v>
      </c>
      <c r="D873" s="54">
        <v>220.29050000000001</v>
      </c>
      <c r="E873" s="54">
        <v>21903937</v>
      </c>
      <c r="F873" s="54" t="s">
        <v>1691</v>
      </c>
      <c r="G873" s="25">
        <f t="shared" si="12"/>
        <v>1.5529494009045575E-3</v>
      </c>
    </row>
    <row r="874" spans="1:7">
      <c r="A874" s="54">
        <v>220.30029999999999</v>
      </c>
      <c r="B874" s="54">
        <v>223.86760000000001</v>
      </c>
      <c r="C874" s="54">
        <v>219.02979999999999</v>
      </c>
      <c r="D874" s="54">
        <v>222.46019999999999</v>
      </c>
      <c r="E874" s="54">
        <v>30473954</v>
      </c>
      <c r="F874" s="54" t="s">
        <v>1692</v>
      </c>
      <c r="G874" s="25">
        <f t="shared" si="12"/>
        <v>-9.7091524686213626E-3</v>
      </c>
    </row>
    <row r="875" spans="1:7">
      <c r="A875" s="54">
        <v>224.05330000000001</v>
      </c>
      <c r="B875" s="54">
        <v>229.24189999999999</v>
      </c>
      <c r="C875" s="54">
        <v>221.59039999999999</v>
      </c>
      <c r="D875" s="54">
        <v>227.7671</v>
      </c>
      <c r="E875" s="54">
        <v>29743608</v>
      </c>
      <c r="F875" s="54" t="s">
        <v>1693</v>
      </c>
      <c r="G875" s="25">
        <f t="shared" si="12"/>
        <v>-1.6305252163284267E-2</v>
      </c>
    </row>
    <row r="876" spans="1:7">
      <c r="A876" s="54">
        <v>228.93010000000001</v>
      </c>
      <c r="B876" s="54">
        <v>235.84960000000001</v>
      </c>
      <c r="C876" s="54">
        <v>227.8844</v>
      </c>
      <c r="D876" s="54">
        <v>235.44110000000001</v>
      </c>
      <c r="E876" s="54">
        <v>37769602</v>
      </c>
      <c r="F876" s="54" t="s">
        <v>1694</v>
      </c>
      <c r="G876" s="25">
        <f t="shared" si="12"/>
        <v>-2.7654474940866258E-2</v>
      </c>
    </row>
    <row r="877" spans="1:7">
      <c r="A877" s="54">
        <v>241.19560000000001</v>
      </c>
      <c r="B877" s="54">
        <v>244.6652</v>
      </c>
      <c r="C877" s="54">
        <v>240.5017</v>
      </c>
      <c r="D877" s="54">
        <v>242.3098</v>
      </c>
      <c r="E877" s="54">
        <v>20239886</v>
      </c>
      <c r="F877" s="54" t="s">
        <v>1695</v>
      </c>
      <c r="G877" s="25">
        <f t="shared" si="12"/>
        <v>-4.5982457168467494E-3</v>
      </c>
    </row>
    <row r="878" spans="1:7">
      <c r="A878" s="54">
        <v>243.55099999999999</v>
      </c>
      <c r="B878" s="54">
        <v>244.8997</v>
      </c>
      <c r="C878" s="54">
        <v>238.56659999999999</v>
      </c>
      <c r="D878" s="54">
        <v>240.41380000000001</v>
      </c>
      <c r="E878" s="54">
        <v>20347136</v>
      </c>
      <c r="F878" s="54" t="s">
        <v>1696</v>
      </c>
      <c r="G878" s="25">
        <f t="shared" si="12"/>
        <v>1.3049167726644662E-2</v>
      </c>
    </row>
    <row r="879" spans="1:7">
      <c r="A879" s="54">
        <v>243.23830000000001</v>
      </c>
      <c r="B879" s="54">
        <v>244.68469999999999</v>
      </c>
      <c r="C879" s="54">
        <v>239.42179999999999</v>
      </c>
      <c r="D879" s="54">
        <v>239.5342</v>
      </c>
      <c r="E879" s="54">
        <v>34888416</v>
      </c>
      <c r="F879" s="54" t="s">
        <v>1697</v>
      </c>
      <c r="G879" s="25">
        <f t="shared" si="12"/>
        <v>1.5463762585885554E-2</v>
      </c>
    </row>
    <row r="880" spans="1:7">
      <c r="A880" s="54">
        <v>235.28280000000001</v>
      </c>
      <c r="B880" s="54">
        <v>236.13310000000001</v>
      </c>
      <c r="C880" s="54">
        <v>229.34059999999999</v>
      </c>
      <c r="D880" s="54">
        <v>230.0736</v>
      </c>
      <c r="E880" s="54">
        <v>28880357</v>
      </c>
      <c r="F880" s="54" t="s">
        <v>1698</v>
      </c>
      <c r="G880" s="25">
        <f t="shared" si="12"/>
        <v>2.2641450388049877E-2</v>
      </c>
    </row>
    <row r="881" spans="1:7">
      <c r="A881" s="54">
        <v>227.62049999999999</v>
      </c>
      <c r="B881" s="54">
        <v>235.0873</v>
      </c>
      <c r="C881" s="54">
        <v>227.45439999999999</v>
      </c>
      <c r="D881" s="54">
        <v>232.88829999999999</v>
      </c>
      <c r="E881" s="54">
        <v>35694832</v>
      </c>
      <c r="F881" s="54" t="s">
        <v>1699</v>
      </c>
      <c r="G881" s="25">
        <f t="shared" si="12"/>
        <v>-2.2619427425078831E-2</v>
      </c>
    </row>
    <row r="882" spans="1:7">
      <c r="A882" s="54">
        <v>232.11619999999999</v>
      </c>
      <c r="B882" s="54">
        <v>234.51070000000001</v>
      </c>
      <c r="C882" s="54">
        <v>229.09630000000001</v>
      </c>
      <c r="D882" s="54">
        <v>233.47470000000001</v>
      </c>
      <c r="E882" s="54">
        <v>27484233</v>
      </c>
      <c r="F882" s="54" t="s">
        <v>1700</v>
      </c>
      <c r="G882" s="25">
        <f t="shared" si="12"/>
        <v>-5.8186176061046924E-3</v>
      </c>
    </row>
    <row r="883" spans="1:7">
      <c r="A883" s="54">
        <v>235.6053</v>
      </c>
      <c r="B883" s="54">
        <v>236.83670000000001</v>
      </c>
      <c r="C883" s="54">
        <v>229.40899999999999</v>
      </c>
      <c r="D883" s="54">
        <v>231.4419</v>
      </c>
      <c r="E883" s="54">
        <v>29029679</v>
      </c>
      <c r="F883" s="54" t="s">
        <v>1701</v>
      </c>
      <c r="G883" s="25">
        <f t="shared" si="12"/>
        <v>1.7988963968927019E-2</v>
      </c>
    </row>
    <row r="884" spans="1:7">
      <c r="A884" s="54">
        <v>231.05090000000001</v>
      </c>
      <c r="B884" s="54">
        <v>236.31880000000001</v>
      </c>
      <c r="C884" s="54">
        <v>229.1842</v>
      </c>
      <c r="D884" s="54">
        <v>234.54</v>
      </c>
      <c r="E884" s="54">
        <v>27018732</v>
      </c>
      <c r="F884" s="54" t="s">
        <v>1702</v>
      </c>
      <c r="G884" s="25">
        <f t="shared" si="12"/>
        <v>-1.4876353713652146E-2</v>
      </c>
    </row>
    <row r="885" spans="1:7">
      <c r="A885" s="54">
        <v>232.06739999999999</v>
      </c>
      <c r="B885" s="54">
        <v>235.97669999999999</v>
      </c>
      <c r="C885" s="54">
        <v>231.52979999999999</v>
      </c>
      <c r="D885" s="54">
        <v>231.67160000000001</v>
      </c>
      <c r="E885" s="54">
        <v>27694190</v>
      </c>
      <c r="F885" s="54" t="s">
        <v>1703</v>
      </c>
      <c r="G885" s="25">
        <f t="shared" si="12"/>
        <v>1.7084528271915644E-3</v>
      </c>
    </row>
    <row r="886" spans="1:7">
      <c r="A886" s="54">
        <v>232.52670000000001</v>
      </c>
      <c r="B886" s="54">
        <v>235.66399999999999</v>
      </c>
      <c r="C886" s="54">
        <v>229.86840000000001</v>
      </c>
      <c r="D886" s="54">
        <v>234.11</v>
      </c>
      <c r="E886" s="54">
        <v>34176048</v>
      </c>
      <c r="F886" s="54" t="s">
        <v>1704</v>
      </c>
      <c r="G886" s="25">
        <f t="shared" si="12"/>
        <v>-6.7630600999530888E-3</v>
      </c>
    </row>
    <row r="887" spans="1:7">
      <c r="A887" s="54">
        <v>235.51740000000001</v>
      </c>
      <c r="B887" s="54">
        <v>238.3321</v>
      </c>
      <c r="C887" s="54">
        <v>232.18469999999999</v>
      </c>
      <c r="D887" s="54">
        <v>232.47819999999999</v>
      </c>
      <c r="E887" s="54">
        <v>31061162</v>
      </c>
      <c r="F887" s="54" t="s">
        <v>1705</v>
      </c>
      <c r="G887" s="25">
        <f t="shared" si="12"/>
        <v>1.3073053731489814E-2</v>
      </c>
    </row>
    <row r="888" spans="1:7">
      <c r="A888" s="54">
        <v>233.5334</v>
      </c>
      <c r="B888" s="54">
        <v>242.04589999999999</v>
      </c>
      <c r="C888" s="54">
        <v>233.4845</v>
      </c>
      <c r="D888" s="54">
        <v>238.7328</v>
      </c>
      <c r="E888" s="54">
        <v>28625557</v>
      </c>
      <c r="F888" s="54" t="s">
        <v>1706</v>
      </c>
      <c r="G888" s="25">
        <f t="shared" si="12"/>
        <v>-2.1779160634818551E-2</v>
      </c>
    </row>
    <row r="889" spans="1:7">
      <c r="A889" s="54">
        <v>236.95400000000001</v>
      </c>
      <c r="B889" s="54">
        <v>237.99</v>
      </c>
      <c r="C889" s="54">
        <v>234.20769999999999</v>
      </c>
      <c r="D889" s="54">
        <v>236.5778</v>
      </c>
      <c r="E889" s="54">
        <v>26660299</v>
      </c>
      <c r="F889" s="54" t="s">
        <v>1707</v>
      </c>
      <c r="G889" s="25">
        <f t="shared" si="12"/>
        <v>1.5901745641391241E-3</v>
      </c>
    </row>
    <row r="890" spans="1:7">
      <c r="A890" s="54">
        <v>238.97710000000001</v>
      </c>
      <c r="B890" s="54">
        <v>239.5831</v>
      </c>
      <c r="C890" s="54">
        <v>235.3903</v>
      </c>
      <c r="D890" s="54">
        <v>236.96870000000001</v>
      </c>
      <c r="E890" s="54">
        <v>26826931</v>
      </c>
      <c r="F890" s="54" t="s">
        <v>1708</v>
      </c>
      <c r="G890" s="25">
        <f t="shared" si="12"/>
        <v>8.4753809258353296E-3</v>
      </c>
    </row>
    <row r="891" spans="1:7">
      <c r="A891" s="54">
        <v>239.19210000000001</v>
      </c>
      <c r="B891" s="54">
        <v>239.73939999999999</v>
      </c>
      <c r="C891" s="54">
        <v>236.57550000000001</v>
      </c>
      <c r="D891" s="54">
        <v>238.72300000000001</v>
      </c>
      <c r="E891" s="54">
        <v>39791768</v>
      </c>
      <c r="F891" s="54" t="s">
        <v>1709</v>
      </c>
      <c r="G891" s="25">
        <f t="shared" si="12"/>
        <v>1.9650389782299715E-3</v>
      </c>
    </row>
    <row r="892" spans="1:7">
      <c r="A892" s="54">
        <v>239.8176</v>
      </c>
      <c r="B892" s="54">
        <v>245.7011</v>
      </c>
      <c r="C892" s="54">
        <v>238.48840000000001</v>
      </c>
      <c r="D892" s="54">
        <v>244.10810000000001</v>
      </c>
      <c r="E892" s="54">
        <v>31530948</v>
      </c>
      <c r="F892" s="54" t="s">
        <v>1710</v>
      </c>
      <c r="G892" s="25">
        <f t="shared" si="12"/>
        <v>-1.757622954748328E-2</v>
      </c>
    </row>
    <row r="893" spans="1:7">
      <c r="A893" s="54">
        <v>246.5026</v>
      </c>
      <c r="B893" s="54">
        <v>248.46700000000001</v>
      </c>
      <c r="C893" s="54">
        <v>244.1961</v>
      </c>
      <c r="D893" s="54">
        <v>247.78290000000001</v>
      </c>
      <c r="E893" s="54">
        <v>23912954</v>
      </c>
      <c r="F893" s="54" t="s">
        <v>1711</v>
      </c>
      <c r="G893" s="25">
        <f t="shared" si="12"/>
        <v>-5.1670232288023588E-3</v>
      </c>
    </row>
    <row r="894" spans="1:7">
      <c r="A894" s="54">
        <v>246.27780000000001</v>
      </c>
      <c r="B894" s="54">
        <v>254.49709999999999</v>
      </c>
      <c r="C894" s="54">
        <v>245.88679999999999</v>
      </c>
      <c r="D894" s="54">
        <v>252.9725</v>
      </c>
      <c r="E894" s="54">
        <v>33353318</v>
      </c>
      <c r="F894" s="54" t="s">
        <v>1712</v>
      </c>
      <c r="G894" s="25">
        <f t="shared" si="12"/>
        <v>-2.646414135923858E-2</v>
      </c>
    </row>
    <row r="895" spans="1:7">
      <c r="A895" s="54">
        <v>260.60550000000001</v>
      </c>
      <c r="B895" s="54">
        <v>261.38729999999998</v>
      </c>
      <c r="C895" s="54">
        <v>259.14920000000001</v>
      </c>
      <c r="D895" s="54">
        <v>259.7552</v>
      </c>
      <c r="E895" s="54">
        <v>18747690</v>
      </c>
      <c r="F895" s="54" t="s">
        <v>1713</v>
      </c>
      <c r="G895" s="25">
        <f t="shared" si="12"/>
        <v>3.2734667101947945E-3</v>
      </c>
    </row>
    <row r="896" spans="1:7">
      <c r="A896" s="54">
        <v>258.46510000000001</v>
      </c>
      <c r="B896" s="54">
        <v>259.2176</v>
      </c>
      <c r="C896" s="54">
        <v>254.3896</v>
      </c>
      <c r="D896" s="54">
        <v>254.5949</v>
      </c>
      <c r="E896" s="54">
        <v>22093190</v>
      </c>
      <c r="F896" s="54" t="s">
        <v>1714</v>
      </c>
      <c r="G896" s="25">
        <f t="shared" si="12"/>
        <v>1.5201404270077656E-2</v>
      </c>
    </row>
    <row r="897" spans="1:7">
      <c r="A897" s="54">
        <v>252.65969999999999</v>
      </c>
      <c r="B897" s="54">
        <v>254.5265</v>
      </c>
      <c r="C897" s="54">
        <v>249.01429999999999</v>
      </c>
      <c r="D897" s="54">
        <v>251.67259999999999</v>
      </c>
      <c r="E897" s="54">
        <v>20319911</v>
      </c>
      <c r="F897" s="54" t="s">
        <v>1715</v>
      </c>
      <c r="G897" s="25">
        <f t="shared" si="12"/>
        <v>3.9221591861806626E-3</v>
      </c>
    </row>
    <row r="898" spans="1:7">
      <c r="A898" s="54">
        <v>252.23949999999999</v>
      </c>
      <c r="B898" s="54">
        <v>252.96270000000001</v>
      </c>
      <c r="C898" s="54">
        <v>247.47989999999999</v>
      </c>
      <c r="D898" s="54">
        <v>248.9263</v>
      </c>
      <c r="E898" s="54">
        <v>24126700</v>
      </c>
      <c r="F898" s="54" t="s">
        <v>1716</v>
      </c>
      <c r="G898" s="25">
        <f t="shared" si="12"/>
        <v>1.3309963631805921E-2</v>
      </c>
    </row>
    <row r="899" spans="1:7">
      <c r="A899" s="54">
        <v>247.50919999999999</v>
      </c>
      <c r="B899" s="54">
        <v>251.9854</v>
      </c>
      <c r="C899" s="54">
        <v>246.22890000000001</v>
      </c>
      <c r="D899" s="54">
        <v>250.39230000000001</v>
      </c>
      <c r="E899" s="54">
        <v>21328242</v>
      </c>
      <c r="F899" s="54" t="s">
        <v>1717</v>
      </c>
      <c r="G899" s="25">
        <f t="shared" si="12"/>
        <v>-1.1514331710679615E-2</v>
      </c>
    </row>
    <row r="900" spans="1:7">
      <c r="A900" s="54">
        <v>250.25550000000001</v>
      </c>
      <c r="B900" s="54">
        <v>258.73869999999999</v>
      </c>
      <c r="C900" s="54">
        <v>248.70160000000001</v>
      </c>
      <c r="D900" s="54">
        <v>255.7628</v>
      </c>
      <c r="E900" s="54">
        <v>22855380</v>
      </c>
      <c r="F900" s="54" t="s">
        <v>1718</v>
      </c>
      <c r="G900" s="25">
        <f t="shared" si="12"/>
        <v>-2.153284214905371E-2</v>
      </c>
    </row>
    <row r="901" spans="1:7">
      <c r="A901" s="54">
        <v>254.49709999999999</v>
      </c>
      <c r="B901" s="54">
        <v>254.976</v>
      </c>
      <c r="C901" s="54">
        <v>249.62020000000001</v>
      </c>
      <c r="D901" s="54">
        <v>253.0018</v>
      </c>
      <c r="E901" s="54">
        <v>23263431</v>
      </c>
      <c r="F901" s="54" t="s">
        <v>1719</v>
      </c>
      <c r="G901" s="25">
        <f t="shared" si="12"/>
        <v>5.9102346307418063E-3</v>
      </c>
    </row>
    <row r="902" spans="1:7">
      <c r="A902" s="54">
        <v>255.5429</v>
      </c>
      <c r="B902" s="54">
        <v>261.05500000000001</v>
      </c>
      <c r="C902" s="54">
        <v>255.40600000000001</v>
      </c>
      <c r="D902" s="54">
        <v>259.37400000000002</v>
      </c>
      <c r="E902" s="54">
        <v>24791834</v>
      </c>
      <c r="F902" s="54" t="s">
        <v>1720</v>
      </c>
      <c r="G902" s="25">
        <f t="shared" si="12"/>
        <v>-1.4770562970845225E-2</v>
      </c>
    </row>
    <row r="903" spans="1:7">
      <c r="A903" s="54">
        <v>257.00889999999998</v>
      </c>
      <c r="B903" s="54">
        <v>260.99639999999999</v>
      </c>
      <c r="C903" s="54">
        <v>254.75120000000001</v>
      </c>
      <c r="D903" s="54">
        <v>260.625</v>
      </c>
      <c r="E903" s="54">
        <v>22767071</v>
      </c>
      <c r="F903" s="54" t="s">
        <v>1721</v>
      </c>
      <c r="G903" s="25">
        <f t="shared" si="12"/>
        <v>-1.3874724220623524E-2</v>
      </c>
    </row>
    <row r="904" spans="1:7">
      <c r="A904" s="54">
        <v>259.2176</v>
      </c>
      <c r="B904" s="54">
        <v>261.33850000000001</v>
      </c>
      <c r="C904" s="54">
        <v>257.8689</v>
      </c>
      <c r="D904" s="54">
        <v>259.8236</v>
      </c>
      <c r="E904" s="54">
        <v>20338544</v>
      </c>
      <c r="F904" s="54" t="s">
        <v>1722</v>
      </c>
      <c r="G904" s="25">
        <f t="shared" si="12"/>
        <v>-2.3323516416522416E-3</v>
      </c>
    </row>
    <row r="905" spans="1:7">
      <c r="A905" s="54">
        <v>262.01280000000003</v>
      </c>
      <c r="B905" s="54">
        <v>273.98509999999999</v>
      </c>
      <c r="C905" s="54">
        <v>261.90530000000001</v>
      </c>
      <c r="D905" s="54">
        <v>272.75369999999998</v>
      </c>
      <c r="E905" s="54">
        <v>27549307</v>
      </c>
      <c r="F905" s="54" t="s">
        <v>1723</v>
      </c>
      <c r="G905" s="25">
        <f t="shared" si="12"/>
        <v>-3.9379484127987863E-2</v>
      </c>
    </row>
    <row r="906" spans="1:7">
      <c r="A906" s="54">
        <v>272.52890000000002</v>
      </c>
      <c r="B906" s="54">
        <v>272.69499999999999</v>
      </c>
      <c r="C906" s="54">
        <v>268.2971</v>
      </c>
      <c r="D906" s="54">
        <v>271.04340000000002</v>
      </c>
      <c r="E906" s="54">
        <v>16583407</v>
      </c>
      <c r="F906" s="54" t="s">
        <v>1724</v>
      </c>
      <c r="G906" s="25">
        <f t="shared" si="12"/>
        <v>5.4806720990070446E-3</v>
      </c>
    </row>
    <row r="907" spans="1:7">
      <c r="A907" s="54">
        <v>269.53829999999999</v>
      </c>
      <c r="B907" s="54">
        <v>270.94560000000001</v>
      </c>
      <c r="C907" s="54">
        <v>268.87369999999999</v>
      </c>
      <c r="D907" s="54">
        <v>269.1669</v>
      </c>
      <c r="E907" s="54">
        <v>18137019</v>
      </c>
      <c r="F907" s="54" t="s">
        <v>1725</v>
      </c>
      <c r="G907" s="25">
        <f t="shared" si="12"/>
        <v>1.3798130453632762E-3</v>
      </c>
    </row>
    <row r="908" spans="1:7">
      <c r="A908" s="54">
        <v>270.17349999999999</v>
      </c>
      <c r="B908" s="54">
        <v>272.53870000000001</v>
      </c>
      <c r="C908" s="54">
        <v>269.15710000000001</v>
      </c>
      <c r="D908" s="54">
        <v>270.17349999999999</v>
      </c>
      <c r="E908" s="54">
        <v>17527409</v>
      </c>
      <c r="F908" s="54" t="s">
        <v>1726</v>
      </c>
      <c r="G908" s="25">
        <f t="shared" si="12"/>
        <v>0</v>
      </c>
    </row>
    <row r="909" spans="1:7">
      <c r="A909" s="54">
        <v>271.4538</v>
      </c>
      <c r="B909" s="54">
        <v>276.05709999999999</v>
      </c>
      <c r="C909" s="54">
        <v>270.93579999999997</v>
      </c>
      <c r="D909" s="54">
        <v>275.6857</v>
      </c>
      <c r="E909" s="54">
        <v>25061070</v>
      </c>
      <c r="F909" s="54" t="s">
        <v>1727</v>
      </c>
      <c r="G909" s="25">
        <f t="shared" si="12"/>
        <v>-1.5350451619362215E-2</v>
      </c>
    </row>
    <row r="910" spans="1:7">
      <c r="A910" s="54">
        <v>279.66340000000002</v>
      </c>
      <c r="B910" s="54">
        <v>282.69310000000002</v>
      </c>
      <c r="C910" s="54">
        <v>279.08679999999998</v>
      </c>
      <c r="D910" s="54">
        <v>282.35109999999997</v>
      </c>
      <c r="E910" s="54">
        <v>20570033</v>
      </c>
      <c r="F910" s="54" t="s">
        <v>1728</v>
      </c>
      <c r="G910" s="25">
        <f t="shared" si="12"/>
        <v>-9.5189995718095721E-3</v>
      </c>
    </row>
    <row r="911" spans="1:7">
      <c r="A911" s="54">
        <v>283.59230000000002</v>
      </c>
      <c r="B911" s="54">
        <v>285.2928</v>
      </c>
      <c r="C911" s="54">
        <v>282.52699999999999</v>
      </c>
      <c r="D911" s="54">
        <v>283.61090000000002</v>
      </c>
      <c r="E911" s="54">
        <v>17186192</v>
      </c>
      <c r="F911" s="54" t="s">
        <v>1729</v>
      </c>
      <c r="G911" s="25">
        <f t="shared" si="12"/>
        <v>-6.5582810815811854E-5</v>
      </c>
    </row>
    <row r="912" spans="1:7">
      <c r="A912" s="54">
        <v>284.71620000000001</v>
      </c>
      <c r="B912" s="54">
        <v>286.7002</v>
      </c>
      <c r="C912" s="54">
        <v>282.90820000000002</v>
      </c>
      <c r="D912" s="54">
        <v>283.17200000000003</v>
      </c>
      <c r="E912" s="54">
        <v>18253358</v>
      </c>
      <c r="F912" s="54" t="s">
        <v>1730</v>
      </c>
      <c r="G912" s="25">
        <f t="shared" si="12"/>
        <v>5.4532227762631447E-3</v>
      </c>
    </row>
    <row r="913" spans="1:7">
      <c r="A913" s="54">
        <v>285.46879999999999</v>
      </c>
      <c r="B913" s="54">
        <v>286.76589999999999</v>
      </c>
      <c r="C913" s="54">
        <v>283.23540000000003</v>
      </c>
      <c r="D913" s="54">
        <v>284.76659999999998</v>
      </c>
      <c r="E913" s="54">
        <v>18102882</v>
      </c>
      <c r="F913" s="54" t="s">
        <v>1731</v>
      </c>
      <c r="G913" s="25">
        <f t="shared" si="12"/>
        <v>2.4658790743015135E-3</v>
      </c>
    </row>
    <row r="914" spans="1:7">
      <c r="A914" s="54">
        <v>286.20999999999998</v>
      </c>
      <c r="B914" s="54">
        <v>286.9024</v>
      </c>
      <c r="C914" s="54">
        <v>282.93310000000002</v>
      </c>
      <c r="D914" s="54">
        <v>283.80110000000002</v>
      </c>
      <c r="E914" s="54">
        <v>18085654</v>
      </c>
      <c r="F914" s="54" t="s">
        <v>1732</v>
      </c>
      <c r="G914" s="25">
        <f t="shared" si="12"/>
        <v>8.4879868330318686E-3</v>
      </c>
    </row>
    <row r="915" spans="1:7">
      <c r="A915" s="54">
        <v>284.68860000000001</v>
      </c>
      <c r="B915" s="54">
        <v>284.68860000000001</v>
      </c>
      <c r="C915" s="54">
        <v>279.8415</v>
      </c>
      <c r="D915" s="54">
        <v>281.34339999999997</v>
      </c>
      <c r="E915" s="54">
        <v>22619675</v>
      </c>
      <c r="F915" s="54" t="s">
        <v>1733</v>
      </c>
      <c r="G915" s="25">
        <f t="shared" si="12"/>
        <v>1.1890095875716433E-2</v>
      </c>
    </row>
    <row r="916" spans="1:7">
      <c r="A916" s="54">
        <v>279.91950000000003</v>
      </c>
      <c r="B916" s="54">
        <v>284.0059</v>
      </c>
      <c r="C916" s="54">
        <v>279.4221</v>
      </c>
      <c r="D916" s="54">
        <v>283.65480000000002</v>
      </c>
      <c r="E916" s="54">
        <v>20065938</v>
      </c>
      <c r="F916" s="54" t="s">
        <v>1734</v>
      </c>
      <c r="G916" s="25">
        <f t="shared" si="12"/>
        <v>-1.3168470972463653E-2</v>
      </c>
    </row>
    <row r="917" spans="1:7">
      <c r="A917" s="54">
        <v>282.00659999999999</v>
      </c>
      <c r="B917" s="54">
        <v>282.64049999999997</v>
      </c>
      <c r="C917" s="54">
        <v>279.8415</v>
      </c>
      <c r="D917" s="54">
        <v>281.04109999999997</v>
      </c>
      <c r="E917" s="54">
        <v>24687845</v>
      </c>
      <c r="F917" s="54" t="s">
        <v>1735</v>
      </c>
      <c r="G917" s="25">
        <f t="shared" si="12"/>
        <v>3.4354405814667199E-3</v>
      </c>
    </row>
    <row r="918" spans="1:7">
      <c r="A918" s="54">
        <v>275.31630000000001</v>
      </c>
      <c r="B918" s="54">
        <v>276.077</v>
      </c>
      <c r="C918" s="54">
        <v>270.7423</v>
      </c>
      <c r="D918" s="54">
        <v>272.72210000000001</v>
      </c>
      <c r="E918" s="54">
        <v>23405238</v>
      </c>
      <c r="F918" s="54" t="s">
        <v>1736</v>
      </c>
      <c r="G918" s="25">
        <f t="shared" si="12"/>
        <v>9.5122470822863736E-3</v>
      </c>
    </row>
    <row r="919" spans="1:7">
      <c r="A919" s="54">
        <v>273.38529999999997</v>
      </c>
      <c r="B919" s="54">
        <v>278.8467</v>
      </c>
      <c r="C919" s="54">
        <v>272.41000000000003</v>
      </c>
      <c r="D919" s="54">
        <v>277.02300000000002</v>
      </c>
      <c r="E919" s="54">
        <v>18757818</v>
      </c>
      <c r="F919" s="54" t="s">
        <v>1737</v>
      </c>
      <c r="G919" s="25">
        <f t="shared" si="12"/>
        <v>-1.3131400641824165E-2</v>
      </c>
    </row>
    <row r="920" spans="1:7">
      <c r="A920" s="54">
        <v>275.91120000000001</v>
      </c>
      <c r="B920" s="54">
        <v>276.63290000000001</v>
      </c>
      <c r="C920" s="54">
        <v>271.78579999999999</v>
      </c>
      <c r="D920" s="54">
        <v>272.24419999999998</v>
      </c>
      <c r="E920" s="54">
        <v>16774606</v>
      </c>
      <c r="F920" s="54" t="s">
        <v>1738</v>
      </c>
      <c r="G920" s="25">
        <f t="shared" ref="G920:G983" si="13">A920/D920-1</f>
        <v>1.3469524786937637E-2</v>
      </c>
    </row>
    <row r="921" spans="1:7">
      <c r="A921" s="54">
        <v>276.63290000000001</v>
      </c>
      <c r="B921" s="54">
        <v>276.7792</v>
      </c>
      <c r="C921" s="54">
        <v>273.23669999999998</v>
      </c>
      <c r="D921" s="54">
        <v>274.82870000000003</v>
      </c>
      <c r="E921" s="54">
        <v>18098668</v>
      </c>
      <c r="F921" s="54" t="s">
        <v>1739</v>
      </c>
      <c r="G921" s="25">
        <f t="shared" si="13"/>
        <v>6.5648165566405403E-3</v>
      </c>
    </row>
    <row r="922" spans="1:7">
      <c r="A922" s="54">
        <v>275.4821</v>
      </c>
      <c r="B922" s="54">
        <v>276.48660000000001</v>
      </c>
      <c r="C922" s="54">
        <v>269.76710000000003</v>
      </c>
      <c r="D922" s="54">
        <v>269.91329999999999</v>
      </c>
      <c r="E922" s="54">
        <v>23518874</v>
      </c>
      <c r="F922" s="54" t="s">
        <v>1740</v>
      </c>
      <c r="G922" s="25">
        <f t="shared" si="13"/>
        <v>2.0631810288711305E-2</v>
      </c>
    </row>
    <row r="923" spans="1:7">
      <c r="A923" s="54">
        <v>268.0213</v>
      </c>
      <c r="B923" s="54">
        <v>271.0154</v>
      </c>
      <c r="C923" s="54">
        <v>265.64170000000001</v>
      </c>
      <c r="D923" s="54">
        <v>269.1721</v>
      </c>
      <c r="E923" s="54">
        <v>22754184</v>
      </c>
      <c r="F923" s="54" t="s">
        <v>1741</v>
      </c>
      <c r="G923" s="25">
        <f t="shared" si="13"/>
        <v>-4.2753316558440391E-3</v>
      </c>
    </row>
    <row r="924" spans="1:7">
      <c r="A924" s="54">
        <v>271.13240000000002</v>
      </c>
      <c r="B924" s="54">
        <v>274.32150000000001</v>
      </c>
      <c r="C924" s="54">
        <v>269.01609999999999</v>
      </c>
      <c r="D924" s="54">
        <v>270.94709999999998</v>
      </c>
      <c r="E924" s="54">
        <v>21539580</v>
      </c>
      <c r="F924" s="54" t="s">
        <v>1742</v>
      </c>
      <c r="G924" s="25">
        <f t="shared" si="13"/>
        <v>6.8389733641738282E-4</v>
      </c>
    </row>
    <row r="925" spans="1:7">
      <c r="A925" s="54">
        <v>273.79489999999998</v>
      </c>
      <c r="B925" s="54">
        <v>275.02370000000002</v>
      </c>
      <c r="C925" s="54">
        <v>269.78660000000002</v>
      </c>
      <c r="D925" s="54">
        <v>270.83010000000002</v>
      </c>
      <c r="E925" s="54">
        <v>32152752</v>
      </c>
      <c r="F925" s="54" t="s">
        <v>1743</v>
      </c>
      <c r="G925" s="25">
        <f t="shared" si="13"/>
        <v>1.0947084537501484E-2</v>
      </c>
    </row>
    <row r="926" spans="1:7">
      <c r="A926" s="54">
        <v>269.572</v>
      </c>
      <c r="B926" s="54">
        <v>270.96660000000003</v>
      </c>
      <c r="C926" s="54">
        <v>261.24329999999998</v>
      </c>
      <c r="D926" s="54">
        <v>263.07679999999999</v>
      </c>
      <c r="E926" s="54">
        <v>33459327</v>
      </c>
      <c r="F926" s="54" t="s">
        <v>1744</v>
      </c>
      <c r="G926" s="25">
        <f t="shared" si="13"/>
        <v>2.4689368275727874E-2</v>
      </c>
    </row>
    <row r="927" spans="1:7">
      <c r="A927" s="54">
        <v>262.09179999999998</v>
      </c>
      <c r="B927" s="54">
        <v>263.36930000000001</v>
      </c>
      <c r="C927" s="54">
        <v>252.44640000000001</v>
      </c>
      <c r="D927" s="54">
        <v>254.69929999999999</v>
      </c>
      <c r="E927" s="54">
        <v>45994049</v>
      </c>
      <c r="F927" s="54" t="s">
        <v>1745</v>
      </c>
      <c r="G927" s="25">
        <f t="shared" si="13"/>
        <v>2.9024422132294836E-2</v>
      </c>
    </row>
    <row r="928" spans="1:7">
      <c r="A928" s="54">
        <v>245.66829999999999</v>
      </c>
      <c r="B928" s="54">
        <v>253.45089999999999</v>
      </c>
      <c r="C928" s="54">
        <v>243.39599999999999</v>
      </c>
      <c r="D928" s="54">
        <v>253.4314</v>
      </c>
      <c r="E928" s="54">
        <v>39347957</v>
      </c>
      <c r="F928" s="54" t="s">
        <v>1746</v>
      </c>
      <c r="G928" s="25">
        <f t="shared" si="13"/>
        <v>-3.0631957997312109E-2</v>
      </c>
    </row>
    <row r="929" spans="1:7">
      <c r="A929" s="54">
        <v>252.42689999999999</v>
      </c>
      <c r="B929" s="54">
        <v>255.0309</v>
      </c>
      <c r="C929" s="54">
        <v>250.45689999999999</v>
      </c>
      <c r="D929" s="54">
        <v>254.5384</v>
      </c>
      <c r="E929" s="54">
        <v>21055998</v>
      </c>
      <c r="F929" s="54" t="s">
        <v>1747</v>
      </c>
      <c r="G929" s="25">
        <f t="shared" si="13"/>
        <v>-8.2954084727491217E-3</v>
      </c>
    </row>
    <row r="930" spans="1:7">
      <c r="A930" s="54">
        <v>253.91909999999999</v>
      </c>
      <c r="B930" s="54">
        <v>258.76609999999999</v>
      </c>
      <c r="C930" s="54">
        <v>252.661</v>
      </c>
      <c r="D930" s="54">
        <v>258.67829999999998</v>
      </c>
      <c r="E930" s="54">
        <v>21881290</v>
      </c>
      <c r="F930" s="54" t="s">
        <v>1748</v>
      </c>
      <c r="G930" s="25">
        <f t="shared" si="13"/>
        <v>-1.8398141629970444E-2</v>
      </c>
    </row>
    <row r="931" spans="1:7">
      <c r="A931" s="54">
        <v>258.28820000000002</v>
      </c>
      <c r="B931" s="54">
        <v>258.33699999999999</v>
      </c>
      <c r="C931" s="54">
        <v>250.67140000000001</v>
      </c>
      <c r="D931" s="54">
        <v>253.36320000000001</v>
      </c>
      <c r="E931" s="54">
        <v>22404675</v>
      </c>
      <c r="F931" s="54" t="s">
        <v>1749</v>
      </c>
      <c r="G931" s="25">
        <f t="shared" si="13"/>
        <v>1.9438497777104269E-2</v>
      </c>
    </row>
    <row r="932" spans="1:7">
      <c r="A932" s="54">
        <v>255.7818</v>
      </c>
      <c r="B932" s="54">
        <v>258.3175</v>
      </c>
      <c r="C932" s="54">
        <v>252.50489999999999</v>
      </c>
      <c r="D932" s="54">
        <v>253.47040000000001</v>
      </c>
      <c r="E932" s="54">
        <v>22788282</v>
      </c>
      <c r="F932" s="54" t="s">
        <v>1750</v>
      </c>
      <c r="G932" s="25">
        <f t="shared" si="13"/>
        <v>9.1190135021683716E-3</v>
      </c>
    </row>
    <row r="933" spans="1:7">
      <c r="A933" s="54">
        <v>253.1096</v>
      </c>
      <c r="B933" s="54">
        <v>253.29490000000001</v>
      </c>
      <c r="C933" s="54">
        <v>247.40430000000001</v>
      </c>
      <c r="D933" s="54">
        <v>251.203</v>
      </c>
      <c r="E933" s="54">
        <v>25012562</v>
      </c>
      <c r="F933" s="54" t="s">
        <v>1751</v>
      </c>
      <c r="G933" s="25">
        <f t="shared" si="13"/>
        <v>7.5898775094247473E-3</v>
      </c>
    </row>
    <row r="934" spans="1:7">
      <c r="A934" s="54">
        <v>247.96019999999999</v>
      </c>
      <c r="B934" s="54">
        <v>254.38720000000001</v>
      </c>
      <c r="C934" s="54">
        <v>247.03370000000001</v>
      </c>
      <c r="D934" s="54">
        <v>253.32419999999999</v>
      </c>
      <c r="E934" s="54">
        <v>20975034</v>
      </c>
      <c r="F934" s="54" t="s">
        <v>1752</v>
      </c>
      <c r="G934" s="25">
        <f t="shared" si="13"/>
        <v>-2.117444760508469E-2</v>
      </c>
    </row>
    <row r="935" spans="1:7">
      <c r="A935" s="54">
        <v>250.3691</v>
      </c>
      <c r="B935" s="54">
        <v>253.92869999999999</v>
      </c>
      <c r="C935" s="54">
        <v>248.47</v>
      </c>
      <c r="D935" s="54">
        <v>249.3938</v>
      </c>
      <c r="E935" s="54">
        <v>29774050</v>
      </c>
      <c r="F935" s="54" t="s">
        <v>1753</v>
      </c>
      <c r="G935" s="25">
        <f t="shared" si="13"/>
        <v>3.9106826232249148E-3</v>
      </c>
    </row>
    <row r="936" spans="1:7">
      <c r="A936" s="54">
        <v>247.7944</v>
      </c>
      <c r="B936" s="54">
        <v>248.82570000000001</v>
      </c>
      <c r="C936" s="54">
        <v>239.85579999999999</v>
      </c>
      <c r="D936" s="54">
        <v>244.37129999999999</v>
      </c>
      <c r="E936" s="54">
        <v>25102823</v>
      </c>
      <c r="F936" s="54" t="s">
        <v>1754</v>
      </c>
      <c r="G936" s="25">
        <f t="shared" si="13"/>
        <v>1.4007782419621417E-2</v>
      </c>
    </row>
    <row r="937" spans="1:7">
      <c r="A937" s="54">
        <v>246.46809999999999</v>
      </c>
      <c r="B937" s="54">
        <v>247.2775</v>
      </c>
      <c r="C937" s="54">
        <v>241.97210000000001</v>
      </c>
      <c r="D937" s="54">
        <v>244.00069999999999</v>
      </c>
      <c r="E937" s="54">
        <v>29497423</v>
      </c>
      <c r="F937" s="54" t="s">
        <v>1755</v>
      </c>
      <c r="G937" s="25">
        <f t="shared" si="13"/>
        <v>1.0112266071367726E-2</v>
      </c>
    </row>
    <row r="938" spans="1:7">
      <c r="A938" s="54">
        <v>247.3946</v>
      </c>
      <c r="B938" s="54">
        <v>259.36099999999999</v>
      </c>
      <c r="C938" s="54">
        <v>245.8049</v>
      </c>
      <c r="D938" s="54">
        <v>259.30250000000001</v>
      </c>
      <c r="E938" s="54">
        <v>35868450</v>
      </c>
      <c r="F938" s="54" t="s">
        <v>1756</v>
      </c>
      <c r="G938" s="25">
        <f t="shared" si="13"/>
        <v>-4.5922812159543414E-2</v>
      </c>
    </row>
    <row r="939" spans="1:7">
      <c r="A939" s="54">
        <v>257.96640000000002</v>
      </c>
      <c r="B939" s="54">
        <v>259.93639999999999</v>
      </c>
      <c r="C939" s="54">
        <v>255.69399999999999</v>
      </c>
      <c r="D939" s="54">
        <v>259.07819999999998</v>
      </c>
      <c r="E939" s="54">
        <v>19519108</v>
      </c>
      <c r="F939" s="54" t="s">
        <v>1757</v>
      </c>
      <c r="G939" s="25">
        <f t="shared" si="13"/>
        <v>-4.2913683976496531E-3</v>
      </c>
    </row>
    <row r="940" spans="1:7">
      <c r="A940" s="54">
        <v>261.0385</v>
      </c>
      <c r="B940" s="54">
        <v>261.4676</v>
      </c>
      <c r="C940" s="54">
        <v>256.77170000000001</v>
      </c>
      <c r="D940" s="54">
        <v>258.23950000000002</v>
      </c>
      <c r="E940" s="54">
        <v>19658751</v>
      </c>
      <c r="F940" s="54" t="s">
        <v>1758</v>
      </c>
      <c r="G940" s="25">
        <f t="shared" si="13"/>
        <v>1.0838775632697528E-2</v>
      </c>
    </row>
    <row r="941" spans="1:7">
      <c r="A941" s="54">
        <v>261.7602</v>
      </c>
      <c r="B941" s="54">
        <v>262.399</v>
      </c>
      <c r="C941" s="54">
        <v>258.46379999999999</v>
      </c>
      <c r="D941" s="54">
        <v>258.56130000000002</v>
      </c>
      <c r="E941" s="54">
        <v>20859874</v>
      </c>
      <c r="F941" s="54" t="s">
        <v>1759</v>
      </c>
      <c r="G941" s="25">
        <f t="shared" si="13"/>
        <v>1.2371921087958482E-2</v>
      </c>
    </row>
    <row r="942" spans="1:7">
      <c r="A942" s="54">
        <v>259.62430000000001</v>
      </c>
      <c r="B942" s="54">
        <v>261.3603</v>
      </c>
      <c r="C942" s="54">
        <v>255.90860000000001</v>
      </c>
      <c r="D942" s="54">
        <v>257.22519999999997</v>
      </c>
      <c r="E942" s="54">
        <v>23824419</v>
      </c>
      <c r="F942" s="54" t="s">
        <v>1760</v>
      </c>
      <c r="G942" s="25">
        <f t="shared" si="13"/>
        <v>9.3268466697664643E-3</v>
      </c>
    </row>
    <row r="943" spans="1:7">
      <c r="A943" s="54">
        <v>256.34750000000003</v>
      </c>
      <c r="B943" s="54">
        <v>256.4742</v>
      </c>
      <c r="C943" s="54">
        <v>248.43809999999999</v>
      </c>
      <c r="D943" s="54">
        <v>249.82300000000001</v>
      </c>
      <c r="E943" s="54">
        <v>22971634</v>
      </c>
      <c r="F943" s="54" t="s">
        <v>1761</v>
      </c>
      <c r="G943" s="25">
        <f t="shared" si="13"/>
        <v>2.611649047525666E-2</v>
      </c>
    </row>
    <row r="944" spans="1:7">
      <c r="A944" s="54">
        <v>253.1584</v>
      </c>
      <c r="B944" s="54">
        <v>253.34370000000001</v>
      </c>
      <c r="C944" s="54">
        <v>248.31129999999999</v>
      </c>
      <c r="D944" s="54">
        <v>250.04730000000001</v>
      </c>
      <c r="E944" s="54">
        <v>22837692</v>
      </c>
      <c r="F944" s="54" t="s">
        <v>1762</v>
      </c>
      <c r="G944" s="25">
        <f t="shared" si="13"/>
        <v>1.2442045964903503E-2</v>
      </c>
    </row>
    <row r="945" spans="1:7">
      <c r="A945" s="54">
        <v>250.47640000000001</v>
      </c>
      <c r="B945" s="54">
        <v>253.1096</v>
      </c>
      <c r="C945" s="54">
        <v>246.64359999999999</v>
      </c>
      <c r="D945" s="54">
        <v>250.6909</v>
      </c>
      <c r="E945" s="54">
        <v>31730868</v>
      </c>
      <c r="F945" s="54" t="s">
        <v>1763</v>
      </c>
      <c r="G945" s="25">
        <f t="shared" si="13"/>
        <v>-8.5563536610222535E-4</v>
      </c>
    </row>
    <row r="946" spans="1:7">
      <c r="A946" s="54">
        <v>253.82149999999999</v>
      </c>
      <c r="B946" s="54">
        <v>255.48920000000001</v>
      </c>
      <c r="C946" s="54">
        <v>249.43289999999999</v>
      </c>
      <c r="D946" s="54">
        <v>251.2176</v>
      </c>
      <c r="E946" s="54">
        <v>20069839</v>
      </c>
      <c r="F946" s="54" t="s">
        <v>1764</v>
      </c>
      <c r="G946" s="25">
        <f t="shared" si="13"/>
        <v>1.0365117730604778E-2</v>
      </c>
    </row>
    <row r="947" spans="1:7">
      <c r="A947" s="54">
        <v>250.13499999999999</v>
      </c>
      <c r="B947" s="54">
        <v>260.30700000000002</v>
      </c>
      <c r="C947" s="54">
        <v>249.97900000000001</v>
      </c>
      <c r="D947" s="54">
        <v>257.4495</v>
      </c>
      <c r="E947" s="54">
        <v>27380247</v>
      </c>
      <c r="F947" s="54" t="s">
        <v>1765</v>
      </c>
      <c r="G947" s="25">
        <f t="shared" si="13"/>
        <v>-2.841139718663277E-2</v>
      </c>
    </row>
    <row r="948" spans="1:7">
      <c r="A948" s="54">
        <v>258.33699999999999</v>
      </c>
      <c r="B948" s="54">
        <v>261.6626</v>
      </c>
      <c r="C948" s="54">
        <v>256.76679999999999</v>
      </c>
      <c r="D948" s="54">
        <v>261.57</v>
      </c>
      <c r="E948" s="54">
        <v>24615114</v>
      </c>
      <c r="F948" s="54" t="s">
        <v>1766</v>
      </c>
      <c r="G948" s="25">
        <f t="shared" si="13"/>
        <v>-1.2359980120044356E-2</v>
      </c>
    </row>
    <row r="949" spans="1:7">
      <c r="A949" s="54">
        <v>261.07749999999999</v>
      </c>
      <c r="B949" s="54">
        <v>261.35059999999999</v>
      </c>
      <c r="C949" s="54">
        <v>255.24539999999999</v>
      </c>
      <c r="D949" s="54">
        <v>255.3312</v>
      </c>
      <c r="E949" s="54">
        <v>33923231</v>
      </c>
      <c r="F949" s="54" t="s">
        <v>1767</v>
      </c>
      <c r="G949" s="25">
        <f t="shared" si="13"/>
        <v>2.2505279417478041E-2</v>
      </c>
    </row>
    <row r="950" spans="1:7">
      <c r="A950" s="54">
        <v>252.4562</v>
      </c>
      <c r="B950" s="54">
        <v>252.95359999999999</v>
      </c>
      <c r="C950" s="54">
        <v>247.35560000000001</v>
      </c>
      <c r="D950" s="54">
        <v>249.24760000000001</v>
      </c>
      <c r="E950" s="54">
        <v>25861449</v>
      </c>
      <c r="F950" s="54" t="s">
        <v>1768</v>
      </c>
      <c r="G950" s="25">
        <f t="shared" si="13"/>
        <v>1.2873143011206567E-2</v>
      </c>
    </row>
    <row r="951" spans="1:7">
      <c r="A951" s="54">
        <v>246.86789999999999</v>
      </c>
      <c r="B951" s="54">
        <v>250.80799999999999</v>
      </c>
      <c r="C951" s="54">
        <v>244.17619999999999</v>
      </c>
      <c r="D951" s="54">
        <v>245.65860000000001</v>
      </c>
      <c r="E951" s="54">
        <v>25961215</v>
      </c>
      <c r="F951" s="54" t="s">
        <v>1769</v>
      </c>
      <c r="G951" s="25">
        <f t="shared" si="13"/>
        <v>4.9226853853274743E-3</v>
      </c>
    </row>
    <row r="952" spans="1:7">
      <c r="A952" s="54">
        <v>247.46279999999999</v>
      </c>
      <c r="B952" s="54">
        <v>248.4478</v>
      </c>
      <c r="C952" s="54">
        <v>243.33750000000001</v>
      </c>
      <c r="D952" s="54">
        <v>244.06399999999999</v>
      </c>
      <c r="E952" s="54">
        <v>29928297</v>
      </c>
      <c r="F952" s="54" t="s">
        <v>1770</v>
      </c>
      <c r="G952" s="25">
        <f t="shared" si="13"/>
        <v>1.3925855513307939E-2</v>
      </c>
    </row>
    <row r="953" spans="1:7">
      <c r="A953" s="54">
        <v>241.52350000000001</v>
      </c>
      <c r="B953" s="54">
        <v>244.303</v>
      </c>
      <c r="C953" s="54">
        <v>237.99299999999999</v>
      </c>
      <c r="D953" s="54">
        <v>238.6465</v>
      </c>
      <c r="E953" s="54">
        <v>43084780</v>
      </c>
      <c r="F953" s="54" t="s">
        <v>1771</v>
      </c>
      <c r="G953" s="25">
        <f t="shared" si="13"/>
        <v>1.2055487928798403E-2</v>
      </c>
    </row>
    <row r="954" spans="1:7">
      <c r="A954" s="54">
        <v>238.90979999999999</v>
      </c>
      <c r="B954" s="54">
        <v>241.29660000000001</v>
      </c>
      <c r="C954" s="54">
        <v>237.00800000000001</v>
      </c>
      <c r="D954" s="54">
        <v>239.8948</v>
      </c>
      <c r="E954" s="54">
        <v>33169160</v>
      </c>
      <c r="F954" s="54" t="s">
        <v>1772</v>
      </c>
      <c r="G954" s="25">
        <f t="shared" si="13"/>
        <v>-4.1059664486267078E-3</v>
      </c>
    </row>
    <row r="955" spans="1:7">
      <c r="A955" s="54">
        <v>245.5318</v>
      </c>
      <c r="B955" s="54">
        <v>248.98419999999999</v>
      </c>
      <c r="C955" s="54">
        <v>240.32390000000001</v>
      </c>
      <c r="D955" s="54">
        <v>242.16720000000001</v>
      </c>
      <c r="E955" s="54">
        <v>33111729</v>
      </c>
      <c r="F955" s="54" t="s">
        <v>1773</v>
      </c>
      <c r="G955" s="25">
        <f t="shared" si="13"/>
        <v>1.3893706496998837E-2</v>
      </c>
    </row>
    <row r="956" spans="1:7">
      <c r="A956" s="54">
        <v>238.4417</v>
      </c>
      <c r="B956" s="54">
        <v>239.66069999999999</v>
      </c>
      <c r="C956" s="54">
        <v>235.53540000000001</v>
      </c>
      <c r="D956" s="54">
        <v>237.8272</v>
      </c>
      <c r="E956" s="54">
        <v>28651487</v>
      </c>
      <c r="F956" s="54" t="s">
        <v>1774</v>
      </c>
      <c r="G956" s="25">
        <f t="shared" si="13"/>
        <v>2.5838087485368089E-3</v>
      </c>
    </row>
    <row r="957" spans="1:7">
      <c r="A957" s="54">
        <v>236.26679999999999</v>
      </c>
      <c r="B957" s="54">
        <v>242.86369999999999</v>
      </c>
      <c r="C957" s="54">
        <v>235.5549</v>
      </c>
      <c r="D957" s="54">
        <v>239.0463</v>
      </c>
      <c r="E957" s="54">
        <v>46135788</v>
      </c>
      <c r="F957" s="54" t="s">
        <v>1775</v>
      </c>
      <c r="G957" s="25">
        <f t="shared" si="13"/>
        <v>-1.1627454597707643E-2</v>
      </c>
    </row>
    <row r="958" spans="1:7">
      <c r="A958" s="54">
        <v>246.73140000000001</v>
      </c>
      <c r="B958" s="54">
        <v>254.1336</v>
      </c>
      <c r="C958" s="54">
        <v>246.28280000000001</v>
      </c>
      <c r="D958" s="54">
        <v>254.1336</v>
      </c>
      <c r="E958" s="54">
        <v>31445841</v>
      </c>
      <c r="F958" s="54" t="s">
        <v>1776</v>
      </c>
      <c r="G958" s="25">
        <f t="shared" si="13"/>
        <v>-2.9127199236936741E-2</v>
      </c>
    </row>
    <row r="959" spans="1:7">
      <c r="A959" s="54">
        <v>258.23950000000002</v>
      </c>
      <c r="B959" s="54">
        <v>265.96170000000001</v>
      </c>
      <c r="C959" s="54">
        <v>258.08339999999998</v>
      </c>
      <c r="D959" s="54">
        <v>261.15550000000002</v>
      </c>
      <c r="E959" s="54">
        <v>26439728</v>
      </c>
      <c r="F959" s="54" t="s">
        <v>1777</v>
      </c>
      <c r="G959" s="25">
        <f t="shared" si="13"/>
        <v>-1.1165761395030893E-2</v>
      </c>
    </row>
    <row r="960" spans="1:7">
      <c r="A960" s="54">
        <v>263.72039999999998</v>
      </c>
      <c r="B960" s="54">
        <v>266.24639999999999</v>
      </c>
      <c r="C960" s="54">
        <v>262.9402</v>
      </c>
      <c r="D960" s="54">
        <v>264.98829999999998</v>
      </c>
      <c r="E960" s="54">
        <v>17372341</v>
      </c>
      <c r="F960" s="54" t="s">
        <v>1778</v>
      </c>
      <c r="G960" s="25">
        <f t="shared" si="13"/>
        <v>-4.7847395526519065E-3</v>
      </c>
    </row>
    <row r="961" spans="1:7">
      <c r="A961" s="54">
        <v>265.75869999999998</v>
      </c>
      <c r="B961" s="54">
        <v>266.37310000000002</v>
      </c>
      <c r="C961" s="54">
        <v>259.36099999999999</v>
      </c>
      <c r="D961" s="54">
        <v>260.03879999999998</v>
      </c>
      <c r="E961" s="54">
        <v>22860677</v>
      </c>
      <c r="F961" s="54" t="s">
        <v>1779</v>
      </c>
      <c r="G961" s="25">
        <f t="shared" si="13"/>
        <v>2.1996332854943068E-2</v>
      </c>
    </row>
    <row r="962" spans="1:7">
      <c r="A962" s="54">
        <v>262.10149999999999</v>
      </c>
      <c r="B962" s="54">
        <v>267.3972</v>
      </c>
      <c r="C962" s="54">
        <v>260.60939999999999</v>
      </c>
      <c r="D962" s="54">
        <v>265.32960000000003</v>
      </c>
      <c r="E962" s="54">
        <v>22400342</v>
      </c>
      <c r="F962" s="54" t="s">
        <v>1780</v>
      </c>
      <c r="G962" s="25">
        <f t="shared" si="13"/>
        <v>-1.216637721535796E-2</v>
      </c>
    </row>
    <row r="963" spans="1:7">
      <c r="A963" s="54">
        <v>263.34010000000001</v>
      </c>
      <c r="B963" s="54">
        <v>266.68520000000001</v>
      </c>
      <c r="C963" s="54">
        <v>261.76990000000001</v>
      </c>
      <c r="D963" s="54">
        <v>263.62290000000002</v>
      </c>
      <c r="E963" s="54">
        <v>28058958</v>
      </c>
      <c r="F963" s="54" t="s">
        <v>1781</v>
      </c>
      <c r="G963" s="25">
        <f t="shared" si="13"/>
        <v>-1.0727444391211982E-3</v>
      </c>
    </row>
    <row r="964" spans="1:7">
      <c r="A964" s="54">
        <v>267.78730000000002</v>
      </c>
      <c r="B964" s="54">
        <v>267.85550000000001</v>
      </c>
      <c r="C964" s="54">
        <v>255.1284</v>
      </c>
      <c r="D964" s="54">
        <v>257.90789999999998</v>
      </c>
      <c r="E964" s="54">
        <v>44008209</v>
      </c>
      <c r="F964" s="54" t="s">
        <v>1782</v>
      </c>
      <c r="G964" s="25">
        <f t="shared" si="13"/>
        <v>3.8305922385471813E-2</v>
      </c>
    </row>
    <row r="965" spans="1:7">
      <c r="A965" s="54">
        <v>265.6807</v>
      </c>
      <c r="B965" s="54">
        <v>270.82029999999997</v>
      </c>
      <c r="C965" s="54">
        <v>263.3596</v>
      </c>
      <c r="D965" s="54">
        <v>268.38709999999998</v>
      </c>
      <c r="E965" s="54">
        <v>25292174</v>
      </c>
      <c r="F965" s="54" t="s">
        <v>1783</v>
      </c>
      <c r="G965" s="25">
        <f t="shared" si="13"/>
        <v>-1.0083942186491002E-2</v>
      </c>
    </row>
    <row r="966" spans="1:7">
      <c r="A966" s="54">
        <v>265.14429999999999</v>
      </c>
      <c r="B966" s="54">
        <v>267.9726</v>
      </c>
      <c r="C966" s="54">
        <v>262.27710000000002</v>
      </c>
      <c r="D966" s="54">
        <v>265.78800000000001</v>
      </c>
      <c r="E966" s="54">
        <v>37827695</v>
      </c>
      <c r="F966" s="54" t="s">
        <v>1784</v>
      </c>
      <c r="G966" s="25">
        <f t="shared" si="13"/>
        <v>-2.4218550122655502E-3</v>
      </c>
    </row>
    <row r="967" spans="1:7">
      <c r="A967" s="54">
        <v>266.48039999999997</v>
      </c>
      <c r="B967" s="54">
        <v>266.57799999999997</v>
      </c>
      <c r="C967" s="54">
        <v>260.9409</v>
      </c>
      <c r="D967" s="54">
        <v>261.83819999999997</v>
      </c>
      <c r="E967" s="54">
        <v>26910806</v>
      </c>
      <c r="F967" s="54" t="s">
        <v>1785</v>
      </c>
      <c r="G967" s="25">
        <f t="shared" si="13"/>
        <v>1.7729269449606733E-2</v>
      </c>
    </row>
    <row r="968" spans="1:7">
      <c r="A968" s="54">
        <v>259.322</v>
      </c>
      <c r="B968" s="54">
        <v>260.50209999999998</v>
      </c>
      <c r="C968" s="54">
        <v>254.96199999999999</v>
      </c>
      <c r="D968" s="54">
        <v>255.7818</v>
      </c>
      <c r="E968" s="54">
        <v>25002105</v>
      </c>
      <c r="F968" s="54" t="s">
        <v>1786</v>
      </c>
      <c r="G968" s="25">
        <f t="shared" si="13"/>
        <v>1.3840703286942313E-2</v>
      </c>
    </row>
    <row r="969" spans="1:7">
      <c r="A969" s="54">
        <v>256.0256</v>
      </c>
      <c r="B969" s="54">
        <v>258.03469999999999</v>
      </c>
      <c r="C969" s="54">
        <v>250.76410000000001</v>
      </c>
      <c r="D969" s="54">
        <v>251.75399999999999</v>
      </c>
      <c r="E969" s="54">
        <v>28547947</v>
      </c>
      <c r="F969" s="54" t="s">
        <v>1787</v>
      </c>
      <c r="G969" s="25">
        <f t="shared" si="13"/>
        <v>1.6967357023125684E-2</v>
      </c>
    </row>
    <row r="970" spans="1:7">
      <c r="A970" s="54">
        <v>253.19739999999999</v>
      </c>
      <c r="B970" s="54">
        <v>254.86510000000001</v>
      </c>
      <c r="C970" s="54">
        <v>247.22880000000001</v>
      </c>
      <c r="D970" s="54">
        <v>251.5102</v>
      </c>
      <c r="E970" s="54">
        <v>29043904</v>
      </c>
      <c r="F970" s="54" t="s">
        <v>1788</v>
      </c>
      <c r="G970" s="25">
        <f t="shared" si="13"/>
        <v>6.7082766424582108E-3</v>
      </c>
    </row>
    <row r="971" spans="1:7">
      <c r="A971" s="54">
        <v>254.20189999999999</v>
      </c>
      <c r="B971" s="54">
        <v>255.0309</v>
      </c>
      <c r="C971" s="54">
        <v>247.16050000000001</v>
      </c>
      <c r="D971" s="54">
        <v>249.1695</v>
      </c>
      <c r="E971" s="54">
        <v>33175379</v>
      </c>
      <c r="F971" s="54" t="s">
        <v>1789</v>
      </c>
      <c r="G971" s="25">
        <f t="shared" si="13"/>
        <v>2.0196693415526434E-2</v>
      </c>
    </row>
    <row r="972" spans="1:7">
      <c r="A972" s="54">
        <v>246.31200000000001</v>
      </c>
      <c r="B972" s="54">
        <v>252.14410000000001</v>
      </c>
      <c r="C972" s="54">
        <v>240.3434</v>
      </c>
      <c r="D972" s="54">
        <v>250.87620000000001</v>
      </c>
      <c r="E972" s="54">
        <v>39199279</v>
      </c>
      <c r="F972" s="54" t="s">
        <v>1790</v>
      </c>
      <c r="G972" s="25">
        <f t="shared" si="13"/>
        <v>-1.8193037043768956E-2</v>
      </c>
    </row>
    <row r="973" spans="1:7">
      <c r="A973" s="54">
        <v>246.8777</v>
      </c>
      <c r="B973" s="54">
        <v>251.29560000000001</v>
      </c>
      <c r="C973" s="54">
        <v>245.64879999999999</v>
      </c>
      <c r="D973" s="54">
        <v>247.6189</v>
      </c>
      <c r="E973" s="54">
        <v>32692286</v>
      </c>
      <c r="F973" s="54" t="s">
        <v>1791</v>
      </c>
      <c r="G973" s="25">
        <f t="shared" si="13"/>
        <v>-2.9933094767806701E-3</v>
      </c>
    </row>
    <row r="974" spans="1:7">
      <c r="A974" s="54">
        <v>247.7944</v>
      </c>
      <c r="B974" s="54">
        <v>257.07889999999998</v>
      </c>
      <c r="C974" s="54">
        <v>246.51679999999999</v>
      </c>
      <c r="D974" s="54">
        <v>256.49380000000002</v>
      </c>
      <c r="E974" s="54">
        <v>31355985</v>
      </c>
      <c r="F974" s="54" t="s">
        <v>1792</v>
      </c>
      <c r="G974" s="25">
        <f t="shared" si="13"/>
        <v>-3.391660929036111E-2</v>
      </c>
    </row>
    <row r="975" spans="1:7">
      <c r="A975" s="54">
        <v>259.6146</v>
      </c>
      <c r="B975" s="54">
        <v>261.0838</v>
      </c>
      <c r="C975" s="54">
        <v>255.3723</v>
      </c>
      <c r="D975" s="54">
        <v>258.92380000000003</v>
      </c>
      <c r="E975" s="54">
        <v>28828799</v>
      </c>
      <c r="F975" s="54" t="s">
        <v>1793</v>
      </c>
      <c r="G975" s="25">
        <f t="shared" si="13"/>
        <v>2.6679664055602181E-3</v>
      </c>
    </row>
    <row r="976" spans="1:7">
      <c r="A976" s="54">
        <v>254.4383</v>
      </c>
      <c r="B976" s="54">
        <v>258.64159999999998</v>
      </c>
      <c r="C976" s="54">
        <v>248.87270000000001</v>
      </c>
      <c r="D976" s="54">
        <v>252.935</v>
      </c>
      <c r="E976" s="54">
        <v>32550933</v>
      </c>
      <c r="F976" s="54" t="s">
        <v>1794</v>
      </c>
      <c r="G976" s="25">
        <f t="shared" si="13"/>
        <v>5.9434241998932436E-3</v>
      </c>
    </row>
    <row r="977" spans="1:7">
      <c r="A977" s="54">
        <v>254.0685</v>
      </c>
      <c r="B977" s="54">
        <v>255.9367</v>
      </c>
      <c r="C977" s="54">
        <v>248.45429999999999</v>
      </c>
      <c r="D977" s="54">
        <v>250.40029999999999</v>
      </c>
      <c r="E977" s="54">
        <v>34925093</v>
      </c>
      <c r="F977" s="54" t="s">
        <v>1795</v>
      </c>
      <c r="G977" s="25">
        <f t="shared" si="13"/>
        <v>1.4649343471233811E-2</v>
      </c>
    </row>
    <row r="978" spans="1:7">
      <c r="A978" s="54">
        <v>248.45429999999999</v>
      </c>
      <c r="B978" s="54">
        <v>252.86199999999999</v>
      </c>
      <c r="C978" s="54">
        <v>243.26830000000001</v>
      </c>
      <c r="D978" s="54">
        <v>250.7311</v>
      </c>
      <c r="E978" s="54">
        <v>51033802</v>
      </c>
      <c r="F978" s="54" t="s">
        <v>1796</v>
      </c>
      <c r="G978" s="25">
        <f t="shared" si="13"/>
        <v>-9.0806445630399191E-3</v>
      </c>
    </row>
    <row r="979" spans="1:7">
      <c r="A979" s="54">
        <v>253.51390000000001</v>
      </c>
      <c r="B979" s="54">
        <v>264.03199999999998</v>
      </c>
      <c r="C979" s="54">
        <v>252.29769999999999</v>
      </c>
      <c r="D979" s="54">
        <v>258.50540000000001</v>
      </c>
      <c r="E979" s="54">
        <v>48975898</v>
      </c>
      <c r="F979" s="54" t="s">
        <v>1797</v>
      </c>
      <c r="G979" s="25">
        <f t="shared" si="13"/>
        <v>-1.9309074394577408E-2</v>
      </c>
    </row>
    <row r="980" spans="1:7">
      <c r="A980" s="54">
        <v>262.22219999999999</v>
      </c>
      <c r="B980" s="54">
        <v>266.35739999999998</v>
      </c>
      <c r="C980" s="54">
        <v>257.91180000000003</v>
      </c>
      <c r="D980" s="54">
        <v>264.35309999999998</v>
      </c>
      <c r="E980" s="54">
        <v>39336424</v>
      </c>
      <c r="F980" s="54" t="s">
        <v>1798</v>
      </c>
      <c r="G980" s="25">
        <f t="shared" si="13"/>
        <v>-8.0608095762826348E-3</v>
      </c>
    </row>
    <row r="981" spans="1:7">
      <c r="A981" s="54">
        <v>257.43509999999998</v>
      </c>
      <c r="B981" s="54">
        <v>265.005</v>
      </c>
      <c r="C981" s="54">
        <v>256.20909999999998</v>
      </c>
      <c r="D981" s="54">
        <v>262.76710000000003</v>
      </c>
      <c r="E981" s="54">
        <v>47725952</v>
      </c>
      <c r="F981" s="54" t="s">
        <v>1799</v>
      </c>
      <c r="G981" s="25">
        <f t="shared" si="13"/>
        <v>-2.029173363027581E-2</v>
      </c>
    </row>
    <row r="982" spans="1:7">
      <c r="A982" s="54">
        <v>267.31099999999998</v>
      </c>
      <c r="B982" s="54">
        <v>271.70890000000003</v>
      </c>
      <c r="C982" s="54">
        <v>263.94439999999997</v>
      </c>
      <c r="D982" s="54">
        <v>267.38400000000001</v>
      </c>
      <c r="E982" s="54">
        <v>37780322</v>
      </c>
      <c r="F982" s="54" t="s">
        <v>1800</v>
      </c>
      <c r="G982" s="25">
        <f t="shared" si="13"/>
        <v>-2.7301558806824833E-4</v>
      </c>
    </row>
    <row r="983" spans="1:7">
      <c r="A983" s="54">
        <v>269.86020000000002</v>
      </c>
      <c r="B983" s="54">
        <v>278.61720000000003</v>
      </c>
      <c r="C983" s="54">
        <v>266.93150000000003</v>
      </c>
      <c r="D983" s="54">
        <v>277.82909999999998</v>
      </c>
      <c r="E983" s="54">
        <v>43260386</v>
      </c>
      <c r="F983" s="54" t="s">
        <v>1801</v>
      </c>
      <c r="G983" s="25">
        <f t="shared" si="13"/>
        <v>-2.868274057685094E-2</v>
      </c>
    </row>
    <row r="984" spans="1:7">
      <c r="A984" s="54">
        <v>282.14920000000001</v>
      </c>
      <c r="B984" s="54">
        <v>283.0249</v>
      </c>
      <c r="C984" s="54">
        <v>269.25700000000001</v>
      </c>
      <c r="D984" s="54">
        <v>274.95870000000002</v>
      </c>
      <c r="E984" s="54">
        <v>33599320</v>
      </c>
      <c r="F984" s="54" t="s">
        <v>1802</v>
      </c>
      <c r="G984" s="25">
        <f t="shared" ref="G984:G1047" si="14">A984/D984-1</f>
        <v>2.6151200162060739E-2</v>
      </c>
    </row>
    <row r="985" spans="1:7">
      <c r="A985" s="54">
        <v>274.17059999999998</v>
      </c>
      <c r="B985" s="54">
        <v>276.45710000000003</v>
      </c>
      <c r="C985" s="54">
        <v>272.58460000000002</v>
      </c>
      <c r="D985" s="54">
        <v>276.29169999999999</v>
      </c>
      <c r="E985" s="54">
        <v>25978605</v>
      </c>
      <c r="F985" s="54" t="s">
        <v>1803</v>
      </c>
      <c r="G985" s="25">
        <f t="shared" si="14"/>
        <v>-7.6770311956529946E-3</v>
      </c>
    </row>
    <row r="986" spans="1:7">
      <c r="A986" s="54">
        <v>276.78800000000001</v>
      </c>
      <c r="B986" s="54">
        <v>277.24529999999999</v>
      </c>
      <c r="C986" s="54">
        <v>268.76069999999999</v>
      </c>
      <c r="D986" s="54">
        <v>270.21050000000002</v>
      </c>
      <c r="E986" s="54">
        <v>35151105</v>
      </c>
      <c r="F986" s="54" t="s">
        <v>1804</v>
      </c>
      <c r="G986" s="25">
        <f t="shared" si="14"/>
        <v>2.4342133262770904E-2</v>
      </c>
    </row>
    <row r="987" spans="1:7">
      <c r="A987" s="54">
        <v>270.0256</v>
      </c>
      <c r="B987" s="54">
        <v>282.05189999999999</v>
      </c>
      <c r="C987" s="54">
        <v>269.03320000000002</v>
      </c>
      <c r="D987" s="54">
        <v>280.81619999999998</v>
      </c>
      <c r="E987" s="54">
        <v>37073923</v>
      </c>
      <c r="F987" s="54" t="s">
        <v>1805</v>
      </c>
      <c r="G987" s="25">
        <f t="shared" si="14"/>
        <v>-3.8425845802343206E-2</v>
      </c>
    </row>
    <row r="988" spans="1:7">
      <c r="A988" s="54">
        <v>281.80860000000001</v>
      </c>
      <c r="B988" s="54">
        <v>283.12220000000002</v>
      </c>
      <c r="C988" s="54">
        <v>273.85550000000001</v>
      </c>
      <c r="D988" s="54">
        <v>277.48360000000002</v>
      </c>
      <c r="E988" s="54">
        <v>33646570</v>
      </c>
      <c r="F988" s="54" t="s">
        <v>1806</v>
      </c>
      <c r="G988" s="25">
        <f t="shared" si="14"/>
        <v>1.5586506734091676E-2</v>
      </c>
    </row>
    <row r="989" spans="1:7">
      <c r="A989" s="54">
        <v>275.57170000000002</v>
      </c>
      <c r="B989" s="54">
        <v>283.11239999999998</v>
      </c>
      <c r="C989" s="54">
        <v>271.62130000000002</v>
      </c>
      <c r="D989" s="54">
        <v>274.48200000000003</v>
      </c>
      <c r="E989" s="54">
        <v>63477694</v>
      </c>
      <c r="F989" s="54" t="s">
        <v>1807</v>
      </c>
      <c r="G989" s="25">
        <f t="shared" si="14"/>
        <v>3.9700235352408964E-3</v>
      </c>
    </row>
    <row r="990" spans="1:7">
      <c r="A990" s="54">
        <v>262.9228</v>
      </c>
      <c r="B990" s="54">
        <v>270.84289999999999</v>
      </c>
      <c r="C990" s="54">
        <v>262.70870000000002</v>
      </c>
      <c r="D990" s="54">
        <v>270.00619999999998</v>
      </c>
      <c r="E990" s="54">
        <v>46518445</v>
      </c>
      <c r="F990" s="54" t="s">
        <v>1808</v>
      </c>
      <c r="G990" s="25">
        <f t="shared" si="14"/>
        <v>-2.6234212399567025E-2</v>
      </c>
    </row>
    <row r="991" spans="1:7">
      <c r="A991" s="54">
        <v>273.13920000000002</v>
      </c>
      <c r="B991" s="54">
        <v>273.51870000000002</v>
      </c>
      <c r="C991" s="54">
        <v>263.4579</v>
      </c>
      <c r="D991" s="54">
        <v>265.90989999999999</v>
      </c>
      <c r="E991" s="54">
        <v>35678852</v>
      </c>
      <c r="F991" s="54" t="s">
        <v>1809</v>
      </c>
      <c r="G991" s="25">
        <f t="shared" si="14"/>
        <v>2.7187028388187207E-2</v>
      </c>
    </row>
    <row r="992" spans="1:7">
      <c r="A992" s="54">
        <v>266.62990000000002</v>
      </c>
      <c r="B992" s="54">
        <v>275.55220000000003</v>
      </c>
      <c r="C992" s="54">
        <v>265.99740000000003</v>
      </c>
      <c r="D992" s="54">
        <v>274.07330000000002</v>
      </c>
      <c r="E992" s="54">
        <v>29405798</v>
      </c>
      <c r="F992" s="54" t="s">
        <v>1810</v>
      </c>
      <c r="G992" s="25">
        <f t="shared" si="14"/>
        <v>-2.7158428055560346E-2</v>
      </c>
    </row>
    <row r="993" spans="1:7">
      <c r="A993" s="54">
        <v>273.22680000000003</v>
      </c>
      <c r="B993" s="54">
        <v>285.37950000000001</v>
      </c>
      <c r="C993" s="54">
        <v>272.49700000000001</v>
      </c>
      <c r="D993" s="54">
        <v>280.78699999999998</v>
      </c>
      <c r="E993" s="54">
        <v>29454587</v>
      </c>
      <c r="F993" s="54" t="s">
        <v>1811</v>
      </c>
      <c r="G993" s="25">
        <f t="shared" si="14"/>
        <v>-2.6925035703219691E-2</v>
      </c>
    </row>
    <row r="994" spans="1:7">
      <c r="A994" s="54">
        <v>278.62689999999998</v>
      </c>
      <c r="B994" s="54">
        <v>281.87670000000003</v>
      </c>
      <c r="C994" s="54">
        <v>277.66379999999998</v>
      </c>
      <c r="D994" s="54">
        <v>281.58479999999997</v>
      </c>
      <c r="E994" s="54">
        <v>22906667</v>
      </c>
      <c r="F994" s="54" t="s">
        <v>1812</v>
      </c>
      <c r="G994" s="25">
        <f t="shared" si="14"/>
        <v>-1.0504473252817559E-2</v>
      </c>
    </row>
    <row r="995" spans="1:7">
      <c r="A995" s="54">
        <v>277.59550000000002</v>
      </c>
      <c r="B995" s="54">
        <v>278.44200000000001</v>
      </c>
      <c r="C995" s="54">
        <v>270.89159999999998</v>
      </c>
      <c r="D995" s="54">
        <v>271.83539999999999</v>
      </c>
      <c r="E995" s="54">
        <v>22297720</v>
      </c>
      <c r="F995" s="54" t="s">
        <v>1813</v>
      </c>
      <c r="G995" s="25">
        <f t="shared" si="14"/>
        <v>2.1189661096384205E-2</v>
      </c>
    </row>
    <row r="996" spans="1:7">
      <c r="A996" s="54">
        <v>272.94459999999998</v>
      </c>
      <c r="B996" s="54">
        <v>274.8322</v>
      </c>
      <c r="C996" s="54">
        <v>270.82350000000002</v>
      </c>
      <c r="D996" s="54">
        <v>271.37810000000002</v>
      </c>
      <c r="E996" s="54">
        <v>20778000</v>
      </c>
      <c r="F996" s="54" t="s">
        <v>1814</v>
      </c>
      <c r="G996" s="25">
        <f t="shared" si="14"/>
        <v>5.7723891500454094E-3</v>
      </c>
    </row>
    <row r="997" spans="1:7">
      <c r="A997" s="54">
        <v>272.27330000000001</v>
      </c>
      <c r="B997" s="54">
        <v>280.51940000000002</v>
      </c>
      <c r="C997" s="54">
        <v>271.77699999999999</v>
      </c>
      <c r="D997" s="54">
        <v>280.31020000000001</v>
      </c>
      <c r="E997" s="54">
        <v>28221607</v>
      </c>
      <c r="F997" s="54" t="s">
        <v>1815</v>
      </c>
      <c r="G997" s="25">
        <f t="shared" si="14"/>
        <v>-2.8671450414576416E-2</v>
      </c>
    </row>
    <row r="998" spans="1:7">
      <c r="A998" s="54">
        <v>279.85289999999998</v>
      </c>
      <c r="B998" s="54">
        <v>280.78699999999998</v>
      </c>
      <c r="C998" s="54">
        <v>273.70359999999999</v>
      </c>
      <c r="D998" s="54">
        <v>275.0949</v>
      </c>
      <c r="E998" s="54">
        <v>21907176</v>
      </c>
      <c r="F998" s="54" t="s">
        <v>1816</v>
      </c>
      <c r="G998" s="25">
        <f t="shared" si="14"/>
        <v>1.7295849541376418E-2</v>
      </c>
    </row>
    <row r="999" spans="1:7">
      <c r="A999" s="54">
        <v>274.44299999999998</v>
      </c>
      <c r="B999" s="54">
        <v>282.8877</v>
      </c>
      <c r="C999" s="54">
        <v>272.91539999999998</v>
      </c>
      <c r="D999" s="54">
        <v>281.42430000000002</v>
      </c>
      <c r="E999" s="54">
        <v>30966721</v>
      </c>
      <c r="F999" s="54" t="s">
        <v>1817</v>
      </c>
      <c r="G999" s="25">
        <f t="shared" si="14"/>
        <v>-2.4807026258926612E-2</v>
      </c>
    </row>
    <row r="1000" spans="1:7">
      <c r="A1000" s="54">
        <v>277.5566</v>
      </c>
      <c r="B1000" s="54">
        <v>284.7081</v>
      </c>
      <c r="C1000" s="54">
        <v>277.30360000000002</v>
      </c>
      <c r="D1000" s="54">
        <v>283.91030000000001</v>
      </c>
      <c r="E1000" s="54">
        <v>34569264</v>
      </c>
      <c r="F1000" s="54" t="s">
        <v>1818</v>
      </c>
      <c r="G1000" s="25">
        <f t="shared" si="14"/>
        <v>-2.2379251474849648E-2</v>
      </c>
    </row>
    <row r="1001" spans="1:7">
      <c r="A1001" s="54">
        <v>288.9504</v>
      </c>
      <c r="B1001" s="54">
        <v>292.98829999999998</v>
      </c>
      <c r="C1001" s="54">
        <v>288.279</v>
      </c>
      <c r="D1001" s="54">
        <v>292.32670000000002</v>
      </c>
      <c r="E1001" s="54">
        <v>24361917</v>
      </c>
      <c r="F1001" s="54" t="s">
        <v>1819</v>
      </c>
      <c r="G1001" s="25">
        <f t="shared" si="14"/>
        <v>-1.1549748962376705E-2</v>
      </c>
    </row>
    <row r="1002" spans="1:7">
      <c r="A1002" s="54">
        <v>293.23160000000001</v>
      </c>
      <c r="B1002" s="54">
        <v>295.45</v>
      </c>
      <c r="C1002" s="54">
        <v>288.34710000000001</v>
      </c>
      <c r="D1002" s="54">
        <v>288.64879999999999</v>
      </c>
      <c r="E1002" s="54">
        <v>31411155</v>
      </c>
      <c r="F1002" s="54" t="s">
        <v>1820</v>
      </c>
      <c r="G1002" s="25">
        <f t="shared" si="14"/>
        <v>1.5876733248154862E-2</v>
      </c>
    </row>
    <row r="1003" spans="1:7">
      <c r="A1003" s="54">
        <v>291.41210000000001</v>
      </c>
      <c r="B1003" s="54">
        <v>298.70949999999999</v>
      </c>
      <c r="C1003" s="54">
        <v>288.69740000000002</v>
      </c>
      <c r="D1003" s="54">
        <v>296.94839999999999</v>
      </c>
      <c r="E1003" s="54">
        <v>40110372</v>
      </c>
      <c r="F1003" s="54" t="s">
        <v>1821</v>
      </c>
      <c r="G1003" s="25">
        <f t="shared" si="14"/>
        <v>-1.8643979896843965E-2</v>
      </c>
    </row>
    <row r="1004" spans="1:7">
      <c r="A1004" s="54">
        <v>302.48480000000001</v>
      </c>
      <c r="B1004" s="54">
        <v>306.3621</v>
      </c>
      <c r="C1004" s="54">
        <v>301.50200000000001</v>
      </c>
      <c r="D1004" s="54">
        <v>304.81020000000001</v>
      </c>
      <c r="E1004" s="54">
        <v>23156719</v>
      </c>
      <c r="F1004" s="54" t="s">
        <v>1822</v>
      </c>
      <c r="G1004" s="25">
        <f t="shared" si="14"/>
        <v>-7.629009790354746E-3</v>
      </c>
    </row>
    <row r="1005" spans="1:7">
      <c r="A1005" s="54">
        <v>306.46429999999998</v>
      </c>
      <c r="B1005" s="54">
        <v>306.60050000000001</v>
      </c>
      <c r="C1005" s="54">
        <v>301.34640000000002</v>
      </c>
      <c r="D1005" s="54">
        <v>301.71609999999998</v>
      </c>
      <c r="E1005" s="54">
        <v>24335868</v>
      </c>
      <c r="F1005" s="54" t="s">
        <v>1823</v>
      </c>
      <c r="G1005" s="25">
        <f t="shared" si="14"/>
        <v>1.5737310670527638E-2</v>
      </c>
    </row>
    <row r="1006" spans="1:7">
      <c r="A1006" s="54">
        <v>301.06420000000003</v>
      </c>
      <c r="B1006" s="54">
        <v>301.755</v>
      </c>
      <c r="C1006" s="54">
        <v>297.28899999999999</v>
      </c>
      <c r="D1006" s="54">
        <v>301.01549999999997</v>
      </c>
      <c r="E1006" s="54">
        <v>27110529</v>
      </c>
      <c r="F1006" s="54" t="s">
        <v>1824</v>
      </c>
      <c r="G1006" s="25">
        <f t="shared" si="14"/>
        <v>1.6178568877700528E-4</v>
      </c>
    </row>
    <row r="1007" spans="1:7">
      <c r="A1007" s="54">
        <v>299.98419999999999</v>
      </c>
      <c r="B1007" s="54">
        <v>306.62970000000001</v>
      </c>
      <c r="C1007" s="54">
        <v>299.57549999999998</v>
      </c>
      <c r="D1007" s="54">
        <v>305.42320000000001</v>
      </c>
      <c r="E1007" s="54">
        <v>33422070</v>
      </c>
      <c r="F1007" s="54" t="s">
        <v>1825</v>
      </c>
      <c r="G1007" s="25">
        <f t="shared" si="14"/>
        <v>-1.7808077447947657E-2</v>
      </c>
    </row>
    <row r="1008" spans="1:7">
      <c r="A1008" s="54">
        <v>305.3843</v>
      </c>
      <c r="B1008" s="54">
        <v>307.4178</v>
      </c>
      <c r="C1008" s="54">
        <v>303.16590000000002</v>
      </c>
      <c r="D1008" s="54">
        <v>305.28699999999998</v>
      </c>
      <c r="E1008" s="54">
        <v>28163555</v>
      </c>
      <c r="F1008" s="54" t="s">
        <v>1826</v>
      </c>
      <c r="G1008" s="25">
        <f t="shared" si="14"/>
        <v>3.1871648645376283E-4</v>
      </c>
    </row>
    <row r="1009" spans="1:7">
      <c r="A1009" s="54">
        <v>306.89240000000001</v>
      </c>
      <c r="B1009" s="54">
        <v>307.29140000000001</v>
      </c>
      <c r="C1009" s="54">
        <v>300.70420000000001</v>
      </c>
      <c r="D1009" s="54">
        <v>305.43290000000002</v>
      </c>
      <c r="E1009" s="54">
        <v>30393403</v>
      </c>
      <c r="F1009" s="54" t="s">
        <v>1827</v>
      </c>
      <c r="G1009" s="25">
        <f t="shared" si="14"/>
        <v>4.7784636167222949E-3</v>
      </c>
    </row>
    <row r="1010" spans="1:7">
      <c r="A1010" s="54">
        <v>302.30959999999999</v>
      </c>
      <c r="B1010" s="54">
        <v>302.40690000000001</v>
      </c>
      <c r="C1010" s="54">
        <v>296.11160000000001</v>
      </c>
      <c r="D1010" s="54">
        <v>296.11160000000001</v>
      </c>
      <c r="E1010" s="54">
        <v>29578188</v>
      </c>
      <c r="F1010" s="54" t="s">
        <v>1828</v>
      </c>
      <c r="G1010" s="25">
        <f t="shared" si="14"/>
        <v>2.0931297524311665E-2</v>
      </c>
    </row>
    <row r="1011" spans="1:7">
      <c r="A1011" s="54">
        <v>295.47919999999999</v>
      </c>
      <c r="B1011" s="54">
        <v>297.25</v>
      </c>
      <c r="C1011" s="54">
        <v>291.20339999999999</v>
      </c>
      <c r="D1011" s="54">
        <v>296.9873</v>
      </c>
      <c r="E1011" s="54">
        <v>22566453</v>
      </c>
      <c r="F1011" s="54" t="s">
        <v>1829</v>
      </c>
      <c r="G1011" s="25">
        <f t="shared" si="14"/>
        <v>-5.0779949176278372E-3</v>
      </c>
    </row>
    <row r="1012" spans="1:7">
      <c r="A1012" s="54">
        <v>295.88780000000003</v>
      </c>
      <c r="B1012" s="54">
        <v>295.98509999999999</v>
      </c>
      <c r="C1012" s="54">
        <v>290.25909999999999</v>
      </c>
      <c r="D1012" s="54">
        <v>291.06180000000001</v>
      </c>
      <c r="E1012" s="54">
        <v>24484456</v>
      </c>
      <c r="F1012" s="54" t="s">
        <v>1830</v>
      </c>
      <c r="G1012" s="25">
        <f t="shared" si="14"/>
        <v>1.6580671183920481E-2</v>
      </c>
    </row>
    <row r="1013" spans="1:7">
      <c r="A1013" s="54">
        <v>291.40230000000003</v>
      </c>
      <c r="B1013" s="54">
        <v>295.04129999999998</v>
      </c>
      <c r="C1013" s="54">
        <v>289.68020000000001</v>
      </c>
      <c r="D1013" s="54">
        <v>292.39479999999998</v>
      </c>
      <c r="E1013" s="54">
        <v>25715377</v>
      </c>
      <c r="F1013" s="54" t="s">
        <v>1831</v>
      </c>
      <c r="G1013" s="25">
        <f t="shared" si="14"/>
        <v>-3.3943832106451133E-3</v>
      </c>
    </row>
    <row r="1014" spans="1:7">
      <c r="A1014" s="54">
        <v>295.84890000000001</v>
      </c>
      <c r="B1014" s="54">
        <v>296.76350000000002</v>
      </c>
      <c r="C1014" s="54">
        <v>290.70179999999999</v>
      </c>
      <c r="D1014" s="54">
        <v>291.70400000000001</v>
      </c>
      <c r="E1014" s="54">
        <v>27599689</v>
      </c>
      <c r="F1014" s="54" t="s">
        <v>1832</v>
      </c>
      <c r="G1014" s="25">
        <f t="shared" si="14"/>
        <v>1.4209266928118858E-2</v>
      </c>
    </row>
    <row r="1015" spans="1:7">
      <c r="A1015" s="54">
        <v>291.0813</v>
      </c>
      <c r="B1015" s="54">
        <v>292.03480000000002</v>
      </c>
      <c r="C1015" s="54">
        <v>286.93630000000002</v>
      </c>
      <c r="D1015" s="54">
        <v>290.81849999999997</v>
      </c>
      <c r="E1015" s="54">
        <v>28351245</v>
      </c>
      <c r="F1015" s="54" t="s">
        <v>1833</v>
      </c>
      <c r="G1015" s="25">
        <f t="shared" si="14"/>
        <v>9.036564042521622E-4</v>
      </c>
    </row>
    <row r="1016" spans="1:7">
      <c r="A1016" s="54">
        <v>292.31700000000001</v>
      </c>
      <c r="B1016" s="54">
        <v>292.8716</v>
      </c>
      <c r="C1016" s="54">
        <v>284.82490000000001</v>
      </c>
      <c r="D1016" s="54">
        <v>287.39359999999999</v>
      </c>
      <c r="E1016" s="54">
        <v>43390625</v>
      </c>
      <c r="F1016" s="54" t="s">
        <v>1834</v>
      </c>
      <c r="G1016" s="25">
        <f t="shared" si="14"/>
        <v>1.7131209602440745E-2</v>
      </c>
    </row>
    <row r="1017" spans="1:7">
      <c r="A1017" s="54">
        <v>287.24770000000001</v>
      </c>
      <c r="B1017" s="54">
        <v>287.62709999999998</v>
      </c>
      <c r="C1017" s="54">
        <v>281.55560000000003</v>
      </c>
      <c r="D1017" s="54">
        <v>285.3698</v>
      </c>
      <c r="E1017" s="54">
        <v>30816633</v>
      </c>
      <c r="F1017" s="54" t="s">
        <v>1835</v>
      </c>
      <c r="G1017" s="25">
        <f t="shared" si="14"/>
        <v>6.5805842103825452E-3</v>
      </c>
    </row>
    <row r="1018" spans="1:7">
      <c r="A1018" s="54">
        <v>286.44009999999997</v>
      </c>
      <c r="B1018" s="54">
        <v>286.61520000000002</v>
      </c>
      <c r="C1018" s="54">
        <v>275.55220000000003</v>
      </c>
      <c r="D1018" s="54">
        <v>281.30270000000002</v>
      </c>
      <c r="E1018" s="54">
        <v>37826329</v>
      </c>
      <c r="F1018" s="54" t="s">
        <v>1836</v>
      </c>
      <c r="G1018" s="25">
        <f t="shared" si="14"/>
        <v>1.8262889051544606E-2</v>
      </c>
    </row>
    <row r="1019" spans="1:7">
      <c r="A1019" s="54">
        <v>279.3956</v>
      </c>
      <c r="B1019" s="54">
        <v>280.04750000000001</v>
      </c>
      <c r="C1019" s="54">
        <v>271.19810000000001</v>
      </c>
      <c r="D1019" s="54">
        <v>272.7792</v>
      </c>
      <c r="E1019" s="54">
        <v>34245085</v>
      </c>
      <c r="F1019" s="54" t="s">
        <v>1837</v>
      </c>
      <c r="G1019" s="25">
        <f t="shared" si="14"/>
        <v>2.4255515083261514E-2</v>
      </c>
    </row>
    <row r="1020" spans="1:7">
      <c r="A1020" s="54">
        <v>268.97480000000002</v>
      </c>
      <c r="B1020" s="54">
        <v>277.69209999999998</v>
      </c>
      <c r="C1020" s="54">
        <v>268.37150000000003</v>
      </c>
      <c r="D1020" s="54">
        <v>272.76949999999999</v>
      </c>
      <c r="E1020" s="54">
        <v>30660747</v>
      </c>
      <c r="F1020" s="54" t="s">
        <v>1838</v>
      </c>
      <c r="G1020" s="25">
        <f t="shared" si="14"/>
        <v>-1.3911745997994607E-2</v>
      </c>
    </row>
    <row r="1021" spans="1:7">
      <c r="A1021" s="54">
        <v>272.5068</v>
      </c>
      <c r="B1021" s="54">
        <v>281.6918</v>
      </c>
      <c r="C1021" s="54">
        <v>271.88409999999999</v>
      </c>
      <c r="D1021" s="54">
        <v>280.18369999999999</v>
      </c>
      <c r="E1021" s="54">
        <v>27209330</v>
      </c>
      <c r="F1021" s="54" t="s">
        <v>1839</v>
      </c>
      <c r="G1021" s="25">
        <f t="shared" si="14"/>
        <v>-2.739952395517653E-2</v>
      </c>
    </row>
    <row r="1022" spans="1:7">
      <c r="A1022" s="54">
        <v>277.8777</v>
      </c>
      <c r="B1022" s="54">
        <v>278.86040000000003</v>
      </c>
      <c r="C1022" s="54">
        <v>273.00299999999999</v>
      </c>
      <c r="D1022" s="54">
        <v>275.37709999999998</v>
      </c>
      <c r="E1022" s="54">
        <v>30628012</v>
      </c>
      <c r="F1022" s="54" t="s">
        <v>1840</v>
      </c>
      <c r="G1022" s="25">
        <f t="shared" si="14"/>
        <v>9.0806388766531132E-3</v>
      </c>
    </row>
    <row r="1023" spans="1:7">
      <c r="A1023" s="54">
        <v>280.70909999999998</v>
      </c>
      <c r="B1023" s="54">
        <v>281.77940000000001</v>
      </c>
      <c r="C1023" s="54">
        <v>273.19760000000002</v>
      </c>
      <c r="D1023" s="54">
        <v>275.78579999999999</v>
      </c>
      <c r="E1023" s="54">
        <v>35204480</v>
      </c>
      <c r="F1023" s="54" t="s">
        <v>1841</v>
      </c>
      <c r="G1023" s="25">
        <f t="shared" si="14"/>
        <v>1.7851898103528052E-2</v>
      </c>
    </row>
    <row r="1024" spans="1:7">
      <c r="A1024" s="54">
        <v>268.40069999999997</v>
      </c>
      <c r="B1024" s="54">
        <v>276.29169999999999</v>
      </c>
      <c r="C1024" s="54">
        <v>262.70870000000002</v>
      </c>
      <c r="D1024" s="54">
        <v>270.29809999999998</v>
      </c>
      <c r="E1024" s="54">
        <v>48159475</v>
      </c>
      <c r="F1024" s="54" t="s">
        <v>1842</v>
      </c>
      <c r="G1024" s="25">
        <f t="shared" si="14"/>
        <v>-7.019657185899586E-3</v>
      </c>
    </row>
    <row r="1025" spans="1:7">
      <c r="A1025" s="54">
        <v>271.37810000000002</v>
      </c>
      <c r="B1025" s="54">
        <v>281.86700000000002</v>
      </c>
      <c r="C1025" s="54">
        <v>271.00839999999999</v>
      </c>
      <c r="D1025" s="54">
        <v>280.73829999999998</v>
      </c>
      <c r="E1025" s="54">
        <v>43157178</v>
      </c>
      <c r="F1025" s="54" t="s">
        <v>1843</v>
      </c>
      <c r="G1025" s="25">
        <f t="shared" si="14"/>
        <v>-3.3341371661793073E-2</v>
      </c>
    </row>
    <row r="1026" spans="1:7">
      <c r="A1026" s="54">
        <v>282.0324</v>
      </c>
      <c r="B1026" s="54">
        <v>287.67579999999998</v>
      </c>
      <c r="C1026" s="54">
        <v>279.41019999999997</v>
      </c>
      <c r="D1026" s="54">
        <v>286.34280000000001</v>
      </c>
      <c r="E1026" s="54">
        <v>32369655</v>
      </c>
      <c r="F1026" s="54" t="s">
        <v>1844</v>
      </c>
      <c r="G1026" s="25">
        <f t="shared" si="14"/>
        <v>-1.5053285781936987E-2</v>
      </c>
    </row>
    <row r="1027" spans="1:7">
      <c r="A1027" s="54">
        <v>287.92869999999999</v>
      </c>
      <c r="B1027" s="54">
        <v>294.94400000000002</v>
      </c>
      <c r="C1027" s="54">
        <v>286.10919999999999</v>
      </c>
      <c r="D1027" s="54">
        <v>294.71050000000002</v>
      </c>
      <c r="E1027" s="54">
        <v>27314469</v>
      </c>
      <c r="F1027" s="54" t="s">
        <v>1845</v>
      </c>
      <c r="G1027" s="25">
        <f t="shared" si="14"/>
        <v>-2.3011735245266229E-2</v>
      </c>
    </row>
    <row r="1028" spans="1:7">
      <c r="A1028" s="54">
        <v>292.08339999999998</v>
      </c>
      <c r="B1028" s="54">
        <v>293.32889999999998</v>
      </c>
      <c r="C1028" s="54">
        <v>285.76679999999999</v>
      </c>
      <c r="D1028" s="54">
        <v>287.38389999999998</v>
      </c>
      <c r="E1028" s="54">
        <v>31873007</v>
      </c>
      <c r="F1028" s="54" t="s">
        <v>1846</v>
      </c>
      <c r="G1028" s="25">
        <f t="shared" si="14"/>
        <v>1.635269059957789E-2</v>
      </c>
    </row>
    <row r="1029" spans="1:7">
      <c r="A1029" s="54">
        <v>286.98489999999998</v>
      </c>
      <c r="B1029" s="54">
        <v>291.86939999999998</v>
      </c>
      <c r="C1029" s="54">
        <v>284.26060000000001</v>
      </c>
      <c r="D1029" s="54">
        <v>288.39580000000001</v>
      </c>
      <c r="E1029" s="54">
        <v>31217778</v>
      </c>
      <c r="F1029" s="54" t="s">
        <v>1847</v>
      </c>
      <c r="G1029" s="25">
        <f t="shared" si="14"/>
        <v>-4.8922349077206162E-3</v>
      </c>
    </row>
    <row r="1030" spans="1:7">
      <c r="A1030" s="54">
        <v>290.72120000000001</v>
      </c>
      <c r="B1030" s="54">
        <v>291.06180000000001</v>
      </c>
      <c r="C1030" s="54">
        <v>285.08760000000001</v>
      </c>
      <c r="D1030" s="54">
        <v>286.36219999999997</v>
      </c>
      <c r="E1030" s="54">
        <v>34627457</v>
      </c>
      <c r="F1030" s="54" t="s">
        <v>1848</v>
      </c>
      <c r="G1030" s="25">
        <f t="shared" si="14"/>
        <v>1.5221981113429317E-2</v>
      </c>
    </row>
    <row r="1031" spans="1:7">
      <c r="A1031" s="54">
        <v>289.28120000000001</v>
      </c>
      <c r="B1031" s="54">
        <v>289.5926</v>
      </c>
      <c r="C1031" s="54">
        <v>283.77890000000002</v>
      </c>
      <c r="D1031" s="54">
        <v>287.16980000000001</v>
      </c>
      <c r="E1031" s="54">
        <v>32546721</v>
      </c>
      <c r="F1031" s="54" t="s">
        <v>1849</v>
      </c>
      <c r="G1031" s="25">
        <f t="shared" si="14"/>
        <v>7.3524444422776725E-3</v>
      </c>
    </row>
    <row r="1032" spans="1:7">
      <c r="A1032" s="54">
        <v>286.63470000000001</v>
      </c>
      <c r="B1032" s="54">
        <v>287.1893</v>
      </c>
      <c r="C1032" s="54">
        <v>264.18770000000001</v>
      </c>
      <c r="D1032" s="54">
        <v>265.15089999999998</v>
      </c>
      <c r="E1032" s="54">
        <v>56989686</v>
      </c>
      <c r="F1032" s="54" t="s">
        <v>1850</v>
      </c>
      <c r="G1032" s="25">
        <f t="shared" si="14"/>
        <v>8.1024805120405219E-2</v>
      </c>
    </row>
    <row r="1033" spans="1:7">
      <c r="A1033" s="54">
        <v>272.70139999999998</v>
      </c>
      <c r="B1033" s="54">
        <v>283.8227</v>
      </c>
      <c r="C1033" s="54">
        <v>272.536</v>
      </c>
      <c r="D1033" s="54">
        <v>282.34379999999999</v>
      </c>
      <c r="E1033" s="54">
        <v>37811167</v>
      </c>
      <c r="F1033" s="54" t="s">
        <v>1851</v>
      </c>
      <c r="G1033" s="25">
        <f t="shared" si="14"/>
        <v>-3.4151272314107861E-2</v>
      </c>
    </row>
    <row r="1034" spans="1:7">
      <c r="A1034" s="54">
        <v>279.9502</v>
      </c>
      <c r="B1034" s="54">
        <v>283.66699999999997</v>
      </c>
      <c r="C1034" s="54">
        <v>276.81709999999998</v>
      </c>
      <c r="D1034" s="54">
        <v>277.30360000000002</v>
      </c>
      <c r="E1034" s="54">
        <v>41736117</v>
      </c>
      <c r="F1034" s="54" t="s">
        <v>1852</v>
      </c>
      <c r="G1034" s="25">
        <f t="shared" si="14"/>
        <v>9.5440520786602701E-3</v>
      </c>
    </row>
    <row r="1035" spans="1:7">
      <c r="A1035" s="54">
        <v>280.15449999999998</v>
      </c>
      <c r="B1035" s="54">
        <v>285.92439999999999</v>
      </c>
      <c r="C1035" s="54">
        <v>278.57339999999999</v>
      </c>
      <c r="D1035" s="54">
        <v>285.13630000000001</v>
      </c>
      <c r="E1035" s="54">
        <v>34264008</v>
      </c>
      <c r="F1035" s="54" t="s">
        <v>1853</v>
      </c>
      <c r="G1035" s="25">
        <f t="shared" si="14"/>
        <v>-1.7471644262761377E-2</v>
      </c>
    </row>
    <row r="1036" spans="1:7">
      <c r="A1036" s="54">
        <v>282.87889999999999</v>
      </c>
      <c r="B1036" s="54">
        <v>288.78500000000003</v>
      </c>
      <c r="C1036" s="54">
        <v>282.16860000000003</v>
      </c>
      <c r="D1036" s="54">
        <v>288.3569</v>
      </c>
      <c r="E1036" s="54">
        <v>32461580</v>
      </c>
      <c r="F1036" s="54" t="s">
        <v>1854</v>
      </c>
      <c r="G1036" s="25">
        <f t="shared" si="14"/>
        <v>-1.8997291204060018E-2</v>
      </c>
    </row>
    <row r="1037" spans="1:7">
      <c r="A1037" s="54">
        <v>291.41210000000001</v>
      </c>
      <c r="B1037" s="54">
        <v>292.74509999999998</v>
      </c>
      <c r="C1037" s="54">
        <v>285.74919999999997</v>
      </c>
      <c r="D1037" s="54">
        <v>290.30770000000001</v>
      </c>
      <c r="E1037" s="54">
        <v>29982121</v>
      </c>
      <c r="F1037" s="54" t="s">
        <v>1855</v>
      </c>
      <c r="G1037" s="25">
        <f t="shared" si="14"/>
        <v>3.8042394328501317E-3</v>
      </c>
    </row>
    <row r="1038" spans="1:7">
      <c r="A1038" s="54">
        <v>291.75259999999997</v>
      </c>
      <c r="B1038" s="54">
        <v>292.07299999999998</v>
      </c>
      <c r="C1038" s="54">
        <v>288.40269999999998</v>
      </c>
      <c r="D1038" s="54">
        <v>291.30399999999997</v>
      </c>
      <c r="E1038" s="54">
        <v>27379488</v>
      </c>
      <c r="F1038" s="54" t="s">
        <v>1856</v>
      </c>
      <c r="G1038" s="25">
        <f t="shared" si="14"/>
        <v>1.5399719880262452E-3</v>
      </c>
    </row>
    <row r="1039" spans="1:7">
      <c r="A1039" s="54">
        <v>286.44130000000001</v>
      </c>
      <c r="B1039" s="54">
        <v>288.15030000000002</v>
      </c>
      <c r="C1039" s="54">
        <v>282.8972</v>
      </c>
      <c r="D1039" s="54">
        <v>285.24700000000001</v>
      </c>
      <c r="E1039" s="54">
        <v>36359487</v>
      </c>
      <c r="F1039" s="54" t="s">
        <v>1857</v>
      </c>
      <c r="G1039" s="25">
        <f t="shared" si="14"/>
        <v>4.1868976711412209E-3</v>
      </c>
    </row>
    <row r="1040" spans="1:7">
      <c r="A1040" s="54">
        <v>286.48020000000002</v>
      </c>
      <c r="B1040" s="54">
        <v>295.46179999999998</v>
      </c>
      <c r="C1040" s="54">
        <v>285.68389999999999</v>
      </c>
      <c r="D1040" s="54">
        <v>294.39370000000002</v>
      </c>
      <c r="E1040" s="54">
        <v>39175620</v>
      </c>
      <c r="F1040" s="54" t="s">
        <v>1858</v>
      </c>
      <c r="G1040" s="25">
        <f t="shared" si="14"/>
        <v>-2.6880670340431845E-2</v>
      </c>
    </row>
    <row r="1041" spans="1:7">
      <c r="A1041" s="54">
        <v>293.60719999999998</v>
      </c>
      <c r="B1041" s="54">
        <v>300.15170000000001</v>
      </c>
      <c r="C1041" s="54">
        <v>291.97590000000002</v>
      </c>
      <c r="D1041" s="54">
        <v>295.21899999999999</v>
      </c>
      <c r="E1041" s="54">
        <v>45386199</v>
      </c>
      <c r="F1041" s="54" t="s">
        <v>1859</v>
      </c>
      <c r="G1041" s="25">
        <f t="shared" si="14"/>
        <v>-5.4596756983799066E-3</v>
      </c>
    </row>
    <row r="1042" spans="1:7">
      <c r="A1042" s="54">
        <v>302.18099999999998</v>
      </c>
      <c r="B1042" s="54">
        <v>302.88010000000003</v>
      </c>
      <c r="C1042" s="54">
        <v>298.47190000000001</v>
      </c>
      <c r="D1042" s="54">
        <v>300.875</v>
      </c>
      <c r="E1042" s="54">
        <v>31284671</v>
      </c>
      <c r="F1042" s="54" t="s">
        <v>1860</v>
      </c>
      <c r="G1042" s="25">
        <f t="shared" si="14"/>
        <v>4.3406730369754953E-3</v>
      </c>
    </row>
    <row r="1043" spans="1:7">
      <c r="A1043" s="54">
        <v>295.72399999999999</v>
      </c>
      <c r="B1043" s="54">
        <v>296.69589999999999</v>
      </c>
      <c r="C1043" s="54">
        <v>291.24770000000001</v>
      </c>
      <c r="D1043" s="54">
        <v>292.51</v>
      </c>
      <c r="E1043" s="54">
        <v>32421188</v>
      </c>
      <c r="F1043" s="54" t="s">
        <v>1861</v>
      </c>
      <c r="G1043" s="25">
        <f t="shared" si="14"/>
        <v>1.098765854158823E-2</v>
      </c>
    </row>
    <row r="1044" spans="1:7">
      <c r="A1044" s="54">
        <v>292.21870000000001</v>
      </c>
      <c r="B1044" s="54">
        <v>298.90879999999999</v>
      </c>
      <c r="C1044" s="54">
        <v>291.19920000000002</v>
      </c>
      <c r="D1044" s="54">
        <v>297.28719999999998</v>
      </c>
      <c r="E1044" s="54">
        <v>28533286</v>
      </c>
      <c r="F1044" s="54" t="s">
        <v>1862</v>
      </c>
      <c r="G1044" s="25">
        <f t="shared" si="14"/>
        <v>-1.7049169960899668E-2</v>
      </c>
    </row>
    <row r="1045" spans="1:7">
      <c r="A1045" s="54">
        <v>297.06389999999999</v>
      </c>
      <c r="B1045" s="54">
        <v>299.84089999999998</v>
      </c>
      <c r="C1045" s="54">
        <v>291.26710000000003</v>
      </c>
      <c r="D1045" s="54">
        <v>291.50020000000001</v>
      </c>
      <c r="E1045" s="54">
        <v>35096488</v>
      </c>
      <c r="F1045" s="54" t="s">
        <v>1863</v>
      </c>
      <c r="G1045" s="25">
        <f t="shared" si="14"/>
        <v>1.9086436304331711E-2</v>
      </c>
    </row>
    <row r="1046" spans="1:7">
      <c r="A1046" s="54">
        <v>292.51</v>
      </c>
      <c r="B1046" s="54">
        <v>302.2004</v>
      </c>
      <c r="C1046" s="54">
        <v>291.25740000000002</v>
      </c>
      <c r="D1046" s="54">
        <v>300.51089999999999</v>
      </c>
      <c r="E1046" s="54">
        <v>43729972</v>
      </c>
      <c r="F1046" s="54" t="s">
        <v>1864</v>
      </c>
      <c r="G1046" s="25">
        <f t="shared" si="14"/>
        <v>-2.6624325440441576E-2</v>
      </c>
    </row>
    <row r="1047" spans="1:7">
      <c r="A1047" s="54">
        <v>304.3657</v>
      </c>
      <c r="B1047" s="54">
        <v>305.9776</v>
      </c>
      <c r="C1047" s="54">
        <v>299.91860000000003</v>
      </c>
      <c r="D1047" s="54">
        <v>300.64690000000002</v>
      </c>
      <c r="E1047" s="54">
        <v>36635989</v>
      </c>
      <c r="F1047" s="54" t="s">
        <v>1865</v>
      </c>
      <c r="G1047" s="25">
        <f t="shared" si="14"/>
        <v>1.2369327606571057E-2</v>
      </c>
    </row>
    <row r="1048" spans="1:7">
      <c r="A1048" s="54">
        <v>299.8021</v>
      </c>
      <c r="B1048" s="54">
        <v>301.61790000000002</v>
      </c>
      <c r="C1048" s="54">
        <v>296.27670000000001</v>
      </c>
      <c r="D1048" s="54">
        <v>301.4042</v>
      </c>
      <c r="E1048" s="54">
        <v>40950396</v>
      </c>
      <c r="F1048" s="54" t="s">
        <v>1866</v>
      </c>
      <c r="G1048" s="25">
        <f t="shared" ref="G1048:G1111" si="15">A1048/D1048-1</f>
        <v>-5.3154534674699772E-3</v>
      </c>
    </row>
    <row r="1049" spans="1:7">
      <c r="A1049" s="54">
        <v>301.95769999999999</v>
      </c>
      <c r="B1049" s="54">
        <v>303.31709999999998</v>
      </c>
      <c r="C1049" s="54">
        <v>297.48140000000001</v>
      </c>
      <c r="D1049" s="54">
        <v>299.98660000000001</v>
      </c>
      <c r="E1049" s="54">
        <v>46444536</v>
      </c>
      <c r="F1049" s="54" t="s">
        <v>1867</v>
      </c>
      <c r="G1049" s="25">
        <f t="shared" si="15"/>
        <v>6.5706268213312491E-3</v>
      </c>
    </row>
    <row r="1050" spans="1:7">
      <c r="A1050" s="54">
        <v>299.31659999999999</v>
      </c>
      <c r="B1050" s="54">
        <v>299.53019999999998</v>
      </c>
      <c r="C1050" s="54">
        <v>285.90730000000002</v>
      </c>
      <c r="D1050" s="54">
        <v>291.51960000000003</v>
      </c>
      <c r="E1050" s="54">
        <v>49743698</v>
      </c>
      <c r="F1050" s="54" t="s">
        <v>1868</v>
      </c>
      <c r="G1050" s="25">
        <f t="shared" si="15"/>
        <v>2.674605755496362E-2</v>
      </c>
    </row>
    <row r="1051" spans="1:7">
      <c r="A1051" s="54">
        <v>291.14089999999999</v>
      </c>
      <c r="B1051" s="54">
        <v>298.3845</v>
      </c>
      <c r="C1051" s="54">
        <v>289.28629999999998</v>
      </c>
      <c r="D1051" s="54">
        <v>293.87909999999999</v>
      </c>
      <c r="E1051" s="54">
        <v>53481317</v>
      </c>
      <c r="F1051" s="54" t="s">
        <v>1869</v>
      </c>
      <c r="G1051" s="25">
        <f t="shared" si="15"/>
        <v>-9.3174370004536211E-3</v>
      </c>
    </row>
    <row r="1052" spans="1:7">
      <c r="A1052" s="54">
        <v>288.10169999999999</v>
      </c>
      <c r="B1052" s="54">
        <v>299.5496</v>
      </c>
      <c r="C1052" s="54">
        <v>284.52850000000001</v>
      </c>
      <c r="D1052" s="54">
        <v>299.0496</v>
      </c>
      <c r="E1052" s="54">
        <v>90428853</v>
      </c>
      <c r="F1052" s="54" t="s">
        <v>1870</v>
      </c>
      <c r="G1052" s="25">
        <f t="shared" si="15"/>
        <v>-3.6608977239895979E-2</v>
      </c>
    </row>
    <row r="1053" spans="1:7">
      <c r="A1053" s="54">
        <v>280.12020000000001</v>
      </c>
      <c r="B1053" s="54">
        <v>286.4316</v>
      </c>
      <c r="C1053" s="54">
        <v>276.8965</v>
      </c>
      <c r="D1053" s="54">
        <v>283.06229999999999</v>
      </c>
      <c r="E1053" s="54">
        <v>72848638</v>
      </c>
      <c r="F1053" s="54" t="s">
        <v>1871</v>
      </c>
      <c r="G1053" s="25">
        <f t="shared" si="15"/>
        <v>-1.0393824963621068E-2</v>
      </c>
    </row>
    <row r="1054" spans="1:7">
      <c r="A1054" s="54">
        <v>287.77159999999998</v>
      </c>
      <c r="B1054" s="54">
        <v>288.49009999999998</v>
      </c>
      <c r="C1054" s="54">
        <v>268.04109999999997</v>
      </c>
      <c r="D1054" s="54">
        <v>283.7226</v>
      </c>
      <c r="E1054" s="54">
        <v>86035393</v>
      </c>
      <c r="F1054" s="54" t="s">
        <v>1872</v>
      </c>
      <c r="G1054" s="25">
        <f t="shared" si="15"/>
        <v>1.4270981585534637E-2</v>
      </c>
    </row>
    <row r="1055" spans="1:7">
      <c r="A1055" s="54">
        <v>287.44139999999999</v>
      </c>
      <c r="B1055" s="54">
        <v>295.28699999999998</v>
      </c>
      <c r="C1055" s="54">
        <v>287.03359999999998</v>
      </c>
      <c r="D1055" s="54">
        <v>293.90339999999998</v>
      </c>
      <c r="E1055" s="54">
        <v>57984403</v>
      </c>
      <c r="F1055" s="54" t="s">
        <v>1873</v>
      </c>
      <c r="G1055" s="25">
        <f t="shared" si="15"/>
        <v>-2.1986816076302595E-2</v>
      </c>
    </row>
    <row r="1056" spans="1:7">
      <c r="A1056" s="54">
        <v>292.84980000000002</v>
      </c>
      <c r="B1056" s="54">
        <v>302.60770000000002</v>
      </c>
      <c r="C1056" s="54">
        <v>292.40320000000003</v>
      </c>
      <c r="D1056" s="54">
        <v>300.10309999999998</v>
      </c>
      <c r="E1056" s="54">
        <v>35380675</v>
      </c>
      <c r="F1056" s="54" t="s">
        <v>1874</v>
      </c>
      <c r="G1056" s="25">
        <f t="shared" si="15"/>
        <v>-2.4169360463120682E-2</v>
      </c>
    </row>
    <row r="1057" spans="1:7">
      <c r="A1057" s="54">
        <v>294.52960000000002</v>
      </c>
      <c r="B1057" s="54">
        <v>304.80200000000002</v>
      </c>
      <c r="C1057" s="54">
        <v>293.91789999999997</v>
      </c>
      <c r="D1057" s="54">
        <v>297.40379999999999</v>
      </c>
      <c r="E1057" s="54">
        <v>45933855</v>
      </c>
      <c r="F1057" s="54" t="s">
        <v>1875</v>
      </c>
      <c r="G1057" s="25">
        <f t="shared" si="15"/>
        <v>-9.6643015321256076E-3</v>
      </c>
    </row>
    <row r="1058" spans="1:7">
      <c r="A1058" s="54">
        <v>293.86939999999998</v>
      </c>
      <c r="B1058" s="54">
        <v>300.81189999999998</v>
      </c>
      <c r="C1058" s="54">
        <v>292.98579999999998</v>
      </c>
      <c r="D1058" s="54">
        <v>295.2482</v>
      </c>
      <c r="E1058" s="54">
        <v>42434112</v>
      </c>
      <c r="F1058" s="54" t="s">
        <v>1876</v>
      </c>
      <c r="G1058" s="25">
        <f t="shared" si="15"/>
        <v>-4.6699691987961423E-3</v>
      </c>
    </row>
    <row r="1059" spans="1:7">
      <c r="A1059" s="54">
        <v>301.20030000000003</v>
      </c>
      <c r="B1059" s="54">
        <v>301.8023</v>
      </c>
      <c r="C1059" s="54">
        <v>294.9375</v>
      </c>
      <c r="D1059" s="54">
        <v>295.423</v>
      </c>
      <c r="E1059" s="54">
        <v>39846414</v>
      </c>
      <c r="F1059" s="54" t="s">
        <v>1877</v>
      </c>
      <c r="G1059" s="25">
        <f t="shared" si="15"/>
        <v>1.9556026443438901E-2</v>
      </c>
    </row>
    <row r="1060" spans="1:7">
      <c r="A1060" s="54">
        <v>295.95699999999999</v>
      </c>
      <c r="B1060" s="54">
        <v>311.57049999999998</v>
      </c>
      <c r="C1060" s="54">
        <v>295.18020000000001</v>
      </c>
      <c r="D1060" s="54">
        <v>311.16829999999999</v>
      </c>
      <c r="E1060" s="54">
        <v>45365979</v>
      </c>
      <c r="F1060" s="54" t="s">
        <v>1878</v>
      </c>
      <c r="G1060" s="25">
        <f t="shared" si="15"/>
        <v>-4.8884478271083553E-2</v>
      </c>
    </row>
    <row r="1061" spans="1:7">
      <c r="A1061" s="54">
        <v>309.03620000000001</v>
      </c>
      <c r="B1061" s="54">
        <v>314.02710000000002</v>
      </c>
      <c r="C1061" s="54">
        <v>307.88069999999999</v>
      </c>
      <c r="D1061" s="54">
        <v>310.3956</v>
      </c>
      <c r="E1061" s="54">
        <v>34372217</v>
      </c>
      <c r="F1061" s="54" t="s">
        <v>1879</v>
      </c>
      <c r="G1061" s="25">
        <f t="shared" si="15"/>
        <v>-4.3795723908457429E-3</v>
      </c>
    </row>
    <row r="1062" spans="1:7">
      <c r="A1062" s="54">
        <v>305.84160000000003</v>
      </c>
      <c r="B1062" s="54">
        <v>307.42439999999999</v>
      </c>
      <c r="C1062" s="54">
        <v>300.89929999999998</v>
      </c>
      <c r="D1062" s="54">
        <v>304.28809999999999</v>
      </c>
      <c r="E1062" s="54">
        <v>29386774</v>
      </c>
      <c r="F1062" s="54" t="s">
        <v>1880</v>
      </c>
      <c r="G1062" s="25">
        <f t="shared" si="15"/>
        <v>5.1053590331007204E-3</v>
      </c>
    </row>
    <row r="1063" spans="1:7">
      <c r="A1063" s="54">
        <v>305.15219999999999</v>
      </c>
      <c r="B1063" s="54">
        <v>305.58920000000001</v>
      </c>
      <c r="C1063" s="54">
        <v>295.85019999999997</v>
      </c>
      <c r="D1063" s="54">
        <v>300.5061</v>
      </c>
      <c r="E1063" s="54">
        <v>44289467</v>
      </c>
      <c r="F1063" s="54" t="s">
        <v>1881</v>
      </c>
      <c r="G1063" s="25">
        <f t="shared" si="15"/>
        <v>1.5460917432291721E-2</v>
      </c>
    </row>
    <row r="1064" spans="1:7">
      <c r="A1064" s="54">
        <v>304.9289</v>
      </c>
      <c r="B1064" s="54">
        <v>307.3175</v>
      </c>
      <c r="C1064" s="54">
        <v>301.09350000000001</v>
      </c>
      <c r="D1064" s="54">
        <v>305.03570000000002</v>
      </c>
      <c r="E1064" s="54">
        <v>32720018</v>
      </c>
      <c r="F1064" s="54" t="s">
        <v>1882</v>
      </c>
      <c r="G1064" s="25">
        <f t="shared" si="15"/>
        <v>-3.5012295282166317E-4</v>
      </c>
    </row>
    <row r="1065" spans="1:7">
      <c r="A1065" s="54">
        <v>304.77359999999999</v>
      </c>
      <c r="B1065" s="54">
        <v>309.45370000000003</v>
      </c>
      <c r="C1065" s="54">
        <v>302.4529</v>
      </c>
      <c r="D1065" s="54">
        <v>304.06470000000002</v>
      </c>
      <c r="E1065" s="54">
        <v>39646148</v>
      </c>
      <c r="F1065" s="54" t="s">
        <v>1883</v>
      </c>
      <c r="G1065" s="25">
        <f t="shared" si="15"/>
        <v>2.3314117028381265E-3</v>
      </c>
    </row>
    <row r="1066" spans="1:7">
      <c r="A1066" s="54">
        <v>307.20100000000002</v>
      </c>
      <c r="B1066" s="54">
        <v>316.60989999999998</v>
      </c>
      <c r="C1066" s="54">
        <v>306.81259999999997</v>
      </c>
      <c r="D1066" s="54">
        <v>316.40600000000001</v>
      </c>
      <c r="E1066" s="54">
        <v>40054327</v>
      </c>
      <c r="F1066" s="54" t="s">
        <v>1884</v>
      </c>
      <c r="G1066" s="25">
        <f t="shared" si="15"/>
        <v>-2.9092368665575186E-2</v>
      </c>
    </row>
    <row r="1067" spans="1:7">
      <c r="A1067" s="54">
        <v>319.46460000000002</v>
      </c>
      <c r="B1067" s="54">
        <v>325.47500000000002</v>
      </c>
      <c r="C1067" s="54">
        <v>316.65839999999997</v>
      </c>
      <c r="D1067" s="54">
        <v>325.11579999999998</v>
      </c>
      <c r="E1067" s="54">
        <v>32674306</v>
      </c>
      <c r="F1067" s="54" t="s">
        <v>1885</v>
      </c>
      <c r="G1067" s="25">
        <f t="shared" si="15"/>
        <v>-1.7382114311269903E-2</v>
      </c>
    </row>
    <row r="1068" spans="1:7">
      <c r="A1068" s="54">
        <v>325.03809999999999</v>
      </c>
      <c r="B1068" s="54">
        <v>328.19380000000001</v>
      </c>
      <c r="C1068" s="54">
        <v>320.21230000000003</v>
      </c>
      <c r="D1068" s="54">
        <v>325.6207</v>
      </c>
      <c r="E1068" s="54">
        <v>28918013</v>
      </c>
      <c r="F1068" s="54" t="s">
        <v>1886</v>
      </c>
      <c r="G1068" s="25">
        <f t="shared" si="15"/>
        <v>-1.789198291140659E-3</v>
      </c>
    </row>
    <row r="1069" spans="1:7">
      <c r="A1069" s="54">
        <v>326.5625</v>
      </c>
      <c r="B1069" s="54">
        <v>329.5095</v>
      </c>
      <c r="C1069" s="54">
        <v>326.1062</v>
      </c>
      <c r="D1069" s="54">
        <v>328.68900000000002</v>
      </c>
      <c r="E1069" s="54">
        <v>18000797</v>
      </c>
      <c r="F1069" s="54" t="s">
        <v>1887</v>
      </c>
      <c r="G1069" s="25">
        <f t="shared" si="15"/>
        <v>-6.4696415152317721E-3</v>
      </c>
    </row>
    <row r="1070" spans="1:7">
      <c r="A1070" s="54">
        <v>329.47550000000001</v>
      </c>
      <c r="B1070" s="54">
        <v>333.17489999999998</v>
      </c>
      <c r="C1070" s="54">
        <v>328.99</v>
      </c>
      <c r="D1070" s="54">
        <v>331.99029999999999</v>
      </c>
      <c r="E1070" s="54">
        <v>15994471</v>
      </c>
      <c r="F1070" s="54" t="s">
        <v>1888</v>
      </c>
      <c r="G1070" s="25">
        <f t="shared" si="15"/>
        <v>-7.5749201106176667E-3</v>
      </c>
    </row>
    <row r="1071" spans="1:7">
      <c r="A1071" s="54">
        <v>332.0292</v>
      </c>
      <c r="B1071" s="54">
        <v>334.31099999999998</v>
      </c>
      <c r="C1071" s="54">
        <v>329.82499999999999</v>
      </c>
      <c r="D1071" s="54">
        <v>331.39800000000002</v>
      </c>
      <c r="E1071" s="54">
        <v>15041956</v>
      </c>
      <c r="F1071" s="54" t="s">
        <v>1889</v>
      </c>
      <c r="G1071" s="25">
        <f t="shared" si="15"/>
        <v>1.9046584469428751E-3</v>
      </c>
    </row>
    <row r="1072" spans="1:7">
      <c r="A1072" s="54">
        <v>331.34949999999998</v>
      </c>
      <c r="B1072" s="54">
        <v>333.83519999999999</v>
      </c>
      <c r="C1072" s="54">
        <v>330.44650000000001</v>
      </c>
      <c r="D1072" s="54">
        <v>333.19439999999997</v>
      </c>
      <c r="E1072" s="54">
        <v>15661467</v>
      </c>
      <c r="F1072" s="54" t="s">
        <v>1890</v>
      </c>
      <c r="G1072" s="25">
        <f t="shared" si="15"/>
        <v>-5.5370078248614396E-3</v>
      </c>
    </row>
    <row r="1073" spans="1:7">
      <c r="A1073" s="54">
        <v>332.5147</v>
      </c>
      <c r="B1073" s="54">
        <v>332.54379999999998</v>
      </c>
      <c r="C1073" s="54">
        <v>325.69830000000002</v>
      </c>
      <c r="D1073" s="54">
        <v>325.72750000000002</v>
      </c>
      <c r="E1073" s="54">
        <v>19947029</v>
      </c>
      <c r="F1073" s="54" t="s">
        <v>1891</v>
      </c>
      <c r="G1073" s="25">
        <f t="shared" si="15"/>
        <v>2.0837049374093253E-2</v>
      </c>
    </row>
    <row r="1074" spans="1:7">
      <c r="A1074" s="54">
        <v>324.97980000000001</v>
      </c>
      <c r="B1074" s="54">
        <v>326.63049999999998</v>
      </c>
      <c r="C1074" s="54">
        <v>323.07670000000002</v>
      </c>
      <c r="D1074" s="54">
        <v>323.09609999999998</v>
      </c>
      <c r="E1074" s="54">
        <v>19617848</v>
      </c>
      <c r="F1074" s="54" t="s">
        <v>1892</v>
      </c>
      <c r="G1074" s="25">
        <f t="shared" si="15"/>
        <v>5.8301539387197732E-3</v>
      </c>
    </row>
    <row r="1075" spans="1:7">
      <c r="A1075" s="54">
        <v>323.53300000000002</v>
      </c>
      <c r="B1075" s="54">
        <v>323.92630000000003</v>
      </c>
      <c r="C1075" s="54">
        <v>316.29919999999998</v>
      </c>
      <c r="D1075" s="54">
        <v>318.77519999999998</v>
      </c>
      <c r="E1075" s="54">
        <v>24831493</v>
      </c>
      <c r="F1075" s="54" t="s">
        <v>1893</v>
      </c>
      <c r="G1075" s="25">
        <f t="shared" si="15"/>
        <v>1.4925251399732664E-2</v>
      </c>
    </row>
    <row r="1076" spans="1:7">
      <c r="A1076" s="54">
        <v>317.79450000000003</v>
      </c>
      <c r="B1076" s="54">
        <v>318.2217</v>
      </c>
      <c r="C1076" s="54">
        <v>310.52179999999998</v>
      </c>
      <c r="D1076" s="54">
        <v>313.91059999999999</v>
      </c>
      <c r="E1076" s="54">
        <v>24740597</v>
      </c>
      <c r="F1076" s="54" t="s">
        <v>1894</v>
      </c>
      <c r="G1076" s="25">
        <f t="shared" si="15"/>
        <v>1.2372630933775497E-2</v>
      </c>
    </row>
    <row r="1077" spans="1:7">
      <c r="A1077" s="54">
        <v>310.62860000000001</v>
      </c>
      <c r="B1077" s="54">
        <v>313.4348</v>
      </c>
      <c r="C1077" s="54">
        <v>308.35649999999998</v>
      </c>
      <c r="D1077" s="54">
        <v>310.76459999999997</v>
      </c>
      <c r="E1077" s="54">
        <v>28326532</v>
      </c>
      <c r="F1077" s="54" t="s">
        <v>1895</v>
      </c>
      <c r="G1077" s="25">
        <f t="shared" si="15"/>
        <v>-4.3763028350063404E-4</v>
      </c>
    </row>
    <row r="1078" spans="1:7">
      <c r="A1078" s="54">
        <v>314.4058</v>
      </c>
      <c r="B1078" s="54">
        <v>315.49329999999998</v>
      </c>
      <c r="C1078" s="54">
        <v>308.04579999999999</v>
      </c>
      <c r="D1078" s="54">
        <v>311.57049999999998</v>
      </c>
      <c r="E1078" s="54">
        <v>47983713</v>
      </c>
      <c r="F1078" s="54" t="s">
        <v>1896</v>
      </c>
      <c r="G1078" s="25">
        <f t="shared" si="15"/>
        <v>9.1000271206678196E-3</v>
      </c>
    </row>
    <row r="1079" spans="1:7">
      <c r="A1079" s="54">
        <v>315.47379999999998</v>
      </c>
      <c r="B1079" s="54">
        <v>326.9898</v>
      </c>
      <c r="C1079" s="54">
        <v>313.64839999999998</v>
      </c>
      <c r="D1079" s="54">
        <v>325.97019999999998</v>
      </c>
      <c r="E1079" s="54">
        <v>35034831</v>
      </c>
      <c r="F1079" s="54" t="s">
        <v>1897</v>
      </c>
      <c r="G1079" s="25">
        <f t="shared" si="15"/>
        <v>-3.2200489492597795E-2</v>
      </c>
    </row>
    <row r="1080" spans="1:7">
      <c r="A1080" s="54">
        <v>324.94099999999997</v>
      </c>
      <c r="B1080" s="54">
        <v>325.46530000000001</v>
      </c>
      <c r="C1080" s="54">
        <v>315.08539999999999</v>
      </c>
      <c r="D1080" s="54">
        <v>319.07619999999997</v>
      </c>
      <c r="E1080" s="54">
        <v>35381122</v>
      </c>
      <c r="F1080" s="54" t="s">
        <v>1898</v>
      </c>
      <c r="G1080" s="25">
        <f t="shared" si="15"/>
        <v>1.8380562386038246E-2</v>
      </c>
    </row>
    <row r="1081" spans="1:7">
      <c r="A1081" s="54">
        <v>318.81400000000002</v>
      </c>
      <c r="B1081" s="54">
        <v>324.93130000000002</v>
      </c>
      <c r="C1081" s="54">
        <v>314.70679999999999</v>
      </c>
      <c r="D1081" s="54">
        <v>323.55250000000001</v>
      </c>
      <c r="E1081" s="54">
        <v>44438699</v>
      </c>
      <c r="F1081" s="54" t="s">
        <v>1899</v>
      </c>
      <c r="G1081" s="25">
        <f t="shared" si="15"/>
        <v>-1.4645227590576404E-2</v>
      </c>
    </row>
    <row r="1082" spans="1:7">
      <c r="A1082" s="54">
        <v>329.5532</v>
      </c>
      <c r="B1082" s="54">
        <v>333.81580000000002</v>
      </c>
      <c r="C1082" s="54">
        <v>329.24239999999998</v>
      </c>
      <c r="D1082" s="54">
        <v>330.79599999999999</v>
      </c>
      <c r="E1082" s="54">
        <v>28899431</v>
      </c>
      <c r="F1082" s="54" t="s">
        <v>1900</v>
      </c>
      <c r="G1082" s="25">
        <f t="shared" si="15"/>
        <v>-3.7569982708375305E-3</v>
      </c>
    </row>
    <row r="1083" spans="1:7">
      <c r="A1083" s="54">
        <v>332.60210000000001</v>
      </c>
      <c r="B1083" s="54">
        <v>333.0487</v>
      </c>
      <c r="C1083" s="54">
        <v>325.07690000000002</v>
      </c>
      <c r="D1083" s="54">
        <v>325.26139999999998</v>
      </c>
      <c r="E1083" s="54">
        <v>38095694</v>
      </c>
      <c r="F1083" s="54" t="s">
        <v>1901</v>
      </c>
      <c r="G1083" s="25">
        <f t="shared" si="15"/>
        <v>2.256861711841629E-2</v>
      </c>
    </row>
    <row r="1084" spans="1:7">
      <c r="A1084" s="54">
        <v>323.4359</v>
      </c>
      <c r="B1084" s="54">
        <v>326.72660000000002</v>
      </c>
      <c r="C1084" s="54">
        <v>322.48439999999999</v>
      </c>
      <c r="D1084" s="54">
        <v>324.7079</v>
      </c>
      <c r="E1084" s="54">
        <v>22214158</v>
      </c>
      <c r="F1084" s="54" t="s">
        <v>1902</v>
      </c>
      <c r="G1084" s="25">
        <f t="shared" si="15"/>
        <v>-3.9173669627379226E-3</v>
      </c>
    </row>
    <row r="1085" spans="1:7">
      <c r="A1085" s="54">
        <v>325.25170000000003</v>
      </c>
      <c r="B1085" s="54">
        <v>325.7663</v>
      </c>
      <c r="C1085" s="54">
        <v>321.20269999999999</v>
      </c>
      <c r="D1085" s="54">
        <v>325.58179999999999</v>
      </c>
      <c r="E1085" s="54">
        <v>24760988</v>
      </c>
      <c r="F1085" s="54" t="s">
        <v>1903</v>
      </c>
      <c r="G1085" s="25">
        <f t="shared" si="15"/>
        <v>-1.0138773113237409E-3</v>
      </c>
    </row>
    <row r="1086" spans="1:7">
      <c r="A1086" s="54">
        <v>325.20310000000001</v>
      </c>
      <c r="B1086" s="54">
        <v>326.05759999999998</v>
      </c>
      <c r="C1086" s="54">
        <v>320.52300000000002</v>
      </c>
      <c r="D1086" s="54">
        <v>322.01830000000001</v>
      </c>
      <c r="E1086" s="54">
        <v>31021936</v>
      </c>
      <c r="F1086" s="54" t="s">
        <v>1904</v>
      </c>
      <c r="G1086" s="25">
        <f t="shared" si="15"/>
        <v>9.8901211514996756E-3</v>
      </c>
    </row>
    <row r="1087" spans="1:7">
      <c r="A1087" s="54">
        <v>316.72640000000001</v>
      </c>
      <c r="B1087" s="54">
        <v>317.94990000000001</v>
      </c>
      <c r="C1087" s="54">
        <v>309.9683</v>
      </c>
      <c r="D1087" s="54">
        <v>314.5514</v>
      </c>
      <c r="E1087" s="54">
        <v>30032556</v>
      </c>
      <c r="F1087" s="54" t="s">
        <v>1905</v>
      </c>
      <c r="G1087" s="25">
        <f t="shared" si="15"/>
        <v>6.9146091862888337E-3</v>
      </c>
    </row>
    <row r="1088" spans="1:7">
      <c r="A1088" s="54">
        <v>313.63869999999997</v>
      </c>
      <c r="B1088" s="54">
        <v>323.04750000000001</v>
      </c>
      <c r="C1088" s="54">
        <v>308.8032</v>
      </c>
      <c r="D1088" s="54">
        <v>322.35809999999998</v>
      </c>
      <c r="E1088" s="54">
        <v>41779279</v>
      </c>
      <c r="F1088" s="54" t="s">
        <v>1906</v>
      </c>
      <c r="G1088" s="25">
        <f t="shared" si="15"/>
        <v>-2.7048800697112907E-2</v>
      </c>
    </row>
    <row r="1089" spans="1:7">
      <c r="A1089" s="54">
        <v>319.9307</v>
      </c>
      <c r="B1089" s="54">
        <v>323.81459999999998</v>
      </c>
      <c r="C1089" s="54">
        <v>318.29239999999999</v>
      </c>
      <c r="D1089" s="54">
        <v>320.71719999999999</v>
      </c>
      <c r="E1089" s="54">
        <v>30765980</v>
      </c>
      <c r="F1089" s="54" t="s">
        <v>1907</v>
      </c>
      <c r="G1089" s="25">
        <f t="shared" si="15"/>
        <v>-2.4523162462131154E-3</v>
      </c>
    </row>
    <row r="1090" spans="1:7">
      <c r="A1090" s="54">
        <v>320.50360000000001</v>
      </c>
      <c r="B1090" s="54">
        <v>329.4366</v>
      </c>
      <c r="C1090" s="54">
        <v>319.83359999999999</v>
      </c>
      <c r="D1090" s="54">
        <v>325.40699999999998</v>
      </c>
      <c r="E1090" s="54">
        <v>33401146</v>
      </c>
      <c r="F1090" s="54" t="s">
        <v>1908</v>
      </c>
      <c r="G1090" s="25">
        <f t="shared" si="15"/>
        <v>-1.5068514199141347E-2</v>
      </c>
    </row>
    <row r="1091" spans="1:7">
      <c r="A1091" s="54">
        <v>320.99880000000002</v>
      </c>
      <c r="B1091" s="54">
        <v>327.98020000000002</v>
      </c>
      <c r="C1091" s="54">
        <v>319.4452</v>
      </c>
      <c r="D1091" s="54">
        <v>325.5915</v>
      </c>
      <c r="E1091" s="54">
        <v>42885609</v>
      </c>
      <c r="F1091" s="54" t="s">
        <v>1909</v>
      </c>
      <c r="G1091" s="25">
        <f t="shared" si="15"/>
        <v>-1.4105712219145694E-2</v>
      </c>
    </row>
    <row r="1092" spans="1:7">
      <c r="A1092" s="54">
        <v>326.86349999999999</v>
      </c>
      <c r="B1092" s="54">
        <v>329.19389999999999</v>
      </c>
      <c r="C1092" s="54">
        <v>325.02839999999998</v>
      </c>
      <c r="D1092" s="54">
        <v>325.2226</v>
      </c>
      <c r="E1092" s="54">
        <v>28563481</v>
      </c>
      <c r="F1092" s="54" t="s">
        <v>1910</v>
      </c>
      <c r="G1092" s="25">
        <f t="shared" si="15"/>
        <v>5.0454673199218369E-3</v>
      </c>
    </row>
    <row r="1093" spans="1:7">
      <c r="A1093" s="54">
        <v>320.11520000000002</v>
      </c>
      <c r="B1093" s="54">
        <v>328.12580000000003</v>
      </c>
      <c r="C1093" s="54">
        <v>318.60039999999998</v>
      </c>
      <c r="D1093" s="54">
        <v>324.6497</v>
      </c>
      <c r="E1093" s="54">
        <v>24217242</v>
      </c>
      <c r="F1093" s="54" t="s">
        <v>1911</v>
      </c>
      <c r="G1093" s="25">
        <f t="shared" si="15"/>
        <v>-1.3967362360106872E-2</v>
      </c>
    </row>
    <row r="1094" spans="1:7">
      <c r="A1094" s="54">
        <v>328.10640000000001</v>
      </c>
      <c r="B1094" s="54">
        <v>328.34910000000002</v>
      </c>
      <c r="C1094" s="54">
        <v>324.22340000000003</v>
      </c>
      <c r="D1094" s="54">
        <v>326.52370000000002</v>
      </c>
      <c r="E1094" s="54">
        <v>21661307</v>
      </c>
      <c r="F1094" s="54" t="s">
        <v>1912</v>
      </c>
      <c r="G1094" s="25">
        <f t="shared" si="15"/>
        <v>4.8471213575000949E-3</v>
      </c>
    </row>
    <row r="1095" spans="1:7">
      <c r="A1095" s="54">
        <v>327.88310000000001</v>
      </c>
      <c r="B1095" s="54">
        <v>329.60169999999999</v>
      </c>
      <c r="C1095" s="54">
        <v>323.88260000000002</v>
      </c>
      <c r="D1095" s="54">
        <v>327.2713</v>
      </c>
      <c r="E1095" s="54">
        <v>30427563</v>
      </c>
      <c r="F1095" s="54" t="s">
        <v>1913</v>
      </c>
      <c r="G1095" s="25">
        <f t="shared" si="15"/>
        <v>1.869397041537102E-3</v>
      </c>
    </row>
    <row r="1096" spans="1:7">
      <c r="A1096" s="54">
        <v>329.97070000000002</v>
      </c>
      <c r="B1096" s="54">
        <v>339.52519999999998</v>
      </c>
      <c r="C1096" s="54">
        <v>329.69880000000001</v>
      </c>
      <c r="D1096" s="54">
        <v>334.62169999999998</v>
      </c>
      <c r="E1096" s="54">
        <v>31031113</v>
      </c>
      <c r="F1096" s="54" t="s">
        <v>1914</v>
      </c>
      <c r="G1096" s="25">
        <f t="shared" si="15"/>
        <v>-1.3899277900984774E-2</v>
      </c>
    </row>
    <row r="1097" spans="1:7">
      <c r="A1097" s="54">
        <v>333.15550000000002</v>
      </c>
      <c r="B1097" s="54">
        <v>335.08780000000002</v>
      </c>
      <c r="C1097" s="54">
        <v>332.27190000000002</v>
      </c>
      <c r="D1097" s="54">
        <v>332.69920000000002</v>
      </c>
      <c r="E1097" s="54">
        <v>21963403</v>
      </c>
      <c r="F1097" s="54" t="s">
        <v>1915</v>
      </c>
      <c r="G1097" s="25">
        <f t="shared" si="15"/>
        <v>1.3715091590240647E-3</v>
      </c>
    </row>
    <row r="1098" spans="1:7">
      <c r="A1098" s="54">
        <v>331.3689</v>
      </c>
      <c r="B1098" s="54">
        <v>332.5147</v>
      </c>
      <c r="C1098" s="54">
        <v>327.33929999999998</v>
      </c>
      <c r="D1098" s="54">
        <v>328.36860000000001</v>
      </c>
      <c r="E1098" s="54">
        <v>22463533</v>
      </c>
      <c r="F1098" s="54" t="s">
        <v>1916</v>
      </c>
      <c r="G1098" s="25">
        <f t="shared" si="15"/>
        <v>9.1369881285847665E-3</v>
      </c>
    </row>
    <row r="1099" spans="1:7">
      <c r="A1099" s="54">
        <v>329.28129999999999</v>
      </c>
      <c r="B1099" s="54">
        <v>332.26220000000001</v>
      </c>
      <c r="C1099" s="54">
        <v>328.19380000000001</v>
      </c>
      <c r="D1099" s="54">
        <v>329.10649999999998</v>
      </c>
      <c r="E1099" s="54">
        <v>19053380</v>
      </c>
      <c r="F1099" s="54" t="s">
        <v>1917</v>
      </c>
      <c r="G1099" s="25">
        <f t="shared" si="15"/>
        <v>5.3113505810431505E-4</v>
      </c>
    </row>
    <row r="1100" spans="1:7">
      <c r="A1100" s="54">
        <v>329.05799999999999</v>
      </c>
      <c r="B1100" s="54">
        <v>330.18220000000002</v>
      </c>
      <c r="C1100" s="54">
        <v>325.18110000000001</v>
      </c>
      <c r="D1100" s="54">
        <v>325.34589999999997</v>
      </c>
      <c r="E1100" s="54">
        <v>20886832</v>
      </c>
      <c r="F1100" s="54" t="s">
        <v>1918</v>
      </c>
      <c r="G1100" s="25">
        <f t="shared" si="15"/>
        <v>1.1409702719474835E-2</v>
      </c>
    </row>
    <row r="1101" spans="1:7">
      <c r="A1101" s="54">
        <v>325.72390000000001</v>
      </c>
      <c r="B1101" s="54">
        <v>327.47809999999998</v>
      </c>
      <c r="C1101" s="54">
        <v>323.75049999999999</v>
      </c>
      <c r="D1101" s="54">
        <v>327.14859999999999</v>
      </c>
      <c r="E1101" s="54">
        <v>16723009</v>
      </c>
      <c r="F1101" s="54" t="s">
        <v>1919</v>
      </c>
      <c r="G1101" s="25">
        <f t="shared" si="15"/>
        <v>-4.3549017174457916E-3</v>
      </c>
    </row>
    <row r="1102" spans="1:7">
      <c r="A1102" s="54">
        <v>326.35390000000001</v>
      </c>
      <c r="B1102" s="54">
        <v>326.84820000000002</v>
      </c>
      <c r="C1102" s="54">
        <v>323.51409999999998</v>
      </c>
      <c r="D1102" s="54">
        <v>323.64010000000002</v>
      </c>
      <c r="E1102" s="54">
        <v>23831049</v>
      </c>
      <c r="F1102" s="54" t="s">
        <v>1920</v>
      </c>
      <c r="G1102" s="25">
        <f t="shared" si="15"/>
        <v>8.385240271523875E-3</v>
      </c>
    </row>
    <row r="1103" spans="1:7">
      <c r="A1103" s="54">
        <v>322.19589999999999</v>
      </c>
      <c r="B1103" s="54">
        <v>323.4991</v>
      </c>
      <c r="C1103" s="54">
        <v>320.33499999999998</v>
      </c>
      <c r="D1103" s="54">
        <v>321.05220000000003</v>
      </c>
      <c r="E1103" s="54">
        <v>16849844</v>
      </c>
      <c r="F1103" s="54" t="s">
        <v>1921</v>
      </c>
      <c r="G1103" s="25">
        <f t="shared" si="15"/>
        <v>3.5623490510265921E-3</v>
      </c>
    </row>
    <row r="1104" spans="1:7">
      <c r="A1104" s="54">
        <v>320.61610000000002</v>
      </c>
      <c r="B1104" s="54">
        <v>324.32850000000002</v>
      </c>
      <c r="C1104" s="54">
        <v>319.76319999999998</v>
      </c>
      <c r="D1104" s="54">
        <v>324.27</v>
      </c>
      <c r="E1104" s="54">
        <v>25500938</v>
      </c>
      <c r="F1104" s="54" t="s">
        <v>1922</v>
      </c>
      <c r="G1104" s="25">
        <f t="shared" si="15"/>
        <v>-1.1268079069910786E-2</v>
      </c>
    </row>
    <row r="1105" spans="1:7">
      <c r="A1105" s="54">
        <v>325.60759999999999</v>
      </c>
      <c r="B1105" s="54">
        <v>328.29230000000001</v>
      </c>
      <c r="C1105" s="54">
        <v>324.23129999999998</v>
      </c>
      <c r="D1105" s="54">
        <v>326.72899999999998</v>
      </c>
      <c r="E1105" s="54">
        <v>21307370</v>
      </c>
      <c r="F1105" s="54" t="s">
        <v>1923</v>
      </c>
      <c r="G1105" s="25">
        <f t="shared" si="15"/>
        <v>-3.4322022226370708E-3</v>
      </c>
    </row>
    <row r="1106" spans="1:7">
      <c r="A1106" s="54">
        <v>326.6155</v>
      </c>
      <c r="B1106" s="54">
        <v>327.2552</v>
      </c>
      <c r="C1106" s="54">
        <v>324.14400000000001</v>
      </c>
      <c r="D1106" s="54">
        <v>326.916</v>
      </c>
      <c r="E1106" s="54">
        <v>20897001</v>
      </c>
      <c r="F1106" s="54" t="s">
        <v>1924</v>
      </c>
      <c r="G1106" s="25">
        <f t="shared" si="15"/>
        <v>-9.191963684861415E-4</v>
      </c>
    </row>
    <row r="1107" spans="1:7">
      <c r="A1107" s="54">
        <v>325.71420000000001</v>
      </c>
      <c r="B1107" s="54">
        <v>328.36009999999999</v>
      </c>
      <c r="C1107" s="54">
        <v>324.12630000000001</v>
      </c>
      <c r="D1107" s="54">
        <v>328.08870000000002</v>
      </c>
      <c r="E1107" s="54">
        <v>22570098</v>
      </c>
      <c r="F1107" s="54" t="s">
        <v>1925</v>
      </c>
      <c r="G1107" s="25">
        <f t="shared" si="15"/>
        <v>-7.2373720887065618E-3</v>
      </c>
    </row>
    <row r="1108" spans="1:7">
      <c r="A1108" s="54">
        <v>326.08249999999998</v>
      </c>
      <c r="B1108" s="54">
        <v>326.17939999999999</v>
      </c>
      <c r="C1108" s="54">
        <v>319.36579999999998</v>
      </c>
      <c r="D1108" s="54">
        <v>322.64179999999999</v>
      </c>
      <c r="E1108" s="54">
        <v>23992202</v>
      </c>
      <c r="F1108" s="54" t="s">
        <v>1926</v>
      </c>
      <c r="G1108" s="25">
        <f t="shared" si="15"/>
        <v>1.0664148290767006E-2</v>
      </c>
    </row>
    <row r="1109" spans="1:7">
      <c r="A1109" s="54">
        <v>323.7176</v>
      </c>
      <c r="B1109" s="54">
        <v>324.5899</v>
      </c>
      <c r="C1109" s="54">
        <v>320.47070000000002</v>
      </c>
      <c r="D1109" s="54">
        <v>323.6207</v>
      </c>
      <c r="E1109" s="54">
        <v>21500082</v>
      </c>
      <c r="F1109" s="54" t="s">
        <v>1927</v>
      </c>
      <c r="G1109" s="25">
        <f t="shared" si="15"/>
        <v>2.9942460417387018E-4</v>
      </c>
    </row>
    <row r="1110" spans="1:7">
      <c r="A1110" s="54">
        <v>322.87439999999998</v>
      </c>
      <c r="B1110" s="54">
        <v>323.18450000000001</v>
      </c>
      <c r="C1110" s="54">
        <v>319.84070000000003</v>
      </c>
      <c r="D1110" s="54">
        <v>320.14120000000003</v>
      </c>
      <c r="E1110" s="54">
        <v>26487109</v>
      </c>
      <c r="F1110" s="54" t="s">
        <v>1928</v>
      </c>
      <c r="G1110" s="25">
        <f t="shared" si="15"/>
        <v>8.537482835698551E-3</v>
      </c>
    </row>
    <row r="1111" spans="1:7">
      <c r="A1111" s="54">
        <v>319.23009999999999</v>
      </c>
      <c r="B1111" s="54">
        <v>321.28489999999999</v>
      </c>
      <c r="C1111" s="54">
        <v>316.32249999999999</v>
      </c>
      <c r="D1111" s="54">
        <v>321.154</v>
      </c>
      <c r="E1111" s="54">
        <v>27073182</v>
      </c>
      <c r="F1111" s="54" t="s">
        <v>1929</v>
      </c>
      <c r="G1111" s="25">
        <f t="shared" si="15"/>
        <v>-5.9905839566064545E-3</v>
      </c>
    </row>
    <row r="1112" spans="1:7">
      <c r="A1112" s="54">
        <v>321.41090000000003</v>
      </c>
      <c r="B1112" s="54">
        <v>321.7792</v>
      </c>
      <c r="C1112" s="54">
        <v>313.92849999999999</v>
      </c>
      <c r="D1112" s="54">
        <v>314.15140000000002</v>
      </c>
      <c r="E1112" s="54">
        <v>34765982</v>
      </c>
      <c r="F1112" s="54" t="s">
        <v>1930</v>
      </c>
      <c r="G1112" s="25">
        <f t="shared" ref="G1112:G1175" si="16">A1112/D1112-1</f>
        <v>2.310828473150206E-2</v>
      </c>
    </row>
    <row r="1113" spans="1:7">
      <c r="A1113" s="54">
        <v>314.36470000000003</v>
      </c>
      <c r="B1113" s="54">
        <v>314.86869999999999</v>
      </c>
      <c r="C1113" s="54">
        <v>311.46679999999998</v>
      </c>
      <c r="D1113" s="54">
        <v>314.34039999999999</v>
      </c>
      <c r="E1113" s="54">
        <v>26297943</v>
      </c>
      <c r="F1113" s="54" t="s">
        <v>1931</v>
      </c>
      <c r="G1113" s="25">
        <f t="shared" si="16"/>
        <v>7.7304730795146881E-5</v>
      </c>
    </row>
    <row r="1114" spans="1:7">
      <c r="A1114" s="54">
        <v>313.221</v>
      </c>
      <c r="B1114" s="54">
        <v>316.0582</v>
      </c>
      <c r="C1114" s="54">
        <v>306.27170000000001</v>
      </c>
      <c r="D1114" s="54">
        <v>306.27170000000001</v>
      </c>
      <c r="E1114" s="54">
        <v>52588690</v>
      </c>
      <c r="F1114" s="54" t="s">
        <v>1932</v>
      </c>
      <c r="G1114" s="25">
        <f t="shared" si="16"/>
        <v>2.2689984089290682E-2</v>
      </c>
    </row>
    <row r="1115" spans="1:7">
      <c r="A1115" s="54">
        <v>300.56310000000002</v>
      </c>
      <c r="B1115" s="54">
        <v>302.77769999999998</v>
      </c>
      <c r="C1115" s="54">
        <v>299.09629999999999</v>
      </c>
      <c r="D1115" s="54">
        <v>301.42570000000001</v>
      </c>
      <c r="E1115" s="54">
        <v>28107349</v>
      </c>
      <c r="F1115" s="54" t="s">
        <v>1933</v>
      </c>
      <c r="G1115" s="25">
        <f t="shared" si="16"/>
        <v>-2.8617334221998636E-3</v>
      </c>
    </row>
    <row r="1116" spans="1:7">
      <c r="A1116" s="54">
        <v>298.64400000000001</v>
      </c>
      <c r="B1116" s="54">
        <v>299.87490000000003</v>
      </c>
      <c r="C1116" s="54">
        <v>297.02539999999999</v>
      </c>
      <c r="D1116" s="54">
        <v>299.83609999999999</v>
      </c>
      <c r="E1116" s="54">
        <v>17554469</v>
      </c>
      <c r="F1116" s="54" t="s">
        <v>1934</v>
      </c>
      <c r="G1116" s="25">
        <f t="shared" si="16"/>
        <v>-3.9758387999310196E-3</v>
      </c>
    </row>
    <row r="1117" spans="1:7">
      <c r="A1117" s="54">
        <v>299.64229999999998</v>
      </c>
      <c r="B1117" s="54">
        <v>301.5129</v>
      </c>
      <c r="C1117" s="54">
        <v>298.32420000000002</v>
      </c>
      <c r="D1117" s="54">
        <v>300.84410000000003</v>
      </c>
      <c r="E1117" s="54">
        <v>17449332</v>
      </c>
      <c r="F1117" s="54" t="s">
        <v>1935</v>
      </c>
      <c r="G1117" s="25">
        <f t="shared" si="16"/>
        <v>-3.994760076730941E-3</v>
      </c>
    </row>
    <row r="1118" spans="1:7">
      <c r="A1118" s="54">
        <v>301.19299999999998</v>
      </c>
      <c r="B1118" s="54">
        <v>301.44499999999999</v>
      </c>
      <c r="C1118" s="54">
        <v>296.92849999999999</v>
      </c>
      <c r="D1118" s="54">
        <v>297.71379999999999</v>
      </c>
      <c r="E1118" s="54">
        <v>16918100</v>
      </c>
      <c r="F1118" s="54" t="s">
        <v>1936</v>
      </c>
      <c r="G1118" s="25">
        <f t="shared" si="16"/>
        <v>1.1686391426934062E-2</v>
      </c>
    </row>
    <row r="1119" spans="1:7">
      <c r="A1119" s="54">
        <v>297.94619999999998</v>
      </c>
      <c r="B1119" s="54">
        <v>300.16570000000002</v>
      </c>
      <c r="C1119" s="54">
        <v>296.68619999999999</v>
      </c>
      <c r="D1119" s="54">
        <v>299.69080000000002</v>
      </c>
      <c r="E1119" s="54">
        <v>16537069</v>
      </c>
      <c r="F1119" s="54" t="s">
        <v>1937</v>
      </c>
      <c r="G1119" s="25">
        <f t="shared" si="16"/>
        <v>-5.8213331874052976E-3</v>
      </c>
    </row>
    <row r="1120" spans="1:7">
      <c r="A1120" s="54">
        <v>298.74090000000001</v>
      </c>
      <c r="B1120" s="54">
        <v>299.77800000000002</v>
      </c>
      <c r="C1120" s="54">
        <v>297.762</v>
      </c>
      <c r="D1120" s="54">
        <v>298.8553</v>
      </c>
      <c r="E1120" s="54">
        <v>17682139</v>
      </c>
      <c r="F1120" s="54" t="s">
        <v>1938</v>
      </c>
      <c r="G1120" s="25">
        <f t="shared" si="16"/>
        <v>-3.8279394743878647E-4</v>
      </c>
    </row>
    <row r="1121" spans="1:7">
      <c r="A1121" s="54">
        <v>297.82990000000001</v>
      </c>
      <c r="B1121" s="54">
        <v>298.72160000000002</v>
      </c>
      <c r="C1121" s="54">
        <v>293.37150000000003</v>
      </c>
      <c r="D1121" s="54">
        <v>294.2244</v>
      </c>
      <c r="E1121" s="54">
        <v>22729297</v>
      </c>
      <c r="F1121" s="54" t="s">
        <v>1939</v>
      </c>
      <c r="G1121" s="25">
        <f t="shared" si="16"/>
        <v>1.2254252196622684E-2</v>
      </c>
    </row>
    <row r="1122" spans="1:7">
      <c r="A1122" s="54">
        <v>294.84469999999999</v>
      </c>
      <c r="B1122" s="54">
        <v>295.07729999999998</v>
      </c>
      <c r="C1122" s="54">
        <v>291.26740000000001</v>
      </c>
      <c r="D1122" s="54">
        <v>293.03230000000002</v>
      </c>
      <c r="E1122" s="54">
        <v>25384803</v>
      </c>
      <c r="F1122" s="54" t="s">
        <v>1940</v>
      </c>
      <c r="G1122" s="25">
        <f t="shared" si="16"/>
        <v>6.1849837031615618E-3</v>
      </c>
    </row>
    <row r="1123" spans="1:7">
      <c r="A1123" s="54">
        <v>293.42959999999999</v>
      </c>
      <c r="B1123" s="54">
        <v>293.93360000000001</v>
      </c>
      <c r="C1123" s="54">
        <v>288.66109999999998</v>
      </c>
      <c r="D1123" s="54">
        <v>289.99860000000001</v>
      </c>
      <c r="E1123" s="54">
        <v>27262902</v>
      </c>
      <c r="F1123" s="54" t="s">
        <v>1941</v>
      </c>
      <c r="G1123" s="25">
        <f t="shared" si="16"/>
        <v>1.1831091598373256E-2</v>
      </c>
    </row>
    <row r="1124" spans="1:7">
      <c r="A1124" s="54">
        <v>287.18790000000001</v>
      </c>
      <c r="B1124" s="54">
        <v>288.12799999999999</v>
      </c>
      <c r="C1124" s="54">
        <v>284.4547</v>
      </c>
      <c r="D1124" s="54">
        <v>285.83100000000002</v>
      </c>
      <c r="E1124" s="54">
        <v>23424025</v>
      </c>
      <c r="F1124" s="54" t="s">
        <v>1942</v>
      </c>
      <c r="G1124" s="25">
        <f t="shared" si="16"/>
        <v>4.747210764402654E-3</v>
      </c>
    </row>
    <row r="1125" spans="1:7">
      <c r="A1125" s="54">
        <v>283.86349999999999</v>
      </c>
      <c r="B1125" s="54">
        <v>286.34469999999999</v>
      </c>
      <c r="C1125" s="54">
        <v>283.34980000000002</v>
      </c>
      <c r="D1125" s="54">
        <v>286.24779999999998</v>
      </c>
      <c r="E1125" s="54">
        <v>17974143</v>
      </c>
      <c r="F1125" s="54" t="s">
        <v>1943</v>
      </c>
      <c r="G1125" s="25">
        <f t="shared" si="16"/>
        <v>-8.3294963315001525E-3</v>
      </c>
    </row>
    <row r="1126" spans="1:7">
      <c r="A1126" s="54">
        <v>285.17189999999999</v>
      </c>
      <c r="B1126" s="54">
        <v>288.79680000000002</v>
      </c>
      <c r="C1126" s="54">
        <v>283.73270000000002</v>
      </c>
      <c r="D1126" s="54">
        <v>283.90230000000003</v>
      </c>
      <c r="E1126" s="54">
        <v>19298634</v>
      </c>
      <c r="F1126" s="54" t="s">
        <v>1944</v>
      </c>
      <c r="G1126" s="25">
        <f t="shared" si="16"/>
        <v>4.4719609527643644E-3</v>
      </c>
    </row>
    <row r="1127" spans="1:7">
      <c r="A1127" s="54">
        <v>285.77280000000002</v>
      </c>
      <c r="B1127" s="54">
        <v>287.5086</v>
      </c>
      <c r="C1127" s="54">
        <v>284.71640000000002</v>
      </c>
      <c r="D1127" s="54">
        <v>287.09969999999998</v>
      </c>
      <c r="E1127" s="54">
        <v>17685700</v>
      </c>
      <c r="F1127" s="54" t="s">
        <v>1945</v>
      </c>
      <c r="G1127" s="25">
        <f t="shared" si="16"/>
        <v>-4.621739416655446E-3</v>
      </c>
    </row>
    <row r="1128" spans="1:7">
      <c r="A1128" s="54">
        <v>285.77280000000002</v>
      </c>
      <c r="B1128" s="54">
        <v>287.5077</v>
      </c>
      <c r="C1128" s="54">
        <v>284.87150000000003</v>
      </c>
      <c r="D1128" s="54">
        <v>286.08780000000002</v>
      </c>
      <c r="E1128" s="54">
        <v>20430471</v>
      </c>
      <c r="F1128" s="54" t="s">
        <v>1946</v>
      </c>
      <c r="G1128" s="25">
        <f t="shared" si="16"/>
        <v>-1.101060583499236E-3</v>
      </c>
    </row>
    <row r="1129" spans="1:7">
      <c r="A1129" s="54">
        <v>284.08640000000003</v>
      </c>
      <c r="B1129" s="54">
        <v>284.59039999999999</v>
      </c>
      <c r="C1129" s="54">
        <v>276.71969999999999</v>
      </c>
      <c r="D1129" s="54">
        <v>276.9821</v>
      </c>
      <c r="E1129" s="54">
        <v>28002559</v>
      </c>
      <c r="F1129" s="54" t="s">
        <v>1947</v>
      </c>
      <c r="G1129" s="25">
        <f t="shared" si="16"/>
        <v>2.5648949877988603E-2</v>
      </c>
    </row>
    <row r="1130" spans="1:7">
      <c r="A1130" s="54">
        <v>279.87029999999999</v>
      </c>
      <c r="B1130" s="54">
        <v>281.4579</v>
      </c>
      <c r="C1130" s="54">
        <v>275.30180000000001</v>
      </c>
      <c r="D1130" s="54">
        <v>275.30180000000001</v>
      </c>
      <c r="E1130" s="54">
        <v>24993024</v>
      </c>
      <c r="F1130" s="54" t="s">
        <v>1948</v>
      </c>
      <c r="G1130" s="25">
        <f t="shared" si="16"/>
        <v>1.6594515546211275E-2</v>
      </c>
    </row>
    <row r="1131" spans="1:7">
      <c r="A1131" s="54">
        <v>274.39429999999999</v>
      </c>
      <c r="B1131" s="54">
        <v>278.89139999999998</v>
      </c>
      <c r="C1131" s="54">
        <v>271.6223</v>
      </c>
      <c r="D1131" s="54">
        <v>278.55220000000003</v>
      </c>
      <c r="E1131" s="54">
        <v>31350747</v>
      </c>
      <c r="F1131" s="54" t="s">
        <v>1949</v>
      </c>
      <c r="G1131" s="25">
        <f t="shared" si="16"/>
        <v>-1.4926825205473282E-2</v>
      </c>
    </row>
    <row r="1132" spans="1:7">
      <c r="A1132" s="54">
        <v>280.19990000000001</v>
      </c>
      <c r="B1132" s="54">
        <v>281.05279999999999</v>
      </c>
      <c r="C1132" s="54">
        <v>272.63029999999998</v>
      </c>
      <c r="D1132" s="54">
        <v>273.43639999999999</v>
      </c>
      <c r="E1132" s="54">
        <v>30086280</v>
      </c>
      <c r="F1132" s="54" t="s">
        <v>1950</v>
      </c>
      <c r="G1132" s="25">
        <f t="shared" si="16"/>
        <v>2.47351852204023E-2</v>
      </c>
    </row>
    <row r="1133" spans="1:7">
      <c r="A1133" s="54">
        <v>273.24090000000001</v>
      </c>
      <c r="B1133" s="54">
        <v>278.96899999999999</v>
      </c>
      <c r="C1133" s="54">
        <v>272.95010000000002</v>
      </c>
      <c r="D1133" s="54">
        <v>276.91419999999999</v>
      </c>
      <c r="E1133" s="54">
        <v>32343635</v>
      </c>
      <c r="F1133" s="54" t="s">
        <v>1951</v>
      </c>
      <c r="G1133" s="25">
        <f t="shared" si="16"/>
        <v>-1.3265119665224812E-2</v>
      </c>
    </row>
    <row r="1134" spans="1:7">
      <c r="A1134" s="54">
        <v>275.25689999999997</v>
      </c>
      <c r="B1134" s="54">
        <v>277.94159999999999</v>
      </c>
      <c r="C1134" s="54">
        <v>274.29730000000001</v>
      </c>
      <c r="D1134" s="54">
        <v>276.32299999999998</v>
      </c>
      <c r="E1134" s="54">
        <v>26353696</v>
      </c>
      <c r="F1134" s="54" t="s">
        <v>1952</v>
      </c>
      <c r="G1134" s="25">
        <f t="shared" si="16"/>
        <v>-3.858165986906692E-3</v>
      </c>
    </row>
    <row r="1135" spans="1:7">
      <c r="A1135" s="54">
        <v>274.79160000000002</v>
      </c>
      <c r="B1135" s="54">
        <v>281.82810000000001</v>
      </c>
      <c r="C1135" s="54">
        <v>274.04539999999997</v>
      </c>
      <c r="D1135" s="54">
        <v>280.87349999999998</v>
      </c>
      <c r="E1135" s="54">
        <v>43186237</v>
      </c>
      <c r="F1135" s="54" t="s">
        <v>1953</v>
      </c>
      <c r="G1135" s="25">
        <f t="shared" si="16"/>
        <v>-2.1653520179012786E-2</v>
      </c>
    </row>
    <row r="1136" spans="1:7">
      <c r="A1136" s="54">
        <v>285.11380000000003</v>
      </c>
      <c r="B1136" s="54">
        <v>287.34300000000002</v>
      </c>
      <c r="C1136" s="54">
        <v>283.9264</v>
      </c>
      <c r="D1136" s="54">
        <v>287.0231</v>
      </c>
      <c r="E1136" s="54">
        <v>23571742</v>
      </c>
      <c r="F1136" s="54" t="s">
        <v>1954</v>
      </c>
      <c r="G1136" s="25">
        <f t="shared" si="16"/>
        <v>-6.6520778292756821E-3</v>
      </c>
    </row>
    <row r="1137" spans="1:7">
      <c r="A1137" s="54">
        <v>290.1343</v>
      </c>
      <c r="B1137" s="54">
        <v>290.57049999999998</v>
      </c>
      <c r="C1137" s="54">
        <v>287.78879999999998</v>
      </c>
      <c r="D1137" s="54">
        <v>289.04880000000003</v>
      </c>
      <c r="E1137" s="54">
        <v>14998978</v>
      </c>
      <c r="F1137" s="54" t="s">
        <v>1955</v>
      </c>
      <c r="G1137" s="25">
        <f t="shared" si="16"/>
        <v>3.7554212299097944E-3</v>
      </c>
    </row>
    <row r="1138" spans="1:7">
      <c r="A1138" s="54">
        <v>290.33780000000002</v>
      </c>
      <c r="B1138" s="54">
        <v>291.63659999999999</v>
      </c>
      <c r="C1138" s="54">
        <v>288.3741</v>
      </c>
      <c r="D1138" s="54">
        <v>289.64490000000001</v>
      </c>
      <c r="E1138" s="54">
        <v>18604601</v>
      </c>
      <c r="F1138" s="54" t="s">
        <v>1956</v>
      </c>
      <c r="G1138" s="25">
        <f t="shared" si="16"/>
        <v>2.3922396009734559E-3</v>
      </c>
    </row>
    <row r="1139" spans="1:7">
      <c r="A1139" s="54">
        <v>289.38799999999998</v>
      </c>
      <c r="B1139" s="54">
        <v>290.97750000000002</v>
      </c>
      <c r="C1139" s="54">
        <v>285.44330000000002</v>
      </c>
      <c r="D1139" s="54">
        <v>287.59010000000001</v>
      </c>
      <c r="E1139" s="54">
        <v>26626342</v>
      </c>
      <c r="F1139" s="54" t="s">
        <v>1957</v>
      </c>
      <c r="G1139" s="25">
        <f t="shared" si="16"/>
        <v>6.2516060184267808E-3</v>
      </c>
    </row>
    <row r="1140" spans="1:7">
      <c r="A1140" s="54">
        <v>285.7244</v>
      </c>
      <c r="B1140" s="54">
        <v>288.38</v>
      </c>
      <c r="C1140" s="54">
        <v>285.01690000000002</v>
      </c>
      <c r="D1140" s="54">
        <v>286.58699999999999</v>
      </c>
      <c r="E1140" s="54">
        <v>22364103</v>
      </c>
      <c r="F1140" s="54" t="s">
        <v>1958</v>
      </c>
      <c r="G1140" s="25">
        <f t="shared" si="16"/>
        <v>-3.0099062413856403E-3</v>
      </c>
    </row>
    <row r="1141" spans="1:7">
      <c r="A1141" s="54">
        <v>285.2398</v>
      </c>
      <c r="B1141" s="54">
        <v>289.52370000000002</v>
      </c>
      <c r="C1141" s="54">
        <v>280.6069</v>
      </c>
      <c r="D1141" s="54">
        <v>287.20729999999998</v>
      </c>
      <c r="E1141" s="54">
        <v>38278661</v>
      </c>
      <c r="F1141" s="54" t="s">
        <v>1959</v>
      </c>
      <c r="G1141" s="25">
        <f t="shared" si="16"/>
        <v>-6.8504526173254199E-3</v>
      </c>
    </row>
    <row r="1142" spans="1:7">
      <c r="A1142" s="54">
        <v>290.63830000000002</v>
      </c>
      <c r="B1142" s="54">
        <v>295.12580000000003</v>
      </c>
      <c r="C1142" s="54">
        <v>290.30880000000002</v>
      </c>
      <c r="D1142" s="54">
        <v>294.80590000000001</v>
      </c>
      <c r="E1142" s="54">
        <v>41372457</v>
      </c>
      <c r="F1142" s="54" t="s">
        <v>1960</v>
      </c>
      <c r="G1142" s="25">
        <f t="shared" si="16"/>
        <v>-1.4136759135417565E-2</v>
      </c>
    </row>
    <row r="1143" spans="1:7">
      <c r="A1143" s="54">
        <v>295.8236</v>
      </c>
      <c r="B1143" s="54">
        <v>295.91079999999999</v>
      </c>
      <c r="C1143" s="54">
        <v>291.5009</v>
      </c>
      <c r="D1143" s="54">
        <v>294.4085</v>
      </c>
      <c r="E1143" s="54">
        <v>19550815</v>
      </c>
      <c r="F1143" s="54" t="s">
        <v>1961</v>
      </c>
      <c r="G1143" s="25">
        <f t="shared" si="16"/>
        <v>4.8065867663467099E-3</v>
      </c>
    </row>
    <row r="1144" spans="1:7">
      <c r="A1144" s="54">
        <v>295.4359</v>
      </c>
      <c r="B1144" s="54">
        <v>295.9205</v>
      </c>
      <c r="C1144" s="54">
        <v>292.5283</v>
      </c>
      <c r="D1144" s="54">
        <v>293.9239</v>
      </c>
      <c r="E1144" s="54">
        <v>28356304</v>
      </c>
      <c r="F1144" s="54" t="s">
        <v>1962</v>
      </c>
      <c r="G1144" s="25">
        <f t="shared" si="16"/>
        <v>5.1441886828529348E-3</v>
      </c>
    </row>
    <row r="1145" spans="1:7">
      <c r="A1145" s="54">
        <v>290.56079999999997</v>
      </c>
      <c r="B1145" s="54">
        <v>292.11149999999998</v>
      </c>
      <c r="C1145" s="54">
        <v>288.9228</v>
      </c>
      <c r="D1145" s="54">
        <v>290.33780000000002</v>
      </c>
      <c r="E1145" s="54">
        <v>21853433</v>
      </c>
      <c r="F1145" s="54" t="s">
        <v>1963</v>
      </c>
      <c r="G1145" s="25">
        <f t="shared" si="16"/>
        <v>7.6807084713026441E-4</v>
      </c>
    </row>
    <row r="1146" spans="1:7">
      <c r="A1146" s="54">
        <v>287.84699999999998</v>
      </c>
      <c r="B1146" s="54">
        <v>289.3492</v>
      </c>
      <c r="C1146" s="54">
        <v>285.02659999999997</v>
      </c>
      <c r="D1146" s="54">
        <v>288.3897</v>
      </c>
      <c r="E1146" s="54">
        <v>23652949</v>
      </c>
      <c r="F1146" s="54" t="s">
        <v>1964</v>
      </c>
      <c r="G1146" s="25">
        <f t="shared" si="16"/>
        <v>-1.8818286506072646E-3</v>
      </c>
    </row>
    <row r="1147" spans="1:7">
      <c r="A1147" s="54">
        <v>286.60640000000001</v>
      </c>
      <c r="B1147" s="54">
        <v>290.68680000000001</v>
      </c>
      <c r="C1147" s="54">
        <v>286.28649999999999</v>
      </c>
      <c r="D1147" s="54">
        <v>289.22809999999998</v>
      </c>
      <c r="E1147" s="54">
        <v>19633363</v>
      </c>
      <c r="F1147" s="54" t="s">
        <v>1965</v>
      </c>
      <c r="G1147" s="25">
        <f t="shared" si="16"/>
        <v>-9.064471951376718E-3</v>
      </c>
    </row>
    <row r="1148" spans="1:7">
      <c r="A1148" s="54">
        <v>288.09899999999999</v>
      </c>
      <c r="B1148" s="54">
        <v>292.83839999999998</v>
      </c>
      <c r="C1148" s="54">
        <v>287.85669999999999</v>
      </c>
      <c r="D1148" s="54">
        <v>291.5591</v>
      </c>
      <c r="E1148" s="54">
        <v>19927000</v>
      </c>
      <c r="F1148" s="54" t="s">
        <v>1966</v>
      </c>
      <c r="G1148" s="25">
        <f t="shared" si="16"/>
        <v>-1.1867576762309984E-2</v>
      </c>
    </row>
    <row r="1149" spans="1:7">
      <c r="A1149" s="54">
        <v>290.96780000000001</v>
      </c>
      <c r="B1149" s="54">
        <v>291.35550000000001</v>
      </c>
      <c r="C1149" s="54">
        <v>288.30739999999997</v>
      </c>
      <c r="D1149" s="54">
        <v>290.55110000000002</v>
      </c>
      <c r="E1149" s="54">
        <v>15046819</v>
      </c>
      <c r="F1149" s="54" t="s">
        <v>1967</v>
      </c>
      <c r="G1149" s="25">
        <f t="shared" si="16"/>
        <v>1.4341711320313699E-3</v>
      </c>
    </row>
    <row r="1150" spans="1:7">
      <c r="A1150" s="54">
        <v>290.93880000000001</v>
      </c>
      <c r="B1150" s="54">
        <v>291.82069999999999</v>
      </c>
      <c r="C1150" s="54">
        <v>289.0197</v>
      </c>
      <c r="D1150" s="54">
        <v>291.73840000000001</v>
      </c>
      <c r="E1150" s="54">
        <v>17184083</v>
      </c>
      <c r="F1150" s="54" t="s">
        <v>1968</v>
      </c>
      <c r="G1150" s="25">
        <f t="shared" si="16"/>
        <v>-2.7408116312421793E-3</v>
      </c>
    </row>
    <row r="1151" spans="1:7">
      <c r="A1151" s="54">
        <v>291.86919999999998</v>
      </c>
      <c r="B1151" s="54">
        <v>293.28429999999997</v>
      </c>
      <c r="C1151" s="54">
        <v>291.0163</v>
      </c>
      <c r="D1151" s="54">
        <v>291.72379999999998</v>
      </c>
      <c r="E1151" s="54">
        <v>14751610</v>
      </c>
      <c r="F1151" s="54" t="s">
        <v>1969</v>
      </c>
      <c r="G1151" s="25">
        <f t="shared" si="16"/>
        <v>4.9841665301220139E-4</v>
      </c>
    </row>
    <row r="1152" spans="1:7">
      <c r="A1152" s="54">
        <v>291.87889999999999</v>
      </c>
      <c r="B1152" s="54">
        <v>294.02109999999999</v>
      </c>
      <c r="C1152" s="54">
        <v>290.93880000000001</v>
      </c>
      <c r="D1152" s="54">
        <v>292.89659999999998</v>
      </c>
      <c r="E1152" s="54">
        <v>16290545</v>
      </c>
      <c r="F1152" s="54" t="s">
        <v>1970</v>
      </c>
      <c r="G1152" s="25">
        <f t="shared" si="16"/>
        <v>-3.4746050312635113E-3</v>
      </c>
    </row>
    <row r="1153" spans="1:7">
      <c r="A1153" s="54">
        <v>292.53800000000001</v>
      </c>
      <c r="B1153" s="54">
        <v>295.79450000000003</v>
      </c>
      <c r="C1153" s="54">
        <v>292.20839999999998</v>
      </c>
      <c r="D1153" s="54">
        <v>293.54109999999997</v>
      </c>
      <c r="E1153" s="54">
        <v>18983826</v>
      </c>
      <c r="F1153" s="54" t="s">
        <v>1971</v>
      </c>
      <c r="G1153" s="25">
        <f t="shared" si="16"/>
        <v>-3.4172386762874041E-3</v>
      </c>
    </row>
    <row r="1154" spans="1:7">
      <c r="A1154" s="54">
        <v>292.58640000000003</v>
      </c>
      <c r="B1154" s="54">
        <v>295.12580000000003</v>
      </c>
      <c r="C1154" s="54">
        <v>292.21809999999999</v>
      </c>
      <c r="D1154" s="54">
        <v>295.04820000000001</v>
      </c>
      <c r="E1154" s="54">
        <v>26285338</v>
      </c>
      <c r="F1154" s="54" t="s">
        <v>1972</v>
      </c>
      <c r="G1154" s="25">
        <f t="shared" si="16"/>
        <v>-8.3437214665263992E-3</v>
      </c>
    </row>
    <row r="1155" spans="1:7">
      <c r="A1155" s="54">
        <v>294.24380000000002</v>
      </c>
      <c r="B1155" s="54">
        <v>294.8544</v>
      </c>
      <c r="C1155" s="54">
        <v>291.79169999999999</v>
      </c>
      <c r="D1155" s="54">
        <v>291.84500000000003</v>
      </c>
      <c r="E1155" s="54">
        <v>16348072</v>
      </c>
      <c r="F1155" s="54" t="s">
        <v>1973</v>
      </c>
      <c r="G1155" s="25">
        <f t="shared" si="16"/>
        <v>8.2194315475681012E-3</v>
      </c>
    </row>
    <row r="1156" spans="1:7">
      <c r="A1156" s="54">
        <v>290.49290000000002</v>
      </c>
      <c r="B1156" s="54">
        <v>291.60750000000002</v>
      </c>
      <c r="C1156" s="54">
        <v>287.69189999999998</v>
      </c>
      <c r="D1156" s="54">
        <v>289.78250000000003</v>
      </c>
      <c r="E1156" s="54">
        <v>22605726</v>
      </c>
      <c r="F1156" s="54" t="s">
        <v>1974</v>
      </c>
      <c r="G1156" s="25">
        <f t="shared" si="16"/>
        <v>2.4514937927584413E-3</v>
      </c>
    </row>
    <row r="1157" spans="1:7">
      <c r="A1157" s="54">
        <v>289.88229999999999</v>
      </c>
      <c r="B1157" s="54">
        <v>293.11849999999998</v>
      </c>
      <c r="C1157" s="54">
        <v>289.7466</v>
      </c>
      <c r="D1157" s="54">
        <v>291.72379999999998</v>
      </c>
      <c r="E1157" s="54">
        <v>17666084</v>
      </c>
      <c r="F1157" s="54" t="s">
        <v>1975</v>
      </c>
      <c r="G1157" s="25">
        <f t="shared" si="16"/>
        <v>-6.3124777614990135E-3</v>
      </c>
    </row>
    <row r="1158" spans="1:7">
      <c r="A1158" s="54">
        <v>292.7124</v>
      </c>
      <c r="B1158" s="54">
        <v>295.21300000000002</v>
      </c>
      <c r="C1158" s="54">
        <v>291.17140000000001</v>
      </c>
      <c r="D1158" s="54">
        <v>294.93189999999998</v>
      </c>
      <c r="E1158" s="54">
        <v>20006057</v>
      </c>
      <c r="F1158" s="54" t="s">
        <v>1976</v>
      </c>
      <c r="G1158" s="25">
        <f t="shared" si="16"/>
        <v>-7.5254660482639846E-3</v>
      </c>
    </row>
    <row r="1159" spans="1:7">
      <c r="A1159" s="54">
        <v>293.30360000000002</v>
      </c>
      <c r="B1159" s="54">
        <v>296.24040000000002</v>
      </c>
      <c r="C1159" s="54">
        <v>292.70609999999999</v>
      </c>
      <c r="D1159" s="54">
        <v>295.62979999999999</v>
      </c>
      <c r="E1159" s="54">
        <v>18175774</v>
      </c>
      <c r="F1159" s="54" t="s">
        <v>1977</v>
      </c>
      <c r="G1159" s="25">
        <f t="shared" si="16"/>
        <v>-7.8686248815240667E-3</v>
      </c>
    </row>
    <row r="1160" spans="1:7">
      <c r="A1160" s="54">
        <v>295.27109999999999</v>
      </c>
      <c r="B1160" s="54">
        <v>295.99810000000002</v>
      </c>
      <c r="C1160" s="54">
        <v>292.5573</v>
      </c>
      <c r="D1160" s="54">
        <v>293.90940000000001</v>
      </c>
      <c r="E1160" s="54">
        <v>22830157</v>
      </c>
      <c r="F1160" s="54" t="s">
        <v>1978</v>
      </c>
      <c r="G1160" s="25">
        <f t="shared" si="16"/>
        <v>4.6330603920798907E-3</v>
      </c>
    </row>
    <row r="1161" spans="1:7">
      <c r="A1161" s="54">
        <v>294.99009999999998</v>
      </c>
      <c r="B1161" s="54">
        <v>296.42450000000002</v>
      </c>
      <c r="C1161" s="54">
        <v>288.88400000000001</v>
      </c>
      <c r="D1161" s="54">
        <v>290.49290000000002</v>
      </c>
      <c r="E1161" s="54">
        <v>40817646</v>
      </c>
      <c r="F1161" s="54" t="s">
        <v>1979</v>
      </c>
      <c r="G1161" s="25">
        <f t="shared" si="16"/>
        <v>1.5481273380519633E-2</v>
      </c>
    </row>
    <row r="1162" spans="1:7">
      <c r="A1162" s="54">
        <v>287.63369999999998</v>
      </c>
      <c r="B1162" s="54">
        <v>288.31220000000002</v>
      </c>
      <c r="C1162" s="54">
        <v>279.75400000000002</v>
      </c>
      <c r="D1162" s="54">
        <v>279.80590000000001</v>
      </c>
      <c r="E1162" s="54">
        <v>29850461</v>
      </c>
      <c r="F1162" s="54" t="s">
        <v>1980</v>
      </c>
      <c r="G1162" s="25">
        <f t="shared" si="16"/>
        <v>2.7975821810762191E-2</v>
      </c>
    </row>
    <row r="1163" spans="1:7">
      <c r="A1163" s="54">
        <v>281.77969999999999</v>
      </c>
      <c r="B1163" s="54">
        <v>285.74380000000002</v>
      </c>
      <c r="C1163" s="54">
        <v>281.3338</v>
      </c>
      <c r="D1163" s="54">
        <v>283.04939999999999</v>
      </c>
      <c r="E1163" s="54">
        <v>21812985</v>
      </c>
      <c r="F1163" s="54" t="s">
        <v>1981</v>
      </c>
      <c r="G1163" s="25">
        <f t="shared" si="16"/>
        <v>-4.4857894063721204E-3</v>
      </c>
    </row>
    <row r="1164" spans="1:7">
      <c r="A1164" s="54">
        <v>283.51459999999997</v>
      </c>
      <c r="B1164" s="54">
        <v>283.85320000000002</v>
      </c>
      <c r="C1164" s="54">
        <v>281.57990000000001</v>
      </c>
      <c r="D1164" s="54">
        <v>282.84710000000001</v>
      </c>
      <c r="E1164" s="54">
        <v>20075250</v>
      </c>
      <c r="F1164" s="54" t="s">
        <v>1982</v>
      </c>
      <c r="G1164" s="25">
        <f t="shared" si="16"/>
        <v>2.3599322743630413E-3</v>
      </c>
    </row>
    <row r="1165" spans="1:7">
      <c r="A1165" s="54">
        <v>284.98500000000001</v>
      </c>
      <c r="B1165" s="54">
        <v>285.19779999999997</v>
      </c>
      <c r="C1165" s="54">
        <v>280.55439999999999</v>
      </c>
      <c r="D1165" s="54">
        <v>283.62099999999998</v>
      </c>
      <c r="E1165" s="54">
        <v>22516027</v>
      </c>
      <c r="F1165" s="54" t="s">
        <v>1983</v>
      </c>
      <c r="G1165" s="25">
        <f t="shared" si="16"/>
        <v>4.8092348591959322E-3</v>
      </c>
    </row>
    <row r="1166" spans="1:7">
      <c r="A1166" s="54">
        <v>283.2921</v>
      </c>
      <c r="B1166" s="54">
        <v>283.34050000000002</v>
      </c>
      <c r="C1166" s="54">
        <v>279.85789999999997</v>
      </c>
      <c r="D1166" s="54">
        <v>280.03210000000001</v>
      </c>
      <c r="E1166" s="54">
        <v>18249046</v>
      </c>
      <c r="F1166" s="54" t="s">
        <v>1984</v>
      </c>
      <c r="G1166" s="25">
        <f t="shared" si="16"/>
        <v>1.1641522525453363E-2</v>
      </c>
    </row>
    <row r="1167" spans="1:7">
      <c r="A1167" s="54">
        <v>280.35129999999998</v>
      </c>
      <c r="B1167" s="54">
        <v>280.5061</v>
      </c>
      <c r="C1167" s="54">
        <v>276.99459999999999</v>
      </c>
      <c r="D1167" s="54">
        <v>277.27510000000001</v>
      </c>
      <c r="E1167" s="54">
        <v>14570391</v>
      </c>
      <c r="F1167" s="54" t="s">
        <v>1985</v>
      </c>
      <c r="G1167" s="25">
        <f t="shared" si="16"/>
        <v>1.1094396864341549E-2</v>
      </c>
    </row>
    <row r="1168" spans="1:7">
      <c r="A1168" s="54">
        <v>277.58460000000002</v>
      </c>
      <c r="B1168" s="54">
        <v>279.23880000000003</v>
      </c>
      <c r="C1168" s="54">
        <v>276.53019999999998</v>
      </c>
      <c r="D1168" s="54">
        <v>277.83620000000002</v>
      </c>
      <c r="E1168" s="54">
        <v>13955934</v>
      </c>
      <c r="F1168" s="54" t="s">
        <v>1986</v>
      </c>
      <c r="G1168" s="25">
        <f t="shared" si="16"/>
        <v>-9.0556954061415951E-4</v>
      </c>
    </row>
    <row r="1169" spans="1:7">
      <c r="A1169" s="54">
        <v>277.09129999999999</v>
      </c>
      <c r="B1169" s="54">
        <v>279.80959999999999</v>
      </c>
      <c r="C1169" s="54">
        <v>275.89179999999999</v>
      </c>
      <c r="D1169" s="54">
        <v>279.37430000000001</v>
      </c>
      <c r="E1169" s="54">
        <v>18616578</v>
      </c>
      <c r="F1169" s="54" t="s">
        <v>1987</v>
      </c>
      <c r="G1169" s="25">
        <f t="shared" si="16"/>
        <v>-8.1718325558221006E-3</v>
      </c>
    </row>
    <row r="1170" spans="1:7">
      <c r="A1170" s="54">
        <v>278.9196</v>
      </c>
      <c r="B1170" s="54">
        <v>282.03449999999998</v>
      </c>
      <c r="C1170" s="54">
        <v>278.41660000000002</v>
      </c>
      <c r="D1170" s="54">
        <v>280.29329999999999</v>
      </c>
      <c r="E1170" s="54">
        <v>16117629</v>
      </c>
      <c r="F1170" s="54" t="s">
        <v>1988</v>
      </c>
      <c r="G1170" s="25">
        <f t="shared" si="16"/>
        <v>-4.9009376963344842E-3</v>
      </c>
    </row>
    <row r="1171" spans="1:7">
      <c r="A1171" s="54">
        <v>280.0127</v>
      </c>
      <c r="B1171" s="54">
        <v>280.0514</v>
      </c>
      <c r="C1171" s="54">
        <v>278.23649999999998</v>
      </c>
      <c r="D1171" s="54">
        <v>279.08890000000002</v>
      </c>
      <c r="E1171" s="54">
        <v>16589336</v>
      </c>
      <c r="F1171" s="54" t="s">
        <v>1989</v>
      </c>
      <c r="G1171" s="25">
        <f t="shared" si="16"/>
        <v>3.3100564013830436E-3</v>
      </c>
    </row>
    <row r="1172" spans="1:7">
      <c r="A1172" s="54">
        <v>280.07080000000002</v>
      </c>
      <c r="B1172" s="54">
        <v>280.17720000000003</v>
      </c>
      <c r="C1172" s="54">
        <v>276.76240000000001</v>
      </c>
      <c r="D1172" s="54">
        <v>277.51690000000002</v>
      </c>
      <c r="E1172" s="54">
        <v>13900167</v>
      </c>
      <c r="F1172" s="54" t="s">
        <v>1990</v>
      </c>
      <c r="G1172" s="25">
        <f t="shared" si="16"/>
        <v>9.2026827915705489E-3</v>
      </c>
    </row>
    <row r="1173" spans="1:7">
      <c r="A1173" s="54">
        <v>277.15899999999999</v>
      </c>
      <c r="B1173" s="54">
        <v>278.20209999999997</v>
      </c>
      <c r="C1173" s="54">
        <v>275.35969999999998</v>
      </c>
      <c r="D1173" s="54">
        <v>276.87849999999997</v>
      </c>
      <c r="E1173" s="54">
        <v>16191301</v>
      </c>
      <c r="F1173" s="54" t="s">
        <v>1991</v>
      </c>
      <c r="G1173" s="25">
        <f t="shared" si="16"/>
        <v>1.0130797443643758E-3</v>
      </c>
    </row>
    <row r="1174" spans="1:7">
      <c r="A1174" s="54">
        <v>277.7491</v>
      </c>
      <c r="B1174" s="54">
        <v>277.85550000000001</v>
      </c>
      <c r="C1174" s="54">
        <v>274.73090000000002</v>
      </c>
      <c r="D1174" s="54">
        <v>276.1046</v>
      </c>
      <c r="E1174" s="54">
        <v>17879048</v>
      </c>
      <c r="F1174" s="54" t="s">
        <v>1992</v>
      </c>
      <c r="G1174" s="25">
        <f t="shared" si="16"/>
        <v>5.9560760668240231E-3</v>
      </c>
    </row>
    <row r="1175" spans="1:7">
      <c r="A1175" s="54">
        <v>275.52420000000001</v>
      </c>
      <c r="B1175" s="54">
        <v>277.41539999999998</v>
      </c>
      <c r="C1175" s="54">
        <v>274.4794</v>
      </c>
      <c r="D1175" s="54">
        <v>277.01389999999998</v>
      </c>
      <c r="E1175" s="54">
        <v>16267357</v>
      </c>
      <c r="F1175" s="54" t="s">
        <v>1993</v>
      </c>
      <c r="G1175" s="25">
        <f t="shared" si="16"/>
        <v>-5.3777084832203892E-3</v>
      </c>
    </row>
    <row r="1176" spans="1:7">
      <c r="A1176" s="54">
        <v>275.6112</v>
      </c>
      <c r="B1176" s="54">
        <v>277.30410000000001</v>
      </c>
      <c r="C1176" s="54">
        <v>274.64389999999997</v>
      </c>
      <c r="D1176" s="54">
        <v>275.86270000000002</v>
      </c>
      <c r="E1176" s="54">
        <v>20944846</v>
      </c>
      <c r="F1176" s="54" t="s">
        <v>1994</v>
      </c>
      <c r="G1176" s="25">
        <f t="shared" ref="G1176:G1239" si="17">A1176/D1176-1</f>
        <v>-9.1168541451969176E-4</v>
      </c>
    </row>
    <row r="1177" spans="1:7">
      <c r="A1177" s="54">
        <v>277.14929999999998</v>
      </c>
      <c r="B1177" s="54">
        <v>279.19819999999999</v>
      </c>
      <c r="C1177" s="54">
        <v>276.74299999999999</v>
      </c>
      <c r="D1177" s="54">
        <v>276.89299999999997</v>
      </c>
      <c r="E1177" s="54">
        <v>18168294</v>
      </c>
      <c r="F1177" s="54" t="s">
        <v>1995</v>
      </c>
      <c r="G1177" s="25">
        <f t="shared" si="17"/>
        <v>9.2562831129727741E-4</v>
      </c>
    </row>
    <row r="1178" spans="1:7">
      <c r="A1178" s="54">
        <v>276.87849999999997</v>
      </c>
      <c r="B1178" s="54">
        <v>280.68020000000001</v>
      </c>
      <c r="C1178" s="54">
        <v>274.5668</v>
      </c>
      <c r="D1178" s="54">
        <v>279.55810000000002</v>
      </c>
      <c r="E1178" s="54">
        <v>33566853</v>
      </c>
      <c r="F1178" s="54" t="s">
        <v>1996</v>
      </c>
      <c r="G1178" s="25">
        <f t="shared" si="17"/>
        <v>-9.5851273849695273E-3</v>
      </c>
    </row>
    <row r="1179" spans="1:7">
      <c r="A1179" s="54">
        <v>277.18799999999999</v>
      </c>
      <c r="B1179" s="54">
        <v>280.12400000000002</v>
      </c>
      <c r="C1179" s="54">
        <v>273.71519999999998</v>
      </c>
      <c r="D1179" s="54">
        <v>279.9837</v>
      </c>
      <c r="E1179" s="54">
        <v>33604073</v>
      </c>
      <c r="F1179" s="54" t="s">
        <v>1997</v>
      </c>
      <c r="G1179" s="25">
        <f t="shared" si="17"/>
        <v>-9.985224139833937E-3</v>
      </c>
    </row>
    <row r="1180" spans="1:7">
      <c r="A1180" s="54">
        <v>279.61610000000002</v>
      </c>
      <c r="B1180" s="54">
        <v>280.23520000000002</v>
      </c>
      <c r="C1180" s="54">
        <v>277.2867</v>
      </c>
      <c r="D1180" s="54">
        <v>279.5677</v>
      </c>
      <c r="E1180" s="54">
        <v>23176073</v>
      </c>
      <c r="F1180" s="54" t="s">
        <v>1998</v>
      </c>
      <c r="G1180" s="25">
        <f t="shared" si="17"/>
        <v>1.7312443461814375E-4</v>
      </c>
    </row>
    <row r="1181" spans="1:7">
      <c r="A1181" s="54">
        <v>280.21589999999998</v>
      </c>
      <c r="B1181" s="54">
        <v>280.52539999999999</v>
      </c>
      <c r="C1181" s="54">
        <v>277.14929999999998</v>
      </c>
      <c r="D1181" s="54">
        <v>277.99090000000001</v>
      </c>
      <c r="E1181" s="54">
        <v>22768071</v>
      </c>
      <c r="F1181" s="54" t="s">
        <v>1999</v>
      </c>
      <c r="G1181" s="25">
        <f t="shared" si="17"/>
        <v>8.0038591191293751E-3</v>
      </c>
    </row>
    <row r="1182" spans="1:7">
      <c r="A1182" s="54">
        <v>276.80110000000002</v>
      </c>
      <c r="B1182" s="54">
        <v>277.07190000000003</v>
      </c>
      <c r="C1182" s="54">
        <v>274.16989999999998</v>
      </c>
      <c r="D1182" s="54">
        <v>274.5761</v>
      </c>
      <c r="E1182" s="54">
        <v>23384059</v>
      </c>
      <c r="F1182" s="54" t="s">
        <v>2000</v>
      </c>
      <c r="G1182" s="25">
        <f t="shared" si="17"/>
        <v>8.103400113848247E-3</v>
      </c>
    </row>
    <row r="1183" spans="1:7">
      <c r="A1183" s="54">
        <v>272.2158</v>
      </c>
      <c r="B1183" s="54">
        <v>272.33190000000002</v>
      </c>
      <c r="C1183" s="54">
        <v>268.23989999999998</v>
      </c>
      <c r="D1183" s="54">
        <v>269.80220000000003</v>
      </c>
      <c r="E1183" s="54">
        <v>24364320</v>
      </c>
      <c r="F1183" s="54" t="s">
        <v>2001</v>
      </c>
      <c r="G1183" s="25">
        <f t="shared" si="17"/>
        <v>8.9458128955210992E-3</v>
      </c>
    </row>
    <row r="1184" spans="1:7">
      <c r="A1184" s="54">
        <v>270.20370000000003</v>
      </c>
      <c r="B1184" s="54">
        <v>271.7998</v>
      </c>
      <c r="C1184" s="54">
        <v>267.24349999999998</v>
      </c>
      <c r="D1184" s="54">
        <v>268.95580000000001</v>
      </c>
      <c r="E1184" s="54">
        <v>26259741</v>
      </c>
      <c r="F1184" s="54" t="s">
        <v>2002</v>
      </c>
      <c r="G1184" s="25">
        <f t="shared" si="17"/>
        <v>4.6397958326238609E-3</v>
      </c>
    </row>
    <row r="1185" spans="1:7">
      <c r="A1185" s="54">
        <v>267.96910000000003</v>
      </c>
      <c r="B1185" s="54">
        <v>271.21940000000001</v>
      </c>
      <c r="C1185" s="54">
        <v>265.49259999999998</v>
      </c>
      <c r="D1185" s="54">
        <v>269.82979999999998</v>
      </c>
      <c r="E1185" s="54">
        <v>32935634</v>
      </c>
      <c r="F1185" s="54" t="s">
        <v>2003</v>
      </c>
      <c r="G1185" s="25">
        <f t="shared" si="17"/>
        <v>-6.895828407388449E-3</v>
      </c>
    </row>
    <row r="1186" spans="1:7">
      <c r="A1186" s="54">
        <v>271.58699999999999</v>
      </c>
      <c r="B1186" s="54">
        <v>274.82769999999999</v>
      </c>
      <c r="C1186" s="54">
        <v>270.33909999999997</v>
      </c>
      <c r="D1186" s="54">
        <v>272.8639</v>
      </c>
      <c r="E1186" s="54">
        <v>26186848</v>
      </c>
      <c r="F1186" s="54" t="s">
        <v>2004</v>
      </c>
      <c r="G1186" s="25">
        <f t="shared" si="17"/>
        <v>-4.679622331865807E-3</v>
      </c>
    </row>
    <row r="1187" spans="1:7">
      <c r="A1187" s="54">
        <v>271.85789999999997</v>
      </c>
      <c r="B1187" s="54">
        <v>273.28960000000001</v>
      </c>
      <c r="C1187" s="54">
        <v>270.697</v>
      </c>
      <c r="D1187" s="54">
        <v>272.7962</v>
      </c>
      <c r="E1187" s="54">
        <v>22604227</v>
      </c>
      <c r="F1187" s="54" t="s">
        <v>2005</v>
      </c>
      <c r="G1187" s="25">
        <f t="shared" si="17"/>
        <v>-3.4395640408482198E-3</v>
      </c>
    </row>
    <row r="1188" spans="1:7">
      <c r="A1188" s="54">
        <v>273.28960000000001</v>
      </c>
      <c r="B1188" s="54">
        <v>274.40199999999999</v>
      </c>
      <c r="C1188" s="54">
        <v>271.39350000000002</v>
      </c>
      <c r="D1188" s="54">
        <v>273.12990000000002</v>
      </c>
      <c r="E1188" s="54">
        <v>23113662</v>
      </c>
      <c r="F1188" s="54" t="s">
        <v>2006</v>
      </c>
      <c r="G1188" s="25">
        <f t="shared" si="17"/>
        <v>5.8470346893546576E-4</v>
      </c>
    </row>
    <row r="1189" spans="1:7">
      <c r="A1189" s="54">
        <v>271.80950000000001</v>
      </c>
      <c r="B1189" s="54">
        <v>273.61619999999999</v>
      </c>
      <c r="C1189" s="54">
        <v>268.33670000000001</v>
      </c>
      <c r="D1189" s="54">
        <v>268.4624</v>
      </c>
      <c r="E1189" s="54">
        <v>26120128</v>
      </c>
      <c r="F1189" s="54" t="s">
        <v>2007</v>
      </c>
      <c r="G1189" s="25">
        <f t="shared" si="17"/>
        <v>1.2467667725536202E-2</v>
      </c>
    </row>
    <row r="1190" spans="1:7">
      <c r="A1190" s="54">
        <v>268.26889999999997</v>
      </c>
      <c r="B1190" s="54">
        <v>270.63900000000001</v>
      </c>
      <c r="C1190" s="54">
        <v>267.55309999999997</v>
      </c>
      <c r="D1190" s="54">
        <v>270.04599999999999</v>
      </c>
      <c r="E1190" s="54">
        <v>18931695</v>
      </c>
      <c r="F1190" s="54" t="s">
        <v>2008</v>
      </c>
      <c r="G1190" s="25">
        <f t="shared" si="17"/>
        <v>-6.5807306903269414E-3</v>
      </c>
    </row>
    <row r="1191" spans="1:7">
      <c r="A1191" s="54">
        <v>268.86869999999999</v>
      </c>
      <c r="B1191" s="54">
        <v>268.9751</v>
      </c>
      <c r="C1191" s="54">
        <v>266.33420000000001</v>
      </c>
      <c r="D1191" s="54">
        <v>266.72120000000001</v>
      </c>
      <c r="E1191" s="54">
        <v>23916665</v>
      </c>
      <c r="F1191" s="54" t="s">
        <v>2009</v>
      </c>
      <c r="G1191" s="25">
        <f t="shared" si="17"/>
        <v>8.051478472652196E-3</v>
      </c>
    </row>
    <row r="1192" spans="1:7">
      <c r="A1192" s="54">
        <v>268.3657</v>
      </c>
      <c r="B1192" s="54">
        <v>269.63290000000001</v>
      </c>
      <c r="C1192" s="54">
        <v>265.89890000000003</v>
      </c>
      <c r="D1192" s="54">
        <v>267.86270000000002</v>
      </c>
      <c r="E1192" s="54">
        <v>24618591</v>
      </c>
      <c r="F1192" s="54" t="s">
        <v>2010</v>
      </c>
      <c r="G1192" s="25">
        <f t="shared" si="17"/>
        <v>1.8778277080011563E-3</v>
      </c>
    </row>
    <row r="1193" spans="1:7">
      <c r="A1193" s="54">
        <v>270.79379999999998</v>
      </c>
      <c r="B1193" s="54">
        <v>271.5333</v>
      </c>
      <c r="C1193" s="54">
        <v>268.10449999999997</v>
      </c>
      <c r="D1193" s="54">
        <v>270.28109999999998</v>
      </c>
      <c r="E1193" s="54">
        <v>23260031</v>
      </c>
      <c r="F1193" s="54" t="s">
        <v>2011</v>
      </c>
      <c r="G1193" s="25">
        <f t="shared" si="17"/>
        <v>1.8969139906563903E-3</v>
      </c>
    </row>
    <row r="1194" spans="1:7">
      <c r="A1194" s="54">
        <v>268.59780000000001</v>
      </c>
      <c r="B1194" s="54">
        <v>270.2518</v>
      </c>
      <c r="C1194" s="54">
        <v>265.34750000000003</v>
      </c>
      <c r="D1194" s="54">
        <v>268.95580000000001</v>
      </c>
      <c r="E1194" s="54">
        <v>31565560</v>
      </c>
      <c r="F1194" s="54" t="s">
        <v>2012</v>
      </c>
      <c r="G1194" s="25">
        <f t="shared" si="17"/>
        <v>-1.3310737303304787E-3</v>
      </c>
    </row>
    <row r="1195" spans="1:7">
      <c r="A1195" s="54">
        <v>268.58819999999997</v>
      </c>
      <c r="B1195" s="54">
        <v>268.92680000000001</v>
      </c>
      <c r="C1195" s="54">
        <v>263.60629999999998</v>
      </c>
      <c r="D1195" s="54">
        <v>263.91579999999999</v>
      </c>
      <c r="E1195" s="54">
        <v>26474408</v>
      </c>
      <c r="F1195" s="54" t="s">
        <v>2013</v>
      </c>
      <c r="G1195" s="25">
        <f t="shared" si="17"/>
        <v>1.770413139342164E-2</v>
      </c>
    </row>
    <row r="1196" spans="1:7">
      <c r="A1196" s="54">
        <v>262.73559999999998</v>
      </c>
      <c r="B1196" s="54">
        <v>262.96780000000001</v>
      </c>
      <c r="C1196" s="54">
        <v>260.80090000000001</v>
      </c>
      <c r="D1196" s="54">
        <v>260.81060000000002</v>
      </c>
      <c r="E1196" s="54">
        <v>16725323</v>
      </c>
      <c r="F1196" s="54" t="s">
        <v>2014</v>
      </c>
      <c r="G1196" s="25">
        <f t="shared" si="17"/>
        <v>7.3808349814001861E-3</v>
      </c>
    </row>
    <row r="1197" spans="1:7">
      <c r="A1197" s="54">
        <v>262.05849999999998</v>
      </c>
      <c r="B1197" s="54">
        <v>262.50330000000002</v>
      </c>
      <c r="C1197" s="54">
        <v>260.80509999999998</v>
      </c>
      <c r="D1197" s="54">
        <v>261.8553</v>
      </c>
      <c r="E1197" s="54">
        <v>21656457</v>
      </c>
      <c r="F1197" s="54" t="s">
        <v>2015</v>
      </c>
      <c r="G1197" s="25">
        <f t="shared" si="17"/>
        <v>7.7600109678876983E-4</v>
      </c>
    </row>
    <row r="1198" spans="1:7">
      <c r="A1198" s="54">
        <v>262.54219999999998</v>
      </c>
      <c r="B1198" s="54">
        <v>262.78399999999999</v>
      </c>
      <c r="C1198" s="54">
        <v>259.23379999999997</v>
      </c>
      <c r="D1198" s="54">
        <v>260.0899</v>
      </c>
      <c r="E1198" s="54">
        <v>19937811</v>
      </c>
      <c r="F1198" s="54" t="s">
        <v>2016</v>
      </c>
      <c r="G1198" s="25">
        <f t="shared" si="17"/>
        <v>9.4286629353925733E-3</v>
      </c>
    </row>
    <row r="1199" spans="1:7">
      <c r="A1199" s="54">
        <v>259.94959999999998</v>
      </c>
      <c r="B1199" s="54">
        <v>260.12380000000002</v>
      </c>
      <c r="C1199" s="54">
        <v>257.23129999999998</v>
      </c>
      <c r="D1199" s="54">
        <v>257.49740000000003</v>
      </c>
      <c r="E1199" s="54">
        <v>19590024</v>
      </c>
      <c r="F1199" s="54" t="s">
        <v>2017</v>
      </c>
      <c r="G1199" s="25">
        <f t="shared" si="17"/>
        <v>9.5232029527285711E-3</v>
      </c>
    </row>
    <row r="1200" spans="1:7">
      <c r="A1200" s="54">
        <v>256.37040000000002</v>
      </c>
      <c r="B1200" s="54">
        <v>258.52760000000001</v>
      </c>
      <c r="C1200" s="54">
        <v>256.1189</v>
      </c>
      <c r="D1200" s="54">
        <v>257.54090000000002</v>
      </c>
      <c r="E1200" s="54">
        <v>25611113</v>
      </c>
      <c r="F1200" s="54" t="s">
        <v>2018</v>
      </c>
      <c r="G1200" s="25">
        <f t="shared" si="17"/>
        <v>-4.5449091775325856E-3</v>
      </c>
    </row>
    <row r="1201" spans="1:7">
      <c r="A1201" s="54">
        <v>257.98590000000002</v>
      </c>
      <c r="B1201" s="54">
        <v>259.108</v>
      </c>
      <c r="C1201" s="54">
        <v>256.8057</v>
      </c>
      <c r="D1201" s="54">
        <v>257.47320000000002</v>
      </c>
      <c r="E1201" s="54">
        <v>21446867</v>
      </c>
      <c r="F1201" s="54" t="s">
        <v>2019</v>
      </c>
      <c r="G1201" s="25">
        <f t="shared" si="17"/>
        <v>1.9912752084487728E-3</v>
      </c>
    </row>
    <row r="1202" spans="1:7">
      <c r="A1202" s="54">
        <v>256.61709999999999</v>
      </c>
      <c r="B1202" s="54">
        <v>258.12130000000002</v>
      </c>
      <c r="C1202" s="54">
        <v>255.7996</v>
      </c>
      <c r="D1202" s="54">
        <v>257.30869999999999</v>
      </c>
      <c r="E1202" s="54">
        <v>19518681</v>
      </c>
      <c r="F1202" s="54" t="s">
        <v>2020</v>
      </c>
      <c r="G1202" s="25">
        <f t="shared" si="17"/>
        <v>-2.6878220596504576E-3</v>
      </c>
    </row>
    <row r="1203" spans="1:7">
      <c r="A1203" s="54">
        <v>256.84440000000001</v>
      </c>
      <c r="B1203" s="54">
        <v>257.11529999999999</v>
      </c>
      <c r="C1203" s="54">
        <v>253.83590000000001</v>
      </c>
      <c r="D1203" s="54">
        <v>254.1455</v>
      </c>
      <c r="E1203" s="54">
        <v>24694090</v>
      </c>
      <c r="F1203" s="54" t="s">
        <v>2021</v>
      </c>
      <c r="G1203" s="25">
        <f t="shared" si="17"/>
        <v>1.0619507329462818E-2</v>
      </c>
    </row>
    <row r="1204" spans="1:7">
      <c r="A1204" s="54">
        <v>254.05840000000001</v>
      </c>
      <c r="B1204" s="54">
        <v>254.91929999999999</v>
      </c>
      <c r="C1204" s="54">
        <v>249.50210000000001</v>
      </c>
      <c r="D1204" s="54">
        <v>251.34010000000001</v>
      </c>
      <c r="E1204" s="54">
        <v>26696119</v>
      </c>
      <c r="F1204" s="54" t="s">
        <v>2022</v>
      </c>
      <c r="G1204" s="25">
        <f t="shared" si="17"/>
        <v>1.0815226062216077E-2</v>
      </c>
    </row>
    <row r="1205" spans="1:7">
      <c r="A1205" s="54">
        <v>250.96279999999999</v>
      </c>
      <c r="B1205" s="54">
        <v>253.73920000000001</v>
      </c>
      <c r="C1205" s="54">
        <v>250.30500000000001</v>
      </c>
      <c r="D1205" s="54">
        <v>251.15629999999999</v>
      </c>
      <c r="E1205" s="54">
        <v>37202217</v>
      </c>
      <c r="F1205" s="54" t="s">
        <v>2023</v>
      </c>
      <c r="G1205" s="25">
        <f t="shared" si="17"/>
        <v>-7.7043657674524813E-4</v>
      </c>
    </row>
    <row r="1206" spans="1:7">
      <c r="A1206" s="54">
        <v>252.38489999999999</v>
      </c>
      <c r="B1206" s="54">
        <v>253.2071</v>
      </c>
      <c r="C1206" s="54">
        <v>247.65450000000001</v>
      </c>
      <c r="D1206" s="54">
        <v>247.70769999999999</v>
      </c>
      <c r="E1206" s="54">
        <v>27565537</v>
      </c>
      <c r="F1206" s="54" t="s">
        <v>2024</v>
      </c>
      <c r="G1206" s="25">
        <f t="shared" si="17"/>
        <v>1.8881932212845953E-2</v>
      </c>
    </row>
    <row r="1207" spans="1:7">
      <c r="A1207" s="54">
        <v>248.97970000000001</v>
      </c>
      <c r="B1207" s="54">
        <v>252.0753</v>
      </c>
      <c r="C1207" s="54">
        <v>246.1163</v>
      </c>
      <c r="D1207" s="54">
        <v>250.93379999999999</v>
      </c>
      <c r="E1207" s="54">
        <v>27219956</v>
      </c>
      <c r="F1207" s="54" t="s">
        <v>2025</v>
      </c>
      <c r="G1207" s="25">
        <f t="shared" si="17"/>
        <v>-7.7873128291205962E-3</v>
      </c>
    </row>
    <row r="1208" spans="1:7">
      <c r="A1208" s="54">
        <v>249.92779999999999</v>
      </c>
      <c r="B1208" s="54">
        <v>251.50460000000001</v>
      </c>
      <c r="C1208" s="54">
        <v>249.26990000000001</v>
      </c>
      <c r="D1208" s="54">
        <v>251.29660000000001</v>
      </c>
      <c r="E1208" s="54">
        <v>18038931</v>
      </c>
      <c r="F1208" s="54" t="s">
        <v>2026</v>
      </c>
      <c r="G1208" s="25">
        <f t="shared" si="17"/>
        <v>-5.4469499388373199E-3</v>
      </c>
    </row>
    <row r="1209" spans="1:7">
      <c r="A1209" s="54">
        <v>251.40780000000001</v>
      </c>
      <c r="B1209" s="54">
        <v>251.4659</v>
      </c>
      <c r="C1209" s="54">
        <v>248.4187</v>
      </c>
      <c r="D1209" s="54">
        <v>249.4828</v>
      </c>
      <c r="E1209" s="54">
        <v>19150507</v>
      </c>
      <c r="F1209" s="54" t="s">
        <v>2027</v>
      </c>
      <c r="G1209" s="25">
        <f t="shared" si="17"/>
        <v>7.715962783807262E-3</v>
      </c>
    </row>
    <row r="1210" spans="1:7">
      <c r="A1210" s="54">
        <v>249.47309999999999</v>
      </c>
      <c r="B1210" s="54">
        <v>250.0504</v>
      </c>
      <c r="C1210" s="54">
        <v>248.23490000000001</v>
      </c>
      <c r="D1210" s="54">
        <v>249.565</v>
      </c>
      <c r="E1210" s="54">
        <v>18999731</v>
      </c>
      <c r="F1210" s="54" t="s">
        <v>2028</v>
      </c>
      <c r="G1210" s="25">
        <f t="shared" si="17"/>
        <v>-3.6824073888575004E-4</v>
      </c>
    </row>
    <row r="1211" spans="1:7">
      <c r="A1211" s="54">
        <v>248.8443</v>
      </c>
      <c r="B1211" s="54">
        <v>249.05709999999999</v>
      </c>
      <c r="C1211" s="54">
        <v>245.39080000000001</v>
      </c>
      <c r="D1211" s="54">
        <v>245.9906</v>
      </c>
      <c r="E1211" s="54">
        <v>24563619</v>
      </c>
      <c r="F1211" s="54" t="s">
        <v>2029</v>
      </c>
      <c r="G1211" s="25">
        <f t="shared" si="17"/>
        <v>1.1600849788569123E-2</v>
      </c>
    </row>
    <row r="1212" spans="1:7">
      <c r="A1212" s="54">
        <v>245.3134</v>
      </c>
      <c r="B1212" s="54">
        <v>247.1901</v>
      </c>
      <c r="C1212" s="54">
        <v>244.94579999999999</v>
      </c>
      <c r="D1212" s="54">
        <v>245.52629999999999</v>
      </c>
      <c r="E1212" s="54">
        <v>17937634</v>
      </c>
      <c r="F1212" s="54" t="s">
        <v>2030</v>
      </c>
      <c r="G1212" s="25">
        <f t="shared" si="17"/>
        <v>-8.6711688320151303E-4</v>
      </c>
    </row>
    <row r="1213" spans="1:7">
      <c r="A1213" s="54">
        <v>244.32669999999999</v>
      </c>
      <c r="B1213" s="54">
        <v>247.65450000000001</v>
      </c>
      <c r="C1213" s="54">
        <v>244.2687</v>
      </c>
      <c r="D1213" s="54">
        <v>246.8322</v>
      </c>
      <c r="E1213" s="54">
        <v>22454998</v>
      </c>
      <c r="F1213" s="54" t="s">
        <v>2031</v>
      </c>
      <c r="G1213" s="25">
        <f t="shared" si="17"/>
        <v>-1.0150620543024846E-2</v>
      </c>
    </row>
    <row r="1214" spans="1:7">
      <c r="A1214" s="54">
        <v>245.52629999999999</v>
      </c>
      <c r="B1214" s="54">
        <v>245.7971</v>
      </c>
      <c r="C1214" s="54">
        <v>241.6568</v>
      </c>
      <c r="D1214" s="54">
        <v>241.82130000000001</v>
      </c>
      <c r="E1214" s="54">
        <v>23079167</v>
      </c>
      <c r="F1214" s="54" t="s">
        <v>2032</v>
      </c>
      <c r="G1214" s="25">
        <f t="shared" si="17"/>
        <v>1.5321231008186498E-2</v>
      </c>
    </row>
    <row r="1215" spans="1:7">
      <c r="A1215" s="54">
        <v>242.60480000000001</v>
      </c>
      <c r="B1215" s="54">
        <v>243.43680000000001</v>
      </c>
      <c r="C1215" s="54">
        <v>239.43190000000001</v>
      </c>
      <c r="D1215" s="54">
        <v>239.6737</v>
      </c>
      <c r="E1215" s="54">
        <v>25281094</v>
      </c>
      <c r="F1215" s="54" t="s">
        <v>2033</v>
      </c>
      <c r="G1215" s="25">
        <f t="shared" si="17"/>
        <v>1.2229543750524208E-2</v>
      </c>
    </row>
    <row r="1216" spans="1:7">
      <c r="A1216" s="54">
        <v>237.69059999999999</v>
      </c>
      <c r="B1216" s="54">
        <v>238.30009999999999</v>
      </c>
      <c r="C1216" s="54">
        <v>235.06909999999999</v>
      </c>
      <c r="D1216" s="54">
        <v>237.2166</v>
      </c>
      <c r="E1216" s="54">
        <v>25307711</v>
      </c>
      <c r="F1216" s="54" t="s">
        <v>2034</v>
      </c>
      <c r="G1216" s="25">
        <f t="shared" si="17"/>
        <v>1.9981738208876276E-3</v>
      </c>
    </row>
    <row r="1217" spans="1:7">
      <c r="A1217" s="54">
        <v>239.2287</v>
      </c>
      <c r="B1217" s="54">
        <v>241.1344</v>
      </c>
      <c r="C1217" s="54">
        <v>237.81639999999999</v>
      </c>
      <c r="D1217" s="54">
        <v>240.02680000000001</v>
      </c>
      <c r="E1217" s="54">
        <v>19406705</v>
      </c>
      <c r="F1217" s="54" t="s">
        <v>2035</v>
      </c>
      <c r="G1217" s="25">
        <f t="shared" si="17"/>
        <v>-3.3250453699337212E-3</v>
      </c>
    </row>
    <row r="1218" spans="1:7">
      <c r="A1218" s="54">
        <v>239.32550000000001</v>
      </c>
      <c r="B1218" s="54">
        <v>243.08850000000001</v>
      </c>
      <c r="C1218" s="54">
        <v>238.8998</v>
      </c>
      <c r="D1218" s="54">
        <v>243.03049999999999</v>
      </c>
      <c r="E1218" s="54">
        <v>23213310</v>
      </c>
      <c r="F1218" s="54" t="s">
        <v>2036</v>
      </c>
      <c r="G1218" s="25">
        <f t="shared" si="17"/>
        <v>-1.5245000113154439E-2</v>
      </c>
    </row>
    <row r="1219" spans="1:7">
      <c r="A1219" s="54">
        <v>241.53100000000001</v>
      </c>
      <c r="B1219" s="54">
        <v>243.8527</v>
      </c>
      <c r="C1219" s="54">
        <v>241.41499999999999</v>
      </c>
      <c r="D1219" s="54">
        <v>242.8031</v>
      </c>
      <c r="E1219" s="54">
        <v>18274942</v>
      </c>
      <c r="F1219" s="54" t="s">
        <v>2037</v>
      </c>
      <c r="G1219" s="25">
        <f t="shared" si="17"/>
        <v>-5.2392247051211704E-3</v>
      </c>
    </row>
    <row r="1220" spans="1:7">
      <c r="A1220" s="54">
        <v>241.17310000000001</v>
      </c>
      <c r="B1220" s="54">
        <v>243.2723</v>
      </c>
      <c r="C1220" s="54">
        <v>241.11510000000001</v>
      </c>
      <c r="D1220" s="54">
        <v>242.97239999999999</v>
      </c>
      <c r="E1220" s="54">
        <v>24426244</v>
      </c>
      <c r="F1220" s="54" t="s">
        <v>2038</v>
      </c>
      <c r="G1220" s="25">
        <f t="shared" si="17"/>
        <v>-7.4053678524803601E-3</v>
      </c>
    </row>
    <row r="1221" spans="1:7">
      <c r="A1221" s="54">
        <v>243.28200000000001</v>
      </c>
      <c r="B1221" s="54">
        <v>244.68469999999999</v>
      </c>
      <c r="C1221" s="54">
        <v>242.56610000000001</v>
      </c>
      <c r="D1221" s="54">
        <v>243.22389999999999</v>
      </c>
      <c r="E1221" s="54">
        <v>17771600</v>
      </c>
      <c r="F1221" s="54" t="s">
        <v>2039</v>
      </c>
      <c r="G1221" s="25">
        <f t="shared" si="17"/>
        <v>2.3887455139082192E-4</v>
      </c>
    </row>
    <row r="1222" spans="1:7">
      <c r="A1222" s="54">
        <v>243.50450000000001</v>
      </c>
      <c r="B1222" s="54">
        <v>244.5009</v>
      </c>
      <c r="C1222" s="54">
        <v>242.63380000000001</v>
      </c>
      <c r="D1222" s="54">
        <v>243.55189999999999</v>
      </c>
      <c r="E1222" s="54">
        <v>17704303</v>
      </c>
      <c r="F1222" s="54" t="s">
        <v>2040</v>
      </c>
      <c r="G1222" s="25">
        <f t="shared" si="17"/>
        <v>-1.9461970939249618E-4</v>
      </c>
    </row>
    <row r="1223" spans="1:7">
      <c r="A1223" s="54">
        <v>242.5951</v>
      </c>
      <c r="B1223" s="54">
        <v>242.96270000000001</v>
      </c>
      <c r="C1223" s="54">
        <v>239.43190000000001</v>
      </c>
      <c r="D1223" s="54">
        <v>239.6979</v>
      </c>
      <c r="E1223" s="54">
        <v>21411547</v>
      </c>
      <c r="F1223" s="54" t="s">
        <v>2041</v>
      </c>
      <c r="G1223" s="25">
        <f t="shared" si="17"/>
        <v>1.2086881028160912E-2</v>
      </c>
    </row>
    <row r="1224" spans="1:7">
      <c r="A1224" s="54">
        <v>237.16820000000001</v>
      </c>
      <c r="B1224" s="54">
        <v>240.2251</v>
      </c>
      <c r="C1224" s="54">
        <v>236.75229999999999</v>
      </c>
      <c r="D1224" s="54">
        <v>239.48509999999999</v>
      </c>
      <c r="E1224" s="54">
        <v>21863058</v>
      </c>
      <c r="F1224" s="54" t="s">
        <v>2042</v>
      </c>
      <c r="G1224" s="25">
        <f t="shared" si="17"/>
        <v>-9.6745058460838695E-3</v>
      </c>
    </row>
    <row r="1225" spans="1:7">
      <c r="A1225" s="54">
        <v>238.43549999999999</v>
      </c>
      <c r="B1225" s="54">
        <v>239.85749999999999</v>
      </c>
      <c r="C1225" s="54">
        <v>235.90100000000001</v>
      </c>
      <c r="D1225" s="54">
        <v>235.99770000000001</v>
      </c>
      <c r="E1225" s="54">
        <v>21800716</v>
      </c>
      <c r="F1225" s="54" t="s">
        <v>2043</v>
      </c>
      <c r="G1225" s="25">
        <f t="shared" si="17"/>
        <v>1.032976168835531E-2</v>
      </c>
    </row>
    <row r="1226" spans="1:7">
      <c r="A1226" s="54">
        <v>235.18520000000001</v>
      </c>
      <c r="B1226" s="54">
        <v>235.29159999999999</v>
      </c>
      <c r="C1226" s="54">
        <v>230.81270000000001</v>
      </c>
      <c r="D1226" s="54">
        <v>231.49950000000001</v>
      </c>
      <c r="E1226" s="54">
        <v>25739807</v>
      </c>
      <c r="F1226" s="54" t="s">
        <v>2044</v>
      </c>
      <c r="G1226" s="25">
        <f t="shared" si="17"/>
        <v>1.5920984710550146E-2</v>
      </c>
    </row>
    <row r="1227" spans="1:7">
      <c r="A1227" s="54">
        <v>234.60470000000001</v>
      </c>
      <c r="B1227" s="54">
        <v>237.8186</v>
      </c>
      <c r="C1227" s="54">
        <v>234.43100000000001</v>
      </c>
      <c r="D1227" s="54">
        <v>237.68350000000001</v>
      </c>
      <c r="E1227" s="54">
        <v>20167975</v>
      </c>
      <c r="F1227" s="54" t="s">
        <v>2045</v>
      </c>
      <c r="G1227" s="25">
        <f t="shared" si="17"/>
        <v>-1.2953360245873236E-2</v>
      </c>
    </row>
    <row r="1228" spans="1:7">
      <c r="A1228" s="54">
        <v>236.63149999999999</v>
      </c>
      <c r="B1228" s="54">
        <v>237.9924</v>
      </c>
      <c r="C1228" s="54">
        <v>235.02940000000001</v>
      </c>
      <c r="D1228" s="54">
        <v>237.9537</v>
      </c>
      <c r="E1228" s="54">
        <v>24970168</v>
      </c>
      <c r="F1228" s="54" t="s">
        <v>2046</v>
      </c>
      <c r="G1228" s="25">
        <f t="shared" si="17"/>
        <v>-5.5565431426366496E-3</v>
      </c>
    </row>
    <row r="1229" spans="1:7">
      <c r="A1229" s="54">
        <v>239.49799999999999</v>
      </c>
      <c r="B1229" s="54">
        <v>240.49209999999999</v>
      </c>
      <c r="C1229" s="54">
        <v>236.9307</v>
      </c>
      <c r="D1229" s="54">
        <v>237.0127</v>
      </c>
      <c r="E1229" s="54">
        <v>23901081</v>
      </c>
      <c r="F1229" s="54" t="s">
        <v>2047</v>
      </c>
      <c r="G1229" s="25">
        <f t="shared" si="17"/>
        <v>1.0485935985708794E-2</v>
      </c>
    </row>
    <row r="1230" spans="1:7">
      <c r="A1230" s="54">
        <v>234.5565</v>
      </c>
      <c r="B1230" s="54">
        <v>237.0369</v>
      </c>
      <c r="C1230" s="54">
        <v>233.0026</v>
      </c>
      <c r="D1230" s="54">
        <v>233.36940000000001</v>
      </c>
      <c r="E1230" s="54">
        <v>29624298</v>
      </c>
      <c r="F1230" s="54" t="s">
        <v>2048</v>
      </c>
      <c r="G1230" s="25">
        <f t="shared" si="17"/>
        <v>5.0867851569227351E-3</v>
      </c>
    </row>
    <row r="1231" spans="1:7">
      <c r="A1231" s="54">
        <v>230.667</v>
      </c>
      <c r="B1231" s="54">
        <v>235.85939999999999</v>
      </c>
      <c r="C1231" s="54">
        <v>229.76939999999999</v>
      </c>
      <c r="D1231" s="54">
        <v>233.7216</v>
      </c>
      <c r="E1231" s="54">
        <v>36684370</v>
      </c>
      <c r="F1231" s="54" t="s">
        <v>2049</v>
      </c>
      <c r="G1231" s="25">
        <f t="shared" si="17"/>
        <v>-1.3069395383225157E-2</v>
      </c>
    </row>
    <row r="1232" spans="1:7">
      <c r="A1232" s="54">
        <v>237.64490000000001</v>
      </c>
      <c r="B1232" s="54">
        <v>238.00200000000001</v>
      </c>
      <c r="C1232" s="54">
        <v>234.11250000000001</v>
      </c>
      <c r="D1232" s="54">
        <v>236.02350000000001</v>
      </c>
      <c r="E1232" s="54">
        <v>33641589</v>
      </c>
      <c r="F1232" s="54" t="s">
        <v>2050</v>
      </c>
      <c r="G1232" s="25">
        <f t="shared" si="17"/>
        <v>6.8696549284286146E-3</v>
      </c>
    </row>
    <row r="1233" spans="1:7">
      <c r="A1233" s="54">
        <v>238.56180000000001</v>
      </c>
      <c r="B1233" s="54">
        <v>242.95310000000001</v>
      </c>
      <c r="C1233" s="54">
        <v>238.50389999999999</v>
      </c>
      <c r="D1233" s="54">
        <v>242.12309999999999</v>
      </c>
      <c r="E1233" s="54">
        <v>29299890</v>
      </c>
      <c r="F1233" s="54" t="s">
        <v>2051</v>
      </c>
      <c r="G1233" s="25">
        <f t="shared" si="17"/>
        <v>-1.4708633748700461E-2</v>
      </c>
    </row>
    <row r="1234" spans="1:7">
      <c r="A1234" s="54">
        <v>243.65770000000001</v>
      </c>
      <c r="B1234" s="54">
        <v>245.43350000000001</v>
      </c>
      <c r="C1234" s="54">
        <v>242.4127</v>
      </c>
      <c r="D1234" s="54">
        <v>243.35849999999999</v>
      </c>
      <c r="E1234" s="54">
        <v>27032912</v>
      </c>
      <c r="F1234" s="54" t="s">
        <v>2052</v>
      </c>
      <c r="G1234" s="25">
        <f t="shared" si="17"/>
        <v>1.2294618844215233E-3</v>
      </c>
    </row>
    <row r="1235" spans="1:7">
      <c r="A1235" s="54">
        <v>241.02289999999999</v>
      </c>
      <c r="B1235" s="54">
        <v>241.14830000000001</v>
      </c>
      <c r="C1235" s="54">
        <v>236.15860000000001</v>
      </c>
      <c r="D1235" s="54">
        <v>237.85720000000001</v>
      </c>
      <c r="E1235" s="54">
        <v>26491085</v>
      </c>
      <c r="F1235" s="54" t="s">
        <v>2053</v>
      </c>
      <c r="G1235" s="25">
        <f t="shared" si="17"/>
        <v>1.3309246051832702E-2</v>
      </c>
    </row>
    <row r="1236" spans="1:7">
      <c r="A1236" s="54">
        <v>237.87649999999999</v>
      </c>
      <c r="B1236" s="54">
        <v>240.80090000000001</v>
      </c>
      <c r="C1236" s="54">
        <v>237.2492</v>
      </c>
      <c r="D1236" s="54">
        <v>240.37620000000001</v>
      </c>
      <c r="E1236" s="54">
        <v>21901325</v>
      </c>
      <c r="F1236" s="54" t="s">
        <v>2054</v>
      </c>
      <c r="G1236" s="25">
        <f t="shared" si="17"/>
        <v>-1.0399116052254853E-2</v>
      </c>
    </row>
    <row r="1237" spans="1:7">
      <c r="A1237" s="54">
        <v>239.15049999999999</v>
      </c>
      <c r="B1237" s="54">
        <v>242.4513</v>
      </c>
      <c r="C1237" s="54">
        <v>237.19130000000001</v>
      </c>
      <c r="D1237" s="54">
        <v>242.21960000000001</v>
      </c>
      <c r="E1237" s="54">
        <v>32756052</v>
      </c>
      <c r="F1237" s="54" t="s">
        <v>2055</v>
      </c>
      <c r="G1237" s="25">
        <f t="shared" si="17"/>
        <v>-1.2670733499683839E-2</v>
      </c>
    </row>
    <row r="1238" spans="1:7">
      <c r="A1238" s="54">
        <v>243.07859999999999</v>
      </c>
      <c r="B1238" s="54">
        <v>245.48179999999999</v>
      </c>
      <c r="C1238" s="54">
        <v>242.36439999999999</v>
      </c>
      <c r="D1238" s="54">
        <v>244.56489999999999</v>
      </c>
      <c r="E1238" s="54">
        <v>19626568</v>
      </c>
      <c r="F1238" s="54" t="s">
        <v>2056</v>
      </c>
      <c r="G1238" s="25">
        <f t="shared" si="17"/>
        <v>-6.0773234425708367E-3</v>
      </c>
    </row>
    <row r="1239" spans="1:7">
      <c r="A1239" s="54">
        <v>243.38749999999999</v>
      </c>
      <c r="B1239" s="54">
        <v>244.2561</v>
      </c>
      <c r="C1239" s="54">
        <v>240.8974</v>
      </c>
      <c r="D1239" s="54">
        <v>241.0325</v>
      </c>
      <c r="E1239" s="54">
        <v>30945098</v>
      </c>
      <c r="F1239" s="54" t="s">
        <v>2057</v>
      </c>
      <c r="G1239" s="25">
        <f t="shared" si="17"/>
        <v>9.7704666383162664E-3</v>
      </c>
    </row>
    <row r="1240" spans="1:7">
      <c r="A1240" s="54">
        <v>243.70590000000001</v>
      </c>
      <c r="B1240" s="54">
        <v>247.17080000000001</v>
      </c>
      <c r="C1240" s="54">
        <v>240.31829999999999</v>
      </c>
      <c r="D1240" s="54">
        <v>246.5531</v>
      </c>
      <c r="E1240" s="54">
        <v>40589023</v>
      </c>
      <c r="F1240" s="54" t="s">
        <v>2058</v>
      </c>
      <c r="G1240" s="25">
        <f t="shared" ref="G1240:G1303" si="18">A1240/D1240-1</f>
        <v>-1.1548019473289872E-2</v>
      </c>
    </row>
    <row r="1241" spans="1:7">
      <c r="A1241" s="54">
        <v>245.68450000000001</v>
      </c>
      <c r="B1241" s="54">
        <v>247.59530000000001</v>
      </c>
      <c r="C1241" s="54">
        <v>244.13059999999999</v>
      </c>
      <c r="D1241" s="54">
        <v>247.14949999999999</v>
      </c>
      <c r="E1241" s="54">
        <v>46903119</v>
      </c>
      <c r="F1241" s="54" t="s">
        <v>2059</v>
      </c>
      <c r="G1241" s="25">
        <f t="shared" si="18"/>
        <v>-5.9275863394422368E-3</v>
      </c>
    </row>
    <row r="1242" spans="1:7">
      <c r="A1242" s="54">
        <v>252.83609999999999</v>
      </c>
      <c r="B1242" s="54">
        <v>254.0136</v>
      </c>
      <c r="C1242" s="54">
        <v>251.0506</v>
      </c>
      <c r="D1242" s="54">
        <v>252.46449999999999</v>
      </c>
      <c r="E1242" s="54">
        <v>31014213</v>
      </c>
      <c r="F1242" s="54" t="s">
        <v>2060</v>
      </c>
      <c r="G1242" s="25">
        <f t="shared" si="18"/>
        <v>1.4718901073220714E-3</v>
      </c>
    </row>
    <row r="1243" spans="1:7">
      <c r="A1243" s="54">
        <v>252.4308</v>
      </c>
      <c r="B1243" s="54">
        <v>253.28489999999999</v>
      </c>
      <c r="C1243" s="54">
        <v>251.09889999999999</v>
      </c>
      <c r="D1243" s="54">
        <v>252.5369</v>
      </c>
      <c r="E1243" s="54">
        <v>19292891</v>
      </c>
      <c r="F1243" s="54" t="s">
        <v>2061</v>
      </c>
      <c r="G1243" s="25">
        <f t="shared" si="18"/>
        <v>-4.2013662161843879E-4</v>
      </c>
    </row>
    <row r="1244" spans="1:7">
      <c r="A1244" s="54">
        <v>252.04470000000001</v>
      </c>
      <c r="B1244" s="54">
        <v>252.3922</v>
      </c>
      <c r="C1244" s="54">
        <v>248.3</v>
      </c>
      <c r="D1244" s="54">
        <v>248.8887</v>
      </c>
      <c r="E1244" s="54">
        <v>21499286</v>
      </c>
      <c r="F1244" s="54" t="s">
        <v>2062</v>
      </c>
      <c r="G1244" s="25">
        <f t="shared" si="18"/>
        <v>1.268036676634976E-2</v>
      </c>
    </row>
    <row r="1245" spans="1:7">
      <c r="A1245" s="54">
        <v>248.20349999999999</v>
      </c>
      <c r="B1245" s="54">
        <v>252.65270000000001</v>
      </c>
      <c r="C1245" s="54">
        <v>246.7268</v>
      </c>
      <c r="D1245" s="54">
        <v>251.13749999999999</v>
      </c>
      <c r="E1245" s="54">
        <v>25606152</v>
      </c>
      <c r="F1245" s="54" t="s">
        <v>2063</v>
      </c>
      <c r="G1245" s="25">
        <f t="shared" si="18"/>
        <v>-1.1682843064058535E-2</v>
      </c>
    </row>
    <row r="1246" spans="1:7">
      <c r="A1246" s="54">
        <v>251.49459999999999</v>
      </c>
      <c r="B1246" s="54">
        <v>251.59110000000001</v>
      </c>
      <c r="C1246" s="54">
        <v>248.2807</v>
      </c>
      <c r="D1246" s="54">
        <v>249.9118</v>
      </c>
      <c r="E1246" s="54">
        <v>24030383</v>
      </c>
      <c r="F1246" s="54" t="s">
        <v>2064</v>
      </c>
      <c r="G1246" s="25">
        <f t="shared" si="18"/>
        <v>6.3334344356689165E-3</v>
      </c>
    </row>
    <row r="1247" spans="1:7">
      <c r="A1247" s="54">
        <v>249.25550000000001</v>
      </c>
      <c r="B1247" s="54">
        <v>251.12780000000001</v>
      </c>
      <c r="C1247" s="54">
        <v>247.88499999999999</v>
      </c>
      <c r="D1247" s="54">
        <v>248.83080000000001</v>
      </c>
      <c r="E1247" s="54">
        <v>19722875</v>
      </c>
      <c r="F1247" s="54" t="s">
        <v>2065</v>
      </c>
      <c r="G1247" s="25">
        <f t="shared" si="18"/>
        <v>1.7067822793641607E-3</v>
      </c>
    </row>
    <row r="1248" spans="1:7">
      <c r="A1248" s="54">
        <v>249.71870000000001</v>
      </c>
      <c r="B1248" s="54">
        <v>252.36320000000001</v>
      </c>
      <c r="C1248" s="54">
        <v>248.83179999999999</v>
      </c>
      <c r="D1248" s="54">
        <v>251.1182</v>
      </c>
      <c r="E1248" s="54">
        <v>23209260</v>
      </c>
      <c r="F1248" s="54" t="s">
        <v>2066</v>
      </c>
      <c r="G1248" s="25">
        <f t="shared" si="18"/>
        <v>-5.5730727601582819E-3</v>
      </c>
    </row>
    <row r="1249" spans="1:7">
      <c r="A1249" s="54">
        <v>251.649</v>
      </c>
      <c r="B1249" s="54">
        <v>251.8999</v>
      </c>
      <c r="C1249" s="54">
        <v>248.6198</v>
      </c>
      <c r="D1249" s="54">
        <v>250.42330000000001</v>
      </c>
      <c r="E1249" s="54">
        <v>24878582</v>
      </c>
      <c r="F1249" s="54" t="s">
        <v>2067</v>
      </c>
      <c r="G1249" s="25">
        <f t="shared" si="18"/>
        <v>4.8945126112465154E-3</v>
      </c>
    </row>
    <row r="1250" spans="1:7">
      <c r="A1250" s="54">
        <v>250.4522</v>
      </c>
      <c r="B1250" s="54">
        <v>250.8672</v>
      </c>
      <c r="C1250" s="54">
        <v>248.7439</v>
      </c>
      <c r="D1250" s="54">
        <v>248.93790000000001</v>
      </c>
      <c r="E1250" s="54">
        <v>25627481</v>
      </c>
      <c r="F1250" s="54" t="s">
        <v>2068</v>
      </c>
      <c r="G1250" s="25">
        <f t="shared" si="18"/>
        <v>6.0830432007339397E-3</v>
      </c>
    </row>
    <row r="1251" spans="1:7">
      <c r="A1251" s="54">
        <v>246.67859999999999</v>
      </c>
      <c r="B1251" s="54">
        <v>249.8056</v>
      </c>
      <c r="C1251" s="54">
        <v>246.2636</v>
      </c>
      <c r="D1251" s="54">
        <v>248.49780000000001</v>
      </c>
      <c r="E1251" s="54">
        <v>23070938</v>
      </c>
      <c r="F1251" s="54" t="s">
        <v>2069</v>
      </c>
      <c r="G1251" s="25">
        <f t="shared" si="18"/>
        <v>-7.320789157892027E-3</v>
      </c>
    </row>
    <row r="1252" spans="1:7">
      <c r="A1252" s="54">
        <v>249.47739999999999</v>
      </c>
      <c r="B1252" s="54">
        <v>250.15299999999999</v>
      </c>
      <c r="C1252" s="54">
        <v>247.87530000000001</v>
      </c>
      <c r="D1252" s="54">
        <v>248.2877</v>
      </c>
      <c r="E1252" s="54">
        <v>23837469</v>
      </c>
      <c r="F1252" s="54" t="s">
        <v>2070</v>
      </c>
      <c r="G1252" s="25">
        <f t="shared" si="18"/>
        <v>4.7916187551779732E-3</v>
      </c>
    </row>
    <row r="1253" spans="1:7">
      <c r="A1253" s="54">
        <v>246.98740000000001</v>
      </c>
      <c r="B1253" s="54">
        <v>248.68600000000001</v>
      </c>
      <c r="C1253" s="54">
        <v>245.7424</v>
      </c>
      <c r="D1253" s="54">
        <v>245.82919999999999</v>
      </c>
      <c r="E1253" s="54">
        <v>27148668</v>
      </c>
      <c r="F1253" s="54" t="s">
        <v>2071</v>
      </c>
      <c r="G1253" s="25">
        <f t="shared" si="18"/>
        <v>4.7114012493227886E-3</v>
      </c>
    </row>
    <row r="1254" spans="1:7">
      <c r="A1254" s="54">
        <v>246.92949999999999</v>
      </c>
      <c r="B1254" s="54">
        <v>247.06460000000001</v>
      </c>
      <c r="C1254" s="54">
        <v>243.63839999999999</v>
      </c>
      <c r="D1254" s="54">
        <v>244.05340000000001</v>
      </c>
      <c r="E1254" s="54">
        <v>24326833</v>
      </c>
      <c r="F1254" s="54" t="s">
        <v>2072</v>
      </c>
      <c r="G1254" s="25">
        <f t="shared" si="18"/>
        <v>1.1784715967898762E-2</v>
      </c>
    </row>
    <row r="1255" spans="1:7">
      <c r="A1255" s="54">
        <v>244.42009999999999</v>
      </c>
      <c r="B1255" s="54">
        <v>245.27809999999999</v>
      </c>
      <c r="C1255" s="54">
        <v>243.21369999999999</v>
      </c>
      <c r="D1255" s="54">
        <v>243.95689999999999</v>
      </c>
      <c r="E1255" s="54">
        <v>23625197</v>
      </c>
      <c r="F1255" s="54" t="s">
        <v>2073</v>
      </c>
      <c r="G1255" s="25">
        <f t="shared" si="18"/>
        <v>1.8986960401612407E-3</v>
      </c>
    </row>
    <row r="1256" spans="1:7">
      <c r="A1256" s="54">
        <v>241.18690000000001</v>
      </c>
      <c r="B1256" s="54">
        <v>242.18100000000001</v>
      </c>
      <c r="C1256" s="54">
        <v>238.57140000000001</v>
      </c>
      <c r="D1256" s="54">
        <v>239.16980000000001</v>
      </c>
      <c r="E1256" s="54">
        <v>22719835</v>
      </c>
      <c r="F1256" s="54" t="s">
        <v>2074</v>
      </c>
      <c r="G1256" s="25">
        <f t="shared" si="18"/>
        <v>8.4337571047850002E-3</v>
      </c>
    </row>
    <row r="1257" spans="1:7">
      <c r="A1257" s="54">
        <v>239.21809999999999</v>
      </c>
      <c r="B1257" s="54">
        <v>240.70439999999999</v>
      </c>
      <c r="C1257" s="54">
        <v>238.2722</v>
      </c>
      <c r="D1257" s="54">
        <v>238.9768</v>
      </c>
      <c r="E1257" s="54">
        <v>22931923</v>
      </c>
      <c r="F1257" s="54" t="s">
        <v>2075</v>
      </c>
      <c r="G1257" s="25">
        <f t="shared" si="18"/>
        <v>1.0097214457638337E-3</v>
      </c>
    </row>
    <row r="1258" spans="1:7">
      <c r="A1258" s="54">
        <v>240.38589999999999</v>
      </c>
      <c r="B1258" s="54">
        <v>241.2449</v>
      </c>
      <c r="C1258" s="54">
        <v>234.238</v>
      </c>
      <c r="D1258" s="54">
        <v>234.29589999999999</v>
      </c>
      <c r="E1258" s="54">
        <v>36910609</v>
      </c>
      <c r="F1258" s="54" t="s">
        <v>2076</v>
      </c>
      <c r="G1258" s="25">
        <f t="shared" si="18"/>
        <v>2.5992772387395613E-2</v>
      </c>
    </row>
    <row r="1259" spans="1:7">
      <c r="A1259" s="54">
        <v>233.90020000000001</v>
      </c>
      <c r="B1259" s="54">
        <v>234.37309999999999</v>
      </c>
      <c r="C1259" s="54">
        <v>229.75020000000001</v>
      </c>
      <c r="D1259" s="54">
        <v>230.15549999999999</v>
      </c>
      <c r="E1259" s="54">
        <v>30337982</v>
      </c>
      <c r="F1259" s="54" t="s">
        <v>2077</v>
      </c>
      <c r="G1259" s="25">
        <f t="shared" si="18"/>
        <v>1.6270304207372854E-2</v>
      </c>
    </row>
    <row r="1260" spans="1:7">
      <c r="A1260" s="54">
        <v>227.5496</v>
      </c>
      <c r="B1260" s="54">
        <v>230.76349999999999</v>
      </c>
      <c r="C1260" s="54">
        <v>224.28749999999999</v>
      </c>
      <c r="D1260" s="54">
        <v>224.7893</v>
      </c>
      <c r="E1260" s="54">
        <v>43623471</v>
      </c>
      <c r="F1260" s="54" t="s">
        <v>2078</v>
      </c>
      <c r="G1260" s="25">
        <f t="shared" si="18"/>
        <v>1.2279499068683419E-2</v>
      </c>
    </row>
    <row r="1261" spans="1:7">
      <c r="A1261" s="54">
        <v>223.7663</v>
      </c>
      <c r="B1261" s="54">
        <v>225.69649999999999</v>
      </c>
      <c r="C1261" s="54">
        <v>223.04239999999999</v>
      </c>
      <c r="D1261" s="54">
        <v>225.38290000000001</v>
      </c>
      <c r="E1261" s="54">
        <v>24792012</v>
      </c>
      <c r="F1261" s="54" t="s">
        <v>2079</v>
      </c>
      <c r="G1261" s="25">
        <f t="shared" si="18"/>
        <v>-7.1726825770721536E-3</v>
      </c>
    </row>
    <row r="1262" spans="1:7">
      <c r="A1262" s="54">
        <v>227.03809999999999</v>
      </c>
      <c r="B1262" s="54">
        <v>228.5437</v>
      </c>
      <c r="C1262" s="54">
        <v>223.79519999999999</v>
      </c>
      <c r="D1262" s="54">
        <v>228.34100000000001</v>
      </c>
      <c r="E1262" s="54">
        <v>25227455</v>
      </c>
      <c r="F1262" s="54" t="s">
        <v>2080</v>
      </c>
      <c r="G1262" s="25">
        <f t="shared" si="18"/>
        <v>-5.7059398005615547E-3</v>
      </c>
    </row>
    <row r="1263" spans="1:7">
      <c r="A1263" s="54">
        <v>228.23490000000001</v>
      </c>
      <c r="B1263" s="54">
        <v>228.45679999999999</v>
      </c>
      <c r="C1263" s="54">
        <v>223.47669999999999</v>
      </c>
      <c r="D1263" s="54">
        <v>223.47669999999999</v>
      </c>
      <c r="E1263" s="54">
        <v>25479853</v>
      </c>
      <c r="F1263" s="54" t="s">
        <v>2081</v>
      </c>
      <c r="G1263" s="25">
        <f t="shared" si="18"/>
        <v>2.1291705130781047E-2</v>
      </c>
    </row>
    <row r="1264" spans="1:7">
      <c r="A1264" s="54">
        <v>224.23920000000001</v>
      </c>
      <c r="B1264" s="54">
        <v>228.6788</v>
      </c>
      <c r="C1264" s="54">
        <v>223.49600000000001</v>
      </c>
      <c r="D1264" s="54">
        <v>227.096</v>
      </c>
      <c r="E1264" s="54">
        <v>34061853</v>
      </c>
      <c r="F1264" s="54" t="s">
        <v>2082</v>
      </c>
      <c r="G1264" s="25">
        <f t="shared" si="18"/>
        <v>-1.2579701976256685E-2</v>
      </c>
    </row>
    <row r="1265" spans="1:7">
      <c r="A1265" s="54">
        <v>227.25040000000001</v>
      </c>
      <c r="B1265" s="54">
        <v>229.70189999999999</v>
      </c>
      <c r="C1265" s="54">
        <v>227.11529999999999</v>
      </c>
      <c r="D1265" s="54">
        <v>229.5523</v>
      </c>
      <c r="E1265" s="54">
        <v>25620127</v>
      </c>
      <c r="F1265" s="54" t="s">
        <v>2083</v>
      </c>
      <c r="G1265" s="25">
        <f t="shared" si="18"/>
        <v>-1.0027780161645072E-2</v>
      </c>
    </row>
    <row r="1266" spans="1:7">
      <c r="A1266" s="54">
        <v>229.29650000000001</v>
      </c>
      <c r="B1266" s="54">
        <v>232.6455</v>
      </c>
      <c r="C1266" s="54">
        <v>228.80430000000001</v>
      </c>
      <c r="D1266" s="54">
        <v>229.20480000000001</v>
      </c>
      <c r="E1266" s="54">
        <v>31638376</v>
      </c>
      <c r="F1266" s="54" t="s">
        <v>2084</v>
      </c>
      <c r="G1266" s="25">
        <f t="shared" si="18"/>
        <v>4.0007888141957437E-4</v>
      </c>
    </row>
    <row r="1267" spans="1:7">
      <c r="A1267" s="54">
        <v>227.7619</v>
      </c>
      <c r="B1267" s="54">
        <v>228.64019999999999</v>
      </c>
      <c r="C1267" s="54">
        <v>222.11590000000001</v>
      </c>
      <c r="D1267" s="54">
        <v>222.2414</v>
      </c>
      <c r="E1267" s="54">
        <v>30127005</v>
      </c>
      <c r="F1267" s="54" t="s">
        <v>2085</v>
      </c>
      <c r="G1267" s="25">
        <f t="shared" si="18"/>
        <v>2.4840106298826381E-2</v>
      </c>
    </row>
    <row r="1268" spans="1:7">
      <c r="A1268" s="54">
        <v>222.3186</v>
      </c>
      <c r="B1268" s="54">
        <v>224.36850000000001</v>
      </c>
      <c r="C1268" s="54">
        <v>221.35310000000001</v>
      </c>
      <c r="D1268" s="54">
        <v>222.96520000000001</v>
      </c>
      <c r="E1268" s="54">
        <v>46430730</v>
      </c>
      <c r="F1268" s="54" t="s">
        <v>2086</v>
      </c>
      <c r="G1268" s="25">
        <f t="shared" si="18"/>
        <v>-2.9000041262045029E-3</v>
      </c>
    </row>
    <row r="1269" spans="1:7">
      <c r="A1269" s="54">
        <v>222.67570000000001</v>
      </c>
      <c r="B1269" s="54">
        <v>226.0247</v>
      </c>
      <c r="C1269" s="54">
        <v>222.29929999999999</v>
      </c>
      <c r="D1269" s="54">
        <v>224.45150000000001</v>
      </c>
      <c r="E1269" s="54">
        <v>34852251</v>
      </c>
      <c r="F1269" s="54" t="s">
        <v>2087</v>
      </c>
      <c r="G1269" s="25">
        <f t="shared" si="18"/>
        <v>-7.9117314876487876E-3</v>
      </c>
    </row>
    <row r="1270" spans="1:7">
      <c r="A1270" s="54">
        <v>228.77529999999999</v>
      </c>
      <c r="B1270" s="54">
        <v>230.23269999999999</v>
      </c>
      <c r="C1270" s="54">
        <v>225.09819999999999</v>
      </c>
      <c r="D1270" s="54">
        <v>227.91640000000001</v>
      </c>
      <c r="E1270" s="54">
        <v>29562100</v>
      </c>
      <c r="F1270" s="54" t="s">
        <v>2088</v>
      </c>
      <c r="G1270" s="25">
        <f t="shared" si="18"/>
        <v>3.7684870417398209E-3</v>
      </c>
    </row>
    <row r="1271" spans="1:7">
      <c r="A1271" s="54">
        <v>229.422</v>
      </c>
      <c r="B1271" s="54">
        <v>231.68520000000001</v>
      </c>
      <c r="C1271" s="54">
        <v>227.71369999999999</v>
      </c>
      <c r="D1271" s="54">
        <v>228.04179999999999</v>
      </c>
      <c r="E1271" s="54">
        <v>28092196</v>
      </c>
      <c r="F1271" s="54" t="s">
        <v>2089</v>
      </c>
      <c r="G1271" s="25">
        <f t="shared" si="18"/>
        <v>6.0523991654162224E-3</v>
      </c>
    </row>
    <row r="1272" spans="1:7">
      <c r="A1272" s="54">
        <v>226.62309999999999</v>
      </c>
      <c r="B1272" s="54">
        <v>226.98500000000001</v>
      </c>
      <c r="C1272" s="54">
        <v>223.7277</v>
      </c>
      <c r="D1272" s="54">
        <v>226.76779999999999</v>
      </c>
      <c r="E1272" s="54">
        <v>26042669</v>
      </c>
      <c r="F1272" s="54" t="s">
        <v>2090</v>
      </c>
      <c r="G1272" s="25">
        <f t="shared" si="18"/>
        <v>-6.3809764878430819E-4</v>
      </c>
    </row>
    <row r="1273" spans="1:7">
      <c r="A1273" s="54">
        <v>227.53030000000001</v>
      </c>
      <c r="B1273" s="54">
        <v>227.59790000000001</v>
      </c>
      <c r="C1273" s="54">
        <v>225.09819999999999</v>
      </c>
      <c r="D1273" s="54">
        <v>225.851</v>
      </c>
      <c r="E1273" s="54">
        <v>22653662</v>
      </c>
      <c r="F1273" s="54" t="s">
        <v>2091</v>
      </c>
      <c r="G1273" s="25">
        <f t="shared" si="18"/>
        <v>7.4354330952708381E-3</v>
      </c>
    </row>
    <row r="1274" spans="1:7">
      <c r="A1274" s="54">
        <v>228.8622</v>
      </c>
      <c r="B1274" s="54">
        <v>230.83109999999999</v>
      </c>
      <c r="C1274" s="54">
        <v>226.1405</v>
      </c>
      <c r="D1274" s="54">
        <v>226.76779999999999</v>
      </c>
      <c r="E1274" s="54">
        <v>29907586</v>
      </c>
      <c r="F1274" s="54" t="s">
        <v>2092</v>
      </c>
      <c r="G1274" s="25">
        <f t="shared" si="18"/>
        <v>9.2358791680300367E-3</v>
      </c>
    </row>
    <row r="1275" spans="1:7">
      <c r="A1275" s="54">
        <v>224.31639999999999</v>
      </c>
      <c r="B1275" s="54">
        <v>228.73670000000001</v>
      </c>
      <c r="C1275" s="54">
        <v>223.94970000000001</v>
      </c>
      <c r="D1275" s="54">
        <v>228.73670000000001</v>
      </c>
      <c r="E1275" s="54">
        <v>29746812</v>
      </c>
      <c r="F1275" s="54" t="s">
        <v>2093</v>
      </c>
      <c r="G1275" s="25">
        <f t="shared" si="18"/>
        <v>-1.9324839433287333E-2</v>
      </c>
    </row>
    <row r="1276" spans="1:7">
      <c r="A1276" s="54">
        <v>225.62899999999999</v>
      </c>
      <c r="B1276" s="54">
        <v>227.17699999999999</v>
      </c>
      <c r="C1276" s="54">
        <v>223.5926</v>
      </c>
      <c r="D1276" s="54">
        <v>224.7604</v>
      </c>
      <c r="E1276" s="54">
        <v>33080531</v>
      </c>
      <c r="F1276" s="54" t="s">
        <v>2094</v>
      </c>
      <c r="G1276" s="25">
        <f t="shared" si="18"/>
        <v>3.864559771205256E-3</v>
      </c>
    </row>
    <row r="1277" spans="1:7">
      <c r="A1277" s="54">
        <v>219.46180000000001</v>
      </c>
      <c r="B1277" s="54">
        <v>225.2285</v>
      </c>
      <c r="C1277" s="54">
        <v>219.21080000000001</v>
      </c>
      <c r="D1277" s="54">
        <v>223.303</v>
      </c>
      <c r="E1277" s="54">
        <v>35267440</v>
      </c>
      <c r="F1277" s="54" t="s">
        <v>2095</v>
      </c>
      <c r="G1277" s="25">
        <f t="shared" si="18"/>
        <v>-1.7201739340716338E-2</v>
      </c>
    </row>
    <row r="1278" spans="1:7">
      <c r="A1278" s="54">
        <v>223.52500000000001</v>
      </c>
      <c r="B1278" s="54">
        <v>225.13679999999999</v>
      </c>
      <c r="C1278" s="54">
        <v>218.5642</v>
      </c>
      <c r="D1278" s="54">
        <v>221.51410000000001</v>
      </c>
      <c r="E1278" s="54">
        <v>41872770</v>
      </c>
      <c r="F1278" s="54" t="s">
        <v>2096</v>
      </c>
      <c r="G1278" s="25">
        <f t="shared" si="18"/>
        <v>9.0779774289762027E-3</v>
      </c>
    </row>
    <row r="1279" spans="1:7">
      <c r="A1279" s="54">
        <v>218.82480000000001</v>
      </c>
      <c r="B1279" s="54">
        <v>224.38399999999999</v>
      </c>
      <c r="C1279" s="54">
        <v>216.4409</v>
      </c>
      <c r="D1279" s="54">
        <v>218.8296</v>
      </c>
      <c r="E1279" s="54">
        <v>44727785</v>
      </c>
      <c r="F1279" s="54" t="s">
        <v>2097</v>
      </c>
      <c r="G1279" s="25">
        <f t="shared" si="18"/>
        <v>-2.193487535506744E-5</v>
      </c>
    </row>
    <row r="1280" spans="1:7">
      <c r="A1280" s="54">
        <v>219.6259</v>
      </c>
      <c r="B1280" s="54">
        <v>225.4359</v>
      </c>
      <c r="C1280" s="54">
        <v>219.33629999999999</v>
      </c>
      <c r="D1280" s="54">
        <v>224.06059999999999</v>
      </c>
      <c r="E1280" s="54">
        <v>34029526</v>
      </c>
      <c r="F1280" s="54" t="s">
        <v>2098</v>
      </c>
      <c r="G1280" s="25">
        <f t="shared" si="18"/>
        <v>-1.9792413302472611E-2</v>
      </c>
    </row>
    <row r="1281" spans="1:7">
      <c r="A1281" s="54">
        <v>225.7159</v>
      </c>
      <c r="B1281" s="54">
        <v>229.02629999999999</v>
      </c>
      <c r="C1281" s="54">
        <v>225.31049999999999</v>
      </c>
      <c r="D1281" s="54">
        <v>228.74639999999999</v>
      </c>
      <c r="E1281" s="54">
        <v>22812459</v>
      </c>
      <c r="F1281" s="54" t="s">
        <v>2099</v>
      </c>
      <c r="G1281" s="25">
        <f t="shared" si="18"/>
        <v>-1.324829592946597E-2</v>
      </c>
    </row>
    <row r="1282" spans="1:7">
      <c r="A1282" s="54">
        <v>228.6788</v>
      </c>
      <c r="B1282" s="54">
        <v>229.19030000000001</v>
      </c>
      <c r="C1282" s="54">
        <v>225.02099999999999</v>
      </c>
      <c r="D1282" s="54">
        <v>227.67509999999999</v>
      </c>
      <c r="E1282" s="54">
        <v>25332837</v>
      </c>
      <c r="F1282" s="54" t="s">
        <v>2100</v>
      </c>
      <c r="G1282" s="25">
        <f t="shared" si="18"/>
        <v>4.4084750594157729E-3</v>
      </c>
    </row>
    <row r="1283" spans="1:7">
      <c r="A1283" s="54">
        <v>224.27780000000001</v>
      </c>
      <c r="B1283" s="54">
        <v>227.1636</v>
      </c>
      <c r="C1283" s="54">
        <v>221.5368</v>
      </c>
      <c r="D1283" s="54">
        <v>223.45259999999999</v>
      </c>
      <c r="E1283" s="54">
        <v>37819227</v>
      </c>
      <c r="F1283" s="54" t="s">
        <v>2101</v>
      </c>
      <c r="G1283" s="25">
        <f t="shared" si="18"/>
        <v>3.6929532258744846E-3</v>
      </c>
    </row>
    <row r="1284" spans="1:7">
      <c r="A1284" s="54">
        <v>221.006</v>
      </c>
      <c r="B1284" s="54">
        <v>226.40610000000001</v>
      </c>
      <c r="C1284" s="54">
        <v>219.93469999999999</v>
      </c>
      <c r="D1284" s="54">
        <v>223.98830000000001</v>
      </c>
      <c r="E1284" s="54">
        <v>39542235</v>
      </c>
      <c r="F1284" s="54" t="s">
        <v>2102</v>
      </c>
      <c r="G1284" s="25">
        <f t="shared" si="18"/>
        <v>-1.3314534732394523E-2</v>
      </c>
    </row>
    <row r="1285" spans="1:7">
      <c r="A1285" s="54">
        <v>226.37209999999999</v>
      </c>
      <c r="B1285" s="54">
        <v>226.99950000000001</v>
      </c>
      <c r="C1285" s="54">
        <v>221.01560000000001</v>
      </c>
      <c r="D1285" s="54">
        <v>221.99039999999999</v>
      </c>
      <c r="E1285" s="54">
        <v>26339746</v>
      </c>
      <c r="F1285" s="54" t="s">
        <v>2103</v>
      </c>
      <c r="G1285" s="25">
        <f t="shared" si="18"/>
        <v>1.9738240932941187E-2</v>
      </c>
    </row>
    <row r="1286" spans="1:7">
      <c r="A1286" s="54">
        <v>225.13679999999999</v>
      </c>
      <c r="B1286" s="54">
        <v>226.64240000000001</v>
      </c>
      <c r="C1286" s="54">
        <v>220.7551</v>
      </c>
      <c r="D1286" s="54">
        <v>222.2945</v>
      </c>
      <c r="E1286" s="54">
        <v>30228704</v>
      </c>
      <c r="F1286" s="54" t="s">
        <v>2104</v>
      </c>
      <c r="G1286" s="25">
        <f t="shared" si="18"/>
        <v>1.2786191291282556E-2</v>
      </c>
    </row>
    <row r="1287" spans="1:7">
      <c r="A1287" s="54">
        <v>226.33349999999999</v>
      </c>
      <c r="B1287" s="54">
        <v>229.6343</v>
      </c>
      <c r="C1287" s="54">
        <v>224.2971</v>
      </c>
      <c r="D1287" s="54">
        <v>229.1421</v>
      </c>
      <c r="E1287" s="54">
        <v>36446936</v>
      </c>
      <c r="F1287" s="54" t="s">
        <v>2105</v>
      </c>
      <c r="G1287" s="25">
        <f t="shared" si="18"/>
        <v>-1.2257023043779403E-2</v>
      </c>
    </row>
    <row r="1288" spans="1:7">
      <c r="A1288" s="54">
        <v>232.56829999999999</v>
      </c>
      <c r="B1288" s="54">
        <v>235.35749999999999</v>
      </c>
      <c r="C1288" s="54">
        <v>231.8058</v>
      </c>
      <c r="D1288" s="54">
        <v>235.25139999999999</v>
      </c>
      <c r="E1288" s="54">
        <v>25262600</v>
      </c>
      <c r="F1288" s="54" t="s">
        <v>2106</v>
      </c>
      <c r="G1288" s="25">
        <f t="shared" si="18"/>
        <v>-1.1405245622342686E-2</v>
      </c>
    </row>
    <row r="1289" spans="1:7">
      <c r="A1289" s="54">
        <v>235.29</v>
      </c>
      <c r="B1289" s="54">
        <v>235.42509999999999</v>
      </c>
      <c r="C1289" s="54">
        <v>232.46209999999999</v>
      </c>
      <c r="D1289" s="54">
        <v>233.36940000000001</v>
      </c>
      <c r="E1289" s="54">
        <v>16925563</v>
      </c>
      <c r="F1289" s="54" t="s">
        <v>2107</v>
      </c>
      <c r="G1289" s="25">
        <f t="shared" si="18"/>
        <v>8.229870754263402E-3</v>
      </c>
    </row>
    <row r="1290" spans="1:7">
      <c r="A1290" s="54">
        <v>235.6857</v>
      </c>
      <c r="B1290" s="54">
        <v>235.79179999999999</v>
      </c>
      <c r="C1290" s="54">
        <v>232.5393</v>
      </c>
      <c r="D1290" s="54">
        <v>232.90610000000001</v>
      </c>
      <c r="E1290" s="54">
        <v>21673109</v>
      </c>
      <c r="F1290" s="54" t="s">
        <v>2108</v>
      </c>
      <c r="G1290" s="25">
        <f t="shared" si="18"/>
        <v>1.1934423357739421E-2</v>
      </c>
    </row>
    <row r="1291" spans="1:7">
      <c r="A1291" s="54">
        <v>234.6626</v>
      </c>
      <c r="B1291" s="54">
        <v>237.0025</v>
      </c>
      <c r="C1291" s="54">
        <v>233.91159999999999</v>
      </c>
      <c r="D1291" s="54">
        <v>235.94329999999999</v>
      </c>
      <c r="E1291" s="54">
        <v>26728487</v>
      </c>
      <c r="F1291" s="54" t="s">
        <v>2109</v>
      </c>
      <c r="G1291" s="25">
        <f t="shared" si="18"/>
        <v>-5.4279990150175594E-3</v>
      </c>
    </row>
    <row r="1292" spans="1:7">
      <c r="A1292" s="54">
        <v>235.90479999999999</v>
      </c>
      <c r="B1292" s="54">
        <v>236.20330000000001</v>
      </c>
      <c r="C1292" s="54">
        <v>233.7286</v>
      </c>
      <c r="D1292" s="54">
        <v>234.88720000000001</v>
      </c>
      <c r="E1292" s="54">
        <v>16561079</v>
      </c>
      <c r="F1292" s="54" t="s">
        <v>2110</v>
      </c>
      <c r="G1292" s="25">
        <f t="shared" si="18"/>
        <v>4.3322922662452079E-3</v>
      </c>
    </row>
    <row r="1293" spans="1:7">
      <c r="A1293" s="54">
        <v>235.42330000000001</v>
      </c>
      <c r="B1293" s="54">
        <v>236.05889999999999</v>
      </c>
      <c r="C1293" s="54">
        <v>233.17009999999999</v>
      </c>
      <c r="D1293" s="54">
        <v>235.70259999999999</v>
      </c>
      <c r="E1293" s="54">
        <v>15751059</v>
      </c>
      <c r="F1293" s="54" t="s">
        <v>2111</v>
      </c>
      <c r="G1293" s="25">
        <f t="shared" si="18"/>
        <v>-1.1849678365871696E-3</v>
      </c>
    </row>
    <row r="1294" spans="1:7">
      <c r="A1294" s="54">
        <v>233.81530000000001</v>
      </c>
      <c r="B1294" s="54">
        <v>236.80029999999999</v>
      </c>
      <c r="C1294" s="54">
        <v>231.95679999999999</v>
      </c>
      <c r="D1294" s="54">
        <v>235.9144</v>
      </c>
      <c r="E1294" s="54">
        <v>22186706</v>
      </c>
      <c r="F1294" s="54" t="s">
        <v>2112</v>
      </c>
      <c r="G1294" s="25">
        <f t="shared" si="18"/>
        <v>-8.8977188336107904E-3</v>
      </c>
    </row>
    <row r="1295" spans="1:7">
      <c r="A1295" s="54">
        <v>234.73</v>
      </c>
      <c r="B1295" s="54">
        <v>235.6833</v>
      </c>
      <c r="C1295" s="54">
        <v>232.42869999999999</v>
      </c>
      <c r="D1295" s="54">
        <v>232.90049999999999</v>
      </c>
      <c r="E1295" s="54">
        <v>23564953</v>
      </c>
      <c r="F1295" s="54" t="s">
        <v>2113</v>
      </c>
      <c r="G1295" s="25">
        <f t="shared" si="18"/>
        <v>7.8552858409492998E-3</v>
      </c>
    </row>
    <row r="1296" spans="1:7">
      <c r="A1296" s="54">
        <v>233.47829999999999</v>
      </c>
      <c r="B1296" s="54">
        <v>234.64340000000001</v>
      </c>
      <c r="C1296" s="54">
        <v>231.87979999999999</v>
      </c>
      <c r="D1296" s="54">
        <v>234.13300000000001</v>
      </c>
      <c r="E1296" s="54">
        <v>22211929</v>
      </c>
      <c r="F1296" s="54" t="s">
        <v>2114</v>
      </c>
      <c r="G1296" s="25">
        <f t="shared" si="18"/>
        <v>-2.7962739126907721E-3</v>
      </c>
    </row>
    <row r="1297" spans="1:7">
      <c r="A1297" s="54">
        <v>233.2183</v>
      </c>
      <c r="B1297" s="54">
        <v>234.25819999999999</v>
      </c>
      <c r="C1297" s="54">
        <v>231.5043</v>
      </c>
      <c r="D1297" s="54">
        <v>233.24719999999999</v>
      </c>
      <c r="E1297" s="54">
        <v>18054752</v>
      </c>
      <c r="F1297" s="54" t="s">
        <v>2115</v>
      </c>
      <c r="G1297" s="25">
        <f t="shared" si="18"/>
        <v>-1.2390288072050559E-4</v>
      </c>
    </row>
    <row r="1298" spans="1:7">
      <c r="A1298" s="54">
        <v>233.03530000000001</v>
      </c>
      <c r="B1298" s="54">
        <v>234.21960000000001</v>
      </c>
      <c r="C1298" s="54">
        <v>231.45609999999999</v>
      </c>
      <c r="D1298" s="54">
        <v>233.66120000000001</v>
      </c>
      <c r="E1298" s="54">
        <v>25296100</v>
      </c>
      <c r="F1298" s="54" t="s">
        <v>2116</v>
      </c>
      <c r="G1298" s="25">
        <f t="shared" si="18"/>
        <v>-2.6786646649079593E-3</v>
      </c>
    </row>
    <row r="1299" spans="1:7">
      <c r="A1299" s="54">
        <v>233.98859999999999</v>
      </c>
      <c r="B1299" s="54">
        <v>236.00110000000001</v>
      </c>
      <c r="C1299" s="54">
        <v>230.38730000000001</v>
      </c>
      <c r="D1299" s="54">
        <v>230.6858</v>
      </c>
      <c r="E1299" s="54">
        <v>27158104</v>
      </c>
      <c r="F1299" s="54" t="s">
        <v>2117</v>
      </c>
      <c r="G1299" s="25">
        <f t="shared" si="18"/>
        <v>1.4317309517967614E-2</v>
      </c>
    </row>
    <row r="1300" spans="1:7">
      <c r="A1300" s="54">
        <v>230.62799999999999</v>
      </c>
      <c r="B1300" s="54">
        <v>233.32419999999999</v>
      </c>
      <c r="C1300" s="54">
        <v>229.83840000000001</v>
      </c>
      <c r="D1300" s="54">
        <v>232.35159999999999</v>
      </c>
      <c r="E1300" s="54">
        <v>25916337</v>
      </c>
      <c r="F1300" s="54" t="s">
        <v>2118</v>
      </c>
      <c r="G1300" s="25">
        <f t="shared" si="18"/>
        <v>-7.4180681346718291E-3</v>
      </c>
    </row>
    <row r="1301" spans="1:7">
      <c r="A1301" s="54">
        <v>230.7628</v>
      </c>
      <c r="B1301" s="54">
        <v>233.50710000000001</v>
      </c>
      <c r="C1301" s="54">
        <v>223.81059999999999</v>
      </c>
      <c r="D1301" s="54">
        <v>226.34299999999999</v>
      </c>
      <c r="E1301" s="54">
        <v>33314193</v>
      </c>
      <c r="F1301" s="54" t="s">
        <v>2119</v>
      </c>
      <c r="G1301" s="25">
        <f t="shared" si="18"/>
        <v>1.9527001055919646E-2</v>
      </c>
    </row>
    <row r="1302" spans="1:7">
      <c r="A1302" s="54">
        <v>223.358</v>
      </c>
      <c r="B1302" s="54">
        <v>229.19329999999999</v>
      </c>
      <c r="C1302" s="54">
        <v>222.7706</v>
      </c>
      <c r="D1302" s="54">
        <v>227.23859999999999</v>
      </c>
      <c r="E1302" s="54">
        <v>42503138</v>
      </c>
      <c r="F1302" s="54" t="s">
        <v>2120</v>
      </c>
      <c r="G1302" s="25">
        <f t="shared" si="18"/>
        <v>-1.7077204312999639E-2</v>
      </c>
    </row>
    <row r="1303" spans="1:7">
      <c r="A1303" s="54">
        <v>230.06950000000001</v>
      </c>
      <c r="B1303" s="54">
        <v>233.642</v>
      </c>
      <c r="C1303" s="54">
        <v>226.37190000000001</v>
      </c>
      <c r="D1303" s="54">
        <v>226.87270000000001</v>
      </c>
      <c r="E1303" s="54">
        <v>49111159</v>
      </c>
      <c r="F1303" s="54" t="s">
        <v>2121</v>
      </c>
      <c r="G1303" s="25">
        <f t="shared" si="18"/>
        <v>1.4090721360481062E-2</v>
      </c>
    </row>
    <row r="1304" spans="1:7">
      <c r="A1304" s="54">
        <v>224.26310000000001</v>
      </c>
      <c r="B1304" s="54">
        <v>231.52350000000001</v>
      </c>
      <c r="C1304" s="54">
        <v>221.60550000000001</v>
      </c>
      <c r="D1304" s="54">
        <v>229.17400000000001</v>
      </c>
      <c r="E1304" s="54">
        <v>69870638</v>
      </c>
      <c r="F1304" s="54" t="s">
        <v>2122</v>
      </c>
      <c r="G1304" s="25">
        <f t="shared" ref="G1304:G1367" si="19">A1304/D1304-1</f>
        <v>-2.1428696099906608E-2</v>
      </c>
    </row>
    <row r="1305" spans="1:7">
      <c r="A1305" s="54">
        <v>223.71430000000001</v>
      </c>
      <c r="B1305" s="54">
        <v>225.4957</v>
      </c>
      <c r="C1305" s="54">
        <v>221.54769999999999</v>
      </c>
      <c r="D1305" s="54">
        <v>223.26169999999999</v>
      </c>
      <c r="E1305" s="54">
        <v>49169601</v>
      </c>
      <c r="F1305" s="54" t="s">
        <v>2123</v>
      </c>
      <c r="G1305" s="25">
        <f t="shared" si="19"/>
        <v>2.0272173865916177E-3</v>
      </c>
    </row>
    <row r="1306" spans="1:7">
      <c r="A1306" s="54">
        <v>221.0181</v>
      </c>
      <c r="B1306" s="54">
        <v>221.25890000000001</v>
      </c>
      <c r="C1306" s="54">
        <v>215.905</v>
      </c>
      <c r="D1306" s="54">
        <v>220.6233</v>
      </c>
      <c r="E1306" s="54">
        <v>33152095</v>
      </c>
      <c r="F1306" s="54" t="s">
        <v>2124</v>
      </c>
      <c r="G1306" s="25">
        <f t="shared" si="19"/>
        <v>1.7894755449674449E-3</v>
      </c>
    </row>
    <row r="1307" spans="1:7">
      <c r="A1307" s="54">
        <v>217.57089999999999</v>
      </c>
      <c r="B1307" s="54">
        <v>221.53809999999999</v>
      </c>
      <c r="C1307" s="54">
        <v>217.4264</v>
      </c>
      <c r="D1307" s="54">
        <v>218.65899999999999</v>
      </c>
      <c r="E1307" s="54">
        <v>30172663</v>
      </c>
      <c r="F1307" s="54" t="s">
        <v>2125</v>
      </c>
      <c r="G1307" s="25">
        <f t="shared" si="19"/>
        <v>-4.9762415450541608E-3</v>
      </c>
    </row>
    <row r="1308" spans="1:7">
      <c r="A1308" s="54">
        <v>216.62719999999999</v>
      </c>
      <c r="B1308" s="54">
        <v>217.90790000000001</v>
      </c>
      <c r="C1308" s="54">
        <v>214.17179999999999</v>
      </c>
      <c r="D1308" s="54">
        <v>216.3672</v>
      </c>
      <c r="E1308" s="54">
        <v>30749553</v>
      </c>
      <c r="F1308" s="54" t="s">
        <v>2126</v>
      </c>
      <c r="G1308" s="25">
        <f t="shared" si="19"/>
        <v>1.2016608802072337E-3</v>
      </c>
    </row>
    <row r="1309" spans="1:7">
      <c r="A1309" s="54">
        <v>216.0206</v>
      </c>
      <c r="B1309" s="54">
        <v>217.41679999999999</v>
      </c>
      <c r="C1309" s="54">
        <v>209.2328</v>
      </c>
      <c r="D1309" s="54">
        <v>209.6268</v>
      </c>
      <c r="E1309" s="54">
        <v>37777260</v>
      </c>
      <c r="F1309" s="54" t="s">
        <v>2127</v>
      </c>
      <c r="G1309" s="25">
        <f t="shared" si="19"/>
        <v>3.0500871071828639E-2</v>
      </c>
    </row>
    <row r="1310" spans="1:7">
      <c r="A1310" s="54">
        <v>208.4136</v>
      </c>
      <c r="B1310" s="54">
        <v>208.93350000000001</v>
      </c>
      <c r="C1310" s="54">
        <v>204.7448</v>
      </c>
      <c r="D1310" s="54">
        <v>205.82329999999999</v>
      </c>
      <c r="E1310" s="54">
        <v>30480859</v>
      </c>
      <c r="F1310" s="54" t="s">
        <v>2128</v>
      </c>
      <c r="G1310" s="25">
        <f t="shared" si="19"/>
        <v>1.258506689961747E-2</v>
      </c>
    </row>
    <row r="1311" spans="1:7">
      <c r="A1311" s="54">
        <v>204.76410000000001</v>
      </c>
      <c r="B1311" s="54">
        <v>206.55510000000001</v>
      </c>
      <c r="C1311" s="54">
        <v>204.1671</v>
      </c>
      <c r="D1311" s="54">
        <v>205.6018</v>
      </c>
      <c r="E1311" s="54">
        <v>31746512</v>
      </c>
      <c r="F1311" s="54" t="s">
        <v>2129</v>
      </c>
      <c r="G1311" s="25">
        <f t="shared" si="19"/>
        <v>-4.0743806717644659E-3</v>
      </c>
    </row>
    <row r="1312" spans="1:7">
      <c r="A1312" s="54">
        <v>205.12039999999999</v>
      </c>
      <c r="B1312" s="54">
        <v>209.39570000000001</v>
      </c>
      <c r="C1312" s="54">
        <v>204.85079999999999</v>
      </c>
      <c r="D1312" s="54">
        <v>207.9032</v>
      </c>
      <c r="E1312" s="54">
        <v>29346737</v>
      </c>
      <c r="F1312" s="54" t="s">
        <v>2130</v>
      </c>
      <c r="G1312" s="25">
        <f t="shared" si="19"/>
        <v>-1.3385075361995402E-2</v>
      </c>
    </row>
    <row r="1313" spans="1:7">
      <c r="A1313" s="54">
        <v>208.31729999999999</v>
      </c>
      <c r="B1313" s="54">
        <v>208.7217</v>
      </c>
      <c r="C1313" s="54">
        <v>205.99340000000001</v>
      </c>
      <c r="D1313" s="54">
        <v>206.08330000000001</v>
      </c>
      <c r="E1313" s="54">
        <v>20087080</v>
      </c>
      <c r="F1313" s="54" t="s">
        <v>2131</v>
      </c>
      <c r="G1313" s="25">
        <f t="shared" si="19"/>
        <v>1.0840276723053099E-2</v>
      </c>
    </row>
    <row r="1314" spans="1:7">
      <c r="A1314" s="54">
        <v>206.95949999999999</v>
      </c>
      <c r="B1314" s="54">
        <v>209.04910000000001</v>
      </c>
      <c r="C1314" s="54">
        <v>205.40940000000001</v>
      </c>
      <c r="D1314" s="54">
        <v>208.47130000000001</v>
      </c>
      <c r="E1314" s="54">
        <v>23249336</v>
      </c>
      <c r="F1314" s="54" t="s">
        <v>2132</v>
      </c>
      <c r="G1314" s="25">
        <f t="shared" si="19"/>
        <v>-7.2518375431055437E-3</v>
      </c>
    </row>
    <row r="1315" spans="1:7">
      <c r="A1315" s="54">
        <v>209.4246</v>
      </c>
      <c r="B1315" s="54">
        <v>210.792</v>
      </c>
      <c r="C1315" s="54">
        <v>208.69280000000001</v>
      </c>
      <c r="D1315" s="54">
        <v>210.3683</v>
      </c>
      <c r="E1315" s="54">
        <v>23047029</v>
      </c>
      <c r="F1315" s="54" t="s">
        <v>2133</v>
      </c>
      <c r="G1315" s="25">
        <f t="shared" si="19"/>
        <v>-4.4859420359436575E-3</v>
      </c>
    </row>
    <row r="1316" spans="1:7">
      <c r="A1316" s="54">
        <v>211.47559999999999</v>
      </c>
      <c r="B1316" s="54">
        <v>212.4</v>
      </c>
      <c r="C1316" s="54">
        <v>208.97790000000001</v>
      </c>
      <c r="D1316" s="54">
        <v>210.57050000000001</v>
      </c>
      <c r="E1316" s="54">
        <v>22956206</v>
      </c>
      <c r="F1316" s="54" t="s">
        <v>2134</v>
      </c>
      <c r="G1316" s="25">
        <f t="shared" si="19"/>
        <v>4.2983228894835079E-3</v>
      </c>
    </row>
    <row r="1317" spans="1:7">
      <c r="A1317" s="54">
        <v>210.19489999999999</v>
      </c>
      <c r="B1317" s="54">
        <v>211.20599999999999</v>
      </c>
      <c r="C1317" s="54">
        <v>205.78479999999999</v>
      </c>
      <c r="D1317" s="54">
        <v>206.1026</v>
      </c>
      <c r="E1317" s="54">
        <v>27694480</v>
      </c>
      <c r="F1317" s="54" t="s">
        <v>2135</v>
      </c>
      <c r="G1317" s="25">
        <f t="shared" si="19"/>
        <v>1.9855644712875931E-2</v>
      </c>
    </row>
    <row r="1318" spans="1:7">
      <c r="A1318" s="54">
        <v>204.37889999999999</v>
      </c>
      <c r="B1318" s="54">
        <v>208.4616</v>
      </c>
      <c r="C1318" s="54">
        <v>204.0804</v>
      </c>
      <c r="D1318" s="54">
        <v>204.30189999999999</v>
      </c>
      <c r="E1318" s="54">
        <v>35930653</v>
      </c>
      <c r="F1318" s="54" t="s">
        <v>2136</v>
      </c>
      <c r="G1318" s="25">
        <f t="shared" si="19"/>
        <v>3.7689321538358911E-4</v>
      </c>
    </row>
    <row r="1319" spans="1:7">
      <c r="A1319" s="54">
        <v>209.8194</v>
      </c>
      <c r="B1319" s="54">
        <v>210.41640000000001</v>
      </c>
      <c r="C1319" s="54">
        <v>207.70099999999999</v>
      </c>
      <c r="D1319" s="54">
        <v>209.20310000000001</v>
      </c>
      <c r="E1319" s="54">
        <v>23822953</v>
      </c>
      <c r="F1319" s="54" t="s">
        <v>2137</v>
      </c>
      <c r="G1319" s="25">
        <f t="shared" si="19"/>
        <v>2.9459410496306404E-3</v>
      </c>
    </row>
    <row r="1320" spans="1:7">
      <c r="A1320" s="54">
        <v>209.6172</v>
      </c>
      <c r="B1320" s="54">
        <v>214.7303</v>
      </c>
      <c r="C1320" s="54">
        <v>206.84399999999999</v>
      </c>
      <c r="D1320" s="54">
        <v>214.27770000000001</v>
      </c>
      <c r="E1320" s="54">
        <v>37130139</v>
      </c>
      <c r="F1320" s="54" t="s">
        <v>2138</v>
      </c>
      <c r="G1320" s="25">
        <f t="shared" si="19"/>
        <v>-2.1749813443022847E-2</v>
      </c>
    </row>
    <row r="1321" spans="1:7">
      <c r="A1321" s="54">
        <v>214.17179999999999</v>
      </c>
      <c r="B1321" s="54">
        <v>214.7303</v>
      </c>
      <c r="C1321" s="54">
        <v>211.5334</v>
      </c>
      <c r="D1321" s="54">
        <v>213.4785</v>
      </c>
      <c r="E1321" s="54">
        <v>20942132</v>
      </c>
      <c r="F1321" s="54" t="s">
        <v>2139</v>
      </c>
      <c r="G1321" s="25">
        <f t="shared" si="19"/>
        <v>3.2476338366627111E-3</v>
      </c>
    </row>
    <row r="1322" spans="1:7">
      <c r="A1322" s="54">
        <v>213.45920000000001</v>
      </c>
      <c r="B1322" s="54">
        <v>217.2627</v>
      </c>
      <c r="C1322" s="54">
        <v>213.25700000000001</v>
      </c>
      <c r="D1322" s="54">
        <v>216.8776</v>
      </c>
      <c r="E1322" s="54">
        <v>20272337</v>
      </c>
      <c r="F1322" s="54" t="s">
        <v>2140</v>
      </c>
      <c r="G1322" s="25">
        <f t="shared" si="19"/>
        <v>-1.5761885967015443E-2</v>
      </c>
    </row>
    <row r="1323" spans="1:7">
      <c r="A1323" s="54">
        <v>215.83760000000001</v>
      </c>
      <c r="B1323" s="54">
        <v>218.75530000000001</v>
      </c>
      <c r="C1323" s="54">
        <v>215.28880000000001</v>
      </c>
      <c r="D1323" s="54">
        <v>217.91749999999999</v>
      </c>
      <c r="E1323" s="54">
        <v>17403213</v>
      </c>
      <c r="F1323" s="54" t="s">
        <v>2141</v>
      </c>
      <c r="G1323" s="25">
        <f t="shared" si="19"/>
        <v>-9.544437688574714E-3</v>
      </c>
    </row>
    <row r="1324" spans="1:7">
      <c r="A1324" s="54">
        <v>216.61760000000001</v>
      </c>
      <c r="B1324" s="54">
        <v>217.64789999999999</v>
      </c>
      <c r="C1324" s="54">
        <v>214.74950000000001</v>
      </c>
      <c r="D1324" s="54">
        <v>216.12649999999999</v>
      </c>
      <c r="E1324" s="54">
        <v>17933496</v>
      </c>
      <c r="F1324" s="54" t="s">
        <v>2142</v>
      </c>
      <c r="G1324" s="25">
        <f t="shared" si="19"/>
        <v>2.2722803543295811E-3</v>
      </c>
    </row>
    <row r="1325" spans="1:7">
      <c r="A1325" s="54">
        <v>214.4896</v>
      </c>
      <c r="B1325" s="54">
        <v>215.3177</v>
      </c>
      <c r="C1325" s="54">
        <v>212.99700000000001</v>
      </c>
      <c r="D1325" s="54">
        <v>213.2089</v>
      </c>
      <c r="E1325" s="54">
        <v>10550572</v>
      </c>
      <c r="F1325" s="54" t="s">
        <v>2143</v>
      </c>
      <c r="G1325" s="25">
        <f t="shared" si="19"/>
        <v>6.0067848950020597E-3</v>
      </c>
    </row>
    <row r="1326" spans="1:7">
      <c r="A1326" s="54">
        <v>212.8237</v>
      </c>
      <c r="B1326" s="54">
        <v>215.26849999999999</v>
      </c>
      <c r="C1326" s="54">
        <v>212.61189999999999</v>
      </c>
      <c r="D1326" s="54">
        <v>214.83619999999999</v>
      </c>
      <c r="E1326" s="54">
        <v>18699638</v>
      </c>
      <c r="F1326" s="54" t="s">
        <v>2144</v>
      </c>
      <c r="G1326" s="25">
        <f t="shared" si="19"/>
        <v>-9.3676019218361661E-3</v>
      </c>
    </row>
    <row r="1327" spans="1:7">
      <c r="A1327" s="54">
        <v>215.6354</v>
      </c>
      <c r="B1327" s="54">
        <v>217.2627</v>
      </c>
      <c r="C1327" s="54">
        <v>213.62289999999999</v>
      </c>
      <c r="D1327" s="54">
        <v>214.43180000000001</v>
      </c>
      <c r="E1327" s="54">
        <v>22643397</v>
      </c>
      <c r="F1327" s="54" t="s">
        <v>2145</v>
      </c>
      <c r="G1327" s="25">
        <f t="shared" si="19"/>
        <v>5.612973448900771E-3</v>
      </c>
    </row>
    <row r="1328" spans="1:7">
      <c r="A1328" s="54">
        <v>214.3355</v>
      </c>
      <c r="B1328" s="54">
        <v>215.69319999999999</v>
      </c>
      <c r="C1328" s="54">
        <v>209.2225</v>
      </c>
      <c r="D1328" s="54">
        <v>209.48240000000001</v>
      </c>
      <c r="E1328" s="54">
        <v>37181886</v>
      </c>
      <c r="F1328" s="54" t="s">
        <v>2146</v>
      </c>
      <c r="G1328" s="25">
        <f t="shared" si="19"/>
        <v>2.3167101388947176E-2</v>
      </c>
    </row>
    <row r="1329" spans="1:7">
      <c r="A1329" s="54">
        <v>210.4838</v>
      </c>
      <c r="B1329" s="54">
        <v>211.54300000000001</v>
      </c>
      <c r="C1329" s="54">
        <v>208.00909999999999</v>
      </c>
      <c r="D1329" s="54">
        <v>210.4838</v>
      </c>
      <c r="E1329" s="54">
        <v>63354922</v>
      </c>
      <c r="F1329" s="54" t="s">
        <v>2147</v>
      </c>
      <c r="G1329" s="25">
        <f t="shared" si="19"/>
        <v>0</v>
      </c>
    </row>
    <row r="1330" spans="1:7">
      <c r="A1330" s="54">
        <v>211.28299999999999</v>
      </c>
      <c r="B1330" s="54">
        <v>212.6985</v>
      </c>
      <c r="C1330" s="54">
        <v>209.83869999999999</v>
      </c>
      <c r="D1330" s="54">
        <v>211.71639999999999</v>
      </c>
      <c r="E1330" s="54">
        <v>32515784</v>
      </c>
      <c r="F1330" s="54" t="s">
        <v>2148</v>
      </c>
      <c r="G1330" s="25">
        <f t="shared" si="19"/>
        <v>-2.0470780723647053E-3</v>
      </c>
    </row>
    <row r="1331" spans="1:7">
      <c r="A1331" s="54">
        <v>211.1482</v>
      </c>
      <c r="B1331" s="54">
        <v>211.94749999999999</v>
      </c>
      <c r="C1331" s="54">
        <v>206.75729999999999</v>
      </c>
      <c r="D1331" s="54">
        <v>206.78620000000001</v>
      </c>
      <c r="E1331" s="54">
        <v>35023253</v>
      </c>
      <c r="F1331" s="54" t="s">
        <v>2149</v>
      </c>
      <c r="G1331" s="25">
        <f t="shared" si="19"/>
        <v>2.1094250970325801E-2</v>
      </c>
    </row>
    <row r="1332" spans="1:7">
      <c r="A1332" s="54">
        <v>206.1892</v>
      </c>
      <c r="B1332" s="54">
        <v>207.4314</v>
      </c>
      <c r="C1332" s="54">
        <v>204.36930000000001</v>
      </c>
      <c r="D1332" s="54">
        <v>207.1858</v>
      </c>
      <c r="E1332" s="54">
        <v>27018106</v>
      </c>
      <c r="F1332" s="54" t="s">
        <v>2150</v>
      </c>
      <c r="G1332" s="25">
        <f t="shared" si="19"/>
        <v>-4.8101752147106103E-3</v>
      </c>
    </row>
    <row r="1333" spans="1:7">
      <c r="A1333" s="54">
        <v>206.25659999999999</v>
      </c>
      <c r="B1333" s="54">
        <v>208.19210000000001</v>
      </c>
      <c r="C1333" s="54">
        <v>204.98560000000001</v>
      </c>
      <c r="D1333" s="54">
        <v>205.19739999999999</v>
      </c>
      <c r="E1333" s="54">
        <v>28798379</v>
      </c>
      <c r="F1333" s="54" t="s">
        <v>2151</v>
      </c>
      <c r="G1333" s="25">
        <f t="shared" si="19"/>
        <v>5.1618587759885148E-3</v>
      </c>
    </row>
    <row r="1334" spans="1:7">
      <c r="A1334" s="54">
        <v>205.35149999999999</v>
      </c>
      <c r="B1334" s="54">
        <v>205.4093</v>
      </c>
      <c r="C1334" s="54">
        <v>201.3554</v>
      </c>
      <c r="D1334" s="54">
        <v>202.26050000000001</v>
      </c>
      <c r="E1334" s="54">
        <v>30979440</v>
      </c>
      <c r="F1334" s="54" t="s">
        <v>2152</v>
      </c>
      <c r="G1334" s="25">
        <f t="shared" si="19"/>
        <v>1.528227211937061E-2</v>
      </c>
    </row>
    <row r="1335" spans="1:7">
      <c r="A1335" s="54">
        <v>202.7131</v>
      </c>
      <c r="B1335" s="54">
        <v>205.1782</v>
      </c>
      <c r="C1335" s="54">
        <v>202.559</v>
      </c>
      <c r="D1335" s="54">
        <v>203.91669999999999</v>
      </c>
      <c r="E1335" s="54">
        <v>26467017</v>
      </c>
      <c r="F1335" s="54" t="s">
        <v>2153</v>
      </c>
      <c r="G1335" s="25">
        <f t="shared" si="19"/>
        <v>-5.902410150811499E-3</v>
      </c>
    </row>
    <row r="1336" spans="1:7">
      <c r="A1336" s="54">
        <v>203.94560000000001</v>
      </c>
      <c r="B1336" s="54">
        <v>207.24359999999999</v>
      </c>
      <c r="C1336" s="54">
        <v>203.38140000000001</v>
      </c>
      <c r="D1336" s="54">
        <v>207.18100000000001</v>
      </c>
      <c r="E1336" s="54">
        <v>32440603</v>
      </c>
      <c r="F1336" s="54" t="s">
        <v>2154</v>
      </c>
      <c r="G1336" s="25">
        <f t="shared" si="19"/>
        <v>-1.5616296861198697E-2</v>
      </c>
    </row>
    <row r="1337" spans="1:7">
      <c r="A1337" s="54">
        <v>207.99950000000001</v>
      </c>
      <c r="B1337" s="54">
        <v>208.90459999999999</v>
      </c>
      <c r="C1337" s="54">
        <v>204.99520000000001</v>
      </c>
      <c r="D1337" s="54">
        <v>206.0351</v>
      </c>
      <c r="E1337" s="54">
        <v>23284094</v>
      </c>
      <c r="F1337" s="54" t="s">
        <v>2155</v>
      </c>
      <c r="G1337" s="25">
        <f t="shared" si="19"/>
        <v>9.5342977968317921E-3</v>
      </c>
    </row>
    <row r="1338" spans="1:7">
      <c r="A1338" s="54">
        <v>206.3433</v>
      </c>
      <c r="B1338" s="54">
        <v>207.54689999999999</v>
      </c>
      <c r="C1338" s="54">
        <v>205.0915</v>
      </c>
      <c r="D1338" s="54">
        <v>206.4203</v>
      </c>
      <c r="E1338" s="54">
        <v>24619997</v>
      </c>
      <c r="F1338" s="54" t="s">
        <v>2156</v>
      </c>
      <c r="G1338" s="25">
        <f t="shared" si="19"/>
        <v>-3.7302532745087102E-4</v>
      </c>
    </row>
    <row r="1339" spans="1:7">
      <c r="A1339" s="54">
        <v>206.41069999999999</v>
      </c>
      <c r="B1339" s="54">
        <v>207.3929</v>
      </c>
      <c r="C1339" s="54">
        <v>205.27440000000001</v>
      </c>
      <c r="D1339" s="54">
        <v>206.27590000000001</v>
      </c>
      <c r="E1339" s="54">
        <v>24666039</v>
      </c>
      <c r="F1339" s="54" t="s">
        <v>2157</v>
      </c>
      <c r="G1339" s="25">
        <f t="shared" si="19"/>
        <v>6.5349369460987461E-4</v>
      </c>
    </row>
    <row r="1340" spans="1:7">
      <c r="A1340" s="54">
        <v>206.29509999999999</v>
      </c>
      <c r="B1340" s="54">
        <v>208.35159999999999</v>
      </c>
      <c r="C1340" s="54">
        <v>205.727</v>
      </c>
      <c r="D1340" s="54">
        <v>206.6514</v>
      </c>
      <c r="E1340" s="54">
        <v>25120922</v>
      </c>
      <c r="F1340" s="54" t="s">
        <v>2158</v>
      </c>
      <c r="G1340" s="25">
        <f t="shared" si="19"/>
        <v>-1.7241596234044421E-3</v>
      </c>
    </row>
    <row r="1341" spans="1:7">
      <c r="A1341" s="54">
        <v>207.38319999999999</v>
      </c>
      <c r="B1341" s="54">
        <v>207.4795</v>
      </c>
      <c r="C1341" s="54">
        <v>204.9085</v>
      </c>
      <c r="D1341" s="54">
        <v>206.91139999999999</v>
      </c>
      <c r="E1341" s="54">
        <v>23724509</v>
      </c>
      <c r="F1341" s="54" t="s">
        <v>2159</v>
      </c>
      <c r="G1341" s="25">
        <f t="shared" si="19"/>
        <v>2.2802030240962612E-3</v>
      </c>
    </row>
    <row r="1342" spans="1:7">
      <c r="A1342" s="54">
        <v>208.19210000000001</v>
      </c>
      <c r="B1342" s="54">
        <v>209.26089999999999</v>
      </c>
      <c r="C1342" s="54">
        <v>205.43809999999999</v>
      </c>
      <c r="D1342" s="54">
        <v>206.55510000000001</v>
      </c>
      <c r="E1342" s="54">
        <v>30931318</v>
      </c>
      <c r="F1342" s="54" t="s">
        <v>2160</v>
      </c>
      <c r="G1342" s="25">
        <f t="shared" si="19"/>
        <v>7.9252460965621996E-3</v>
      </c>
    </row>
    <row r="1343" spans="1:7">
      <c r="A1343" s="54">
        <v>206.13140000000001</v>
      </c>
      <c r="B1343" s="54">
        <v>206.79589999999999</v>
      </c>
      <c r="C1343" s="54">
        <v>203.0164</v>
      </c>
      <c r="D1343" s="54">
        <v>206.16030000000001</v>
      </c>
      <c r="E1343" s="54">
        <v>33064753</v>
      </c>
      <c r="F1343" s="54" t="s">
        <v>2161</v>
      </c>
      <c r="G1343" s="25">
        <f t="shared" si="19"/>
        <v>-1.4018217862499238E-4</v>
      </c>
    </row>
    <row r="1344" spans="1:7">
      <c r="A1344" s="54">
        <v>207.2484</v>
      </c>
      <c r="B1344" s="54">
        <v>208.2499</v>
      </c>
      <c r="C1344" s="54">
        <v>206.1026</v>
      </c>
      <c r="D1344" s="54">
        <v>206.88249999999999</v>
      </c>
      <c r="E1344" s="54">
        <v>14512213</v>
      </c>
      <c r="F1344" s="54" t="s">
        <v>2162</v>
      </c>
      <c r="G1344" s="25">
        <f t="shared" si="19"/>
        <v>1.7686367865819008E-3</v>
      </c>
    </row>
    <row r="1345" spans="1:7">
      <c r="A1345" s="54">
        <v>205.93889999999999</v>
      </c>
      <c r="B1345" s="54">
        <v>207.30619999999999</v>
      </c>
      <c r="C1345" s="54">
        <v>204.58109999999999</v>
      </c>
      <c r="D1345" s="54">
        <v>207.13290000000001</v>
      </c>
      <c r="E1345" s="54">
        <v>21012887</v>
      </c>
      <c r="F1345" s="54" t="s">
        <v>2163</v>
      </c>
      <c r="G1345" s="25">
        <f t="shared" si="19"/>
        <v>-5.7644150205014011E-3</v>
      </c>
    </row>
    <row r="1346" spans="1:7">
      <c r="A1346" s="54">
        <v>205.92920000000001</v>
      </c>
      <c r="B1346" s="54">
        <v>206.3048</v>
      </c>
      <c r="C1346" s="54">
        <v>201.1146</v>
      </c>
      <c r="D1346" s="54">
        <v>201.8176</v>
      </c>
      <c r="E1346" s="54">
        <v>33979731</v>
      </c>
      <c r="F1346" s="54" t="s">
        <v>2164</v>
      </c>
      <c r="G1346" s="25">
        <f t="shared" si="19"/>
        <v>2.0372851525337854E-2</v>
      </c>
    </row>
    <row r="1347" spans="1:7">
      <c r="A1347" s="54">
        <v>202.31829999999999</v>
      </c>
      <c r="B1347" s="54">
        <v>204.41739999999999</v>
      </c>
      <c r="C1347" s="54">
        <v>200.44059999999999</v>
      </c>
      <c r="D1347" s="54">
        <v>203.12710000000001</v>
      </c>
      <c r="E1347" s="54">
        <v>25683507</v>
      </c>
      <c r="F1347" s="54" t="s">
        <v>2165</v>
      </c>
      <c r="G1347" s="25">
        <f t="shared" si="19"/>
        <v>-3.9817434502832372E-3</v>
      </c>
    </row>
    <row r="1348" spans="1:7">
      <c r="A1348" s="54">
        <v>202.58789999999999</v>
      </c>
      <c r="B1348" s="54">
        <v>205.37559999999999</v>
      </c>
      <c r="C1348" s="54">
        <v>202.2124</v>
      </c>
      <c r="D1348" s="54">
        <v>204.33080000000001</v>
      </c>
      <c r="E1348" s="54">
        <v>22843119</v>
      </c>
      <c r="F1348" s="54" t="s">
        <v>2166</v>
      </c>
      <c r="G1348" s="25">
        <f t="shared" si="19"/>
        <v>-8.5297958017098718E-3</v>
      </c>
    </row>
    <row r="1349" spans="1:7">
      <c r="A1349" s="54">
        <v>204.54259999999999</v>
      </c>
      <c r="B1349" s="54">
        <v>205.13</v>
      </c>
      <c r="C1349" s="54">
        <v>202.14500000000001</v>
      </c>
      <c r="D1349" s="54">
        <v>203.5412</v>
      </c>
      <c r="E1349" s="54">
        <v>24792746</v>
      </c>
      <c r="F1349" s="54" t="s">
        <v>2167</v>
      </c>
      <c r="G1349" s="25">
        <f t="shared" si="19"/>
        <v>4.9198884550154531E-3</v>
      </c>
    </row>
    <row r="1350" spans="1:7">
      <c r="A1350" s="54">
        <v>203.25229999999999</v>
      </c>
      <c r="B1350" s="54">
        <v>207.19059999999999</v>
      </c>
      <c r="C1350" s="54">
        <v>203.1079</v>
      </c>
      <c r="D1350" s="54">
        <v>205.727</v>
      </c>
      <c r="E1350" s="54">
        <v>28372789</v>
      </c>
      <c r="F1350" s="54" t="s">
        <v>2168</v>
      </c>
      <c r="G1350" s="25">
        <f t="shared" si="19"/>
        <v>-1.2029048204659665E-2</v>
      </c>
    </row>
    <row r="1351" spans="1:7">
      <c r="A1351" s="54">
        <v>205.96770000000001</v>
      </c>
      <c r="B1351" s="54">
        <v>209.06020000000001</v>
      </c>
      <c r="C1351" s="54">
        <v>205.6028</v>
      </c>
      <c r="D1351" s="54">
        <v>207.5428</v>
      </c>
      <c r="E1351" s="54">
        <v>24154112</v>
      </c>
      <c r="F1351" s="54" t="s">
        <v>2169</v>
      </c>
      <c r="G1351" s="25">
        <f t="shared" si="19"/>
        <v>-7.5892779706161484E-3</v>
      </c>
    </row>
    <row r="1352" spans="1:7">
      <c r="A1352" s="54">
        <v>208.62809999999999</v>
      </c>
      <c r="B1352" s="54">
        <v>209.11789999999999</v>
      </c>
      <c r="C1352" s="54">
        <v>206.02539999999999</v>
      </c>
      <c r="D1352" s="54">
        <v>206.36150000000001</v>
      </c>
      <c r="E1352" s="54">
        <v>24953344</v>
      </c>
      <c r="F1352" s="54" t="s">
        <v>2170</v>
      </c>
      <c r="G1352" s="25">
        <f t="shared" si="19"/>
        <v>1.0983637936339719E-2</v>
      </c>
    </row>
    <row r="1353" spans="1:7">
      <c r="A1353" s="54">
        <v>207.9366</v>
      </c>
      <c r="B1353" s="54">
        <v>208.81049999999999</v>
      </c>
      <c r="C1353" s="54">
        <v>205.67959999999999</v>
      </c>
      <c r="D1353" s="54">
        <v>207.79249999999999</v>
      </c>
      <c r="E1353" s="54">
        <v>18630307</v>
      </c>
      <c r="F1353" s="54" t="s">
        <v>2171</v>
      </c>
      <c r="G1353" s="25">
        <f t="shared" si="19"/>
        <v>6.934802747933233E-4</v>
      </c>
    </row>
    <row r="1354" spans="1:7">
      <c r="A1354" s="54">
        <v>206.90889999999999</v>
      </c>
      <c r="B1354" s="54">
        <v>210.43360000000001</v>
      </c>
      <c r="C1354" s="54">
        <v>205.96770000000001</v>
      </c>
      <c r="D1354" s="54">
        <v>208.6088</v>
      </c>
      <c r="E1354" s="54">
        <v>21616115</v>
      </c>
      <c r="F1354" s="54" t="s">
        <v>2172</v>
      </c>
      <c r="G1354" s="25">
        <f t="shared" si="19"/>
        <v>-8.1487454028785766E-3</v>
      </c>
    </row>
    <row r="1355" spans="1:7">
      <c r="A1355" s="54">
        <v>207.97499999999999</v>
      </c>
      <c r="B1355" s="54">
        <v>209.40600000000001</v>
      </c>
      <c r="C1355" s="54">
        <v>203.7972</v>
      </c>
      <c r="D1355" s="54">
        <v>203.97970000000001</v>
      </c>
      <c r="E1355" s="54">
        <v>29440788</v>
      </c>
      <c r="F1355" s="54" t="s">
        <v>2173</v>
      </c>
      <c r="G1355" s="25">
        <f t="shared" si="19"/>
        <v>1.9586752995518708E-2</v>
      </c>
    </row>
    <row r="1356" spans="1:7">
      <c r="A1356" s="54">
        <v>202.65440000000001</v>
      </c>
      <c r="B1356" s="54">
        <v>207.92699999999999</v>
      </c>
      <c r="C1356" s="54">
        <v>201.41540000000001</v>
      </c>
      <c r="D1356" s="54">
        <v>206.00620000000001</v>
      </c>
      <c r="E1356" s="54">
        <v>44045120</v>
      </c>
      <c r="F1356" s="54" t="s">
        <v>2174</v>
      </c>
      <c r="G1356" s="25">
        <f t="shared" si="19"/>
        <v>-1.6270384095235957E-2</v>
      </c>
    </row>
    <row r="1357" spans="1:7">
      <c r="A1357" s="54">
        <v>209.74209999999999</v>
      </c>
      <c r="B1357" s="54">
        <v>219.08680000000001</v>
      </c>
      <c r="C1357" s="54">
        <v>209.25229999999999</v>
      </c>
      <c r="D1357" s="54">
        <v>215.5478</v>
      </c>
      <c r="E1357" s="54">
        <v>44394950</v>
      </c>
      <c r="F1357" s="54" t="s">
        <v>2175</v>
      </c>
      <c r="G1357" s="25">
        <f t="shared" si="19"/>
        <v>-2.693462888510112E-2</v>
      </c>
    </row>
    <row r="1358" spans="1:7">
      <c r="A1358" s="54">
        <v>214.86109999999999</v>
      </c>
      <c r="B1358" s="54">
        <v>215.47569999999999</v>
      </c>
      <c r="C1358" s="54">
        <v>209.3964</v>
      </c>
      <c r="D1358" s="54">
        <v>213.4589</v>
      </c>
      <c r="E1358" s="54">
        <v>25231895</v>
      </c>
      <c r="F1358" s="54" t="s">
        <v>2176</v>
      </c>
      <c r="G1358" s="25">
        <f t="shared" si="19"/>
        <v>6.5689460594053894E-3</v>
      </c>
    </row>
    <row r="1359" spans="1:7">
      <c r="A1359" s="54">
        <v>214.44810000000001</v>
      </c>
      <c r="B1359" s="54">
        <v>215.24520000000001</v>
      </c>
      <c r="C1359" s="54">
        <v>212.39279999999999</v>
      </c>
      <c r="D1359" s="54">
        <v>213.24760000000001</v>
      </c>
      <c r="E1359" s="54">
        <v>36080137</v>
      </c>
      <c r="F1359" s="54" t="s">
        <v>2177</v>
      </c>
      <c r="G1359" s="25">
        <f t="shared" si="19"/>
        <v>5.6296061479708115E-3</v>
      </c>
    </row>
    <row r="1360" spans="1:7">
      <c r="A1360" s="54">
        <v>207.82130000000001</v>
      </c>
      <c r="B1360" s="54">
        <v>209.67490000000001</v>
      </c>
      <c r="C1360" s="54">
        <v>204.00710000000001</v>
      </c>
      <c r="D1360" s="54">
        <v>205.54519999999999</v>
      </c>
      <c r="E1360" s="54">
        <v>42311777</v>
      </c>
      <c r="F1360" s="54" t="s">
        <v>2178</v>
      </c>
      <c r="G1360" s="25">
        <f t="shared" si="19"/>
        <v>1.1073476782722302E-2</v>
      </c>
    </row>
    <row r="1361" spans="1:7">
      <c r="A1361" s="54">
        <v>198.25569999999999</v>
      </c>
      <c r="B1361" s="54">
        <v>199.87880000000001</v>
      </c>
      <c r="C1361" s="54">
        <v>195.07679999999999</v>
      </c>
      <c r="D1361" s="54">
        <v>195.81630000000001</v>
      </c>
      <c r="E1361" s="54">
        <v>27512030</v>
      </c>
      <c r="F1361" s="54" t="s">
        <v>2179</v>
      </c>
      <c r="G1361" s="25">
        <f t="shared" si="19"/>
        <v>1.245759418393666E-2</v>
      </c>
    </row>
    <row r="1362" spans="1:7">
      <c r="A1362" s="54">
        <v>194.31809999999999</v>
      </c>
      <c r="B1362" s="54">
        <v>197.15129999999999</v>
      </c>
      <c r="C1362" s="54">
        <v>192.19560000000001</v>
      </c>
      <c r="D1362" s="54">
        <v>196.20050000000001</v>
      </c>
      <c r="E1362" s="54">
        <v>30842163</v>
      </c>
      <c r="F1362" s="54" t="s">
        <v>2180</v>
      </c>
      <c r="G1362" s="25">
        <f t="shared" si="19"/>
        <v>-9.594267089023778E-3</v>
      </c>
    </row>
    <row r="1363" spans="1:7">
      <c r="A1363" s="54">
        <v>194.45249999999999</v>
      </c>
      <c r="B1363" s="54">
        <v>196.20050000000001</v>
      </c>
      <c r="C1363" s="54">
        <v>191.71539999999999</v>
      </c>
      <c r="D1363" s="54">
        <v>195.4417</v>
      </c>
      <c r="E1363" s="54">
        <v>36980111</v>
      </c>
      <c r="F1363" s="54" t="s">
        <v>2181</v>
      </c>
      <c r="G1363" s="25">
        <f t="shared" si="19"/>
        <v>-5.0613558928315205E-3</v>
      </c>
    </row>
    <row r="1364" spans="1:7">
      <c r="A1364" s="54">
        <v>196.61340000000001</v>
      </c>
      <c r="B1364" s="54">
        <v>199.1489</v>
      </c>
      <c r="C1364" s="54">
        <v>195.3169</v>
      </c>
      <c r="D1364" s="54">
        <v>195.98920000000001</v>
      </c>
      <c r="E1364" s="54">
        <v>31432563</v>
      </c>
      <c r="F1364" s="54" t="s">
        <v>2182</v>
      </c>
      <c r="G1364" s="25">
        <f t="shared" si="19"/>
        <v>3.1848693703531161E-3</v>
      </c>
    </row>
    <row r="1365" spans="1:7">
      <c r="A1365" s="54">
        <v>194.6542</v>
      </c>
      <c r="B1365" s="54">
        <v>200.5703</v>
      </c>
      <c r="C1365" s="54">
        <v>194.09719999999999</v>
      </c>
      <c r="D1365" s="54">
        <v>199.44659999999999</v>
      </c>
      <c r="E1365" s="54">
        <v>51195593</v>
      </c>
      <c r="F1365" s="54" t="s">
        <v>2183</v>
      </c>
      <c r="G1365" s="25">
        <f t="shared" si="19"/>
        <v>-2.4028486823039263E-2</v>
      </c>
    </row>
    <row r="1366" spans="1:7">
      <c r="A1366" s="54">
        <v>204.8057</v>
      </c>
      <c r="B1366" s="54">
        <v>206.1694</v>
      </c>
      <c r="C1366" s="54">
        <v>202.00030000000001</v>
      </c>
      <c r="D1366" s="54">
        <v>203.2114</v>
      </c>
      <c r="E1366" s="54">
        <v>36700325</v>
      </c>
      <c r="F1366" s="54" t="s">
        <v>2184</v>
      </c>
      <c r="G1366" s="25">
        <f t="shared" si="19"/>
        <v>7.8455244144768344E-3</v>
      </c>
    </row>
    <row r="1367" spans="1:7">
      <c r="A1367" s="54">
        <v>201.7612</v>
      </c>
      <c r="B1367" s="54">
        <v>207.7732</v>
      </c>
      <c r="C1367" s="54">
        <v>199.8596</v>
      </c>
      <c r="D1367" s="54">
        <v>205.3819</v>
      </c>
      <c r="E1367" s="54">
        <v>37111561</v>
      </c>
      <c r="F1367" s="54" t="s">
        <v>2185</v>
      </c>
      <c r="G1367" s="25">
        <f t="shared" si="19"/>
        <v>-1.7629109478488614E-2</v>
      </c>
    </row>
    <row r="1368" spans="1:7">
      <c r="A1368" s="54">
        <v>207.6677</v>
      </c>
      <c r="B1368" s="54">
        <v>207.7157</v>
      </c>
      <c r="C1368" s="54">
        <v>204.7192</v>
      </c>
      <c r="D1368" s="54">
        <v>206.51519999999999</v>
      </c>
      <c r="E1368" s="54">
        <v>18879608</v>
      </c>
      <c r="F1368" s="54" t="s">
        <v>2186</v>
      </c>
      <c r="G1368" s="25">
        <f t="shared" ref="G1368:G1431" si="20">A1368/D1368-1</f>
        <v>5.5807030184702455E-3</v>
      </c>
    </row>
    <row r="1369" spans="1:7">
      <c r="A1369" s="54">
        <v>206.38069999999999</v>
      </c>
      <c r="B1369" s="54">
        <v>207.49959999999999</v>
      </c>
      <c r="C1369" s="54">
        <v>203.31700000000001</v>
      </c>
      <c r="D1369" s="54">
        <v>205.45869999999999</v>
      </c>
      <c r="E1369" s="54">
        <v>22351450</v>
      </c>
      <c r="F1369" s="54" t="s">
        <v>2187</v>
      </c>
      <c r="G1369" s="25">
        <f t="shared" si="20"/>
        <v>4.4875198762572843E-3</v>
      </c>
    </row>
    <row r="1370" spans="1:7">
      <c r="A1370" s="54">
        <v>206.29429999999999</v>
      </c>
      <c r="B1370" s="54">
        <v>208.33029999999999</v>
      </c>
      <c r="C1370" s="54">
        <v>204.6808</v>
      </c>
      <c r="D1370" s="54">
        <v>204.6808</v>
      </c>
      <c r="E1370" s="54">
        <v>22724906</v>
      </c>
      <c r="F1370" s="54" t="s">
        <v>2188</v>
      </c>
      <c r="G1370" s="25">
        <f t="shared" si="20"/>
        <v>7.8830061246584204E-3</v>
      </c>
    </row>
    <row r="1371" spans="1:7">
      <c r="A1371" s="54">
        <v>206.15020000000001</v>
      </c>
      <c r="B1371" s="54">
        <v>208.76249999999999</v>
      </c>
      <c r="C1371" s="54">
        <v>204.65209999999999</v>
      </c>
      <c r="D1371" s="54">
        <v>207.25470000000001</v>
      </c>
      <c r="E1371" s="54">
        <v>22753511</v>
      </c>
      <c r="F1371" s="54" t="s">
        <v>2189</v>
      </c>
      <c r="G1371" s="25">
        <f t="shared" si="20"/>
        <v>-5.3291915696001002E-3</v>
      </c>
    </row>
    <row r="1372" spans="1:7">
      <c r="A1372" s="54">
        <v>205.7372</v>
      </c>
      <c r="B1372" s="54">
        <v>213.4973</v>
      </c>
      <c r="C1372" s="54">
        <v>205.25700000000001</v>
      </c>
      <c r="D1372" s="54">
        <v>211.68690000000001</v>
      </c>
      <c r="E1372" s="54">
        <v>27625841</v>
      </c>
      <c r="F1372" s="54" t="s">
        <v>2190</v>
      </c>
      <c r="G1372" s="25">
        <f t="shared" si="20"/>
        <v>-2.8106132216967672E-2</v>
      </c>
    </row>
    <row r="1373" spans="1:7">
      <c r="A1373" s="54">
        <v>210.96180000000001</v>
      </c>
      <c r="B1373" s="54">
        <v>213.48769999999999</v>
      </c>
      <c r="C1373" s="54">
        <v>210.6353</v>
      </c>
      <c r="D1373" s="54">
        <v>211.4324</v>
      </c>
      <c r="E1373" s="54">
        <v>26057882</v>
      </c>
      <c r="F1373" s="54" t="s">
        <v>2191</v>
      </c>
      <c r="G1373" s="25">
        <f t="shared" si="20"/>
        <v>-2.2257705063177813E-3</v>
      </c>
    </row>
    <row r="1374" spans="1:7">
      <c r="A1374" s="54">
        <v>210.96180000000001</v>
      </c>
      <c r="B1374" s="54">
        <v>211.63409999999999</v>
      </c>
      <c r="C1374" s="54">
        <v>207.4564</v>
      </c>
      <c r="D1374" s="54">
        <v>208.50319999999999</v>
      </c>
      <c r="E1374" s="54">
        <v>22733064</v>
      </c>
      <c r="F1374" s="54" t="s">
        <v>2192</v>
      </c>
      <c r="G1374" s="25">
        <f t="shared" si="20"/>
        <v>1.1791665547579155E-2</v>
      </c>
    </row>
    <row r="1375" spans="1:7">
      <c r="A1375" s="54">
        <v>212.11429999999999</v>
      </c>
      <c r="B1375" s="54">
        <v>215.34129999999999</v>
      </c>
      <c r="C1375" s="54">
        <v>210.4528</v>
      </c>
      <c r="D1375" s="54">
        <v>214.1696</v>
      </c>
      <c r="E1375" s="54">
        <v>23451713</v>
      </c>
      <c r="F1375" s="54" t="s">
        <v>2193</v>
      </c>
      <c r="G1375" s="25">
        <f t="shared" si="20"/>
        <v>-9.5966000776954719E-3</v>
      </c>
    </row>
    <row r="1376" spans="1:7">
      <c r="A1376" s="54">
        <v>214.0351</v>
      </c>
      <c r="B1376" s="54">
        <v>216.2921</v>
      </c>
      <c r="C1376" s="54">
        <v>211.7013</v>
      </c>
      <c r="D1376" s="54">
        <v>213.9007</v>
      </c>
      <c r="E1376" s="54">
        <v>28950843</v>
      </c>
      <c r="F1376" s="54" t="s">
        <v>2194</v>
      </c>
      <c r="G1376" s="25">
        <f t="shared" si="20"/>
        <v>6.2832893954989366E-4</v>
      </c>
    </row>
    <row r="1377" spans="1:7">
      <c r="A1377" s="54">
        <v>212.63290000000001</v>
      </c>
      <c r="B1377" s="54">
        <v>214.99549999999999</v>
      </c>
      <c r="C1377" s="54">
        <v>208.22470000000001</v>
      </c>
      <c r="D1377" s="54">
        <v>210.12629999999999</v>
      </c>
      <c r="E1377" s="54">
        <v>40461368</v>
      </c>
      <c r="F1377" s="54" t="s">
        <v>2195</v>
      </c>
      <c r="G1377" s="25">
        <f t="shared" si="20"/>
        <v>1.1929016025123973E-2</v>
      </c>
    </row>
    <row r="1378" spans="1:7">
      <c r="A1378" s="54">
        <v>207.26429999999999</v>
      </c>
      <c r="B1378" s="54">
        <v>207.31229999999999</v>
      </c>
      <c r="C1378" s="54">
        <v>202.8656</v>
      </c>
      <c r="D1378" s="54">
        <v>202.8656</v>
      </c>
      <c r="E1378" s="54">
        <v>26458047</v>
      </c>
      <c r="F1378" s="54" t="s">
        <v>2196</v>
      </c>
      <c r="G1378" s="25">
        <f t="shared" si="20"/>
        <v>2.1682828434194779E-2</v>
      </c>
    </row>
    <row r="1379" spans="1:7">
      <c r="A1379" s="54">
        <v>202.2414</v>
      </c>
      <c r="B1379" s="54">
        <v>202.8272</v>
      </c>
      <c r="C1379" s="54">
        <v>200.07089999999999</v>
      </c>
      <c r="D1379" s="54">
        <v>202.17420000000001</v>
      </c>
      <c r="E1379" s="54">
        <v>19925837</v>
      </c>
      <c r="F1379" s="54" t="s">
        <v>2197</v>
      </c>
      <c r="G1379" s="25">
        <f t="shared" si="20"/>
        <v>3.3238662499956995E-4</v>
      </c>
    </row>
    <row r="1380" spans="1:7">
      <c r="A1380" s="54">
        <v>201.52109999999999</v>
      </c>
      <c r="B1380" s="54">
        <v>201.79</v>
      </c>
      <c r="C1380" s="54">
        <v>198.5342</v>
      </c>
      <c r="D1380" s="54">
        <v>198.86080000000001</v>
      </c>
      <c r="E1380" s="54">
        <v>25681054</v>
      </c>
      <c r="F1380" s="54" t="s">
        <v>2198</v>
      </c>
      <c r="G1380" s="25">
        <f t="shared" si="20"/>
        <v>1.3377699375643592E-2</v>
      </c>
    </row>
    <row r="1381" spans="1:7">
      <c r="A1381" s="54">
        <v>197.75630000000001</v>
      </c>
      <c r="B1381" s="54">
        <v>201.85720000000001</v>
      </c>
      <c r="C1381" s="54">
        <v>196.70949999999999</v>
      </c>
      <c r="D1381" s="54">
        <v>200.55109999999999</v>
      </c>
      <c r="E1381" s="54">
        <v>28554261</v>
      </c>
      <c r="F1381" s="54" t="s">
        <v>2199</v>
      </c>
      <c r="G1381" s="25">
        <f t="shared" si="20"/>
        <v>-1.3935600452951835E-2</v>
      </c>
    </row>
    <row r="1382" spans="1:7">
      <c r="A1382" s="54">
        <v>202.04929999999999</v>
      </c>
      <c r="B1382" s="54">
        <v>202.07810000000001</v>
      </c>
      <c r="C1382" s="54">
        <v>198.78389999999999</v>
      </c>
      <c r="D1382" s="54">
        <v>199.01439999999999</v>
      </c>
      <c r="E1382" s="54">
        <v>21331561</v>
      </c>
      <c r="F1382" s="54" t="s">
        <v>2200</v>
      </c>
      <c r="G1382" s="25">
        <f t="shared" si="20"/>
        <v>1.5249650276562887E-2</v>
      </c>
    </row>
    <row r="1383" spans="1:7">
      <c r="A1383" s="54">
        <v>198.02520000000001</v>
      </c>
      <c r="B1383" s="54">
        <v>202.63509999999999</v>
      </c>
      <c r="C1383" s="54">
        <v>197.40100000000001</v>
      </c>
      <c r="D1383" s="54">
        <v>199.76349999999999</v>
      </c>
      <c r="E1383" s="54">
        <v>33154781</v>
      </c>
      <c r="F1383" s="54" t="s">
        <v>2201</v>
      </c>
      <c r="G1383" s="25">
        <f t="shared" si="20"/>
        <v>-8.7017898665170401E-3</v>
      </c>
    </row>
    <row r="1384" spans="1:7">
      <c r="A1384" s="54">
        <v>204.04689999999999</v>
      </c>
      <c r="B1384" s="54">
        <v>205.5164</v>
      </c>
      <c r="C1384" s="54">
        <v>202.9521</v>
      </c>
      <c r="D1384" s="54">
        <v>205.03620000000001</v>
      </c>
      <c r="E1384" s="54">
        <v>27158418</v>
      </c>
      <c r="F1384" s="54" t="s">
        <v>2202</v>
      </c>
      <c r="G1384" s="25">
        <f t="shared" si="20"/>
        <v>-4.825001633857906E-3</v>
      </c>
    </row>
    <row r="1385" spans="1:7">
      <c r="A1385" s="54">
        <v>202.00129999999999</v>
      </c>
      <c r="B1385" s="54">
        <v>203.58590000000001</v>
      </c>
      <c r="C1385" s="54">
        <v>198.3614</v>
      </c>
      <c r="D1385" s="54">
        <v>199.5042</v>
      </c>
      <c r="E1385" s="54">
        <v>33829088</v>
      </c>
      <c r="F1385" s="54" t="s">
        <v>2203</v>
      </c>
      <c r="G1385" s="25">
        <f t="shared" si="20"/>
        <v>1.251652847408713E-2</v>
      </c>
    </row>
    <row r="1386" spans="1:7">
      <c r="A1386" s="54">
        <v>199.05289999999999</v>
      </c>
      <c r="B1386" s="54">
        <v>201.7516</v>
      </c>
      <c r="C1386" s="54">
        <v>198.6207</v>
      </c>
      <c r="D1386" s="54">
        <v>201.06010000000001</v>
      </c>
      <c r="E1386" s="54">
        <v>24464472</v>
      </c>
      <c r="F1386" s="54" t="s">
        <v>2204</v>
      </c>
      <c r="G1386" s="25">
        <f t="shared" si="20"/>
        <v>-9.9830846597609435E-3</v>
      </c>
    </row>
    <row r="1387" spans="1:7">
      <c r="A1387" s="54">
        <v>201.1465</v>
      </c>
      <c r="B1387" s="54">
        <v>204.15260000000001</v>
      </c>
      <c r="C1387" s="54">
        <v>199.8212</v>
      </c>
      <c r="D1387" s="54">
        <v>202.52950000000001</v>
      </c>
      <c r="E1387" s="54">
        <v>32004936</v>
      </c>
      <c r="F1387" s="54" t="s">
        <v>2205</v>
      </c>
      <c r="G1387" s="25">
        <f t="shared" si="20"/>
        <v>-6.8286348408503894E-3</v>
      </c>
    </row>
    <row r="1388" spans="1:7">
      <c r="A1388" s="54">
        <v>199.5907</v>
      </c>
      <c r="B1388" s="54">
        <v>200.76240000000001</v>
      </c>
      <c r="C1388" s="54">
        <v>194.5198</v>
      </c>
      <c r="D1388" s="54">
        <v>195.4898</v>
      </c>
      <c r="E1388" s="54">
        <v>29437312</v>
      </c>
      <c r="F1388" s="54" t="s">
        <v>2206</v>
      </c>
      <c r="G1388" s="25">
        <f t="shared" si="20"/>
        <v>2.0977565069891124E-2</v>
      </c>
    </row>
    <row r="1389" spans="1:7">
      <c r="A1389" s="54">
        <v>195.14400000000001</v>
      </c>
      <c r="B1389" s="54">
        <v>197.4298</v>
      </c>
      <c r="C1389" s="54">
        <v>191.31200000000001</v>
      </c>
      <c r="D1389" s="54">
        <v>191.93629999999999</v>
      </c>
      <c r="E1389" s="54">
        <v>31202493</v>
      </c>
      <c r="F1389" s="54" t="s">
        <v>2207</v>
      </c>
      <c r="G1389" s="25">
        <f t="shared" si="20"/>
        <v>1.6712315492171115E-2</v>
      </c>
    </row>
    <row r="1390" spans="1:7">
      <c r="A1390" s="54">
        <v>192.64699999999999</v>
      </c>
      <c r="B1390" s="54">
        <v>199.8596</v>
      </c>
      <c r="C1390" s="54">
        <v>192.10910000000001</v>
      </c>
      <c r="D1390" s="54">
        <v>199.66749999999999</v>
      </c>
      <c r="E1390" s="54">
        <v>30803780</v>
      </c>
      <c r="F1390" s="54" t="s">
        <v>2208</v>
      </c>
      <c r="G1390" s="25">
        <f t="shared" si="20"/>
        <v>-3.5160955087833567E-2</v>
      </c>
    </row>
    <row r="1391" spans="1:7">
      <c r="A1391" s="54">
        <v>199.20650000000001</v>
      </c>
      <c r="B1391" s="54">
        <v>199.8596</v>
      </c>
      <c r="C1391" s="54">
        <v>194.07320000000001</v>
      </c>
      <c r="D1391" s="54">
        <v>196.94</v>
      </c>
      <c r="E1391" s="54">
        <v>33517065</v>
      </c>
      <c r="F1391" s="54" t="s">
        <v>2209</v>
      </c>
      <c r="G1391" s="25">
        <f t="shared" si="20"/>
        <v>1.1508581293795173E-2</v>
      </c>
    </row>
    <row r="1392" spans="1:7">
      <c r="A1392" s="54">
        <v>194.5198</v>
      </c>
      <c r="B1392" s="54">
        <v>194.68299999999999</v>
      </c>
      <c r="C1392" s="54">
        <v>188.6037</v>
      </c>
      <c r="D1392" s="54">
        <v>189.38159999999999</v>
      </c>
      <c r="E1392" s="54">
        <v>39839657</v>
      </c>
      <c r="F1392" s="54" t="s">
        <v>2210</v>
      </c>
      <c r="G1392" s="25">
        <f t="shared" si="20"/>
        <v>2.7131463669121114E-2</v>
      </c>
    </row>
    <row r="1393" spans="1:7">
      <c r="A1393" s="54">
        <v>192.45490000000001</v>
      </c>
      <c r="B1393" s="54">
        <v>195.58580000000001</v>
      </c>
      <c r="C1393" s="54">
        <v>188.47880000000001</v>
      </c>
      <c r="D1393" s="54">
        <v>194.76949999999999</v>
      </c>
      <c r="E1393" s="54">
        <v>55225326</v>
      </c>
      <c r="F1393" s="54" t="s">
        <v>2211</v>
      </c>
      <c r="G1393" s="25">
        <f t="shared" si="20"/>
        <v>-1.188379083994151E-2</v>
      </c>
    </row>
    <row r="1394" spans="1:7">
      <c r="A1394" s="54">
        <v>194.8751</v>
      </c>
      <c r="B1394" s="54">
        <v>196.2389</v>
      </c>
      <c r="C1394" s="54">
        <v>192.0419</v>
      </c>
      <c r="D1394" s="54">
        <v>192.1284</v>
      </c>
      <c r="E1394" s="54">
        <v>34011257</v>
      </c>
      <c r="F1394" s="54" t="s">
        <v>2212</v>
      </c>
      <c r="G1394" s="25">
        <f t="shared" si="20"/>
        <v>1.4296168603912918E-2</v>
      </c>
    </row>
    <row r="1395" spans="1:7">
      <c r="A1395" s="54">
        <v>196.93039999999999</v>
      </c>
      <c r="B1395" s="54">
        <v>202.30860000000001</v>
      </c>
      <c r="C1395" s="54">
        <v>196.53659999999999</v>
      </c>
      <c r="D1395" s="54">
        <v>202.27979999999999</v>
      </c>
      <c r="E1395" s="54">
        <v>26372464</v>
      </c>
      <c r="F1395" s="54" t="s">
        <v>2213</v>
      </c>
      <c r="G1395" s="25">
        <f t="shared" si="20"/>
        <v>-2.6445547207383013E-2</v>
      </c>
    </row>
    <row r="1396" spans="1:7">
      <c r="A1396" s="54">
        <v>200.5127</v>
      </c>
      <c r="B1396" s="54">
        <v>201.47309999999999</v>
      </c>
      <c r="C1396" s="54">
        <v>198.73589999999999</v>
      </c>
      <c r="D1396" s="54">
        <v>200.1669</v>
      </c>
      <c r="E1396" s="54">
        <v>21823942</v>
      </c>
      <c r="F1396" s="54" t="s">
        <v>2214</v>
      </c>
      <c r="G1396" s="25">
        <f t="shared" si="20"/>
        <v>1.7275583525546701E-3</v>
      </c>
    </row>
    <row r="1397" spans="1:7">
      <c r="A1397" s="54">
        <v>197.27610000000001</v>
      </c>
      <c r="B1397" s="54">
        <v>200.916</v>
      </c>
      <c r="C1397" s="54">
        <v>195.95079999999999</v>
      </c>
      <c r="D1397" s="54">
        <v>196.1524</v>
      </c>
      <c r="E1397" s="54">
        <v>30375768</v>
      </c>
      <c r="F1397" s="54" t="s">
        <v>2215</v>
      </c>
      <c r="G1397" s="25">
        <f t="shared" si="20"/>
        <v>5.7287089018538406E-3</v>
      </c>
    </row>
    <row r="1398" spans="1:7">
      <c r="A1398" s="54">
        <v>195.95079999999999</v>
      </c>
      <c r="B1398" s="54">
        <v>200.36859999999999</v>
      </c>
      <c r="C1398" s="54">
        <v>193.27119999999999</v>
      </c>
      <c r="D1398" s="54">
        <v>198.99520000000001</v>
      </c>
      <c r="E1398" s="54">
        <v>33620073</v>
      </c>
      <c r="F1398" s="54" t="s">
        <v>2216</v>
      </c>
      <c r="G1398" s="25">
        <f t="shared" si="20"/>
        <v>-1.5298861480075976E-2</v>
      </c>
    </row>
    <row r="1399" spans="1:7">
      <c r="A1399" s="54">
        <v>197.23769999999999</v>
      </c>
      <c r="B1399" s="54">
        <v>206.23670000000001</v>
      </c>
      <c r="C1399" s="54">
        <v>196.02760000000001</v>
      </c>
      <c r="D1399" s="54">
        <v>204.94970000000001</v>
      </c>
      <c r="E1399" s="54">
        <v>35461514</v>
      </c>
      <c r="F1399" s="54" t="s">
        <v>2217</v>
      </c>
      <c r="G1399" s="25">
        <f t="shared" si="20"/>
        <v>-3.7628745004262054E-2</v>
      </c>
    </row>
    <row r="1400" spans="1:7">
      <c r="A1400" s="54">
        <v>202.92330000000001</v>
      </c>
      <c r="B1400" s="54">
        <v>206.33260000000001</v>
      </c>
      <c r="C1400" s="54">
        <v>198.51499999999999</v>
      </c>
      <c r="D1400" s="54">
        <v>199.3794</v>
      </c>
      <c r="E1400" s="54">
        <v>45678986</v>
      </c>
      <c r="F1400" s="54" t="s">
        <v>2218</v>
      </c>
      <c r="G1400" s="25">
        <f t="shared" si="20"/>
        <v>1.7774654753700769E-2</v>
      </c>
    </row>
    <row r="1401" spans="1:7">
      <c r="A1401" s="54">
        <v>194.63499999999999</v>
      </c>
      <c r="B1401" s="54">
        <v>201.7132</v>
      </c>
      <c r="C1401" s="54">
        <v>194.19319999999999</v>
      </c>
      <c r="D1401" s="54">
        <v>198.3229</v>
      </c>
      <c r="E1401" s="54">
        <v>52924330</v>
      </c>
      <c r="F1401" s="54" t="s">
        <v>2219</v>
      </c>
      <c r="G1401" s="25">
        <f t="shared" si="20"/>
        <v>-1.8595431994994138E-2</v>
      </c>
    </row>
    <row r="1402" spans="1:7">
      <c r="A1402" s="54">
        <v>205.76609999999999</v>
      </c>
      <c r="B1402" s="54">
        <v>209.7132</v>
      </c>
      <c r="C1402" s="54">
        <v>197.06479999999999</v>
      </c>
      <c r="D1402" s="54">
        <v>206.58240000000001</v>
      </c>
      <c r="E1402" s="54">
        <v>59664072</v>
      </c>
      <c r="F1402" s="54" t="s">
        <v>2220</v>
      </c>
      <c r="G1402" s="25">
        <f t="shared" si="20"/>
        <v>-3.9514498815000909E-3</v>
      </c>
    </row>
    <row r="1403" spans="1:7">
      <c r="A1403" s="54">
        <v>208.6953</v>
      </c>
      <c r="B1403" s="54">
        <v>220.22970000000001</v>
      </c>
      <c r="C1403" s="54">
        <v>206.44810000000001</v>
      </c>
      <c r="D1403" s="54">
        <v>220.19130000000001</v>
      </c>
      <c r="E1403" s="54">
        <v>58400288</v>
      </c>
      <c r="F1403" s="54" t="s">
        <v>2221</v>
      </c>
      <c r="G1403" s="25">
        <f t="shared" si="20"/>
        <v>-5.2209147227887831E-2</v>
      </c>
    </row>
    <row r="1404" spans="1:7">
      <c r="A1404" s="54">
        <v>222.477</v>
      </c>
      <c r="B1404" s="54">
        <v>223.63910000000001</v>
      </c>
      <c r="C1404" s="54">
        <v>218.34729999999999</v>
      </c>
      <c r="D1404" s="54">
        <v>218.94280000000001</v>
      </c>
      <c r="E1404" s="54">
        <v>34080839</v>
      </c>
      <c r="F1404" s="54" t="s">
        <v>2222</v>
      </c>
      <c r="G1404" s="25">
        <f t="shared" si="20"/>
        <v>1.6142115657605594E-2</v>
      </c>
    </row>
    <row r="1405" spans="1:7">
      <c r="A1405" s="54">
        <v>218.2705</v>
      </c>
      <c r="B1405" s="54">
        <v>218.4434</v>
      </c>
      <c r="C1405" s="54">
        <v>215.5429</v>
      </c>
      <c r="D1405" s="54">
        <v>216.58019999999999</v>
      </c>
      <c r="E1405" s="54">
        <v>25791235</v>
      </c>
      <c r="F1405" s="54" t="s">
        <v>2223</v>
      </c>
      <c r="G1405" s="25">
        <f t="shared" si="20"/>
        <v>7.8044992109158606E-3</v>
      </c>
    </row>
    <row r="1406" spans="1:7">
      <c r="A1406" s="54">
        <v>216.5994</v>
      </c>
      <c r="B1406" s="54">
        <v>219.6439</v>
      </c>
      <c r="C1406" s="54">
        <v>215.42769999999999</v>
      </c>
      <c r="D1406" s="54">
        <v>218.0112</v>
      </c>
      <c r="E1406" s="54">
        <v>28774156</v>
      </c>
      <c r="F1406" s="54" t="s">
        <v>2224</v>
      </c>
      <c r="G1406" s="25">
        <f t="shared" si="20"/>
        <v>-6.4758140866156833E-3</v>
      </c>
    </row>
    <row r="1407" spans="1:7">
      <c r="A1407" s="54">
        <v>219.84549999999999</v>
      </c>
      <c r="B1407" s="54">
        <v>221.51089999999999</v>
      </c>
      <c r="C1407" s="54">
        <v>217.6078</v>
      </c>
      <c r="D1407" s="54">
        <v>219.14449999999999</v>
      </c>
      <c r="E1407" s="54">
        <v>26292896</v>
      </c>
      <c r="F1407" s="54" t="s">
        <v>2225</v>
      </c>
      <c r="G1407" s="25">
        <f t="shared" si="20"/>
        <v>3.1988026165383765E-3</v>
      </c>
    </row>
    <row r="1408" spans="1:7">
      <c r="A1408" s="54">
        <v>217.6078</v>
      </c>
      <c r="B1408" s="54">
        <v>221.99680000000001</v>
      </c>
      <c r="C1408" s="54">
        <v>210.71209999999999</v>
      </c>
      <c r="D1408" s="54">
        <v>214.06389999999999</v>
      </c>
      <c r="E1408" s="54">
        <v>57602195</v>
      </c>
      <c r="F1408" s="54" t="s">
        <v>2226</v>
      </c>
      <c r="G1408" s="25">
        <f t="shared" si="20"/>
        <v>1.6555336981153745E-2</v>
      </c>
    </row>
    <row r="1409" spans="1:7">
      <c r="A1409" s="54">
        <v>212.39279999999999</v>
      </c>
      <c r="B1409" s="54">
        <v>213.29560000000001</v>
      </c>
      <c r="C1409" s="54">
        <v>208.75290000000001</v>
      </c>
      <c r="D1409" s="54">
        <v>209.25229999999999</v>
      </c>
      <c r="E1409" s="54">
        <v>39600828</v>
      </c>
      <c r="F1409" s="54" t="s">
        <v>2227</v>
      </c>
      <c r="G1409" s="25">
        <f t="shared" si="20"/>
        <v>1.5008198237247639E-2</v>
      </c>
    </row>
    <row r="1410" spans="1:7">
      <c r="A1410" s="54">
        <v>207.8982</v>
      </c>
      <c r="B1410" s="54">
        <v>208.0326</v>
      </c>
      <c r="C1410" s="54">
        <v>204.66159999999999</v>
      </c>
      <c r="D1410" s="54">
        <v>204.66159999999999</v>
      </c>
      <c r="E1410" s="54">
        <v>23043696</v>
      </c>
      <c r="F1410" s="54" t="s">
        <v>2228</v>
      </c>
      <c r="G1410" s="25">
        <f t="shared" si="20"/>
        <v>1.5814398011156028E-2</v>
      </c>
    </row>
    <row r="1411" spans="1:7">
      <c r="A1411" s="54">
        <v>205.22819999999999</v>
      </c>
      <c r="B1411" s="54">
        <v>206.98580000000001</v>
      </c>
      <c r="C1411" s="54">
        <v>204.0181</v>
      </c>
      <c r="D1411" s="54">
        <v>206.28469999999999</v>
      </c>
      <c r="E1411" s="54">
        <v>25460147</v>
      </c>
      <c r="F1411" s="54" t="s">
        <v>2229</v>
      </c>
      <c r="G1411" s="25">
        <f t="shared" si="20"/>
        <v>-5.1215625783201935E-3</v>
      </c>
    </row>
    <row r="1412" spans="1:7">
      <c r="A1412" s="54">
        <v>204.5848</v>
      </c>
      <c r="B1412" s="54">
        <v>207.68690000000001</v>
      </c>
      <c r="C1412" s="54">
        <v>204.42150000000001</v>
      </c>
      <c r="D1412" s="54">
        <v>205.39150000000001</v>
      </c>
      <c r="E1412" s="54">
        <v>36249319</v>
      </c>
      <c r="F1412" s="54" t="s">
        <v>2230</v>
      </c>
      <c r="G1412" s="25">
        <f t="shared" si="20"/>
        <v>-3.9276211527741189E-3</v>
      </c>
    </row>
    <row r="1413" spans="1:7">
      <c r="A1413" s="54">
        <v>206.083</v>
      </c>
      <c r="B1413" s="54">
        <v>206.4864</v>
      </c>
      <c r="C1413" s="54">
        <v>200.63749999999999</v>
      </c>
      <c r="D1413" s="54">
        <v>201.24260000000001</v>
      </c>
      <c r="E1413" s="54">
        <v>26981478</v>
      </c>
      <c r="F1413" s="54" t="s">
        <v>2231</v>
      </c>
      <c r="G1413" s="25">
        <f t="shared" si="20"/>
        <v>2.4052561435799369E-2</v>
      </c>
    </row>
    <row r="1414" spans="1:7">
      <c r="A1414" s="54">
        <v>201.39619999999999</v>
      </c>
      <c r="B1414" s="54">
        <v>203.7012</v>
      </c>
      <c r="C1414" s="54">
        <v>200.9641</v>
      </c>
      <c r="D1414" s="54">
        <v>203.11539999999999</v>
      </c>
      <c r="E1414" s="54">
        <v>27627561</v>
      </c>
      <c r="F1414" s="54" t="s">
        <v>2232</v>
      </c>
      <c r="G1414" s="25">
        <f t="shared" si="20"/>
        <v>-8.4641538750878098E-3</v>
      </c>
    </row>
    <row r="1415" spans="1:7">
      <c r="A1415" s="54">
        <v>202.62549999999999</v>
      </c>
      <c r="B1415" s="54">
        <v>203.45910000000001</v>
      </c>
      <c r="C1415" s="54">
        <v>200.44110000000001</v>
      </c>
      <c r="D1415" s="54">
        <v>201.70580000000001</v>
      </c>
      <c r="E1415" s="54">
        <v>21336167</v>
      </c>
      <c r="F1415" s="54" t="s">
        <v>2233</v>
      </c>
      <c r="G1415" s="25">
        <f t="shared" si="20"/>
        <v>4.5596110771231046E-3</v>
      </c>
    </row>
    <row r="1416" spans="1:7">
      <c r="A1416" s="54">
        <v>201.46629999999999</v>
      </c>
      <c r="B1416" s="54">
        <v>202.3356</v>
      </c>
      <c r="C1416" s="54">
        <v>200.1585</v>
      </c>
      <c r="D1416" s="54">
        <v>200.81479999999999</v>
      </c>
      <c r="E1416" s="54">
        <v>20184757</v>
      </c>
      <c r="F1416" s="54" t="s">
        <v>2234</v>
      </c>
      <c r="G1416" s="25">
        <f t="shared" si="20"/>
        <v>3.2442827919056949E-3</v>
      </c>
    </row>
    <row r="1417" spans="1:7">
      <c r="A1417" s="54">
        <v>200.14410000000001</v>
      </c>
      <c r="B1417" s="54">
        <v>200.80520000000001</v>
      </c>
      <c r="C1417" s="54">
        <v>198.8124</v>
      </c>
      <c r="D1417" s="54">
        <v>200.01</v>
      </c>
      <c r="E1417" s="54">
        <v>17958936</v>
      </c>
      <c r="F1417" s="54" t="s">
        <v>2235</v>
      </c>
      <c r="G1417" s="25">
        <f t="shared" si="20"/>
        <v>6.7046647667634574E-4</v>
      </c>
    </row>
    <row r="1418" spans="1:7">
      <c r="A1418" s="54">
        <v>199.95249999999999</v>
      </c>
      <c r="B1418" s="54">
        <v>202.4914</v>
      </c>
      <c r="C1418" s="54">
        <v>199.4255</v>
      </c>
      <c r="D1418" s="54">
        <v>200.66149999999999</v>
      </c>
      <c r="E1418" s="54">
        <v>22588870</v>
      </c>
      <c r="F1418" s="54" t="s">
        <v>2236</v>
      </c>
      <c r="G1418" s="25">
        <f t="shared" si="20"/>
        <v>-3.5333135653825565E-3</v>
      </c>
    </row>
    <row r="1419" spans="1:7">
      <c r="A1419" s="54">
        <v>200.42189999999999</v>
      </c>
      <c r="B1419" s="54">
        <v>201.46629999999999</v>
      </c>
      <c r="C1419" s="54">
        <v>196.16800000000001</v>
      </c>
      <c r="D1419" s="54">
        <v>196.68539999999999</v>
      </c>
      <c r="E1419" s="54">
        <v>28041364</v>
      </c>
      <c r="F1419" s="54" t="s">
        <v>2237</v>
      </c>
      <c r="G1419" s="25">
        <f t="shared" si="20"/>
        <v>1.8997342964958364E-2</v>
      </c>
    </row>
    <row r="1420" spans="1:7">
      <c r="A1420" s="54">
        <v>194.85550000000001</v>
      </c>
      <c r="B1420" s="54">
        <v>198.94649999999999</v>
      </c>
      <c r="C1420" s="54">
        <v>194.62549999999999</v>
      </c>
      <c r="D1420" s="54">
        <v>198.47219999999999</v>
      </c>
      <c r="E1420" s="54">
        <v>36446459</v>
      </c>
      <c r="F1420" s="54" t="s">
        <v>2238</v>
      </c>
      <c r="G1420" s="25">
        <f t="shared" si="20"/>
        <v>-1.8222703229973658E-2</v>
      </c>
    </row>
    <row r="1421" spans="1:7">
      <c r="A1421" s="54">
        <v>199.5213</v>
      </c>
      <c r="B1421" s="54">
        <v>202.9992</v>
      </c>
      <c r="C1421" s="54">
        <v>197.70099999999999</v>
      </c>
      <c r="D1421" s="54">
        <v>202.798</v>
      </c>
      <c r="E1421" s="54">
        <v>36716462</v>
      </c>
      <c r="F1421" s="54" t="s">
        <v>2239</v>
      </c>
      <c r="G1421" s="25">
        <f t="shared" si="20"/>
        <v>-1.615745717413386E-2</v>
      </c>
    </row>
    <row r="1422" spans="1:7">
      <c r="A1422" s="54">
        <v>203.57409999999999</v>
      </c>
      <c r="B1422" s="54">
        <v>206.6591</v>
      </c>
      <c r="C1422" s="54">
        <v>202.089</v>
      </c>
      <c r="D1422" s="54">
        <v>205.84469999999999</v>
      </c>
      <c r="E1422" s="54">
        <v>27820421</v>
      </c>
      <c r="F1422" s="54" t="s">
        <v>2240</v>
      </c>
      <c r="G1422" s="25">
        <f t="shared" si="20"/>
        <v>-1.1030645918986504E-2</v>
      </c>
    </row>
    <row r="1423" spans="1:7">
      <c r="A1423" s="54">
        <v>207.2818</v>
      </c>
      <c r="B1423" s="54">
        <v>207.3015</v>
      </c>
      <c r="C1423" s="54">
        <v>202.68299999999999</v>
      </c>
      <c r="D1423" s="54">
        <v>203.43989999999999</v>
      </c>
      <c r="E1423" s="54">
        <v>32656843</v>
      </c>
      <c r="F1423" s="54" t="s">
        <v>2241</v>
      </c>
      <c r="G1423" s="25">
        <f t="shared" si="20"/>
        <v>1.8884692727434649E-2</v>
      </c>
    </row>
    <row r="1424" spans="1:7">
      <c r="A1424" s="54">
        <v>204.01480000000001</v>
      </c>
      <c r="B1424" s="54">
        <v>205.98840000000001</v>
      </c>
      <c r="C1424" s="54">
        <v>202.7022</v>
      </c>
      <c r="D1424" s="54">
        <v>205.89259999999999</v>
      </c>
      <c r="E1424" s="54">
        <v>28858621</v>
      </c>
      <c r="F1424" s="54" t="s">
        <v>2242</v>
      </c>
      <c r="G1424" s="25">
        <f t="shared" si="20"/>
        <v>-9.1202889273338528E-3</v>
      </c>
    </row>
    <row r="1425" spans="1:7">
      <c r="A1425" s="54">
        <v>204.3501</v>
      </c>
      <c r="B1425" s="54">
        <v>205.7681</v>
      </c>
      <c r="C1425" s="54">
        <v>201.495</v>
      </c>
      <c r="D1425" s="54">
        <v>205.19319999999999</v>
      </c>
      <c r="E1425" s="54">
        <v>49280056</v>
      </c>
      <c r="F1425" s="54" t="s">
        <v>2243</v>
      </c>
      <c r="G1425" s="25">
        <f t="shared" si="20"/>
        <v>-4.1088106233539978E-3</v>
      </c>
    </row>
    <row r="1426" spans="1:7">
      <c r="A1426" s="54">
        <v>207.4639</v>
      </c>
      <c r="B1426" s="54">
        <v>208.51779999999999</v>
      </c>
      <c r="C1426" s="54">
        <v>201.61959999999999</v>
      </c>
      <c r="D1426" s="54">
        <v>202.65430000000001</v>
      </c>
      <c r="E1426" s="54">
        <v>78983009</v>
      </c>
      <c r="F1426" s="54" t="s">
        <v>2244</v>
      </c>
      <c r="G1426" s="25">
        <f t="shared" si="20"/>
        <v>2.3733027130438344E-2</v>
      </c>
    </row>
    <row r="1427" spans="1:7">
      <c r="A1427" s="54">
        <v>196.41720000000001</v>
      </c>
      <c r="B1427" s="54">
        <v>196.5034</v>
      </c>
      <c r="C1427" s="54">
        <v>190.6686</v>
      </c>
      <c r="D1427" s="54">
        <v>195.83269999999999</v>
      </c>
      <c r="E1427" s="54">
        <v>51247969</v>
      </c>
      <c r="F1427" s="54" t="s">
        <v>2245</v>
      </c>
      <c r="G1427" s="25">
        <f t="shared" si="20"/>
        <v>2.9846905036801097E-3</v>
      </c>
    </row>
    <row r="1428" spans="1:7">
      <c r="A1428" s="54">
        <v>195.3537</v>
      </c>
      <c r="B1428" s="54">
        <v>195.89019999999999</v>
      </c>
      <c r="C1428" s="54">
        <v>191.20519999999999</v>
      </c>
      <c r="D1428" s="54">
        <v>192.5752</v>
      </c>
      <c r="E1428" s="54">
        <v>25079596</v>
      </c>
      <c r="F1428" s="54" t="s">
        <v>2246</v>
      </c>
      <c r="G1428" s="25">
        <f t="shared" si="20"/>
        <v>1.4428129894191954E-2</v>
      </c>
    </row>
    <row r="1429" spans="1:7">
      <c r="A1429" s="54">
        <v>195.50700000000001</v>
      </c>
      <c r="B1429" s="54">
        <v>196.07220000000001</v>
      </c>
      <c r="C1429" s="54">
        <v>193.5429</v>
      </c>
      <c r="D1429" s="54">
        <v>194.01240000000001</v>
      </c>
      <c r="E1429" s="54">
        <v>19632602</v>
      </c>
      <c r="F1429" s="54" t="s">
        <v>2247</v>
      </c>
      <c r="G1429" s="25">
        <f t="shared" si="20"/>
        <v>7.7036313142870849E-3</v>
      </c>
    </row>
    <row r="1430" spans="1:7">
      <c r="A1430" s="54">
        <v>193.55250000000001</v>
      </c>
      <c r="B1430" s="54">
        <v>196.12010000000001</v>
      </c>
      <c r="C1430" s="54">
        <v>193.2842</v>
      </c>
      <c r="D1430" s="54">
        <v>195.07579999999999</v>
      </c>
      <c r="E1430" s="54">
        <v>23251388</v>
      </c>
      <c r="F1430" s="54" t="s">
        <v>2248</v>
      </c>
      <c r="G1430" s="25">
        <f t="shared" si="20"/>
        <v>-7.8087594668327931E-3</v>
      </c>
    </row>
    <row r="1431" spans="1:7">
      <c r="A1431" s="54">
        <v>195.3058</v>
      </c>
      <c r="B1431" s="54">
        <v>195.42070000000001</v>
      </c>
      <c r="C1431" s="54">
        <v>192.44110000000001</v>
      </c>
      <c r="D1431" s="54">
        <v>193.02549999999999</v>
      </c>
      <c r="E1431" s="54">
        <v>30160867</v>
      </c>
      <c r="F1431" s="54" t="s">
        <v>2249</v>
      </c>
      <c r="G1431" s="25">
        <f t="shared" si="20"/>
        <v>1.1813465060315886E-2</v>
      </c>
    </row>
    <row r="1432" spans="1:7">
      <c r="A1432" s="54">
        <v>192.86269999999999</v>
      </c>
      <c r="B1432" s="54">
        <v>194.35730000000001</v>
      </c>
      <c r="C1432" s="54">
        <v>189.23150000000001</v>
      </c>
      <c r="D1432" s="54">
        <v>192.01949999999999</v>
      </c>
      <c r="E1432" s="54">
        <v>39826989</v>
      </c>
      <c r="F1432" s="54" t="s">
        <v>2250</v>
      </c>
      <c r="G1432" s="25">
        <f t="shared" ref="G1432:G1495" si="21">A1432/D1432-1</f>
        <v>4.3912206833160994E-3</v>
      </c>
    </row>
    <row r="1433" spans="1:7">
      <c r="A1433" s="54">
        <v>194.05070000000001</v>
      </c>
      <c r="B1433" s="54">
        <v>202.07939999999999</v>
      </c>
      <c r="C1433" s="54">
        <v>193.67699999999999</v>
      </c>
      <c r="D1433" s="54">
        <v>198.50579999999999</v>
      </c>
      <c r="E1433" s="54">
        <v>67457035</v>
      </c>
      <c r="F1433" s="54" t="s">
        <v>2251</v>
      </c>
      <c r="G1433" s="25">
        <f t="shared" si="21"/>
        <v>-2.2443172945072587E-2</v>
      </c>
    </row>
    <row r="1434" spans="1:7">
      <c r="A1434" s="54">
        <v>202.87459999999999</v>
      </c>
      <c r="B1434" s="54">
        <v>203.4016</v>
      </c>
      <c r="C1434" s="54">
        <v>199.65549999999999</v>
      </c>
      <c r="D1434" s="54">
        <v>200.4315</v>
      </c>
      <c r="E1434" s="54">
        <v>49605692</v>
      </c>
      <c r="F1434" s="54" t="s">
        <v>2252</v>
      </c>
      <c r="G1434" s="25">
        <f t="shared" si="21"/>
        <v>1.2189201797122573E-2</v>
      </c>
    </row>
    <row r="1435" spans="1:7">
      <c r="A1435" s="54">
        <v>200.00040000000001</v>
      </c>
      <c r="B1435" s="54">
        <v>204.97290000000001</v>
      </c>
      <c r="C1435" s="54">
        <v>199.31059999999999</v>
      </c>
      <c r="D1435" s="54">
        <v>204.7046</v>
      </c>
      <c r="E1435" s="54">
        <v>38105777</v>
      </c>
      <c r="F1435" s="54" t="s">
        <v>2253</v>
      </c>
      <c r="G1435" s="25">
        <f t="shared" si="21"/>
        <v>-2.2980431314196137E-2</v>
      </c>
    </row>
    <row r="1436" spans="1:7">
      <c r="A1436" s="54">
        <v>202.73089999999999</v>
      </c>
      <c r="B1436" s="54">
        <v>203.4016</v>
      </c>
      <c r="C1436" s="54">
        <v>194.501</v>
      </c>
      <c r="D1436" s="54">
        <v>196.4076</v>
      </c>
      <c r="E1436" s="54">
        <v>36884836</v>
      </c>
      <c r="F1436" s="54" t="s">
        <v>2254</v>
      </c>
      <c r="G1436" s="25">
        <f t="shared" si="21"/>
        <v>3.2194782686616907E-2</v>
      </c>
    </row>
    <row r="1437" spans="1:7">
      <c r="A1437" s="54">
        <v>194.37639999999999</v>
      </c>
      <c r="B1437" s="54">
        <v>196.44589999999999</v>
      </c>
      <c r="C1437" s="54">
        <v>192.94890000000001</v>
      </c>
      <c r="D1437" s="54">
        <v>195.8998</v>
      </c>
      <c r="E1437" s="54">
        <v>31635281</v>
      </c>
      <c r="F1437" s="54" t="s">
        <v>2255</v>
      </c>
      <c r="G1437" s="25">
        <f t="shared" si="21"/>
        <v>-7.7764244782282388E-3</v>
      </c>
    </row>
    <row r="1438" spans="1:7">
      <c r="A1438" s="54">
        <v>195.37280000000001</v>
      </c>
      <c r="B1438" s="54">
        <v>197.07820000000001</v>
      </c>
      <c r="C1438" s="54">
        <v>193.83029999999999</v>
      </c>
      <c r="D1438" s="54">
        <v>196.79079999999999</v>
      </c>
      <c r="E1438" s="54">
        <v>29940653</v>
      </c>
      <c r="F1438" s="54" t="s">
        <v>2256</v>
      </c>
      <c r="G1438" s="25">
        <f t="shared" si="21"/>
        <v>-7.2056214010003394E-3</v>
      </c>
    </row>
    <row r="1439" spans="1:7">
      <c r="A1439" s="54">
        <v>199.3202</v>
      </c>
      <c r="B1439" s="54">
        <v>202.47229999999999</v>
      </c>
      <c r="C1439" s="54">
        <v>196.43629999999999</v>
      </c>
      <c r="D1439" s="54">
        <v>200.7764</v>
      </c>
      <c r="E1439" s="54">
        <v>32179409</v>
      </c>
      <c r="F1439" s="54" t="s">
        <v>2257</v>
      </c>
      <c r="G1439" s="25">
        <f t="shared" si="21"/>
        <v>-7.2528444578147111E-3</v>
      </c>
    </row>
    <row r="1440" spans="1:7">
      <c r="A1440" s="54">
        <v>199.6172</v>
      </c>
      <c r="B1440" s="54">
        <v>200.09620000000001</v>
      </c>
      <c r="C1440" s="54">
        <v>193.56209999999999</v>
      </c>
      <c r="D1440" s="54">
        <v>197.49019999999999</v>
      </c>
      <c r="E1440" s="54">
        <v>37591820</v>
      </c>
      <c r="F1440" s="54" t="s">
        <v>2258</v>
      </c>
      <c r="G1440" s="25">
        <f t="shared" si="21"/>
        <v>1.0770154670965981E-2</v>
      </c>
    </row>
    <row r="1441" spans="1:7">
      <c r="A1441" s="54">
        <v>198.39080000000001</v>
      </c>
      <c r="B1441" s="54">
        <v>206.75489999999999</v>
      </c>
      <c r="C1441" s="54">
        <v>197.84469999999999</v>
      </c>
      <c r="D1441" s="54">
        <v>205.49019999999999</v>
      </c>
      <c r="E1441" s="54">
        <v>38135606</v>
      </c>
      <c r="F1441" s="54" t="s">
        <v>2259</v>
      </c>
      <c r="G1441" s="25">
        <f t="shared" si="21"/>
        <v>-3.4548606210904387E-2</v>
      </c>
    </row>
    <row r="1442" spans="1:7">
      <c r="A1442" s="54">
        <v>204.71420000000001</v>
      </c>
      <c r="B1442" s="54">
        <v>205.107</v>
      </c>
      <c r="C1442" s="54">
        <v>202.23269999999999</v>
      </c>
      <c r="D1442" s="54">
        <v>204.66630000000001</v>
      </c>
      <c r="E1442" s="54">
        <v>26177633</v>
      </c>
      <c r="F1442" s="54" t="s">
        <v>2260</v>
      </c>
      <c r="G1442" s="25">
        <f t="shared" si="21"/>
        <v>2.3403950723688283E-4</v>
      </c>
    </row>
    <row r="1443" spans="1:7">
      <c r="A1443" s="54">
        <v>205.33690000000001</v>
      </c>
      <c r="B1443" s="54">
        <v>207.31059999999999</v>
      </c>
      <c r="C1443" s="54">
        <v>202.60640000000001</v>
      </c>
      <c r="D1443" s="54">
        <v>207.2627</v>
      </c>
      <c r="E1443" s="54">
        <v>33121681</v>
      </c>
      <c r="F1443" s="54" t="s">
        <v>2261</v>
      </c>
      <c r="G1443" s="25">
        <f t="shared" si="21"/>
        <v>-9.291589851912474E-3</v>
      </c>
    </row>
    <row r="1444" spans="1:7">
      <c r="A1444" s="54">
        <v>203.90940000000001</v>
      </c>
      <c r="B1444" s="54">
        <v>204.32140000000001</v>
      </c>
      <c r="C1444" s="54">
        <v>199.94290000000001</v>
      </c>
      <c r="D1444" s="54">
        <v>201.26509999999999</v>
      </c>
      <c r="E1444" s="54">
        <v>33600025</v>
      </c>
      <c r="F1444" s="54" t="s">
        <v>2262</v>
      </c>
      <c r="G1444" s="25">
        <f t="shared" si="21"/>
        <v>1.3138393094480838E-2</v>
      </c>
    </row>
    <row r="1445" spans="1:7">
      <c r="A1445" s="54">
        <v>199.5213</v>
      </c>
      <c r="B1445" s="54">
        <v>205.67230000000001</v>
      </c>
      <c r="C1445" s="54">
        <v>199.2722</v>
      </c>
      <c r="D1445" s="54">
        <v>201.62909999999999</v>
      </c>
      <c r="E1445" s="54">
        <v>33600732</v>
      </c>
      <c r="F1445" s="54" t="s">
        <v>2263</v>
      </c>
      <c r="G1445" s="25">
        <f t="shared" si="21"/>
        <v>-1.0453848179652669E-2</v>
      </c>
    </row>
    <row r="1446" spans="1:7">
      <c r="A1446" s="54">
        <v>201.86869999999999</v>
      </c>
      <c r="B1446" s="54">
        <v>202.28059999999999</v>
      </c>
      <c r="C1446" s="54">
        <v>199.3681</v>
      </c>
      <c r="D1446" s="54">
        <v>200.0804</v>
      </c>
      <c r="E1446" s="54">
        <v>31897629</v>
      </c>
      <c r="F1446" s="54" t="s">
        <v>2264</v>
      </c>
      <c r="G1446" s="25">
        <f t="shared" si="21"/>
        <v>8.9379069614015094E-3</v>
      </c>
    </row>
    <row r="1447" spans="1:7">
      <c r="A1447" s="54">
        <v>197.6148</v>
      </c>
      <c r="B1447" s="54">
        <v>199.30099999999999</v>
      </c>
      <c r="C1447" s="54">
        <v>196.4076</v>
      </c>
      <c r="D1447" s="54">
        <v>197.0591</v>
      </c>
      <c r="E1447" s="54">
        <v>29315762</v>
      </c>
      <c r="F1447" s="54" t="s">
        <v>2265</v>
      </c>
      <c r="G1447" s="25">
        <f t="shared" si="21"/>
        <v>2.819966192883161E-3</v>
      </c>
    </row>
    <row r="1448" spans="1:7">
      <c r="A1448" s="54">
        <v>196.12010000000001</v>
      </c>
      <c r="B1448" s="54">
        <v>197.70099999999999</v>
      </c>
      <c r="C1448" s="54">
        <v>193.31299999999999</v>
      </c>
      <c r="D1448" s="54">
        <v>194.62549999999999</v>
      </c>
      <c r="E1448" s="54">
        <v>32061206</v>
      </c>
      <c r="F1448" s="54" t="s">
        <v>2266</v>
      </c>
      <c r="G1448" s="25">
        <f t="shared" si="21"/>
        <v>7.6793637010568183E-3</v>
      </c>
    </row>
    <row r="1449" spans="1:7">
      <c r="A1449" s="54">
        <v>194.98</v>
      </c>
      <c r="B1449" s="54">
        <v>195.83269999999999</v>
      </c>
      <c r="C1449" s="54">
        <v>189.45189999999999</v>
      </c>
      <c r="D1449" s="54">
        <v>189.58750000000001</v>
      </c>
      <c r="E1449" s="54">
        <v>34310283</v>
      </c>
      <c r="F1449" s="54" t="s">
        <v>2267</v>
      </c>
      <c r="G1449" s="25">
        <f t="shared" si="21"/>
        <v>2.8443330915803866E-2</v>
      </c>
    </row>
    <row r="1450" spans="1:7">
      <c r="A1450" s="54">
        <v>190.1225</v>
      </c>
      <c r="B1450" s="54">
        <v>190.2088</v>
      </c>
      <c r="C1450" s="54">
        <v>185.4375</v>
      </c>
      <c r="D1450" s="54">
        <v>187.57400000000001</v>
      </c>
      <c r="E1450" s="54">
        <v>26701586</v>
      </c>
      <c r="F1450" s="54" t="s">
        <v>2268</v>
      </c>
      <c r="G1450" s="25">
        <f t="shared" si="21"/>
        <v>1.3586637806945578E-2</v>
      </c>
    </row>
    <row r="1451" spans="1:7">
      <c r="A1451" s="54">
        <v>188.101</v>
      </c>
      <c r="B1451" s="54">
        <v>191.51179999999999</v>
      </c>
      <c r="C1451" s="54">
        <v>186.71170000000001</v>
      </c>
      <c r="D1451" s="54">
        <v>191.35849999999999</v>
      </c>
      <c r="E1451" s="54">
        <v>54675780</v>
      </c>
      <c r="F1451" s="54" t="s">
        <v>2269</v>
      </c>
      <c r="G1451" s="25">
        <f t="shared" si="21"/>
        <v>-1.7023022233138341E-2</v>
      </c>
    </row>
    <row r="1452" spans="1:7">
      <c r="A1452" s="54">
        <v>191.94290000000001</v>
      </c>
      <c r="B1452" s="54">
        <v>192.20160000000001</v>
      </c>
      <c r="C1452" s="54">
        <v>187.27459999999999</v>
      </c>
      <c r="D1452" s="54">
        <v>189.5094</v>
      </c>
      <c r="E1452" s="54">
        <v>27803933</v>
      </c>
      <c r="F1452" s="54" t="s">
        <v>2270</v>
      </c>
      <c r="G1452" s="25">
        <f t="shared" si="21"/>
        <v>1.2841051683979865E-2</v>
      </c>
    </row>
    <row r="1453" spans="1:7">
      <c r="A1453" s="54">
        <v>189.54769999999999</v>
      </c>
      <c r="B1453" s="54">
        <v>194.73089999999999</v>
      </c>
      <c r="C1453" s="54">
        <v>188.32130000000001</v>
      </c>
      <c r="D1453" s="54">
        <v>193.1542</v>
      </c>
      <c r="E1453" s="54">
        <v>36740647</v>
      </c>
      <c r="F1453" s="54" t="s">
        <v>2271</v>
      </c>
      <c r="G1453" s="25">
        <f t="shared" si="21"/>
        <v>-1.8671610557782437E-2</v>
      </c>
    </row>
    <row r="1454" spans="1:7">
      <c r="A1454" s="54">
        <v>193.44710000000001</v>
      </c>
      <c r="B1454" s="54">
        <v>195.4016</v>
      </c>
      <c r="C1454" s="54">
        <v>192.98240000000001</v>
      </c>
      <c r="D1454" s="54">
        <v>193.61949999999999</v>
      </c>
      <c r="E1454" s="54">
        <v>30917447</v>
      </c>
      <c r="F1454" s="54" t="s">
        <v>2272</v>
      </c>
      <c r="G1454" s="25">
        <f t="shared" si="21"/>
        <v>-8.904061832614163E-4</v>
      </c>
    </row>
    <row r="1455" spans="1:7">
      <c r="A1455" s="54">
        <v>192.16319999999999</v>
      </c>
      <c r="B1455" s="54">
        <v>192.34530000000001</v>
      </c>
      <c r="C1455" s="54">
        <v>187.0472</v>
      </c>
      <c r="D1455" s="54">
        <v>187.58359999999999</v>
      </c>
      <c r="E1455" s="54">
        <v>32818929</v>
      </c>
      <c r="F1455" s="54" t="s">
        <v>2273</v>
      </c>
      <c r="G1455" s="25">
        <f t="shared" si="21"/>
        <v>2.4413648101433205E-2</v>
      </c>
    </row>
    <row r="1456" spans="1:7">
      <c r="A1456" s="54">
        <v>186.97040000000001</v>
      </c>
      <c r="B1456" s="54">
        <v>190.93690000000001</v>
      </c>
      <c r="C1456" s="54">
        <v>186.22309999999999</v>
      </c>
      <c r="D1456" s="54">
        <v>190.2662</v>
      </c>
      <c r="E1456" s="54">
        <v>44441141</v>
      </c>
      <c r="F1456" s="54" t="s">
        <v>2274</v>
      </c>
      <c r="G1456" s="25">
        <f t="shared" si="21"/>
        <v>-1.7322046690373738E-2</v>
      </c>
    </row>
    <row r="1457" spans="1:7">
      <c r="A1457" s="54">
        <v>188.09139999999999</v>
      </c>
      <c r="B1457" s="54">
        <v>188.2543</v>
      </c>
      <c r="C1457" s="54">
        <v>185.86859999999999</v>
      </c>
      <c r="D1457" s="54">
        <v>185.86859999999999</v>
      </c>
      <c r="E1457" s="54">
        <v>23061648</v>
      </c>
      <c r="F1457" s="54" t="s">
        <v>2275</v>
      </c>
      <c r="G1457" s="25">
        <f t="shared" si="21"/>
        <v>1.1958986079413148E-2</v>
      </c>
    </row>
    <row r="1458" spans="1:7">
      <c r="A1458" s="54">
        <v>186.0986</v>
      </c>
      <c r="B1458" s="54">
        <v>188.09139999999999</v>
      </c>
      <c r="C1458" s="54">
        <v>185.57159999999999</v>
      </c>
      <c r="D1458" s="54">
        <v>186.85550000000001</v>
      </c>
      <c r="E1458" s="54">
        <v>25687822</v>
      </c>
      <c r="F1458" s="54" t="s">
        <v>2276</v>
      </c>
      <c r="G1458" s="25">
        <f t="shared" si="21"/>
        <v>-4.0507236875553243E-3</v>
      </c>
    </row>
    <row r="1459" spans="1:7">
      <c r="A1459" s="54">
        <v>185.45660000000001</v>
      </c>
      <c r="B1459" s="54">
        <v>187.38239999999999</v>
      </c>
      <c r="C1459" s="54">
        <v>183.43510000000001</v>
      </c>
      <c r="D1459" s="54">
        <v>184.80520000000001</v>
      </c>
      <c r="E1459" s="54">
        <v>42556656</v>
      </c>
      <c r="F1459" s="54" t="s">
        <v>2277</v>
      </c>
      <c r="G1459" s="25">
        <f t="shared" si="21"/>
        <v>3.524792592416226E-3</v>
      </c>
    </row>
    <row r="1460" spans="1:7">
      <c r="A1460" s="54">
        <v>181.02070000000001</v>
      </c>
      <c r="B1460" s="54">
        <v>182.8219</v>
      </c>
      <c r="C1460" s="54">
        <v>176.29740000000001</v>
      </c>
      <c r="D1460" s="54">
        <v>176.84350000000001</v>
      </c>
      <c r="E1460" s="54">
        <v>32770189</v>
      </c>
      <c r="F1460" s="54" t="s">
        <v>2278</v>
      </c>
      <c r="G1460" s="25">
        <f t="shared" si="21"/>
        <v>2.362088513290006E-2</v>
      </c>
    </row>
    <row r="1461" spans="1:7">
      <c r="A1461" s="54">
        <v>179.87100000000001</v>
      </c>
      <c r="B1461" s="54">
        <v>183.6842</v>
      </c>
      <c r="C1461" s="54">
        <v>177.41829999999999</v>
      </c>
      <c r="D1461" s="54">
        <v>182.55369999999999</v>
      </c>
      <c r="E1461" s="54">
        <v>43373587</v>
      </c>
      <c r="F1461" s="54" t="s">
        <v>2279</v>
      </c>
      <c r="G1461" s="25">
        <f t="shared" si="21"/>
        <v>-1.4695401955698406E-2</v>
      </c>
    </row>
    <row r="1462" spans="1:7">
      <c r="A1462" s="54">
        <v>178.46260000000001</v>
      </c>
      <c r="B1462" s="54">
        <v>187.5549</v>
      </c>
      <c r="C1462" s="54">
        <v>178.27099999999999</v>
      </c>
      <c r="D1462" s="54">
        <v>185.0351</v>
      </c>
      <c r="E1462" s="54">
        <v>52854672</v>
      </c>
      <c r="F1462" s="54" t="s">
        <v>2280</v>
      </c>
      <c r="G1462" s="25">
        <f t="shared" si="21"/>
        <v>-3.5520287772427994E-2</v>
      </c>
    </row>
    <row r="1463" spans="1:7">
      <c r="A1463" s="54">
        <v>188.58959999999999</v>
      </c>
      <c r="B1463" s="54">
        <v>190.19919999999999</v>
      </c>
      <c r="C1463" s="54">
        <v>183.00399999999999</v>
      </c>
      <c r="D1463" s="54">
        <v>183.11410000000001</v>
      </c>
      <c r="E1463" s="54">
        <v>43872329</v>
      </c>
      <c r="F1463" s="54" t="s">
        <v>2281</v>
      </c>
      <c r="G1463" s="25">
        <f t="shared" si="21"/>
        <v>2.9902121136493598E-2</v>
      </c>
    </row>
    <row r="1464" spans="1:7">
      <c r="A1464" s="54">
        <v>181.84469999999999</v>
      </c>
      <c r="B1464" s="54">
        <v>182.70689999999999</v>
      </c>
      <c r="C1464" s="54">
        <v>179.41159999999999</v>
      </c>
      <c r="D1464" s="54">
        <v>180.12010000000001</v>
      </c>
      <c r="E1464" s="54">
        <v>29783916</v>
      </c>
      <c r="F1464" s="54" t="s">
        <v>2282</v>
      </c>
      <c r="G1464" s="25">
        <f t="shared" si="21"/>
        <v>9.5747226433917643E-3</v>
      </c>
    </row>
    <row r="1465" spans="1:7">
      <c r="A1465" s="54">
        <v>180.465</v>
      </c>
      <c r="B1465" s="54">
        <v>180.64709999999999</v>
      </c>
      <c r="C1465" s="54">
        <v>176.70930000000001</v>
      </c>
      <c r="D1465" s="54">
        <v>178.1465</v>
      </c>
      <c r="E1465" s="54">
        <v>33211590</v>
      </c>
      <c r="F1465" s="54" t="s">
        <v>2283</v>
      </c>
      <c r="G1465" s="25">
        <f t="shared" si="21"/>
        <v>1.3014569469509629E-2</v>
      </c>
    </row>
    <row r="1466" spans="1:7">
      <c r="A1466" s="54">
        <v>179.3536</v>
      </c>
      <c r="B1466" s="54">
        <v>179.8614</v>
      </c>
      <c r="C1466" s="54">
        <v>174.38120000000001</v>
      </c>
      <c r="D1466" s="54">
        <v>174.96559999999999</v>
      </c>
      <c r="E1466" s="54">
        <v>39893643</v>
      </c>
      <c r="F1466" s="54" t="s">
        <v>2284</v>
      </c>
      <c r="G1466" s="25">
        <f t="shared" si="21"/>
        <v>2.5079215571518043E-2</v>
      </c>
    </row>
    <row r="1467" spans="1:7">
      <c r="A1467" s="54">
        <v>175.25299999999999</v>
      </c>
      <c r="B1467" s="54">
        <v>178.0506</v>
      </c>
      <c r="C1467" s="54">
        <v>174.65899999999999</v>
      </c>
      <c r="D1467" s="54">
        <v>176.5752</v>
      </c>
      <c r="E1467" s="54">
        <v>28761809</v>
      </c>
      <c r="F1467" s="54" t="s">
        <v>2285</v>
      </c>
      <c r="G1467" s="25">
        <f t="shared" si="21"/>
        <v>-7.4880277638083026E-3</v>
      </c>
    </row>
    <row r="1468" spans="1:7">
      <c r="A1468" s="54">
        <v>177.5908</v>
      </c>
      <c r="B1468" s="54">
        <v>178.1465</v>
      </c>
      <c r="C1468" s="54">
        <v>175.8854</v>
      </c>
      <c r="D1468" s="54">
        <v>177.0686</v>
      </c>
      <c r="E1468" s="54">
        <v>27311016</v>
      </c>
      <c r="F1468" s="54" t="s">
        <v>2286</v>
      </c>
      <c r="G1468" s="25">
        <f t="shared" si="21"/>
        <v>2.9491394860523545E-3</v>
      </c>
    </row>
    <row r="1469" spans="1:7">
      <c r="A1469" s="54">
        <v>177.15960000000001</v>
      </c>
      <c r="B1469" s="54">
        <v>177.24590000000001</v>
      </c>
      <c r="C1469" s="54">
        <v>173.74879999999999</v>
      </c>
      <c r="D1469" s="54">
        <v>176.5273</v>
      </c>
      <c r="E1469" s="54">
        <v>30794585</v>
      </c>
      <c r="F1469" s="54" t="s">
        <v>2287</v>
      </c>
      <c r="G1469" s="25">
        <f t="shared" si="21"/>
        <v>3.5818822357789326E-3</v>
      </c>
    </row>
    <row r="1470" spans="1:7">
      <c r="A1470" s="54">
        <v>175.16679999999999</v>
      </c>
      <c r="B1470" s="54">
        <v>175.3297</v>
      </c>
      <c r="C1470" s="54">
        <v>173.85419999999999</v>
      </c>
      <c r="D1470" s="54">
        <v>174.88900000000001</v>
      </c>
      <c r="E1470" s="54">
        <v>22668821</v>
      </c>
      <c r="F1470" s="54" t="s">
        <v>2288</v>
      </c>
      <c r="G1470" s="25">
        <f t="shared" si="21"/>
        <v>1.5884360937508113E-3</v>
      </c>
    </row>
    <row r="1471" spans="1:7">
      <c r="A1471" s="54">
        <v>175.5692</v>
      </c>
      <c r="B1471" s="54">
        <v>176.54650000000001</v>
      </c>
      <c r="C1471" s="54">
        <v>172.84819999999999</v>
      </c>
      <c r="D1471" s="54">
        <v>175.071</v>
      </c>
      <c r="E1471" s="54">
        <v>42146720</v>
      </c>
      <c r="F1471" s="54" t="s">
        <v>2289</v>
      </c>
      <c r="G1471" s="25">
        <f t="shared" si="21"/>
        <v>2.8457026006591946E-3</v>
      </c>
    </row>
    <row r="1472" spans="1:7">
      <c r="A1472" s="54">
        <v>173.79669999999999</v>
      </c>
      <c r="B1472" s="54">
        <v>176.429</v>
      </c>
      <c r="C1472" s="54">
        <v>172.81950000000001</v>
      </c>
      <c r="D1472" s="54">
        <v>173.1644</v>
      </c>
      <c r="E1472" s="54">
        <v>33831824</v>
      </c>
      <c r="F1472" s="54" t="s">
        <v>2290</v>
      </c>
      <c r="G1472" s="25">
        <f t="shared" si="21"/>
        <v>3.651443368267282E-3</v>
      </c>
    </row>
    <row r="1473" spans="1:7">
      <c r="A1473" s="54">
        <v>174.18960000000001</v>
      </c>
      <c r="B1473" s="54">
        <v>174.35980000000001</v>
      </c>
      <c r="C1473" s="54">
        <v>169.1979</v>
      </c>
      <c r="D1473" s="54">
        <v>172.64699999999999</v>
      </c>
      <c r="E1473" s="54">
        <v>39517146</v>
      </c>
      <c r="F1473" s="54" t="s">
        <v>2291</v>
      </c>
      <c r="G1473" s="25">
        <f t="shared" si="21"/>
        <v>8.9349945264036723E-3</v>
      </c>
    </row>
    <row r="1474" spans="1:7">
      <c r="A1474" s="54">
        <v>173.95959999999999</v>
      </c>
      <c r="B1474" s="54">
        <v>178.68299999999999</v>
      </c>
      <c r="C1474" s="54">
        <v>173.5093</v>
      </c>
      <c r="D1474" s="54">
        <v>178.52969999999999</v>
      </c>
      <c r="E1474" s="54">
        <v>36073609</v>
      </c>
      <c r="F1474" s="54" t="s">
        <v>2292</v>
      </c>
      <c r="G1474" s="25">
        <f t="shared" si="21"/>
        <v>-2.5598541867263513E-2</v>
      </c>
    </row>
    <row r="1475" spans="1:7">
      <c r="A1475" s="54">
        <v>175.81829999999999</v>
      </c>
      <c r="B1475" s="54">
        <v>176.7285</v>
      </c>
      <c r="C1475" s="54">
        <v>174.88900000000001</v>
      </c>
      <c r="D1475" s="54">
        <v>175.51169999999999</v>
      </c>
      <c r="E1475" s="54">
        <v>20826898</v>
      </c>
      <c r="F1475" s="54" t="s">
        <v>2293</v>
      </c>
      <c r="G1475" s="25">
        <f t="shared" si="21"/>
        <v>1.7468920875360894E-3</v>
      </c>
    </row>
    <row r="1476" spans="1:7">
      <c r="A1476" s="54">
        <v>175.74170000000001</v>
      </c>
      <c r="B1476" s="54">
        <v>178.8459</v>
      </c>
      <c r="C1476" s="54">
        <v>175.60749999999999</v>
      </c>
      <c r="D1476" s="54">
        <v>177.62909999999999</v>
      </c>
      <c r="E1476" s="54">
        <v>29119513</v>
      </c>
      <c r="F1476" s="54" t="s">
        <v>2294</v>
      </c>
      <c r="G1476" s="25">
        <f t="shared" si="21"/>
        <v>-1.0625511247875363E-2</v>
      </c>
    </row>
    <row r="1477" spans="1:7">
      <c r="A1477" s="54">
        <v>177.87819999999999</v>
      </c>
      <c r="B1477" s="54">
        <v>178.06020000000001</v>
      </c>
      <c r="C1477" s="54">
        <v>176.2303</v>
      </c>
      <c r="D1477" s="54">
        <v>177.06379999999999</v>
      </c>
      <c r="E1477" s="54">
        <v>31261334</v>
      </c>
      <c r="F1477" s="54" t="s">
        <v>2295</v>
      </c>
      <c r="G1477" s="25">
        <f t="shared" si="21"/>
        <v>4.5994720547057888E-3</v>
      </c>
    </row>
    <row r="1478" spans="1:7">
      <c r="A1478" s="54">
        <v>175.44470000000001</v>
      </c>
      <c r="B1478" s="54">
        <v>178.28229999999999</v>
      </c>
      <c r="C1478" s="54">
        <v>175.3109</v>
      </c>
      <c r="D1478" s="54">
        <v>176.78219999999999</v>
      </c>
      <c r="E1478" s="54">
        <v>26799116</v>
      </c>
      <c r="F1478" s="54" t="s">
        <v>2296</v>
      </c>
      <c r="G1478" s="25">
        <f t="shared" si="21"/>
        <v>-7.5658069647281945E-3</v>
      </c>
    </row>
    <row r="1479" spans="1:7">
      <c r="A1479" s="54">
        <v>176.66759999999999</v>
      </c>
      <c r="B1479" s="54">
        <v>177.90010000000001</v>
      </c>
      <c r="C1479" s="54">
        <v>175.75989999999999</v>
      </c>
      <c r="D1479" s="54">
        <v>177.47020000000001</v>
      </c>
      <c r="E1479" s="54">
        <v>35306620</v>
      </c>
      <c r="F1479" s="54" t="s">
        <v>2297</v>
      </c>
      <c r="G1479" s="25">
        <f t="shared" si="21"/>
        <v>-4.5224494027730211E-3</v>
      </c>
    </row>
    <row r="1480" spans="1:7">
      <c r="A1480" s="54">
        <v>174.9956</v>
      </c>
      <c r="B1480" s="54">
        <v>178.7218</v>
      </c>
      <c r="C1480" s="54">
        <v>169.11019999999999</v>
      </c>
      <c r="D1480" s="54">
        <v>171.07839999999999</v>
      </c>
      <c r="E1480" s="54">
        <v>46610382</v>
      </c>
      <c r="F1480" s="54" t="s">
        <v>2298</v>
      </c>
      <c r="G1480" s="25">
        <f t="shared" si="21"/>
        <v>2.2897104485428921E-2</v>
      </c>
    </row>
    <row r="1481" spans="1:7">
      <c r="A1481" s="54">
        <v>172.4828</v>
      </c>
      <c r="B1481" s="54">
        <v>172.63570000000001</v>
      </c>
      <c r="C1481" s="54">
        <v>167.84899999999999</v>
      </c>
      <c r="D1481" s="54">
        <v>169.62610000000001</v>
      </c>
      <c r="E1481" s="54">
        <v>41873911</v>
      </c>
      <c r="F1481" s="54" t="s">
        <v>2299</v>
      </c>
      <c r="G1481" s="25">
        <f t="shared" si="21"/>
        <v>1.6841158288730229E-2</v>
      </c>
    </row>
    <row r="1482" spans="1:7">
      <c r="A1482" s="54">
        <v>171.73759999999999</v>
      </c>
      <c r="B1482" s="54">
        <v>175.8459</v>
      </c>
      <c r="C1482" s="54">
        <v>168.67070000000001</v>
      </c>
      <c r="D1482" s="54">
        <v>174.4128</v>
      </c>
      <c r="E1482" s="54">
        <v>44711488</v>
      </c>
      <c r="F1482" s="54" t="s">
        <v>2300</v>
      </c>
      <c r="G1482" s="25">
        <f t="shared" si="21"/>
        <v>-1.5338323792749242E-2</v>
      </c>
    </row>
    <row r="1483" spans="1:7">
      <c r="A1483" s="54">
        <v>174.37459999999999</v>
      </c>
      <c r="B1483" s="54">
        <v>178.70269999999999</v>
      </c>
      <c r="C1483" s="54">
        <v>174.1739</v>
      </c>
      <c r="D1483" s="54">
        <v>178.4734</v>
      </c>
      <c r="E1483" s="54">
        <v>32038199</v>
      </c>
      <c r="F1483" s="54" t="s">
        <v>2301</v>
      </c>
      <c r="G1483" s="25">
        <f t="shared" si="21"/>
        <v>-2.2965887353521675E-2</v>
      </c>
    </row>
    <row r="1484" spans="1:7">
      <c r="A1484" s="54">
        <v>178.416</v>
      </c>
      <c r="B1484" s="54">
        <v>179.15170000000001</v>
      </c>
      <c r="C1484" s="54">
        <v>174.6994</v>
      </c>
      <c r="D1484" s="54">
        <v>174.98609999999999</v>
      </c>
      <c r="E1484" s="54">
        <v>30892660</v>
      </c>
      <c r="F1484" s="54" t="s">
        <v>2302</v>
      </c>
      <c r="G1484" s="25">
        <f t="shared" si="21"/>
        <v>1.9600985449701458E-2</v>
      </c>
    </row>
    <row r="1485" spans="1:7">
      <c r="A1485" s="54">
        <v>176.4479</v>
      </c>
      <c r="B1485" s="54">
        <v>176.75360000000001</v>
      </c>
      <c r="C1485" s="54">
        <v>175.1867</v>
      </c>
      <c r="D1485" s="54">
        <v>176.73419999999999</v>
      </c>
      <c r="E1485" s="54">
        <v>30912638</v>
      </c>
      <c r="F1485" s="54" t="s">
        <v>2303</v>
      </c>
      <c r="G1485" s="25">
        <f t="shared" si="21"/>
        <v>-1.6199467901514275E-3</v>
      </c>
    </row>
    <row r="1486" spans="1:7">
      <c r="A1486" s="54">
        <v>175.416</v>
      </c>
      <c r="B1486" s="54">
        <v>176.3236</v>
      </c>
      <c r="C1486" s="54">
        <v>174.44149999999999</v>
      </c>
      <c r="D1486" s="54">
        <v>175.9606</v>
      </c>
      <c r="E1486" s="54">
        <v>28315992</v>
      </c>
      <c r="F1486" s="54" t="s">
        <v>2304</v>
      </c>
      <c r="G1486" s="25">
        <f t="shared" si="21"/>
        <v>-3.0950110422447441E-3</v>
      </c>
    </row>
    <row r="1487" spans="1:7">
      <c r="A1487" s="54">
        <v>174.4032</v>
      </c>
      <c r="B1487" s="54">
        <v>175.98920000000001</v>
      </c>
      <c r="C1487" s="54">
        <v>173.53440000000001</v>
      </c>
      <c r="D1487" s="54">
        <v>173.96369999999999</v>
      </c>
      <c r="E1487" s="54">
        <v>32139299</v>
      </c>
      <c r="F1487" s="54" t="s">
        <v>2305</v>
      </c>
      <c r="G1487" s="25">
        <f t="shared" si="21"/>
        <v>2.5263891260074445E-3</v>
      </c>
    </row>
    <row r="1488" spans="1:7">
      <c r="A1488" s="54">
        <v>172.70259999999999</v>
      </c>
      <c r="B1488" s="54">
        <v>175.46379999999999</v>
      </c>
      <c r="C1488" s="54">
        <v>171.8809</v>
      </c>
      <c r="D1488" s="54">
        <v>172.56880000000001</v>
      </c>
      <c r="E1488" s="54">
        <v>36839168</v>
      </c>
      <c r="F1488" s="54" t="s">
        <v>2306</v>
      </c>
      <c r="G1488" s="25">
        <f t="shared" si="21"/>
        <v>7.7534293568692902E-4</v>
      </c>
    </row>
    <row r="1489" spans="1:7">
      <c r="A1489" s="54">
        <v>170.8682</v>
      </c>
      <c r="B1489" s="54">
        <v>171.02099999999999</v>
      </c>
      <c r="C1489" s="54">
        <v>166.05279999999999</v>
      </c>
      <c r="D1489" s="54">
        <v>166.71209999999999</v>
      </c>
      <c r="E1489" s="54">
        <v>30372862</v>
      </c>
      <c r="F1489" s="54" t="s">
        <v>2307</v>
      </c>
      <c r="G1489" s="25">
        <f t="shared" si="21"/>
        <v>2.4929804135392697E-2</v>
      </c>
    </row>
    <row r="1490" spans="1:7">
      <c r="A1490" s="54">
        <v>166.7885</v>
      </c>
      <c r="B1490" s="54">
        <v>170.6771</v>
      </c>
      <c r="C1490" s="54">
        <v>166.2535</v>
      </c>
      <c r="D1490" s="54">
        <v>167.96369999999999</v>
      </c>
      <c r="E1490" s="54">
        <v>39370474</v>
      </c>
      <c r="F1490" s="54" t="s">
        <v>2308</v>
      </c>
      <c r="G1490" s="25">
        <f t="shared" si="21"/>
        <v>-6.9967498929827121E-3</v>
      </c>
    </row>
    <row r="1491" spans="1:7">
      <c r="A1491" s="54">
        <v>171.2217</v>
      </c>
      <c r="B1491" s="54">
        <v>172.3586</v>
      </c>
      <c r="C1491" s="54">
        <v>168.37450000000001</v>
      </c>
      <c r="D1491" s="54">
        <v>171.97649999999999</v>
      </c>
      <c r="E1491" s="54">
        <v>53875857</v>
      </c>
      <c r="F1491" s="54" t="s">
        <v>2309</v>
      </c>
      <c r="G1491" s="25">
        <f t="shared" si="21"/>
        <v>-4.3889717490470659E-3</v>
      </c>
    </row>
    <row r="1492" spans="1:7">
      <c r="A1492" s="54">
        <v>169.52099999999999</v>
      </c>
      <c r="B1492" s="54">
        <v>169.75989999999999</v>
      </c>
      <c r="C1492" s="54">
        <v>164.2184</v>
      </c>
      <c r="D1492" s="54">
        <v>165.49870000000001</v>
      </c>
      <c r="E1492" s="54">
        <v>51286559</v>
      </c>
      <c r="F1492" s="54" t="s">
        <v>2310</v>
      </c>
      <c r="G1492" s="25">
        <f t="shared" si="21"/>
        <v>2.4304118400929831E-2</v>
      </c>
    </row>
    <row r="1493" spans="1:7">
      <c r="A1493" s="54">
        <v>162.2407</v>
      </c>
      <c r="B1493" s="54">
        <v>167.83949999999999</v>
      </c>
      <c r="C1493" s="54">
        <v>161.83940000000001</v>
      </c>
      <c r="D1493" s="54">
        <v>167.76300000000001</v>
      </c>
      <c r="E1493" s="54">
        <v>34392694</v>
      </c>
      <c r="F1493" s="54" t="s">
        <v>2311</v>
      </c>
      <c r="G1493" s="25">
        <f t="shared" si="21"/>
        <v>-3.2917270196646475E-2</v>
      </c>
    </row>
    <row r="1494" spans="1:7">
      <c r="A1494" s="54">
        <v>166.29169999999999</v>
      </c>
      <c r="B1494" s="54">
        <v>169.0146</v>
      </c>
      <c r="C1494" s="54">
        <v>165.57509999999999</v>
      </c>
      <c r="D1494" s="54">
        <v>168.71850000000001</v>
      </c>
      <c r="E1494" s="54">
        <v>33194384</v>
      </c>
      <c r="F1494" s="54" t="s">
        <v>2312</v>
      </c>
      <c r="G1494" s="25">
        <f t="shared" si="21"/>
        <v>-1.4383721998476817E-2</v>
      </c>
    </row>
    <row r="1495" spans="1:7">
      <c r="A1495" s="54">
        <v>166.76939999999999</v>
      </c>
      <c r="B1495" s="54">
        <v>166.779</v>
      </c>
      <c r="C1495" s="54">
        <v>163.10059999999999</v>
      </c>
      <c r="D1495" s="54">
        <v>164.3904</v>
      </c>
      <c r="E1495" s="54">
        <v>34305320</v>
      </c>
      <c r="F1495" s="54" t="s">
        <v>2313</v>
      </c>
      <c r="G1495" s="25">
        <f t="shared" si="21"/>
        <v>1.4471647979444002E-2</v>
      </c>
    </row>
    <row r="1496" spans="1:7">
      <c r="A1496" s="54">
        <v>163.77889999999999</v>
      </c>
      <c r="B1496" s="54">
        <v>167.2567</v>
      </c>
      <c r="C1496" s="54">
        <v>163.29169999999999</v>
      </c>
      <c r="D1496" s="54">
        <v>166.34899999999999</v>
      </c>
      <c r="E1496" s="54">
        <v>32790804</v>
      </c>
      <c r="F1496" s="54" t="s">
        <v>2314</v>
      </c>
      <c r="G1496" s="25">
        <f t="shared" ref="G1496:G1559" si="22">A1496/D1496-1</f>
        <v>-1.5450047791089827E-2</v>
      </c>
    </row>
    <row r="1497" spans="1:7">
      <c r="A1497" s="54">
        <v>165.78530000000001</v>
      </c>
      <c r="B1497" s="54">
        <v>166.2439</v>
      </c>
      <c r="C1497" s="54">
        <v>163.20570000000001</v>
      </c>
      <c r="D1497" s="54">
        <v>163.75030000000001</v>
      </c>
      <c r="E1497" s="54">
        <v>34651604</v>
      </c>
      <c r="F1497" s="54" t="s">
        <v>2315</v>
      </c>
      <c r="G1497" s="25">
        <f t="shared" si="22"/>
        <v>1.2427458148168258E-2</v>
      </c>
    </row>
    <row r="1498" spans="1:7">
      <c r="A1498" s="54">
        <v>160.33940000000001</v>
      </c>
      <c r="B1498" s="54">
        <v>165.92850000000001</v>
      </c>
      <c r="C1498" s="54">
        <v>158.70580000000001</v>
      </c>
      <c r="D1498" s="54">
        <v>165.7662</v>
      </c>
      <c r="E1498" s="54">
        <v>56203749</v>
      </c>
      <c r="F1498" s="54" t="s">
        <v>2316</v>
      </c>
      <c r="G1498" s="25">
        <f t="shared" si="22"/>
        <v>-3.2737675111090159E-2</v>
      </c>
    </row>
    <row r="1499" spans="1:7">
      <c r="A1499" s="54">
        <v>167.2567</v>
      </c>
      <c r="B1499" s="54">
        <v>170.78219999999999</v>
      </c>
      <c r="C1499" s="54">
        <v>167.18979999999999</v>
      </c>
      <c r="D1499" s="54">
        <v>168.7567</v>
      </c>
      <c r="E1499" s="54">
        <v>36669595</v>
      </c>
      <c r="F1499" s="54" t="s">
        <v>2317</v>
      </c>
      <c r="G1499" s="25">
        <f t="shared" si="22"/>
        <v>-8.8885359810899622E-3</v>
      </c>
    </row>
    <row r="1500" spans="1:7">
      <c r="A1500" s="54">
        <v>170.63890000000001</v>
      </c>
      <c r="B1500" s="54">
        <v>171.97649999999999</v>
      </c>
      <c r="C1500" s="54">
        <v>168.03059999999999</v>
      </c>
      <c r="D1500" s="54">
        <v>171.49870000000001</v>
      </c>
      <c r="E1500" s="54">
        <v>52765625</v>
      </c>
      <c r="F1500" s="54" t="s">
        <v>2318</v>
      </c>
      <c r="G1500" s="25">
        <f t="shared" si="22"/>
        <v>-5.0134490815382238E-3</v>
      </c>
    </row>
    <row r="1501" spans="1:7">
      <c r="A1501" s="54">
        <v>169.14840000000001</v>
      </c>
      <c r="B1501" s="54">
        <v>169.3777</v>
      </c>
      <c r="C1501" s="54">
        <v>165.19290000000001</v>
      </c>
      <c r="D1501" s="54">
        <v>166.53049999999999</v>
      </c>
      <c r="E1501" s="54">
        <v>50479610</v>
      </c>
      <c r="F1501" s="54" t="s">
        <v>2319</v>
      </c>
      <c r="G1501" s="25">
        <f t="shared" si="22"/>
        <v>1.5720243438889669E-2</v>
      </c>
    </row>
    <row r="1502" spans="1:7">
      <c r="A1502" s="54">
        <v>164.2184</v>
      </c>
      <c r="B1502" s="54">
        <v>165.8331</v>
      </c>
      <c r="C1502" s="54">
        <v>161.6961</v>
      </c>
      <c r="D1502" s="54">
        <v>163.56870000000001</v>
      </c>
      <c r="E1502" s="54">
        <v>40940833</v>
      </c>
      <c r="F1502" s="54" t="s">
        <v>2320</v>
      </c>
      <c r="G1502" s="25">
        <f t="shared" si="22"/>
        <v>3.9720313238411631E-3</v>
      </c>
    </row>
    <row r="1503" spans="1:7">
      <c r="A1503" s="54">
        <v>165.9573</v>
      </c>
      <c r="B1503" s="54">
        <v>166.0051</v>
      </c>
      <c r="C1503" s="54">
        <v>160.51140000000001</v>
      </c>
      <c r="D1503" s="54">
        <v>161.46680000000001</v>
      </c>
      <c r="E1503" s="54">
        <v>52874338</v>
      </c>
      <c r="F1503" s="54" t="s">
        <v>2321</v>
      </c>
      <c r="G1503" s="25">
        <f t="shared" si="22"/>
        <v>2.7810670676572613E-2</v>
      </c>
    </row>
    <row r="1504" spans="1:7">
      <c r="A1504" s="54">
        <v>158.13239999999999</v>
      </c>
      <c r="B1504" s="54">
        <v>158.18969999999999</v>
      </c>
      <c r="C1504" s="54">
        <v>155.06540000000001</v>
      </c>
      <c r="D1504" s="54">
        <v>157.0241</v>
      </c>
      <c r="E1504" s="54">
        <v>41905264</v>
      </c>
      <c r="F1504" s="54" t="s">
        <v>2322</v>
      </c>
      <c r="G1504" s="25">
        <f t="shared" si="22"/>
        <v>7.058152219945768E-3</v>
      </c>
    </row>
    <row r="1505" spans="1:7">
      <c r="A1505" s="54">
        <v>157.77879999999999</v>
      </c>
      <c r="B1505" s="54">
        <v>159.90940000000001</v>
      </c>
      <c r="C1505" s="54">
        <v>156.04949999999999</v>
      </c>
      <c r="D1505" s="54">
        <v>158.94450000000001</v>
      </c>
      <c r="E1505" s="54">
        <v>51431775</v>
      </c>
      <c r="F1505" s="54" t="s">
        <v>2323</v>
      </c>
      <c r="G1505" s="25">
        <f t="shared" si="22"/>
        <v>-7.3340065242900598E-3</v>
      </c>
    </row>
    <row r="1506" spans="1:7">
      <c r="A1506" s="54">
        <v>157.76929999999999</v>
      </c>
      <c r="B1506" s="54">
        <v>159.2406</v>
      </c>
      <c r="C1506" s="54">
        <v>156.21199999999999</v>
      </c>
      <c r="D1506" s="54">
        <v>158.2852</v>
      </c>
      <c r="E1506" s="54">
        <v>48318234</v>
      </c>
      <c r="F1506" s="54" t="s">
        <v>2324</v>
      </c>
      <c r="G1506" s="25">
        <f t="shared" si="22"/>
        <v>-3.2593066186858977E-3</v>
      </c>
    </row>
    <row r="1507" spans="1:7">
      <c r="A1507" s="54">
        <v>156.20240000000001</v>
      </c>
      <c r="B1507" s="54">
        <v>162.4222</v>
      </c>
      <c r="C1507" s="54">
        <v>155.98269999999999</v>
      </c>
      <c r="D1507" s="54">
        <v>162.0257</v>
      </c>
      <c r="E1507" s="54">
        <v>62769038</v>
      </c>
      <c r="F1507" s="54" t="s">
        <v>2325</v>
      </c>
      <c r="G1507" s="25">
        <f t="shared" si="22"/>
        <v>-3.59405946093736E-2</v>
      </c>
    </row>
    <row r="1508" spans="1:7">
      <c r="A1508" s="54">
        <v>157.90309999999999</v>
      </c>
      <c r="B1508" s="54">
        <v>159.07820000000001</v>
      </c>
      <c r="C1508" s="54">
        <v>150.5558</v>
      </c>
      <c r="D1508" s="54">
        <v>153.1737</v>
      </c>
      <c r="E1508" s="54">
        <v>67111697</v>
      </c>
      <c r="F1508" s="54" t="s">
        <v>2326</v>
      </c>
      <c r="G1508" s="25">
        <f t="shared" si="22"/>
        <v>3.0876057704423143E-2</v>
      </c>
    </row>
    <row r="1509" spans="1:7">
      <c r="A1509" s="54">
        <v>146.97300000000001</v>
      </c>
      <c r="B1509" s="54">
        <v>150.3648</v>
      </c>
      <c r="C1509" s="54">
        <v>145.40610000000001</v>
      </c>
      <c r="D1509" s="54">
        <v>148.18639999999999</v>
      </c>
      <c r="E1509" s="54">
        <v>41243284</v>
      </c>
      <c r="F1509" s="54" t="s">
        <v>2327</v>
      </c>
      <c r="G1509" s="25">
        <f t="shared" si="22"/>
        <v>-8.1883357717036365E-3</v>
      </c>
    </row>
    <row r="1510" spans="1:7">
      <c r="A1510" s="54">
        <v>148.33930000000001</v>
      </c>
      <c r="B1510" s="54">
        <v>148.54939999999999</v>
      </c>
      <c r="C1510" s="54">
        <v>143.65770000000001</v>
      </c>
      <c r="D1510" s="54">
        <v>145.0908</v>
      </c>
      <c r="E1510" s="54">
        <v>49630735</v>
      </c>
      <c r="F1510" s="54" t="s">
        <v>2328</v>
      </c>
      <c r="G1510" s="25">
        <f t="shared" si="22"/>
        <v>2.2389427861725153E-2</v>
      </c>
    </row>
    <row r="1511" spans="1:7">
      <c r="A1511" s="54">
        <v>145.3297</v>
      </c>
      <c r="B1511" s="54">
        <v>150.7183</v>
      </c>
      <c r="C1511" s="54">
        <v>144.09719999999999</v>
      </c>
      <c r="D1511" s="54">
        <v>146.18</v>
      </c>
      <c r="E1511" s="54">
        <v>57969926</v>
      </c>
      <c r="F1511" s="54" t="s">
        <v>2329</v>
      </c>
      <c r="G1511" s="25">
        <f t="shared" si="22"/>
        <v>-5.8168012039950812E-3</v>
      </c>
    </row>
    <row r="1512" spans="1:7">
      <c r="A1512" s="54">
        <v>150.68</v>
      </c>
      <c r="B1512" s="54">
        <v>157.4349</v>
      </c>
      <c r="C1512" s="54">
        <v>149.5813</v>
      </c>
      <c r="D1512" s="54">
        <v>152.29470000000001</v>
      </c>
      <c r="E1512" s="54">
        <v>77927186</v>
      </c>
      <c r="F1512" s="54" t="s">
        <v>2330</v>
      </c>
      <c r="G1512" s="25">
        <f t="shared" si="22"/>
        <v>-1.0602470079392079E-2</v>
      </c>
    </row>
    <row r="1513" spans="1:7">
      <c r="A1513" s="54">
        <v>153.08770000000001</v>
      </c>
      <c r="B1513" s="54">
        <v>153.44120000000001</v>
      </c>
      <c r="C1513" s="54">
        <v>143.32329999999999</v>
      </c>
      <c r="D1513" s="54">
        <v>145.64500000000001</v>
      </c>
      <c r="E1513" s="54">
        <v>63420326</v>
      </c>
      <c r="F1513" s="54" t="s">
        <v>2331</v>
      </c>
      <c r="G1513" s="25">
        <f t="shared" si="22"/>
        <v>5.110165127536126E-2</v>
      </c>
    </row>
    <row r="1514" spans="1:7">
      <c r="A1514" s="54">
        <v>143.02709999999999</v>
      </c>
      <c r="B1514" s="54">
        <v>147.98570000000001</v>
      </c>
      <c r="C1514" s="54">
        <v>142.54939999999999</v>
      </c>
      <c r="D1514" s="54">
        <v>144.98570000000001</v>
      </c>
      <c r="E1514" s="54">
        <v>57042291</v>
      </c>
      <c r="F1514" s="54" t="s">
        <v>2332</v>
      </c>
      <c r="G1514" s="25">
        <f t="shared" si="22"/>
        <v>-1.3508918465752306E-2</v>
      </c>
    </row>
    <row r="1515" spans="1:7">
      <c r="A1515" s="54">
        <v>149.1514</v>
      </c>
      <c r="B1515" s="54">
        <v>149.67679999999999</v>
      </c>
      <c r="C1515" s="54">
        <v>141.75640000000001</v>
      </c>
      <c r="D1515" s="54">
        <v>141.785</v>
      </c>
      <c r="E1515" s="54">
        <v>64694427</v>
      </c>
      <c r="F1515" s="54" t="s">
        <v>2333</v>
      </c>
      <c r="G1515" s="25">
        <f t="shared" si="22"/>
        <v>5.195472017491265E-2</v>
      </c>
    </row>
    <row r="1516" spans="1:7">
      <c r="A1516" s="54">
        <v>140.37100000000001</v>
      </c>
      <c r="B1516" s="54">
        <v>147.45070000000001</v>
      </c>
      <c r="C1516" s="54">
        <v>138.0016</v>
      </c>
      <c r="D1516" s="54">
        <v>142.2723</v>
      </c>
      <c r="E1516" s="54">
        <v>75638224</v>
      </c>
      <c r="F1516" s="54" t="s">
        <v>2334</v>
      </c>
      <c r="G1516" s="25">
        <f t="shared" si="22"/>
        <v>-1.3363810102177243E-2</v>
      </c>
    </row>
    <row r="1517" spans="1:7">
      <c r="A1517" s="54">
        <v>141.7277</v>
      </c>
      <c r="B1517" s="54">
        <v>142.9315</v>
      </c>
      <c r="C1517" s="54">
        <v>134.97290000000001</v>
      </c>
      <c r="D1517" s="54">
        <v>137.34229999999999</v>
      </c>
      <c r="E1517" s="54">
        <v>82516727</v>
      </c>
      <c r="F1517" s="54" t="s">
        <v>2335</v>
      </c>
      <c r="G1517" s="25">
        <f t="shared" si="22"/>
        <v>3.1930439493149665E-2</v>
      </c>
    </row>
    <row r="1518" spans="1:7">
      <c r="A1518" s="54">
        <v>129.9187</v>
      </c>
      <c r="B1518" s="54">
        <v>134.30410000000001</v>
      </c>
      <c r="C1518" s="54">
        <v>126.6129</v>
      </c>
      <c r="D1518" s="54">
        <v>130.90280000000001</v>
      </c>
      <c r="E1518" s="54">
        <v>78975176</v>
      </c>
      <c r="F1518" s="54" t="s">
        <v>2336</v>
      </c>
      <c r="G1518" s="25">
        <f t="shared" si="22"/>
        <v>-7.5177918272184563E-3</v>
      </c>
    </row>
    <row r="1519" spans="1:7">
      <c r="A1519" s="54">
        <v>131.2276</v>
      </c>
      <c r="B1519" s="54">
        <v>140.54300000000001</v>
      </c>
      <c r="C1519" s="54">
        <v>129.804</v>
      </c>
      <c r="D1519" s="54">
        <v>139.49199999999999</v>
      </c>
      <c r="E1519" s="54">
        <v>84866215</v>
      </c>
      <c r="F1519" s="54" t="s">
        <v>2337</v>
      </c>
      <c r="G1519" s="25">
        <f t="shared" si="22"/>
        <v>-5.9246408396180339E-2</v>
      </c>
    </row>
    <row r="1520" spans="1:7">
      <c r="A1520" s="54">
        <v>136.34870000000001</v>
      </c>
      <c r="B1520" s="54">
        <v>143.45699999999999</v>
      </c>
      <c r="C1520" s="54">
        <v>132.804</v>
      </c>
      <c r="D1520" s="54">
        <v>136.40600000000001</v>
      </c>
      <c r="E1520" s="54">
        <v>85922661</v>
      </c>
      <c r="F1520" s="54" t="s">
        <v>2338</v>
      </c>
      <c r="G1520" s="25">
        <f t="shared" si="22"/>
        <v>-4.2006949840911467E-4</v>
      </c>
    </row>
    <row r="1521" spans="1:7">
      <c r="A1521" s="54">
        <v>134.14160000000001</v>
      </c>
      <c r="B1521" s="54">
        <v>139.49199999999999</v>
      </c>
      <c r="C1521" s="54">
        <v>129.00149999999999</v>
      </c>
      <c r="D1521" s="54">
        <v>131.8486</v>
      </c>
      <c r="E1521" s="54">
        <v>81593173</v>
      </c>
      <c r="F1521" s="54" t="s">
        <v>2339</v>
      </c>
      <c r="G1521" s="25">
        <f t="shared" si="22"/>
        <v>1.739115925387158E-2</v>
      </c>
    </row>
    <row r="1522" spans="1:7">
      <c r="A1522" s="54">
        <v>140.03659999999999</v>
      </c>
      <c r="B1522" s="54">
        <v>140.92500000000001</v>
      </c>
      <c r="C1522" s="54">
        <v>128.98230000000001</v>
      </c>
      <c r="D1522" s="54">
        <v>133.7595</v>
      </c>
      <c r="E1522" s="54">
        <v>81059817</v>
      </c>
      <c r="F1522" s="54" t="s">
        <v>2340</v>
      </c>
      <c r="G1522" s="25">
        <f t="shared" si="22"/>
        <v>4.6928255563156274E-2</v>
      </c>
    </row>
    <row r="1523" spans="1:7">
      <c r="A1523" s="54">
        <v>129.3836</v>
      </c>
      <c r="B1523" s="54">
        <v>142.6927</v>
      </c>
      <c r="C1523" s="54">
        <v>128.98230000000001</v>
      </c>
      <c r="D1523" s="54">
        <v>133.7595</v>
      </c>
      <c r="E1523" s="54">
        <v>87905868</v>
      </c>
      <c r="F1523" s="54" t="s">
        <v>2341</v>
      </c>
      <c r="G1523" s="25">
        <f t="shared" si="22"/>
        <v>-3.2714685685876543E-2</v>
      </c>
    </row>
    <row r="1524" spans="1:7">
      <c r="A1524" s="54">
        <v>151.7501</v>
      </c>
      <c r="B1524" s="54">
        <v>154.69280000000001</v>
      </c>
      <c r="C1524" s="54">
        <v>134.45689999999999</v>
      </c>
      <c r="D1524" s="54">
        <v>140.92519999999999</v>
      </c>
      <c r="E1524" s="54">
        <v>92727446</v>
      </c>
      <c r="F1524" s="54" t="s">
        <v>2342</v>
      </c>
      <c r="G1524" s="25">
        <f t="shared" si="22"/>
        <v>7.681308949712351E-2</v>
      </c>
    </row>
    <row r="1525" spans="1:7">
      <c r="A1525" s="54">
        <v>132.8614</v>
      </c>
      <c r="B1525" s="54">
        <v>146.62899999999999</v>
      </c>
      <c r="C1525" s="54">
        <v>132.40280000000001</v>
      </c>
      <c r="D1525" s="54">
        <v>138.82320000000001</v>
      </c>
      <c r="E1525" s="54">
        <v>93226366</v>
      </c>
      <c r="F1525" s="54" t="s">
        <v>2343</v>
      </c>
      <c r="G1525" s="25">
        <f t="shared" si="22"/>
        <v>-4.294527139555937E-2</v>
      </c>
    </row>
    <row r="1526" spans="1:7">
      <c r="A1526" s="54">
        <v>146.78190000000001</v>
      </c>
      <c r="B1526" s="54">
        <v>150.6705</v>
      </c>
      <c r="C1526" s="54">
        <v>144.41249999999999</v>
      </c>
      <c r="D1526" s="54">
        <v>150.1259</v>
      </c>
      <c r="E1526" s="54">
        <v>56504304</v>
      </c>
      <c r="F1526" s="54" t="s">
        <v>2344</v>
      </c>
      <c r="G1526" s="25">
        <f t="shared" si="22"/>
        <v>-2.2274637487602056E-2</v>
      </c>
    </row>
    <row r="1527" spans="1:7">
      <c r="A1527" s="54">
        <v>153.74700000000001</v>
      </c>
      <c r="B1527" s="54">
        <v>153.85210000000001</v>
      </c>
      <c r="C1527" s="54">
        <v>145.77869999999999</v>
      </c>
      <c r="D1527" s="54">
        <v>151.11000000000001</v>
      </c>
      <c r="E1527" s="54">
        <v>65354385</v>
      </c>
      <c r="F1527" s="54" t="s">
        <v>2345</v>
      </c>
      <c r="G1527" s="25">
        <f t="shared" si="22"/>
        <v>1.7450863609291156E-2</v>
      </c>
    </row>
    <row r="1528" spans="1:7">
      <c r="A1528" s="54">
        <v>143.90610000000001</v>
      </c>
      <c r="B1528" s="54">
        <v>150.7183</v>
      </c>
      <c r="C1528" s="54">
        <v>143.31370000000001</v>
      </c>
      <c r="D1528" s="54">
        <v>144.26910000000001</v>
      </c>
      <c r="E1528" s="54">
        <v>70419274</v>
      </c>
      <c r="F1528" s="54" t="s">
        <v>2346</v>
      </c>
      <c r="G1528" s="25">
        <f t="shared" si="22"/>
        <v>-2.5161313129422602E-3</v>
      </c>
    </row>
    <row r="1529" spans="1:7">
      <c r="A1529" s="54">
        <v>154.36799999999999</v>
      </c>
      <c r="B1529" s="54">
        <v>155.83930000000001</v>
      </c>
      <c r="C1529" s="54">
        <v>149.0463</v>
      </c>
      <c r="D1529" s="54">
        <v>155.36160000000001</v>
      </c>
      <c r="E1529" s="54">
        <v>72821057</v>
      </c>
      <c r="F1529" s="54" t="s">
        <v>2347</v>
      </c>
      <c r="G1529" s="25">
        <f t="shared" si="22"/>
        <v>-6.395402724997723E-3</v>
      </c>
    </row>
    <row r="1530" spans="1:7">
      <c r="A1530" s="54">
        <v>158.85849999999999</v>
      </c>
      <c r="B1530" s="54">
        <v>163.2534</v>
      </c>
      <c r="C1530" s="54">
        <v>158.30430000000001</v>
      </c>
      <c r="D1530" s="54">
        <v>158.64349999999999</v>
      </c>
      <c r="E1530" s="54">
        <v>47817251</v>
      </c>
      <c r="F1530" s="54" t="s">
        <v>2348</v>
      </c>
      <c r="G1530" s="25">
        <f t="shared" si="22"/>
        <v>1.3552398932197285E-3</v>
      </c>
    </row>
    <row r="1531" spans="1:7">
      <c r="A1531" s="54">
        <v>162.9477</v>
      </c>
      <c r="B1531" s="54">
        <v>163.09100000000001</v>
      </c>
      <c r="C1531" s="54">
        <v>158.23750000000001</v>
      </c>
      <c r="D1531" s="54">
        <v>160.97470000000001</v>
      </c>
      <c r="E1531" s="54">
        <v>49814383</v>
      </c>
      <c r="F1531" s="54" t="s">
        <v>2349</v>
      </c>
      <c r="G1531" s="25">
        <f t="shared" si="22"/>
        <v>1.2256584419787719E-2</v>
      </c>
    </row>
    <row r="1532" spans="1:7">
      <c r="A1532" s="54">
        <v>157.17689999999999</v>
      </c>
      <c r="B1532" s="54">
        <v>167.19929999999999</v>
      </c>
      <c r="C1532" s="54">
        <v>155.02719999999999</v>
      </c>
      <c r="D1532" s="54">
        <v>166.05279999999999</v>
      </c>
      <c r="E1532" s="54">
        <v>71677019</v>
      </c>
      <c r="F1532" s="54" t="s">
        <v>2350</v>
      </c>
      <c r="G1532" s="25">
        <f t="shared" si="22"/>
        <v>-5.3452275420829976E-2</v>
      </c>
    </row>
    <row r="1533" spans="1:7">
      <c r="A1533" s="54">
        <v>165.08779999999999</v>
      </c>
      <c r="B1533" s="54">
        <v>165.21209999999999</v>
      </c>
      <c r="C1533" s="54">
        <v>155.07499999999999</v>
      </c>
      <c r="D1533" s="54">
        <v>157.94130000000001</v>
      </c>
      <c r="E1533" s="54">
        <v>71030810</v>
      </c>
      <c r="F1533" s="54" t="s">
        <v>2351</v>
      </c>
      <c r="G1533" s="25">
        <f t="shared" si="22"/>
        <v>4.524782308363906E-2</v>
      </c>
    </row>
    <row r="1534" spans="1:7">
      <c r="A1534" s="54">
        <v>154.7884</v>
      </c>
      <c r="B1534" s="54">
        <v>156.4126</v>
      </c>
      <c r="C1534" s="54">
        <v>145.22460000000001</v>
      </c>
      <c r="D1534" s="54">
        <v>145.6163</v>
      </c>
      <c r="E1534" s="54">
        <v>97073557</v>
      </c>
      <c r="F1534" s="54" t="s">
        <v>2352</v>
      </c>
      <c r="G1534" s="25">
        <f t="shared" si="22"/>
        <v>6.2988140750726451E-2</v>
      </c>
    </row>
    <row r="1535" spans="1:7">
      <c r="A1535" s="54">
        <v>151.12909999999999</v>
      </c>
      <c r="B1535" s="54">
        <v>159.58459999999999</v>
      </c>
      <c r="C1535" s="54">
        <v>150.93799999999999</v>
      </c>
      <c r="D1535" s="54">
        <v>156.04</v>
      </c>
      <c r="E1535" s="54">
        <v>93174906</v>
      </c>
      <c r="F1535" s="54" t="s">
        <v>2353</v>
      </c>
      <c r="G1535" s="25">
        <f t="shared" si="22"/>
        <v>-3.1472058446552209E-2</v>
      </c>
    </row>
    <row r="1536" spans="1:7">
      <c r="A1536" s="54">
        <v>162.58459999999999</v>
      </c>
      <c r="B1536" s="54">
        <v>165.5369</v>
      </c>
      <c r="C1536" s="54">
        <v>160.71199999999999</v>
      </c>
      <c r="D1536" s="54">
        <v>162.14510000000001</v>
      </c>
      <c r="E1536" s="54">
        <v>56387148</v>
      </c>
      <c r="F1536" s="54" t="s">
        <v>2354</v>
      </c>
      <c r="G1536" s="25">
        <f t="shared" si="22"/>
        <v>2.7105351934777477E-3</v>
      </c>
    </row>
    <row r="1537" spans="1:7">
      <c r="A1537" s="54">
        <v>160.57820000000001</v>
      </c>
      <c r="B1537" s="54">
        <v>167.04650000000001</v>
      </c>
      <c r="C1537" s="54">
        <v>160.17330000000001</v>
      </c>
      <c r="D1537" s="54">
        <v>166.435</v>
      </c>
      <c r="E1537" s="54">
        <v>68073295</v>
      </c>
      <c r="F1537" s="54" t="s">
        <v>2355</v>
      </c>
      <c r="G1537" s="25">
        <f t="shared" si="22"/>
        <v>-3.5189713702045822E-2</v>
      </c>
    </row>
    <row r="1538" spans="1:7">
      <c r="A1538" s="54">
        <v>163.27250000000001</v>
      </c>
      <c r="B1538" s="54">
        <v>166.76939999999999</v>
      </c>
      <c r="C1538" s="54">
        <v>155.95400000000001</v>
      </c>
      <c r="D1538" s="54">
        <v>160.29159999999999</v>
      </c>
      <c r="E1538" s="54">
        <v>68311066</v>
      </c>
      <c r="F1538" s="54" t="s">
        <v>2356</v>
      </c>
      <c r="G1538" s="25">
        <f t="shared" si="22"/>
        <v>1.8596732455100629E-2</v>
      </c>
    </row>
    <row r="1539" spans="1:7">
      <c r="A1539" s="54">
        <v>170.6293</v>
      </c>
      <c r="B1539" s="54">
        <v>175.32040000000001</v>
      </c>
      <c r="C1539" s="54">
        <v>169.34899999999999</v>
      </c>
      <c r="D1539" s="54">
        <v>175.0052</v>
      </c>
      <c r="E1539" s="54">
        <v>48600385</v>
      </c>
      <c r="F1539" s="54" t="s">
        <v>2357</v>
      </c>
      <c r="G1539" s="25">
        <f t="shared" si="22"/>
        <v>-2.5004399869261063E-2</v>
      </c>
    </row>
    <row r="1540" spans="1:7">
      <c r="A1540" s="54">
        <v>176.1994</v>
      </c>
      <c r="B1540" s="54">
        <v>178.9033</v>
      </c>
      <c r="C1540" s="54">
        <v>173.0274</v>
      </c>
      <c r="D1540" s="54">
        <v>178.61670000000001</v>
      </c>
      <c r="E1540" s="54">
        <v>36862376</v>
      </c>
      <c r="F1540" s="54" t="s">
        <v>2358</v>
      </c>
      <c r="G1540" s="25">
        <f t="shared" si="22"/>
        <v>-1.3533449000009634E-2</v>
      </c>
    </row>
    <row r="1541" spans="1:7">
      <c r="A1541" s="54">
        <v>178.93199999999999</v>
      </c>
      <c r="B1541" s="54">
        <v>179.79179999999999</v>
      </c>
      <c r="C1541" s="54">
        <v>178.15809999999999</v>
      </c>
      <c r="D1541" s="54">
        <v>179.6772</v>
      </c>
      <c r="E1541" s="54">
        <v>29997471</v>
      </c>
      <c r="F1541" s="54" t="s">
        <v>2359</v>
      </c>
      <c r="G1541" s="25">
        <f t="shared" si="22"/>
        <v>-4.1474377383441396E-3</v>
      </c>
    </row>
    <row r="1542" spans="1:7">
      <c r="A1542" s="54">
        <v>178.39689999999999</v>
      </c>
      <c r="B1542" s="54">
        <v>178.84469999999999</v>
      </c>
      <c r="C1542" s="54">
        <v>176.74850000000001</v>
      </c>
      <c r="D1542" s="54">
        <v>176.8486</v>
      </c>
      <c r="E1542" s="54">
        <v>27853113</v>
      </c>
      <c r="F1542" s="54" t="s">
        <v>2360</v>
      </c>
      <c r="G1542" s="25">
        <f t="shared" si="22"/>
        <v>8.7549463213165701E-3</v>
      </c>
    </row>
    <row r="1543" spans="1:7">
      <c r="A1543" s="54">
        <v>176.60560000000001</v>
      </c>
      <c r="B1543" s="54">
        <v>176.6628</v>
      </c>
      <c r="C1543" s="54">
        <v>174.03299999999999</v>
      </c>
      <c r="D1543" s="54">
        <v>174.60470000000001</v>
      </c>
      <c r="E1543" s="54">
        <v>23149516</v>
      </c>
      <c r="F1543" s="54" t="s">
        <v>2361</v>
      </c>
      <c r="G1543" s="25">
        <f t="shared" si="22"/>
        <v>1.145959988476819E-2</v>
      </c>
    </row>
    <row r="1544" spans="1:7">
      <c r="A1544" s="54">
        <v>175.04300000000001</v>
      </c>
      <c r="B1544" s="54">
        <v>177.44409999999999</v>
      </c>
      <c r="C1544" s="54">
        <v>174.24449999999999</v>
      </c>
      <c r="D1544" s="54">
        <v>174.4427</v>
      </c>
      <c r="E1544" s="54">
        <v>35295834</v>
      </c>
      <c r="F1544" s="54" t="s">
        <v>2362</v>
      </c>
      <c r="G1544" s="25">
        <f t="shared" si="22"/>
        <v>3.4412446035287925E-3</v>
      </c>
    </row>
    <row r="1545" spans="1:7">
      <c r="A1545" s="54">
        <v>175.9958</v>
      </c>
      <c r="B1545" s="54">
        <v>177.08199999999999</v>
      </c>
      <c r="C1545" s="54">
        <v>173.27070000000001</v>
      </c>
      <c r="D1545" s="54">
        <v>176.82480000000001</v>
      </c>
      <c r="E1545" s="54">
        <v>47062921</v>
      </c>
      <c r="F1545" s="54" t="s">
        <v>2363</v>
      </c>
      <c r="G1545" s="25">
        <f t="shared" si="22"/>
        <v>-4.6882563984237402E-3</v>
      </c>
    </row>
    <row r="1546" spans="1:7">
      <c r="A1546" s="54">
        <v>175.73849999999999</v>
      </c>
      <c r="B1546" s="54">
        <v>181.70320000000001</v>
      </c>
      <c r="C1546" s="54">
        <v>174.84289999999999</v>
      </c>
      <c r="D1546" s="54">
        <v>181.65559999999999</v>
      </c>
      <c r="E1546" s="54">
        <v>53159906</v>
      </c>
      <c r="F1546" s="54" t="s">
        <v>2364</v>
      </c>
      <c r="G1546" s="25">
        <f t="shared" si="22"/>
        <v>-3.2573176934815096E-2</v>
      </c>
    </row>
    <row r="1547" spans="1:7">
      <c r="A1547" s="54">
        <v>179.79759999999999</v>
      </c>
      <c r="B1547" s="54">
        <v>179.93100000000001</v>
      </c>
      <c r="C1547" s="54">
        <v>174.60470000000001</v>
      </c>
      <c r="D1547" s="54">
        <v>174.91909999999999</v>
      </c>
      <c r="E1547" s="54">
        <v>35844267</v>
      </c>
      <c r="F1547" s="54" t="s">
        <v>2365</v>
      </c>
      <c r="G1547" s="25">
        <f t="shared" si="22"/>
        <v>2.7890036022366838E-2</v>
      </c>
    </row>
    <row r="1548" spans="1:7">
      <c r="A1548" s="54">
        <v>175.21449999999999</v>
      </c>
      <c r="B1548" s="54">
        <v>176.8724</v>
      </c>
      <c r="C1548" s="54">
        <v>173.87100000000001</v>
      </c>
      <c r="D1548" s="54">
        <v>174.21879999999999</v>
      </c>
      <c r="E1548" s="54">
        <v>33529074</v>
      </c>
      <c r="F1548" s="54" t="s">
        <v>2366</v>
      </c>
      <c r="G1548" s="25">
        <f t="shared" si="22"/>
        <v>5.7152270593070487E-3</v>
      </c>
    </row>
    <row r="1549" spans="1:7">
      <c r="A1549" s="54">
        <v>174.96680000000001</v>
      </c>
      <c r="B1549" s="54">
        <v>175.14769999999999</v>
      </c>
      <c r="C1549" s="54">
        <v>171.5642</v>
      </c>
      <c r="D1549" s="54">
        <v>172.43219999999999</v>
      </c>
      <c r="E1549" s="54">
        <v>27751381</v>
      </c>
      <c r="F1549" s="54" t="s">
        <v>2367</v>
      </c>
      <c r="G1549" s="25">
        <f t="shared" si="22"/>
        <v>1.4699110722939279E-2</v>
      </c>
    </row>
    <row r="1550" spans="1:7">
      <c r="A1550" s="54">
        <v>171.4127</v>
      </c>
      <c r="B1550" s="54">
        <v>175.50989999999999</v>
      </c>
      <c r="C1550" s="54">
        <v>169.9931</v>
      </c>
      <c r="D1550" s="54">
        <v>175.34790000000001</v>
      </c>
      <c r="E1550" s="54">
        <v>39186324</v>
      </c>
      <c r="F1550" s="54" t="s">
        <v>2368</v>
      </c>
      <c r="G1550" s="25">
        <f t="shared" si="22"/>
        <v>-2.2442241965829113E-2</v>
      </c>
    </row>
    <row r="1551" spans="1:7">
      <c r="A1551" s="54">
        <v>171.6224</v>
      </c>
      <c r="B1551" s="54">
        <v>172.11779999999999</v>
      </c>
      <c r="C1551" s="54">
        <v>167.99209999999999</v>
      </c>
      <c r="D1551" s="54">
        <v>168.78290000000001</v>
      </c>
      <c r="E1551" s="54">
        <v>36433339</v>
      </c>
      <c r="F1551" s="54" t="s">
        <v>2369</v>
      </c>
      <c r="G1551" s="25">
        <f t="shared" si="22"/>
        <v>1.6823386729342804E-2</v>
      </c>
    </row>
    <row r="1552" spans="1:7">
      <c r="A1552" s="54">
        <v>166.1532</v>
      </c>
      <c r="B1552" s="54">
        <v>166.26750000000001</v>
      </c>
      <c r="C1552" s="54">
        <v>162.36089999999999</v>
      </c>
      <c r="D1552" s="54">
        <v>162.3895</v>
      </c>
      <c r="E1552" s="54">
        <v>30149052</v>
      </c>
      <c r="F1552" s="54" t="s">
        <v>2370</v>
      </c>
      <c r="G1552" s="25">
        <f t="shared" si="22"/>
        <v>2.317699112319449E-2</v>
      </c>
    </row>
    <row r="1553" spans="1:7">
      <c r="A1553" s="54">
        <v>162.19890000000001</v>
      </c>
      <c r="B1553" s="54">
        <v>164.26660000000001</v>
      </c>
      <c r="C1553" s="54">
        <v>161.5796</v>
      </c>
      <c r="D1553" s="54">
        <v>164.0855</v>
      </c>
      <c r="E1553" s="54">
        <v>36142690</v>
      </c>
      <c r="F1553" s="54" t="s">
        <v>2371</v>
      </c>
      <c r="G1553" s="25">
        <f t="shared" si="22"/>
        <v>-1.1497664327438928E-2</v>
      </c>
    </row>
    <row r="1554" spans="1:7">
      <c r="A1554" s="54">
        <v>164.62860000000001</v>
      </c>
      <c r="B1554" s="54">
        <v>165.83869999999999</v>
      </c>
      <c r="C1554" s="54">
        <v>162.73249999999999</v>
      </c>
      <c r="D1554" s="54">
        <v>165.83869999999999</v>
      </c>
      <c r="E1554" s="54">
        <v>51597470</v>
      </c>
      <c r="F1554" s="54" t="s">
        <v>2372</v>
      </c>
      <c r="G1554" s="25">
        <f t="shared" si="22"/>
        <v>-7.2968492878923152E-3</v>
      </c>
    </row>
    <row r="1555" spans="1:7">
      <c r="A1555" s="54">
        <v>160.1123</v>
      </c>
      <c r="B1555" s="54">
        <v>160.78880000000001</v>
      </c>
      <c r="C1555" s="54">
        <v>157.87309999999999</v>
      </c>
      <c r="D1555" s="54">
        <v>159.92169999999999</v>
      </c>
      <c r="E1555" s="54">
        <v>35127771</v>
      </c>
      <c r="F1555" s="54" t="s">
        <v>2373</v>
      </c>
      <c r="G1555" s="25">
        <f t="shared" si="22"/>
        <v>1.1918332533984444E-3</v>
      </c>
    </row>
    <row r="1556" spans="1:7">
      <c r="A1556" s="54">
        <v>157.654</v>
      </c>
      <c r="B1556" s="54">
        <v>157.93510000000001</v>
      </c>
      <c r="C1556" s="54">
        <v>155.37960000000001</v>
      </c>
      <c r="D1556" s="54">
        <v>156.0532</v>
      </c>
      <c r="E1556" s="54">
        <v>24899940</v>
      </c>
      <c r="F1556" s="54" t="s">
        <v>2374</v>
      </c>
      <c r="G1556" s="25">
        <f t="shared" si="22"/>
        <v>1.0258040206801322E-2</v>
      </c>
    </row>
    <row r="1557" spans="1:7">
      <c r="A1557" s="54">
        <v>154.624</v>
      </c>
      <c r="B1557" s="54">
        <v>155.66730000000001</v>
      </c>
      <c r="C1557" s="54">
        <v>152.6421</v>
      </c>
      <c r="D1557" s="54">
        <v>153.54730000000001</v>
      </c>
      <c r="E1557" s="54">
        <v>32078067</v>
      </c>
      <c r="F1557" s="54" t="s">
        <v>2375</v>
      </c>
      <c r="G1557" s="25">
        <f t="shared" si="22"/>
        <v>7.0121714937350088E-3</v>
      </c>
    </row>
    <row r="1558" spans="1:7">
      <c r="A1558" s="54">
        <v>157.25380000000001</v>
      </c>
      <c r="B1558" s="54">
        <v>159.62629999999999</v>
      </c>
      <c r="C1558" s="54">
        <v>156.69159999999999</v>
      </c>
      <c r="D1558" s="54">
        <v>159.60730000000001</v>
      </c>
      <c r="E1558" s="54">
        <v>24918117</v>
      </c>
      <c r="F1558" s="54" t="s">
        <v>2376</v>
      </c>
      <c r="G1558" s="25">
        <f t="shared" si="22"/>
        <v>-1.4745566148916756E-2</v>
      </c>
    </row>
    <row r="1559" spans="1:7">
      <c r="A1559" s="54">
        <v>158.8545</v>
      </c>
      <c r="B1559" s="54">
        <v>158.9308</v>
      </c>
      <c r="C1559" s="54">
        <v>157.47290000000001</v>
      </c>
      <c r="D1559" s="54">
        <v>158.34950000000001</v>
      </c>
      <c r="E1559" s="54">
        <v>19680766</v>
      </c>
      <c r="F1559" s="54" t="s">
        <v>2377</v>
      </c>
      <c r="G1559" s="25">
        <f t="shared" si="22"/>
        <v>3.1891480554091522E-3</v>
      </c>
    </row>
    <row r="1560" spans="1:7">
      <c r="A1560" s="54">
        <v>157.8827</v>
      </c>
      <c r="B1560" s="54">
        <v>159.5882</v>
      </c>
      <c r="C1560" s="54">
        <v>157.86359999999999</v>
      </c>
      <c r="D1560" s="54">
        <v>159.5025</v>
      </c>
      <c r="E1560" s="54">
        <v>24138777</v>
      </c>
      <c r="F1560" s="54" t="s">
        <v>2378</v>
      </c>
      <c r="G1560" s="25">
        <f t="shared" ref="G1560:G1623" si="23">A1560/D1560-1</f>
        <v>-1.0155326719016977E-2</v>
      </c>
    </row>
    <row r="1561" spans="1:7">
      <c r="A1561" s="54">
        <v>158.64490000000001</v>
      </c>
      <c r="B1561" s="54">
        <v>160.2552</v>
      </c>
      <c r="C1561" s="54">
        <v>158.57820000000001</v>
      </c>
      <c r="D1561" s="54">
        <v>158.81639999999999</v>
      </c>
      <c r="E1561" s="54">
        <v>29517191</v>
      </c>
      <c r="F1561" s="54" t="s">
        <v>2379</v>
      </c>
      <c r="G1561" s="25">
        <f t="shared" si="23"/>
        <v>-1.0798632886778181E-3</v>
      </c>
    </row>
    <row r="1562" spans="1:7">
      <c r="A1562" s="54">
        <v>159.2166</v>
      </c>
      <c r="B1562" s="54">
        <v>159.5668</v>
      </c>
      <c r="C1562" s="54">
        <v>157.62540000000001</v>
      </c>
      <c r="D1562" s="54">
        <v>159.5215</v>
      </c>
      <c r="E1562" s="54">
        <v>34371659</v>
      </c>
      <c r="F1562" s="54" t="s">
        <v>2380</v>
      </c>
      <c r="G1562" s="25">
        <f t="shared" si="23"/>
        <v>-1.9113411044906492E-3</v>
      </c>
    </row>
    <row r="1563" spans="1:7">
      <c r="A1563" s="54">
        <v>158.3305</v>
      </c>
      <c r="B1563" s="54">
        <v>158.3972</v>
      </c>
      <c r="C1563" s="54">
        <v>156.29140000000001</v>
      </c>
      <c r="D1563" s="54">
        <v>156.59630000000001</v>
      </c>
      <c r="E1563" s="54">
        <v>23865360</v>
      </c>
      <c r="F1563" s="54" t="s">
        <v>2381</v>
      </c>
      <c r="G1563" s="25">
        <f t="shared" si="23"/>
        <v>1.1074335728238793E-2</v>
      </c>
    </row>
    <row r="1564" spans="1:7">
      <c r="A1564" s="54">
        <v>155.48150000000001</v>
      </c>
      <c r="B1564" s="54">
        <v>156.20570000000001</v>
      </c>
      <c r="C1564" s="54">
        <v>154.90029999999999</v>
      </c>
      <c r="D1564" s="54">
        <v>154.94800000000001</v>
      </c>
      <c r="E1564" s="54">
        <v>21417871</v>
      </c>
      <c r="F1564" s="54" t="s">
        <v>2382</v>
      </c>
      <c r="G1564" s="25">
        <f t="shared" si="23"/>
        <v>3.4430905852285143E-3</v>
      </c>
    </row>
    <row r="1565" spans="1:7">
      <c r="A1565" s="54">
        <v>154.4811</v>
      </c>
      <c r="B1565" s="54">
        <v>155.8817</v>
      </c>
      <c r="C1565" s="54">
        <v>154.09039999999999</v>
      </c>
      <c r="D1565" s="54">
        <v>155.6816</v>
      </c>
      <c r="E1565" s="54">
        <v>23500783</v>
      </c>
      <c r="F1565" s="54" t="s">
        <v>2383</v>
      </c>
      <c r="G1565" s="25">
        <f t="shared" si="23"/>
        <v>-7.7112516829220823E-3</v>
      </c>
    </row>
    <row r="1566" spans="1:7">
      <c r="A1566" s="54">
        <v>155.57679999999999</v>
      </c>
      <c r="B1566" s="54">
        <v>155.6054</v>
      </c>
      <c r="C1566" s="54">
        <v>153.65209999999999</v>
      </c>
      <c r="D1566" s="54">
        <v>154.1285</v>
      </c>
      <c r="E1566" s="54">
        <v>21637007</v>
      </c>
      <c r="F1566" s="54" t="s">
        <v>2384</v>
      </c>
      <c r="G1566" s="25">
        <f t="shared" si="23"/>
        <v>9.396704697703484E-3</v>
      </c>
    </row>
    <row r="1567" spans="1:7">
      <c r="A1567" s="54">
        <v>153.72829999999999</v>
      </c>
      <c r="B1567" s="54">
        <v>155.5197</v>
      </c>
      <c r="C1567" s="54">
        <v>153.57589999999999</v>
      </c>
      <c r="D1567" s="54">
        <v>155.14189999999999</v>
      </c>
      <c r="E1567" s="54">
        <v>20733946</v>
      </c>
      <c r="F1567" s="54" t="s">
        <v>2385</v>
      </c>
      <c r="G1567" s="25">
        <f t="shared" si="23"/>
        <v>-9.1116584236753395E-3</v>
      </c>
    </row>
    <row r="1568" spans="1:7">
      <c r="A1568" s="54">
        <v>154.44300000000001</v>
      </c>
      <c r="B1568" s="54">
        <v>154.56209999999999</v>
      </c>
      <c r="C1568" s="54">
        <v>153.43299999999999</v>
      </c>
      <c r="D1568" s="54">
        <v>154.19999999999999</v>
      </c>
      <c r="E1568" s="54">
        <v>21399951</v>
      </c>
      <c r="F1568" s="54" t="s">
        <v>2386</v>
      </c>
      <c r="G1568" s="25">
        <f t="shared" si="23"/>
        <v>1.575875486381495E-3</v>
      </c>
    </row>
    <row r="1569" spans="1:7">
      <c r="A1569" s="54">
        <v>152.53729999999999</v>
      </c>
      <c r="B1569" s="54">
        <v>153.21379999999999</v>
      </c>
      <c r="C1569" s="54">
        <v>150.4974</v>
      </c>
      <c r="D1569" s="54">
        <v>151.43199999999999</v>
      </c>
      <c r="E1569" s="54">
        <v>27762026</v>
      </c>
      <c r="F1569" s="54" t="s">
        <v>2387</v>
      </c>
      <c r="G1569" s="25">
        <f t="shared" si="23"/>
        <v>7.2989856833429734E-3</v>
      </c>
    </row>
    <row r="1570" spans="1:7">
      <c r="A1570" s="54">
        <v>150.14570000000001</v>
      </c>
      <c r="B1570" s="54">
        <v>152.1371</v>
      </c>
      <c r="C1570" s="54">
        <v>149.898</v>
      </c>
      <c r="D1570" s="54">
        <v>151.80359999999999</v>
      </c>
      <c r="E1570" s="54">
        <v>21881740</v>
      </c>
      <c r="F1570" s="54" t="s">
        <v>2388</v>
      </c>
      <c r="G1570" s="25">
        <f t="shared" si="23"/>
        <v>-1.092134837381975E-2</v>
      </c>
    </row>
    <row r="1571" spans="1:7">
      <c r="A1571" s="54">
        <v>151.5273</v>
      </c>
      <c r="B1571" s="54">
        <v>151.59399999999999</v>
      </c>
      <c r="C1571" s="54">
        <v>149.12620000000001</v>
      </c>
      <c r="D1571" s="54">
        <v>149.66929999999999</v>
      </c>
      <c r="E1571" s="54">
        <v>20826702</v>
      </c>
      <c r="F1571" s="54" t="s">
        <v>2389</v>
      </c>
      <c r="G1571" s="25">
        <f t="shared" si="23"/>
        <v>1.2414035476881358E-2</v>
      </c>
    </row>
    <row r="1572" spans="1:7">
      <c r="A1572" s="54">
        <v>151.13669999999999</v>
      </c>
      <c r="B1572" s="54">
        <v>152.39920000000001</v>
      </c>
      <c r="C1572" s="54">
        <v>150.60310000000001</v>
      </c>
      <c r="D1572" s="54">
        <v>150.85079999999999</v>
      </c>
      <c r="E1572" s="54">
        <v>21121681</v>
      </c>
      <c r="F1572" s="54" t="s">
        <v>2390</v>
      </c>
      <c r="G1572" s="25">
        <f t="shared" si="23"/>
        <v>1.8952501411990674E-3</v>
      </c>
    </row>
    <row r="1573" spans="1:7">
      <c r="A1573" s="54">
        <v>153.04230000000001</v>
      </c>
      <c r="B1573" s="54">
        <v>153.14709999999999</v>
      </c>
      <c r="C1573" s="54">
        <v>150.8604</v>
      </c>
      <c r="D1573" s="54">
        <v>151.28909999999999</v>
      </c>
      <c r="E1573" s="54">
        <v>22634546</v>
      </c>
      <c r="F1573" s="54" t="s">
        <v>2391</v>
      </c>
      <c r="G1573" s="25">
        <f t="shared" si="23"/>
        <v>1.1588409211238826E-2</v>
      </c>
    </row>
    <row r="1574" spans="1:7">
      <c r="A1574" s="54">
        <v>150.26009999999999</v>
      </c>
      <c r="B1574" s="54">
        <v>150.32679999999999</v>
      </c>
      <c r="C1574" s="54">
        <v>149.06899999999999</v>
      </c>
      <c r="D1574" s="54">
        <v>149.374</v>
      </c>
      <c r="E1574" s="54">
        <v>18393383</v>
      </c>
      <c r="F1574" s="54" t="s">
        <v>2392</v>
      </c>
      <c r="G1574" s="25">
        <f t="shared" si="23"/>
        <v>5.9320899219408307E-3</v>
      </c>
    </row>
    <row r="1575" spans="1:7">
      <c r="A1575" s="54">
        <v>150.15530000000001</v>
      </c>
      <c r="B1575" s="54">
        <v>151.51779999999999</v>
      </c>
      <c r="C1575" s="54">
        <v>149.33580000000001</v>
      </c>
      <c r="D1575" s="54">
        <v>151.48589999999999</v>
      </c>
      <c r="E1575" s="54">
        <v>16356720</v>
      </c>
      <c r="F1575" s="54" t="s">
        <v>2393</v>
      </c>
      <c r="G1575" s="25">
        <f t="shared" si="23"/>
        <v>-8.783655772583332E-3</v>
      </c>
    </row>
    <row r="1576" spans="1:7">
      <c r="A1576" s="54">
        <v>151.4606</v>
      </c>
      <c r="B1576" s="54">
        <v>152.02279999999999</v>
      </c>
      <c r="C1576" s="54">
        <v>150.75550000000001</v>
      </c>
      <c r="D1576" s="54">
        <v>151.92750000000001</v>
      </c>
      <c r="E1576" s="54">
        <v>18414352</v>
      </c>
      <c r="F1576" s="54" t="s">
        <v>2394</v>
      </c>
      <c r="G1576" s="25">
        <f t="shared" si="23"/>
        <v>-3.0731763505620346E-3</v>
      </c>
    </row>
    <row r="1577" spans="1:7">
      <c r="A1577" s="54">
        <v>151.18430000000001</v>
      </c>
      <c r="B1577" s="54">
        <v>151.2415</v>
      </c>
      <c r="C1577" s="54">
        <v>149.9742</v>
      </c>
      <c r="D1577" s="54">
        <v>150.1267</v>
      </c>
      <c r="E1577" s="54">
        <v>14526927</v>
      </c>
      <c r="F1577" s="54" t="s">
        <v>2395</v>
      </c>
      <c r="G1577" s="25">
        <f t="shared" si="23"/>
        <v>7.0447162296913834E-3</v>
      </c>
    </row>
    <row r="1578" spans="1:7">
      <c r="A1578" s="54">
        <v>149.95519999999999</v>
      </c>
      <c r="B1578" s="54">
        <v>150.2696</v>
      </c>
      <c r="C1578" s="54">
        <v>149.70269999999999</v>
      </c>
      <c r="D1578" s="54">
        <v>150.0505</v>
      </c>
      <c r="E1578" s="54">
        <v>8989150</v>
      </c>
      <c r="F1578" s="54" t="s">
        <v>2396</v>
      </c>
      <c r="G1578" s="25">
        <f t="shared" si="23"/>
        <v>-6.3511950976513631E-4</v>
      </c>
    </row>
    <row r="1579" spans="1:7">
      <c r="A1579" s="54">
        <v>149.9838</v>
      </c>
      <c r="B1579" s="54">
        <v>150.66030000000001</v>
      </c>
      <c r="C1579" s="54">
        <v>149.85040000000001</v>
      </c>
      <c r="D1579" s="54">
        <v>150.66030000000001</v>
      </c>
      <c r="E1579" s="54">
        <v>17726283</v>
      </c>
      <c r="F1579" s="54" t="s">
        <v>2397</v>
      </c>
      <c r="G1579" s="25">
        <f t="shared" si="23"/>
        <v>-4.4902339899761667E-3</v>
      </c>
    </row>
    <row r="1580" spans="1:7">
      <c r="A1580" s="54">
        <v>149.9838</v>
      </c>
      <c r="B1580" s="54">
        <v>151.0128</v>
      </c>
      <c r="C1580" s="54">
        <v>148.91659999999999</v>
      </c>
      <c r="D1580" s="54">
        <v>149.92660000000001</v>
      </c>
      <c r="E1580" s="54">
        <v>53599613</v>
      </c>
      <c r="F1580" s="54" t="s">
        <v>2398</v>
      </c>
      <c r="G1580" s="25">
        <f t="shared" si="23"/>
        <v>3.8152002379820971E-4</v>
      </c>
    </row>
    <row r="1581" spans="1:7">
      <c r="A1581" s="54">
        <v>148.364</v>
      </c>
      <c r="B1581" s="54">
        <v>148.4211</v>
      </c>
      <c r="C1581" s="54">
        <v>146.49639999999999</v>
      </c>
      <c r="D1581" s="54">
        <v>146.7346</v>
      </c>
      <c r="E1581" s="54">
        <v>25813825</v>
      </c>
      <c r="F1581" s="54" t="s">
        <v>2399</v>
      </c>
      <c r="G1581" s="25">
        <f t="shared" si="23"/>
        <v>1.1104402097392274E-2</v>
      </c>
    </row>
    <row r="1582" spans="1:7">
      <c r="A1582" s="54">
        <v>147.0872</v>
      </c>
      <c r="B1582" s="54">
        <v>148.1448</v>
      </c>
      <c r="C1582" s="54">
        <v>146.90610000000001</v>
      </c>
      <c r="D1582" s="54">
        <v>147.0205</v>
      </c>
      <c r="E1582" s="54">
        <v>24132379</v>
      </c>
      <c r="F1582" s="54" t="s">
        <v>2400</v>
      </c>
      <c r="G1582" s="25">
        <f t="shared" si="23"/>
        <v>4.5367822854625039E-4</v>
      </c>
    </row>
    <row r="1583" spans="1:7">
      <c r="A1583" s="54">
        <v>147.3921</v>
      </c>
      <c r="B1583" s="54">
        <v>148.364</v>
      </c>
      <c r="C1583" s="54">
        <v>147.1634</v>
      </c>
      <c r="D1583" s="54">
        <v>148.11619999999999</v>
      </c>
      <c r="E1583" s="54">
        <v>25443527</v>
      </c>
      <c r="F1583" s="54" t="s">
        <v>2401</v>
      </c>
      <c r="G1583" s="25">
        <f t="shared" si="23"/>
        <v>-4.8887292544637084E-3</v>
      </c>
    </row>
    <row r="1584" spans="1:7">
      <c r="A1584" s="54">
        <v>148.1925</v>
      </c>
      <c r="B1584" s="54">
        <v>148.54499999999999</v>
      </c>
      <c r="C1584" s="54">
        <v>147.51589999999999</v>
      </c>
      <c r="D1584" s="54">
        <v>147.79230000000001</v>
      </c>
      <c r="E1584" s="54">
        <v>24152770</v>
      </c>
      <c r="F1584" s="54" t="s">
        <v>2402</v>
      </c>
      <c r="G1584" s="25">
        <f t="shared" si="23"/>
        <v>2.7078541980873894E-3</v>
      </c>
    </row>
    <row r="1585" spans="1:7">
      <c r="A1585" s="54">
        <v>147.2396</v>
      </c>
      <c r="B1585" s="54">
        <v>147.58260000000001</v>
      </c>
      <c r="C1585" s="54">
        <v>145.6198</v>
      </c>
      <c r="D1585" s="54">
        <v>145.7851</v>
      </c>
      <c r="E1585" s="54">
        <v>23850062</v>
      </c>
      <c r="F1585" s="54" t="s">
        <v>2403</v>
      </c>
      <c r="G1585" s="25">
        <f t="shared" si="23"/>
        <v>9.977014111867355E-3</v>
      </c>
    </row>
    <row r="1586" spans="1:7">
      <c r="A1586" s="54">
        <v>146.01050000000001</v>
      </c>
      <c r="B1586" s="54">
        <v>146.2011</v>
      </c>
      <c r="C1586" s="54">
        <v>143.89519999999999</v>
      </c>
      <c r="D1586" s="54">
        <v>144.49549999999999</v>
      </c>
      <c r="E1586" s="54">
        <v>24645366</v>
      </c>
      <c r="F1586" s="54" t="s">
        <v>2404</v>
      </c>
      <c r="G1586" s="25">
        <f t="shared" si="23"/>
        <v>1.0484755580623784E-2</v>
      </c>
    </row>
    <row r="1587" spans="1:7">
      <c r="A1587" s="54">
        <v>144.54310000000001</v>
      </c>
      <c r="B1587" s="54">
        <v>144.70509999999999</v>
      </c>
      <c r="C1587" s="54">
        <v>143.23779999999999</v>
      </c>
      <c r="D1587" s="54">
        <v>144.39070000000001</v>
      </c>
      <c r="E1587" s="54">
        <v>18860001</v>
      </c>
      <c r="F1587" s="54" t="s">
        <v>2405</v>
      </c>
      <c r="G1587" s="25">
        <f t="shared" si="23"/>
        <v>1.0554696389726281E-3</v>
      </c>
    </row>
    <row r="1588" spans="1:7">
      <c r="A1588" s="54">
        <v>144</v>
      </c>
      <c r="B1588" s="54">
        <v>144.7242</v>
      </c>
      <c r="C1588" s="54">
        <v>143.6523</v>
      </c>
      <c r="D1588" s="54">
        <v>144.1525</v>
      </c>
      <c r="E1588" s="54">
        <v>16481060</v>
      </c>
      <c r="F1588" s="54" t="s">
        <v>2406</v>
      </c>
      <c r="G1588" s="25">
        <f t="shared" si="23"/>
        <v>-1.0579074244290165E-3</v>
      </c>
    </row>
    <row r="1589" spans="1:7">
      <c r="A1589" s="54">
        <v>144.2192</v>
      </c>
      <c r="B1589" s="54">
        <v>145.0291</v>
      </c>
      <c r="C1589" s="54">
        <v>143.79040000000001</v>
      </c>
      <c r="D1589" s="54">
        <v>143.94290000000001</v>
      </c>
      <c r="E1589" s="54">
        <v>16741350</v>
      </c>
      <c r="F1589" s="54" t="s">
        <v>2407</v>
      </c>
      <c r="G1589" s="25">
        <f t="shared" si="23"/>
        <v>1.9195111394865183E-3</v>
      </c>
    </row>
    <row r="1590" spans="1:7">
      <c r="A1590" s="54">
        <v>144.5908</v>
      </c>
      <c r="B1590" s="54">
        <v>144.70509999999999</v>
      </c>
      <c r="C1590" s="54">
        <v>143.1806</v>
      </c>
      <c r="D1590" s="54">
        <v>143.86660000000001</v>
      </c>
      <c r="E1590" s="54">
        <v>16410400</v>
      </c>
      <c r="F1590" s="54" t="s">
        <v>2408</v>
      </c>
      <c r="G1590" s="25">
        <f t="shared" si="23"/>
        <v>5.0338299508017048E-3</v>
      </c>
    </row>
    <row r="1591" spans="1:7">
      <c r="A1591" s="54">
        <v>142.85659999999999</v>
      </c>
      <c r="B1591" s="54">
        <v>143.22819999999999</v>
      </c>
      <c r="C1591" s="54">
        <v>142.42789999999999</v>
      </c>
      <c r="D1591" s="54">
        <v>142.971</v>
      </c>
      <c r="E1591" s="54">
        <v>17880601</v>
      </c>
      <c r="F1591" s="54" t="s">
        <v>2409</v>
      </c>
      <c r="G1591" s="25">
        <f t="shared" si="23"/>
        <v>-8.0016227067036816E-4</v>
      </c>
    </row>
    <row r="1592" spans="1:7">
      <c r="A1592" s="54">
        <v>142.78039999999999</v>
      </c>
      <c r="B1592" s="54">
        <v>143.09479999999999</v>
      </c>
      <c r="C1592" s="54">
        <v>142.1611</v>
      </c>
      <c r="D1592" s="54">
        <v>143.05670000000001</v>
      </c>
      <c r="E1592" s="54">
        <v>17580617</v>
      </c>
      <c r="F1592" s="54" t="s">
        <v>2410</v>
      </c>
      <c r="G1592" s="25">
        <f t="shared" si="23"/>
        <v>-1.931402024512141E-3</v>
      </c>
    </row>
    <row r="1593" spans="1:7">
      <c r="A1593" s="54">
        <v>142.26589999999999</v>
      </c>
      <c r="B1593" s="54">
        <v>142.3802</v>
      </c>
      <c r="C1593" s="54">
        <v>139.73140000000001</v>
      </c>
      <c r="D1593" s="54">
        <v>140.5318</v>
      </c>
      <c r="E1593" s="54">
        <v>25192145</v>
      </c>
      <c r="F1593" s="54" t="s">
        <v>2411</v>
      </c>
      <c r="G1593" s="25">
        <f t="shared" si="23"/>
        <v>1.2339555886994757E-2</v>
      </c>
    </row>
    <row r="1594" spans="1:7">
      <c r="A1594" s="54">
        <v>142.49459999999999</v>
      </c>
      <c r="B1594" s="54">
        <v>144.667</v>
      </c>
      <c r="C1594" s="54">
        <v>141.32259999999999</v>
      </c>
      <c r="D1594" s="54">
        <v>144.648</v>
      </c>
      <c r="E1594" s="54">
        <v>27473616</v>
      </c>
      <c r="F1594" s="54" t="s">
        <v>2412</v>
      </c>
      <c r="G1594" s="25">
        <f t="shared" si="23"/>
        <v>-1.4887174381947976E-2</v>
      </c>
    </row>
    <row r="1595" spans="1:7">
      <c r="A1595" s="54">
        <v>144.23820000000001</v>
      </c>
      <c r="B1595" s="54">
        <v>145.1148</v>
      </c>
      <c r="C1595" s="54">
        <v>144.143</v>
      </c>
      <c r="D1595" s="54">
        <v>144.92429999999999</v>
      </c>
      <c r="E1595" s="54">
        <v>11977300</v>
      </c>
      <c r="F1595" s="54" t="s">
        <v>2413</v>
      </c>
      <c r="G1595" s="25">
        <f t="shared" si="23"/>
        <v>-4.7341957145902169E-3</v>
      </c>
    </row>
    <row r="1596" spans="1:7">
      <c r="A1596" s="54">
        <v>145.13390000000001</v>
      </c>
      <c r="B1596" s="54">
        <v>145.30539999999999</v>
      </c>
      <c r="C1596" s="54">
        <v>144.3716</v>
      </c>
      <c r="D1596" s="54">
        <v>145.14340000000001</v>
      </c>
      <c r="E1596" s="54">
        <v>15201293</v>
      </c>
      <c r="F1596" s="54" t="s">
        <v>2414</v>
      </c>
      <c r="G1596" s="25">
        <f t="shared" si="23"/>
        <v>-6.5452511102792599E-5</v>
      </c>
    </row>
    <row r="1597" spans="1:7">
      <c r="A1597" s="54">
        <v>144.85759999999999</v>
      </c>
      <c r="B1597" s="54">
        <v>145.22919999999999</v>
      </c>
      <c r="C1597" s="54">
        <v>144.18109999999999</v>
      </c>
      <c r="D1597" s="54">
        <v>144.2192</v>
      </c>
      <c r="E1597" s="54">
        <v>24635100</v>
      </c>
      <c r="F1597" s="54" t="s">
        <v>2415</v>
      </c>
      <c r="G1597" s="25">
        <f t="shared" si="23"/>
        <v>4.4265950719459823E-3</v>
      </c>
    </row>
    <row r="1598" spans="1:7">
      <c r="A1598" s="54">
        <v>144.09530000000001</v>
      </c>
      <c r="B1598" s="54">
        <v>144.2097</v>
      </c>
      <c r="C1598" s="54">
        <v>142.84710000000001</v>
      </c>
      <c r="D1598" s="54">
        <v>142.92330000000001</v>
      </c>
      <c r="E1598" s="54">
        <v>22428585</v>
      </c>
      <c r="F1598" s="54" t="s">
        <v>2416</v>
      </c>
      <c r="G1598" s="25">
        <f t="shared" si="23"/>
        <v>8.2002024862286582E-3</v>
      </c>
    </row>
    <row r="1599" spans="1:7">
      <c r="A1599" s="54">
        <v>142.53270000000001</v>
      </c>
      <c r="B1599" s="54">
        <v>143.20920000000001</v>
      </c>
      <c r="C1599" s="54">
        <v>141.79900000000001</v>
      </c>
      <c r="D1599" s="54">
        <v>142.99</v>
      </c>
      <c r="E1599" s="54">
        <v>15841680</v>
      </c>
      <c r="F1599" s="54" t="s">
        <v>2417</v>
      </c>
      <c r="G1599" s="25">
        <f t="shared" si="23"/>
        <v>-3.1981257430589993E-3</v>
      </c>
    </row>
    <row r="1600" spans="1:7">
      <c r="A1600" s="54">
        <v>142.42789999999999</v>
      </c>
      <c r="B1600" s="54">
        <v>142.7328</v>
      </c>
      <c r="C1600" s="54">
        <v>141.49510000000001</v>
      </c>
      <c r="D1600" s="54">
        <v>142.35159999999999</v>
      </c>
      <c r="E1600" s="54">
        <v>18576083</v>
      </c>
      <c r="F1600" s="54" t="s">
        <v>2418</v>
      </c>
      <c r="G1600" s="25">
        <f t="shared" si="23"/>
        <v>5.3599678542437523E-4</v>
      </c>
    </row>
    <row r="1601" spans="1:7">
      <c r="A1601" s="54">
        <v>142.56129999999999</v>
      </c>
      <c r="B1601" s="54">
        <v>143.72370000000001</v>
      </c>
      <c r="C1601" s="54">
        <v>141.45599999999999</v>
      </c>
      <c r="D1601" s="54">
        <v>143.21870000000001</v>
      </c>
      <c r="E1601" s="54">
        <v>25720060</v>
      </c>
      <c r="F1601" s="54" t="s">
        <v>2419</v>
      </c>
      <c r="G1601" s="25">
        <f t="shared" si="23"/>
        <v>-4.590182706588064E-3</v>
      </c>
    </row>
    <row r="1602" spans="1:7">
      <c r="A1602" s="54">
        <v>142.809</v>
      </c>
      <c r="B1602" s="54">
        <v>143.70160000000001</v>
      </c>
      <c r="C1602" s="54">
        <v>142.62379999999999</v>
      </c>
      <c r="D1602" s="54">
        <v>143.27430000000001</v>
      </c>
      <c r="E1602" s="54">
        <v>23960164</v>
      </c>
      <c r="F1602" s="54" t="s">
        <v>2420</v>
      </c>
      <c r="G1602" s="25">
        <f t="shared" si="23"/>
        <v>-3.247616634665218E-3</v>
      </c>
    </row>
    <row r="1603" spans="1:7">
      <c r="A1603" s="54">
        <v>142.76150000000001</v>
      </c>
      <c r="B1603" s="54">
        <v>142.96090000000001</v>
      </c>
      <c r="C1603" s="54">
        <v>141.4701</v>
      </c>
      <c r="D1603" s="54">
        <v>142.5051</v>
      </c>
      <c r="E1603" s="54">
        <v>21554762</v>
      </c>
      <c r="F1603" s="54" t="s">
        <v>2421</v>
      </c>
      <c r="G1603" s="25">
        <f t="shared" si="23"/>
        <v>1.799233851981441E-3</v>
      </c>
    </row>
    <row r="1604" spans="1:7">
      <c r="A1604" s="54">
        <v>142.4102</v>
      </c>
      <c r="B1604" s="54">
        <v>142.42920000000001</v>
      </c>
      <c r="C1604" s="54">
        <v>140.79589999999999</v>
      </c>
      <c r="D1604" s="54">
        <v>141.42259999999999</v>
      </c>
      <c r="E1604" s="54">
        <v>23508807</v>
      </c>
      <c r="F1604" s="54" t="s">
        <v>2422</v>
      </c>
      <c r="G1604" s="25">
        <f t="shared" si="23"/>
        <v>6.9833251545370345E-3</v>
      </c>
    </row>
    <row r="1605" spans="1:7">
      <c r="A1605" s="54">
        <v>140.59649999999999</v>
      </c>
      <c r="B1605" s="54">
        <v>140.9288</v>
      </c>
      <c r="C1605" s="54">
        <v>139.5899</v>
      </c>
      <c r="D1605" s="54">
        <v>139.60890000000001</v>
      </c>
      <c r="E1605" s="54">
        <v>19755100</v>
      </c>
      <c r="F1605" s="54" t="s">
        <v>2423</v>
      </c>
      <c r="G1605" s="25">
        <f t="shared" si="23"/>
        <v>7.0740475714656803E-3</v>
      </c>
    </row>
    <row r="1606" spans="1:7">
      <c r="A1606" s="54">
        <v>139.8843</v>
      </c>
      <c r="B1606" s="54">
        <v>140.0291</v>
      </c>
      <c r="C1606" s="54">
        <v>138.90620000000001</v>
      </c>
      <c r="D1606" s="54">
        <v>139.34299999999999</v>
      </c>
      <c r="E1606" s="54">
        <v>17444230</v>
      </c>
      <c r="F1606" s="54" t="s">
        <v>2424</v>
      </c>
      <c r="G1606" s="25">
        <f t="shared" si="23"/>
        <v>3.8846587198495541E-3</v>
      </c>
    </row>
    <row r="1607" spans="1:7">
      <c r="A1607" s="54">
        <v>139.65639999999999</v>
      </c>
      <c r="B1607" s="54">
        <v>140.13120000000001</v>
      </c>
      <c r="C1607" s="54">
        <v>138.69730000000001</v>
      </c>
      <c r="D1607" s="54">
        <v>138.90620000000001</v>
      </c>
      <c r="E1607" s="54">
        <v>18648712</v>
      </c>
      <c r="F1607" s="54" t="s">
        <v>2425</v>
      </c>
      <c r="G1607" s="25">
        <f t="shared" si="23"/>
        <v>5.4007668484199467E-3</v>
      </c>
    </row>
    <row r="1608" spans="1:7">
      <c r="A1608" s="54">
        <v>138.7448</v>
      </c>
      <c r="B1608" s="54">
        <v>139.03909999999999</v>
      </c>
      <c r="C1608" s="54">
        <v>137.43430000000001</v>
      </c>
      <c r="D1608" s="54">
        <v>138.0136</v>
      </c>
      <c r="E1608" s="54">
        <v>14370178</v>
      </c>
      <c r="F1608" s="54" t="s">
        <v>2426</v>
      </c>
      <c r="G1608" s="25">
        <f t="shared" si="23"/>
        <v>5.2980286000801069E-3</v>
      </c>
    </row>
    <row r="1609" spans="1:7">
      <c r="A1609" s="54">
        <v>138.60230000000001</v>
      </c>
      <c r="B1609" s="54">
        <v>138.63079999999999</v>
      </c>
      <c r="C1609" s="54">
        <v>136.51320000000001</v>
      </c>
      <c r="D1609" s="54">
        <v>136.72210000000001</v>
      </c>
      <c r="E1609" s="54">
        <v>16752939</v>
      </c>
      <c r="F1609" s="54" t="s">
        <v>2427</v>
      </c>
      <c r="G1609" s="25">
        <f t="shared" si="23"/>
        <v>1.3751983037124216E-2</v>
      </c>
    </row>
    <row r="1610" spans="1:7">
      <c r="A1610" s="54">
        <v>136.988</v>
      </c>
      <c r="B1610" s="54">
        <v>137.57679999999999</v>
      </c>
      <c r="C1610" s="54">
        <v>136.52269999999999</v>
      </c>
      <c r="D1610" s="54">
        <v>136.58920000000001</v>
      </c>
      <c r="E1610" s="54">
        <v>17786715</v>
      </c>
      <c r="F1610" s="54" t="s">
        <v>2428</v>
      </c>
      <c r="G1610" s="25">
        <f t="shared" si="23"/>
        <v>2.9197037540302784E-3</v>
      </c>
    </row>
    <row r="1611" spans="1:7">
      <c r="A1611" s="54">
        <v>136.79810000000001</v>
      </c>
      <c r="B1611" s="54">
        <v>137.23490000000001</v>
      </c>
      <c r="C1611" s="54">
        <v>135.98140000000001</v>
      </c>
      <c r="D1611" s="54">
        <v>137.0925</v>
      </c>
      <c r="E1611" s="54">
        <v>16575798</v>
      </c>
      <c r="F1611" s="54" t="s">
        <v>2429</v>
      </c>
      <c r="G1611" s="25">
        <f t="shared" si="23"/>
        <v>-2.1474551853675194E-3</v>
      </c>
    </row>
    <row r="1612" spans="1:7">
      <c r="A1612" s="54">
        <v>137.17789999999999</v>
      </c>
      <c r="B1612" s="54">
        <v>137.7097</v>
      </c>
      <c r="C1612" s="54">
        <v>136.65090000000001</v>
      </c>
      <c r="D1612" s="54">
        <v>137.66220000000001</v>
      </c>
      <c r="E1612" s="54">
        <v>18250172</v>
      </c>
      <c r="F1612" s="54" t="s">
        <v>2430</v>
      </c>
      <c r="G1612" s="25">
        <f t="shared" si="23"/>
        <v>-3.518031819918721E-3</v>
      </c>
    </row>
    <row r="1613" spans="1:7">
      <c r="A1613" s="54">
        <v>137.26339999999999</v>
      </c>
      <c r="B1613" s="54">
        <v>137.69069999999999</v>
      </c>
      <c r="C1613" s="54">
        <v>136.8931</v>
      </c>
      <c r="D1613" s="54">
        <v>137.52930000000001</v>
      </c>
      <c r="E1613" s="54">
        <v>16911999</v>
      </c>
      <c r="F1613" s="54" t="s">
        <v>2431</v>
      </c>
      <c r="G1613" s="25">
        <f t="shared" si="23"/>
        <v>-1.9334061905355027E-3</v>
      </c>
    </row>
    <row r="1614" spans="1:7">
      <c r="A1614" s="54">
        <v>136.4752</v>
      </c>
      <c r="B1614" s="54">
        <v>137.13990000000001</v>
      </c>
      <c r="C1614" s="54">
        <v>135.75829999999999</v>
      </c>
      <c r="D1614" s="54">
        <v>136.988</v>
      </c>
      <c r="E1614" s="54">
        <v>33128366</v>
      </c>
      <c r="F1614" s="54" t="s">
        <v>2432</v>
      </c>
      <c r="G1614" s="25">
        <f t="shared" si="23"/>
        <v>-3.7433935819195518E-3</v>
      </c>
    </row>
    <row r="1615" spans="1:7">
      <c r="A1615" s="54">
        <v>136.1429</v>
      </c>
      <c r="B1615" s="54">
        <v>137.6242</v>
      </c>
      <c r="C1615" s="54">
        <v>135.78200000000001</v>
      </c>
      <c r="D1615" s="54">
        <v>137.59569999999999</v>
      </c>
      <c r="E1615" s="54">
        <v>24605135</v>
      </c>
      <c r="F1615" s="54" t="s">
        <v>2433</v>
      </c>
      <c r="G1615" s="25">
        <f t="shared" si="23"/>
        <v>-1.0558469487055189E-2</v>
      </c>
    </row>
    <row r="1616" spans="1:7">
      <c r="A1616" s="54">
        <v>137.32040000000001</v>
      </c>
      <c r="B1616" s="54">
        <v>137.69069999999999</v>
      </c>
      <c r="C1616" s="54">
        <v>135.59209999999999</v>
      </c>
      <c r="D1616" s="54">
        <v>136.28530000000001</v>
      </c>
      <c r="E1616" s="54">
        <v>18496591</v>
      </c>
      <c r="F1616" s="54" t="s">
        <v>2434</v>
      </c>
      <c r="G1616" s="25">
        <f t="shared" si="23"/>
        <v>7.595096463081541E-3</v>
      </c>
    </row>
    <row r="1617" spans="1:7">
      <c r="A1617" s="54">
        <v>135.6301</v>
      </c>
      <c r="B1617" s="54">
        <v>137.2159</v>
      </c>
      <c r="C1617" s="54">
        <v>135.45920000000001</v>
      </c>
      <c r="D1617" s="54">
        <v>136.81710000000001</v>
      </c>
      <c r="E1617" s="54">
        <v>20589469</v>
      </c>
      <c r="F1617" s="54" t="s">
        <v>2435</v>
      </c>
      <c r="G1617" s="25">
        <f t="shared" si="23"/>
        <v>-8.6758161077818974E-3</v>
      </c>
    </row>
    <row r="1618" spans="1:7">
      <c r="A1618" s="54">
        <v>136.92150000000001</v>
      </c>
      <c r="B1618" s="54">
        <v>138.32689999999999</v>
      </c>
      <c r="C1618" s="54">
        <v>136.2758</v>
      </c>
      <c r="D1618" s="54">
        <v>137.12100000000001</v>
      </c>
      <c r="E1618" s="54">
        <v>35280137</v>
      </c>
      <c r="F1618" s="54" t="s">
        <v>2436</v>
      </c>
      <c r="G1618" s="25">
        <f t="shared" si="23"/>
        <v>-1.4549193777758651E-3</v>
      </c>
    </row>
    <row r="1619" spans="1:7">
      <c r="A1619" s="54">
        <v>133.636</v>
      </c>
      <c r="B1619" s="54">
        <v>134.02529999999999</v>
      </c>
      <c r="C1619" s="54">
        <v>132.1831</v>
      </c>
      <c r="D1619" s="54">
        <v>132.316</v>
      </c>
      <c r="E1619" s="54">
        <v>25959724</v>
      </c>
      <c r="F1619" s="54" t="s">
        <v>2437</v>
      </c>
      <c r="G1619" s="25">
        <f t="shared" si="23"/>
        <v>9.9761177786510391E-3</v>
      </c>
    </row>
    <row r="1620" spans="1:7">
      <c r="A1620" s="54">
        <v>132.88579999999999</v>
      </c>
      <c r="B1620" s="54">
        <v>133.3416</v>
      </c>
      <c r="C1620" s="54">
        <v>131.6798</v>
      </c>
      <c r="D1620" s="54">
        <v>132.36349999999999</v>
      </c>
      <c r="E1620" s="54">
        <v>37278399</v>
      </c>
      <c r="F1620" s="54" t="s">
        <v>2438</v>
      </c>
      <c r="G1620" s="25">
        <f t="shared" si="23"/>
        <v>3.9459518673954364E-3</v>
      </c>
    </row>
    <row r="1621" spans="1:7">
      <c r="A1621" s="54">
        <v>130.3219</v>
      </c>
      <c r="B1621" s="54">
        <v>130.5213</v>
      </c>
      <c r="C1621" s="54">
        <v>128.774</v>
      </c>
      <c r="D1621" s="54">
        <v>129.97999999999999</v>
      </c>
      <c r="E1621" s="54">
        <v>31380309</v>
      </c>
      <c r="F1621" s="54" t="s">
        <v>2439</v>
      </c>
      <c r="G1621" s="25">
        <f t="shared" si="23"/>
        <v>2.6304046776428613E-3</v>
      </c>
    </row>
    <row r="1622" spans="1:7">
      <c r="A1622" s="54">
        <v>129.4957</v>
      </c>
      <c r="B1622" s="54">
        <v>132.9522</v>
      </c>
      <c r="C1622" s="54">
        <v>129.3913</v>
      </c>
      <c r="D1622" s="54">
        <v>131.96469999999999</v>
      </c>
      <c r="E1622" s="54">
        <v>27935270</v>
      </c>
      <c r="F1622" s="54" t="s">
        <v>2440</v>
      </c>
      <c r="G1622" s="25">
        <f t="shared" si="23"/>
        <v>-1.8709548841470469E-2</v>
      </c>
    </row>
    <row r="1623" spans="1:7">
      <c r="A1623" s="54">
        <v>131.45189999999999</v>
      </c>
      <c r="B1623" s="54">
        <v>131.51840000000001</v>
      </c>
      <c r="C1623" s="54">
        <v>130.1035</v>
      </c>
      <c r="D1623" s="54">
        <v>131.4709</v>
      </c>
      <c r="E1623" s="54">
        <v>20716039</v>
      </c>
      <c r="F1623" s="54" t="s">
        <v>2441</v>
      </c>
      <c r="G1623" s="25">
        <f t="shared" si="23"/>
        <v>-1.4451867295350862E-4</v>
      </c>
    </row>
    <row r="1624" spans="1:7">
      <c r="A1624" s="54">
        <v>130.48330000000001</v>
      </c>
      <c r="B1624" s="54">
        <v>132.94280000000001</v>
      </c>
      <c r="C1624" s="54">
        <v>129.67619999999999</v>
      </c>
      <c r="D1624" s="54">
        <v>132.7149</v>
      </c>
      <c r="E1624" s="54">
        <v>32284428</v>
      </c>
      <c r="F1624" s="54" t="s">
        <v>2442</v>
      </c>
      <c r="G1624" s="25">
        <f t="shared" ref="G1624:G1687" si="24">A1624/D1624-1</f>
        <v>-1.681499213728066E-2</v>
      </c>
    </row>
    <row r="1625" spans="1:7">
      <c r="A1625" s="54">
        <v>132.64840000000001</v>
      </c>
      <c r="B1625" s="54">
        <v>134.2912</v>
      </c>
      <c r="C1625" s="54">
        <v>132.01220000000001</v>
      </c>
      <c r="D1625" s="54">
        <v>133.8449</v>
      </c>
      <c r="E1625" s="54">
        <v>22102797</v>
      </c>
      <c r="F1625" s="54" t="s">
        <v>2443</v>
      </c>
      <c r="G1625" s="25">
        <f t="shared" si="24"/>
        <v>-8.9394515592300383E-3</v>
      </c>
    </row>
    <row r="1626" spans="1:7">
      <c r="A1626" s="54">
        <v>133.3321</v>
      </c>
      <c r="B1626" s="54">
        <v>133.8828</v>
      </c>
      <c r="C1626" s="54">
        <v>132.49639999999999</v>
      </c>
      <c r="D1626" s="54">
        <v>133.69290000000001</v>
      </c>
      <c r="E1626" s="54">
        <v>20841687</v>
      </c>
      <c r="F1626" s="54" t="s">
        <v>2444</v>
      </c>
      <c r="G1626" s="25">
        <f t="shared" si="24"/>
        <v>-2.6987222208509909E-3</v>
      </c>
    </row>
    <row r="1627" spans="1:7">
      <c r="A1627" s="54">
        <v>134.4384</v>
      </c>
      <c r="B1627" s="54">
        <v>134.64250000000001</v>
      </c>
      <c r="C1627" s="54">
        <v>132.76230000000001</v>
      </c>
      <c r="D1627" s="54">
        <v>132.99969999999999</v>
      </c>
      <c r="E1627" s="54">
        <v>19917762</v>
      </c>
      <c r="F1627" s="54" t="s">
        <v>2445</v>
      </c>
      <c r="G1627" s="25">
        <f t="shared" si="24"/>
        <v>1.0817317633047274E-2</v>
      </c>
    </row>
    <row r="1628" spans="1:7">
      <c r="A1628" s="54">
        <v>132.5154</v>
      </c>
      <c r="B1628" s="54">
        <v>133.21809999999999</v>
      </c>
      <c r="C1628" s="54">
        <v>132.48689999999999</v>
      </c>
      <c r="D1628" s="54">
        <v>132.64840000000001</v>
      </c>
      <c r="E1628" s="54">
        <v>13591639</v>
      </c>
      <c r="F1628" s="54" t="s">
        <v>2446</v>
      </c>
      <c r="G1628" s="25">
        <f t="shared" si="24"/>
        <v>-1.0026506162156279E-3</v>
      </c>
    </row>
    <row r="1629" spans="1:7">
      <c r="A1629" s="54">
        <v>132.63890000000001</v>
      </c>
      <c r="B1629" s="54">
        <v>133.92080000000001</v>
      </c>
      <c r="C1629" s="54">
        <v>132.46799999999999</v>
      </c>
      <c r="D1629" s="54">
        <v>133.05670000000001</v>
      </c>
      <c r="E1629" s="54">
        <v>25551065</v>
      </c>
      <c r="F1629" s="54" t="s">
        <v>2447</v>
      </c>
      <c r="G1629" s="25">
        <f t="shared" si="24"/>
        <v>-3.1400147455934446E-3</v>
      </c>
    </row>
    <row r="1630" spans="1:7">
      <c r="A1630" s="54">
        <v>132.0881</v>
      </c>
      <c r="B1630" s="54">
        <v>132.6293</v>
      </c>
      <c r="C1630" s="54">
        <v>131.28100000000001</v>
      </c>
      <c r="D1630" s="54">
        <v>131.50890000000001</v>
      </c>
      <c r="E1630" s="54">
        <v>18396605</v>
      </c>
      <c r="F1630" s="54" t="s">
        <v>2448</v>
      </c>
      <c r="G1630" s="25">
        <f t="shared" si="24"/>
        <v>4.4042646543311914E-3</v>
      </c>
    </row>
    <row r="1631" spans="1:7">
      <c r="A1631" s="54">
        <v>131.2715</v>
      </c>
      <c r="B1631" s="54">
        <v>131.70830000000001</v>
      </c>
      <c r="C1631" s="54">
        <v>130.06549999999999</v>
      </c>
      <c r="D1631" s="54">
        <v>130.5308</v>
      </c>
      <c r="E1631" s="54">
        <v>20178482</v>
      </c>
      <c r="F1631" s="54" t="s">
        <v>2449</v>
      </c>
      <c r="G1631" s="25">
        <f t="shared" si="24"/>
        <v>5.6745227946202181E-3</v>
      </c>
    </row>
    <row r="1632" spans="1:7">
      <c r="A1632" s="54">
        <v>128.83099999999999</v>
      </c>
      <c r="B1632" s="54">
        <v>130.81569999999999</v>
      </c>
      <c r="C1632" s="54">
        <v>128.7835</v>
      </c>
      <c r="D1632" s="54">
        <v>130.16990000000001</v>
      </c>
      <c r="E1632" s="54">
        <v>26783336</v>
      </c>
      <c r="F1632" s="54" t="s">
        <v>2450</v>
      </c>
      <c r="G1632" s="25">
        <f t="shared" si="24"/>
        <v>-1.0285788035483079E-2</v>
      </c>
    </row>
    <row r="1633" spans="1:7">
      <c r="A1633" s="54">
        <v>130.2079</v>
      </c>
      <c r="B1633" s="54">
        <v>131.21449999999999</v>
      </c>
      <c r="C1633" s="54">
        <v>130.113</v>
      </c>
      <c r="D1633" s="54">
        <v>130.2269</v>
      </c>
      <c r="E1633" s="54">
        <v>16601284</v>
      </c>
      <c r="F1633" s="54" t="s">
        <v>2451</v>
      </c>
      <c r="G1633" s="25">
        <f t="shared" si="24"/>
        <v>-1.4589919594187872E-4</v>
      </c>
    </row>
    <row r="1634" spans="1:7">
      <c r="A1634" s="54">
        <v>131.1575</v>
      </c>
      <c r="B1634" s="54">
        <v>131.28100000000001</v>
      </c>
      <c r="C1634" s="54">
        <v>129.54320000000001</v>
      </c>
      <c r="D1634" s="54">
        <v>129.85659999999999</v>
      </c>
      <c r="E1634" s="54">
        <v>23839548</v>
      </c>
      <c r="F1634" s="54" t="s">
        <v>2452</v>
      </c>
      <c r="G1634" s="25">
        <f t="shared" si="24"/>
        <v>1.0017973672497238E-2</v>
      </c>
    </row>
    <row r="1635" spans="1:7">
      <c r="A1635" s="54">
        <v>129.41030000000001</v>
      </c>
      <c r="B1635" s="54">
        <v>129.85659999999999</v>
      </c>
      <c r="C1635" s="54">
        <v>126.50449999999999</v>
      </c>
      <c r="D1635" s="54">
        <v>128.1473</v>
      </c>
      <c r="E1635" s="54">
        <v>26379798</v>
      </c>
      <c r="F1635" s="54" t="s">
        <v>2453</v>
      </c>
      <c r="G1635" s="25">
        <f t="shared" si="24"/>
        <v>9.8558455777062459E-3</v>
      </c>
    </row>
    <row r="1636" spans="1:7">
      <c r="A1636" s="54">
        <v>127.86239999999999</v>
      </c>
      <c r="B1636" s="54">
        <v>129.4957</v>
      </c>
      <c r="C1636" s="54">
        <v>126.8463</v>
      </c>
      <c r="D1636" s="54">
        <v>129.3818</v>
      </c>
      <c r="E1636" s="54">
        <v>32001763</v>
      </c>
      <c r="F1636" s="54" t="s">
        <v>2454</v>
      </c>
      <c r="G1636" s="25">
        <f t="shared" si="24"/>
        <v>-1.1743537344510613E-2</v>
      </c>
    </row>
    <row r="1637" spans="1:7">
      <c r="A1637" s="54">
        <v>130.16050000000001</v>
      </c>
      <c r="B1637" s="54">
        <v>133.18020000000001</v>
      </c>
      <c r="C1637" s="54">
        <v>130.09399999999999</v>
      </c>
      <c r="D1637" s="54">
        <v>132.6199</v>
      </c>
      <c r="E1637" s="54">
        <v>22581929</v>
      </c>
      <c r="F1637" s="54" t="s">
        <v>2455</v>
      </c>
      <c r="G1637" s="25">
        <f t="shared" si="24"/>
        <v>-1.8544728204439864E-2</v>
      </c>
    </row>
    <row r="1638" spans="1:7">
      <c r="A1638" s="54">
        <v>132.02160000000001</v>
      </c>
      <c r="B1638" s="54">
        <v>132.19730000000001</v>
      </c>
      <c r="C1638" s="54">
        <v>130.8347</v>
      </c>
      <c r="D1638" s="54">
        <v>131.09110000000001</v>
      </c>
      <c r="E1638" s="54">
        <v>18430390</v>
      </c>
      <c r="F1638" s="54" t="s">
        <v>2456</v>
      </c>
      <c r="G1638" s="25">
        <f t="shared" si="24"/>
        <v>7.0981172634907441E-3</v>
      </c>
    </row>
    <row r="1639" spans="1:7">
      <c r="A1639" s="54">
        <v>130.78720000000001</v>
      </c>
      <c r="B1639" s="54">
        <v>133.28460000000001</v>
      </c>
      <c r="C1639" s="54">
        <v>129.7569</v>
      </c>
      <c r="D1639" s="54">
        <v>133.08519999999999</v>
      </c>
      <c r="E1639" s="54">
        <v>22498958</v>
      </c>
      <c r="F1639" s="54" t="s">
        <v>2457</v>
      </c>
      <c r="G1639" s="25">
        <f t="shared" si="24"/>
        <v>-1.726713413662806E-2</v>
      </c>
    </row>
    <row r="1640" spans="1:7">
      <c r="A1640" s="54">
        <v>132.5059</v>
      </c>
      <c r="B1640" s="54">
        <v>133.11369999999999</v>
      </c>
      <c r="C1640" s="54">
        <v>131.4614</v>
      </c>
      <c r="D1640" s="54">
        <v>132.411</v>
      </c>
      <c r="E1640" s="54">
        <v>17813512</v>
      </c>
      <c r="F1640" s="54" t="s">
        <v>2458</v>
      </c>
      <c r="G1640" s="25">
        <f t="shared" si="24"/>
        <v>7.1670782638899588E-4</v>
      </c>
    </row>
    <row r="1641" spans="1:7">
      <c r="A1641" s="54">
        <v>132.33500000000001</v>
      </c>
      <c r="B1641" s="54">
        <v>132.90289999999999</v>
      </c>
      <c r="C1641" s="54">
        <v>129.1729</v>
      </c>
      <c r="D1641" s="54">
        <v>130.56880000000001</v>
      </c>
      <c r="E1641" s="54">
        <v>22544054</v>
      </c>
      <c r="F1641" s="54" t="s">
        <v>2459</v>
      </c>
      <c r="G1641" s="25">
        <f t="shared" si="24"/>
        <v>1.3526968157783426E-2</v>
      </c>
    </row>
    <row r="1642" spans="1:7">
      <c r="A1642" s="54">
        <v>130.45480000000001</v>
      </c>
      <c r="B1642" s="54">
        <v>133.59800000000001</v>
      </c>
      <c r="C1642" s="54">
        <v>129.97999999999999</v>
      </c>
      <c r="D1642" s="54">
        <v>133.28460000000001</v>
      </c>
      <c r="E1642" s="54">
        <v>30016670</v>
      </c>
      <c r="F1642" s="54" t="s">
        <v>2460</v>
      </c>
      <c r="G1642" s="25">
        <f t="shared" si="24"/>
        <v>-2.1231260025539322E-2</v>
      </c>
    </row>
    <row r="1643" spans="1:7">
      <c r="A1643" s="54">
        <v>132.12610000000001</v>
      </c>
      <c r="B1643" s="54">
        <v>132.59139999999999</v>
      </c>
      <c r="C1643" s="54">
        <v>131.4614</v>
      </c>
      <c r="D1643" s="54">
        <v>132.2116</v>
      </c>
      <c r="E1643" s="54">
        <v>17408374</v>
      </c>
      <c r="F1643" s="54" t="s">
        <v>2461</v>
      </c>
      <c r="G1643" s="25">
        <f t="shared" si="24"/>
        <v>-6.4669060808575374E-4</v>
      </c>
    </row>
    <row r="1644" spans="1:7">
      <c r="A1644" s="54">
        <v>132.411</v>
      </c>
      <c r="B1644" s="54">
        <v>134.50960000000001</v>
      </c>
      <c r="C1644" s="54">
        <v>131.28100000000001</v>
      </c>
      <c r="D1644" s="54">
        <v>133.90180000000001</v>
      </c>
      <c r="E1644" s="54">
        <v>40040766</v>
      </c>
      <c r="F1644" s="54" t="s">
        <v>2462</v>
      </c>
      <c r="G1644" s="25">
        <f t="shared" si="24"/>
        <v>-1.113353218552704E-2</v>
      </c>
    </row>
    <row r="1645" spans="1:7">
      <c r="A1645" s="54">
        <v>133.9588</v>
      </c>
      <c r="B1645" s="54">
        <v>135.19329999999999</v>
      </c>
      <c r="C1645" s="54">
        <v>133.01259999999999</v>
      </c>
      <c r="D1645" s="54">
        <v>133.2276</v>
      </c>
      <c r="E1645" s="54">
        <v>36095413</v>
      </c>
      <c r="F1645" s="54" t="s">
        <v>2463</v>
      </c>
      <c r="G1645" s="25">
        <f t="shared" si="24"/>
        <v>5.4883522633448756E-3</v>
      </c>
    </row>
    <row r="1646" spans="1:7">
      <c r="A1646" s="54">
        <v>131.53739999999999</v>
      </c>
      <c r="B1646" s="54">
        <v>131.6798</v>
      </c>
      <c r="C1646" s="54">
        <v>129.64760000000001</v>
      </c>
      <c r="D1646" s="54">
        <v>130.4358</v>
      </c>
      <c r="E1646" s="54">
        <v>24473386</v>
      </c>
      <c r="F1646" s="54" t="s">
        <v>2464</v>
      </c>
      <c r="G1646" s="25">
        <f t="shared" si="24"/>
        <v>8.4455341248337312E-3</v>
      </c>
    </row>
    <row r="1647" spans="1:7">
      <c r="A1647" s="54">
        <v>130.46430000000001</v>
      </c>
      <c r="B1647" s="54">
        <v>130.58779999999999</v>
      </c>
      <c r="C1647" s="54">
        <v>129.548</v>
      </c>
      <c r="D1647" s="54">
        <v>130.05600000000001</v>
      </c>
      <c r="E1647" s="54">
        <v>17976285</v>
      </c>
      <c r="F1647" s="54" t="s">
        <v>2465</v>
      </c>
      <c r="G1647" s="25">
        <f t="shared" si="24"/>
        <v>3.139416866580591E-3</v>
      </c>
    </row>
    <row r="1648" spans="1:7">
      <c r="A1648" s="54">
        <v>129.45779999999999</v>
      </c>
      <c r="B1648" s="54">
        <v>129.8091</v>
      </c>
      <c r="C1648" s="54">
        <v>128.82149999999999</v>
      </c>
      <c r="D1648" s="54">
        <v>128.983</v>
      </c>
      <c r="E1648" s="54">
        <v>16731440</v>
      </c>
      <c r="F1648" s="54" t="s">
        <v>2466</v>
      </c>
      <c r="G1648" s="25">
        <f t="shared" si="24"/>
        <v>3.6811052619336593E-3</v>
      </c>
    </row>
    <row r="1649" spans="1:7">
      <c r="A1649" s="54">
        <v>130.39779999999999</v>
      </c>
      <c r="B1649" s="54">
        <v>131.10050000000001</v>
      </c>
      <c r="C1649" s="54">
        <v>129.6857</v>
      </c>
      <c r="D1649" s="54">
        <v>130.8347</v>
      </c>
      <c r="E1649" s="54">
        <v>23363057</v>
      </c>
      <c r="F1649" s="54" t="s">
        <v>2467</v>
      </c>
      <c r="G1649" s="25">
        <f t="shared" si="24"/>
        <v>-3.339328175170686E-3</v>
      </c>
    </row>
    <row r="1650" spans="1:7">
      <c r="A1650" s="54">
        <v>130.58779999999999</v>
      </c>
      <c r="B1650" s="54">
        <v>131.44239999999999</v>
      </c>
      <c r="C1650" s="54">
        <v>129.97049999999999</v>
      </c>
      <c r="D1650" s="54">
        <v>130.90110000000001</v>
      </c>
      <c r="E1650" s="54">
        <v>27009981</v>
      </c>
      <c r="F1650" s="54" t="s">
        <v>2468</v>
      </c>
      <c r="G1650" s="25">
        <f t="shared" si="24"/>
        <v>-2.3934099866237402E-3</v>
      </c>
    </row>
    <row r="1651" spans="1:7">
      <c r="A1651" s="54">
        <v>129.25829999999999</v>
      </c>
      <c r="B1651" s="54">
        <v>129.4008</v>
      </c>
      <c r="C1651" s="54">
        <v>128.28030000000001</v>
      </c>
      <c r="D1651" s="54">
        <v>129.05889999999999</v>
      </c>
      <c r="E1651" s="54">
        <v>24726117</v>
      </c>
      <c r="F1651" s="54" t="s">
        <v>2469</v>
      </c>
      <c r="G1651" s="25">
        <f t="shared" si="24"/>
        <v>1.5450309897264702E-3</v>
      </c>
    </row>
    <row r="1652" spans="1:7">
      <c r="A1652" s="54">
        <v>129.22040000000001</v>
      </c>
      <c r="B1652" s="54">
        <v>129.98589999999999</v>
      </c>
      <c r="C1652" s="54">
        <v>127.7295</v>
      </c>
      <c r="D1652" s="54">
        <v>129.9041</v>
      </c>
      <c r="E1652" s="54">
        <v>28903378</v>
      </c>
      <c r="F1652" s="54" t="s">
        <v>2470</v>
      </c>
      <c r="G1652" s="25">
        <f t="shared" si="24"/>
        <v>-5.2631133274468889E-3</v>
      </c>
    </row>
    <row r="1653" spans="1:7">
      <c r="A1653" s="54">
        <v>130.58779999999999</v>
      </c>
      <c r="B1653" s="54">
        <v>132.7054</v>
      </c>
      <c r="C1653" s="54">
        <v>129.5812</v>
      </c>
      <c r="D1653" s="54">
        <v>132.55340000000001</v>
      </c>
      <c r="E1653" s="54">
        <v>25773932</v>
      </c>
      <c r="F1653" s="54" t="s">
        <v>2471</v>
      </c>
      <c r="G1653" s="25">
        <f t="shared" si="24"/>
        <v>-1.4828740718834998E-2</v>
      </c>
    </row>
    <row r="1654" spans="1:7">
      <c r="A1654" s="54">
        <v>132.0881</v>
      </c>
      <c r="B1654" s="54">
        <v>133.11369999999999</v>
      </c>
      <c r="C1654" s="54">
        <v>131.23349999999999</v>
      </c>
      <c r="D1654" s="54">
        <v>132.97120000000001</v>
      </c>
      <c r="E1654" s="54">
        <v>20824504</v>
      </c>
      <c r="F1654" s="54" t="s">
        <v>2472</v>
      </c>
      <c r="G1654" s="25">
        <f t="shared" si="24"/>
        <v>-6.6412877374951718E-3</v>
      </c>
    </row>
    <row r="1655" spans="1:7">
      <c r="A1655" s="54">
        <v>132.99019999999999</v>
      </c>
      <c r="B1655" s="54">
        <v>133.30709999999999</v>
      </c>
      <c r="C1655" s="54">
        <v>131.7653</v>
      </c>
      <c r="D1655" s="54">
        <v>132.0976</v>
      </c>
      <c r="E1655" s="54">
        <v>26119520</v>
      </c>
      <c r="F1655" s="54" t="s">
        <v>2473</v>
      </c>
      <c r="G1655" s="25">
        <f t="shared" si="24"/>
        <v>6.7571250348226197E-3</v>
      </c>
    </row>
    <row r="1656" spans="1:7">
      <c r="A1656" s="54">
        <v>130.69220000000001</v>
      </c>
      <c r="B1656" s="54">
        <v>130.7492</v>
      </c>
      <c r="C1656" s="54">
        <v>129.6002</v>
      </c>
      <c r="D1656" s="54">
        <v>130.37889999999999</v>
      </c>
      <c r="E1656" s="54">
        <v>18015310</v>
      </c>
      <c r="F1656" s="54" t="s">
        <v>2474</v>
      </c>
      <c r="G1656" s="25">
        <f t="shared" si="24"/>
        <v>2.402996190334683E-3</v>
      </c>
    </row>
    <row r="1657" spans="1:7">
      <c r="A1657" s="54">
        <v>129.1824</v>
      </c>
      <c r="B1657" s="54">
        <v>130.28389999999999</v>
      </c>
      <c r="C1657" s="54">
        <v>128.8595</v>
      </c>
      <c r="D1657" s="54">
        <v>129.7236</v>
      </c>
      <c r="E1657" s="54">
        <v>18880773</v>
      </c>
      <c r="F1657" s="54" t="s">
        <v>2475</v>
      </c>
      <c r="G1657" s="25">
        <f t="shared" si="24"/>
        <v>-4.1719471245016404E-3</v>
      </c>
    </row>
    <row r="1658" spans="1:7">
      <c r="A1658" s="54">
        <v>130.91059999999999</v>
      </c>
      <c r="B1658" s="54">
        <v>132.16409999999999</v>
      </c>
      <c r="C1658" s="54">
        <v>129.4008</v>
      </c>
      <c r="D1658" s="54">
        <v>132.13560000000001</v>
      </c>
      <c r="E1658" s="54">
        <v>23946123</v>
      </c>
      <c r="F1658" s="54" t="s">
        <v>2476</v>
      </c>
      <c r="G1658" s="25">
        <f t="shared" si="24"/>
        <v>-9.2707794114532671E-3</v>
      </c>
    </row>
    <row r="1659" spans="1:7">
      <c r="A1659" s="54">
        <v>131.1575</v>
      </c>
      <c r="B1659" s="54">
        <v>131.4614</v>
      </c>
      <c r="C1659" s="54">
        <v>130.0085</v>
      </c>
      <c r="D1659" s="54">
        <v>130.3314</v>
      </c>
      <c r="E1659" s="54">
        <v>20179716</v>
      </c>
      <c r="F1659" s="54" t="s">
        <v>2477</v>
      </c>
      <c r="G1659" s="25">
        <f t="shared" si="24"/>
        <v>6.3384571945057644E-3</v>
      </c>
    </row>
    <row r="1660" spans="1:7">
      <c r="A1660" s="54">
        <v>128.72659999999999</v>
      </c>
      <c r="B1660" s="54">
        <v>128.91650000000001</v>
      </c>
      <c r="C1660" s="54">
        <v>126.81789999999999</v>
      </c>
      <c r="D1660" s="54">
        <v>128.08080000000001</v>
      </c>
      <c r="E1660" s="54">
        <v>17410828</v>
      </c>
      <c r="F1660" s="54" t="s">
        <v>2478</v>
      </c>
      <c r="G1660" s="25">
        <f t="shared" si="24"/>
        <v>5.042129655654648E-3</v>
      </c>
    </row>
    <row r="1661" spans="1:7">
      <c r="A1661" s="54">
        <v>128.89750000000001</v>
      </c>
      <c r="B1661" s="54">
        <v>129.82810000000001</v>
      </c>
      <c r="C1661" s="54">
        <v>127.8719</v>
      </c>
      <c r="D1661" s="54">
        <v>129.5147</v>
      </c>
      <c r="E1661" s="54">
        <v>23115635</v>
      </c>
      <c r="F1661" s="54" t="s">
        <v>2479</v>
      </c>
      <c r="G1661" s="25">
        <f t="shared" si="24"/>
        <v>-4.7654822193928803E-3</v>
      </c>
    </row>
    <row r="1662" spans="1:7">
      <c r="A1662" s="54">
        <v>128.62209999999999</v>
      </c>
      <c r="B1662" s="54">
        <v>128.72659999999999</v>
      </c>
      <c r="C1662" s="54">
        <v>127.1502</v>
      </c>
      <c r="D1662" s="54">
        <v>128.18530000000001</v>
      </c>
      <c r="E1662" s="54">
        <v>20325271</v>
      </c>
      <c r="F1662" s="54" t="s">
        <v>2480</v>
      </c>
      <c r="G1662" s="25">
        <f t="shared" si="24"/>
        <v>3.4075670143143277E-3</v>
      </c>
    </row>
    <row r="1663" spans="1:7">
      <c r="A1663" s="54">
        <v>126.666</v>
      </c>
      <c r="B1663" s="54">
        <v>131.3759</v>
      </c>
      <c r="C1663" s="54">
        <v>126.1057</v>
      </c>
      <c r="D1663" s="54">
        <v>130.2741</v>
      </c>
      <c r="E1663" s="54">
        <v>38515386</v>
      </c>
      <c r="F1663" s="54" t="s">
        <v>2481</v>
      </c>
      <c r="G1663" s="25">
        <f t="shared" si="24"/>
        <v>-2.7696218972151798E-2</v>
      </c>
    </row>
    <row r="1664" spans="1:7">
      <c r="A1664" s="54">
        <v>130.8347</v>
      </c>
      <c r="B1664" s="54">
        <v>132.1831</v>
      </c>
      <c r="C1664" s="54">
        <v>129.41980000000001</v>
      </c>
      <c r="D1664" s="54">
        <v>131.6703</v>
      </c>
      <c r="E1664" s="54">
        <v>18709662</v>
      </c>
      <c r="F1664" s="54" t="s">
        <v>2482</v>
      </c>
      <c r="G1664" s="25">
        <f t="shared" si="24"/>
        <v>-6.3461539922062826E-3</v>
      </c>
    </row>
    <row r="1665" spans="1:7">
      <c r="A1665" s="54">
        <v>131.7937</v>
      </c>
      <c r="B1665" s="54">
        <v>132.46180000000001</v>
      </c>
      <c r="C1665" s="54">
        <v>131.0436</v>
      </c>
      <c r="D1665" s="54">
        <v>131.5658</v>
      </c>
      <c r="E1665" s="54">
        <v>14982314</v>
      </c>
      <c r="F1665" s="54" t="s">
        <v>2483</v>
      </c>
      <c r="G1665" s="25">
        <f t="shared" si="24"/>
        <v>1.7322130827313043E-3</v>
      </c>
    </row>
    <row r="1666" spans="1:7">
      <c r="A1666" s="54">
        <v>130.3409</v>
      </c>
      <c r="B1666" s="54">
        <v>131.71780000000001</v>
      </c>
      <c r="C1666" s="54">
        <v>130.3219</v>
      </c>
      <c r="D1666" s="54">
        <v>131.24299999999999</v>
      </c>
      <c r="E1666" s="54">
        <v>21188998</v>
      </c>
      <c r="F1666" s="54" t="s">
        <v>2484</v>
      </c>
      <c r="G1666" s="25">
        <f t="shared" si="24"/>
        <v>-6.8735094443131972E-3</v>
      </c>
    </row>
    <row r="1667" spans="1:7">
      <c r="A1667" s="54">
        <v>131.43289999999999</v>
      </c>
      <c r="B1667" s="54">
        <v>131.5658</v>
      </c>
      <c r="C1667" s="54">
        <v>129.98480000000001</v>
      </c>
      <c r="D1667" s="54">
        <v>130.9059</v>
      </c>
      <c r="E1667" s="54">
        <v>24370543</v>
      </c>
      <c r="F1667" s="54" t="s">
        <v>2485</v>
      </c>
      <c r="G1667" s="25">
        <f t="shared" si="24"/>
        <v>4.0257925731383981E-3</v>
      </c>
    </row>
    <row r="1668" spans="1:7">
      <c r="A1668" s="54">
        <v>129.26779999999999</v>
      </c>
      <c r="B1668" s="54">
        <v>129.5812</v>
      </c>
      <c r="C1668" s="54">
        <v>127.9289</v>
      </c>
      <c r="D1668" s="54">
        <v>128.08080000000001</v>
      </c>
      <c r="E1668" s="54">
        <v>25026151</v>
      </c>
      <c r="F1668" s="54" t="s">
        <v>2486</v>
      </c>
      <c r="G1668" s="25">
        <f t="shared" si="24"/>
        <v>9.2675873354943761E-3</v>
      </c>
    </row>
    <row r="1669" spans="1:7">
      <c r="A1669" s="54">
        <v>126.9413</v>
      </c>
      <c r="B1669" s="54">
        <v>127.79600000000001</v>
      </c>
      <c r="C1669" s="54">
        <v>125.5834</v>
      </c>
      <c r="D1669" s="54">
        <v>127.6155</v>
      </c>
      <c r="E1669" s="54">
        <v>28125416</v>
      </c>
      <c r="F1669" s="54" t="s">
        <v>2487</v>
      </c>
      <c r="G1669" s="25">
        <f t="shared" si="24"/>
        <v>-5.2830573088692434E-3</v>
      </c>
    </row>
    <row r="1670" spans="1:7">
      <c r="A1670" s="54">
        <v>127.22620000000001</v>
      </c>
      <c r="B1670" s="54">
        <v>130.018</v>
      </c>
      <c r="C1670" s="54">
        <v>126.9318</v>
      </c>
      <c r="D1670" s="54">
        <v>129.4862</v>
      </c>
      <c r="E1670" s="54">
        <v>32527251</v>
      </c>
      <c r="F1670" s="54" t="s">
        <v>2488</v>
      </c>
      <c r="G1670" s="25">
        <f t="shared" si="24"/>
        <v>-1.7453597371766216E-2</v>
      </c>
    </row>
    <row r="1671" spans="1:7">
      <c r="A1671" s="54">
        <v>131.1765</v>
      </c>
      <c r="B1671" s="54">
        <v>131.36580000000001</v>
      </c>
      <c r="C1671" s="54">
        <v>127.7693</v>
      </c>
      <c r="D1671" s="54">
        <v>128.76310000000001</v>
      </c>
      <c r="E1671" s="54">
        <v>25496593</v>
      </c>
      <c r="F1671" s="54" t="s">
        <v>2489</v>
      </c>
      <c r="G1671" s="25">
        <f t="shared" si="24"/>
        <v>1.8742947319534853E-2</v>
      </c>
    </row>
    <row r="1672" spans="1:7">
      <c r="A1672" s="54">
        <v>128.517</v>
      </c>
      <c r="B1672" s="54">
        <v>131.36580000000001</v>
      </c>
      <c r="C1672" s="54">
        <v>127.7693</v>
      </c>
      <c r="D1672" s="54">
        <v>128.76310000000001</v>
      </c>
      <c r="E1672" s="54">
        <v>20484348</v>
      </c>
      <c r="F1672" s="54" t="s">
        <v>2490</v>
      </c>
      <c r="G1672" s="25">
        <f t="shared" si="24"/>
        <v>-1.9112618444260265E-3</v>
      </c>
    </row>
    <row r="1673" spans="1:7">
      <c r="A1673" s="54">
        <v>130.33420000000001</v>
      </c>
      <c r="B1673" s="54">
        <v>131.91470000000001</v>
      </c>
      <c r="C1673" s="54">
        <v>129.15110000000001</v>
      </c>
      <c r="D1673" s="54">
        <v>131.18600000000001</v>
      </c>
      <c r="E1673" s="54">
        <v>23466701</v>
      </c>
      <c r="F1673" s="54" t="s">
        <v>2491</v>
      </c>
      <c r="G1673" s="25">
        <f t="shared" si="24"/>
        <v>-6.4930709069564996E-3</v>
      </c>
    </row>
    <row r="1674" spans="1:7">
      <c r="A1674" s="54">
        <v>131.45099999999999</v>
      </c>
      <c r="B1674" s="54">
        <v>131.54560000000001</v>
      </c>
      <c r="C1674" s="54">
        <v>128.64949999999999</v>
      </c>
      <c r="D1674" s="54">
        <v>129.28360000000001</v>
      </c>
      <c r="E1674" s="54">
        <v>27496508</v>
      </c>
      <c r="F1674" s="54" t="s">
        <v>2492</v>
      </c>
      <c r="G1674" s="25">
        <f t="shared" si="24"/>
        <v>1.6764694052455065E-2</v>
      </c>
    </row>
    <row r="1675" spans="1:7">
      <c r="A1675" s="54">
        <v>128.0343</v>
      </c>
      <c r="B1675" s="54">
        <v>128.3845</v>
      </c>
      <c r="C1675" s="54">
        <v>124.7676</v>
      </c>
      <c r="D1675" s="54">
        <v>126.6241</v>
      </c>
      <c r="E1675" s="54">
        <v>33414539</v>
      </c>
      <c r="F1675" s="54" t="s">
        <v>2493</v>
      </c>
      <c r="G1675" s="25">
        <f t="shared" si="24"/>
        <v>1.1136900479450595E-2</v>
      </c>
    </row>
    <row r="1676" spans="1:7">
      <c r="A1676" s="54">
        <v>127.4759</v>
      </c>
      <c r="B1676" s="54">
        <v>128.41290000000001</v>
      </c>
      <c r="C1676" s="54">
        <v>126.0752</v>
      </c>
      <c r="D1676" s="54">
        <v>126.6336</v>
      </c>
      <c r="E1676" s="54">
        <v>32696651</v>
      </c>
      <c r="F1676" s="54" t="s">
        <v>2494</v>
      </c>
      <c r="G1676" s="25">
        <f t="shared" si="24"/>
        <v>6.6514732266949039E-3</v>
      </c>
    </row>
    <row r="1677" spans="1:7">
      <c r="A1677" s="54">
        <v>125.1288</v>
      </c>
      <c r="B1677" s="54">
        <v>126.7565</v>
      </c>
      <c r="C1677" s="54">
        <v>123.7754</v>
      </c>
      <c r="D1677" s="54">
        <v>126.1604</v>
      </c>
      <c r="E1677" s="54">
        <v>42749551</v>
      </c>
      <c r="F1677" s="54" t="s">
        <v>2495</v>
      </c>
      <c r="G1677" s="25">
        <f t="shared" si="24"/>
        <v>-8.1768922736452643E-3</v>
      </c>
    </row>
    <row r="1678" spans="1:7">
      <c r="A1678" s="54">
        <v>129.5676</v>
      </c>
      <c r="B1678" s="54">
        <v>130.91149999999999</v>
      </c>
      <c r="C1678" s="54">
        <v>128.0154</v>
      </c>
      <c r="D1678" s="54">
        <v>130.69380000000001</v>
      </c>
      <c r="E1678" s="54">
        <v>30791624</v>
      </c>
      <c r="F1678" s="54" t="s">
        <v>2496</v>
      </c>
      <c r="G1678" s="25">
        <f t="shared" si="24"/>
        <v>-8.6170881862798199E-3</v>
      </c>
    </row>
    <row r="1679" spans="1:7">
      <c r="A1679" s="54">
        <v>130.66540000000001</v>
      </c>
      <c r="B1679" s="54">
        <v>133.3896</v>
      </c>
      <c r="C1679" s="54">
        <v>129.596</v>
      </c>
      <c r="D1679" s="54">
        <v>129.66220000000001</v>
      </c>
      <c r="E1679" s="54">
        <v>40557502</v>
      </c>
      <c r="F1679" s="54" t="s">
        <v>2497</v>
      </c>
      <c r="G1679" s="25">
        <f t="shared" si="24"/>
        <v>7.7370274451613597E-3</v>
      </c>
    </row>
    <row r="1680" spans="1:7">
      <c r="A1680" s="54">
        <v>128.97130000000001</v>
      </c>
      <c r="B1680" s="54">
        <v>132.96530000000001</v>
      </c>
      <c r="C1680" s="54">
        <v>127.845</v>
      </c>
      <c r="D1680" s="54">
        <v>132.81389999999999</v>
      </c>
      <c r="E1680" s="54">
        <v>38598786</v>
      </c>
      <c r="F1680" s="54" t="s">
        <v>2498</v>
      </c>
      <c r="G1680" s="25">
        <f t="shared" si="24"/>
        <v>-2.8932212667499235E-2</v>
      </c>
    </row>
    <row r="1681" spans="1:7">
      <c r="A1681" s="54">
        <v>132.83279999999999</v>
      </c>
      <c r="B1681" s="54">
        <v>133.65610000000001</v>
      </c>
      <c r="C1681" s="54">
        <v>132.31270000000001</v>
      </c>
      <c r="D1681" s="54">
        <v>132.63399999999999</v>
      </c>
      <c r="E1681" s="54">
        <v>16846528</v>
      </c>
      <c r="F1681" s="54" t="s">
        <v>2499</v>
      </c>
      <c r="G1681" s="25">
        <f t="shared" si="24"/>
        <v>1.4988615287181428E-3</v>
      </c>
    </row>
    <row r="1682" spans="1:7">
      <c r="A1682" s="54">
        <v>133.47640000000001</v>
      </c>
      <c r="B1682" s="54">
        <v>133.9307</v>
      </c>
      <c r="C1682" s="54">
        <v>131.90180000000001</v>
      </c>
      <c r="D1682" s="54">
        <v>133.9212</v>
      </c>
      <c r="E1682" s="54">
        <v>16605870</v>
      </c>
      <c r="F1682" s="54" t="s">
        <v>2500</v>
      </c>
      <c r="G1682" s="25">
        <f t="shared" si="24"/>
        <v>-3.3213561407752223E-3</v>
      </c>
    </row>
    <row r="1683" spans="1:7">
      <c r="A1683" s="54">
        <v>133.7698</v>
      </c>
      <c r="B1683" s="54">
        <v>134.08680000000001</v>
      </c>
      <c r="C1683" s="54">
        <v>132.78550000000001</v>
      </c>
      <c r="D1683" s="54">
        <v>132.85169999999999</v>
      </c>
      <c r="E1683" s="54">
        <v>19037600</v>
      </c>
      <c r="F1683" s="54" t="s">
        <v>2501</v>
      </c>
      <c r="G1683" s="25">
        <f t="shared" si="24"/>
        <v>6.9107132238428459E-3</v>
      </c>
    </row>
    <row r="1684" spans="1:7">
      <c r="A1684" s="54">
        <v>132.6814</v>
      </c>
      <c r="B1684" s="54">
        <v>133.0789</v>
      </c>
      <c r="C1684" s="54">
        <v>131.85939999999999</v>
      </c>
      <c r="D1684" s="54">
        <v>132.9085</v>
      </c>
      <c r="E1684" s="54">
        <v>18356883</v>
      </c>
      <c r="F1684" s="54" t="s">
        <v>2502</v>
      </c>
      <c r="G1684" s="25">
        <f t="shared" si="24"/>
        <v>-1.7086943273003641E-3</v>
      </c>
    </row>
    <row r="1685" spans="1:7">
      <c r="A1685" s="54">
        <v>133.18299999999999</v>
      </c>
      <c r="B1685" s="54">
        <v>133.20189999999999</v>
      </c>
      <c r="C1685" s="54">
        <v>131.41309999999999</v>
      </c>
      <c r="D1685" s="54">
        <v>131.46039999999999</v>
      </c>
      <c r="E1685" s="54">
        <v>20738275</v>
      </c>
      <c r="F1685" s="54" t="s">
        <v>2503</v>
      </c>
      <c r="G1685" s="25">
        <f t="shared" si="24"/>
        <v>1.310356578863292E-2</v>
      </c>
    </row>
    <row r="1686" spans="1:7">
      <c r="A1686" s="54">
        <v>131.8296</v>
      </c>
      <c r="B1686" s="54">
        <v>132.49209999999999</v>
      </c>
      <c r="C1686" s="54">
        <v>130.637</v>
      </c>
      <c r="D1686" s="54">
        <v>132.27440000000001</v>
      </c>
      <c r="E1686" s="54">
        <v>18034589</v>
      </c>
      <c r="F1686" s="54" t="s">
        <v>2504</v>
      </c>
      <c r="G1686" s="25">
        <f t="shared" si="24"/>
        <v>-3.3627066159439556E-3</v>
      </c>
    </row>
    <row r="1687" spans="1:7">
      <c r="A1687" s="54">
        <v>131.01560000000001</v>
      </c>
      <c r="B1687" s="54">
        <v>131.73490000000001</v>
      </c>
      <c r="C1687" s="54">
        <v>129.97450000000001</v>
      </c>
      <c r="D1687" s="54">
        <v>130.05029999999999</v>
      </c>
      <c r="E1687" s="54">
        <v>25080760</v>
      </c>
      <c r="F1687" s="54" t="s">
        <v>2505</v>
      </c>
      <c r="G1687" s="25">
        <f t="shared" si="24"/>
        <v>7.4225126739424496E-3</v>
      </c>
    </row>
    <row r="1688" spans="1:7">
      <c r="A1688" s="54">
        <v>129.30260000000001</v>
      </c>
      <c r="B1688" s="54">
        <v>133.13560000000001</v>
      </c>
      <c r="C1688" s="54">
        <v>129.14169999999999</v>
      </c>
      <c r="D1688" s="54">
        <v>132.7097</v>
      </c>
      <c r="E1688" s="54">
        <v>48992364</v>
      </c>
      <c r="F1688" s="54" t="s">
        <v>2506</v>
      </c>
      <c r="G1688" s="25">
        <f t="shared" ref="G1688:G1751" si="25">A1688/D1688-1</f>
        <v>-2.5673330585480825E-2</v>
      </c>
    </row>
    <row r="1689" spans="1:7">
      <c r="A1689" s="54">
        <v>129.11330000000001</v>
      </c>
      <c r="B1689" s="54">
        <v>129.30260000000001</v>
      </c>
      <c r="C1689" s="54">
        <v>127.45699999999999</v>
      </c>
      <c r="D1689" s="54">
        <v>128.28989999999999</v>
      </c>
      <c r="E1689" s="54">
        <v>30808707</v>
      </c>
      <c r="F1689" s="54" t="s">
        <v>2507</v>
      </c>
      <c r="G1689" s="25">
        <f t="shared" si="25"/>
        <v>6.4182761074724759E-3</v>
      </c>
    </row>
    <row r="1690" spans="1:7">
      <c r="A1690" s="54">
        <v>128.97130000000001</v>
      </c>
      <c r="B1690" s="54">
        <v>130.54239999999999</v>
      </c>
      <c r="C1690" s="54">
        <v>128.92400000000001</v>
      </c>
      <c r="D1690" s="54">
        <v>130.32470000000001</v>
      </c>
      <c r="E1690" s="54">
        <v>20210956</v>
      </c>
      <c r="F1690" s="54" t="s">
        <v>2508</v>
      </c>
      <c r="G1690" s="25">
        <f t="shared" si="25"/>
        <v>-1.0384831117969173E-2</v>
      </c>
    </row>
    <row r="1691" spans="1:7">
      <c r="A1691" s="54">
        <v>129.7379</v>
      </c>
      <c r="B1691" s="54">
        <v>131.60239999999999</v>
      </c>
      <c r="C1691" s="54">
        <v>129.2079</v>
      </c>
      <c r="D1691" s="54">
        <v>131.5172</v>
      </c>
      <c r="E1691" s="54">
        <v>22726128</v>
      </c>
      <c r="F1691" s="54" t="s">
        <v>2509</v>
      </c>
      <c r="G1691" s="25">
        <f t="shared" si="25"/>
        <v>-1.3529028902683482E-2</v>
      </c>
    </row>
    <row r="1692" spans="1:7">
      <c r="A1692" s="54">
        <v>131.46039999999999</v>
      </c>
      <c r="B1692" s="54">
        <v>132.06620000000001</v>
      </c>
      <c r="C1692" s="54">
        <v>131.04400000000001</v>
      </c>
      <c r="D1692" s="54">
        <v>131.97149999999999</v>
      </c>
      <c r="E1692" s="54">
        <v>16651457</v>
      </c>
      <c r="F1692" s="54" t="s">
        <v>2510</v>
      </c>
      <c r="G1692" s="25">
        <f t="shared" si="25"/>
        <v>-3.8728058709645019E-3</v>
      </c>
    </row>
    <row r="1693" spans="1:7">
      <c r="A1693" s="54">
        <v>131.46039999999999</v>
      </c>
      <c r="B1693" s="54">
        <v>131.6781</v>
      </c>
      <c r="C1693" s="54">
        <v>130.61799999999999</v>
      </c>
      <c r="D1693" s="54">
        <v>131.41309999999999</v>
      </c>
      <c r="E1693" s="54">
        <v>18936832</v>
      </c>
      <c r="F1693" s="54" t="s">
        <v>2511</v>
      </c>
      <c r="G1693" s="25">
        <f t="shared" si="25"/>
        <v>3.5993367480102734E-4</v>
      </c>
    </row>
    <row r="1694" spans="1:7">
      <c r="A1694" s="54">
        <v>130.9872</v>
      </c>
      <c r="B1694" s="54">
        <v>131.76329999999999</v>
      </c>
      <c r="C1694" s="54">
        <v>130.48560000000001</v>
      </c>
      <c r="D1694" s="54">
        <v>130.7979</v>
      </c>
      <c r="E1694" s="54">
        <v>22327942</v>
      </c>
      <c r="F1694" s="54" t="s">
        <v>2512</v>
      </c>
      <c r="G1694" s="25">
        <f t="shared" si="25"/>
        <v>1.4472709424233621E-3</v>
      </c>
    </row>
    <row r="1695" spans="1:7">
      <c r="A1695" s="54">
        <v>130.4667</v>
      </c>
      <c r="B1695" s="54">
        <v>131.1576</v>
      </c>
      <c r="C1695" s="54">
        <v>129.68109999999999</v>
      </c>
      <c r="D1695" s="54">
        <v>129.7852</v>
      </c>
      <c r="E1695" s="54">
        <v>24204362</v>
      </c>
      <c r="F1695" s="54" t="s">
        <v>2513</v>
      </c>
      <c r="G1695" s="25">
        <f t="shared" si="25"/>
        <v>5.250983933453135E-3</v>
      </c>
    </row>
    <row r="1696" spans="1:7">
      <c r="A1696" s="54">
        <v>129.15110000000001</v>
      </c>
      <c r="B1696" s="54">
        <v>129.63380000000001</v>
      </c>
      <c r="C1696" s="54">
        <v>128.5265</v>
      </c>
      <c r="D1696" s="54">
        <v>128.7158</v>
      </c>
      <c r="E1696" s="54">
        <v>19953097</v>
      </c>
      <c r="F1696" s="54" t="s">
        <v>2514</v>
      </c>
      <c r="G1696" s="25">
        <f t="shared" si="25"/>
        <v>3.3818692033147357E-3</v>
      </c>
    </row>
    <row r="1697" spans="1:7">
      <c r="A1697" s="54">
        <v>129.62440000000001</v>
      </c>
      <c r="B1697" s="54">
        <v>129.7569</v>
      </c>
      <c r="C1697" s="54">
        <v>128.11959999999999</v>
      </c>
      <c r="D1697" s="54">
        <v>129.0943</v>
      </c>
      <c r="E1697" s="54">
        <v>16779748</v>
      </c>
      <c r="F1697" s="54" t="s">
        <v>2515</v>
      </c>
      <c r="G1697" s="25">
        <f t="shared" si="25"/>
        <v>4.1063005880197512E-3</v>
      </c>
    </row>
    <row r="1698" spans="1:7">
      <c r="A1698" s="54">
        <v>129.71899999999999</v>
      </c>
      <c r="B1698" s="54">
        <v>129.97450000000001</v>
      </c>
      <c r="C1698" s="54">
        <v>128.45079999999999</v>
      </c>
      <c r="D1698" s="54">
        <v>128.65899999999999</v>
      </c>
      <c r="E1698" s="54">
        <v>18141140</v>
      </c>
      <c r="F1698" s="54" t="s">
        <v>2516</v>
      </c>
      <c r="G1698" s="25">
        <f t="shared" si="25"/>
        <v>8.2388328838247649E-3</v>
      </c>
    </row>
    <row r="1699" spans="1:7">
      <c r="A1699" s="54">
        <v>130.0976</v>
      </c>
      <c r="B1699" s="54">
        <v>130.36259999999999</v>
      </c>
      <c r="C1699" s="54">
        <v>128.995</v>
      </c>
      <c r="D1699" s="54">
        <v>129.47290000000001</v>
      </c>
      <c r="E1699" s="54">
        <v>13629296</v>
      </c>
      <c r="F1699" s="54" t="s">
        <v>2517</v>
      </c>
      <c r="G1699" s="25">
        <f t="shared" si="25"/>
        <v>4.824947923464995E-3</v>
      </c>
    </row>
    <row r="1700" spans="1:7">
      <c r="A1700" s="54">
        <v>129.2647</v>
      </c>
      <c r="B1700" s="54">
        <v>129.27420000000001</v>
      </c>
      <c r="C1700" s="54">
        <v>128.09110000000001</v>
      </c>
      <c r="D1700" s="54">
        <v>128.82929999999999</v>
      </c>
      <c r="E1700" s="54">
        <v>15237843</v>
      </c>
      <c r="F1700" s="54" t="s">
        <v>2518</v>
      </c>
      <c r="G1700" s="25">
        <f t="shared" si="25"/>
        <v>3.3796659610818569E-3</v>
      </c>
    </row>
    <row r="1701" spans="1:7">
      <c r="A1701" s="54">
        <v>128.41290000000001</v>
      </c>
      <c r="B1701" s="54">
        <v>129.3783</v>
      </c>
      <c r="C1701" s="54">
        <v>127.7409</v>
      </c>
      <c r="D1701" s="54">
        <v>129.31200000000001</v>
      </c>
      <c r="E1701" s="54">
        <v>22654160</v>
      </c>
      <c r="F1701" s="54" t="s">
        <v>2519</v>
      </c>
      <c r="G1701" s="25">
        <f t="shared" si="25"/>
        <v>-6.9529510022272589E-3</v>
      </c>
    </row>
    <row r="1702" spans="1:7">
      <c r="A1702" s="54">
        <v>126.785</v>
      </c>
      <c r="B1702" s="54">
        <v>127.3908</v>
      </c>
      <c r="C1702" s="54">
        <v>126.0239</v>
      </c>
      <c r="D1702" s="54">
        <v>127.36239999999999</v>
      </c>
      <c r="E1702" s="54">
        <v>30042969</v>
      </c>
      <c r="F1702" s="54" t="s">
        <v>2520</v>
      </c>
      <c r="G1702" s="25">
        <f t="shared" si="25"/>
        <v>-4.5335200969830458E-3</v>
      </c>
    </row>
    <row r="1703" spans="1:7">
      <c r="A1703" s="54">
        <v>126.9649</v>
      </c>
      <c r="B1703" s="54">
        <v>127.4949</v>
      </c>
      <c r="C1703" s="54">
        <v>126.3591</v>
      </c>
      <c r="D1703" s="54">
        <v>126.9554</v>
      </c>
      <c r="E1703" s="54">
        <v>16557482</v>
      </c>
      <c r="F1703" s="54" t="s">
        <v>2521</v>
      </c>
      <c r="G1703" s="25">
        <f t="shared" si="25"/>
        <v>7.4829428287515043E-5</v>
      </c>
    </row>
    <row r="1704" spans="1:7">
      <c r="A1704" s="54">
        <v>126.75660000000001</v>
      </c>
      <c r="B1704" s="54">
        <v>128.46969999999999</v>
      </c>
      <c r="C1704" s="54">
        <v>126.4443</v>
      </c>
      <c r="D1704" s="54">
        <v>127.1541</v>
      </c>
      <c r="E1704" s="54">
        <v>23657745</v>
      </c>
      <c r="F1704" s="54" t="s">
        <v>2522</v>
      </c>
      <c r="G1704" s="25">
        <f t="shared" si="25"/>
        <v>-3.1261280603613883E-3</v>
      </c>
    </row>
    <row r="1705" spans="1:7">
      <c r="A1705" s="54">
        <v>126.2834</v>
      </c>
      <c r="B1705" s="54">
        <v>130.22059999999999</v>
      </c>
      <c r="C1705" s="54">
        <v>125.62090000000001</v>
      </c>
      <c r="D1705" s="54">
        <v>129.89879999999999</v>
      </c>
      <c r="E1705" s="54">
        <v>33327420</v>
      </c>
      <c r="F1705" s="54" t="s">
        <v>2523</v>
      </c>
      <c r="G1705" s="25">
        <f t="shared" si="25"/>
        <v>-2.7832435711492298E-2</v>
      </c>
    </row>
    <row r="1706" spans="1:7">
      <c r="A1706" s="54">
        <v>130.40039999999999</v>
      </c>
      <c r="B1706" s="54">
        <v>130.9872</v>
      </c>
      <c r="C1706" s="54">
        <v>129.66220000000001</v>
      </c>
      <c r="D1706" s="54">
        <v>129.66220000000001</v>
      </c>
      <c r="E1706" s="54">
        <v>20628841</v>
      </c>
      <c r="F1706" s="54" t="s">
        <v>2524</v>
      </c>
      <c r="G1706" s="25">
        <f t="shared" si="25"/>
        <v>5.6932552432396033E-3</v>
      </c>
    </row>
    <row r="1707" spans="1:7">
      <c r="A1707" s="54">
        <v>129.63380000000001</v>
      </c>
      <c r="B1707" s="54">
        <v>130.35310000000001</v>
      </c>
      <c r="C1707" s="54">
        <v>129.15110000000001</v>
      </c>
      <c r="D1707" s="54">
        <v>129.2647</v>
      </c>
      <c r="E1707" s="54">
        <v>36727892</v>
      </c>
      <c r="F1707" s="54" t="s">
        <v>2525</v>
      </c>
      <c r="G1707" s="25">
        <f t="shared" si="25"/>
        <v>2.855381244841082E-3</v>
      </c>
    </row>
    <row r="1708" spans="1:7">
      <c r="A1708" s="54">
        <v>129.61490000000001</v>
      </c>
      <c r="B1708" s="54">
        <v>130.2869</v>
      </c>
      <c r="C1708" s="54">
        <v>128.45079999999999</v>
      </c>
      <c r="D1708" s="54">
        <v>130.0881</v>
      </c>
      <c r="E1708" s="54">
        <v>33042592</v>
      </c>
      <c r="F1708" s="54" t="s">
        <v>2526</v>
      </c>
      <c r="G1708" s="25">
        <f t="shared" si="25"/>
        <v>-3.6375348705991462E-3</v>
      </c>
    </row>
    <row r="1709" spans="1:7">
      <c r="A1709" s="54">
        <v>128.42240000000001</v>
      </c>
      <c r="B1709" s="54">
        <v>128.64949999999999</v>
      </c>
      <c r="C1709" s="54">
        <v>126.6431</v>
      </c>
      <c r="D1709" s="54">
        <v>127.7693</v>
      </c>
      <c r="E1709" s="54">
        <v>23744441</v>
      </c>
      <c r="F1709" s="54" t="s">
        <v>2527</v>
      </c>
      <c r="G1709" s="25">
        <f t="shared" si="25"/>
        <v>5.1115565319681533E-3</v>
      </c>
    </row>
    <row r="1710" spans="1:7">
      <c r="A1710" s="54">
        <v>127.9208</v>
      </c>
      <c r="B1710" s="54">
        <v>127.9965</v>
      </c>
      <c r="C1710" s="54">
        <v>126.41589999999999</v>
      </c>
      <c r="D1710" s="54">
        <v>127.0027</v>
      </c>
      <c r="E1710" s="54">
        <v>25934458</v>
      </c>
      <c r="F1710" s="54" t="s">
        <v>2528</v>
      </c>
      <c r="G1710" s="25">
        <f t="shared" si="25"/>
        <v>7.2289801712877022E-3</v>
      </c>
    </row>
    <row r="1711" spans="1:7">
      <c r="A1711" s="54">
        <v>125.7345</v>
      </c>
      <c r="B1711" s="54">
        <v>126.56740000000001</v>
      </c>
      <c r="C1711" s="54">
        <v>125.4316</v>
      </c>
      <c r="D1711" s="54">
        <v>125.52630000000001</v>
      </c>
      <c r="E1711" s="54">
        <v>14517785</v>
      </c>
      <c r="F1711" s="54" t="s">
        <v>2529</v>
      </c>
      <c r="G1711" s="25">
        <f t="shared" si="25"/>
        <v>1.6586165608321046E-3</v>
      </c>
    </row>
    <row r="1712" spans="1:7">
      <c r="A1712" s="54">
        <v>125.35590000000001</v>
      </c>
      <c r="B1712" s="54">
        <v>126.6241</v>
      </c>
      <c r="C1712" s="54">
        <v>124.58929999999999</v>
      </c>
      <c r="D1712" s="54">
        <v>125.17610000000001</v>
      </c>
      <c r="E1712" s="54">
        <v>17821703</v>
      </c>
      <c r="F1712" s="54" t="s">
        <v>2530</v>
      </c>
      <c r="G1712" s="25">
        <f t="shared" si="25"/>
        <v>1.4363764328813033E-3</v>
      </c>
    </row>
    <row r="1713" spans="1:7">
      <c r="A1713" s="54">
        <v>125.2329</v>
      </c>
      <c r="B1713" s="54">
        <v>125.5641</v>
      </c>
      <c r="C1713" s="54">
        <v>124.5136</v>
      </c>
      <c r="D1713" s="54">
        <v>124.9111</v>
      </c>
      <c r="E1713" s="54">
        <v>17200848</v>
      </c>
      <c r="F1713" s="54" t="s">
        <v>2531</v>
      </c>
      <c r="G1713" s="25">
        <f t="shared" si="25"/>
        <v>2.5762322163522811E-3</v>
      </c>
    </row>
    <row r="1714" spans="1:7">
      <c r="A1714" s="54">
        <v>124.4473</v>
      </c>
      <c r="B1714" s="54">
        <v>124.9016</v>
      </c>
      <c r="C1714" s="54">
        <v>123.70910000000001</v>
      </c>
      <c r="D1714" s="54">
        <v>124.3621</v>
      </c>
      <c r="E1714" s="54">
        <v>17092464</v>
      </c>
      <c r="F1714" s="54" t="s">
        <v>2532</v>
      </c>
      <c r="G1714" s="25">
        <f t="shared" si="25"/>
        <v>6.8509618284018359E-4</v>
      </c>
    </row>
    <row r="1715" spans="1:7">
      <c r="A1715" s="54">
        <v>125.0247</v>
      </c>
      <c r="B1715" s="54">
        <v>127.05</v>
      </c>
      <c r="C1715" s="54">
        <v>124.2445</v>
      </c>
      <c r="D1715" s="54">
        <v>126.7093</v>
      </c>
      <c r="E1715" s="54">
        <v>23913731</v>
      </c>
      <c r="F1715" s="54" t="s">
        <v>2533</v>
      </c>
      <c r="G1715" s="25">
        <f t="shared" si="25"/>
        <v>-1.3294998867486418E-2</v>
      </c>
    </row>
    <row r="1716" spans="1:7">
      <c r="A1716" s="54">
        <v>125.4979</v>
      </c>
      <c r="B1716" s="54">
        <v>126.8986</v>
      </c>
      <c r="C1716" s="54">
        <v>124.93</v>
      </c>
      <c r="D1716" s="54">
        <v>125.3086</v>
      </c>
      <c r="E1716" s="54">
        <v>26477098</v>
      </c>
      <c r="F1716" s="54" t="s">
        <v>2534</v>
      </c>
      <c r="G1716" s="25">
        <f t="shared" si="25"/>
        <v>1.5106704567764417E-3</v>
      </c>
    </row>
    <row r="1717" spans="1:7">
      <c r="A1717" s="54">
        <v>124.3621</v>
      </c>
      <c r="B1717" s="54">
        <v>125.1666</v>
      </c>
      <c r="C1717" s="54">
        <v>121.3903</v>
      </c>
      <c r="D1717" s="54">
        <v>122.2705</v>
      </c>
      <c r="E1717" s="54">
        <v>33885588</v>
      </c>
      <c r="F1717" s="54" t="s">
        <v>2535</v>
      </c>
      <c r="G1717" s="25">
        <f t="shared" si="25"/>
        <v>1.7106333907197513E-2</v>
      </c>
    </row>
    <row r="1718" spans="1:7">
      <c r="A1718" s="54">
        <v>120.9739</v>
      </c>
      <c r="B1718" s="54">
        <v>121.1159</v>
      </c>
      <c r="C1718" s="54">
        <v>118.8728</v>
      </c>
      <c r="D1718" s="54">
        <v>119.6678</v>
      </c>
      <c r="E1718" s="54">
        <v>21458961</v>
      </c>
      <c r="F1718" s="54" t="s">
        <v>2536</v>
      </c>
      <c r="G1718" s="25">
        <f t="shared" si="25"/>
        <v>1.0914381312266075E-2</v>
      </c>
    </row>
    <row r="1719" spans="1:7">
      <c r="A1719" s="54">
        <v>119.09050000000001</v>
      </c>
      <c r="B1719" s="54">
        <v>119.1283</v>
      </c>
      <c r="C1719" s="54">
        <v>117.55719999999999</v>
      </c>
      <c r="D1719" s="54">
        <v>118.2576</v>
      </c>
      <c r="E1719" s="54">
        <v>24926140</v>
      </c>
      <c r="F1719" s="54" t="s">
        <v>2537</v>
      </c>
      <c r="G1719" s="25">
        <f t="shared" si="25"/>
        <v>7.0430991327408154E-3</v>
      </c>
    </row>
    <row r="1720" spans="1:7">
      <c r="A1720" s="54">
        <v>116.5635</v>
      </c>
      <c r="B1720" s="54">
        <v>116.6771</v>
      </c>
      <c r="C1720" s="54">
        <v>114.19</v>
      </c>
      <c r="D1720" s="54">
        <v>114.7842</v>
      </c>
      <c r="E1720" s="54">
        <v>29382642</v>
      </c>
      <c r="F1720" s="54" t="s">
        <v>2538</v>
      </c>
      <c r="G1720" s="25">
        <f t="shared" si="25"/>
        <v>1.5501262368862623E-2</v>
      </c>
    </row>
    <row r="1721" spans="1:7">
      <c r="A1721" s="54">
        <v>113.4213</v>
      </c>
      <c r="B1721" s="54">
        <v>117.70869999999999</v>
      </c>
      <c r="C1721" s="54">
        <v>112.6358</v>
      </c>
      <c r="D1721" s="54">
        <v>117.2165</v>
      </c>
      <c r="E1721" s="54">
        <v>37983637</v>
      </c>
      <c r="F1721" s="54" t="s">
        <v>2539</v>
      </c>
      <c r="G1721" s="25">
        <f t="shared" si="25"/>
        <v>-3.2377694266592094E-2</v>
      </c>
    </row>
    <row r="1722" spans="1:7">
      <c r="A1722" s="54">
        <v>117.0556</v>
      </c>
      <c r="B1722" s="54">
        <v>117.9406</v>
      </c>
      <c r="C1722" s="54">
        <v>116.7149</v>
      </c>
      <c r="D1722" s="54">
        <v>117.5762</v>
      </c>
      <c r="E1722" s="54">
        <v>26646769</v>
      </c>
      <c r="F1722" s="54" t="s">
        <v>2540</v>
      </c>
      <c r="G1722" s="25">
        <f t="shared" si="25"/>
        <v>-4.4277668439701712E-3</v>
      </c>
    </row>
    <row r="1723" spans="1:7">
      <c r="A1723" s="54">
        <v>118.9958</v>
      </c>
      <c r="B1723" s="54">
        <v>119.02419999999999</v>
      </c>
      <c r="C1723" s="54">
        <v>118.0967</v>
      </c>
      <c r="D1723" s="54">
        <v>118.551</v>
      </c>
      <c r="E1723" s="54">
        <v>16829613</v>
      </c>
      <c r="F1723" s="54" t="s">
        <v>2541</v>
      </c>
      <c r="G1723" s="25">
        <f t="shared" si="25"/>
        <v>3.7519717252489926E-3</v>
      </c>
    </row>
    <row r="1724" spans="1:7">
      <c r="A1724" s="54">
        <v>118.2482</v>
      </c>
      <c r="B1724" s="54">
        <v>118.67400000000001</v>
      </c>
      <c r="C1724" s="54">
        <v>117.3964</v>
      </c>
      <c r="D1724" s="54">
        <v>118.66459999999999</v>
      </c>
      <c r="E1724" s="54">
        <v>22763140</v>
      </c>
      <c r="F1724" s="54" t="s">
        <v>2542</v>
      </c>
      <c r="G1724" s="25">
        <f t="shared" si="25"/>
        <v>-3.509049876711301E-3</v>
      </c>
    </row>
    <row r="1725" spans="1:7">
      <c r="A1725" s="54">
        <v>119.4028</v>
      </c>
      <c r="B1725" s="54">
        <v>121.1443</v>
      </c>
      <c r="C1725" s="54">
        <v>119.2987</v>
      </c>
      <c r="D1725" s="54">
        <v>120.1789</v>
      </c>
      <c r="E1725" s="54">
        <v>23128359</v>
      </c>
      <c r="F1725" s="54" t="s">
        <v>2543</v>
      </c>
      <c r="G1725" s="25">
        <f t="shared" si="25"/>
        <v>-6.4578723885806433E-3</v>
      </c>
    </row>
    <row r="1726" spans="1:7">
      <c r="A1726" s="54">
        <v>119.4785</v>
      </c>
      <c r="B1726" s="54">
        <v>120.59059999999999</v>
      </c>
      <c r="C1726" s="54">
        <v>119.223</v>
      </c>
      <c r="D1726" s="54">
        <v>120.1126</v>
      </c>
      <c r="E1726" s="54">
        <v>14123358</v>
      </c>
      <c r="F1726" s="54" t="s">
        <v>2544</v>
      </c>
      <c r="G1726" s="25">
        <f t="shared" si="25"/>
        <v>-5.2792130051302344E-3</v>
      </c>
    </row>
    <row r="1727" spans="1:7">
      <c r="A1727" s="54">
        <v>119.4217</v>
      </c>
      <c r="B1727" s="54">
        <v>119.5258</v>
      </c>
      <c r="C1727" s="54">
        <v>118.05889999999999</v>
      </c>
      <c r="D1727" s="54">
        <v>119.44070000000001</v>
      </c>
      <c r="E1727" s="54">
        <v>23603810</v>
      </c>
      <c r="F1727" s="54" t="s">
        <v>2545</v>
      </c>
      <c r="G1727" s="25">
        <f t="shared" si="25"/>
        <v>-1.5907475425047668E-4</v>
      </c>
    </row>
    <row r="1728" spans="1:7">
      <c r="A1728" s="54">
        <v>120.8319</v>
      </c>
      <c r="B1728" s="54">
        <v>121.37139999999999</v>
      </c>
      <c r="C1728" s="54">
        <v>119.7435</v>
      </c>
      <c r="D1728" s="54">
        <v>119.8382</v>
      </c>
      <c r="E1728" s="54">
        <v>15396485</v>
      </c>
      <c r="F1728" s="54" t="s">
        <v>2546</v>
      </c>
      <c r="G1728" s="25">
        <f t="shared" si="25"/>
        <v>8.2920137318485132E-3</v>
      </c>
    </row>
    <row r="1729" spans="1:7">
      <c r="A1729" s="54">
        <v>120.1032</v>
      </c>
      <c r="B1729" s="54">
        <v>120.6969</v>
      </c>
      <c r="C1729" s="54">
        <v>119.80029999999999</v>
      </c>
      <c r="D1729" s="54">
        <v>120.6048</v>
      </c>
      <c r="E1729" s="54">
        <v>15293260</v>
      </c>
      <c r="F1729" s="54" t="s">
        <v>2547</v>
      </c>
      <c r="G1729" s="25">
        <f t="shared" si="25"/>
        <v>-4.1590384462310004E-3</v>
      </c>
    </row>
    <row r="1730" spans="1:7">
      <c r="A1730" s="54">
        <v>119.45959999999999</v>
      </c>
      <c r="B1730" s="54">
        <v>120.7556</v>
      </c>
      <c r="C1730" s="54">
        <v>119.0249</v>
      </c>
      <c r="D1730" s="54">
        <v>119.7435</v>
      </c>
      <c r="E1730" s="54">
        <v>23706934</v>
      </c>
      <c r="F1730" s="54" t="s">
        <v>2548</v>
      </c>
      <c r="G1730" s="25">
        <f t="shared" si="25"/>
        <v>-2.3709011345083297E-3</v>
      </c>
    </row>
    <row r="1731" spans="1:7">
      <c r="A1731" s="54">
        <v>121.2105</v>
      </c>
      <c r="B1731" s="54">
        <v>123.4725</v>
      </c>
      <c r="C1731" s="54">
        <v>121.0685</v>
      </c>
      <c r="D1731" s="54">
        <v>121.4329</v>
      </c>
      <c r="E1731" s="54">
        <v>25770539</v>
      </c>
      <c r="F1731" s="54" t="s">
        <v>2549</v>
      </c>
      <c r="G1731" s="25">
        <f t="shared" si="25"/>
        <v>-1.8314641254553177E-3</v>
      </c>
    </row>
    <row r="1732" spans="1:7">
      <c r="A1732" s="54">
        <v>122.0244</v>
      </c>
      <c r="B1732" s="54">
        <v>122.4503</v>
      </c>
      <c r="C1732" s="54">
        <v>119.6867</v>
      </c>
      <c r="D1732" s="54">
        <v>119.96120000000001</v>
      </c>
      <c r="E1732" s="54">
        <v>30112216</v>
      </c>
      <c r="F1732" s="54" t="s">
        <v>2550</v>
      </c>
      <c r="G1732" s="25">
        <f t="shared" si="25"/>
        <v>1.7198894309159884E-2</v>
      </c>
    </row>
    <row r="1733" spans="1:7">
      <c r="A1733" s="54">
        <v>119.27030000000001</v>
      </c>
      <c r="B1733" s="54">
        <v>119.9233</v>
      </c>
      <c r="C1733" s="54">
        <v>117.0746</v>
      </c>
      <c r="D1733" s="54">
        <v>117.6046</v>
      </c>
      <c r="E1733" s="54">
        <v>24722708</v>
      </c>
      <c r="F1733" s="54" t="s">
        <v>2551</v>
      </c>
      <c r="G1733" s="25">
        <f t="shared" si="25"/>
        <v>1.416356162939203E-2</v>
      </c>
    </row>
    <row r="1734" spans="1:7">
      <c r="A1734" s="54">
        <v>117.614</v>
      </c>
      <c r="B1734" s="54">
        <v>118.69840000000001</v>
      </c>
      <c r="C1734" s="54">
        <v>116.64279999999999</v>
      </c>
      <c r="D1734" s="54">
        <v>116.8031</v>
      </c>
      <c r="E1734" s="54">
        <v>25266315</v>
      </c>
      <c r="F1734" s="54" t="s">
        <v>2552</v>
      </c>
      <c r="G1734" s="25">
        <f t="shared" si="25"/>
        <v>6.9424527259978053E-3</v>
      </c>
    </row>
    <row r="1735" spans="1:7">
      <c r="A1735" s="54">
        <v>116.3128</v>
      </c>
      <c r="B1735" s="54">
        <v>118.3873</v>
      </c>
      <c r="C1735" s="54">
        <v>116.0205</v>
      </c>
      <c r="D1735" s="54">
        <v>117.0294</v>
      </c>
      <c r="E1735" s="54">
        <v>33944923</v>
      </c>
      <c r="F1735" s="54" t="s">
        <v>2553</v>
      </c>
      <c r="G1735" s="25">
        <f t="shared" si="25"/>
        <v>-6.1232476625531218E-3</v>
      </c>
    </row>
    <row r="1736" spans="1:7">
      <c r="A1736" s="54">
        <v>119.8771</v>
      </c>
      <c r="B1736" s="54">
        <v>120.6315</v>
      </c>
      <c r="C1736" s="54">
        <v>116.756</v>
      </c>
      <c r="D1736" s="54">
        <v>117.7838</v>
      </c>
      <c r="E1736" s="54">
        <v>30915084</v>
      </c>
      <c r="F1736" s="54" t="s">
        <v>2554</v>
      </c>
      <c r="G1736" s="25">
        <f t="shared" si="25"/>
        <v>1.7772393147444721E-2</v>
      </c>
    </row>
    <row r="1737" spans="1:7">
      <c r="A1737" s="54">
        <v>118.34010000000001</v>
      </c>
      <c r="B1737" s="54">
        <v>118.61360000000001</v>
      </c>
      <c r="C1737" s="54">
        <v>116.5202</v>
      </c>
      <c r="D1737" s="54">
        <v>117.1991</v>
      </c>
      <c r="E1737" s="54">
        <v>27235835</v>
      </c>
      <c r="F1737" s="54" t="s">
        <v>2555</v>
      </c>
      <c r="G1737" s="25">
        <f t="shared" si="25"/>
        <v>9.7355696417464888E-3</v>
      </c>
    </row>
    <row r="1738" spans="1:7">
      <c r="A1738" s="54">
        <v>118.34950000000001</v>
      </c>
      <c r="B1738" s="54">
        <v>119.1605</v>
      </c>
      <c r="C1738" s="54">
        <v>117.63290000000001</v>
      </c>
      <c r="D1738" s="54">
        <v>118.2835</v>
      </c>
      <c r="E1738" s="54">
        <v>28418996</v>
      </c>
      <c r="F1738" s="54" t="s">
        <v>2556</v>
      </c>
      <c r="G1738" s="25">
        <f t="shared" si="25"/>
        <v>5.5798145979779612E-4</v>
      </c>
    </row>
    <row r="1739" spans="1:7">
      <c r="A1739" s="54">
        <v>118.35899999999999</v>
      </c>
      <c r="B1739" s="54">
        <v>119.9243</v>
      </c>
      <c r="C1739" s="54">
        <v>117.1331</v>
      </c>
      <c r="D1739" s="54">
        <v>119.2453</v>
      </c>
      <c r="E1739" s="54">
        <v>36017661</v>
      </c>
      <c r="F1739" s="54" t="s">
        <v>2557</v>
      </c>
      <c r="G1739" s="25">
        <f t="shared" si="25"/>
        <v>-7.4325780554873599E-3</v>
      </c>
    </row>
    <row r="1740" spans="1:7">
      <c r="A1740" s="54">
        <v>120.8389</v>
      </c>
      <c r="B1740" s="54">
        <v>121.2255</v>
      </c>
      <c r="C1740" s="54">
        <v>118.9153</v>
      </c>
      <c r="D1740" s="54">
        <v>119.1793</v>
      </c>
      <c r="E1740" s="54">
        <v>24239464</v>
      </c>
      <c r="F1740" s="54" t="s">
        <v>2558</v>
      </c>
      <c r="G1740" s="25">
        <f t="shared" si="25"/>
        <v>1.3925237016831016E-2</v>
      </c>
    </row>
    <row r="1741" spans="1:7">
      <c r="A1741" s="54">
        <v>121.5461</v>
      </c>
      <c r="B1741" s="54">
        <v>122.0459</v>
      </c>
      <c r="C1741" s="54">
        <v>119.9903</v>
      </c>
      <c r="D1741" s="54">
        <v>120.09399999999999</v>
      </c>
      <c r="E1741" s="54">
        <v>24911126</v>
      </c>
      <c r="F1741" s="54" t="s">
        <v>2559</v>
      </c>
      <c r="G1741" s="25">
        <f t="shared" si="25"/>
        <v>1.2091361766616071E-2</v>
      </c>
    </row>
    <row r="1742" spans="1:7">
      <c r="A1742" s="54">
        <v>119.00960000000001</v>
      </c>
      <c r="B1742" s="54">
        <v>120.69750000000001</v>
      </c>
      <c r="C1742" s="54">
        <v>118.35899999999999</v>
      </c>
      <c r="D1742" s="54">
        <v>120.6786</v>
      </c>
      <c r="E1742" s="54">
        <v>27350161</v>
      </c>
      <c r="F1742" s="54" t="s">
        <v>2560</v>
      </c>
      <c r="G1742" s="25">
        <f t="shared" si="25"/>
        <v>-1.3830123982213838E-2</v>
      </c>
    </row>
    <row r="1743" spans="1:7">
      <c r="A1743" s="54">
        <v>120.5843</v>
      </c>
      <c r="B1743" s="54">
        <v>123.19629999999999</v>
      </c>
      <c r="C1743" s="54">
        <v>120.41459999999999</v>
      </c>
      <c r="D1743" s="54">
        <v>123.0831</v>
      </c>
      <c r="E1743" s="54">
        <v>26821692</v>
      </c>
      <c r="F1743" s="54" t="s">
        <v>2561</v>
      </c>
      <c r="G1743" s="25">
        <f t="shared" si="25"/>
        <v>-2.0301731106870058E-2</v>
      </c>
    </row>
    <row r="1744" spans="1:7">
      <c r="A1744" s="54">
        <v>123.1491</v>
      </c>
      <c r="B1744" s="54">
        <v>123.24339999999999</v>
      </c>
      <c r="C1744" s="54">
        <v>122.01260000000001</v>
      </c>
      <c r="D1744" s="54">
        <v>122.4042</v>
      </c>
      <c r="E1744" s="54">
        <v>24166503</v>
      </c>
      <c r="F1744" s="54" t="s">
        <v>2562</v>
      </c>
      <c r="G1744" s="25">
        <f t="shared" si="25"/>
        <v>6.0855754949584728E-3</v>
      </c>
    </row>
    <row r="1745" spans="1:7">
      <c r="A1745" s="54">
        <v>122.3665</v>
      </c>
      <c r="B1745" s="54">
        <v>122.7531</v>
      </c>
      <c r="C1745" s="54">
        <v>121.9705</v>
      </c>
      <c r="D1745" s="54">
        <v>122.48909999999999</v>
      </c>
      <c r="E1745" s="54">
        <v>16324183</v>
      </c>
      <c r="F1745" s="54" t="s">
        <v>2563</v>
      </c>
      <c r="G1745" s="25">
        <f t="shared" si="25"/>
        <v>-1.0009053866832929E-3</v>
      </c>
    </row>
    <row r="1746" spans="1:7">
      <c r="A1746" s="54">
        <v>122.47969999999999</v>
      </c>
      <c r="B1746" s="54">
        <v>123.0692</v>
      </c>
      <c r="C1746" s="54">
        <v>121.6593</v>
      </c>
      <c r="D1746" s="54">
        <v>122.3005</v>
      </c>
      <c r="E1746" s="54">
        <v>23654933</v>
      </c>
      <c r="F1746" s="54" t="s">
        <v>2564</v>
      </c>
      <c r="G1746" s="25">
        <f t="shared" si="25"/>
        <v>1.465243396388427E-3</v>
      </c>
    </row>
    <row r="1747" spans="1:7">
      <c r="A1747" s="54">
        <v>121.78189999999999</v>
      </c>
      <c r="B1747" s="54">
        <v>123.87520000000001</v>
      </c>
      <c r="C1747" s="54">
        <v>121.48009999999999</v>
      </c>
      <c r="D1747" s="54">
        <v>122.64</v>
      </c>
      <c r="E1747" s="54">
        <v>38033892</v>
      </c>
      <c r="F1747" s="54" t="s">
        <v>2565</v>
      </c>
      <c r="G1747" s="25">
        <f t="shared" si="25"/>
        <v>-6.9969015003261692E-3</v>
      </c>
    </row>
    <row r="1748" spans="1:7">
      <c r="A1748" s="54">
        <v>117.8781</v>
      </c>
      <c r="B1748" s="54">
        <v>118.67010000000001</v>
      </c>
      <c r="C1748" s="54">
        <v>117.416</v>
      </c>
      <c r="D1748" s="54">
        <v>118.61360000000001</v>
      </c>
      <c r="E1748" s="54">
        <v>31256980</v>
      </c>
      <c r="F1748" s="54" t="s">
        <v>2566</v>
      </c>
      <c r="G1748" s="25">
        <f t="shared" si="25"/>
        <v>-6.2008066528627115E-3</v>
      </c>
    </row>
    <row r="1749" spans="1:7">
      <c r="A1749" s="54">
        <v>118.2835</v>
      </c>
      <c r="B1749" s="54">
        <v>118.41549999999999</v>
      </c>
      <c r="C1749" s="54">
        <v>116.7654</v>
      </c>
      <c r="D1749" s="54">
        <v>117.02</v>
      </c>
      <c r="E1749" s="54">
        <v>24025521</v>
      </c>
      <c r="F1749" s="54" t="s">
        <v>2567</v>
      </c>
      <c r="G1749" s="25">
        <f t="shared" si="25"/>
        <v>1.0797299606904787E-2</v>
      </c>
    </row>
    <row r="1750" spans="1:7">
      <c r="A1750" s="54">
        <v>116.6994</v>
      </c>
      <c r="B1750" s="54">
        <v>116.92570000000001</v>
      </c>
      <c r="C1750" s="54">
        <v>115.57729999999999</v>
      </c>
      <c r="D1750" s="54">
        <v>115.62439999999999</v>
      </c>
      <c r="E1750" s="54">
        <v>15648724</v>
      </c>
      <c r="F1750" s="54" t="s">
        <v>2568</v>
      </c>
      <c r="G1750" s="25">
        <f t="shared" si="25"/>
        <v>9.2973455429823382E-3</v>
      </c>
    </row>
    <row r="1751" spans="1:7">
      <c r="A1751" s="54">
        <v>116.33159999999999</v>
      </c>
      <c r="B1751" s="54">
        <v>116.4731</v>
      </c>
      <c r="C1751" s="54">
        <v>114.3814</v>
      </c>
      <c r="D1751" s="54">
        <v>115.2189</v>
      </c>
      <c r="E1751" s="54">
        <v>27990998</v>
      </c>
      <c r="F1751" s="54" t="s">
        <v>2569</v>
      </c>
      <c r="G1751" s="25">
        <f t="shared" si="25"/>
        <v>9.6572697708448008E-3</v>
      </c>
    </row>
    <row r="1752" spans="1:7">
      <c r="A1752" s="54">
        <v>114.8229</v>
      </c>
      <c r="B1752" s="54">
        <v>114.89830000000001</v>
      </c>
      <c r="C1752" s="54">
        <v>113.6631</v>
      </c>
      <c r="D1752" s="54">
        <v>114.3231</v>
      </c>
      <c r="E1752" s="54">
        <v>19300938</v>
      </c>
      <c r="F1752" s="54" t="s">
        <v>2570</v>
      </c>
      <c r="G1752" s="25">
        <f t="shared" ref="G1752:G1815" si="26">A1752/D1752-1</f>
        <v>4.3718198684254972E-3</v>
      </c>
    </row>
    <row r="1753" spans="1:7">
      <c r="A1753" s="54">
        <v>113.88</v>
      </c>
      <c r="B1753" s="54">
        <v>114.7098</v>
      </c>
      <c r="C1753" s="54">
        <v>113.2482</v>
      </c>
      <c r="D1753" s="54">
        <v>114.7003</v>
      </c>
      <c r="E1753" s="54">
        <v>14071787</v>
      </c>
      <c r="F1753" s="54" t="s">
        <v>2571</v>
      </c>
      <c r="G1753" s="25">
        <f t="shared" si="26"/>
        <v>-7.1516813818273128E-3</v>
      </c>
    </row>
    <row r="1754" spans="1:7">
      <c r="A1754" s="54">
        <v>114.14400000000001</v>
      </c>
      <c r="B1754" s="54">
        <v>114.6437</v>
      </c>
      <c r="C1754" s="54">
        <v>113.6914</v>
      </c>
      <c r="D1754" s="54">
        <v>114.0403</v>
      </c>
      <c r="E1754" s="54">
        <v>15792572</v>
      </c>
      <c r="F1754" s="54" t="s">
        <v>2572</v>
      </c>
      <c r="G1754" s="25">
        <f t="shared" si="26"/>
        <v>9.0932766750007055E-4</v>
      </c>
    </row>
    <row r="1755" spans="1:7">
      <c r="A1755" s="54">
        <v>114.0497</v>
      </c>
      <c r="B1755" s="54">
        <v>114.078</v>
      </c>
      <c r="C1755" s="54">
        <v>113.50279999999999</v>
      </c>
      <c r="D1755" s="54">
        <v>113.7574</v>
      </c>
      <c r="E1755" s="54">
        <v>19745143</v>
      </c>
      <c r="F1755" s="54" t="s">
        <v>2573</v>
      </c>
      <c r="G1755" s="25">
        <f t="shared" si="26"/>
        <v>2.5695031707826388E-3</v>
      </c>
    </row>
    <row r="1756" spans="1:7">
      <c r="A1756" s="54">
        <v>113.46510000000001</v>
      </c>
      <c r="B1756" s="54">
        <v>113.9554</v>
      </c>
      <c r="C1756" s="54">
        <v>113.07850000000001</v>
      </c>
      <c r="D1756" s="54">
        <v>113.6631</v>
      </c>
      <c r="E1756" s="54">
        <v>14209121</v>
      </c>
      <c r="F1756" s="54" t="s">
        <v>2574</v>
      </c>
      <c r="G1756" s="25">
        <f t="shared" si="26"/>
        <v>-1.7419901445587804E-3</v>
      </c>
    </row>
    <row r="1757" spans="1:7">
      <c r="A1757" s="54">
        <v>113.333</v>
      </c>
      <c r="B1757" s="54">
        <v>113.48390000000001</v>
      </c>
      <c r="C1757" s="54">
        <v>112.7201</v>
      </c>
      <c r="D1757" s="54">
        <v>112.9276</v>
      </c>
      <c r="E1757" s="54">
        <v>16477169</v>
      </c>
      <c r="F1757" s="54" t="s">
        <v>2575</v>
      </c>
      <c r="G1757" s="25">
        <f t="shared" si="26"/>
        <v>3.5899107038492861E-3</v>
      </c>
    </row>
    <row r="1758" spans="1:7">
      <c r="A1758" s="54">
        <v>112.47499999999999</v>
      </c>
      <c r="B1758" s="54">
        <v>112.7201</v>
      </c>
      <c r="C1758" s="54">
        <v>111.81489999999999</v>
      </c>
      <c r="D1758" s="54">
        <v>111.86199999999999</v>
      </c>
      <c r="E1758" s="54">
        <v>17611981</v>
      </c>
      <c r="F1758" s="54" t="s">
        <v>2576</v>
      </c>
      <c r="G1758" s="25">
        <f t="shared" si="26"/>
        <v>5.4799663871556437E-3</v>
      </c>
    </row>
    <row r="1759" spans="1:7">
      <c r="A1759" s="54">
        <v>113.0879</v>
      </c>
      <c r="B1759" s="54">
        <v>113.17270000000001</v>
      </c>
      <c r="C1759" s="54">
        <v>111.8715</v>
      </c>
      <c r="D1759" s="54">
        <v>112.9747</v>
      </c>
      <c r="E1759" s="54">
        <v>15116186</v>
      </c>
      <c r="F1759" s="54" t="s">
        <v>2577</v>
      </c>
      <c r="G1759" s="25">
        <f t="shared" si="26"/>
        <v>1.0019942518104674E-3</v>
      </c>
    </row>
    <row r="1760" spans="1:7">
      <c r="A1760" s="54">
        <v>113.0502</v>
      </c>
      <c r="B1760" s="54">
        <v>113.3708</v>
      </c>
      <c r="C1760" s="54">
        <v>112.5598</v>
      </c>
      <c r="D1760" s="54">
        <v>112.5787</v>
      </c>
      <c r="E1760" s="54">
        <v>15826245</v>
      </c>
      <c r="F1760" s="54" t="s">
        <v>2578</v>
      </c>
      <c r="G1760" s="25">
        <f t="shared" si="26"/>
        <v>4.188181245653011E-3</v>
      </c>
    </row>
    <row r="1761" spans="1:7">
      <c r="A1761" s="54">
        <v>112.5504</v>
      </c>
      <c r="B1761" s="54">
        <v>113.3708</v>
      </c>
      <c r="C1761" s="54">
        <v>111.6263</v>
      </c>
      <c r="D1761" s="54">
        <v>113.2482</v>
      </c>
      <c r="E1761" s="54">
        <v>20112848</v>
      </c>
      <c r="F1761" s="54" t="s">
        <v>2579</v>
      </c>
      <c r="G1761" s="25">
        <f t="shared" si="26"/>
        <v>-6.1616873380768711E-3</v>
      </c>
    </row>
    <row r="1762" spans="1:7">
      <c r="A1762" s="54">
        <v>113.12560000000001</v>
      </c>
      <c r="B1762" s="54">
        <v>113.5594</v>
      </c>
      <c r="C1762" s="54">
        <v>112.3524</v>
      </c>
      <c r="D1762" s="54">
        <v>113.0219</v>
      </c>
      <c r="E1762" s="54">
        <v>22860744</v>
      </c>
      <c r="F1762" s="54" t="s">
        <v>2580</v>
      </c>
      <c r="G1762" s="25">
        <f t="shared" si="26"/>
        <v>9.1752129454558684E-4</v>
      </c>
    </row>
    <row r="1763" spans="1:7">
      <c r="A1763" s="54">
        <v>112.3901</v>
      </c>
      <c r="B1763" s="54">
        <v>112.6636</v>
      </c>
      <c r="C1763" s="54">
        <v>111.75830000000001</v>
      </c>
      <c r="D1763" s="54">
        <v>112.2675</v>
      </c>
      <c r="E1763" s="54">
        <v>18142297</v>
      </c>
      <c r="F1763" s="54" t="s">
        <v>2581</v>
      </c>
      <c r="G1763" s="25">
        <f t="shared" si="26"/>
        <v>1.092034649386564E-3</v>
      </c>
    </row>
    <row r="1764" spans="1:7">
      <c r="A1764" s="54">
        <v>112.2298</v>
      </c>
      <c r="B1764" s="54">
        <v>112.31319999999999</v>
      </c>
      <c r="C1764" s="54">
        <v>111.3623</v>
      </c>
      <c r="D1764" s="54">
        <v>112.16379999999999</v>
      </c>
      <c r="E1764" s="54">
        <v>22789103</v>
      </c>
      <c r="F1764" s="54" t="s">
        <v>2582</v>
      </c>
      <c r="G1764" s="25">
        <f t="shared" si="26"/>
        <v>5.8842514251478129E-4</v>
      </c>
    </row>
    <row r="1765" spans="1:7">
      <c r="A1765" s="54">
        <v>111.2114</v>
      </c>
      <c r="B1765" s="54">
        <v>111.5697</v>
      </c>
      <c r="C1765" s="54">
        <v>110.2873</v>
      </c>
      <c r="D1765" s="54">
        <v>111.334</v>
      </c>
      <c r="E1765" s="54">
        <v>25399752</v>
      </c>
      <c r="F1765" s="54" t="s">
        <v>2583</v>
      </c>
      <c r="G1765" s="25">
        <f t="shared" si="26"/>
        <v>-1.1011910108322809E-3</v>
      </c>
    </row>
    <row r="1766" spans="1:7">
      <c r="A1766" s="54">
        <v>110.259</v>
      </c>
      <c r="B1766" s="54">
        <v>110.8719</v>
      </c>
      <c r="C1766" s="54">
        <v>109.5047</v>
      </c>
      <c r="D1766" s="54">
        <v>110.73990000000001</v>
      </c>
      <c r="E1766" s="54">
        <v>18334755</v>
      </c>
      <c r="F1766" s="54" t="s">
        <v>2584</v>
      </c>
      <c r="G1766" s="25">
        <f t="shared" si="26"/>
        <v>-4.3426082198015914E-3</v>
      </c>
    </row>
    <row r="1767" spans="1:7">
      <c r="A1767" s="54">
        <v>110.1082</v>
      </c>
      <c r="B1767" s="54">
        <v>111.46599999999999</v>
      </c>
      <c r="C1767" s="54">
        <v>108.93089999999999</v>
      </c>
      <c r="D1767" s="54">
        <v>111.15009999999999</v>
      </c>
      <c r="E1767" s="54">
        <v>22733427</v>
      </c>
      <c r="F1767" s="54" t="s">
        <v>2585</v>
      </c>
      <c r="G1767" s="25">
        <f t="shared" si="26"/>
        <v>-9.3738107298149131E-3</v>
      </c>
    </row>
    <row r="1768" spans="1:7">
      <c r="A1768" s="54">
        <v>111.1831</v>
      </c>
      <c r="B1768" s="54">
        <v>111.9328</v>
      </c>
      <c r="C1768" s="54">
        <v>110.1836</v>
      </c>
      <c r="D1768" s="54">
        <v>111.8526</v>
      </c>
      <c r="E1768" s="54">
        <v>26097665</v>
      </c>
      <c r="F1768" s="54" t="s">
        <v>2586</v>
      </c>
      <c r="G1768" s="25">
        <f t="shared" si="26"/>
        <v>-5.9855559906519806E-3</v>
      </c>
    </row>
    <row r="1769" spans="1:7">
      <c r="A1769" s="54">
        <v>110.9474</v>
      </c>
      <c r="B1769" s="54">
        <v>111.2774</v>
      </c>
      <c r="C1769" s="54">
        <v>109.6861</v>
      </c>
      <c r="D1769" s="54">
        <v>109.9101</v>
      </c>
      <c r="E1769" s="54">
        <v>27067117</v>
      </c>
      <c r="F1769" s="54" t="s">
        <v>2587</v>
      </c>
      <c r="G1769" s="25">
        <f t="shared" si="26"/>
        <v>9.4377131855944985E-3</v>
      </c>
    </row>
    <row r="1770" spans="1:7">
      <c r="A1770" s="54">
        <v>110.37220000000001</v>
      </c>
      <c r="B1770" s="54">
        <v>112.76730000000001</v>
      </c>
      <c r="C1770" s="54">
        <v>110.36279999999999</v>
      </c>
      <c r="D1770" s="54">
        <v>112.6824</v>
      </c>
      <c r="E1770" s="54">
        <v>33624528</v>
      </c>
      <c r="F1770" s="54" t="s">
        <v>2588</v>
      </c>
      <c r="G1770" s="25">
        <f t="shared" si="26"/>
        <v>-2.050187074467702E-2</v>
      </c>
    </row>
    <row r="1771" spans="1:7">
      <c r="A1771" s="54">
        <v>113.3613</v>
      </c>
      <c r="B1771" s="54">
        <v>113.9271</v>
      </c>
      <c r="C1771" s="54">
        <v>110.40989999999999</v>
      </c>
      <c r="D1771" s="54">
        <v>110.45229999999999</v>
      </c>
      <c r="E1771" s="54">
        <v>29854446</v>
      </c>
      <c r="F1771" s="54" t="s">
        <v>2589</v>
      </c>
      <c r="G1771" s="25">
        <f t="shared" si="26"/>
        <v>2.633716092829208E-2</v>
      </c>
    </row>
    <row r="1772" spans="1:7">
      <c r="A1772" s="54">
        <v>110.8154</v>
      </c>
      <c r="B1772" s="54">
        <v>111.9752</v>
      </c>
      <c r="C1772" s="54">
        <v>110.05159999999999</v>
      </c>
      <c r="D1772" s="54">
        <v>110.69280000000001</v>
      </c>
      <c r="E1772" s="54">
        <v>28113343</v>
      </c>
      <c r="F1772" s="54" t="s">
        <v>2590</v>
      </c>
      <c r="G1772" s="25">
        <f t="shared" si="26"/>
        <v>1.1075697787028549E-3</v>
      </c>
    </row>
    <row r="1773" spans="1:7">
      <c r="A1773" s="54">
        <v>110.938</v>
      </c>
      <c r="B1773" s="54">
        <v>111.6829</v>
      </c>
      <c r="C1773" s="54">
        <v>110.3156</v>
      </c>
      <c r="D1773" s="54">
        <v>111.35290000000001</v>
      </c>
      <c r="E1773" s="54">
        <v>37588697</v>
      </c>
      <c r="F1773" s="54" t="s">
        <v>2591</v>
      </c>
      <c r="G1773" s="25">
        <f t="shared" si="26"/>
        <v>-3.7259918690937255E-3</v>
      </c>
    </row>
    <row r="1774" spans="1:7">
      <c r="A1774" s="54">
        <v>110.8625</v>
      </c>
      <c r="B1774" s="54">
        <v>110.9002</v>
      </c>
      <c r="C1774" s="54">
        <v>109.42919999999999</v>
      </c>
      <c r="D1774" s="54">
        <v>109.5424</v>
      </c>
      <c r="E1774" s="54">
        <v>31207596</v>
      </c>
      <c r="F1774" s="54" t="s">
        <v>2592</v>
      </c>
      <c r="G1774" s="25">
        <f t="shared" si="26"/>
        <v>1.2051041423229769E-2</v>
      </c>
    </row>
    <row r="1775" spans="1:7">
      <c r="A1775" s="54">
        <v>109.2972</v>
      </c>
      <c r="B1775" s="54">
        <v>110.5608</v>
      </c>
      <c r="C1775" s="54">
        <v>108.05249999999999</v>
      </c>
      <c r="D1775" s="54">
        <v>108.7597</v>
      </c>
      <c r="E1775" s="54">
        <v>54630661</v>
      </c>
      <c r="F1775" s="54" t="s">
        <v>2593</v>
      </c>
      <c r="G1775" s="25">
        <f t="shared" si="26"/>
        <v>4.942087924111771E-3</v>
      </c>
    </row>
    <row r="1776" spans="1:7">
      <c r="A1776" s="54">
        <v>108.05249999999999</v>
      </c>
      <c r="B1776" s="54">
        <v>108.6277</v>
      </c>
      <c r="C1776" s="54">
        <v>107.8074</v>
      </c>
      <c r="D1776" s="54">
        <v>108.00539999999999</v>
      </c>
      <c r="E1776" s="54">
        <v>30763367</v>
      </c>
      <c r="F1776" s="54" t="s">
        <v>2594</v>
      </c>
      <c r="G1776" s="25">
        <f t="shared" si="26"/>
        <v>4.360893066457372E-4</v>
      </c>
    </row>
    <row r="1777" spans="1:7">
      <c r="A1777" s="54">
        <v>107.96769999999999</v>
      </c>
      <c r="B1777" s="54">
        <v>108.4391</v>
      </c>
      <c r="C1777" s="54">
        <v>107.28870000000001</v>
      </c>
      <c r="D1777" s="54">
        <v>107.61879999999999</v>
      </c>
      <c r="E1777" s="54">
        <v>35513771</v>
      </c>
      <c r="F1777" s="54" t="s">
        <v>2595</v>
      </c>
      <c r="G1777" s="25">
        <f t="shared" si="26"/>
        <v>3.2419986099083697E-3</v>
      </c>
    </row>
    <row r="1778" spans="1:7">
      <c r="A1778" s="54">
        <v>107.1379</v>
      </c>
      <c r="B1778" s="54">
        <v>107.4868</v>
      </c>
      <c r="C1778" s="54">
        <v>106.2231</v>
      </c>
      <c r="D1778" s="54">
        <v>106.3835</v>
      </c>
      <c r="E1778" s="54">
        <v>26132717</v>
      </c>
      <c r="F1778" s="54" t="s">
        <v>2596</v>
      </c>
      <c r="G1778" s="25">
        <f t="shared" si="26"/>
        <v>7.0913252525062198E-3</v>
      </c>
    </row>
    <row r="1779" spans="1:7">
      <c r="A1779" s="54">
        <v>106.3929</v>
      </c>
      <c r="B1779" s="54">
        <v>106.5061</v>
      </c>
      <c r="C1779" s="54">
        <v>104.6485</v>
      </c>
      <c r="D1779" s="54">
        <v>104.6579</v>
      </c>
      <c r="E1779" s="54">
        <v>26491618</v>
      </c>
      <c r="F1779" s="54" t="s">
        <v>2597</v>
      </c>
      <c r="G1779" s="25">
        <f t="shared" si="26"/>
        <v>1.6577821645570978E-2</v>
      </c>
    </row>
    <row r="1780" spans="1:7">
      <c r="A1780" s="54">
        <v>104.20529999999999</v>
      </c>
      <c r="B1780" s="54">
        <v>104.3939</v>
      </c>
      <c r="C1780" s="54">
        <v>102.5929</v>
      </c>
      <c r="D1780" s="54">
        <v>102.9323</v>
      </c>
      <c r="E1780" s="54">
        <v>22818430</v>
      </c>
      <c r="F1780" s="54" t="s">
        <v>2598</v>
      </c>
      <c r="G1780" s="25">
        <f t="shared" si="26"/>
        <v>1.2367352133392462E-2</v>
      </c>
    </row>
    <row r="1781" spans="1:7">
      <c r="A1781" s="54">
        <v>104.0921</v>
      </c>
      <c r="B1781" s="54">
        <v>105.18600000000001</v>
      </c>
      <c r="C1781" s="54">
        <v>103.5971</v>
      </c>
      <c r="D1781" s="54">
        <v>105.0445</v>
      </c>
      <c r="E1781" s="54">
        <v>25338954</v>
      </c>
      <c r="F1781" s="54" t="s">
        <v>2599</v>
      </c>
      <c r="G1781" s="25">
        <f t="shared" si="26"/>
        <v>-9.0666336647801105E-3</v>
      </c>
    </row>
    <row r="1782" spans="1:7">
      <c r="A1782" s="54">
        <v>105.3746</v>
      </c>
      <c r="B1782" s="54">
        <v>106.23260000000001</v>
      </c>
      <c r="C1782" s="54">
        <v>105.0728</v>
      </c>
      <c r="D1782" s="54">
        <v>105.4877</v>
      </c>
      <c r="E1782" s="54">
        <v>17686996</v>
      </c>
      <c r="F1782" s="54" t="s">
        <v>2600</v>
      </c>
      <c r="G1782" s="25">
        <f t="shared" si="26"/>
        <v>-1.0721629156764667E-3</v>
      </c>
    </row>
    <row r="1783" spans="1:7">
      <c r="A1783" s="54">
        <v>105.3274</v>
      </c>
      <c r="B1783" s="54">
        <v>105.97799999999999</v>
      </c>
      <c r="C1783" s="54">
        <v>104.88420000000001</v>
      </c>
      <c r="D1783" s="54">
        <v>105.846</v>
      </c>
      <c r="E1783" s="54">
        <v>19538318</v>
      </c>
      <c r="F1783" s="54" t="s">
        <v>2601</v>
      </c>
      <c r="G1783" s="25">
        <f t="shared" si="26"/>
        <v>-4.8995710749579757E-3</v>
      </c>
    </row>
    <row r="1784" spans="1:7">
      <c r="A1784" s="54">
        <v>105.85550000000001</v>
      </c>
      <c r="B1784" s="54">
        <v>106.789</v>
      </c>
      <c r="C1784" s="54">
        <v>104.47880000000001</v>
      </c>
      <c r="D1784" s="54">
        <v>106.57210000000001</v>
      </c>
      <c r="E1784" s="54">
        <v>26608014</v>
      </c>
      <c r="F1784" s="54" t="s">
        <v>2602</v>
      </c>
      <c r="G1784" s="25">
        <f t="shared" si="26"/>
        <v>-6.7240863227805425E-3</v>
      </c>
    </row>
    <row r="1785" spans="1:7">
      <c r="A1785" s="54">
        <v>106.1101</v>
      </c>
      <c r="B1785" s="54">
        <v>106.57210000000001</v>
      </c>
      <c r="C1785" s="54">
        <v>105.2944</v>
      </c>
      <c r="D1785" s="54">
        <v>106.4495</v>
      </c>
      <c r="E1785" s="54">
        <v>23501169</v>
      </c>
      <c r="F1785" s="54" t="s">
        <v>2603</v>
      </c>
      <c r="G1785" s="25">
        <f t="shared" si="26"/>
        <v>-3.1883663145434449E-3</v>
      </c>
    </row>
    <row r="1786" spans="1:7">
      <c r="A1786" s="54">
        <v>105.6386</v>
      </c>
      <c r="B1786" s="54">
        <v>106.4401</v>
      </c>
      <c r="C1786" s="54">
        <v>105.3557</v>
      </c>
      <c r="D1786" s="54">
        <v>105.648</v>
      </c>
      <c r="E1786" s="54">
        <v>29083934</v>
      </c>
      <c r="F1786" s="54" t="s">
        <v>2604</v>
      </c>
      <c r="G1786" s="25">
        <f t="shared" si="26"/>
        <v>-8.8974708465805463E-5</v>
      </c>
    </row>
    <row r="1787" spans="1:7">
      <c r="A1787" s="54">
        <v>105.7706</v>
      </c>
      <c r="B1787" s="54">
        <v>105.9498</v>
      </c>
      <c r="C1787" s="54">
        <v>104.55419999999999</v>
      </c>
      <c r="D1787" s="54">
        <v>105.318</v>
      </c>
      <c r="E1787" s="54">
        <v>21487062</v>
      </c>
      <c r="F1787" s="54" t="s">
        <v>2605</v>
      </c>
      <c r="G1787" s="25">
        <f t="shared" si="26"/>
        <v>4.2974610228072585E-3</v>
      </c>
    </row>
    <row r="1788" spans="1:7">
      <c r="A1788" s="54">
        <v>105.9498</v>
      </c>
      <c r="B1788" s="54">
        <v>106.7796</v>
      </c>
      <c r="C1788" s="54">
        <v>104.8276</v>
      </c>
      <c r="D1788" s="54">
        <v>104.91249999999999</v>
      </c>
      <c r="E1788" s="54">
        <v>21536733</v>
      </c>
      <c r="F1788" s="54" t="s">
        <v>2606</v>
      </c>
      <c r="G1788" s="25">
        <f t="shared" si="26"/>
        <v>9.8872870249018252E-3</v>
      </c>
    </row>
    <row r="1789" spans="1:7">
      <c r="A1789" s="54">
        <v>105.22369999999999</v>
      </c>
      <c r="B1789" s="54">
        <v>105.78</v>
      </c>
      <c r="C1789" s="54">
        <v>104.91249999999999</v>
      </c>
      <c r="D1789" s="54">
        <v>105.384</v>
      </c>
      <c r="E1789" s="54">
        <v>23750599</v>
      </c>
      <c r="F1789" s="54" t="s">
        <v>2607</v>
      </c>
      <c r="G1789" s="25">
        <f t="shared" si="26"/>
        <v>-1.5211037728688481E-3</v>
      </c>
    </row>
    <row r="1790" spans="1:7">
      <c r="A1790" s="54">
        <v>104.6391</v>
      </c>
      <c r="B1790" s="54">
        <v>104.85590000000001</v>
      </c>
      <c r="C1790" s="54">
        <v>103.5547</v>
      </c>
      <c r="D1790" s="54">
        <v>103.7715</v>
      </c>
      <c r="E1790" s="54">
        <v>27763218</v>
      </c>
      <c r="F1790" s="54" t="s">
        <v>2608</v>
      </c>
      <c r="G1790" s="25">
        <f t="shared" si="26"/>
        <v>8.3606770645119344E-3</v>
      </c>
    </row>
    <row r="1791" spans="1:7">
      <c r="A1791" s="54">
        <v>103.1681</v>
      </c>
      <c r="B1791" s="54">
        <v>103.2341</v>
      </c>
      <c r="C1791" s="54">
        <v>100.773</v>
      </c>
      <c r="D1791" s="54">
        <v>100.8013</v>
      </c>
      <c r="E1791" s="54">
        <v>29063231</v>
      </c>
      <c r="F1791" s="54" t="s">
        <v>2609</v>
      </c>
      <c r="G1791" s="25">
        <f t="shared" si="26"/>
        <v>2.3479855914556591E-2</v>
      </c>
    </row>
    <row r="1792" spans="1:7">
      <c r="A1792" s="54">
        <v>101.03700000000001</v>
      </c>
      <c r="B1792" s="54">
        <v>101.78189999999999</v>
      </c>
      <c r="C1792" s="54">
        <v>100.2261</v>
      </c>
      <c r="D1792" s="54">
        <v>101.70650000000001</v>
      </c>
      <c r="E1792" s="54">
        <v>21607671</v>
      </c>
      <c r="F1792" s="54" t="s">
        <v>2610</v>
      </c>
      <c r="G1792" s="25">
        <f t="shared" si="26"/>
        <v>-6.5826667912080028E-3</v>
      </c>
    </row>
    <row r="1793" spans="1:7">
      <c r="A1793" s="54">
        <v>101.565</v>
      </c>
      <c r="B1793" s="54">
        <v>102.02509999999999</v>
      </c>
      <c r="C1793" s="54">
        <v>101.19889999999999</v>
      </c>
      <c r="D1793" s="54">
        <v>101.20820000000001</v>
      </c>
      <c r="E1793" s="54">
        <v>18038460</v>
      </c>
      <c r="F1793" s="54" t="s">
        <v>2611</v>
      </c>
      <c r="G1793" s="25">
        <f t="shared" si="26"/>
        <v>3.525406044174284E-3</v>
      </c>
    </row>
    <row r="1794" spans="1:7">
      <c r="A1794" s="54">
        <v>101.61199999999999</v>
      </c>
      <c r="B1794" s="54">
        <v>101.6871</v>
      </c>
      <c r="C1794" s="54">
        <v>100.8068</v>
      </c>
      <c r="D1794" s="54">
        <v>101.32089999999999</v>
      </c>
      <c r="E1794" s="54">
        <v>26606886</v>
      </c>
      <c r="F1794" s="54" t="s">
        <v>2612</v>
      </c>
      <c r="G1794" s="25">
        <f t="shared" si="26"/>
        <v>2.8730498840812135E-3</v>
      </c>
    </row>
    <row r="1795" spans="1:7">
      <c r="A1795" s="54">
        <v>100.37260000000001</v>
      </c>
      <c r="B1795" s="54">
        <v>100.7388</v>
      </c>
      <c r="C1795" s="54">
        <v>99.208299999999994</v>
      </c>
      <c r="D1795" s="54">
        <v>99.818600000000004</v>
      </c>
      <c r="E1795" s="54">
        <v>21784703</v>
      </c>
      <c r="F1795" s="54" t="s">
        <v>2613</v>
      </c>
      <c r="G1795" s="25">
        <f t="shared" si="26"/>
        <v>5.5500678230309131E-3</v>
      </c>
    </row>
    <row r="1796" spans="1:7">
      <c r="A1796" s="54">
        <v>100.2881</v>
      </c>
      <c r="B1796" s="54">
        <v>101.19889999999999</v>
      </c>
      <c r="C1796" s="54">
        <v>100.1942</v>
      </c>
      <c r="D1796" s="54">
        <v>100.93600000000001</v>
      </c>
      <c r="E1796" s="54">
        <v>18394869</v>
      </c>
      <c r="F1796" s="54" t="s">
        <v>2614</v>
      </c>
      <c r="G1796" s="25">
        <f t="shared" si="26"/>
        <v>-6.4189189189189921E-3</v>
      </c>
    </row>
    <row r="1797" spans="1:7">
      <c r="A1797" s="54">
        <v>100.36320000000001</v>
      </c>
      <c r="B1797" s="54">
        <v>100.5979</v>
      </c>
      <c r="C1797" s="54">
        <v>99.039299999999997</v>
      </c>
      <c r="D1797" s="54">
        <v>99.659000000000006</v>
      </c>
      <c r="E1797" s="54">
        <v>25056595</v>
      </c>
      <c r="F1797" s="54" t="s">
        <v>2615</v>
      </c>
      <c r="G1797" s="25">
        <f t="shared" si="26"/>
        <v>7.0660953852637043E-3</v>
      </c>
    </row>
    <row r="1798" spans="1:7">
      <c r="A1798" s="54">
        <v>98.823300000000003</v>
      </c>
      <c r="B1798" s="54">
        <v>100.07210000000001</v>
      </c>
      <c r="C1798" s="54">
        <v>98.555700000000002</v>
      </c>
      <c r="D1798" s="54">
        <v>99.715299999999999</v>
      </c>
      <c r="E1798" s="54">
        <v>18914123</v>
      </c>
      <c r="F1798" s="54" t="s">
        <v>2616</v>
      </c>
      <c r="G1798" s="25">
        <f t="shared" si="26"/>
        <v>-8.9454677466747068E-3</v>
      </c>
    </row>
    <row r="1799" spans="1:7">
      <c r="A1799" s="54">
        <v>99.217699999999994</v>
      </c>
      <c r="B1799" s="54">
        <v>99.320999999999998</v>
      </c>
      <c r="C1799" s="54">
        <v>97.894099999999995</v>
      </c>
      <c r="D1799" s="54">
        <v>98.015900000000002</v>
      </c>
      <c r="E1799" s="54">
        <v>21461093</v>
      </c>
      <c r="F1799" s="54" t="s">
        <v>2617</v>
      </c>
      <c r="G1799" s="25">
        <f t="shared" si="26"/>
        <v>1.2261275976652719E-2</v>
      </c>
    </row>
    <row r="1800" spans="1:7">
      <c r="A1800" s="54">
        <v>98.842100000000002</v>
      </c>
      <c r="B1800" s="54">
        <v>99.142600000000002</v>
      </c>
      <c r="C1800" s="54">
        <v>97.921999999999997</v>
      </c>
      <c r="D1800" s="54">
        <v>98.762299999999996</v>
      </c>
      <c r="E1800" s="54">
        <v>29760697</v>
      </c>
      <c r="F1800" s="54" t="s">
        <v>2618</v>
      </c>
      <c r="G1800" s="25">
        <f t="shared" si="26"/>
        <v>8.0800062371988446E-4</v>
      </c>
    </row>
    <row r="1801" spans="1:7">
      <c r="A1801" s="54">
        <v>99.555700000000002</v>
      </c>
      <c r="B1801" s="54">
        <v>100.4665</v>
      </c>
      <c r="C1801" s="54">
        <v>99.086200000000005</v>
      </c>
      <c r="D1801" s="54">
        <v>100.4665</v>
      </c>
      <c r="E1801" s="54">
        <v>20609759</v>
      </c>
      <c r="F1801" s="54" t="s">
        <v>2619</v>
      </c>
      <c r="G1801" s="25">
        <f t="shared" si="26"/>
        <v>-9.0657084699874435E-3</v>
      </c>
    </row>
    <row r="1802" spans="1:7">
      <c r="A1802" s="54">
        <v>100.67310000000001</v>
      </c>
      <c r="B1802" s="54">
        <v>100.72</v>
      </c>
      <c r="C1802" s="54">
        <v>99.49</v>
      </c>
      <c r="D1802" s="54">
        <v>99.5839</v>
      </c>
      <c r="E1802" s="54">
        <v>27325365</v>
      </c>
      <c r="F1802" s="54" t="s">
        <v>2620</v>
      </c>
      <c r="G1802" s="25">
        <f t="shared" si="26"/>
        <v>1.093751098320106E-2</v>
      </c>
    </row>
    <row r="1803" spans="1:7">
      <c r="A1803" s="54">
        <v>99.2834</v>
      </c>
      <c r="B1803" s="54">
        <v>99.339799999999997</v>
      </c>
      <c r="C1803" s="54">
        <v>96.494799999999998</v>
      </c>
      <c r="D1803" s="54">
        <v>96.588700000000003</v>
      </c>
      <c r="E1803" s="54">
        <v>31315282</v>
      </c>
      <c r="F1803" s="54" t="s">
        <v>2621</v>
      </c>
      <c r="G1803" s="25">
        <f t="shared" si="26"/>
        <v>2.7898708648113058E-2</v>
      </c>
    </row>
    <row r="1804" spans="1:7">
      <c r="A1804" s="54">
        <v>96.504199999999997</v>
      </c>
      <c r="B1804" s="54">
        <v>97.743499999999997</v>
      </c>
      <c r="C1804" s="54">
        <v>96.100399999999993</v>
      </c>
      <c r="D1804" s="54">
        <v>97.438400000000001</v>
      </c>
      <c r="E1804" s="54">
        <v>35535690</v>
      </c>
      <c r="F1804" s="54" t="s">
        <v>2622</v>
      </c>
      <c r="G1804" s="25">
        <f t="shared" si="26"/>
        <v>-9.5875958554327845E-3</v>
      </c>
    </row>
    <row r="1805" spans="1:7">
      <c r="A1805" s="54">
        <v>98.053399999999996</v>
      </c>
      <c r="B1805" s="54">
        <v>98.795199999999994</v>
      </c>
      <c r="C1805" s="54">
        <v>96.8797</v>
      </c>
      <c r="D1805" s="54">
        <v>97.4619</v>
      </c>
      <c r="E1805" s="54">
        <v>55636391</v>
      </c>
      <c r="F1805" s="54" t="s">
        <v>2623</v>
      </c>
      <c r="G1805" s="25">
        <f t="shared" si="26"/>
        <v>6.0690382600789849E-3</v>
      </c>
    </row>
    <row r="1806" spans="1:7">
      <c r="A1806" s="54">
        <v>99.884299999999996</v>
      </c>
      <c r="B1806" s="54">
        <v>99.884299999999996</v>
      </c>
      <c r="C1806" s="54">
        <v>97.959500000000006</v>
      </c>
      <c r="D1806" s="54">
        <v>98.231800000000007</v>
      </c>
      <c r="E1806" s="54">
        <v>49471866</v>
      </c>
      <c r="F1806" s="54" t="s">
        <v>2624</v>
      </c>
      <c r="G1806" s="25">
        <f t="shared" si="26"/>
        <v>1.6822454642997364E-2</v>
      </c>
    </row>
    <row r="1807" spans="1:7">
      <c r="A1807" s="54">
        <v>96.654399999999995</v>
      </c>
      <c r="B1807" s="54">
        <v>98.560400000000001</v>
      </c>
      <c r="C1807" s="54">
        <v>95.931399999999996</v>
      </c>
      <c r="D1807" s="54">
        <v>98.475899999999996</v>
      </c>
      <c r="E1807" s="54">
        <v>31490547</v>
      </c>
      <c r="F1807" s="54" t="s">
        <v>2625</v>
      </c>
      <c r="G1807" s="25">
        <f t="shared" si="26"/>
        <v>-1.8496911427059781E-2</v>
      </c>
    </row>
    <row r="1808" spans="1:7">
      <c r="A1808" s="54">
        <v>98.663700000000006</v>
      </c>
      <c r="B1808" s="54">
        <v>99.978200000000001</v>
      </c>
      <c r="C1808" s="54">
        <v>98.269400000000005</v>
      </c>
      <c r="D1808" s="54">
        <v>99.771699999999996</v>
      </c>
      <c r="E1808" s="54">
        <v>29476719</v>
      </c>
      <c r="F1808" s="54" t="s">
        <v>2626</v>
      </c>
      <c r="G1808" s="25">
        <f t="shared" si="26"/>
        <v>-1.1105353522090855E-2</v>
      </c>
    </row>
    <row r="1809" spans="1:7">
      <c r="A1809" s="54">
        <v>100.62609999999999</v>
      </c>
      <c r="B1809" s="54">
        <v>101.2928</v>
      </c>
      <c r="C1809" s="54">
        <v>100.08150000000001</v>
      </c>
      <c r="D1809" s="54">
        <v>100.6918</v>
      </c>
      <c r="E1809" s="54">
        <v>31218193</v>
      </c>
      <c r="F1809" s="54" t="s">
        <v>2627</v>
      </c>
      <c r="G1809" s="25">
        <f t="shared" si="26"/>
        <v>-6.5248610115231642E-4</v>
      </c>
    </row>
    <row r="1810" spans="1:7">
      <c r="A1810" s="54">
        <v>99.715299999999999</v>
      </c>
      <c r="B1810" s="54">
        <v>100.4665</v>
      </c>
      <c r="C1810" s="54">
        <v>98.907799999999995</v>
      </c>
      <c r="D1810" s="54">
        <v>100.33499999999999</v>
      </c>
      <c r="E1810" s="54">
        <v>23164838</v>
      </c>
      <c r="F1810" s="54" t="s">
        <v>2628</v>
      </c>
      <c r="G1810" s="25">
        <f t="shared" si="26"/>
        <v>-6.1763093636317823E-3</v>
      </c>
    </row>
    <row r="1811" spans="1:7">
      <c r="A1811" s="54">
        <v>100.1942</v>
      </c>
      <c r="B1811" s="54">
        <v>100.504</v>
      </c>
      <c r="C1811" s="54">
        <v>98.907799999999995</v>
      </c>
      <c r="D1811" s="54">
        <v>99.640199999999993</v>
      </c>
      <c r="E1811" s="54">
        <v>25874294</v>
      </c>
      <c r="F1811" s="54" t="s">
        <v>2629</v>
      </c>
      <c r="G1811" s="25">
        <f t="shared" si="26"/>
        <v>5.560004897621651E-3</v>
      </c>
    </row>
    <row r="1812" spans="1:7">
      <c r="A1812" s="54">
        <v>99.227099999999993</v>
      </c>
      <c r="B1812" s="54">
        <v>100.5604</v>
      </c>
      <c r="C1812" s="54">
        <v>98.4572</v>
      </c>
      <c r="D1812" s="54">
        <v>100.2317</v>
      </c>
      <c r="E1812" s="54">
        <v>32371253</v>
      </c>
      <c r="F1812" s="54" t="s">
        <v>2630</v>
      </c>
      <c r="G1812" s="25">
        <f t="shared" si="26"/>
        <v>-1.0022777225169421E-2</v>
      </c>
    </row>
    <row r="1813" spans="1:7">
      <c r="A1813" s="54">
        <v>101.1331</v>
      </c>
      <c r="B1813" s="54">
        <v>101.3115</v>
      </c>
      <c r="C1813" s="54">
        <v>99.442999999999998</v>
      </c>
      <c r="D1813" s="54">
        <v>100.8984</v>
      </c>
      <c r="E1813" s="54">
        <v>37427587</v>
      </c>
      <c r="F1813" s="54" t="s">
        <v>2631</v>
      </c>
      <c r="G1813" s="25">
        <f t="shared" si="26"/>
        <v>2.326102296964061E-3</v>
      </c>
    </row>
    <row r="1814" spans="1:7">
      <c r="A1814" s="54">
        <v>99.640199999999993</v>
      </c>
      <c r="B1814" s="54">
        <v>100.1144</v>
      </c>
      <c r="C1814" s="54">
        <v>98.363299999999995</v>
      </c>
      <c r="D1814" s="54">
        <v>98.5886</v>
      </c>
      <c r="E1814" s="54">
        <v>28393015</v>
      </c>
      <c r="F1814" s="54" t="s">
        <v>2632</v>
      </c>
      <c r="G1814" s="25">
        <f t="shared" si="26"/>
        <v>1.0666547653582548E-2</v>
      </c>
    </row>
    <row r="1815" spans="1:7">
      <c r="A1815" s="54">
        <v>98.945400000000006</v>
      </c>
      <c r="B1815" s="54">
        <v>99.766999999999996</v>
      </c>
      <c r="C1815" s="54">
        <v>98.551000000000002</v>
      </c>
      <c r="D1815" s="54">
        <v>98.832700000000003</v>
      </c>
      <c r="E1815" s="54">
        <v>29853865</v>
      </c>
      <c r="F1815" s="54" t="s">
        <v>2633</v>
      </c>
      <c r="G1815" s="25">
        <f t="shared" si="26"/>
        <v>1.1403108485350533E-3</v>
      </c>
    </row>
    <row r="1816" spans="1:7">
      <c r="A1816" s="54">
        <v>98.597999999999999</v>
      </c>
      <c r="B1816" s="54">
        <v>98.635599999999997</v>
      </c>
      <c r="C1816" s="54">
        <v>95.659099999999995</v>
      </c>
      <c r="D1816" s="54">
        <v>96.250600000000006</v>
      </c>
      <c r="E1816" s="54">
        <v>31587616</v>
      </c>
      <c r="F1816" s="54" t="s">
        <v>2634</v>
      </c>
      <c r="G1816" s="25">
        <f t="shared" ref="G1816:G1879" si="27">A1816/D1816-1</f>
        <v>2.4388419396865979E-2</v>
      </c>
    </row>
    <row r="1817" spans="1:7">
      <c r="A1817" s="54">
        <v>95.818700000000007</v>
      </c>
      <c r="B1817" s="54">
        <v>96.590199999999996</v>
      </c>
      <c r="C1817" s="54">
        <v>95.076999999999998</v>
      </c>
      <c r="D1817" s="54">
        <v>95.677899999999994</v>
      </c>
      <c r="E1817" s="54">
        <v>28437079</v>
      </c>
      <c r="F1817" s="54" t="s">
        <v>2635</v>
      </c>
      <c r="G1817" s="25">
        <f t="shared" si="27"/>
        <v>1.4716042053599665E-3</v>
      </c>
    </row>
    <row r="1818" spans="1:7">
      <c r="A1818" s="54">
        <v>96.522900000000007</v>
      </c>
      <c r="B1818" s="54">
        <v>97.123900000000006</v>
      </c>
      <c r="C1818" s="54">
        <v>95.433800000000005</v>
      </c>
      <c r="D1818" s="54">
        <v>96.889099999999999</v>
      </c>
      <c r="E1818" s="54">
        <v>28314202</v>
      </c>
      <c r="F1818" s="54" t="s">
        <v>2636</v>
      </c>
      <c r="G1818" s="25">
        <f t="shared" si="27"/>
        <v>-3.7795789206421793E-3</v>
      </c>
    </row>
    <row r="1819" spans="1:7">
      <c r="A1819" s="54">
        <v>97.274100000000004</v>
      </c>
      <c r="B1819" s="54">
        <v>97.414900000000003</v>
      </c>
      <c r="C1819" s="54">
        <v>96.128600000000006</v>
      </c>
      <c r="D1819" s="54">
        <v>96.917299999999997</v>
      </c>
      <c r="E1819" s="54">
        <v>30067556</v>
      </c>
      <c r="F1819" s="54" t="s">
        <v>2637</v>
      </c>
      <c r="G1819" s="25">
        <f t="shared" si="27"/>
        <v>3.6814892697176749E-3</v>
      </c>
    </row>
    <row r="1820" spans="1:7">
      <c r="A1820" s="54">
        <v>97.903199999999998</v>
      </c>
      <c r="B1820" s="54">
        <v>98.475899999999996</v>
      </c>
      <c r="C1820" s="54">
        <v>96.940299999999993</v>
      </c>
      <c r="D1820" s="54">
        <v>97.518199999999993</v>
      </c>
      <c r="E1820" s="54">
        <v>32280840</v>
      </c>
      <c r="F1820" s="54" t="s">
        <v>2638</v>
      </c>
      <c r="G1820" s="25">
        <f t="shared" si="27"/>
        <v>3.9479809922660092E-3</v>
      </c>
    </row>
    <row r="1821" spans="1:7">
      <c r="A1821" s="54">
        <v>96.522900000000007</v>
      </c>
      <c r="B1821" s="54">
        <v>97.621499999999997</v>
      </c>
      <c r="C1821" s="54">
        <v>95.502700000000004</v>
      </c>
      <c r="D1821" s="54">
        <v>96.7483</v>
      </c>
      <c r="E1821" s="54">
        <v>31514415</v>
      </c>
      <c r="F1821" s="54" t="s">
        <v>2639</v>
      </c>
      <c r="G1821" s="25">
        <f t="shared" si="27"/>
        <v>-2.3297566985672757E-3</v>
      </c>
    </row>
    <row r="1822" spans="1:7">
      <c r="A1822" s="54">
        <v>95.828100000000006</v>
      </c>
      <c r="B1822" s="54">
        <v>96.962500000000006</v>
      </c>
      <c r="C1822" s="54">
        <v>94.814099999999996</v>
      </c>
      <c r="D1822" s="54">
        <v>95.433800000000005</v>
      </c>
      <c r="E1822" s="54">
        <v>35656136</v>
      </c>
      <c r="F1822" s="54" t="s">
        <v>2640</v>
      </c>
      <c r="G1822" s="25">
        <f t="shared" si="27"/>
        <v>4.1316598521696779E-3</v>
      </c>
    </row>
    <row r="1823" spans="1:7">
      <c r="A1823" s="54">
        <v>95.706100000000006</v>
      </c>
      <c r="B1823" s="54">
        <v>96.250600000000006</v>
      </c>
      <c r="C1823" s="54">
        <v>92.889200000000002</v>
      </c>
      <c r="D1823" s="54">
        <v>93.631</v>
      </c>
      <c r="E1823" s="54">
        <v>44060620</v>
      </c>
      <c r="F1823" s="54" t="s">
        <v>2641</v>
      </c>
      <c r="G1823" s="25">
        <f t="shared" si="27"/>
        <v>2.2162531640161909E-2</v>
      </c>
    </row>
    <row r="1824" spans="1:7">
      <c r="A1824" s="54">
        <v>91.452699999999993</v>
      </c>
      <c r="B1824" s="54">
        <v>94.067599999999999</v>
      </c>
      <c r="C1824" s="54">
        <v>91.264899999999997</v>
      </c>
      <c r="D1824" s="54">
        <v>93.987799999999993</v>
      </c>
      <c r="E1824" s="54">
        <v>42578410</v>
      </c>
      <c r="F1824" s="54" t="s">
        <v>2642</v>
      </c>
      <c r="G1824" s="25">
        <f t="shared" si="27"/>
        <v>-2.6972649641762048E-2</v>
      </c>
    </row>
    <row r="1825" spans="1:7">
      <c r="A1825" s="54">
        <v>94.945499999999996</v>
      </c>
      <c r="B1825" s="54">
        <v>95.537099999999995</v>
      </c>
      <c r="C1825" s="54">
        <v>92.898600000000002</v>
      </c>
      <c r="D1825" s="54">
        <v>93.471400000000003</v>
      </c>
      <c r="E1825" s="54">
        <v>35329345</v>
      </c>
      <c r="F1825" s="54" t="s">
        <v>2643</v>
      </c>
      <c r="G1825" s="25">
        <f t="shared" si="27"/>
        <v>1.5770599349105741E-2</v>
      </c>
    </row>
    <row r="1826" spans="1:7">
      <c r="A1826" s="54">
        <v>95.367999999999995</v>
      </c>
      <c r="B1826" s="54">
        <v>96.147400000000005</v>
      </c>
      <c r="C1826" s="54">
        <v>94.307000000000002</v>
      </c>
      <c r="D1826" s="54">
        <v>95.105099999999993</v>
      </c>
      <c r="E1826" s="54">
        <v>33173765</v>
      </c>
      <c r="F1826" s="54" t="s">
        <v>2644</v>
      </c>
      <c r="G1826" s="25">
        <f t="shared" si="27"/>
        <v>2.7643102210082038E-3</v>
      </c>
    </row>
    <row r="1827" spans="1:7">
      <c r="A1827" s="54">
        <v>94.260099999999994</v>
      </c>
      <c r="B1827" s="54">
        <v>96.156800000000004</v>
      </c>
      <c r="C1827" s="54">
        <v>93.443200000000004</v>
      </c>
      <c r="D1827" s="54">
        <v>95.856300000000005</v>
      </c>
      <c r="E1827" s="54">
        <v>38169312</v>
      </c>
      <c r="F1827" s="54" t="s">
        <v>2645</v>
      </c>
      <c r="G1827" s="25">
        <f t="shared" si="27"/>
        <v>-1.6652009309768956E-2</v>
      </c>
    </row>
    <row r="1828" spans="1:7">
      <c r="A1828" s="54">
        <v>95.001900000000006</v>
      </c>
      <c r="B1828" s="54">
        <v>95.011200000000002</v>
      </c>
      <c r="C1828" s="54">
        <v>90.5137</v>
      </c>
      <c r="D1828" s="54">
        <v>93.236699999999999</v>
      </c>
      <c r="E1828" s="54">
        <v>49498509</v>
      </c>
      <c r="F1828" s="54" t="s">
        <v>2646</v>
      </c>
      <c r="G1828" s="25">
        <f t="shared" si="27"/>
        <v>1.8932458999514123E-2</v>
      </c>
    </row>
    <row r="1829" spans="1:7">
      <c r="A1829" s="54">
        <v>94.419700000000006</v>
      </c>
      <c r="B1829" s="54">
        <v>94.541799999999995</v>
      </c>
      <c r="C1829" s="54">
        <v>88.222700000000003</v>
      </c>
      <c r="D1829" s="54">
        <v>89.330699999999993</v>
      </c>
      <c r="E1829" s="54">
        <v>51634793</v>
      </c>
      <c r="F1829" s="54" t="s">
        <v>2647</v>
      </c>
      <c r="G1829" s="25">
        <f t="shared" si="27"/>
        <v>5.6968097193909939E-2</v>
      </c>
    </row>
    <row r="1830" spans="1:7">
      <c r="A1830" s="54">
        <v>88.382300000000001</v>
      </c>
      <c r="B1830" s="54">
        <v>91.987899999999996</v>
      </c>
      <c r="C1830" s="54">
        <v>88.241500000000002</v>
      </c>
      <c r="D1830" s="54">
        <v>91.715599999999995</v>
      </c>
      <c r="E1830" s="54">
        <v>43935192</v>
      </c>
      <c r="F1830" s="54" t="s">
        <v>2648</v>
      </c>
      <c r="G1830" s="25">
        <f t="shared" si="27"/>
        <v>-3.6343871707757436E-2</v>
      </c>
    </row>
    <row r="1831" spans="1:7">
      <c r="A1831" s="54">
        <v>92.231999999999999</v>
      </c>
      <c r="B1831" s="54">
        <v>96.710700000000003</v>
      </c>
      <c r="C1831" s="54">
        <v>91.509</v>
      </c>
      <c r="D1831" s="54">
        <v>95.424400000000006</v>
      </c>
      <c r="E1831" s="54">
        <v>111242070</v>
      </c>
      <c r="F1831" s="54" t="s">
        <v>2649</v>
      </c>
      <c r="G1831" s="25">
        <f t="shared" si="27"/>
        <v>-3.3454755806690994E-2</v>
      </c>
    </row>
    <row r="1832" spans="1:7">
      <c r="A1832" s="54">
        <v>95.311700000000002</v>
      </c>
      <c r="B1832" s="54">
        <v>97.940700000000007</v>
      </c>
      <c r="C1832" s="54">
        <v>92.748400000000004</v>
      </c>
      <c r="D1832" s="54">
        <v>96.7577</v>
      </c>
      <c r="E1832" s="54">
        <v>70334184</v>
      </c>
      <c r="F1832" s="54" t="s">
        <v>2650</v>
      </c>
      <c r="G1832" s="25">
        <f t="shared" si="27"/>
        <v>-1.4944547048968637E-2</v>
      </c>
    </row>
    <row r="1833" spans="1:7">
      <c r="A1833" s="54">
        <v>97.358599999999996</v>
      </c>
      <c r="B1833" s="54">
        <v>100.35380000000001</v>
      </c>
      <c r="C1833" s="54">
        <v>95.161500000000004</v>
      </c>
      <c r="D1833" s="54">
        <v>97.320999999999998</v>
      </c>
      <c r="E1833" s="54">
        <v>68198186</v>
      </c>
      <c r="F1833" s="54" t="s">
        <v>2651</v>
      </c>
      <c r="G1833" s="25">
        <f t="shared" si="27"/>
        <v>3.8635032521239232E-4</v>
      </c>
    </row>
    <row r="1834" spans="1:7">
      <c r="A1834" s="54">
        <v>97.621499999999997</v>
      </c>
      <c r="B1834" s="54">
        <v>98.128500000000003</v>
      </c>
      <c r="C1834" s="54">
        <v>96.26</v>
      </c>
      <c r="D1834" s="54">
        <v>97.414900000000003</v>
      </c>
      <c r="E1834" s="54">
        <v>49319196</v>
      </c>
      <c r="F1834" s="54" t="s">
        <v>2652</v>
      </c>
      <c r="G1834" s="25">
        <f t="shared" si="27"/>
        <v>2.1208254589388797E-3</v>
      </c>
    </row>
    <row r="1835" spans="1:7">
      <c r="A1835" s="54">
        <v>96.607399999999998</v>
      </c>
      <c r="B1835" s="54">
        <v>99.339799999999997</v>
      </c>
      <c r="C1835" s="54">
        <v>95.499499999999998</v>
      </c>
      <c r="D1835" s="54">
        <v>98.973600000000005</v>
      </c>
      <c r="E1835" s="54">
        <v>56957314</v>
      </c>
      <c r="F1835" s="54" t="s">
        <v>2653</v>
      </c>
      <c r="G1835" s="25">
        <f t="shared" si="27"/>
        <v>-2.3907385403784454E-2</v>
      </c>
    </row>
    <row r="1836" spans="1:7">
      <c r="A1836" s="54">
        <v>99.555700000000002</v>
      </c>
      <c r="B1836" s="54">
        <v>102.5885</v>
      </c>
      <c r="C1836" s="54">
        <v>99.058099999999996</v>
      </c>
      <c r="D1836" s="54">
        <v>101.64019999999999</v>
      </c>
      <c r="E1836" s="54">
        <v>47043136</v>
      </c>
      <c r="F1836" s="54" t="s">
        <v>2654</v>
      </c>
      <c r="G1836" s="25">
        <f t="shared" si="27"/>
        <v>-2.0508617653251293E-2</v>
      </c>
    </row>
    <row r="1837" spans="1:7">
      <c r="A1837" s="54">
        <v>102.76690000000001</v>
      </c>
      <c r="B1837" s="54">
        <v>104.1002</v>
      </c>
      <c r="C1837" s="54">
        <v>101.997</v>
      </c>
      <c r="D1837" s="54">
        <v>102.88890000000001</v>
      </c>
      <c r="E1837" s="54">
        <v>31333362</v>
      </c>
      <c r="F1837" s="54" t="s">
        <v>2655</v>
      </c>
      <c r="G1837" s="25">
        <f t="shared" si="27"/>
        <v>-1.1857450123385904E-3</v>
      </c>
    </row>
    <row r="1838" spans="1:7">
      <c r="A1838" s="54">
        <v>102.4195</v>
      </c>
      <c r="B1838" s="54">
        <v>104.47580000000001</v>
      </c>
      <c r="C1838" s="54">
        <v>102.3819</v>
      </c>
      <c r="D1838" s="54">
        <v>104.119</v>
      </c>
      <c r="E1838" s="54">
        <v>36183020</v>
      </c>
      <c r="F1838" s="54" t="s">
        <v>2656</v>
      </c>
      <c r="G1838" s="25">
        <f t="shared" si="27"/>
        <v>-1.6322669253450384E-2</v>
      </c>
    </row>
    <row r="1839" spans="1:7">
      <c r="A1839" s="54">
        <v>101.9594</v>
      </c>
      <c r="B1839" s="54">
        <v>104.17529999999999</v>
      </c>
      <c r="C1839" s="54">
        <v>100.8796</v>
      </c>
      <c r="D1839" s="54">
        <v>103.0955</v>
      </c>
      <c r="E1839" s="54">
        <v>42381947</v>
      </c>
      <c r="F1839" s="54" t="s">
        <v>2657</v>
      </c>
      <c r="G1839" s="25">
        <f t="shared" si="27"/>
        <v>-1.1019879626171791E-2</v>
      </c>
    </row>
    <row r="1840" spans="1:7">
      <c r="A1840" s="54">
        <v>101.0205</v>
      </c>
      <c r="B1840" s="54">
        <v>101.3866</v>
      </c>
      <c r="C1840" s="54">
        <v>97.546400000000006</v>
      </c>
      <c r="D1840" s="54">
        <v>98.400800000000004</v>
      </c>
      <c r="E1840" s="54">
        <v>40801525</v>
      </c>
      <c r="F1840" s="54" t="s">
        <v>2658</v>
      </c>
      <c r="G1840" s="25">
        <f t="shared" si="27"/>
        <v>2.6622751034544478E-2</v>
      </c>
    </row>
    <row r="1841" spans="1:7">
      <c r="A1841" s="54">
        <v>98.419600000000003</v>
      </c>
      <c r="B1841" s="54">
        <v>102.76690000000001</v>
      </c>
      <c r="C1841" s="54">
        <v>97.931299999999993</v>
      </c>
      <c r="D1841" s="54">
        <v>101.76220000000001</v>
      </c>
      <c r="E1841" s="54">
        <v>45044937</v>
      </c>
      <c r="F1841" s="54" t="s">
        <v>2659</v>
      </c>
      <c r="G1841" s="25">
        <f t="shared" si="27"/>
        <v>-3.2847167219262174E-2</v>
      </c>
    </row>
    <row r="1842" spans="1:7">
      <c r="A1842" s="54">
        <v>102.5228</v>
      </c>
      <c r="B1842" s="54">
        <v>102.5697</v>
      </c>
      <c r="C1842" s="54">
        <v>98.5886</v>
      </c>
      <c r="D1842" s="54">
        <v>99.358500000000006</v>
      </c>
      <c r="E1842" s="54">
        <v>49107431</v>
      </c>
      <c r="F1842" s="54" t="s">
        <v>2660</v>
      </c>
      <c r="G1842" s="25">
        <f t="shared" si="27"/>
        <v>3.1847300432273018E-2</v>
      </c>
    </row>
    <row r="1843" spans="1:7">
      <c r="A1843" s="54">
        <v>101.8937</v>
      </c>
      <c r="B1843" s="54">
        <v>105.75960000000001</v>
      </c>
      <c r="C1843" s="54">
        <v>101.604</v>
      </c>
      <c r="D1843" s="54">
        <v>105.1048</v>
      </c>
      <c r="E1843" s="54">
        <v>45196984</v>
      </c>
      <c r="F1843" s="54" t="s">
        <v>2661</v>
      </c>
      <c r="G1843" s="25">
        <f t="shared" si="27"/>
        <v>-3.0551411543526141E-2</v>
      </c>
    </row>
    <row r="1844" spans="1:7">
      <c r="A1844" s="54">
        <v>105.2457</v>
      </c>
      <c r="B1844" s="54">
        <v>106.4945</v>
      </c>
      <c r="C1844" s="54">
        <v>103.9687</v>
      </c>
      <c r="D1844" s="54">
        <v>106.1001</v>
      </c>
      <c r="E1844" s="54">
        <v>34732772</v>
      </c>
      <c r="F1844" s="54" t="s">
        <v>2662</v>
      </c>
      <c r="G1844" s="25">
        <f t="shared" si="27"/>
        <v>-8.0527728060576509E-3</v>
      </c>
    </row>
    <row r="1845" spans="1:7">
      <c r="A1845" s="54">
        <v>104.119</v>
      </c>
      <c r="B1845" s="54">
        <v>104.19410000000001</v>
      </c>
      <c r="C1845" s="54">
        <v>102.6824</v>
      </c>
      <c r="D1845" s="54">
        <v>103.9406</v>
      </c>
      <c r="E1845" s="54">
        <v>33665624</v>
      </c>
      <c r="F1845" s="54" t="s">
        <v>2663</v>
      </c>
      <c r="G1845" s="25">
        <f t="shared" si="27"/>
        <v>1.7163649238121081E-3</v>
      </c>
    </row>
    <row r="1846" spans="1:7">
      <c r="A1846" s="54">
        <v>103.46169999999999</v>
      </c>
      <c r="B1846" s="54">
        <v>104.3302</v>
      </c>
      <c r="C1846" s="54">
        <v>102.3725</v>
      </c>
      <c r="D1846" s="54">
        <v>103.5932</v>
      </c>
      <c r="E1846" s="54">
        <v>28123195</v>
      </c>
      <c r="F1846" s="54" t="s">
        <v>2664</v>
      </c>
      <c r="G1846" s="25">
        <f t="shared" si="27"/>
        <v>-1.2693883382307591E-3</v>
      </c>
    </row>
    <row r="1847" spans="1:7">
      <c r="A1847" s="54">
        <v>104.3349</v>
      </c>
      <c r="B1847" s="54">
        <v>104.5321</v>
      </c>
      <c r="C1847" s="54">
        <v>101.274</v>
      </c>
      <c r="D1847" s="54">
        <v>101.3021</v>
      </c>
      <c r="E1847" s="54">
        <v>46788461</v>
      </c>
      <c r="F1847" s="54" t="s">
        <v>2665</v>
      </c>
      <c r="G1847" s="25">
        <f t="shared" si="27"/>
        <v>2.9938175023025204E-2</v>
      </c>
    </row>
    <row r="1848" spans="1:7">
      <c r="A1848" s="54">
        <v>100.5979</v>
      </c>
      <c r="B1848" s="54">
        <v>100.77630000000001</v>
      </c>
      <c r="C1848" s="54">
        <v>98.926599999999993</v>
      </c>
      <c r="D1848" s="54">
        <v>99.781099999999995</v>
      </c>
      <c r="E1848" s="54">
        <v>29124486</v>
      </c>
      <c r="F1848" s="54" t="s">
        <v>2666</v>
      </c>
      <c r="G1848" s="25">
        <f t="shared" si="27"/>
        <v>8.1859189766397833E-3</v>
      </c>
    </row>
    <row r="1849" spans="1:7">
      <c r="A1849" s="54">
        <v>99.968800000000002</v>
      </c>
      <c r="B1849" s="54">
        <v>100.1191</v>
      </c>
      <c r="C1849" s="54">
        <v>98.194299999999998</v>
      </c>
      <c r="D1849" s="54">
        <v>98.391400000000004</v>
      </c>
      <c r="E1849" s="54">
        <v>32336165</v>
      </c>
      <c r="F1849" s="54" t="s">
        <v>2667</v>
      </c>
      <c r="G1849" s="25">
        <f t="shared" si="27"/>
        <v>1.6031888965905461E-2</v>
      </c>
    </row>
    <row r="1850" spans="1:7">
      <c r="A1850" s="54">
        <v>96.776499999999999</v>
      </c>
      <c r="B1850" s="54">
        <v>97.471199999999996</v>
      </c>
      <c r="C1850" s="54">
        <v>95.771799999999999</v>
      </c>
      <c r="D1850" s="54">
        <v>95.931399999999996</v>
      </c>
      <c r="E1850" s="54">
        <v>13823099</v>
      </c>
      <c r="F1850" s="54" t="s">
        <v>2668</v>
      </c>
      <c r="G1850" s="25">
        <f t="shared" si="27"/>
        <v>8.8094200647546028E-3</v>
      </c>
    </row>
    <row r="1851" spans="1:7">
      <c r="A1851" s="54">
        <v>96.813999999999993</v>
      </c>
      <c r="B1851" s="54">
        <v>98.053399999999996</v>
      </c>
      <c r="C1851" s="54">
        <v>95.997100000000003</v>
      </c>
      <c r="D1851" s="54">
        <v>97.274100000000004</v>
      </c>
      <c r="E1851" s="54">
        <v>28130621</v>
      </c>
      <c r="F1851" s="54" t="s">
        <v>2669</v>
      </c>
      <c r="G1851" s="25">
        <f t="shared" si="27"/>
        <v>-4.7299332504747715E-3</v>
      </c>
    </row>
    <row r="1852" spans="1:7">
      <c r="A1852" s="54">
        <v>95.499499999999998</v>
      </c>
      <c r="B1852" s="54">
        <v>96.682599999999994</v>
      </c>
      <c r="C1852" s="54">
        <v>93.286199999999994</v>
      </c>
      <c r="D1852" s="54">
        <v>95.584000000000003</v>
      </c>
      <c r="E1852" s="54">
        <v>64052457</v>
      </c>
      <c r="F1852" s="54" t="s">
        <v>2670</v>
      </c>
      <c r="G1852" s="25">
        <f t="shared" si="27"/>
        <v>-8.8403916973556207E-4</v>
      </c>
    </row>
    <row r="1853" spans="1:7">
      <c r="A1853" s="54">
        <v>98.231800000000007</v>
      </c>
      <c r="B1853" s="54">
        <v>101.9312</v>
      </c>
      <c r="C1853" s="54">
        <v>97.227099999999993</v>
      </c>
      <c r="D1853" s="54">
        <v>101.6589</v>
      </c>
      <c r="E1853" s="54">
        <v>44773899</v>
      </c>
      <c r="F1853" s="54" t="s">
        <v>2671</v>
      </c>
      <c r="G1853" s="25">
        <f t="shared" si="27"/>
        <v>-3.3711755684942446E-2</v>
      </c>
    </row>
    <row r="1854" spans="1:7">
      <c r="A1854" s="54">
        <v>101.6777</v>
      </c>
      <c r="B1854" s="54">
        <v>102.2317</v>
      </c>
      <c r="C1854" s="54">
        <v>100.2787</v>
      </c>
      <c r="D1854" s="54">
        <v>100.5416</v>
      </c>
      <c r="E1854" s="54">
        <v>33502121</v>
      </c>
      <c r="F1854" s="54" t="s">
        <v>2672</v>
      </c>
      <c r="G1854" s="25">
        <f t="shared" si="27"/>
        <v>1.1299800281674433E-2</v>
      </c>
    </row>
    <row r="1855" spans="1:7">
      <c r="A1855" s="54">
        <v>100.7294</v>
      </c>
      <c r="B1855" s="54">
        <v>101.2176</v>
      </c>
      <c r="C1855" s="54">
        <v>97.565200000000004</v>
      </c>
      <c r="D1855" s="54">
        <v>98.5792</v>
      </c>
      <c r="E1855" s="54">
        <v>38505165</v>
      </c>
      <c r="F1855" s="54" t="s">
        <v>2673</v>
      </c>
      <c r="G1855" s="25">
        <f t="shared" si="27"/>
        <v>2.1811903525287279E-2</v>
      </c>
    </row>
    <row r="1856" spans="1:7">
      <c r="A1856" s="54">
        <v>98.560400000000001</v>
      </c>
      <c r="B1856" s="54">
        <v>101.6495</v>
      </c>
      <c r="C1856" s="54">
        <v>98.090999999999994</v>
      </c>
      <c r="D1856" s="54">
        <v>101.49930000000001</v>
      </c>
      <c r="E1856" s="54">
        <v>39495141</v>
      </c>
      <c r="F1856" s="54" t="s">
        <v>2674</v>
      </c>
      <c r="G1856" s="25">
        <f t="shared" si="27"/>
        <v>-2.8954879491779772E-2</v>
      </c>
    </row>
    <row r="1857" spans="1:7">
      <c r="A1857" s="54">
        <v>99.978200000000001</v>
      </c>
      <c r="B1857" s="54">
        <v>101.6611</v>
      </c>
      <c r="C1857" s="54">
        <v>99.697800000000001</v>
      </c>
      <c r="D1857" s="54">
        <v>100.5485</v>
      </c>
      <c r="E1857" s="54">
        <v>35374583</v>
      </c>
      <c r="F1857" s="54" t="s">
        <v>2675</v>
      </c>
      <c r="G1857" s="25">
        <f t="shared" si="27"/>
        <v>-5.6718896850773692E-3</v>
      </c>
    </row>
    <row r="1858" spans="1:7">
      <c r="A1858" s="54">
        <v>99.912800000000004</v>
      </c>
      <c r="B1858" s="54">
        <v>102.80159999999999</v>
      </c>
      <c r="C1858" s="54">
        <v>99.192899999999995</v>
      </c>
      <c r="D1858" s="54">
        <v>102.2968</v>
      </c>
      <c r="E1858" s="54">
        <v>33621807</v>
      </c>
      <c r="F1858" s="54" t="s">
        <v>2676</v>
      </c>
      <c r="G1858" s="25">
        <f t="shared" si="27"/>
        <v>-2.3304736805061399E-2</v>
      </c>
    </row>
    <row r="1859" spans="1:7">
      <c r="A1859" s="54">
        <v>102.437</v>
      </c>
      <c r="B1859" s="54">
        <v>104.19459999999999</v>
      </c>
      <c r="C1859" s="54">
        <v>101.6798</v>
      </c>
      <c r="D1859" s="54">
        <v>103.6337</v>
      </c>
      <c r="E1859" s="54">
        <v>32039223</v>
      </c>
      <c r="F1859" s="54" t="s">
        <v>2677</v>
      </c>
      <c r="G1859" s="25">
        <f t="shared" si="27"/>
        <v>-1.154740205164928E-2</v>
      </c>
    </row>
    <row r="1860" spans="1:7">
      <c r="A1860" s="54">
        <v>104.4751</v>
      </c>
      <c r="B1860" s="54">
        <v>104.90519999999999</v>
      </c>
      <c r="C1860" s="54">
        <v>103.68980000000001</v>
      </c>
      <c r="D1860" s="54">
        <v>104.5219</v>
      </c>
      <c r="E1860" s="54">
        <v>25644105</v>
      </c>
      <c r="F1860" s="54" t="s">
        <v>2678</v>
      </c>
      <c r="G1860" s="25">
        <f t="shared" si="27"/>
        <v>-4.4775305462307902E-4</v>
      </c>
    </row>
    <row r="1861" spans="1:7">
      <c r="A1861" s="54">
        <v>104.67140000000001</v>
      </c>
      <c r="B1861" s="54">
        <v>104.9332</v>
      </c>
      <c r="C1861" s="54">
        <v>102.27809999999999</v>
      </c>
      <c r="D1861" s="54">
        <v>102.3155</v>
      </c>
      <c r="E1861" s="54">
        <v>37901704</v>
      </c>
      <c r="F1861" s="54" t="s">
        <v>2679</v>
      </c>
      <c r="G1861" s="25">
        <f t="shared" si="27"/>
        <v>2.3025836750052653E-2</v>
      </c>
    </row>
    <row r="1862" spans="1:7">
      <c r="A1862" s="54">
        <v>100.7075</v>
      </c>
      <c r="B1862" s="54">
        <v>101.75449999999999</v>
      </c>
      <c r="C1862" s="54">
        <v>99.361199999999997</v>
      </c>
      <c r="D1862" s="54">
        <v>100.3896</v>
      </c>
      <c r="E1862" s="54">
        <v>24340248</v>
      </c>
      <c r="F1862" s="54" t="s">
        <v>2680</v>
      </c>
      <c r="G1862" s="25">
        <f t="shared" si="27"/>
        <v>3.1666626821902355E-3</v>
      </c>
    </row>
    <row r="1863" spans="1:7">
      <c r="A1863" s="54">
        <v>100.5111</v>
      </c>
      <c r="B1863" s="54">
        <v>100.72620000000001</v>
      </c>
      <c r="C1863" s="54">
        <v>99.005899999999997</v>
      </c>
      <c r="D1863" s="54">
        <v>99.445300000000003</v>
      </c>
      <c r="E1863" s="54">
        <v>27922144</v>
      </c>
      <c r="F1863" s="54" t="s">
        <v>2681</v>
      </c>
      <c r="G1863" s="25">
        <f t="shared" si="27"/>
        <v>1.0717449693449455E-2</v>
      </c>
    </row>
    <row r="1864" spans="1:7">
      <c r="A1864" s="54">
        <v>99.248999999999995</v>
      </c>
      <c r="B1864" s="54">
        <v>100.3335</v>
      </c>
      <c r="C1864" s="54">
        <v>98.141199999999998</v>
      </c>
      <c r="D1864" s="54">
        <v>99.548199999999994</v>
      </c>
      <c r="E1864" s="54">
        <v>37680194</v>
      </c>
      <c r="F1864" s="54" t="s">
        <v>2682</v>
      </c>
      <c r="G1864" s="25">
        <f t="shared" si="27"/>
        <v>-3.0055792068566234E-3</v>
      </c>
    </row>
    <row r="1865" spans="1:7">
      <c r="A1865" s="54">
        <v>99.024600000000007</v>
      </c>
      <c r="B1865" s="54">
        <v>100.3335</v>
      </c>
      <c r="C1865" s="54">
        <v>98.66</v>
      </c>
      <c r="D1865" s="54">
        <v>100.08110000000001</v>
      </c>
      <c r="E1865" s="54">
        <v>33384201</v>
      </c>
      <c r="F1865" s="54" t="s">
        <v>2683</v>
      </c>
      <c r="G1865" s="25">
        <f t="shared" si="27"/>
        <v>-1.0556438728191453E-2</v>
      </c>
    </row>
    <row r="1866" spans="1:7">
      <c r="A1866" s="54">
        <v>99.856700000000004</v>
      </c>
      <c r="B1866" s="54">
        <v>101.1001</v>
      </c>
      <c r="C1866" s="54">
        <v>98.5291</v>
      </c>
      <c r="D1866" s="54">
        <v>98.571200000000005</v>
      </c>
      <c r="E1866" s="54">
        <v>51062383</v>
      </c>
      <c r="F1866" s="54" t="s">
        <v>2684</v>
      </c>
      <c r="G1866" s="25">
        <f t="shared" si="27"/>
        <v>1.3041334588602016E-2</v>
      </c>
    </row>
    <row r="1867" spans="1:7">
      <c r="A1867" s="54">
        <v>96.977199999999996</v>
      </c>
      <c r="B1867" s="54">
        <v>97.584900000000005</v>
      </c>
      <c r="C1867" s="54">
        <v>93.5929</v>
      </c>
      <c r="D1867" s="54">
        <v>96.911799999999999</v>
      </c>
      <c r="E1867" s="54">
        <v>65350878</v>
      </c>
      <c r="F1867" s="54" t="s">
        <v>2685</v>
      </c>
      <c r="G1867" s="25">
        <f t="shared" si="27"/>
        <v>6.748404219094617E-4</v>
      </c>
    </row>
    <row r="1868" spans="1:7">
      <c r="A1868" s="54">
        <v>97.089399999999998</v>
      </c>
      <c r="B1868" s="54">
        <v>101.6237</v>
      </c>
      <c r="C1868" s="54">
        <v>95.013900000000007</v>
      </c>
      <c r="D1868" s="54">
        <v>101.06740000000001</v>
      </c>
      <c r="E1868" s="54">
        <v>55162001</v>
      </c>
      <c r="F1868" s="54" t="s">
        <v>2686</v>
      </c>
      <c r="G1868" s="25">
        <f t="shared" si="27"/>
        <v>-3.9359872718601752E-2</v>
      </c>
    </row>
    <row r="1869" spans="1:7">
      <c r="A1869" s="54">
        <v>99.996899999999997</v>
      </c>
      <c r="B1869" s="54">
        <v>101.6704</v>
      </c>
      <c r="C1869" s="54">
        <v>97.940200000000004</v>
      </c>
      <c r="D1869" s="54">
        <v>98.809600000000003</v>
      </c>
      <c r="E1869" s="54">
        <v>55523104</v>
      </c>
      <c r="F1869" s="54" t="s">
        <v>2687</v>
      </c>
      <c r="G1869" s="25">
        <f t="shared" si="27"/>
        <v>1.2016038927391559E-2</v>
      </c>
    </row>
    <row r="1870" spans="1:7">
      <c r="A1870" s="54">
        <v>101.2497</v>
      </c>
      <c r="B1870" s="54">
        <v>102.1566</v>
      </c>
      <c r="C1870" s="54">
        <v>99.239699999999999</v>
      </c>
      <c r="D1870" s="54">
        <v>99.613600000000005</v>
      </c>
      <c r="E1870" s="54">
        <v>61646819</v>
      </c>
      <c r="F1870" s="54" t="s">
        <v>2688</v>
      </c>
      <c r="G1870" s="25">
        <f t="shared" si="27"/>
        <v>1.6424464129396021E-2</v>
      </c>
    </row>
    <row r="1871" spans="1:7">
      <c r="A1871" s="54">
        <v>95.659000000000006</v>
      </c>
      <c r="B1871" s="54">
        <v>101.4273</v>
      </c>
      <c r="C1871" s="54">
        <v>94.976600000000005</v>
      </c>
      <c r="D1871" s="54">
        <v>101.35250000000001</v>
      </c>
      <c r="E1871" s="54">
        <v>63897759</v>
      </c>
      <c r="F1871" s="54" t="s">
        <v>2689</v>
      </c>
      <c r="G1871" s="25">
        <f t="shared" si="27"/>
        <v>-5.6175230014059885E-2</v>
      </c>
    </row>
    <row r="1872" spans="1:7">
      <c r="A1872" s="54">
        <v>101.06270000000001</v>
      </c>
      <c r="B1872" s="54">
        <v>101.87609999999999</v>
      </c>
      <c r="C1872" s="54">
        <v>98.267399999999995</v>
      </c>
      <c r="D1872" s="54">
        <v>100.7542</v>
      </c>
      <c r="E1872" s="54">
        <v>43770429</v>
      </c>
      <c r="F1872" s="54" t="s">
        <v>2690</v>
      </c>
      <c r="G1872" s="25">
        <f t="shared" si="27"/>
        <v>3.0619070966768636E-3</v>
      </c>
    </row>
    <row r="1873" spans="1:7">
      <c r="A1873" s="54">
        <v>102.4931</v>
      </c>
      <c r="B1873" s="54">
        <v>103.3439</v>
      </c>
      <c r="C1873" s="54">
        <v>101.1936</v>
      </c>
      <c r="D1873" s="54">
        <v>102.2033</v>
      </c>
      <c r="E1873" s="54">
        <v>26545607</v>
      </c>
      <c r="F1873" s="54" t="s">
        <v>2691</v>
      </c>
      <c r="G1873" s="25">
        <f t="shared" si="27"/>
        <v>2.8355248803120237E-3</v>
      </c>
    </row>
    <row r="1874" spans="1:7">
      <c r="A1874" s="54">
        <v>101.58629999999999</v>
      </c>
      <c r="B1874" s="54">
        <v>103.643</v>
      </c>
      <c r="C1874" s="54">
        <v>101.1656</v>
      </c>
      <c r="D1874" s="54">
        <v>101.8387</v>
      </c>
      <c r="E1874" s="54">
        <v>32785475</v>
      </c>
      <c r="F1874" s="54" t="s">
        <v>2692</v>
      </c>
      <c r="G1874" s="25">
        <f t="shared" si="27"/>
        <v>-2.4784291237025524E-3</v>
      </c>
    </row>
    <row r="1875" spans="1:7">
      <c r="A1875" s="54">
        <v>101.4367</v>
      </c>
      <c r="B1875" s="54">
        <v>103.33450000000001</v>
      </c>
      <c r="C1875" s="54">
        <v>100.8103</v>
      </c>
      <c r="D1875" s="54">
        <v>102.9325</v>
      </c>
      <c r="E1875" s="54">
        <v>32506192</v>
      </c>
      <c r="F1875" s="54" t="s">
        <v>2693</v>
      </c>
      <c r="G1875" s="25">
        <f t="shared" si="27"/>
        <v>-1.4531853399072259E-2</v>
      </c>
    </row>
    <row r="1876" spans="1:7">
      <c r="A1876" s="54">
        <v>103.50279999999999</v>
      </c>
      <c r="B1876" s="54">
        <v>104.5312</v>
      </c>
      <c r="C1876" s="54">
        <v>102.4166</v>
      </c>
      <c r="D1876" s="54">
        <v>104.4097</v>
      </c>
      <c r="E1876" s="54">
        <v>26548243</v>
      </c>
      <c r="F1876" s="54" t="s">
        <v>2694</v>
      </c>
      <c r="G1876" s="25">
        <f t="shared" si="27"/>
        <v>-8.6859745789903409E-3</v>
      </c>
    </row>
    <row r="1877" spans="1:7">
      <c r="A1877" s="54">
        <v>103.7739</v>
      </c>
      <c r="B1877" s="54">
        <v>104.1572</v>
      </c>
      <c r="C1877" s="54">
        <v>101.8574</v>
      </c>
      <c r="D1877" s="54">
        <v>102.40900000000001</v>
      </c>
      <c r="E1877" s="54">
        <v>31610164</v>
      </c>
      <c r="F1877" s="54" t="s">
        <v>2695</v>
      </c>
      <c r="G1877" s="25">
        <f t="shared" si="27"/>
        <v>1.3327930162388091E-2</v>
      </c>
    </row>
    <row r="1878" spans="1:7">
      <c r="A1878" s="54">
        <v>100.59529999999999</v>
      </c>
      <c r="B1878" s="54">
        <v>102.35290000000001</v>
      </c>
      <c r="C1878" s="54">
        <v>99.9846</v>
      </c>
      <c r="D1878" s="54">
        <v>101.82</v>
      </c>
      <c r="E1878" s="54">
        <v>32068103</v>
      </c>
      <c r="F1878" s="54" t="s">
        <v>2696</v>
      </c>
      <c r="G1878" s="25">
        <f t="shared" si="27"/>
        <v>-1.2028088784128865E-2</v>
      </c>
    </row>
    <row r="1879" spans="1:7">
      <c r="A1879" s="54">
        <v>102.437</v>
      </c>
      <c r="B1879" s="54">
        <v>103.9983</v>
      </c>
      <c r="C1879" s="54">
        <v>100.1465</v>
      </c>
      <c r="D1879" s="54">
        <v>101.9135</v>
      </c>
      <c r="E1879" s="54">
        <v>47742109</v>
      </c>
      <c r="F1879" s="54" t="s">
        <v>2697</v>
      </c>
      <c r="G1879" s="25">
        <f t="shared" si="27"/>
        <v>5.1367090719089958E-3</v>
      </c>
    </row>
    <row r="1880" spans="1:7">
      <c r="A1880" s="54">
        <v>99.015299999999996</v>
      </c>
      <c r="B1880" s="54">
        <v>101.8387</v>
      </c>
      <c r="C1880" s="54">
        <v>97.416600000000003</v>
      </c>
      <c r="D1880" s="54">
        <v>98.491699999999994</v>
      </c>
      <c r="E1880" s="54">
        <v>63904282</v>
      </c>
      <c r="F1880" s="54" t="s">
        <v>2698</v>
      </c>
      <c r="G1880" s="25">
        <f t="shared" ref="G1880:G1943" si="28">A1880/D1880-1</f>
        <v>5.316184003322233E-3</v>
      </c>
    </row>
    <row r="1881" spans="1:7">
      <c r="A1881" s="54">
        <v>99.248999999999995</v>
      </c>
      <c r="B1881" s="54">
        <v>104.2414</v>
      </c>
      <c r="C1881" s="54">
        <v>98.903099999999995</v>
      </c>
      <c r="D1881" s="54">
        <v>103.9983</v>
      </c>
      <c r="E1881" s="54">
        <v>61376315</v>
      </c>
      <c r="F1881" s="54" t="s">
        <v>2699</v>
      </c>
      <c r="G1881" s="25">
        <f t="shared" si="28"/>
        <v>-4.5667092635168105E-2</v>
      </c>
    </row>
    <row r="1882" spans="1:7">
      <c r="A1882" s="54">
        <v>104.95189999999999</v>
      </c>
      <c r="B1882" s="54">
        <v>105.71850000000001</v>
      </c>
      <c r="C1882" s="54">
        <v>103.587</v>
      </c>
      <c r="D1882" s="54">
        <v>103.90479999999999</v>
      </c>
      <c r="E1882" s="54">
        <v>26198594</v>
      </c>
      <c r="F1882" s="54" t="s">
        <v>2700</v>
      </c>
      <c r="G1882" s="25">
        <f t="shared" si="28"/>
        <v>1.0077494013751132E-2</v>
      </c>
    </row>
    <row r="1883" spans="1:7">
      <c r="A1883" s="54">
        <v>103.6337</v>
      </c>
      <c r="B1883" s="54">
        <v>104.73690000000001</v>
      </c>
      <c r="C1883" s="54">
        <v>102.22199999999999</v>
      </c>
      <c r="D1883" s="54">
        <v>104.39100000000001</v>
      </c>
      <c r="E1883" s="54">
        <v>29640588</v>
      </c>
      <c r="F1883" s="54" t="s">
        <v>2701</v>
      </c>
      <c r="G1883" s="25">
        <f t="shared" si="28"/>
        <v>-7.2544568018315658E-3</v>
      </c>
    </row>
    <row r="1884" spans="1:7">
      <c r="A1884" s="54">
        <v>104.8304</v>
      </c>
      <c r="B1884" s="54">
        <v>105.8027</v>
      </c>
      <c r="C1884" s="54">
        <v>103.4374</v>
      </c>
      <c r="D1884" s="54">
        <v>105.2978</v>
      </c>
      <c r="E1884" s="54">
        <v>29068859</v>
      </c>
      <c r="F1884" s="54" t="s">
        <v>2702</v>
      </c>
      <c r="G1884" s="25">
        <f t="shared" si="28"/>
        <v>-4.4388391780264547E-3</v>
      </c>
    </row>
    <row r="1885" spans="1:7">
      <c r="A1885" s="54">
        <v>105.4474</v>
      </c>
      <c r="B1885" s="54">
        <v>107.288</v>
      </c>
      <c r="C1885" s="54">
        <v>104.3629</v>
      </c>
      <c r="D1885" s="54">
        <v>107.1489</v>
      </c>
      <c r="E1885" s="54">
        <v>34821717</v>
      </c>
      <c r="F1885" s="54" t="s">
        <v>2703</v>
      </c>
      <c r="G1885" s="25">
        <f t="shared" si="28"/>
        <v>-1.5879771047579538E-2</v>
      </c>
    </row>
    <row r="1886" spans="1:7">
      <c r="A1886" s="54">
        <v>107.6725</v>
      </c>
      <c r="B1886" s="54">
        <v>108.61669999999999</v>
      </c>
      <c r="C1886" s="54">
        <v>107.4481</v>
      </c>
      <c r="D1886" s="54">
        <v>107.9062</v>
      </c>
      <c r="E1886" s="54">
        <v>16648018</v>
      </c>
      <c r="F1886" s="54" t="s">
        <v>2704</v>
      </c>
      <c r="G1886" s="25">
        <f t="shared" si="28"/>
        <v>-2.1657699001540465E-3</v>
      </c>
    </row>
    <row r="1887" spans="1:7">
      <c r="A1887" s="54">
        <v>107.6538</v>
      </c>
      <c r="B1887" s="54">
        <v>108.2988</v>
      </c>
      <c r="C1887" s="54">
        <v>106.99</v>
      </c>
      <c r="D1887" s="54">
        <v>107.794</v>
      </c>
      <c r="E1887" s="54">
        <v>20787239</v>
      </c>
      <c r="F1887" s="54" t="s">
        <v>2705</v>
      </c>
      <c r="G1887" s="25">
        <f t="shared" si="28"/>
        <v>-1.300628977494056E-3</v>
      </c>
    </row>
    <row r="1888" spans="1:7">
      <c r="A1888" s="54">
        <v>108.0838</v>
      </c>
      <c r="B1888" s="54">
        <v>108.1493</v>
      </c>
      <c r="C1888" s="54">
        <v>107.2611</v>
      </c>
      <c r="D1888" s="54">
        <v>107.27979999999999</v>
      </c>
      <c r="E1888" s="54">
        <v>18883079</v>
      </c>
      <c r="F1888" s="54" t="s">
        <v>2706</v>
      </c>
      <c r="G1888" s="25">
        <f t="shared" si="28"/>
        <v>7.4944211305389974E-3</v>
      </c>
    </row>
    <row r="1889" spans="1:7">
      <c r="A1889" s="54">
        <v>106.92449999999999</v>
      </c>
      <c r="B1889" s="54">
        <v>107.11150000000001</v>
      </c>
      <c r="C1889" s="54">
        <v>106.2795</v>
      </c>
      <c r="D1889" s="54">
        <v>106.7563</v>
      </c>
      <c r="E1889" s="54">
        <v>21647811</v>
      </c>
      <c r="F1889" s="54" t="s">
        <v>2707</v>
      </c>
      <c r="G1889" s="25">
        <f t="shared" si="28"/>
        <v>1.5755510447625909E-3</v>
      </c>
    </row>
    <row r="1890" spans="1:7">
      <c r="A1890" s="54">
        <v>106.9619</v>
      </c>
      <c r="B1890" s="54">
        <v>107.4294</v>
      </c>
      <c r="C1890" s="54">
        <v>106.76560000000001</v>
      </c>
      <c r="D1890" s="54">
        <v>107.3079</v>
      </c>
      <c r="E1890" s="54">
        <v>19091299</v>
      </c>
      <c r="F1890" s="54" t="s">
        <v>2708</v>
      </c>
      <c r="G1890" s="25">
        <f t="shared" si="28"/>
        <v>-3.2243665191472592E-3</v>
      </c>
    </row>
    <row r="1891" spans="1:7">
      <c r="A1891" s="54">
        <v>106.5599</v>
      </c>
      <c r="B1891" s="54">
        <v>107.565</v>
      </c>
      <c r="C1891" s="54">
        <v>106.3356</v>
      </c>
      <c r="D1891" s="54">
        <v>107.018</v>
      </c>
      <c r="E1891" s="54">
        <v>19352025</v>
      </c>
      <c r="F1891" s="54" t="s">
        <v>2709</v>
      </c>
      <c r="G1891" s="25">
        <f t="shared" si="28"/>
        <v>-4.280588312246536E-3</v>
      </c>
    </row>
    <row r="1892" spans="1:7">
      <c r="A1892" s="54">
        <v>106.99930000000001</v>
      </c>
      <c r="B1892" s="54">
        <v>107.607</v>
      </c>
      <c r="C1892" s="54">
        <v>106.3449</v>
      </c>
      <c r="D1892" s="54">
        <v>107.3266</v>
      </c>
      <c r="E1892" s="54">
        <v>22668014</v>
      </c>
      <c r="F1892" s="54" t="s">
        <v>2710</v>
      </c>
      <c r="G1892" s="25">
        <f t="shared" si="28"/>
        <v>-3.0495701904280637E-3</v>
      </c>
    </row>
    <row r="1893" spans="1:7">
      <c r="A1893" s="54">
        <v>107.205</v>
      </c>
      <c r="B1893" s="54">
        <v>107.42</v>
      </c>
      <c r="C1893" s="54">
        <v>104.9122</v>
      </c>
      <c r="D1893" s="54">
        <v>105.6718</v>
      </c>
      <c r="E1893" s="54">
        <v>27334460</v>
      </c>
      <c r="F1893" s="54" t="s">
        <v>2711</v>
      </c>
      <c r="G1893" s="25">
        <f t="shared" si="28"/>
        <v>1.4509074322572202E-2</v>
      </c>
    </row>
    <row r="1894" spans="1:7">
      <c r="A1894" s="54">
        <v>106.82170000000001</v>
      </c>
      <c r="B1894" s="54">
        <v>107.7847</v>
      </c>
      <c r="C1894" s="54">
        <v>106.12050000000001</v>
      </c>
      <c r="D1894" s="54">
        <v>106.57859999999999</v>
      </c>
      <c r="E1894" s="54">
        <v>71229698</v>
      </c>
      <c r="F1894" s="54" t="s">
        <v>2712</v>
      </c>
      <c r="G1894" s="25">
        <f t="shared" si="28"/>
        <v>2.2809457057983984E-3</v>
      </c>
    </row>
    <row r="1895" spans="1:7">
      <c r="A1895" s="54">
        <v>106.17659999999999</v>
      </c>
      <c r="B1895" s="54">
        <v>106.3917</v>
      </c>
      <c r="C1895" s="54">
        <v>104.6434</v>
      </c>
      <c r="D1895" s="54">
        <v>104.9706</v>
      </c>
      <c r="E1895" s="54">
        <v>23714512</v>
      </c>
      <c r="F1895" s="54" t="s">
        <v>2713</v>
      </c>
      <c r="G1895" s="25">
        <f t="shared" si="28"/>
        <v>1.1488931186446338E-2</v>
      </c>
    </row>
    <row r="1896" spans="1:7">
      <c r="A1896" s="54">
        <v>104.4284</v>
      </c>
      <c r="B1896" s="54">
        <v>105.94289999999999</v>
      </c>
      <c r="C1896" s="54">
        <v>103.80670000000001</v>
      </c>
      <c r="D1896" s="54">
        <v>105.6905</v>
      </c>
      <c r="E1896" s="54">
        <v>21728429</v>
      </c>
      <c r="F1896" s="54" t="s">
        <v>2714</v>
      </c>
      <c r="G1896" s="25">
        <f t="shared" si="28"/>
        <v>-1.1941470614672101E-2</v>
      </c>
    </row>
    <row r="1897" spans="1:7">
      <c r="A1897" s="54">
        <v>105.84010000000001</v>
      </c>
      <c r="B1897" s="54">
        <v>106.29349999999999</v>
      </c>
      <c r="C1897" s="54">
        <v>104.44710000000001</v>
      </c>
      <c r="D1897" s="54">
        <v>104.8865</v>
      </c>
      <c r="E1897" s="54">
        <v>22012539</v>
      </c>
      <c r="F1897" s="54" t="s">
        <v>2715</v>
      </c>
      <c r="G1897" s="25">
        <f t="shared" si="28"/>
        <v>9.0917324917887399E-3</v>
      </c>
    </row>
    <row r="1898" spans="1:7">
      <c r="A1898" s="54">
        <v>104.83969999999999</v>
      </c>
      <c r="B1898" s="54">
        <v>106.29819999999999</v>
      </c>
      <c r="C1898" s="54">
        <v>104.5779</v>
      </c>
      <c r="D1898" s="54">
        <v>106.28879999999999</v>
      </c>
      <c r="E1898" s="54">
        <v>19564801</v>
      </c>
      <c r="F1898" s="54" t="s">
        <v>2716</v>
      </c>
      <c r="G1898" s="25">
        <f t="shared" si="28"/>
        <v>-1.3633609561872984E-2</v>
      </c>
    </row>
    <row r="1899" spans="1:7">
      <c r="A1899" s="54">
        <v>105.9896</v>
      </c>
      <c r="B1899" s="54">
        <v>106.3262</v>
      </c>
      <c r="C1899" s="54">
        <v>105.1202</v>
      </c>
      <c r="D1899" s="54">
        <v>105.9803</v>
      </c>
      <c r="E1899" s="54">
        <v>18173497</v>
      </c>
      <c r="F1899" s="54" t="s">
        <v>2717</v>
      </c>
      <c r="G1899" s="25">
        <f t="shared" si="28"/>
        <v>8.7752157712284173E-5</v>
      </c>
    </row>
    <row r="1900" spans="1:7">
      <c r="A1900" s="54">
        <v>105.5596</v>
      </c>
      <c r="B1900" s="54">
        <v>106.3215</v>
      </c>
      <c r="C1900" s="54">
        <v>104.821</v>
      </c>
      <c r="D1900" s="54">
        <v>104.821</v>
      </c>
      <c r="E1900" s="54">
        <v>25094625</v>
      </c>
      <c r="F1900" s="54" t="s">
        <v>2718</v>
      </c>
      <c r="G1900" s="25">
        <f t="shared" si="28"/>
        <v>7.0462979746426235E-3</v>
      </c>
    </row>
    <row r="1901" spans="1:7">
      <c r="A1901" s="54">
        <v>104.43770000000001</v>
      </c>
      <c r="B1901" s="54">
        <v>104.5686</v>
      </c>
      <c r="C1901" s="54">
        <v>103.3158</v>
      </c>
      <c r="D1901" s="54">
        <v>104.1759</v>
      </c>
      <c r="E1901" s="54">
        <v>18769284</v>
      </c>
      <c r="F1901" s="54" t="s">
        <v>2719</v>
      </c>
      <c r="G1901" s="25">
        <f t="shared" si="28"/>
        <v>2.5130572426061981E-3</v>
      </c>
    </row>
    <row r="1902" spans="1:7">
      <c r="A1902" s="54">
        <v>103.9983</v>
      </c>
      <c r="B1902" s="54">
        <v>104.32550000000001</v>
      </c>
      <c r="C1902" s="54">
        <v>101.8013</v>
      </c>
      <c r="D1902" s="54">
        <v>101.81059999999999</v>
      </c>
      <c r="E1902" s="54">
        <v>23783247</v>
      </c>
      <c r="F1902" s="54" t="s">
        <v>2720</v>
      </c>
      <c r="G1902" s="25">
        <f t="shared" si="28"/>
        <v>2.1487939369770892E-2</v>
      </c>
    </row>
    <row r="1903" spans="1:7">
      <c r="A1903" s="54">
        <v>102.2594</v>
      </c>
      <c r="B1903" s="54">
        <v>102.5025</v>
      </c>
      <c r="C1903" s="54">
        <v>101.3058</v>
      </c>
      <c r="D1903" s="54">
        <v>101.75449999999999</v>
      </c>
      <c r="E1903" s="54">
        <v>20727906</v>
      </c>
      <c r="F1903" s="54" t="s">
        <v>2721</v>
      </c>
      <c r="G1903" s="25">
        <f t="shared" si="28"/>
        <v>4.961942715064227E-3</v>
      </c>
    </row>
    <row r="1904" spans="1:7">
      <c r="A1904" s="54">
        <v>101.1656</v>
      </c>
      <c r="B1904" s="54">
        <v>101.6468</v>
      </c>
      <c r="C1904" s="54">
        <v>100.24939999999999</v>
      </c>
      <c r="D1904" s="54">
        <v>101.18429999999999</v>
      </c>
      <c r="E1904" s="54">
        <v>22498646</v>
      </c>
      <c r="F1904" s="54" t="s">
        <v>2722</v>
      </c>
      <c r="G1904" s="25">
        <f t="shared" si="28"/>
        <v>-1.8481128001079927E-4</v>
      </c>
    </row>
    <row r="1905" spans="1:7">
      <c r="A1905" s="54">
        <v>101.6611</v>
      </c>
      <c r="B1905" s="54">
        <v>101.8948</v>
      </c>
      <c r="C1905" s="54">
        <v>100.5111</v>
      </c>
      <c r="D1905" s="54">
        <v>101.203</v>
      </c>
      <c r="E1905" s="54">
        <v>23477624</v>
      </c>
      <c r="F1905" s="54" t="s">
        <v>2723</v>
      </c>
      <c r="G1905" s="25">
        <f t="shared" si="28"/>
        <v>4.5265456557612715E-3</v>
      </c>
    </row>
    <row r="1906" spans="1:7">
      <c r="A1906" s="54">
        <v>101.4273</v>
      </c>
      <c r="B1906" s="54">
        <v>104.1666</v>
      </c>
      <c r="C1906" s="54">
        <v>101.06270000000001</v>
      </c>
      <c r="D1906" s="54">
        <v>103.7833</v>
      </c>
      <c r="E1906" s="54">
        <v>32872352</v>
      </c>
      <c r="F1906" s="54" t="s">
        <v>2724</v>
      </c>
      <c r="G1906" s="25">
        <f t="shared" si="28"/>
        <v>-2.2701147487119711E-2</v>
      </c>
    </row>
    <row r="1907" spans="1:7">
      <c r="A1907" s="54">
        <v>104.43770000000001</v>
      </c>
      <c r="B1907" s="54">
        <v>104.66679999999999</v>
      </c>
      <c r="C1907" s="54">
        <v>103.04470000000001</v>
      </c>
      <c r="D1907" s="54">
        <v>103.6337</v>
      </c>
      <c r="E1907" s="54">
        <v>22634641</v>
      </c>
      <c r="F1907" s="54" t="s">
        <v>2725</v>
      </c>
      <c r="G1907" s="25">
        <f t="shared" si="28"/>
        <v>7.7580941334720599E-3</v>
      </c>
    </row>
    <row r="1908" spans="1:7">
      <c r="A1908" s="54">
        <v>105.01730000000001</v>
      </c>
      <c r="B1908" s="54">
        <v>105.43519999999999</v>
      </c>
      <c r="C1908" s="54">
        <v>104.25539999999999</v>
      </c>
      <c r="D1908" s="54">
        <v>104.4143</v>
      </c>
      <c r="E1908" s="54">
        <v>23222713</v>
      </c>
      <c r="F1908" s="54" t="s">
        <v>2726</v>
      </c>
      <c r="G1908" s="25">
        <f t="shared" si="28"/>
        <v>5.7750710391202276E-3</v>
      </c>
    </row>
    <row r="1909" spans="1:7">
      <c r="A1909" s="54">
        <v>104.6621</v>
      </c>
      <c r="B1909" s="54">
        <v>105.2791</v>
      </c>
      <c r="C1909" s="54">
        <v>104.1853</v>
      </c>
      <c r="D1909" s="54">
        <v>104.4003</v>
      </c>
      <c r="E1909" s="54">
        <v>22798702</v>
      </c>
      <c r="F1909" s="54" t="s">
        <v>2727</v>
      </c>
      <c r="G1909" s="25">
        <f t="shared" si="28"/>
        <v>2.507655629341965E-3</v>
      </c>
    </row>
    <row r="1910" spans="1:7">
      <c r="A1910" s="54">
        <v>104.72750000000001</v>
      </c>
      <c r="B1910" s="54">
        <v>104.73690000000001</v>
      </c>
      <c r="C1910" s="54">
        <v>103.0915</v>
      </c>
      <c r="D1910" s="54">
        <v>103.2597</v>
      </c>
      <c r="E1910" s="54">
        <v>20818044</v>
      </c>
      <c r="F1910" s="54" t="s">
        <v>2728</v>
      </c>
      <c r="G1910" s="25">
        <f t="shared" si="28"/>
        <v>1.4214645210086863E-2</v>
      </c>
    </row>
    <row r="1911" spans="1:7">
      <c r="A1911" s="54">
        <v>103.0821</v>
      </c>
      <c r="B1911" s="54">
        <v>103.3065</v>
      </c>
      <c r="C1911" s="54">
        <v>102.6427</v>
      </c>
      <c r="D1911" s="54">
        <v>102.7829</v>
      </c>
      <c r="E1911" s="54">
        <v>19151528</v>
      </c>
      <c r="F1911" s="54" t="s">
        <v>2729</v>
      </c>
      <c r="G1911" s="25">
        <f t="shared" si="28"/>
        <v>2.9109900576846925E-3</v>
      </c>
    </row>
    <row r="1912" spans="1:7">
      <c r="A1912" s="54">
        <v>102.46510000000001</v>
      </c>
      <c r="B1912" s="54">
        <v>102.5025</v>
      </c>
      <c r="C1912" s="54">
        <v>101.446</v>
      </c>
      <c r="D1912" s="54">
        <v>102.1566</v>
      </c>
      <c r="E1912" s="54">
        <v>19662331</v>
      </c>
      <c r="F1912" s="54" t="s">
        <v>2730</v>
      </c>
      <c r="G1912" s="25">
        <f t="shared" si="28"/>
        <v>3.0198734100392866E-3</v>
      </c>
    </row>
    <row r="1913" spans="1:7">
      <c r="A1913" s="54">
        <v>101.3432</v>
      </c>
      <c r="B1913" s="54">
        <v>101.4928</v>
      </c>
      <c r="C1913" s="54">
        <v>100.5579</v>
      </c>
      <c r="D1913" s="54">
        <v>100.66070000000001</v>
      </c>
      <c r="E1913" s="54">
        <v>17234020</v>
      </c>
      <c r="F1913" s="54" t="s">
        <v>2731</v>
      </c>
      <c r="G1913" s="25">
        <f t="shared" si="28"/>
        <v>6.7802031974741883E-3</v>
      </c>
    </row>
    <row r="1914" spans="1:7">
      <c r="A1914" s="54">
        <v>100.5579</v>
      </c>
      <c r="B1914" s="54">
        <v>101.1375</v>
      </c>
      <c r="C1914" s="54">
        <v>99.912800000000004</v>
      </c>
      <c r="D1914" s="54">
        <v>100.1746</v>
      </c>
      <c r="E1914" s="54">
        <v>18167723</v>
      </c>
      <c r="F1914" s="54" t="s">
        <v>2732</v>
      </c>
      <c r="G1914" s="25">
        <f t="shared" si="28"/>
        <v>3.8263192465954887E-3</v>
      </c>
    </row>
    <row r="1915" spans="1:7">
      <c r="A1915" s="54">
        <v>100.0904</v>
      </c>
      <c r="B1915" s="54">
        <v>100.3522</v>
      </c>
      <c r="C1915" s="54">
        <v>98.893799999999999</v>
      </c>
      <c r="D1915" s="54">
        <v>98.959199999999996</v>
      </c>
      <c r="E1915" s="54">
        <v>18000639</v>
      </c>
      <c r="F1915" s="54" t="s">
        <v>2733</v>
      </c>
      <c r="G1915" s="25">
        <f t="shared" si="28"/>
        <v>1.1430973572947201E-2</v>
      </c>
    </row>
    <row r="1916" spans="1:7">
      <c r="A1916" s="54">
        <v>99.080699999999993</v>
      </c>
      <c r="B1916" s="54">
        <v>100.36150000000001</v>
      </c>
      <c r="C1916" s="54">
        <v>98.959199999999996</v>
      </c>
      <c r="D1916" s="54">
        <v>99.959500000000006</v>
      </c>
      <c r="E1916" s="54">
        <v>22881861</v>
      </c>
      <c r="F1916" s="54" t="s">
        <v>2734</v>
      </c>
      <c r="G1916" s="25">
        <f t="shared" si="28"/>
        <v>-8.7915605820358955E-3</v>
      </c>
    </row>
    <row r="1917" spans="1:7">
      <c r="A1917" s="54">
        <v>99.912800000000004</v>
      </c>
      <c r="B1917" s="54">
        <v>100.87569999999999</v>
      </c>
      <c r="C1917" s="54">
        <v>99.548199999999994</v>
      </c>
      <c r="D1917" s="54">
        <v>100.5111</v>
      </c>
      <c r="E1917" s="54">
        <v>17914201</v>
      </c>
      <c r="F1917" s="54" t="s">
        <v>2735</v>
      </c>
      <c r="G1917" s="25">
        <f t="shared" si="28"/>
        <v>-5.9525763821109967E-3</v>
      </c>
    </row>
    <row r="1918" spans="1:7">
      <c r="A1918" s="54">
        <v>100.5766</v>
      </c>
      <c r="B1918" s="54">
        <v>100.87569999999999</v>
      </c>
      <c r="C1918" s="54">
        <v>99.744500000000002</v>
      </c>
      <c r="D1918" s="54">
        <v>100.37090000000001</v>
      </c>
      <c r="E1918" s="54">
        <v>18061512</v>
      </c>
      <c r="F1918" s="54" t="s">
        <v>2736</v>
      </c>
      <c r="G1918" s="25">
        <f t="shared" si="28"/>
        <v>2.0493987799252711E-3</v>
      </c>
    </row>
    <row r="1919" spans="1:7">
      <c r="A1919" s="54">
        <v>100.6327</v>
      </c>
      <c r="B1919" s="54">
        <v>101.7732</v>
      </c>
      <c r="C1919" s="54">
        <v>100.31480000000001</v>
      </c>
      <c r="D1919" s="54">
        <v>101.2497</v>
      </c>
      <c r="E1919" s="54">
        <v>21384289</v>
      </c>
      <c r="F1919" s="54" t="s">
        <v>2737</v>
      </c>
      <c r="G1919" s="25">
        <f t="shared" si="28"/>
        <v>-6.0938452163314949E-3</v>
      </c>
    </row>
    <row r="1920" spans="1:7">
      <c r="A1920" s="54">
        <v>100.6514</v>
      </c>
      <c r="B1920" s="54">
        <v>101.8901</v>
      </c>
      <c r="C1920" s="54">
        <v>99.866</v>
      </c>
      <c r="D1920" s="54">
        <v>101.4273</v>
      </c>
      <c r="E1920" s="54">
        <v>29982806</v>
      </c>
      <c r="F1920" s="54" t="s">
        <v>2738</v>
      </c>
      <c r="G1920" s="25">
        <f t="shared" si="28"/>
        <v>-7.6498142018963655E-3</v>
      </c>
    </row>
    <row r="1921" spans="1:7">
      <c r="A1921" s="54">
        <v>102.035</v>
      </c>
      <c r="B1921" s="54">
        <v>102.212</v>
      </c>
      <c r="C1921" s="54">
        <v>100.6194</v>
      </c>
      <c r="D1921" s="54">
        <v>101.1037</v>
      </c>
      <c r="E1921" s="54">
        <v>16788314</v>
      </c>
      <c r="F1921" s="54" t="s">
        <v>2739</v>
      </c>
      <c r="G1921" s="25">
        <f t="shared" si="28"/>
        <v>9.2113345011111125E-3</v>
      </c>
    </row>
    <row r="1922" spans="1:7">
      <c r="A1922" s="54">
        <v>100.7777</v>
      </c>
      <c r="B1922" s="54">
        <v>102.0536</v>
      </c>
      <c r="C1922" s="54">
        <v>100.67529999999999</v>
      </c>
      <c r="D1922" s="54">
        <v>101.73699999999999</v>
      </c>
      <c r="E1922" s="54">
        <v>18474884</v>
      </c>
      <c r="F1922" s="54" t="s">
        <v>2740</v>
      </c>
      <c r="G1922" s="25">
        <f t="shared" si="28"/>
        <v>-9.4292145433814145E-3</v>
      </c>
    </row>
    <row r="1923" spans="1:7">
      <c r="A1923" s="54">
        <v>101.51349999999999</v>
      </c>
      <c r="B1923" s="54">
        <v>102.1561</v>
      </c>
      <c r="C1923" s="54">
        <v>100.9361</v>
      </c>
      <c r="D1923" s="54">
        <v>101.9046</v>
      </c>
      <c r="E1923" s="54">
        <v>18183724</v>
      </c>
      <c r="F1923" s="54" t="s">
        <v>2741</v>
      </c>
      <c r="G1923" s="25">
        <f t="shared" si="28"/>
        <v>-3.8379032938651303E-3</v>
      </c>
    </row>
    <row r="1924" spans="1:7">
      <c r="A1924" s="54">
        <v>102.1375</v>
      </c>
      <c r="B1924" s="54">
        <v>102.5938</v>
      </c>
      <c r="C1924" s="54">
        <v>102.0723</v>
      </c>
      <c r="D1924" s="54">
        <v>102.1747</v>
      </c>
      <c r="E1924" s="54">
        <v>13677211</v>
      </c>
      <c r="F1924" s="54" t="s">
        <v>2742</v>
      </c>
      <c r="G1924" s="25">
        <f t="shared" si="28"/>
        <v>-3.6408230217455095E-4</v>
      </c>
    </row>
    <row r="1925" spans="1:7">
      <c r="A1925" s="54">
        <v>101.96980000000001</v>
      </c>
      <c r="B1925" s="54">
        <v>102.212</v>
      </c>
      <c r="C1925" s="54">
        <v>101.2899</v>
      </c>
      <c r="D1925" s="54">
        <v>101.82080000000001</v>
      </c>
      <c r="E1925" s="54">
        <v>15487502</v>
      </c>
      <c r="F1925" s="54" t="s">
        <v>2743</v>
      </c>
      <c r="G1925" s="25">
        <f t="shared" si="28"/>
        <v>1.463355228008334E-3</v>
      </c>
    </row>
    <row r="1926" spans="1:7">
      <c r="A1926" s="54">
        <v>101.40170000000001</v>
      </c>
      <c r="B1926" s="54">
        <v>101.6066</v>
      </c>
      <c r="C1926" s="54">
        <v>100.7405</v>
      </c>
      <c r="D1926" s="54">
        <v>101.1037</v>
      </c>
      <c r="E1926" s="54">
        <v>16080214</v>
      </c>
      <c r="F1926" s="54" t="s">
        <v>2744</v>
      </c>
      <c r="G1926" s="25">
        <f t="shared" si="28"/>
        <v>2.9474687869979199E-3</v>
      </c>
    </row>
    <row r="1927" spans="1:7">
      <c r="A1927" s="54">
        <v>100.7032</v>
      </c>
      <c r="B1927" s="54">
        <v>100.97329999999999</v>
      </c>
      <c r="C1927" s="54">
        <v>100.17149999999999</v>
      </c>
      <c r="D1927" s="54">
        <v>100.6939</v>
      </c>
      <c r="E1927" s="54">
        <v>20265947</v>
      </c>
      <c r="F1927" s="54" t="s">
        <v>2745</v>
      </c>
      <c r="G1927" s="25">
        <f t="shared" si="28"/>
        <v>9.2359120065887979E-5</v>
      </c>
    </row>
    <row r="1928" spans="1:7">
      <c r="A1928" s="54">
        <v>100.6194</v>
      </c>
      <c r="B1928" s="54">
        <v>100.62869999999999</v>
      </c>
      <c r="C1928" s="54">
        <v>99.483199999999997</v>
      </c>
      <c r="D1928" s="54">
        <v>100.3959</v>
      </c>
      <c r="E1928" s="54">
        <v>18659599</v>
      </c>
      <c r="F1928" s="54" t="s">
        <v>2746</v>
      </c>
      <c r="G1928" s="25">
        <f t="shared" si="28"/>
        <v>2.226186527537477E-3</v>
      </c>
    </row>
    <row r="1929" spans="1:7">
      <c r="A1929" s="54">
        <v>100.18170000000001</v>
      </c>
      <c r="B1929" s="54">
        <v>100.666</v>
      </c>
      <c r="C1929" s="54">
        <v>97.639200000000002</v>
      </c>
      <c r="D1929" s="54">
        <v>98.160700000000006</v>
      </c>
      <c r="E1929" s="54">
        <v>26104258</v>
      </c>
      <c r="F1929" s="54" t="s">
        <v>2747</v>
      </c>
      <c r="G1929" s="25">
        <f t="shared" si="28"/>
        <v>2.0588687733481992E-2</v>
      </c>
    </row>
    <row r="1930" spans="1:7">
      <c r="A1930" s="54">
        <v>98.9803</v>
      </c>
      <c r="B1930" s="54">
        <v>99.134900000000002</v>
      </c>
      <c r="C1930" s="54">
        <v>98.179400000000001</v>
      </c>
      <c r="D1930" s="54">
        <v>98.747500000000002</v>
      </c>
      <c r="E1930" s="54">
        <v>23628699</v>
      </c>
      <c r="F1930" s="54" t="s">
        <v>2748</v>
      </c>
      <c r="G1930" s="25">
        <f t="shared" si="28"/>
        <v>2.3575280386844977E-3</v>
      </c>
    </row>
    <row r="1931" spans="1:7">
      <c r="A1931" s="54">
        <v>98.793999999999997</v>
      </c>
      <c r="B1931" s="54">
        <v>99.390100000000004</v>
      </c>
      <c r="C1931" s="54">
        <v>98.142099999999999</v>
      </c>
      <c r="D1931" s="54">
        <v>99.175899999999999</v>
      </c>
      <c r="E1931" s="54">
        <v>27655152</v>
      </c>
      <c r="F1931" s="54" t="s">
        <v>2749</v>
      </c>
      <c r="G1931" s="25">
        <f t="shared" si="28"/>
        <v>-3.8507338980539041E-3</v>
      </c>
    </row>
    <row r="1932" spans="1:7">
      <c r="A1932" s="54">
        <v>98.132800000000003</v>
      </c>
      <c r="B1932" s="54">
        <v>100.1444</v>
      </c>
      <c r="C1932" s="54">
        <v>97.564700000000002</v>
      </c>
      <c r="D1932" s="54">
        <v>99.827799999999996</v>
      </c>
      <c r="E1932" s="54">
        <v>34668327</v>
      </c>
      <c r="F1932" s="54" t="s">
        <v>2750</v>
      </c>
      <c r="G1932" s="25">
        <f t="shared" si="28"/>
        <v>-1.6979238248263417E-2</v>
      </c>
    </row>
    <row r="1933" spans="1:7">
      <c r="A1933" s="54">
        <v>100.2841</v>
      </c>
      <c r="B1933" s="54">
        <v>102.61239999999999</v>
      </c>
      <c r="C1933" s="54">
        <v>98.849900000000005</v>
      </c>
      <c r="D1933" s="54">
        <v>102.61239999999999</v>
      </c>
      <c r="E1933" s="54">
        <v>37005292</v>
      </c>
      <c r="F1933" s="54" t="s">
        <v>2751</v>
      </c>
      <c r="G1933" s="25">
        <f t="shared" si="28"/>
        <v>-2.2690240165905817E-2</v>
      </c>
    </row>
    <row r="1934" spans="1:7">
      <c r="A1934" s="54">
        <v>102.0909</v>
      </c>
      <c r="B1934" s="54">
        <v>103.37609999999999</v>
      </c>
      <c r="C1934" s="54">
        <v>101.9791</v>
      </c>
      <c r="D1934" s="54">
        <v>103.134</v>
      </c>
      <c r="E1934" s="54">
        <v>31372110</v>
      </c>
      <c r="F1934" s="54" t="s">
        <v>2752</v>
      </c>
      <c r="G1934" s="25">
        <f t="shared" si="28"/>
        <v>-1.0114026412240351E-2</v>
      </c>
    </row>
    <row r="1935" spans="1:7">
      <c r="A1935" s="54">
        <v>103.2178</v>
      </c>
      <c r="B1935" s="54">
        <v>103.5158</v>
      </c>
      <c r="C1935" s="54">
        <v>100.20959999999999</v>
      </c>
      <c r="D1935" s="54">
        <v>100.5403</v>
      </c>
      <c r="E1935" s="54">
        <v>30798058</v>
      </c>
      <c r="F1935" s="54" t="s">
        <v>2753</v>
      </c>
      <c r="G1935" s="25">
        <f t="shared" si="28"/>
        <v>2.6631112101316523E-2</v>
      </c>
    </row>
    <row r="1936" spans="1:7">
      <c r="A1936" s="54">
        <v>100.2655</v>
      </c>
      <c r="B1936" s="54">
        <v>101.3458</v>
      </c>
      <c r="C1936" s="54">
        <v>99.893000000000001</v>
      </c>
      <c r="D1936" s="54">
        <v>101.113</v>
      </c>
      <c r="E1936" s="54">
        <v>26316619</v>
      </c>
      <c r="F1936" s="54" t="s">
        <v>2754</v>
      </c>
      <c r="G1936" s="25">
        <f t="shared" si="28"/>
        <v>-8.381711550443538E-3</v>
      </c>
    </row>
    <row r="1937" spans="1:7">
      <c r="A1937" s="54">
        <v>100.55419999999999</v>
      </c>
      <c r="B1937" s="54">
        <v>100.71250000000001</v>
      </c>
      <c r="C1937" s="54">
        <v>98.840599999999995</v>
      </c>
      <c r="D1937" s="54">
        <v>98.998900000000006</v>
      </c>
      <c r="E1937" s="54">
        <v>29706955</v>
      </c>
      <c r="F1937" s="54" t="s">
        <v>2755</v>
      </c>
      <c r="G1937" s="25">
        <f t="shared" si="28"/>
        <v>1.5710275568718401E-2</v>
      </c>
    </row>
    <row r="1938" spans="1:7">
      <c r="A1938" s="54">
        <v>98.971000000000004</v>
      </c>
      <c r="B1938" s="54">
        <v>100.7684</v>
      </c>
      <c r="C1938" s="54">
        <v>98.793999999999997</v>
      </c>
      <c r="D1938" s="54">
        <v>100.6567</v>
      </c>
      <c r="E1938" s="54">
        <v>56038827</v>
      </c>
      <c r="F1938" s="54" t="s">
        <v>2756</v>
      </c>
      <c r="G1938" s="25">
        <f t="shared" si="28"/>
        <v>-1.6747022304526182E-2</v>
      </c>
    </row>
    <row r="1939" spans="1:7">
      <c r="A1939" s="54">
        <v>97.229399999999998</v>
      </c>
      <c r="B1939" s="54">
        <v>98.076899999999995</v>
      </c>
      <c r="C1939" s="54">
        <v>96.754499999999993</v>
      </c>
      <c r="D1939" s="54">
        <v>97.722999999999999</v>
      </c>
      <c r="E1939" s="54">
        <v>40171646</v>
      </c>
      <c r="F1939" s="54" t="s">
        <v>2757</v>
      </c>
      <c r="G1939" s="25">
        <f t="shared" si="28"/>
        <v>-5.0510115325972382E-3</v>
      </c>
    </row>
    <row r="1940" spans="1:7">
      <c r="A1940" s="54">
        <v>97.9</v>
      </c>
      <c r="B1940" s="54">
        <v>98.766099999999994</v>
      </c>
      <c r="C1940" s="54">
        <v>97.522800000000004</v>
      </c>
      <c r="D1940" s="54">
        <v>98.663700000000006</v>
      </c>
      <c r="E1940" s="54">
        <v>29493927</v>
      </c>
      <c r="F1940" s="54" t="s">
        <v>2758</v>
      </c>
      <c r="G1940" s="25">
        <f t="shared" si="28"/>
        <v>-7.7404354387682339E-3</v>
      </c>
    </row>
    <row r="1941" spans="1:7">
      <c r="A1941" s="54">
        <v>98.673000000000002</v>
      </c>
      <c r="B1941" s="54">
        <v>99.185199999999995</v>
      </c>
      <c r="C1941" s="54">
        <v>97.154899999999998</v>
      </c>
      <c r="D1941" s="54">
        <v>97.424999999999997</v>
      </c>
      <c r="E1941" s="54">
        <v>25901726</v>
      </c>
      <c r="F1941" s="54" t="s">
        <v>2759</v>
      </c>
      <c r="G1941" s="25">
        <f t="shared" si="28"/>
        <v>1.2809853733641408E-2</v>
      </c>
    </row>
    <row r="1942" spans="1:7">
      <c r="A1942" s="54">
        <v>97.704400000000007</v>
      </c>
      <c r="B1942" s="54">
        <v>98.551900000000003</v>
      </c>
      <c r="C1942" s="54">
        <v>97.336500000000001</v>
      </c>
      <c r="D1942" s="54">
        <v>98.160700000000006</v>
      </c>
      <c r="E1942" s="54">
        <v>21786912</v>
      </c>
      <c r="F1942" s="54" t="s">
        <v>2760</v>
      </c>
      <c r="G1942" s="25">
        <f t="shared" si="28"/>
        <v>-4.6484998578860681E-3</v>
      </c>
    </row>
    <row r="1943" spans="1:7">
      <c r="A1943" s="54">
        <v>98.188699999999997</v>
      </c>
      <c r="B1943" s="54">
        <v>98.346999999999994</v>
      </c>
      <c r="C1943" s="54">
        <v>96.940700000000007</v>
      </c>
      <c r="D1943" s="54">
        <v>97.201499999999996</v>
      </c>
      <c r="E1943" s="54">
        <v>24653500</v>
      </c>
      <c r="F1943" s="54" t="s">
        <v>2761</v>
      </c>
      <c r="G1943" s="25">
        <f t="shared" si="28"/>
        <v>1.0156221869004112E-2</v>
      </c>
    </row>
    <row r="1944" spans="1:7">
      <c r="A1944" s="54">
        <v>97.033799999999999</v>
      </c>
      <c r="B1944" s="54">
        <v>97.238699999999994</v>
      </c>
      <c r="C1944" s="54">
        <v>95.674099999999996</v>
      </c>
      <c r="D1944" s="54">
        <v>95.711399999999998</v>
      </c>
      <c r="E1944" s="54">
        <v>24335929</v>
      </c>
      <c r="F1944" s="54" t="s">
        <v>2762</v>
      </c>
      <c r="G1944" s="25">
        <f t="shared" ref="G1944:G2007" si="29">A1944/D1944-1</f>
        <v>1.3816535961233445E-2</v>
      </c>
    </row>
    <row r="1945" spans="1:7">
      <c r="A1945" s="54">
        <v>94.9756</v>
      </c>
      <c r="B1945" s="54">
        <v>95.310900000000004</v>
      </c>
      <c r="C1945" s="54">
        <v>94.156099999999995</v>
      </c>
      <c r="D1945" s="54">
        <v>94.202600000000004</v>
      </c>
      <c r="E1945" s="54">
        <v>19644648</v>
      </c>
      <c r="F1945" s="54" t="s">
        <v>2763</v>
      </c>
      <c r="G1945" s="25">
        <f t="shared" si="29"/>
        <v>8.2057183135071377E-3</v>
      </c>
    </row>
    <row r="1946" spans="1:7">
      <c r="A1946" s="54">
        <v>95.105999999999995</v>
      </c>
      <c r="B1946" s="54">
        <v>95.469200000000001</v>
      </c>
      <c r="C1946" s="54">
        <v>94.863900000000001</v>
      </c>
      <c r="D1946" s="54">
        <v>94.994299999999996</v>
      </c>
      <c r="E1946" s="54">
        <v>19293140</v>
      </c>
      <c r="F1946" s="54" t="s">
        <v>2764</v>
      </c>
      <c r="G1946" s="25">
        <f t="shared" si="29"/>
        <v>1.175860025285802E-3</v>
      </c>
    </row>
    <row r="1947" spans="1:7">
      <c r="A1947" s="54">
        <v>94.854600000000005</v>
      </c>
      <c r="B1947" s="54">
        <v>95.227099999999993</v>
      </c>
      <c r="C1947" s="54">
        <v>94.296700000000001</v>
      </c>
      <c r="D1947" s="54">
        <v>94.663799999999995</v>
      </c>
      <c r="E1947" s="54">
        <v>18211980</v>
      </c>
      <c r="F1947" s="54" t="s">
        <v>2765</v>
      </c>
      <c r="G1947" s="25">
        <f t="shared" si="29"/>
        <v>2.0155539921280496E-3</v>
      </c>
    </row>
    <row r="1948" spans="1:7">
      <c r="A1948" s="54">
        <v>94.212000000000003</v>
      </c>
      <c r="B1948" s="54">
        <v>94.463399999999993</v>
      </c>
      <c r="C1948" s="54">
        <v>92.824299999999994</v>
      </c>
      <c r="D1948" s="54">
        <v>93.024500000000003</v>
      </c>
      <c r="E1948" s="54">
        <v>19234627</v>
      </c>
      <c r="F1948" s="54" t="s">
        <v>2766</v>
      </c>
      <c r="G1948" s="25">
        <f t="shared" si="29"/>
        <v>1.2765454262049225E-2</v>
      </c>
    </row>
    <row r="1949" spans="1:7">
      <c r="A1949" s="54">
        <v>92.908100000000005</v>
      </c>
      <c r="B1949" s="54">
        <v>93.057100000000005</v>
      </c>
      <c r="C1949" s="54">
        <v>92.228200000000001</v>
      </c>
      <c r="D1949" s="54">
        <v>92.665999999999997</v>
      </c>
      <c r="E1949" s="54">
        <v>18977402</v>
      </c>
      <c r="F1949" s="54" t="s">
        <v>2767</v>
      </c>
      <c r="G1949" s="25">
        <f t="shared" si="29"/>
        <v>2.6126087238038664E-3</v>
      </c>
    </row>
    <row r="1950" spans="1:7">
      <c r="A1950" s="54">
        <v>92.246899999999997</v>
      </c>
      <c r="B1950" s="54">
        <v>93.718400000000003</v>
      </c>
      <c r="C1950" s="54">
        <v>92.144400000000005</v>
      </c>
      <c r="D1950" s="54">
        <v>93.578699999999998</v>
      </c>
      <c r="E1950" s="54">
        <v>14670275</v>
      </c>
      <c r="F1950" s="54" t="s">
        <v>2768</v>
      </c>
      <c r="G1950" s="25">
        <f t="shared" si="29"/>
        <v>-1.4231871141616614E-2</v>
      </c>
    </row>
    <row r="1951" spans="1:7">
      <c r="A1951" s="54">
        <v>93.140900000000002</v>
      </c>
      <c r="B1951" s="54">
        <v>93.1875</v>
      </c>
      <c r="C1951" s="54">
        <v>91.269000000000005</v>
      </c>
      <c r="D1951" s="54">
        <v>91.362099999999998</v>
      </c>
      <c r="E1951" s="54">
        <v>19564521</v>
      </c>
      <c r="F1951" s="54" t="s">
        <v>2769</v>
      </c>
      <c r="G1951" s="25">
        <f t="shared" si="29"/>
        <v>1.9469780138591464E-2</v>
      </c>
    </row>
    <row r="1952" spans="1:7">
      <c r="A1952" s="54">
        <v>91.837100000000007</v>
      </c>
      <c r="B1952" s="54">
        <v>93.047799999999995</v>
      </c>
      <c r="C1952" s="54">
        <v>91.576300000000003</v>
      </c>
      <c r="D1952" s="54">
        <v>92.135099999999994</v>
      </c>
      <c r="E1952" s="54">
        <v>28053214</v>
      </c>
      <c r="F1952" s="54" t="s">
        <v>2770</v>
      </c>
      <c r="G1952" s="25">
        <f t="shared" si="29"/>
        <v>-3.2343808168655563E-3</v>
      </c>
    </row>
    <row r="1953" spans="1:7">
      <c r="A1953" s="54">
        <v>91.855699999999999</v>
      </c>
      <c r="B1953" s="54">
        <v>92.302800000000005</v>
      </c>
      <c r="C1953" s="54">
        <v>90.579800000000006</v>
      </c>
      <c r="D1953" s="54">
        <v>90.691599999999994</v>
      </c>
      <c r="E1953" s="54">
        <v>26650671</v>
      </c>
      <c r="F1953" s="54" t="s">
        <v>2771</v>
      </c>
      <c r="G1953" s="25">
        <f t="shared" si="29"/>
        <v>1.2835808387987369E-2</v>
      </c>
    </row>
    <row r="1954" spans="1:7">
      <c r="A1954" s="54">
        <v>90.840599999999995</v>
      </c>
      <c r="B1954" s="54">
        <v>93.150300000000001</v>
      </c>
      <c r="C1954" s="54">
        <v>90.7102</v>
      </c>
      <c r="D1954" s="54">
        <v>92.740499999999997</v>
      </c>
      <c r="E1954" s="54">
        <v>31298386</v>
      </c>
      <c r="F1954" s="54" t="s">
        <v>2772</v>
      </c>
      <c r="G1954" s="25">
        <f t="shared" si="29"/>
        <v>-2.04861953515455E-2</v>
      </c>
    </row>
    <row r="1955" spans="1:7">
      <c r="A1955" s="54">
        <v>92.274799999999999</v>
      </c>
      <c r="B1955" s="54">
        <v>93.206100000000006</v>
      </c>
      <c r="C1955" s="54">
        <v>91.967500000000001</v>
      </c>
      <c r="D1955" s="54">
        <v>92.032700000000006</v>
      </c>
      <c r="E1955" s="54">
        <v>26897244</v>
      </c>
      <c r="F1955" s="54" t="s">
        <v>2773</v>
      </c>
      <c r="G1955" s="25">
        <f t="shared" si="29"/>
        <v>2.630586737105256E-3</v>
      </c>
    </row>
    <row r="1956" spans="1:7">
      <c r="A1956" s="54">
        <v>91.632199999999997</v>
      </c>
      <c r="B1956" s="54">
        <v>93.234099999999998</v>
      </c>
      <c r="C1956" s="54">
        <v>90.617099999999994</v>
      </c>
      <c r="D1956" s="54">
        <v>93.131600000000006</v>
      </c>
      <c r="E1956" s="54">
        <v>35433333</v>
      </c>
      <c r="F1956" s="54" t="s">
        <v>2774</v>
      </c>
      <c r="G1956" s="25">
        <f t="shared" si="29"/>
        <v>-1.6099798564611856E-2</v>
      </c>
    </row>
    <row r="1957" spans="1:7">
      <c r="A1957" s="54">
        <v>93.513499999999993</v>
      </c>
      <c r="B1957" s="54">
        <v>93.848699999999994</v>
      </c>
      <c r="C1957" s="54">
        <v>92.782399999999996</v>
      </c>
      <c r="D1957" s="54">
        <v>93.513499999999993</v>
      </c>
      <c r="E1957" s="54">
        <v>38923105</v>
      </c>
      <c r="F1957" s="54" t="s">
        <v>2775</v>
      </c>
      <c r="G1957" s="25">
        <f t="shared" si="29"/>
        <v>0</v>
      </c>
    </row>
    <row r="1958" spans="1:7">
      <c r="A1958" s="54">
        <v>94.193299999999994</v>
      </c>
      <c r="B1958" s="54">
        <v>95.422700000000006</v>
      </c>
      <c r="C1958" s="54">
        <v>93.9512</v>
      </c>
      <c r="D1958" s="54">
        <v>95.064099999999996</v>
      </c>
      <c r="E1958" s="54">
        <v>23198188</v>
      </c>
      <c r="F1958" s="54" t="s">
        <v>2776</v>
      </c>
      <c r="G1958" s="25">
        <f t="shared" si="29"/>
        <v>-9.1601351088370642E-3</v>
      </c>
    </row>
    <row r="1959" spans="1:7">
      <c r="A1959" s="54">
        <v>94.873199999999997</v>
      </c>
      <c r="B1959" s="54">
        <v>95.478499999999997</v>
      </c>
      <c r="C1959" s="54">
        <v>94.174700000000001</v>
      </c>
      <c r="D1959" s="54">
        <v>94.407499999999999</v>
      </c>
      <c r="E1959" s="54">
        <v>26180792</v>
      </c>
      <c r="F1959" s="54" t="s">
        <v>2777</v>
      </c>
      <c r="G1959" s="25">
        <f t="shared" si="29"/>
        <v>4.9328707994598098E-3</v>
      </c>
    </row>
    <row r="1960" spans="1:7">
      <c r="A1960" s="54">
        <v>93.932599999999994</v>
      </c>
      <c r="B1960" s="54">
        <v>94.062899999999999</v>
      </c>
      <c r="C1960" s="54">
        <v>92.665999999999997</v>
      </c>
      <c r="D1960" s="54">
        <v>92.805700000000002</v>
      </c>
      <c r="E1960" s="54">
        <v>28653087</v>
      </c>
      <c r="F1960" s="54" t="s">
        <v>2778</v>
      </c>
      <c r="G1960" s="25">
        <f t="shared" si="29"/>
        <v>1.2142573139365176E-2</v>
      </c>
    </row>
    <row r="1961" spans="1:7">
      <c r="A1961" s="54">
        <v>93.932599999999994</v>
      </c>
      <c r="B1961" s="54">
        <v>94.165400000000005</v>
      </c>
      <c r="C1961" s="54">
        <v>92.591499999999996</v>
      </c>
      <c r="D1961" s="54">
        <v>93.140900000000002</v>
      </c>
      <c r="E1961" s="54">
        <v>23586037</v>
      </c>
      <c r="F1961" s="54" t="s">
        <v>2779</v>
      </c>
      <c r="G1961" s="25">
        <f t="shared" si="29"/>
        <v>8.500025230591346E-3</v>
      </c>
    </row>
    <row r="1962" spans="1:7">
      <c r="A1962" s="54">
        <v>93.252700000000004</v>
      </c>
      <c r="B1962" s="54">
        <v>94.5565</v>
      </c>
      <c r="C1962" s="54">
        <v>93.196799999999996</v>
      </c>
      <c r="D1962" s="54">
        <v>94.537899999999993</v>
      </c>
      <c r="E1962" s="54">
        <v>65738585</v>
      </c>
      <c r="F1962" s="54" t="s">
        <v>2780</v>
      </c>
      <c r="G1962" s="25">
        <f t="shared" si="29"/>
        <v>-1.3594547795116929E-2</v>
      </c>
    </row>
    <row r="1963" spans="1:7">
      <c r="A1963" s="54">
        <v>94.454099999999997</v>
      </c>
      <c r="B1963" s="54">
        <v>95.022199999999998</v>
      </c>
      <c r="C1963" s="54">
        <v>94.062899999999999</v>
      </c>
      <c r="D1963" s="54">
        <v>94.668300000000002</v>
      </c>
      <c r="E1963" s="54">
        <v>25691811</v>
      </c>
      <c r="F1963" s="54" t="s">
        <v>2781</v>
      </c>
      <c r="G1963" s="25">
        <f t="shared" si="29"/>
        <v>-2.2626370178825406E-3</v>
      </c>
    </row>
    <row r="1964" spans="1:7">
      <c r="A1964" s="54">
        <v>93.923299999999998</v>
      </c>
      <c r="B1964" s="54">
        <v>95.003600000000006</v>
      </c>
      <c r="C1964" s="54">
        <v>93.653199999999998</v>
      </c>
      <c r="D1964" s="54">
        <v>94.733500000000006</v>
      </c>
      <c r="E1964" s="54">
        <v>29492875</v>
      </c>
      <c r="F1964" s="54" t="s">
        <v>2782</v>
      </c>
      <c r="G1964" s="25">
        <f t="shared" si="29"/>
        <v>-8.5524128212302042E-3</v>
      </c>
    </row>
    <row r="1965" spans="1:7">
      <c r="A1965" s="54">
        <v>94.351699999999994</v>
      </c>
      <c r="B1965" s="54">
        <v>94.481399999999994</v>
      </c>
      <c r="C1965" s="54">
        <v>93.830100000000002</v>
      </c>
      <c r="D1965" s="54">
        <v>94.156099999999995</v>
      </c>
      <c r="E1965" s="54">
        <v>18325228</v>
      </c>
      <c r="F1965" s="54" t="s">
        <v>2783</v>
      </c>
      <c r="G1965" s="25">
        <f t="shared" si="29"/>
        <v>2.0774012517510432E-3</v>
      </c>
    </row>
    <row r="1966" spans="1:7">
      <c r="A1966" s="54">
        <v>94.109499999999997</v>
      </c>
      <c r="B1966" s="54">
        <v>94.612399999999994</v>
      </c>
      <c r="C1966" s="54">
        <v>93.755600000000001</v>
      </c>
      <c r="D1966" s="54">
        <v>94.407499999999999</v>
      </c>
      <c r="E1966" s="54">
        <v>23490894</v>
      </c>
      <c r="F1966" s="54" t="s">
        <v>2784</v>
      </c>
      <c r="G1966" s="25">
        <f t="shared" si="29"/>
        <v>-3.1565288774726419E-3</v>
      </c>
    </row>
    <row r="1967" spans="1:7">
      <c r="A1967" s="54">
        <v>94.649699999999996</v>
      </c>
      <c r="B1967" s="54">
        <v>94.947699999999998</v>
      </c>
      <c r="C1967" s="54">
        <v>93.634500000000003</v>
      </c>
      <c r="D1967" s="54">
        <v>94.149000000000001</v>
      </c>
      <c r="E1967" s="54">
        <v>22165128</v>
      </c>
      <c r="F1967" s="54" t="s">
        <v>2785</v>
      </c>
      <c r="G1967" s="25">
        <f t="shared" si="29"/>
        <v>5.3181658859891012E-3</v>
      </c>
    </row>
    <row r="1968" spans="1:7">
      <c r="A1968" s="54">
        <v>93.9512</v>
      </c>
      <c r="B1968" s="54">
        <v>95.636899999999997</v>
      </c>
      <c r="C1968" s="54">
        <v>93.485500000000002</v>
      </c>
      <c r="D1968" s="54">
        <v>95.599599999999995</v>
      </c>
      <c r="E1968" s="54">
        <v>28232197</v>
      </c>
      <c r="F1968" s="54" t="s">
        <v>2786</v>
      </c>
      <c r="G1968" s="25">
        <f t="shared" si="29"/>
        <v>-1.7242749969665128E-2</v>
      </c>
    </row>
    <row r="1969" spans="1:7">
      <c r="A1969" s="54">
        <v>95.450599999999994</v>
      </c>
      <c r="B1969" s="54">
        <v>95.553100000000001</v>
      </c>
      <c r="C1969" s="54">
        <v>94.9011</v>
      </c>
      <c r="D1969" s="54">
        <v>95.441299999999998</v>
      </c>
      <c r="E1969" s="54">
        <v>21122917</v>
      </c>
      <c r="F1969" s="54" t="s">
        <v>2787</v>
      </c>
      <c r="G1969" s="25">
        <f t="shared" si="29"/>
        <v>9.7442092678923231E-5</v>
      </c>
    </row>
    <row r="1970" spans="1:7">
      <c r="A1970" s="54">
        <v>95.171199999999999</v>
      </c>
      <c r="B1970" s="54">
        <v>95.301599999999993</v>
      </c>
      <c r="C1970" s="54">
        <v>94.5565</v>
      </c>
      <c r="D1970" s="54">
        <v>94.994299999999996</v>
      </c>
      <c r="E1970" s="54">
        <v>23514402</v>
      </c>
      <c r="F1970" s="54" t="s">
        <v>2788</v>
      </c>
      <c r="G1970" s="25">
        <f t="shared" si="29"/>
        <v>1.8622169961777235E-3</v>
      </c>
    </row>
    <row r="1971" spans="1:7">
      <c r="A1971" s="54">
        <v>94.686899999999994</v>
      </c>
      <c r="B1971" s="54">
        <v>94.863900000000001</v>
      </c>
      <c r="C1971" s="54">
        <v>93.924199999999999</v>
      </c>
      <c r="D1971" s="54">
        <v>94.305099999999996</v>
      </c>
      <c r="E1971" s="54">
        <v>27281623</v>
      </c>
      <c r="F1971" s="54" t="s">
        <v>2789</v>
      </c>
      <c r="G1971" s="25">
        <f t="shared" si="29"/>
        <v>4.0485615306065093E-3</v>
      </c>
    </row>
    <row r="1972" spans="1:7">
      <c r="A1972" s="54">
        <v>93.867400000000004</v>
      </c>
      <c r="B1972" s="54">
        <v>93.932599999999994</v>
      </c>
      <c r="C1972" s="54">
        <v>92.358599999999996</v>
      </c>
      <c r="D1972" s="54">
        <v>92.460899999999995</v>
      </c>
      <c r="E1972" s="54">
        <v>28655624</v>
      </c>
      <c r="F1972" s="54" t="s">
        <v>2790</v>
      </c>
      <c r="G1972" s="25">
        <f t="shared" si="29"/>
        <v>1.5211835489379988E-2</v>
      </c>
    </row>
    <row r="1973" spans="1:7">
      <c r="A1973" s="54">
        <v>92.051299999999998</v>
      </c>
      <c r="B1973" s="54">
        <v>93.122299999999996</v>
      </c>
      <c r="C1973" s="54">
        <v>91.837100000000007</v>
      </c>
      <c r="D1973" s="54">
        <v>92.470399999999998</v>
      </c>
      <c r="E1973" s="54">
        <v>34140891</v>
      </c>
      <c r="F1973" s="54" t="s">
        <v>2791</v>
      </c>
      <c r="G1973" s="25">
        <f t="shared" si="29"/>
        <v>-4.5322611343737718E-3</v>
      </c>
    </row>
    <row r="1974" spans="1:7">
      <c r="A1974" s="54">
        <v>92.153800000000004</v>
      </c>
      <c r="B1974" s="54">
        <v>92.433099999999996</v>
      </c>
      <c r="C1974" s="54">
        <v>91.185199999999995</v>
      </c>
      <c r="D1974" s="54">
        <v>91.557699999999997</v>
      </c>
      <c r="E1974" s="54">
        <v>22158528</v>
      </c>
      <c r="F1974" s="54" t="s">
        <v>2792</v>
      </c>
      <c r="G1974" s="25">
        <f t="shared" si="29"/>
        <v>6.5106484763159944E-3</v>
      </c>
    </row>
    <row r="1975" spans="1:7">
      <c r="A1975" s="54">
        <v>91.278300000000002</v>
      </c>
      <c r="B1975" s="54">
        <v>92.0886</v>
      </c>
      <c r="C1975" s="54">
        <v>90.551900000000003</v>
      </c>
      <c r="D1975" s="54">
        <v>91.12</v>
      </c>
      <c r="E1975" s="54">
        <v>28670981</v>
      </c>
      <c r="F1975" s="54" t="s">
        <v>2793</v>
      </c>
      <c r="G1975" s="25">
        <f t="shared" si="29"/>
        <v>1.7372695346795641E-3</v>
      </c>
    </row>
    <row r="1976" spans="1:7">
      <c r="A1976" s="54">
        <v>91.604299999999995</v>
      </c>
      <c r="B1976" s="54">
        <v>92.181700000000006</v>
      </c>
      <c r="C1976" s="54">
        <v>91.138599999999997</v>
      </c>
      <c r="D1976" s="54">
        <v>91.548400000000001</v>
      </c>
      <c r="E1976" s="54">
        <v>18363918</v>
      </c>
      <c r="F1976" s="54" t="s">
        <v>2794</v>
      </c>
      <c r="G1976" s="25">
        <f t="shared" si="29"/>
        <v>6.1060597454454246E-4</v>
      </c>
    </row>
    <row r="1977" spans="1:7">
      <c r="A1977" s="54">
        <v>91.557699999999997</v>
      </c>
      <c r="B1977" s="54">
        <v>92.144400000000005</v>
      </c>
      <c r="C1977" s="54">
        <v>90.160700000000006</v>
      </c>
      <c r="D1977" s="54">
        <v>91.944199999999995</v>
      </c>
      <c r="E1977" s="54">
        <v>26649287</v>
      </c>
      <c r="F1977" s="54" t="s">
        <v>2795</v>
      </c>
      <c r="G1977" s="25">
        <f t="shared" si="29"/>
        <v>-4.2036365534747766E-3</v>
      </c>
    </row>
    <row r="1978" spans="1:7">
      <c r="A1978" s="54">
        <v>91.883700000000005</v>
      </c>
      <c r="B1978" s="54">
        <v>91.948899999999995</v>
      </c>
      <c r="C1978" s="54">
        <v>89.704400000000007</v>
      </c>
      <c r="D1978" s="54">
        <v>90.067599999999999</v>
      </c>
      <c r="E1978" s="54">
        <v>21251222</v>
      </c>
      <c r="F1978" s="54" t="s">
        <v>2796</v>
      </c>
      <c r="G1978" s="25">
        <f t="shared" si="29"/>
        <v>2.0163743676971491E-2</v>
      </c>
    </row>
    <row r="1979" spans="1:7">
      <c r="A1979" s="54">
        <v>90.803299999999993</v>
      </c>
      <c r="B1979" s="54">
        <v>91.427300000000002</v>
      </c>
      <c r="C1979" s="54">
        <v>90.523899999999998</v>
      </c>
      <c r="D1979" s="54">
        <v>90.971000000000004</v>
      </c>
      <c r="E1979" s="54">
        <v>15441189</v>
      </c>
      <c r="F1979" s="54" t="s">
        <v>2797</v>
      </c>
      <c r="G1979" s="25">
        <f t="shared" si="29"/>
        <v>-1.8434446142178151E-3</v>
      </c>
    </row>
    <row r="1980" spans="1:7">
      <c r="A1980" s="54">
        <v>90.896500000000003</v>
      </c>
      <c r="B1980" s="54">
        <v>91.278300000000002</v>
      </c>
      <c r="C1980" s="54">
        <v>90.151399999999995</v>
      </c>
      <c r="D1980" s="54">
        <v>90.337699999999998</v>
      </c>
      <c r="E1980" s="54">
        <v>19422467</v>
      </c>
      <c r="F1980" s="54" t="s">
        <v>2798</v>
      </c>
      <c r="G1980" s="25">
        <f t="shared" si="29"/>
        <v>6.1856788472587354E-3</v>
      </c>
    </row>
    <row r="1981" spans="1:7">
      <c r="A1981" s="54">
        <v>89.741600000000005</v>
      </c>
      <c r="B1981" s="54">
        <v>90.272499999999994</v>
      </c>
      <c r="C1981" s="54">
        <v>89.415700000000001</v>
      </c>
      <c r="D1981" s="54">
        <v>89.415700000000001</v>
      </c>
      <c r="E1981" s="54">
        <v>17865840</v>
      </c>
      <c r="F1981" s="54" t="s">
        <v>2799</v>
      </c>
      <c r="G1981" s="25">
        <f t="shared" si="29"/>
        <v>3.644773792522038E-3</v>
      </c>
    </row>
    <row r="1982" spans="1:7">
      <c r="A1982" s="54">
        <v>89.573999999999998</v>
      </c>
      <c r="B1982" s="54">
        <v>90.840699999999998</v>
      </c>
      <c r="C1982" s="54">
        <v>89.248000000000005</v>
      </c>
      <c r="D1982" s="54">
        <v>90.114199999999997</v>
      </c>
      <c r="E1982" s="54">
        <v>17246716</v>
      </c>
      <c r="F1982" s="54" t="s">
        <v>2800</v>
      </c>
      <c r="G1982" s="25">
        <f t="shared" si="29"/>
        <v>-5.9946157209407325E-3</v>
      </c>
    </row>
    <row r="1983" spans="1:7">
      <c r="A1983" s="54">
        <v>90.477400000000003</v>
      </c>
      <c r="B1983" s="54">
        <v>90.7102</v>
      </c>
      <c r="C1983" s="54">
        <v>89.979100000000003</v>
      </c>
      <c r="D1983" s="54">
        <v>90.673000000000002</v>
      </c>
      <c r="E1983" s="54">
        <v>17384742</v>
      </c>
      <c r="F1983" s="54" t="s">
        <v>2801</v>
      </c>
      <c r="G1983" s="25">
        <f t="shared" si="29"/>
        <v>-2.157202254254309E-3</v>
      </c>
    </row>
    <row r="1984" spans="1:7">
      <c r="A1984" s="54">
        <v>90.244600000000005</v>
      </c>
      <c r="B1984" s="54">
        <v>90.736000000000004</v>
      </c>
      <c r="C1984" s="54">
        <v>89.335800000000006</v>
      </c>
      <c r="D1984" s="54">
        <v>90.170400000000001</v>
      </c>
      <c r="E1984" s="54">
        <v>24594010</v>
      </c>
      <c r="F1984" s="54" t="s">
        <v>2802</v>
      </c>
      <c r="G1984" s="25">
        <f t="shared" si="29"/>
        <v>8.2288644610661876E-4</v>
      </c>
    </row>
    <row r="1985" spans="1:7">
      <c r="A1985" s="54">
        <v>90.902900000000002</v>
      </c>
      <c r="B1985" s="54">
        <v>91.514899999999997</v>
      </c>
      <c r="C1985" s="54">
        <v>90.235299999999995</v>
      </c>
      <c r="D1985" s="54">
        <v>90.800899999999999</v>
      </c>
      <c r="E1985" s="54">
        <v>19454124</v>
      </c>
      <c r="F1985" s="54" t="s">
        <v>2803</v>
      </c>
      <c r="G1985" s="25">
        <f t="shared" si="29"/>
        <v>1.1233368832248569E-3</v>
      </c>
    </row>
    <row r="1986" spans="1:7">
      <c r="A1986" s="54">
        <v>90.596900000000005</v>
      </c>
      <c r="B1986" s="54">
        <v>90.754599999999996</v>
      </c>
      <c r="C1986" s="54">
        <v>89.984899999999996</v>
      </c>
      <c r="D1986" s="54">
        <v>90.689700000000002</v>
      </c>
      <c r="E1986" s="54">
        <v>16778316</v>
      </c>
      <c r="F1986" s="54" t="s">
        <v>2804</v>
      </c>
      <c r="G1986" s="25">
        <f t="shared" si="29"/>
        <v>-1.0232694561785882E-3</v>
      </c>
    </row>
    <row r="1987" spans="1:7">
      <c r="A1987" s="54">
        <v>90.791700000000006</v>
      </c>
      <c r="B1987" s="54">
        <v>90.828699999999998</v>
      </c>
      <c r="C1987" s="54">
        <v>89.994200000000006</v>
      </c>
      <c r="D1987" s="54">
        <v>90.374399999999994</v>
      </c>
      <c r="E1987" s="54">
        <v>22388119</v>
      </c>
      <c r="F1987" s="54" t="s">
        <v>2805</v>
      </c>
      <c r="G1987" s="25">
        <f t="shared" si="29"/>
        <v>4.6174580412152721E-3</v>
      </c>
    </row>
    <row r="1988" spans="1:7">
      <c r="A1988" s="54">
        <v>89.892200000000003</v>
      </c>
      <c r="B1988" s="54">
        <v>89.92</v>
      </c>
      <c r="C1988" s="54">
        <v>88.139600000000002</v>
      </c>
      <c r="D1988" s="54">
        <v>89.029799999999994</v>
      </c>
      <c r="E1988" s="54">
        <v>27327410</v>
      </c>
      <c r="F1988" s="54" t="s">
        <v>2806</v>
      </c>
      <c r="G1988" s="25">
        <f t="shared" si="29"/>
        <v>9.6866442472072212E-3</v>
      </c>
    </row>
    <row r="1989" spans="1:7">
      <c r="A1989" s="54">
        <v>88.844300000000004</v>
      </c>
      <c r="B1989" s="54">
        <v>89.168899999999994</v>
      </c>
      <c r="C1989" s="54">
        <v>88.151700000000005</v>
      </c>
      <c r="D1989" s="54">
        <v>88.877300000000005</v>
      </c>
      <c r="E1989" s="54">
        <v>23484589</v>
      </c>
      <c r="F1989" s="54" t="s">
        <v>2807</v>
      </c>
      <c r="G1989" s="25">
        <f t="shared" si="29"/>
        <v>-3.7129840802996306E-4</v>
      </c>
    </row>
    <row r="1990" spans="1:7">
      <c r="A1990" s="54">
        <v>89.224500000000006</v>
      </c>
      <c r="B1990" s="54">
        <v>89.678899999999999</v>
      </c>
      <c r="C1990" s="54">
        <v>88.186000000000007</v>
      </c>
      <c r="D1990" s="54">
        <v>88.250900000000001</v>
      </c>
      <c r="E1990" s="54">
        <v>24242019</v>
      </c>
      <c r="F1990" s="54" t="s">
        <v>2808</v>
      </c>
      <c r="G1990" s="25">
        <f t="shared" si="29"/>
        <v>1.1032182108057897E-2</v>
      </c>
    </row>
    <row r="1991" spans="1:7">
      <c r="A1991" s="54">
        <v>88.241600000000005</v>
      </c>
      <c r="B1991" s="54">
        <v>88.436300000000003</v>
      </c>
      <c r="C1991" s="54">
        <v>86.164400000000001</v>
      </c>
      <c r="D1991" s="54">
        <v>86.535399999999996</v>
      </c>
      <c r="E1991" s="54">
        <v>22531325</v>
      </c>
      <c r="F1991" s="54" t="s">
        <v>2809</v>
      </c>
      <c r="G1991" s="25">
        <f t="shared" si="29"/>
        <v>1.971678642497765E-2</v>
      </c>
    </row>
    <row r="1992" spans="1:7">
      <c r="A1992" s="54">
        <v>87.230800000000002</v>
      </c>
      <c r="B1992" s="54">
        <v>88.023700000000005</v>
      </c>
      <c r="C1992" s="54">
        <v>85.7286</v>
      </c>
      <c r="D1992" s="54">
        <v>86.201499999999996</v>
      </c>
      <c r="E1992" s="54">
        <v>31142497</v>
      </c>
      <c r="F1992" s="54" t="s">
        <v>2810</v>
      </c>
      <c r="G1992" s="25">
        <f t="shared" si="29"/>
        <v>1.1940627483280508E-2</v>
      </c>
    </row>
    <row r="1993" spans="1:7">
      <c r="A1993" s="54">
        <v>86.711500000000001</v>
      </c>
      <c r="B1993" s="54">
        <v>88.250900000000001</v>
      </c>
      <c r="C1993" s="54">
        <v>86.4148</v>
      </c>
      <c r="D1993" s="54">
        <v>88.0839</v>
      </c>
      <c r="E1993" s="54">
        <v>27471002</v>
      </c>
      <c r="F1993" s="54" t="s">
        <v>2811</v>
      </c>
      <c r="G1993" s="25">
        <f t="shared" si="29"/>
        <v>-1.558059985990623E-2</v>
      </c>
    </row>
    <row r="1994" spans="1:7">
      <c r="A1994" s="54">
        <v>88.093199999999996</v>
      </c>
      <c r="B1994" s="54">
        <v>88.362099999999998</v>
      </c>
      <c r="C1994" s="54">
        <v>86.043899999999994</v>
      </c>
      <c r="D1994" s="54">
        <v>86.433400000000006</v>
      </c>
      <c r="E1994" s="54">
        <v>31408927</v>
      </c>
      <c r="F1994" s="54" t="s">
        <v>2812</v>
      </c>
      <c r="G1994" s="25">
        <f t="shared" si="29"/>
        <v>1.9203224679348319E-2</v>
      </c>
    </row>
    <row r="1995" spans="1:7">
      <c r="A1995" s="54">
        <v>86.720799999999997</v>
      </c>
      <c r="B1995" s="54">
        <v>89.388099999999994</v>
      </c>
      <c r="C1995" s="54">
        <v>86.377700000000004</v>
      </c>
      <c r="D1995" s="54">
        <v>89.326499999999996</v>
      </c>
      <c r="E1995" s="54">
        <v>41523605</v>
      </c>
      <c r="F1995" s="54" t="s">
        <v>2813</v>
      </c>
      <c r="G1995" s="25">
        <f t="shared" si="29"/>
        <v>-2.9170514908789635E-2</v>
      </c>
    </row>
    <row r="1996" spans="1:7">
      <c r="A1996" s="54">
        <v>88.8536</v>
      </c>
      <c r="B1996" s="54">
        <v>90.782399999999996</v>
      </c>
      <c r="C1996" s="54">
        <v>87.082499999999996</v>
      </c>
      <c r="D1996" s="54">
        <v>90.504199999999997</v>
      </c>
      <c r="E1996" s="54">
        <v>48272780</v>
      </c>
      <c r="F1996" s="54" t="s">
        <v>2814</v>
      </c>
      <c r="G1996" s="25">
        <f t="shared" si="29"/>
        <v>-1.8237827636728432E-2</v>
      </c>
    </row>
    <row r="1997" spans="1:7">
      <c r="A1997" s="54">
        <v>87.406999999999996</v>
      </c>
      <c r="B1997" s="54">
        <v>88.232299999999995</v>
      </c>
      <c r="C1997" s="54">
        <v>86.331400000000002</v>
      </c>
      <c r="D1997" s="54">
        <v>86.748599999999996</v>
      </c>
      <c r="E1997" s="54">
        <v>42529043</v>
      </c>
      <c r="F1997" s="54" t="s">
        <v>2815</v>
      </c>
      <c r="G1997" s="25">
        <f t="shared" si="29"/>
        <v>7.5897478460746903E-3</v>
      </c>
    </row>
    <row r="1998" spans="1:7">
      <c r="A1998" s="54">
        <v>85.598799999999997</v>
      </c>
      <c r="B1998" s="54">
        <v>86.516800000000003</v>
      </c>
      <c r="C1998" s="54">
        <v>83.716399999999993</v>
      </c>
      <c r="D1998" s="54">
        <v>86.516800000000003</v>
      </c>
      <c r="E1998" s="54">
        <v>33729257</v>
      </c>
      <c r="F1998" s="54" t="s">
        <v>2816</v>
      </c>
      <c r="G1998" s="25">
        <f t="shared" si="29"/>
        <v>-1.0610655965084259E-2</v>
      </c>
    </row>
    <row r="1999" spans="1:7">
      <c r="A1999" s="54">
        <v>86.349900000000005</v>
      </c>
      <c r="B1999" s="54">
        <v>89.456299999999999</v>
      </c>
      <c r="C1999" s="54">
        <v>85.691500000000005</v>
      </c>
      <c r="D1999" s="54">
        <v>89.244900000000001</v>
      </c>
      <c r="E1999" s="54">
        <v>34524799</v>
      </c>
      <c r="F1999" s="54" t="s">
        <v>2817</v>
      </c>
      <c r="G1999" s="25">
        <f t="shared" si="29"/>
        <v>-3.2438828437255207E-2</v>
      </c>
    </row>
    <row r="2000" spans="1:7">
      <c r="A2000" s="54">
        <v>88.4178</v>
      </c>
      <c r="B2000" s="54">
        <v>89.289400000000001</v>
      </c>
      <c r="C2000" s="54">
        <v>87.750100000000003</v>
      </c>
      <c r="D2000" s="54">
        <v>88.782799999999995</v>
      </c>
      <c r="E2000" s="54">
        <v>22331829</v>
      </c>
      <c r="F2000" s="54" t="s">
        <v>2818</v>
      </c>
      <c r="G2000" s="25">
        <f t="shared" si="29"/>
        <v>-4.1111566654802312E-3</v>
      </c>
    </row>
    <row r="2001" spans="1:7">
      <c r="A2001" s="54">
        <v>88.093199999999996</v>
      </c>
      <c r="B2001" s="54">
        <v>89.122500000000002</v>
      </c>
      <c r="C2001" s="54">
        <v>87.212299999999999</v>
      </c>
      <c r="D2001" s="54">
        <v>88.937100000000001</v>
      </c>
      <c r="E2001" s="54">
        <v>31154377</v>
      </c>
      <c r="F2001" s="54" t="s">
        <v>2819</v>
      </c>
      <c r="G2001" s="25">
        <f t="shared" si="29"/>
        <v>-9.4887285508522545E-3</v>
      </c>
    </row>
    <row r="2002" spans="1:7">
      <c r="A2002" s="54">
        <v>89.122500000000002</v>
      </c>
      <c r="B2002" s="54">
        <v>90.012699999999995</v>
      </c>
      <c r="C2002" s="54">
        <v>88.408500000000004</v>
      </c>
      <c r="D2002" s="54">
        <v>89.4285</v>
      </c>
      <c r="E2002" s="54">
        <v>23552541</v>
      </c>
      <c r="F2002" s="54" t="s">
        <v>2820</v>
      </c>
      <c r="G2002" s="25">
        <f t="shared" si="29"/>
        <v>-3.4217279726261873E-3</v>
      </c>
    </row>
    <row r="2003" spans="1:7">
      <c r="A2003" s="54">
        <v>89.4285</v>
      </c>
      <c r="B2003" s="54">
        <v>89.688199999999995</v>
      </c>
      <c r="C2003" s="54">
        <v>88.575400000000002</v>
      </c>
      <c r="D2003" s="54">
        <v>89.224500000000006</v>
      </c>
      <c r="E2003" s="54">
        <v>21043287</v>
      </c>
      <c r="F2003" s="54" t="s">
        <v>2821</v>
      </c>
      <c r="G2003" s="25">
        <f t="shared" si="29"/>
        <v>2.286367533580913E-3</v>
      </c>
    </row>
    <row r="2004" spans="1:7">
      <c r="A2004" s="54">
        <v>89.085400000000007</v>
      </c>
      <c r="B2004" s="54">
        <v>89.521299999999997</v>
      </c>
      <c r="C2004" s="54">
        <v>87.981899999999996</v>
      </c>
      <c r="D2004" s="54">
        <v>88.093199999999996</v>
      </c>
      <c r="E2004" s="54">
        <v>26771000</v>
      </c>
      <c r="F2004" s="54" t="s">
        <v>2822</v>
      </c>
      <c r="G2004" s="25">
        <f t="shared" si="29"/>
        <v>1.1263071383489365E-2</v>
      </c>
    </row>
    <row r="2005" spans="1:7">
      <c r="A2005" s="54">
        <v>87.323599999999999</v>
      </c>
      <c r="B2005" s="54">
        <v>87.777900000000002</v>
      </c>
      <c r="C2005" s="54">
        <v>86.628100000000003</v>
      </c>
      <c r="D2005" s="54">
        <v>87.230800000000002</v>
      </c>
      <c r="E2005" s="54">
        <v>20288083</v>
      </c>
      <c r="F2005" s="54" t="s">
        <v>2823</v>
      </c>
      <c r="G2005" s="25">
        <f t="shared" si="29"/>
        <v>1.0638444219244203E-3</v>
      </c>
    </row>
    <row r="2006" spans="1:7">
      <c r="A2006" s="54">
        <v>86.312799999999996</v>
      </c>
      <c r="B2006" s="54">
        <v>87.332800000000006</v>
      </c>
      <c r="C2006" s="54">
        <v>85.719300000000004</v>
      </c>
      <c r="D2006" s="54">
        <v>87.212299999999999</v>
      </c>
      <c r="E2006" s="54">
        <v>23346063</v>
      </c>
      <c r="F2006" s="54" t="s">
        <v>2824</v>
      </c>
      <c r="G2006" s="25">
        <f t="shared" si="29"/>
        <v>-1.0313912143126602E-2</v>
      </c>
    </row>
    <row r="2007" spans="1:7">
      <c r="A2007" s="54">
        <v>86.776499999999999</v>
      </c>
      <c r="B2007" s="54">
        <v>87.314300000000003</v>
      </c>
      <c r="C2007" s="54">
        <v>85.710099999999997</v>
      </c>
      <c r="D2007" s="54">
        <v>85.710099999999997</v>
      </c>
      <c r="E2007" s="54">
        <v>26758879</v>
      </c>
      <c r="F2007" s="54" t="s">
        <v>2825</v>
      </c>
      <c r="G2007" s="25">
        <f t="shared" si="29"/>
        <v>1.2441940914781346E-2</v>
      </c>
    </row>
    <row r="2008" spans="1:7">
      <c r="A2008" s="54">
        <v>85.1815</v>
      </c>
      <c r="B2008" s="54">
        <v>86.507499999999993</v>
      </c>
      <c r="C2008" s="54">
        <v>84.829099999999997</v>
      </c>
      <c r="D2008" s="54">
        <v>85.320599999999999</v>
      </c>
      <c r="E2008" s="54">
        <v>24872110</v>
      </c>
      <c r="F2008" s="54" t="s">
        <v>2826</v>
      </c>
      <c r="G2008" s="25">
        <f t="shared" ref="G2008:G2071" si="30">A2008/D2008-1</f>
        <v>-1.6303213995213506E-3</v>
      </c>
    </row>
    <row r="2009" spans="1:7">
      <c r="A2009" s="54">
        <v>86.127399999999994</v>
      </c>
      <c r="B2009" s="54">
        <v>86.4983</v>
      </c>
      <c r="C2009" s="54">
        <v>84.977500000000006</v>
      </c>
      <c r="D2009" s="54">
        <v>85.673000000000002</v>
      </c>
      <c r="E2009" s="54">
        <v>26939883</v>
      </c>
      <c r="F2009" s="54" t="s">
        <v>2827</v>
      </c>
      <c r="G2009" s="25">
        <f t="shared" si="30"/>
        <v>5.3038880394056243E-3</v>
      </c>
    </row>
    <row r="2010" spans="1:7">
      <c r="A2010" s="54">
        <v>84.1708</v>
      </c>
      <c r="B2010" s="54">
        <v>86.396299999999997</v>
      </c>
      <c r="C2010" s="54">
        <v>84.031700000000001</v>
      </c>
      <c r="D2010" s="54">
        <v>84.421099999999996</v>
      </c>
      <c r="E2010" s="54">
        <v>31533943</v>
      </c>
      <c r="F2010" s="54" t="s">
        <v>2828</v>
      </c>
      <c r="G2010" s="25">
        <f t="shared" si="30"/>
        <v>-2.9648985857800847E-3</v>
      </c>
    </row>
    <row r="2011" spans="1:7">
      <c r="A2011" s="54">
        <v>83.67</v>
      </c>
      <c r="B2011" s="54">
        <v>85.737899999999996</v>
      </c>
      <c r="C2011" s="54">
        <v>82.974500000000006</v>
      </c>
      <c r="D2011" s="54">
        <v>84.838399999999993</v>
      </c>
      <c r="E2011" s="54">
        <v>38026000</v>
      </c>
      <c r="F2011" s="54" t="s">
        <v>2829</v>
      </c>
      <c r="G2011" s="25">
        <f t="shared" si="30"/>
        <v>-1.3772065479782603E-2</v>
      </c>
    </row>
    <row r="2012" spans="1:7">
      <c r="A2012" s="54">
        <v>85.663700000000006</v>
      </c>
      <c r="B2012" s="54">
        <v>86.298900000000003</v>
      </c>
      <c r="C2012" s="54">
        <v>84.754999999999995</v>
      </c>
      <c r="D2012" s="54">
        <v>85.714699999999993</v>
      </c>
      <c r="E2012" s="54">
        <v>29771881</v>
      </c>
      <c r="F2012" s="54" t="s">
        <v>2830</v>
      </c>
      <c r="G2012" s="25">
        <f t="shared" si="30"/>
        <v>-5.9499712418042972E-4</v>
      </c>
    </row>
    <row r="2013" spans="1:7">
      <c r="A2013" s="54">
        <v>85.6173</v>
      </c>
      <c r="B2013" s="54">
        <v>86.016099999999994</v>
      </c>
      <c r="C2013" s="54">
        <v>81.351799999999997</v>
      </c>
      <c r="D2013" s="54">
        <v>81.462999999999994</v>
      </c>
      <c r="E2013" s="54">
        <v>35559956</v>
      </c>
      <c r="F2013" s="54" t="s">
        <v>2831</v>
      </c>
      <c r="G2013" s="25">
        <f t="shared" si="30"/>
        <v>5.0996157764874983E-2</v>
      </c>
    </row>
    <row r="2014" spans="1:7">
      <c r="A2014" s="54">
        <v>83.187799999999996</v>
      </c>
      <c r="B2014" s="54">
        <v>83.503100000000003</v>
      </c>
      <c r="C2014" s="54">
        <v>81.500100000000003</v>
      </c>
      <c r="D2014" s="54">
        <v>83.062600000000003</v>
      </c>
      <c r="E2014" s="54">
        <v>37213837</v>
      </c>
      <c r="F2014" s="54" t="s">
        <v>2832</v>
      </c>
      <c r="G2014" s="25">
        <f t="shared" si="30"/>
        <v>1.507296906188671E-3</v>
      </c>
    </row>
    <row r="2015" spans="1:7">
      <c r="A2015" s="54">
        <v>82.084299999999999</v>
      </c>
      <c r="B2015" s="54">
        <v>84.272800000000004</v>
      </c>
      <c r="C2015" s="54">
        <v>81.147800000000004</v>
      </c>
      <c r="D2015" s="54">
        <v>83.892600000000002</v>
      </c>
      <c r="E2015" s="54">
        <v>48515417</v>
      </c>
      <c r="F2015" s="54" t="s">
        <v>2833</v>
      </c>
      <c r="G2015" s="25">
        <f t="shared" si="30"/>
        <v>-2.1554940483427654E-2</v>
      </c>
    </row>
    <row r="2016" spans="1:7">
      <c r="A2016" s="54">
        <v>84.634399999999999</v>
      </c>
      <c r="B2016" s="54">
        <v>85.580200000000005</v>
      </c>
      <c r="C2016" s="54">
        <v>81.973100000000002</v>
      </c>
      <c r="D2016" s="54">
        <v>83.623699999999999</v>
      </c>
      <c r="E2016" s="54">
        <v>45867548</v>
      </c>
      <c r="F2016" s="54" t="s">
        <v>2834</v>
      </c>
      <c r="G2016" s="25">
        <f t="shared" si="30"/>
        <v>1.2086286543169011E-2</v>
      </c>
    </row>
    <row r="2017" spans="1:7">
      <c r="A2017" s="54">
        <v>82.891099999999994</v>
      </c>
      <c r="B2017" s="54">
        <v>84.597300000000004</v>
      </c>
      <c r="C2017" s="54">
        <v>82.411699999999996</v>
      </c>
      <c r="D2017" s="54">
        <v>83.2898</v>
      </c>
      <c r="E2017" s="54">
        <v>52501146</v>
      </c>
      <c r="F2017" s="54" t="s">
        <v>2835</v>
      </c>
      <c r="G2017" s="25">
        <f t="shared" si="30"/>
        <v>-4.7869006769136746E-3</v>
      </c>
    </row>
    <row r="2018" spans="1:7">
      <c r="A2018" s="54">
        <v>82.965299999999999</v>
      </c>
      <c r="B2018" s="54">
        <v>88.222099999999998</v>
      </c>
      <c r="C2018" s="54">
        <v>82.075100000000006</v>
      </c>
      <c r="D2018" s="54">
        <v>88.037599999999998</v>
      </c>
      <c r="E2018" s="54">
        <v>56569011</v>
      </c>
      <c r="F2018" s="54" t="s">
        <v>2836</v>
      </c>
      <c r="G2018" s="25">
        <f t="shared" si="30"/>
        <v>-5.7615155342717217E-2</v>
      </c>
    </row>
    <row r="2019" spans="1:7">
      <c r="A2019" s="54">
        <v>86.9619</v>
      </c>
      <c r="B2019" s="54">
        <v>87.165899999999993</v>
      </c>
      <c r="C2019" s="54">
        <v>83.827699999999993</v>
      </c>
      <c r="D2019" s="54">
        <v>84.022400000000005</v>
      </c>
      <c r="E2019" s="54">
        <v>56396780</v>
      </c>
      <c r="F2019" s="54" t="s">
        <v>2837</v>
      </c>
      <c r="G2019" s="25">
        <f t="shared" si="30"/>
        <v>3.4984718360818068E-2</v>
      </c>
    </row>
    <row r="2020" spans="1:7">
      <c r="A2020" s="54">
        <v>80.841800000000006</v>
      </c>
      <c r="B2020" s="54">
        <v>83.883300000000006</v>
      </c>
      <c r="C2020" s="54">
        <v>80.748999999999995</v>
      </c>
      <c r="D2020" s="54">
        <v>82.993099999999998</v>
      </c>
      <c r="E2020" s="54">
        <v>44068949</v>
      </c>
      <c r="F2020" s="54" t="s">
        <v>2838</v>
      </c>
      <c r="G2020" s="25">
        <f t="shared" si="30"/>
        <v>-2.5921432022662061E-2</v>
      </c>
    </row>
    <row r="2021" spans="1:7">
      <c r="A2021" s="54">
        <v>83.262</v>
      </c>
      <c r="B2021" s="54">
        <v>85.079499999999996</v>
      </c>
      <c r="C2021" s="54">
        <v>83.141499999999994</v>
      </c>
      <c r="D2021" s="54">
        <v>84.629800000000003</v>
      </c>
      <c r="E2021" s="54">
        <v>38604715</v>
      </c>
      <c r="F2021" s="54" t="s">
        <v>2839</v>
      </c>
      <c r="G2021" s="25">
        <f t="shared" si="30"/>
        <v>-1.6162155647301613E-2</v>
      </c>
    </row>
    <row r="2022" spans="1:7">
      <c r="A2022" s="54">
        <v>85.756399999999999</v>
      </c>
      <c r="B2022" s="54">
        <v>87.212299999999999</v>
      </c>
      <c r="C2022" s="54">
        <v>85.506100000000004</v>
      </c>
      <c r="D2022" s="54">
        <v>86.173699999999997</v>
      </c>
      <c r="E2022" s="54">
        <v>24457082</v>
      </c>
      <c r="F2022" s="54" t="s">
        <v>2840</v>
      </c>
      <c r="G2022" s="25">
        <f t="shared" si="30"/>
        <v>-4.8425447671388566E-3</v>
      </c>
    </row>
    <row r="2023" spans="1:7">
      <c r="A2023" s="54">
        <v>86.359200000000001</v>
      </c>
      <c r="B2023" s="54">
        <v>86.952600000000004</v>
      </c>
      <c r="C2023" s="54">
        <v>86.238600000000005</v>
      </c>
      <c r="D2023" s="54">
        <v>86.284999999999997</v>
      </c>
      <c r="E2023" s="54">
        <v>23075240</v>
      </c>
      <c r="F2023" s="54" t="s">
        <v>2841</v>
      </c>
      <c r="G2023" s="25">
        <f t="shared" si="30"/>
        <v>8.5994089355057035E-4</v>
      </c>
    </row>
    <row r="2024" spans="1:7">
      <c r="A2024" s="54">
        <v>86.136600000000001</v>
      </c>
      <c r="B2024" s="54">
        <v>87.0732</v>
      </c>
      <c r="C2024" s="54">
        <v>85.413300000000007</v>
      </c>
      <c r="D2024" s="54">
        <v>86.924800000000005</v>
      </c>
      <c r="E2024" s="54">
        <v>33344085</v>
      </c>
      <c r="F2024" s="54" t="s">
        <v>2842</v>
      </c>
      <c r="G2024" s="25">
        <f t="shared" si="30"/>
        <v>-9.0676078633485924E-3</v>
      </c>
    </row>
    <row r="2025" spans="1:7">
      <c r="A2025" s="54">
        <v>87.722300000000004</v>
      </c>
      <c r="B2025" s="54">
        <v>88.445599999999999</v>
      </c>
      <c r="C2025" s="54">
        <v>87.091700000000003</v>
      </c>
      <c r="D2025" s="54">
        <v>87.796499999999995</v>
      </c>
      <c r="E2025" s="54">
        <v>49081279</v>
      </c>
      <c r="F2025" s="54" t="s">
        <v>2843</v>
      </c>
      <c r="G2025" s="25">
        <f t="shared" si="30"/>
        <v>-8.4513619563408859E-4</v>
      </c>
    </row>
    <row r="2026" spans="1:7">
      <c r="A2026" s="54">
        <v>87.332800000000006</v>
      </c>
      <c r="B2026" s="54">
        <v>87.703800000000001</v>
      </c>
      <c r="C2026" s="54">
        <v>86.081000000000003</v>
      </c>
      <c r="D2026" s="54">
        <v>86.730099999999993</v>
      </c>
      <c r="E2026" s="54">
        <v>27610998</v>
      </c>
      <c r="F2026" s="54" t="s">
        <v>2844</v>
      </c>
      <c r="G2026" s="25">
        <f t="shared" si="30"/>
        <v>6.9491445299845189E-3</v>
      </c>
    </row>
    <row r="2027" spans="1:7">
      <c r="A2027" s="54">
        <v>87.026799999999994</v>
      </c>
      <c r="B2027" s="54">
        <v>88.473399999999998</v>
      </c>
      <c r="C2027" s="54">
        <v>86.702299999999994</v>
      </c>
      <c r="D2027" s="54">
        <v>88.204499999999996</v>
      </c>
      <c r="E2027" s="54">
        <v>32131981</v>
      </c>
      <c r="F2027" s="54" t="s">
        <v>2845</v>
      </c>
      <c r="G2027" s="25">
        <f t="shared" si="30"/>
        <v>-1.3351926489011401E-2</v>
      </c>
    </row>
    <row r="2028" spans="1:7">
      <c r="A2028" s="54">
        <v>87.546099999999996</v>
      </c>
      <c r="B2028" s="54">
        <v>90.170400000000001</v>
      </c>
      <c r="C2028" s="54">
        <v>87.138099999999994</v>
      </c>
      <c r="D2028" s="54">
        <v>89.947800000000001</v>
      </c>
      <c r="E2028" s="54">
        <v>35387817</v>
      </c>
      <c r="F2028" s="54" t="s">
        <v>2846</v>
      </c>
      <c r="G2028" s="25">
        <f t="shared" si="30"/>
        <v>-2.6701042160008459E-2</v>
      </c>
    </row>
    <row r="2029" spans="1:7">
      <c r="A2029" s="54">
        <v>89.734499999999997</v>
      </c>
      <c r="B2029" s="54">
        <v>90.142499999999998</v>
      </c>
      <c r="C2029" s="54">
        <v>89.057599999999994</v>
      </c>
      <c r="D2029" s="54">
        <v>89.484200000000001</v>
      </c>
      <c r="E2029" s="54">
        <v>26073742</v>
      </c>
      <c r="F2029" s="54" t="s">
        <v>2847</v>
      </c>
      <c r="G2029" s="25">
        <f t="shared" si="30"/>
        <v>2.7971418418000216E-3</v>
      </c>
    </row>
    <row r="2030" spans="1:7">
      <c r="A2030" s="54">
        <v>89.521299999999997</v>
      </c>
      <c r="B2030" s="54">
        <v>89.521299999999997</v>
      </c>
      <c r="C2030" s="54">
        <v>88.093199999999996</v>
      </c>
      <c r="D2030" s="54">
        <v>88.362099999999998</v>
      </c>
      <c r="E2030" s="54">
        <v>36937254</v>
      </c>
      <c r="F2030" s="54" t="s">
        <v>2848</v>
      </c>
      <c r="G2030" s="25">
        <f t="shared" si="30"/>
        <v>1.3118746611952448E-2</v>
      </c>
    </row>
    <row r="2031" spans="1:7">
      <c r="A2031" s="54">
        <v>87.564700000000002</v>
      </c>
      <c r="B2031" s="54">
        <v>88.186000000000007</v>
      </c>
      <c r="C2031" s="54">
        <v>86.947999999999993</v>
      </c>
      <c r="D2031" s="54">
        <v>87.416300000000007</v>
      </c>
      <c r="E2031" s="54">
        <v>25887828</v>
      </c>
      <c r="F2031" s="54" t="s">
        <v>2849</v>
      </c>
      <c r="G2031" s="25">
        <f t="shared" si="30"/>
        <v>1.6976238985177972E-3</v>
      </c>
    </row>
    <row r="2032" spans="1:7">
      <c r="A2032" s="54">
        <v>87.036100000000005</v>
      </c>
      <c r="B2032" s="54">
        <v>87.110799999999998</v>
      </c>
      <c r="C2032" s="54">
        <v>85.710099999999997</v>
      </c>
      <c r="D2032" s="54">
        <v>86.387</v>
      </c>
      <c r="E2032" s="54">
        <v>26716127</v>
      </c>
      <c r="F2032" s="54" t="s">
        <v>2850</v>
      </c>
      <c r="G2032" s="25">
        <f t="shared" si="30"/>
        <v>7.513862039427277E-3</v>
      </c>
    </row>
    <row r="2033" spans="1:7">
      <c r="A2033" s="54">
        <v>86.535399999999996</v>
      </c>
      <c r="B2033" s="54">
        <v>87.6203</v>
      </c>
      <c r="C2033" s="54">
        <v>86.183899999999994</v>
      </c>
      <c r="D2033" s="54">
        <v>87.481200000000001</v>
      </c>
      <c r="E2033" s="54">
        <v>22175776</v>
      </c>
      <c r="F2033" s="54" t="s">
        <v>2851</v>
      </c>
      <c r="G2033" s="25">
        <f t="shared" si="30"/>
        <v>-1.0811465777790019E-2</v>
      </c>
    </row>
    <row r="2034" spans="1:7">
      <c r="A2034" s="54">
        <v>86.832099999999997</v>
      </c>
      <c r="B2034" s="54">
        <v>87.416300000000007</v>
      </c>
      <c r="C2034" s="54">
        <v>85.552400000000006</v>
      </c>
      <c r="D2034" s="54">
        <v>85.626599999999996</v>
      </c>
      <c r="E2034" s="54">
        <v>23901578</v>
      </c>
      <c r="F2034" s="54" t="s">
        <v>2852</v>
      </c>
      <c r="G2034" s="25">
        <f t="shared" si="30"/>
        <v>1.4078569042797362E-2</v>
      </c>
    </row>
    <row r="2035" spans="1:7">
      <c r="A2035" s="54">
        <v>86.284999999999997</v>
      </c>
      <c r="B2035" s="54">
        <v>86.377700000000004</v>
      </c>
      <c r="C2035" s="54">
        <v>84.254199999999997</v>
      </c>
      <c r="D2035" s="54">
        <v>84.921899999999994</v>
      </c>
      <c r="E2035" s="54">
        <v>32830389</v>
      </c>
      <c r="F2035" s="54" t="s">
        <v>2853</v>
      </c>
      <c r="G2035" s="25">
        <f t="shared" si="30"/>
        <v>1.605121882576821E-2</v>
      </c>
    </row>
    <row r="2036" spans="1:7">
      <c r="A2036" s="54">
        <v>86.099500000000006</v>
      </c>
      <c r="B2036" s="54">
        <v>87.694500000000005</v>
      </c>
      <c r="C2036" s="54">
        <v>85.162999999999997</v>
      </c>
      <c r="D2036" s="54">
        <v>87.156700000000001</v>
      </c>
      <c r="E2036" s="54">
        <v>37135561</v>
      </c>
      <c r="F2036" s="54" t="s">
        <v>2854</v>
      </c>
      <c r="G2036" s="25">
        <f t="shared" si="30"/>
        <v>-1.2129876417991903E-2</v>
      </c>
    </row>
    <row r="2037" spans="1:7">
      <c r="A2037" s="54">
        <v>86.952600000000004</v>
      </c>
      <c r="B2037" s="54">
        <v>88.747</v>
      </c>
      <c r="C2037" s="54">
        <v>86.822800000000001</v>
      </c>
      <c r="D2037" s="54">
        <v>87.944900000000004</v>
      </c>
      <c r="E2037" s="54">
        <v>31167338</v>
      </c>
      <c r="F2037" s="54" t="s">
        <v>2855</v>
      </c>
      <c r="G2037" s="25">
        <f t="shared" si="30"/>
        <v>-1.12832011861973E-2</v>
      </c>
    </row>
    <row r="2038" spans="1:7">
      <c r="A2038" s="54">
        <v>87.351399999999998</v>
      </c>
      <c r="B2038" s="54">
        <v>88.872200000000007</v>
      </c>
      <c r="C2038" s="54">
        <v>87.351399999999998</v>
      </c>
      <c r="D2038" s="54">
        <v>88.779399999999995</v>
      </c>
      <c r="E2038" s="54">
        <v>25869119</v>
      </c>
      <c r="F2038" s="54" t="s">
        <v>2856</v>
      </c>
      <c r="G2038" s="25">
        <f t="shared" si="30"/>
        <v>-1.608481246775717E-2</v>
      </c>
    </row>
    <row r="2039" spans="1:7">
      <c r="A2039" s="54">
        <v>88.482699999999994</v>
      </c>
      <c r="B2039" s="54">
        <v>88.510499999999993</v>
      </c>
      <c r="C2039" s="54">
        <v>87.3977</v>
      </c>
      <c r="D2039" s="54">
        <v>87.536799999999999</v>
      </c>
      <c r="E2039" s="54">
        <v>30199846</v>
      </c>
      <c r="F2039" s="54" t="s">
        <v>2857</v>
      </c>
      <c r="G2039" s="25">
        <f t="shared" si="30"/>
        <v>1.080574112830246E-2</v>
      </c>
    </row>
    <row r="2040" spans="1:7">
      <c r="A2040" s="54">
        <v>87.221599999999995</v>
      </c>
      <c r="B2040" s="54">
        <v>87.230800000000002</v>
      </c>
      <c r="C2040" s="54">
        <v>85.645200000000003</v>
      </c>
      <c r="D2040" s="54">
        <v>86.006799999999998</v>
      </c>
      <c r="E2040" s="54">
        <v>26329226</v>
      </c>
      <c r="F2040" s="54" t="s">
        <v>2858</v>
      </c>
      <c r="G2040" s="25">
        <f t="shared" si="30"/>
        <v>1.4124464577219387E-2</v>
      </c>
    </row>
    <row r="2041" spans="1:7">
      <c r="A2041" s="54">
        <v>85.061000000000007</v>
      </c>
      <c r="B2041" s="54">
        <v>85.988299999999995</v>
      </c>
      <c r="C2041" s="54">
        <v>84.7179</v>
      </c>
      <c r="D2041" s="54">
        <v>85.357699999999994</v>
      </c>
      <c r="E2041" s="54">
        <v>24392753</v>
      </c>
      <c r="F2041" s="54" t="s">
        <v>2859</v>
      </c>
      <c r="G2041" s="25">
        <f t="shared" si="30"/>
        <v>-3.4759605753199585E-3</v>
      </c>
    </row>
    <row r="2042" spans="1:7">
      <c r="A2042" s="54">
        <v>84.838399999999993</v>
      </c>
      <c r="B2042" s="54">
        <v>86.572000000000003</v>
      </c>
      <c r="C2042" s="54">
        <v>84.838399999999993</v>
      </c>
      <c r="D2042" s="54">
        <v>86.220100000000002</v>
      </c>
      <c r="E2042" s="54">
        <v>26922503</v>
      </c>
      <c r="F2042" s="54" t="s">
        <v>2860</v>
      </c>
      <c r="G2042" s="25">
        <f t="shared" si="30"/>
        <v>-1.6025265570325353E-2</v>
      </c>
    </row>
    <row r="2043" spans="1:7">
      <c r="A2043" s="54">
        <v>85.978999999999999</v>
      </c>
      <c r="B2043" s="54">
        <v>86.294300000000007</v>
      </c>
      <c r="C2043" s="54">
        <v>84.393299999999996</v>
      </c>
      <c r="D2043" s="54">
        <v>84.8245</v>
      </c>
      <c r="E2043" s="54">
        <v>30911725</v>
      </c>
      <c r="F2043" s="54" t="s">
        <v>2861</v>
      </c>
      <c r="G2043" s="25">
        <f t="shared" si="30"/>
        <v>1.3610454526699289E-2</v>
      </c>
    </row>
    <row r="2044" spans="1:7">
      <c r="A2044" s="54">
        <v>85.311300000000003</v>
      </c>
      <c r="B2044" s="54">
        <v>86.702299999999994</v>
      </c>
      <c r="C2044" s="54">
        <v>85.125900000000001</v>
      </c>
      <c r="D2044" s="54">
        <v>85.7286</v>
      </c>
      <c r="E2044" s="54">
        <v>30596919</v>
      </c>
      <c r="F2044" s="54" t="s">
        <v>2862</v>
      </c>
      <c r="G2044" s="25">
        <f t="shared" si="30"/>
        <v>-4.8676870962548469E-3</v>
      </c>
    </row>
    <row r="2045" spans="1:7">
      <c r="A2045" s="54">
        <v>85.923299999999998</v>
      </c>
      <c r="B2045" s="54">
        <v>85.978999999999999</v>
      </c>
      <c r="C2045" s="54">
        <v>84.031700000000001</v>
      </c>
      <c r="D2045" s="54">
        <v>84.578800000000001</v>
      </c>
      <c r="E2045" s="54">
        <v>27823866</v>
      </c>
      <c r="F2045" s="54" t="s">
        <v>2863</v>
      </c>
      <c r="G2045" s="25">
        <f t="shared" si="30"/>
        <v>1.5896418487848063E-2</v>
      </c>
    </row>
    <row r="2046" spans="1:7">
      <c r="A2046" s="54">
        <v>84.207800000000006</v>
      </c>
      <c r="B2046" s="54">
        <v>84.374799999999993</v>
      </c>
      <c r="C2046" s="54">
        <v>81.982299999999995</v>
      </c>
      <c r="D2046" s="54">
        <v>82.075100000000006</v>
      </c>
      <c r="E2046" s="54">
        <v>34960912</v>
      </c>
      <c r="F2046" s="54" t="s">
        <v>2864</v>
      </c>
      <c r="G2046" s="25">
        <f t="shared" si="30"/>
        <v>2.5984738367665683E-2</v>
      </c>
    </row>
    <row r="2047" spans="1:7">
      <c r="A2047" s="54">
        <v>82.909599999999998</v>
      </c>
      <c r="B2047" s="54">
        <v>83.066500000000005</v>
      </c>
      <c r="C2047" s="54">
        <v>81.036000000000001</v>
      </c>
      <c r="D2047" s="54">
        <v>82.078999999999994</v>
      </c>
      <c r="E2047" s="54">
        <v>26407702</v>
      </c>
      <c r="F2047" s="54" t="s">
        <v>2865</v>
      </c>
      <c r="G2047" s="25">
        <f t="shared" si="30"/>
        <v>1.0119518999987864E-2</v>
      </c>
    </row>
    <row r="2048" spans="1:7">
      <c r="A2048" s="54">
        <v>82.263599999999997</v>
      </c>
      <c r="B2048" s="54">
        <v>82.863500000000002</v>
      </c>
      <c r="C2048" s="54">
        <v>81.155500000000004</v>
      </c>
      <c r="D2048" s="54">
        <v>81.899000000000001</v>
      </c>
      <c r="E2048" s="54">
        <v>35720341</v>
      </c>
      <c r="F2048" s="54" t="s">
        <v>2866</v>
      </c>
      <c r="G2048" s="25">
        <f t="shared" si="30"/>
        <v>4.45182480860562E-3</v>
      </c>
    </row>
    <row r="2049" spans="1:7">
      <c r="A2049" s="54">
        <v>81.386700000000005</v>
      </c>
      <c r="B2049" s="54">
        <v>82.078999999999994</v>
      </c>
      <c r="C2049" s="54">
        <v>77.371899999999997</v>
      </c>
      <c r="D2049" s="54">
        <v>79.651600000000002</v>
      </c>
      <c r="E2049" s="54">
        <v>63499065</v>
      </c>
      <c r="F2049" s="54" t="s">
        <v>2867</v>
      </c>
      <c r="G2049" s="25">
        <f t="shared" si="30"/>
        <v>2.1783617654887122E-2</v>
      </c>
    </row>
    <row r="2050" spans="1:7">
      <c r="A2050" s="54">
        <v>78.460999999999999</v>
      </c>
      <c r="B2050" s="54">
        <v>82.9512</v>
      </c>
      <c r="C2050" s="54">
        <v>78.230199999999996</v>
      </c>
      <c r="D2050" s="54">
        <v>82.798900000000003</v>
      </c>
      <c r="E2050" s="54">
        <v>55628657</v>
      </c>
      <c r="F2050" s="54" t="s">
        <v>2868</v>
      </c>
      <c r="G2050" s="25">
        <f t="shared" si="30"/>
        <v>-5.2390792631303085E-2</v>
      </c>
    </row>
    <row r="2051" spans="1:7">
      <c r="A2051" s="54">
        <v>82.706599999999995</v>
      </c>
      <c r="B2051" s="54">
        <v>84.700199999999995</v>
      </c>
      <c r="C2051" s="54">
        <v>82.328199999999995</v>
      </c>
      <c r="D2051" s="54">
        <v>83.518799999999999</v>
      </c>
      <c r="E2051" s="54">
        <v>41107592</v>
      </c>
      <c r="F2051" s="54" t="s">
        <v>2869</v>
      </c>
      <c r="G2051" s="25">
        <f t="shared" si="30"/>
        <v>-9.7247565817517589E-3</v>
      </c>
    </row>
    <row r="2052" spans="1:7">
      <c r="A2052" s="54">
        <v>84.2941</v>
      </c>
      <c r="B2052" s="54">
        <v>84.427899999999994</v>
      </c>
      <c r="C2052" s="54">
        <v>78.682500000000005</v>
      </c>
      <c r="D2052" s="54">
        <v>80.196100000000001</v>
      </c>
      <c r="E2052" s="54">
        <v>67998564</v>
      </c>
      <c r="F2052" s="54" t="s">
        <v>2870</v>
      </c>
      <c r="G2052" s="25">
        <f t="shared" si="30"/>
        <v>5.1099741758015682E-2</v>
      </c>
    </row>
    <row r="2053" spans="1:7">
      <c r="A2053" s="54">
        <v>81.220600000000005</v>
      </c>
      <c r="B2053" s="54">
        <v>86.056899999999999</v>
      </c>
      <c r="C2053" s="54">
        <v>81.220600000000005</v>
      </c>
      <c r="D2053" s="54">
        <v>83.583399999999997</v>
      </c>
      <c r="E2053" s="54">
        <v>51031465</v>
      </c>
      <c r="F2053" s="54" t="s">
        <v>2871</v>
      </c>
      <c r="G2053" s="25">
        <f t="shared" si="30"/>
        <v>-2.8268771071767729E-2</v>
      </c>
    </row>
    <row r="2054" spans="1:7">
      <c r="A2054" s="54">
        <v>84.709400000000002</v>
      </c>
      <c r="B2054" s="54">
        <v>86.730699999999999</v>
      </c>
      <c r="C2054" s="54">
        <v>84.450999999999993</v>
      </c>
      <c r="D2054" s="54">
        <v>86.426100000000005</v>
      </c>
      <c r="E2054" s="54">
        <v>47867753</v>
      </c>
      <c r="F2054" s="54" t="s">
        <v>2872</v>
      </c>
      <c r="G2054" s="25">
        <f t="shared" si="30"/>
        <v>-1.9863212617484804E-2</v>
      </c>
    </row>
    <row r="2055" spans="1:7">
      <c r="A2055" s="54">
        <v>86.998400000000004</v>
      </c>
      <c r="B2055" s="54">
        <v>88.668899999999994</v>
      </c>
      <c r="C2055" s="54">
        <v>86.371899999999997</v>
      </c>
      <c r="D2055" s="54">
        <v>87.487499999999997</v>
      </c>
      <c r="E2055" s="54">
        <v>47227882</v>
      </c>
      <c r="F2055" s="54" t="s">
        <v>2873</v>
      </c>
      <c r="G2055" s="25">
        <f t="shared" si="30"/>
        <v>-5.5905129304185674E-3</v>
      </c>
    </row>
    <row r="2056" spans="1:7">
      <c r="A2056" s="54">
        <v>87.690600000000003</v>
      </c>
      <c r="B2056" s="54">
        <v>88.0505</v>
      </c>
      <c r="C2056" s="54">
        <v>86.306100000000001</v>
      </c>
      <c r="D2056" s="54">
        <v>86.527600000000007</v>
      </c>
      <c r="E2056" s="54">
        <v>48756338</v>
      </c>
      <c r="F2056" s="54" t="s">
        <v>2874</v>
      </c>
      <c r="G2056" s="25">
        <f t="shared" si="30"/>
        <v>1.3440798080612382E-2</v>
      </c>
    </row>
    <row r="2057" spans="1:7">
      <c r="A2057" s="54">
        <v>85.595399999999998</v>
      </c>
      <c r="B2057" s="54">
        <v>86.444599999999994</v>
      </c>
      <c r="C2057" s="54">
        <v>85.004800000000003</v>
      </c>
      <c r="D2057" s="54">
        <v>86.112300000000005</v>
      </c>
      <c r="E2057" s="54">
        <v>38635053</v>
      </c>
      <c r="F2057" s="54" t="s">
        <v>2875</v>
      </c>
      <c r="G2057" s="25">
        <f t="shared" si="30"/>
        <v>-6.0026268024429008E-3</v>
      </c>
    </row>
    <row r="2058" spans="1:7">
      <c r="A2058" s="54">
        <v>86.6845</v>
      </c>
      <c r="B2058" s="54">
        <v>88.096699999999998</v>
      </c>
      <c r="C2058" s="54">
        <v>86.5</v>
      </c>
      <c r="D2058" s="54">
        <v>87.810599999999994</v>
      </c>
      <c r="E2058" s="54">
        <v>31569940</v>
      </c>
      <c r="F2058" s="54" t="s">
        <v>2876</v>
      </c>
      <c r="G2058" s="25">
        <f t="shared" si="30"/>
        <v>-1.2824192067927953E-2</v>
      </c>
    </row>
    <row r="2059" spans="1:7">
      <c r="A2059" s="54">
        <v>86.813800000000001</v>
      </c>
      <c r="B2059" s="54">
        <v>86.813800000000001</v>
      </c>
      <c r="C2059" s="54">
        <v>85.447800000000001</v>
      </c>
      <c r="D2059" s="54">
        <v>85.946200000000005</v>
      </c>
      <c r="E2059" s="54">
        <v>29172167</v>
      </c>
      <c r="F2059" s="54" t="s">
        <v>2877</v>
      </c>
      <c r="G2059" s="25">
        <f t="shared" si="30"/>
        <v>1.0094687141490866E-2</v>
      </c>
    </row>
    <row r="2060" spans="1:7">
      <c r="A2060" s="54">
        <v>85.216999999999999</v>
      </c>
      <c r="B2060" s="54">
        <v>86.056899999999999</v>
      </c>
      <c r="C2060" s="54">
        <v>84.847899999999996</v>
      </c>
      <c r="D2060" s="54">
        <v>85.3416</v>
      </c>
      <c r="E2060" s="54">
        <v>26383238</v>
      </c>
      <c r="F2060" s="54" t="s">
        <v>2878</v>
      </c>
      <c r="G2060" s="25">
        <f t="shared" si="30"/>
        <v>-1.4600148110651689E-3</v>
      </c>
    </row>
    <row r="2061" spans="1:7">
      <c r="A2061" s="54">
        <v>84.746300000000005</v>
      </c>
      <c r="B2061" s="54">
        <v>86.232299999999995</v>
      </c>
      <c r="C2061" s="54">
        <v>84.524799999999999</v>
      </c>
      <c r="D2061" s="54">
        <v>85.420100000000005</v>
      </c>
      <c r="E2061" s="54">
        <v>33277483</v>
      </c>
      <c r="F2061" s="54" t="s">
        <v>2879</v>
      </c>
      <c r="G2061" s="25">
        <f t="shared" si="30"/>
        <v>-7.8880731818389282E-3</v>
      </c>
    </row>
    <row r="2062" spans="1:7">
      <c r="A2062" s="54">
        <v>84.8202</v>
      </c>
      <c r="B2062" s="54">
        <v>85.189300000000003</v>
      </c>
      <c r="C2062" s="54">
        <v>84.487899999999996</v>
      </c>
      <c r="D2062" s="54">
        <v>84.8202</v>
      </c>
      <c r="E2062" s="54">
        <v>23412841</v>
      </c>
      <c r="F2062" s="54" t="s">
        <v>2880</v>
      </c>
      <c r="G2062" s="25">
        <f t="shared" si="30"/>
        <v>0</v>
      </c>
    </row>
    <row r="2063" spans="1:7">
      <c r="A2063" s="54">
        <v>84.552499999999995</v>
      </c>
      <c r="B2063" s="54">
        <v>84.561700000000002</v>
      </c>
      <c r="C2063" s="54">
        <v>82.826599999999999</v>
      </c>
      <c r="D2063" s="54">
        <v>83.066500000000005</v>
      </c>
      <c r="E2063" s="54">
        <v>23601555</v>
      </c>
      <c r="F2063" s="54" t="s">
        <v>2881</v>
      </c>
      <c r="G2063" s="25">
        <f t="shared" si="30"/>
        <v>1.7889281479296582E-2</v>
      </c>
    </row>
    <row r="2064" spans="1:7">
      <c r="A2064" s="54">
        <v>83.066500000000005</v>
      </c>
      <c r="B2064" s="54">
        <v>83.629499999999993</v>
      </c>
      <c r="C2064" s="54">
        <v>82.752700000000004</v>
      </c>
      <c r="D2064" s="54">
        <v>83.195700000000002</v>
      </c>
      <c r="E2064" s="54">
        <v>36875013</v>
      </c>
      <c r="F2064" s="54" t="s">
        <v>2882</v>
      </c>
      <c r="G2064" s="25">
        <f t="shared" si="30"/>
        <v>-1.5529648767904636E-3</v>
      </c>
    </row>
    <row r="2065" spans="1:7">
      <c r="A2065" s="54">
        <v>83.158799999999999</v>
      </c>
      <c r="B2065" s="54">
        <v>83.684899999999999</v>
      </c>
      <c r="C2065" s="54">
        <v>82.752700000000004</v>
      </c>
      <c r="D2065" s="54">
        <v>82.881900000000002</v>
      </c>
      <c r="E2065" s="54">
        <v>24159683</v>
      </c>
      <c r="F2065" s="54" t="s">
        <v>2883</v>
      </c>
      <c r="G2065" s="25">
        <f t="shared" si="30"/>
        <v>3.3408983143483617E-3</v>
      </c>
    </row>
    <row r="2066" spans="1:7">
      <c r="A2066" s="54">
        <v>83.195700000000002</v>
      </c>
      <c r="B2066" s="54">
        <v>83.325000000000003</v>
      </c>
      <c r="C2066" s="54">
        <v>81.912800000000004</v>
      </c>
      <c r="D2066" s="54">
        <v>82.217399999999998</v>
      </c>
      <c r="E2066" s="54">
        <v>25621164</v>
      </c>
      <c r="F2066" s="54" t="s">
        <v>2884</v>
      </c>
      <c r="G2066" s="25">
        <f t="shared" si="30"/>
        <v>1.1898941100059179E-2</v>
      </c>
    </row>
    <row r="2067" spans="1:7">
      <c r="A2067" s="54">
        <v>81.543599999999998</v>
      </c>
      <c r="B2067" s="54">
        <v>83.795699999999997</v>
      </c>
      <c r="C2067" s="54">
        <v>81.230199999999996</v>
      </c>
      <c r="D2067" s="54">
        <v>83.158799999999999</v>
      </c>
      <c r="E2067" s="54">
        <v>36599736</v>
      </c>
      <c r="F2067" s="54" t="s">
        <v>2885</v>
      </c>
      <c r="G2067" s="25">
        <f t="shared" si="30"/>
        <v>-1.9423079698119738E-2</v>
      </c>
    </row>
    <row r="2068" spans="1:7">
      <c r="A2068" s="54">
        <v>82.697400000000002</v>
      </c>
      <c r="B2068" s="54">
        <v>82.863500000000002</v>
      </c>
      <c r="C2068" s="54">
        <v>81.635900000000007</v>
      </c>
      <c r="D2068" s="54">
        <v>81.838999999999999</v>
      </c>
      <c r="E2068" s="54">
        <v>24271531</v>
      </c>
      <c r="F2068" s="54" t="s">
        <v>2886</v>
      </c>
      <c r="G2068" s="25">
        <f t="shared" si="30"/>
        <v>1.0488886716602197E-2</v>
      </c>
    </row>
    <row r="2069" spans="1:7">
      <c r="A2069" s="54">
        <v>81.294399999999996</v>
      </c>
      <c r="B2069" s="54">
        <v>81.340599999999995</v>
      </c>
      <c r="C2069" s="54">
        <v>80.519199999999998</v>
      </c>
      <c r="D2069" s="54">
        <v>81.340599999999995</v>
      </c>
      <c r="E2069" s="54">
        <v>17808877</v>
      </c>
      <c r="F2069" s="54" t="s">
        <v>2887</v>
      </c>
      <c r="G2069" s="25">
        <f t="shared" si="30"/>
        <v>-5.6798204094876681E-4</v>
      </c>
    </row>
    <row r="2070" spans="1:7">
      <c r="A2070" s="54">
        <v>81.054500000000004</v>
      </c>
      <c r="B2070" s="54">
        <v>81.396000000000001</v>
      </c>
      <c r="C2070" s="54">
        <v>80.676100000000005</v>
      </c>
      <c r="D2070" s="54">
        <v>81.091399999999993</v>
      </c>
      <c r="E2070" s="54">
        <v>18652201</v>
      </c>
      <c r="F2070" s="54" t="s">
        <v>2888</v>
      </c>
      <c r="G2070" s="25">
        <f t="shared" si="30"/>
        <v>-4.5504208831004256E-4</v>
      </c>
    </row>
    <row r="2071" spans="1:7">
      <c r="A2071" s="54">
        <v>81.423699999999997</v>
      </c>
      <c r="B2071" s="54">
        <v>81.891800000000003</v>
      </c>
      <c r="C2071" s="54">
        <v>81.091399999999993</v>
      </c>
      <c r="D2071" s="54">
        <v>81.820499999999996</v>
      </c>
      <c r="E2071" s="54">
        <v>19484317</v>
      </c>
      <c r="F2071" s="54" t="s">
        <v>2889</v>
      </c>
      <c r="G2071" s="25">
        <f t="shared" si="30"/>
        <v>-4.8496403713005343E-3</v>
      </c>
    </row>
    <row r="2072" spans="1:7">
      <c r="A2072" s="54">
        <v>81.478999999999999</v>
      </c>
      <c r="B2072" s="54">
        <v>81.755899999999997</v>
      </c>
      <c r="C2072" s="54">
        <v>80.855699999999999</v>
      </c>
      <c r="D2072" s="54">
        <v>81.405199999999994</v>
      </c>
      <c r="E2072" s="54">
        <v>22113049</v>
      </c>
      <c r="F2072" s="54" t="s">
        <v>2890</v>
      </c>
      <c r="G2072" s="25">
        <f t="shared" ref="G2072:G2135" si="31">A2072/D2072-1</f>
        <v>9.0657599268850753E-4</v>
      </c>
    </row>
    <row r="2073" spans="1:7">
      <c r="A2073" s="54">
        <v>81.396000000000001</v>
      </c>
      <c r="B2073" s="54">
        <v>81.599000000000004</v>
      </c>
      <c r="C2073" s="54">
        <v>80.694500000000005</v>
      </c>
      <c r="D2073" s="54">
        <v>80.906800000000004</v>
      </c>
      <c r="E2073" s="54">
        <v>23407110</v>
      </c>
      <c r="F2073" s="54" t="s">
        <v>2891</v>
      </c>
      <c r="G2073" s="25">
        <f t="shared" si="31"/>
        <v>6.0464633380630239E-3</v>
      </c>
    </row>
    <row r="2074" spans="1:7">
      <c r="A2074" s="54">
        <v>80.399199999999993</v>
      </c>
      <c r="B2074" s="54">
        <v>80.906800000000004</v>
      </c>
      <c r="C2074" s="54">
        <v>79.900800000000004</v>
      </c>
      <c r="D2074" s="54">
        <v>79.919200000000004</v>
      </c>
      <c r="E2074" s="54">
        <v>21911974</v>
      </c>
      <c r="F2074" s="54" t="s">
        <v>2892</v>
      </c>
      <c r="G2074" s="25">
        <f t="shared" si="31"/>
        <v>6.0060661267880011E-3</v>
      </c>
    </row>
    <row r="2075" spans="1:7">
      <c r="A2075" s="54">
        <v>79.697699999999998</v>
      </c>
      <c r="B2075" s="54">
        <v>79.845399999999998</v>
      </c>
      <c r="C2075" s="54">
        <v>79.346999999999994</v>
      </c>
      <c r="D2075" s="54">
        <v>79.4255</v>
      </c>
      <c r="E2075" s="54">
        <v>26061439</v>
      </c>
      <c r="F2075" s="54" t="s">
        <v>2893</v>
      </c>
      <c r="G2075" s="25">
        <f t="shared" si="31"/>
        <v>3.4271109404411249E-3</v>
      </c>
    </row>
    <row r="2076" spans="1:7">
      <c r="A2076" s="54">
        <v>79.328500000000005</v>
      </c>
      <c r="B2076" s="54">
        <v>79.660799999999995</v>
      </c>
      <c r="C2076" s="54">
        <v>78.913200000000003</v>
      </c>
      <c r="D2076" s="54">
        <v>79.490099999999998</v>
      </c>
      <c r="E2076" s="54">
        <v>22483797</v>
      </c>
      <c r="F2076" s="54" t="s">
        <v>2894</v>
      </c>
      <c r="G2076" s="25">
        <f t="shared" si="31"/>
        <v>-2.0329575632688224E-3</v>
      </c>
    </row>
    <row r="2077" spans="1:7">
      <c r="A2077" s="54">
        <v>78.950100000000006</v>
      </c>
      <c r="B2077" s="54">
        <v>79.4208</v>
      </c>
      <c r="C2077" s="54">
        <v>78.913200000000003</v>
      </c>
      <c r="D2077" s="54">
        <v>79.033199999999994</v>
      </c>
      <c r="E2077" s="54">
        <v>18717406</v>
      </c>
      <c r="F2077" s="54" t="s">
        <v>2895</v>
      </c>
      <c r="G2077" s="25">
        <f t="shared" si="31"/>
        <v>-1.051456856105859E-3</v>
      </c>
    </row>
    <row r="2078" spans="1:7">
      <c r="A2078" s="54">
        <v>79.116299999999995</v>
      </c>
      <c r="B2078" s="54">
        <v>79.310100000000006</v>
      </c>
      <c r="C2078" s="54">
        <v>78.959400000000002</v>
      </c>
      <c r="D2078" s="54">
        <v>79.282399999999996</v>
      </c>
      <c r="E2078" s="54">
        <v>10594344</v>
      </c>
      <c r="F2078" s="54" t="s">
        <v>2896</v>
      </c>
      <c r="G2078" s="25">
        <f t="shared" si="31"/>
        <v>-2.0950425315076071E-3</v>
      </c>
    </row>
    <row r="2079" spans="1:7">
      <c r="A2079" s="54">
        <v>79.106999999999999</v>
      </c>
      <c r="B2079" s="54">
        <v>79.356200000000001</v>
      </c>
      <c r="C2079" s="54">
        <v>78.650199999999998</v>
      </c>
      <c r="D2079" s="54">
        <v>79.051699999999997</v>
      </c>
      <c r="E2079" s="54">
        <v>14678025</v>
      </c>
      <c r="F2079" s="54" t="s">
        <v>2897</v>
      </c>
      <c r="G2079" s="25">
        <f t="shared" si="31"/>
        <v>6.9954219833356923E-4</v>
      </c>
    </row>
    <row r="2080" spans="1:7">
      <c r="A2080" s="54">
        <v>78.820899999999995</v>
      </c>
      <c r="B2080" s="54">
        <v>78.945099999999996</v>
      </c>
      <c r="C2080" s="54">
        <v>78.479399999999998</v>
      </c>
      <c r="D2080" s="54">
        <v>78.737799999999993</v>
      </c>
      <c r="E2080" s="54">
        <v>9891237</v>
      </c>
      <c r="F2080" s="54" t="s">
        <v>2898</v>
      </c>
      <c r="G2080" s="25">
        <f t="shared" si="31"/>
        <v>1.0554015987238596E-3</v>
      </c>
    </row>
    <row r="2081" spans="1:7">
      <c r="A2081" s="54">
        <v>78.922399999999996</v>
      </c>
      <c r="B2081" s="54">
        <v>79.033199999999994</v>
      </c>
      <c r="C2081" s="54">
        <v>78.377899999999997</v>
      </c>
      <c r="D2081" s="54">
        <v>78.820899999999995</v>
      </c>
      <c r="E2081" s="54">
        <v>14145841</v>
      </c>
      <c r="F2081" s="54" t="s">
        <v>2899</v>
      </c>
      <c r="G2081" s="25">
        <f t="shared" si="31"/>
        <v>1.2877295235147468E-3</v>
      </c>
    </row>
    <row r="2082" spans="1:7">
      <c r="A2082" s="54">
        <v>78.913200000000003</v>
      </c>
      <c r="B2082" s="54">
        <v>79.466999999999999</v>
      </c>
      <c r="C2082" s="54">
        <v>78.820899999999995</v>
      </c>
      <c r="D2082" s="54">
        <v>79.4208</v>
      </c>
      <c r="E2082" s="54">
        <v>17990745</v>
      </c>
      <c r="F2082" s="54" t="s">
        <v>2900</v>
      </c>
      <c r="G2082" s="25">
        <f t="shared" si="31"/>
        <v>-6.3912728151819254E-3</v>
      </c>
    </row>
    <row r="2083" spans="1:7">
      <c r="A2083" s="54">
        <v>78.931700000000006</v>
      </c>
      <c r="B2083" s="54">
        <v>79.651600000000002</v>
      </c>
      <c r="C2083" s="54">
        <v>78.184100000000001</v>
      </c>
      <c r="D2083" s="54">
        <v>79.559299999999993</v>
      </c>
      <c r="E2083" s="54">
        <v>23674931</v>
      </c>
      <c r="F2083" s="54" t="s">
        <v>2901</v>
      </c>
      <c r="G2083" s="25">
        <f t="shared" si="31"/>
        <v>-7.8884555293974312E-3</v>
      </c>
    </row>
    <row r="2084" spans="1:7">
      <c r="A2084" s="54">
        <v>79.217799999999997</v>
      </c>
      <c r="B2084" s="54">
        <v>79.697699999999998</v>
      </c>
      <c r="C2084" s="54">
        <v>78.700900000000004</v>
      </c>
      <c r="D2084" s="54">
        <v>79.697699999999998</v>
      </c>
      <c r="E2084" s="54">
        <v>23524787</v>
      </c>
      <c r="F2084" s="54" t="s">
        <v>2902</v>
      </c>
      <c r="G2084" s="25">
        <f t="shared" si="31"/>
        <v>-6.0215037573230212E-3</v>
      </c>
    </row>
    <row r="2085" spans="1:7">
      <c r="A2085" s="54">
        <v>79.725399999999993</v>
      </c>
      <c r="B2085" s="54">
        <v>80.759</v>
      </c>
      <c r="C2085" s="54">
        <v>79.587000000000003</v>
      </c>
      <c r="D2085" s="54">
        <v>80.4084</v>
      </c>
      <c r="E2085" s="54">
        <v>22283752</v>
      </c>
      <c r="F2085" s="54" t="s">
        <v>2903</v>
      </c>
      <c r="G2085" s="25">
        <f t="shared" si="31"/>
        <v>-8.4941374284279725E-3</v>
      </c>
    </row>
    <row r="2086" spans="1:7">
      <c r="A2086" s="54">
        <v>80.159199999999998</v>
      </c>
      <c r="B2086" s="54">
        <v>80.380700000000004</v>
      </c>
      <c r="C2086" s="54">
        <v>78.340999999999994</v>
      </c>
      <c r="D2086" s="54">
        <v>78.691699999999997</v>
      </c>
      <c r="E2086" s="54">
        <v>53936687</v>
      </c>
      <c r="F2086" s="54" t="s">
        <v>2904</v>
      </c>
      <c r="G2086" s="25">
        <f t="shared" si="31"/>
        <v>1.8648726612844779E-2</v>
      </c>
    </row>
    <row r="2087" spans="1:7">
      <c r="A2087" s="54">
        <v>78.165599999999998</v>
      </c>
      <c r="B2087" s="54">
        <v>79.258300000000006</v>
      </c>
      <c r="C2087" s="54">
        <v>78.017899999999997</v>
      </c>
      <c r="D2087" s="54">
        <v>78.848600000000005</v>
      </c>
      <c r="E2087" s="54">
        <v>19305961</v>
      </c>
      <c r="F2087" s="54" t="s">
        <v>2905</v>
      </c>
      <c r="G2087" s="25">
        <f t="shared" si="31"/>
        <v>-8.6621702858390437E-3</v>
      </c>
    </row>
    <row r="2088" spans="1:7">
      <c r="A2088" s="54">
        <v>78.774799999999999</v>
      </c>
      <c r="B2088" s="54">
        <v>79.374700000000004</v>
      </c>
      <c r="C2088" s="54">
        <v>78.608599999999996</v>
      </c>
      <c r="D2088" s="54">
        <v>79.134699999999995</v>
      </c>
      <c r="E2088" s="54">
        <v>22062679</v>
      </c>
      <c r="F2088" s="54" t="s">
        <v>2906</v>
      </c>
      <c r="G2088" s="25">
        <f t="shared" si="31"/>
        <v>-4.5479416741327494E-3</v>
      </c>
    </row>
    <row r="2089" spans="1:7">
      <c r="A2089" s="54">
        <v>78.986999999999995</v>
      </c>
      <c r="B2089" s="54">
        <v>79.4208</v>
      </c>
      <c r="C2089" s="54">
        <v>78.525599999999997</v>
      </c>
      <c r="D2089" s="54">
        <v>78.737799999999993</v>
      </c>
      <c r="E2089" s="54">
        <v>23924105</v>
      </c>
      <c r="F2089" s="54" t="s">
        <v>2907</v>
      </c>
      <c r="G2089" s="25">
        <f t="shared" si="31"/>
        <v>3.1649347581466092E-3</v>
      </c>
    </row>
    <row r="2090" spans="1:7">
      <c r="A2090" s="54">
        <v>78.664000000000001</v>
      </c>
      <c r="B2090" s="54">
        <v>78.793199999999999</v>
      </c>
      <c r="C2090" s="54">
        <v>77.639499999999998</v>
      </c>
      <c r="D2090" s="54">
        <v>77.796400000000006</v>
      </c>
      <c r="E2090" s="54">
        <v>22857854</v>
      </c>
      <c r="F2090" s="54" t="s">
        <v>2908</v>
      </c>
      <c r="G2090" s="25">
        <f t="shared" si="31"/>
        <v>1.1152186990657675E-2</v>
      </c>
    </row>
    <row r="2091" spans="1:7">
      <c r="A2091" s="54">
        <v>77.676400000000001</v>
      </c>
      <c r="B2091" s="54">
        <v>78.064099999999996</v>
      </c>
      <c r="C2091" s="54">
        <v>76.910399999999996</v>
      </c>
      <c r="D2091" s="54">
        <v>77.187299999999993</v>
      </c>
      <c r="E2091" s="54">
        <v>24489106</v>
      </c>
      <c r="F2091" s="54" t="s">
        <v>2909</v>
      </c>
      <c r="G2091" s="25">
        <f t="shared" si="31"/>
        <v>6.3365346371748732E-3</v>
      </c>
    </row>
    <row r="2092" spans="1:7">
      <c r="A2092" s="54">
        <v>76.135099999999994</v>
      </c>
      <c r="B2092" s="54">
        <v>76.421199999999999</v>
      </c>
      <c r="C2092" s="54">
        <v>75.6828</v>
      </c>
      <c r="D2092" s="54">
        <v>76.181200000000004</v>
      </c>
      <c r="E2092" s="54">
        <v>23184547</v>
      </c>
      <c r="F2092" s="54" t="s">
        <v>2910</v>
      </c>
      <c r="G2092" s="25">
        <f t="shared" si="31"/>
        <v>-6.0513617532942376E-4</v>
      </c>
    </row>
    <row r="2093" spans="1:7">
      <c r="A2093" s="54">
        <v>76.402799999999999</v>
      </c>
      <c r="B2093" s="54">
        <v>76.734999999999999</v>
      </c>
      <c r="C2093" s="54">
        <v>75.156800000000004</v>
      </c>
      <c r="D2093" s="54">
        <v>75.267499999999998</v>
      </c>
      <c r="E2093" s="54">
        <v>26162054</v>
      </c>
      <c r="F2093" s="54" t="s">
        <v>2911</v>
      </c>
      <c r="G2093" s="25">
        <f t="shared" si="31"/>
        <v>1.5083535390440828E-2</v>
      </c>
    </row>
    <row r="2094" spans="1:7">
      <c r="A2094" s="54">
        <v>75.304400000000001</v>
      </c>
      <c r="B2094" s="54">
        <v>76.310500000000005</v>
      </c>
      <c r="C2094" s="54">
        <v>74.741500000000002</v>
      </c>
      <c r="D2094" s="54">
        <v>75.073700000000002</v>
      </c>
      <c r="E2094" s="54">
        <v>26152261</v>
      </c>
      <c r="F2094" s="54" t="s">
        <v>2912</v>
      </c>
      <c r="G2094" s="25">
        <f t="shared" si="31"/>
        <v>3.0729802847069276E-3</v>
      </c>
    </row>
    <row r="2095" spans="1:7">
      <c r="A2095" s="54">
        <v>74.833699999999993</v>
      </c>
      <c r="B2095" s="54">
        <v>77.9255</v>
      </c>
      <c r="C2095" s="54">
        <v>74.483000000000004</v>
      </c>
      <c r="D2095" s="54">
        <v>77.916399999999996</v>
      </c>
      <c r="E2095" s="54">
        <v>39094880</v>
      </c>
      <c r="F2095" s="54" t="s">
        <v>2913</v>
      </c>
      <c r="G2095" s="25">
        <f t="shared" si="31"/>
        <v>-3.9564199578009274E-2</v>
      </c>
    </row>
    <row r="2096" spans="1:7">
      <c r="A2096" s="54">
        <v>77.768699999999995</v>
      </c>
      <c r="B2096" s="54">
        <v>78.276399999999995</v>
      </c>
      <c r="C2096" s="54">
        <v>76.808899999999994</v>
      </c>
      <c r="D2096" s="54">
        <v>77.159599999999998</v>
      </c>
      <c r="E2096" s="54">
        <v>29532132</v>
      </c>
      <c r="F2096" s="54" t="s">
        <v>2914</v>
      </c>
      <c r="G2096" s="25">
        <f t="shared" si="31"/>
        <v>7.8940274444139202E-3</v>
      </c>
    </row>
    <row r="2097" spans="1:7">
      <c r="A2097" s="54">
        <v>77.685699999999997</v>
      </c>
      <c r="B2097" s="54">
        <v>78.008700000000005</v>
      </c>
      <c r="C2097" s="54">
        <v>76.919600000000003</v>
      </c>
      <c r="D2097" s="54">
        <v>77.076499999999996</v>
      </c>
      <c r="E2097" s="54">
        <v>33054647</v>
      </c>
      <c r="F2097" s="54" t="s">
        <v>2915</v>
      </c>
      <c r="G2097" s="25">
        <f t="shared" si="31"/>
        <v>7.903835799497827E-3</v>
      </c>
    </row>
    <row r="2098" spans="1:7">
      <c r="A2098" s="54">
        <v>76.919600000000003</v>
      </c>
      <c r="B2098" s="54">
        <v>78.375299999999996</v>
      </c>
      <c r="C2098" s="54">
        <v>76.767300000000006</v>
      </c>
      <c r="D2098" s="54">
        <v>78.184100000000001</v>
      </c>
      <c r="E2098" s="54">
        <v>27381109</v>
      </c>
      <c r="F2098" s="54" t="s">
        <v>2916</v>
      </c>
      <c r="G2098" s="25">
        <f t="shared" si="31"/>
        <v>-1.6173365172714171E-2</v>
      </c>
    </row>
    <row r="2099" spans="1:7">
      <c r="A2099" s="54">
        <v>78.340999999999994</v>
      </c>
      <c r="B2099" s="54">
        <v>78.507099999999994</v>
      </c>
      <c r="C2099" s="54">
        <v>77.547200000000004</v>
      </c>
      <c r="D2099" s="54">
        <v>77.593400000000003</v>
      </c>
      <c r="E2099" s="54">
        <v>21925959</v>
      </c>
      <c r="F2099" s="54" t="s">
        <v>2917</v>
      </c>
      <c r="G2099" s="25">
        <f t="shared" si="31"/>
        <v>9.6348400766044229E-3</v>
      </c>
    </row>
    <row r="2100" spans="1:7">
      <c r="A2100" s="54">
        <v>77.408799999999999</v>
      </c>
      <c r="B2100" s="54">
        <v>77.510300000000001</v>
      </c>
      <c r="C2100" s="54">
        <v>76.8827</v>
      </c>
      <c r="D2100" s="54">
        <v>76.891900000000007</v>
      </c>
      <c r="E2100" s="54">
        <v>18265242</v>
      </c>
      <c r="F2100" s="54" t="s">
        <v>2918</v>
      </c>
      <c r="G2100" s="25">
        <f t="shared" si="31"/>
        <v>6.722424598689658E-3</v>
      </c>
    </row>
    <row r="2101" spans="1:7">
      <c r="A2101" s="54">
        <v>76.845799999999997</v>
      </c>
      <c r="B2101" s="54">
        <v>77.002700000000004</v>
      </c>
      <c r="C2101" s="54">
        <v>76.402799999999999</v>
      </c>
      <c r="D2101" s="54">
        <v>76.614999999999995</v>
      </c>
      <c r="E2101" s="54">
        <v>7425603</v>
      </c>
      <c r="F2101" s="54" t="s">
        <v>2919</v>
      </c>
      <c r="G2101" s="25">
        <f t="shared" si="31"/>
        <v>3.0124649220126809E-3</v>
      </c>
    </row>
    <row r="2102" spans="1:7">
      <c r="A2102" s="54">
        <v>76.707300000000004</v>
      </c>
      <c r="B2102" s="54">
        <v>77.436499999999995</v>
      </c>
      <c r="C2102" s="54">
        <v>76.642700000000005</v>
      </c>
      <c r="D2102" s="54">
        <v>77.371899999999997</v>
      </c>
      <c r="E2102" s="54">
        <v>20553089</v>
      </c>
      <c r="F2102" s="54" t="s">
        <v>2920</v>
      </c>
      <c r="G2102" s="25">
        <f t="shared" si="31"/>
        <v>-8.5896817836965678E-3</v>
      </c>
    </row>
    <row r="2103" spans="1:7">
      <c r="A2103" s="54">
        <v>77.270300000000006</v>
      </c>
      <c r="B2103" s="54">
        <v>77.381100000000004</v>
      </c>
      <c r="C2103" s="54">
        <v>76.365799999999993</v>
      </c>
      <c r="D2103" s="54">
        <v>76.365799999999993</v>
      </c>
      <c r="E2103" s="54">
        <v>21237454</v>
      </c>
      <c r="F2103" s="54" t="s">
        <v>2921</v>
      </c>
      <c r="G2103" s="25">
        <f t="shared" si="31"/>
        <v>1.1844307268437104E-2</v>
      </c>
    </row>
    <row r="2104" spans="1:7">
      <c r="A2104" s="54">
        <v>76.171999999999997</v>
      </c>
      <c r="B2104" s="54">
        <v>76.227400000000003</v>
      </c>
      <c r="C2104" s="54">
        <v>75.913600000000002</v>
      </c>
      <c r="D2104" s="54">
        <v>76.052000000000007</v>
      </c>
      <c r="E2104" s="54">
        <v>16314978</v>
      </c>
      <c r="F2104" s="54" t="s">
        <v>2922</v>
      </c>
      <c r="G2104" s="25">
        <f t="shared" si="31"/>
        <v>1.5778677746802749E-3</v>
      </c>
    </row>
    <row r="2105" spans="1:7">
      <c r="A2105" s="54">
        <v>76.052000000000007</v>
      </c>
      <c r="B2105" s="54">
        <v>76.7166</v>
      </c>
      <c r="C2105" s="54">
        <v>75.904399999999995</v>
      </c>
      <c r="D2105" s="54">
        <v>76.7166</v>
      </c>
      <c r="E2105" s="54">
        <v>22078993</v>
      </c>
      <c r="F2105" s="54" t="s">
        <v>2923</v>
      </c>
      <c r="G2105" s="25">
        <f t="shared" si="31"/>
        <v>-8.6630533678498933E-3</v>
      </c>
    </row>
    <row r="2106" spans="1:7">
      <c r="A2106" s="54">
        <v>76.790400000000005</v>
      </c>
      <c r="B2106" s="54">
        <v>76.993399999999994</v>
      </c>
      <c r="C2106" s="54">
        <v>76.550399999999996</v>
      </c>
      <c r="D2106" s="54">
        <v>76.698099999999997</v>
      </c>
      <c r="E2106" s="54">
        <v>20962750</v>
      </c>
      <c r="F2106" s="54" t="s">
        <v>2924</v>
      </c>
      <c r="G2106" s="25">
        <f t="shared" si="31"/>
        <v>1.2034196414254517E-3</v>
      </c>
    </row>
    <row r="2107" spans="1:7">
      <c r="A2107" s="54">
        <v>76.587299999999999</v>
      </c>
      <c r="B2107" s="54">
        <v>77.242599999999996</v>
      </c>
      <c r="C2107" s="54">
        <v>76.319699999999997</v>
      </c>
      <c r="D2107" s="54">
        <v>77.039599999999993</v>
      </c>
      <c r="E2107" s="54">
        <v>19383102</v>
      </c>
      <c r="F2107" s="54" t="s">
        <v>2925</v>
      </c>
      <c r="G2107" s="25">
        <f t="shared" si="31"/>
        <v>-5.8710065992034766E-3</v>
      </c>
    </row>
    <row r="2108" spans="1:7">
      <c r="A2108" s="54">
        <v>77.187299999999993</v>
      </c>
      <c r="B2108" s="54">
        <v>77.233199999999997</v>
      </c>
      <c r="C2108" s="54">
        <v>76.204599999999999</v>
      </c>
      <c r="D2108" s="54">
        <v>76.682199999999995</v>
      </c>
      <c r="E2108" s="54">
        <v>18801280</v>
      </c>
      <c r="F2108" s="54" t="s">
        <v>2926</v>
      </c>
      <c r="G2108" s="25">
        <f t="shared" si="31"/>
        <v>6.5869263010189805E-3</v>
      </c>
    </row>
    <row r="2109" spans="1:7">
      <c r="A2109" s="54">
        <v>77.077100000000002</v>
      </c>
      <c r="B2109" s="54">
        <v>77.086299999999994</v>
      </c>
      <c r="C2109" s="54">
        <v>76.645399999999995</v>
      </c>
      <c r="D2109" s="54">
        <v>76.829099999999997</v>
      </c>
      <c r="E2109" s="54">
        <v>14196896</v>
      </c>
      <c r="F2109" s="54" t="s">
        <v>2927</v>
      </c>
      <c r="G2109" s="25">
        <f t="shared" si="31"/>
        <v>3.2279435786701782E-3</v>
      </c>
    </row>
    <row r="2110" spans="1:7">
      <c r="A2110" s="54">
        <v>77.022000000000006</v>
      </c>
      <c r="B2110" s="54">
        <v>77.2286</v>
      </c>
      <c r="C2110" s="54">
        <v>76.434200000000004</v>
      </c>
      <c r="D2110" s="54">
        <v>76.948499999999996</v>
      </c>
      <c r="E2110" s="54">
        <v>19397793</v>
      </c>
      <c r="F2110" s="54" t="s">
        <v>2928</v>
      </c>
      <c r="G2110" s="25">
        <f t="shared" si="31"/>
        <v>9.5518431158514439E-4</v>
      </c>
    </row>
    <row r="2111" spans="1:7">
      <c r="A2111" s="54">
        <v>77.224000000000004</v>
      </c>
      <c r="B2111" s="54">
        <v>77.389300000000006</v>
      </c>
      <c r="C2111" s="54">
        <v>76.131200000000007</v>
      </c>
      <c r="D2111" s="54">
        <v>77.242400000000004</v>
      </c>
      <c r="E2111" s="54">
        <v>21178356</v>
      </c>
      <c r="F2111" s="54" t="s">
        <v>2929</v>
      </c>
      <c r="G2111" s="25">
        <f t="shared" si="31"/>
        <v>-2.3821113792421578E-4</v>
      </c>
    </row>
    <row r="2112" spans="1:7">
      <c r="A2112" s="54">
        <v>77.655600000000007</v>
      </c>
      <c r="B2112" s="54">
        <v>77.701499999999996</v>
      </c>
      <c r="C2112" s="54">
        <v>76.985200000000006</v>
      </c>
      <c r="D2112" s="54">
        <v>77.269900000000007</v>
      </c>
      <c r="E2112" s="54">
        <v>18034170</v>
      </c>
      <c r="F2112" s="54" t="s">
        <v>2930</v>
      </c>
      <c r="G2112" s="25">
        <f t="shared" si="31"/>
        <v>4.9915943983362965E-3</v>
      </c>
    </row>
    <row r="2113" spans="1:7">
      <c r="A2113" s="54">
        <v>77.389300000000006</v>
      </c>
      <c r="B2113" s="54">
        <v>77.9679</v>
      </c>
      <c r="C2113" s="54">
        <v>77.077100000000002</v>
      </c>
      <c r="D2113" s="54">
        <v>77.848500000000001</v>
      </c>
      <c r="E2113" s="54">
        <v>17939727</v>
      </c>
      <c r="F2113" s="54" t="s">
        <v>2931</v>
      </c>
      <c r="G2113" s="25">
        <f t="shared" si="31"/>
        <v>-5.8986364541384617E-3</v>
      </c>
    </row>
    <row r="2114" spans="1:7">
      <c r="A2114" s="54">
        <v>77.572999999999993</v>
      </c>
      <c r="B2114" s="54">
        <v>77.784199999999998</v>
      </c>
      <c r="C2114" s="54">
        <v>77.217100000000002</v>
      </c>
      <c r="D2114" s="54">
        <v>77.325000000000003</v>
      </c>
      <c r="E2114" s="54">
        <v>19860852</v>
      </c>
      <c r="F2114" s="54" t="s">
        <v>2932</v>
      </c>
      <c r="G2114" s="25">
        <f t="shared" si="31"/>
        <v>3.2072421597153511E-3</v>
      </c>
    </row>
    <row r="2115" spans="1:7">
      <c r="A2115" s="54">
        <v>77.269900000000007</v>
      </c>
      <c r="B2115" s="54">
        <v>77.637299999999996</v>
      </c>
      <c r="C2115" s="54">
        <v>76.590299999999999</v>
      </c>
      <c r="D2115" s="54">
        <v>77.214799999999997</v>
      </c>
      <c r="E2115" s="54">
        <v>17633543</v>
      </c>
      <c r="F2115" s="54" t="s">
        <v>2933</v>
      </c>
      <c r="G2115" s="25">
        <f t="shared" si="31"/>
        <v>7.1359376699819954E-4</v>
      </c>
    </row>
    <row r="2116" spans="1:7">
      <c r="A2116" s="54">
        <v>77.187299999999993</v>
      </c>
      <c r="B2116" s="54">
        <v>77.563800000000001</v>
      </c>
      <c r="C2116" s="54">
        <v>76.333200000000005</v>
      </c>
      <c r="D2116" s="54">
        <v>76.544399999999996</v>
      </c>
      <c r="E2116" s="54">
        <v>23992945</v>
      </c>
      <c r="F2116" s="54" t="s">
        <v>2934</v>
      </c>
      <c r="G2116" s="25">
        <f t="shared" si="31"/>
        <v>8.399046827723522E-3</v>
      </c>
    </row>
    <row r="2117" spans="1:7">
      <c r="A2117" s="54">
        <v>76.388300000000001</v>
      </c>
      <c r="B2117" s="54">
        <v>76.920900000000003</v>
      </c>
      <c r="C2117" s="54">
        <v>76.112799999999993</v>
      </c>
      <c r="D2117" s="54">
        <v>76.847499999999997</v>
      </c>
      <c r="E2117" s="54">
        <v>22307371</v>
      </c>
      <c r="F2117" s="54" t="s">
        <v>2935</v>
      </c>
      <c r="G2117" s="25">
        <f t="shared" si="31"/>
        <v>-5.9754709001593742E-3</v>
      </c>
    </row>
    <row r="2118" spans="1:7">
      <c r="A2118" s="54">
        <v>76.388300000000001</v>
      </c>
      <c r="B2118" s="54">
        <v>77.471999999999994</v>
      </c>
      <c r="C2118" s="54">
        <v>76.323999999999998</v>
      </c>
      <c r="D2118" s="54">
        <v>77.471999999999994</v>
      </c>
      <c r="E2118" s="54">
        <v>27086575</v>
      </c>
      <c r="F2118" s="54" t="s">
        <v>2936</v>
      </c>
      <c r="G2118" s="25">
        <f t="shared" si="31"/>
        <v>-1.3988279636513723E-2</v>
      </c>
    </row>
    <row r="2119" spans="1:7">
      <c r="A2119" s="54">
        <v>77.040300000000002</v>
      </c>
      <c r="B2119" s="54">
        <v>77.439800000000005</v>
      </c>
      <c r="C2119" s="54">
        <v>76.319400000000002</v>
      </c>
      <c r="D2119" s="54">
        <v>76.865799999999993</v>
      </c>
      <c r="E2119" s="54">
        <v>31756653</v>
      </c>
      <c r="F2119" s="54" t="s">
        <v>2937</v>
      </c>
      <c r="G2119" s="25">
        <f t="shared" si="31"/>
        <v>2.2701903837598625E-3</v>
      </c>
    </row>
    <row r="2120" spans="1:7">
      <c r="A2120" s="54">
        <v>76.966899999999995</v>
      </c>
      <c r="B2120" s="54">
        <v>79.161699999999996</v>
      </c>
      <c r="C2120" s="54">
        <v>76.783199999999994</v>
      </c>
      <c r="D2120" s="54">
        <v>77.481099999999998</v>
      </c>
      <c r="E2120" s="54">
        <v>71066729</v>
      </c>
      <c r="F2120" s="54" t="s">
        <v>2938</v>
      </c>
      <c r="G2120" s="25">
        <f t="shared" si="31"/>
        <v>-6.6364571489047064E-3</v>
      </c>
    </row>
    <row r="2121" spans="1:7">
      <c r="A2121" s="54">
        <v>72.3292</v>
      </c>
      <c r="B2121" s="54">
        <v>72.935299999999998</v>
      </c>
      <c r="C2121" s="54">
        <v>72.319999999999993</v>
      </c>
      <c r="D2121" s="54">
        <v>72.7333</v>
      </c>
      <c r="E2121" s="54">
        <v>32120717</v>
      </c>
      <c r="F2121" s="54" t="s">
        <v>2939</v>
      </c>
      <c r="G2121" s="25">
        <f t="shared" si="31"/>
        <v>-5.5559145535813981E-3</v>
      </c>
    </row>
    <row r="2122" spans="1:7">
      <c r="A2122" s="54">
        <v>72.209800000000001</v>
      </c>
      <c r="B2122" s="54">
        <v>72.641400000000004</v>
      </c>
      <c r="C2122" s="54">
        <v>71.6404</v>
      </c>
      <c r="D2122" s="54">
        <v>72.163899999999998</v>
      </c>
      <c r="E2122" s="54">
        <v>20410808</v>
      </c>
      <c r="F2122" s="54" t="s">
        <v>2940</v>
      </c>
      <c r="G2122" s="25">
        <f t="shared" si="31"/>
        <v>6.3605209807127139E-4</v>
      </c>
    </row>
    <row r="2123" spans="1:7">
      <c r="A2123" s="54">
        <v>72.421000000000006</v>
      </c>
      <c r="B2123" s="54">
        <v>72.7333</v>
      </c>
      <c r="C2123" s="54">
        <v>72.053700000000006</v>
      </c>
      <c r="D2123" s="54">
        <v>72.457800000000006</v>
      </c>
      <c r="E2123" s="54">
        <v>17517182</v>
      </c>
      <c r="F2123" s="54" t="s">
        <v>2941</v>
      </c>
      <c r="G2123" s="25">
        <f t="shared" si="31"/>
        <v>-5.0788182914740521E-4</v>
      </c>
    </row>
    <row r="2124" spans="1:7">
      <c r="A2124" s="54">
        <v>72.393500000000003</v>
      </c>
      <c r="B2124" s="54">
        <v>72.861800000000002</v>
      </c>
      <c r="C2124" s="54">
        <v>72.3292</v>
      </c>
      <c r="D2124" s="54">
        <v>72.540400000000005</v>
      </c>
      <c r="E2124" s="54">
        <v>20627173</v>
      </c>
      <c r="F2124" s="54" t="s">
        <v>2942</v>
      </c>
      <c r="G2124" s="25">
        <f t="shared" si="31"/>
        <v>-2.0250784390491994E-3</v>
      </c>
    </row>
    <row r="2125" spans="1:7">
      <c r="A2125" s="54">
        <v>72.375100000000003</v>
      </c>
      <c r="B2125" s="54">
        <v>72.522099999999995</v>
      </c>
      <c r="C2125" s="54">
        <v>71.833299999999994</v>
      </c>
      <c r="D2125" s="54">
        <v>71.9251</v>
      </c>
      <c r="E2125" s="54">
        <v>22866426</v>
      </c>
      <c r="F2125" s="54" t="s">
        <v>2943</v>
      </c>
      <c r="G2125" s="25">
        <f t="shared" si="31"/>
        <v>6.2565085067660675E-3</v>
      </c>
    </row>
    <row r="2126" spans="1:7">
      <c r="A2126" s="54">
        <v>71.548599999999993</v>
      </c>
      <c r="B2126" s="54">
        <v>71.566999999999993</v>
      </c>
      <c r="C2126" s="54">
        <v>71.034300000000002</v>
      </c>
      <c r="D2126" s="54">
        <v>71.236400000000003</v>
      </c>
      <c r="E2126" s="54">
        <v>15092758</v>
      </c>
      <c r="F2126" s="54" t="s">
        <v>2944</v>
      </c>
      <c r="G2126" s="25">
        <f t="shared" si="31"/>
        <v>4.382590922618057E-3</v>
      </c>
    </row>
    <row r="2127" spans="1:7">
      <c r="A2127" s="54">
        <v>71.273099999999999</v>
      </c>
      <c r="B2127" s="54">
        <v>71.493499999999997</v>
      </c>
      <c r="C2127" s="54">
        <v>71.052700000000002</v>
      </c>
      <c r="D2127" s="54">
        <v>71.328199999999995</v>
      </c>
      <c r="E2127" s="54">
        <v>13300701</v>
      </c>
      <c r="F2127" s="54" t="s">
        <v>2945</v>
      </c>
      <c r="G2127" s="25">
        <f t="shared" si="31"/>
        <v>-7.7248549661979027E-4</v>
      </c>
    </row>
    <row r="2128" spans="1:7">
      <c r="A2128" s="54">
        <v>71.2547</v>
      </c>
      <c r="B2128" s="54">
        <v>71.282300000000006</v>
      </c>
      <c r="C2128" s="54">
        <v>70.942499999999995</v>
      </c>
      <c r="D2128" s="54">
        <v>71.144499999999994</v>
      </c>
      <c r="E2128" s="54">
        <v>16823989</v>
      </c>
      <c r="F2128" s="54" t="s">
        <v>2946</v>
      </c>
      <c r="G2128" s="25">
        <f t="shared" si="31"/>
        <v>1.5489602147742421E-3</v>
      </c>
    </row>
    <row r="2129" spans="1:7">
      <c r="A2129" s="54">
        <v>71.309799999999996</v>
      </c>
      <c r="B2129" s="54">
        <v>71.456800000000001</v>
      </c>
      <c r="C2129" s="54">
        <v>71.034300000000002</v>
      </c>
      <c r="D2129" s="54">
        <v>71.098600000000005</v>
      </c>
      <c r="E2129" s="54">
        <v>12380093</v>
      </c>
      <c r="F2129" s="54" t="s">
        <v>2947</v>
      </c>
      <c r="G2129" s="25">
        <f t="shared" si="31"/>
        <v>2.9705226263243567E-3</v>
      </c>
    </row>
    <row r="2130" spans="1:7">
      <c r="A2130" s="54">
        <v>71.162899999999993</v>
      </c>
      <c r="B2130" s="54">
        <v>71.511899999999997</v>
      </c>
      <c r="C2130" s="54">
        <v>70.979200000000006</v>
      </c>
      <c r="D2130" s="54">
        <v>71.2547</v>
      </c>
      <c r="E2130" s="54">
        <v>15335742</v>
      </c>
      <c r="F2130" s="54" t="s">
        <v>2948</v>
      </c>
      <c r="G2130" s="25">
        <f t="shared" si="31"/>
        <v>-1.288336067655993E-3</v>
      </c>
    </row>
    <row r="2131" spans="1:7">
      <c r="A2131" s="54">
        <v>70.823099999999997</v>
      </c>
      <c r="B2131" s="54">
        <v>70.979200000000006</v>
      </c>
      <c r="C2131" s="54">
        <v>70.134299999999996</v>
      </c>
      <c r="D2131" s="54">
        <v>70.244500000000002</v>
      </c>
      <c r="E2131" s="54">
        <v>16876538</v>
      </c>
      <c r="F2131" s="54" t="s">
        <v>2949</v>
      </c>
      <c r="G2131" s="25">
        <f t="shared" si="31"/>
        <v>8.2369438176652654E-3</v>
      </c>
    </row>
    <row r="2132" spans="1:7">
      <c r="A2132" s="54">
        <v>70.180300000000003</v>
      </c>
      <c r="B2132" s="54">
        <v>70.216999999999999</v>
      </c>
      <c r="C2132" s="54">
        <v>69.748599999999996</v>
      </c>
      <c r="D2132" s="54">
        <v>70.125200000000007</v>
      </c>
      <c r="E2132" s="54">
        <v>15388898</v>
      </c>
      <c r="F2132" s="54" t="s">
        <v>2950</v>
      </c>
      <c r="G2132" s="25">
        <f t="shared" si="31"/>
        <v>7.8573750948307541E-4</v>
      </c>
    </row>
    <row r="2133" spans="1:7">
      <c r="A2133" s="54">
        <v>70.060900000000004</v>
      </c>
      <c r="B2133" s="54">
        <v>70.373099999999994</v>
      </c>
      <c r="C2133" s="54">
        <v>69.923100000000005</v>
      </c>
      <c r="D2133" s="54">
        <v>70.0976</v>
      </c>
      <c r="E2133" s="54">
        <v>13944545</v>
      </c>
      <c r="F2133" s="54" t="s">
        <v>2951</v>
      </c>
      <c r="G2133" s="25">
        <f t="shared" si="31"/>
        <v>-5.2355572801343619E-4</v>
      </c>
    </row>
    <row r="2134" spans="1:7">
      <c r="A2134" s="54">
        <v>70.060900000000004</v>
      </c>
      <c r="B2134" s="54">
        <v>70.299599999999998</v>
      </c>
      <c r="C2134" s="54">
        <v>69.665999999999997</v>
      </c>
      <c r="D2134" s="54">
        <v>69.766999999999996</v>
      </c>
      <c r="E2134" s="54">
        <v>11386502</v>
      </c>
      <c r="F2134" s="54" t="s">
        <v>2952</v>
      </c>
      <c r="G2134" s="25">
        <f t="shared" si="31"/>
        <v>4.2125933464245424E-3</v>
      </c>
    </row>
    <row r="2135" spans="1:7">
      <c r="A2135" s="54">
        <v>69.794600000000003</v>
      </c>
      <c r="B2135" s="54">
        <v>69.822100000000006</v>
      </c>
      <c r="C2135" s="54">
        <v>69.372100000000003</v>
      </c>
      <c r="D2135" s="54">
        <v>69.491500000000002</v>
      </c>
      <c r="E2135" s="54">
        <v>13959814</v>
      </c>
      <c r="F2135" s="54" t="s">
        <v>2953</v>
      </c>
      <c r="G2135" s="25">
        <f t="shared" si="31"/>
        <v>4.3616845225675771E-3</v>
      </c>
    </row>
    <row r="2136" spans="1:7">
      <c r="A2136" s="54">
        <v>69.766999999999996</v>
      </c>
      <c r="B2136" s="54">
        <v>69.904799999999994</v>
      </c>
      <c r="C2136" s="54">
        <v>68.839500000000001</v>
      </c>
      <c r="D2136" s="54">
        <v>69.078199999999995</v>
      </c>
      <c r="E2136" s="54">
        <v>21195261</v>
      </c>
      <c r="F2136" s="54" t="s">
        <v>2954</v>
      </c>
      <c r="G2136" s="25">
        <f t="shared" ref="G2136:G2199" si="32">A2136/D2136-1</f>
        <v>9.9713078800547361E-3</v>
      </c>
    </row>
    <row r="2137" spans="1:7">
      <c r="A2137" s="54">
        <v>68.591499999999996</v>
      </c>
      <c r="B2137" s="54">
        <v>68.619100000000003</v>
      </c>
      <c r="C2137" s="54">
        <v>67.691500000000005</v>
      </c>
      <c r="D2137" s="54">
        <v>67.957899999999995</v>
      </c>
      <c r="E2137" s="54">
        <v>13317681</v>
      </c>
      <c r="F2137" s="54" t="s">
        <v>2955</v>
      </c>
      <c r="G2137" s="25">
        <f t="shared" si="32"/>
        <v>9.3234193522755415E-3</v>
      </c>
    </row>
    <row r="2138" spans="1:7">
      <c r="A2138" s="54">
        <v>68.196600000000004</v>
      </c>
      <c r="B2138" s="54">
        <v>68.766000000000005</v>
      </c>
      <c r="C2138" s="54">
        <v>68.136899999999997</v>
      </c>
      <c r="D2138" s="54">
        <v>68.5732</v>
      </c>
      <c r="E2138" s="54">
        <v>12190403</v>
      </c>
      <c r="F2138" s="54" t="s">
        <v>2956</v>
      </c>
      <c r="G2138" s="25">
        <f t="shared" si="32"/>
        <v>-5.4919414581789949E-3</v>
      </c>
    </row>
    <row r="2139" spans="1:7">
      <c r="A2139" s="54">
        <v>68.518100000000004</v>
      </c>
      <c r="B2139" s="54">
        <v>68.885400000000004</v>
      </c>
      <c r="C2139" s="54">
        <v>68.228800000000007</v>
      </c>
      <c r="D2139" s="54">
        <v>68.609899999999996</v>
      </c>
      <c r="E2139" s="54">
        <v>15304762</v>
      </c>
      <c r="F2139" s="54" t="s">
        <v>2957</v>
      </c>
      <c r="G2139" s="25">
        <f t="shared" si="32"/>
        <v>-1.3379993266277035E-3</v>
      </c>
    </row>
    <row r="2140" spans="1:7">
      <c r="A2140" s="54">
        <v>68.407799999999995</v>
      </c>
      <c r="B2140" s="54">
        <v>68.449200000000005</v>
      </c>
      <c r="C2140" s="54">
        <v>67.847700000000003</v>
      </c>
      <c r="D2140" s="54">
        <v>67.902799999999999</v>
      </c>
      <c r="E2140" s="54">
        <v>17079114</v>
      </c>
      <c r="F2140" s="54" t="s">
        <v>2958</v>
      </c>
      <c r="G2140" s="25">
        <f t="shared" si="32"/>
        <v>7.4371012682834525E-3</v>
      </c>
    </row>
    <row r="2141" spans="1:7">
      <c r="A2141" s="54">
        <v>67.838499999999996</v>
      </c>
      <c r="B2141" s="54">
        <v>67.930300000000003</v>
      </c>
      <c r="C2141" s="54">
        <v>67.324200000000005</v>
      </c>
      <c r="D2141" s="54">
        <v>67.535399999999996</v>
      </c>
      <c r="E2141" s="54">
        <v>10883787</v>
      </c>
      <c r="F2141" s="54" t="s">
        <v>2959</v>
      </c>
      <c r="G2141" s="25">
        <f t="shared" si="32"/>
        <v>4.488016654969007E-3</v>
      </c>
    </row>
    <row r="2142" spans="1:7">
      <c r="A2142" s="54">
        <v>67.820099999999996</v>
      </c>
      <c r="B2142" s="54">
        <v>68.114000000000004</v>
      </c>
      <c r="C2142" s="54">
        <v>67.195599999999999</v>
      </c>
      <c r="D2142" s="54">
        <v>67.544600000000003</v>
      </c>
      <c r="E2142" s="54">
        <v>19565135</v>
      </c>
      <c r="F2142" s="54" t="s">
        <v>2960</v>
      </c>
      <c r="G2142" s="25">
        <f t="shared" si="32"/>
        <v>4.0787864610938307E-3</v>
      </c>
    </row>
    <row r="2143" spans="1:7">
      <c r="A2143" s="54">
        <v>67.278300000000002</v>
      </c>
      <c r="B2143" s="54">
        <v>67.7834</v>
      </c>
      <c r="C2143" s="54">
        <v>67.030299999999997</v>
      </c>
      <c r="D2143" s="54">
        <v>67.654799999999994</v>
      </c>
      <c r="E2143" s="54">
        <v>18019577</v>
      </c>
      <c r="F2143" s="54" t="s">
        <v>2961</v>
      </c>
      <c r="G2143" s="25">
        <f t="shared" si="32"/>
        <v>-5.5650153425920168E-3</v>
      </c>
    </row>
    <row r="2144" spans="1:7">
      <c r="A2144" s="54">
        <v>67.278300000000002</v>
      </c>
      <c r="B2144" s="54">
        <v>68.187399999999997</v>
      </c>
      <c r="C2144" s="54">
        <v>66.965999999999994</v>
      </c>
      <c r="D2144" s="54">
        <v>68.040499999999994</v>
      </c>
      <c r="E2144" s="54">
        <v>24149163</v>
      </c>
      <c r="F2144" s="54" t="s">
        <v>2962</v>
      </c>
      <c r="G2144" s="25">
        <f t="shared" si="32"/>
        <v>-1.1202151659673198E-2</v>
      </c>
    </row>
    <row r="2145" spans="1:7">
      <c r="A2145" s="54">
        <v>68.334400000000002</v>
      </c>
      <c r="B2145" s="54">
        <v>68.426199999999994</v>
      </c>
      <c r="C2145" s="54">
        <v>67.820099999999996</v>
      </c>
      <c r="D2145" s="54">
        <v>67.948700000000002</v>
      </c>
      <c r="E2145" s="54">
        <v>14095406</v>
      </c>
      <c r="F2145" s="54" t="s">
        <v>2963</v>
      </c>
      <c r="G2145" s="25">
        <f t="shared" si="32"/>
        <v>5.6763411220523974E-3</v>
      </c>
    </row>
    <row r="2146" spans="1:7">
      <c r="A2146" s="54">
        <v>68.150700000000001</v>
      </c>
      <c r="B2146" s="54">
        <v>69.096599999999995</v>
      </c>
      <c r="C2146" s="54">
        <v>68.058899999999994</v>
      </c>
      <c r="D2146" s="54">
        <v>68.977199999999996</v>
      </c>
      <c r="E2146" s="54">
        <v>19172812</v>
      </c>
      <c r="F2146" s="54" t="s">
        <v>2964</v>
      </c>
      <c r="G2146" s="25">
        <f t="shared" si="32"/>
        <v>-1.19822202118961E-2</v>
      </c>
    </row>
    <row r="2147" spans="1:7">
      <c r="A2147" s="54">
        <v>68.821100000000001</v>
      </c>
      <c r="B2147" s="54">
        <v>69.381299999999996</v>
      </c>
      <c r="C2147" s="54">
        <v>68.242500000000007</v>
      </c>
      <c r="D2147" s="54">
        <v>69.197599999999994</v>
      </c>
      <c r="E2147" s="54">
        <v>20789690</v>
      </c>
      <c r="F2147" s="54" t="s">
        <v>2965</v>
      </c>
      <c r="G2147" s="25">
        <f t="shared" si="32"/>
        <v>-5.4409401482131692E-3</v>
      </c>
    </row>
    <row r="2148" spans="1:7">
      <c r="A2148" s="54">
        <v>69.280299999999997</v>
      </c>
      <c r="B2148" s="54">
        <v>69.528199999999998</v>
      </c>
      <c r="C2148" s="54">
        <v>68.885400000000004</v>
      </c>
      <c r="D2148" s="54">
        <v>69.069100000000006</v>
      </c>
      <c r="E2148" s="54">
        <v>15769510</v>
      </c>
      <c r="F2148" s="54" t="s">
        <v>2966</v>
      </c>
      <c r="G2148" s="25">
        <f t="shared" si="32"/>
        <v>3.0578073262861327E-3</v>
      </c>
    </row>
    <row r="2149" spans="1:7">
      <c r="A2149" s="54">
        <v>69.023099999999999</v>
      </c>
      <c r="B2149" s="54">
        <v>69.766999999999996</v>
      </c>
      <c r="C2149" s="54">
        <v>68.912899999999993</v>
      </c>
      <c r="D2149" s="54">
        <v>69.087400000000002</v>
      </c>
      <c r="E2149" s="54">
        <v>23305606</v>
      </c>
      <c r="F2149" s="54" t="s">
        <v>2967</v>
      </c>
      <c r="G2149" s="25">
        <f t="shared" si="32"/>
        <v>-9.3070516476234655E-4</v>
      </c>
    </row>
    <row r="2150" spans="1:7">
      <c r="A2150" s="54">
        <v>69.160899999999998</v>
      </c>
      <c r="B2150" s="54">
        <v>69.234399999999994</v>
      </c>
      <c r="C2150" s="54">
        <v>68.022099999999995</v>
      </c>
      <c r="D2150" s="54">
        <v>68.720100000000002</v>
      </c>
      <c r="E2150" s="54">
        <v>38388474</v>
      </c>
      <c r="F2150" s="54" t="s">
        <v>2968</v>
      </c>
      <c r="G2150" s="25">
        <f t="shared" si="32"/>
        <v>6.4144260558409716E-3</v>
      </c>
    </row>
    <row r="2151" spans="1:7">
      <c r="A2151" s="54">
        <v>68.665000000000006</v>
      </c>
      <c r="B2151" s="54">
        <v>69.3262</v>
      </c>
      <c r="C2151" s="54">
        <v>68.435400000000001</v>
      </c>
      <c r="D2151" s="54">
        <v>68.876199999999997</v>
      </c>
      <c r="E2151" s="54">
        <v>15687056</v>
      </c>
      <c r="F2151" s="54" t="s">
        <v>2969</v>
      </c>
      <c r="G2151" s="25">
        <f t="shared" si="32"/>
        <v>-3.066371257415379E-3</v>
      </c>
    </row>
    <row r="2152" spans="1:7">
      <c r="A2152" s="54">
        <v>69.069100000000006</v>
      </c>
      <c r="B2152" s="54">
        <v>69.087400000000002</v>
      </c>
      <c r="C2152" s="54">
        <v>68.462999999999994</v>
      </c>
      <c r="D2152" s="54">
        <v>68.811899999999994</v>
      </c>
      <c r="E2152" s="54">
        <v>13380802</v>
      </c>
      <c r="F2152" s="54" t="s">
        <v>2970</v>
      </c>
      <c r="G2152" s="25">
        <f t="shared" si="32"/>
        <v>3.7377255968809031E-3</v>
      </c>
    </row>
    <row r="2153" spans="1:7">
      <c r="A2153" s="54">
        <v>68.582300000000004</v>
      </c>
      <c r="B2153" s="54">
        <v>69.096599999999995</v>
      </c>
      <c r="C2153" s="54">
        <v>68.297600000000003</v>
      </c>
      <c r="D2153" s="54">
        <v>68.655799999999999</v>
      </c>
      <c r="E2153" s="54">
        <v>14394850</v>
      </c>
      <c r="F2153" s="54" t="s">
        <v>2971</v>
      </c>
      <c r="G2153" s="25">
        <f t="shared" si="32"/>
        <v>-1.0705577678796763E-3</v>
      </c>
    </row>
    <row r="2154" spans="1:7">
      <c r="A2154" s="54">
        <v>68.655799999999999</v>
      </c>
      <c r="B2154" s="54">
        <v>68.825699999999998</v>
      </c>
      <c r="C2154" s="54">
        <v>68.242500000000007</v>
      </c>
      <c r="D2154" s="54">
        <v>68.242500000000007</v>
      </c>
      <c r="E2154" s="54">
        <v>17910383</v>
      </c>
      <c r="F2154" s="54" t="s">
        <v>2972</v>
      </c>
      <c r="G2154" s="25">
        <f t="shared" si="32"/>
        <v>6.0563431878959406E-3</v>
      </c>
    </row>
    <row r="2155" spans="1:7">
      <c r="A2155" s="54">
        <v>67.939499999999995</v>
      </c>
      <c r="B2155" s="54">
        <v>68.361900000000006</v>
      </c>
      <c r="C2155" s="54">
        <v>67.810900000000004</v>
      </c>
      <c r="D2155" s="54">
        <v>68.260900000000007</v>
      </c>
      <c r="E2155" s="54">
        <v>14703816</v>
      </c>
      <c r="F2155" s="54" t="s">
        <v>2973</v>
      </c>
      <c r="G2155" s="25">
        <f t="shared" si="32"/>
        <v>-4.7084055440231865E-3</v>
      </c>
    </row>
    <row r="2156" spans="1:7">
      <c r="A2156" s="54">
        <v>68.270099999999999</v>
      </c>
      <c r="B2156" s="54">
        <v>68.508899999999997</v>
      </c>
      <c r="C2156" s="54">
        <v>67.590500000000006</v>
      </c>
      <c r="D2156" s="54">
        <v>67.664000000000001</v>
      </c>
      <c r="E2156" s="54">
        <v>17471200</v>
      </c>
      <c r="F2156" s="54" t="s">
        <v>2974</v>
      </c>
      <c r="G2156" s="25">
        <f t="shared" si="32"/>
        <v>8.957495861905862E-3</v>
      </c>
    </row>
    <row r="2157" spans="1:7">
      <c r="A2157" s="54">
        <v>67.406800000000004</v>
      </c>
      <c r="B2157" s="54">
        <v>67.994600000000005</v>
      </c>
      <c r="C2157" s="54">
        <v>67.360900000000001</v>
      </c>
      <c r="D2157" s="54">
        <v>67.719099999999997</v>
      </c>
      <c r="E2157" s="54">
        <v>16535785</v>
      </c>
      <c r="F2157" s="54" t="s">
        <v>2975</v>
      </c>
      <c r="G2157" s="25">
        <f t="shared" si="32"/>
        <v>-4.6116974383887399E-3</v>
      </c>
    </row>
    <row r="2158" spans="1:7">
      <c r="A2158" s="54">
        <v>67.599699999999999</v>
      </c>
      <c r="B2158" s="54">
        <v>67.856800000000007</v>
      </c>
      <c r="C2158" s="54">
        <v>67.021100000000004</v>
      </c>
      <c r="D2158" s="54">
        <v>67.351699999999994</v>
      </c>
      <c r="E2158" s="54">
        <v>22242384</v>
      </c>
      <c r="F2158" s="54" t="s">
        <v>2976</v>
      </c>
      <c r="G2158" s="25">
        <f t="shared" si="32"/>
        <v>3.6821639245929738E-3</v>
      </c>
    </row>
    <row r="2159" spans="1:7">
      <c r="A2159" s="54">
        <v>67.902799999999999</v>
      </c>
      <c r="B2159" s="54">
        <v>68.6374</v>
      </c>
      <c r="C2159" s="54">
        <v>67.627300000000005</v>
      </c>
      <c r="D2159" s="54">
        <v>68.609899999999996</v>
      </c>
      <c r="E2159" s="54">
        <v>21736161</v>
      </c>
      <c r="F2159" s="54" t="s">
        <v>2977</v>
      </c>
      <c r="G2159" s="25">
        <f t="shared" si="32"/>
        <v>-1.0306092852489179E-2</v>
      </c>
    </row>
    <row r="2160" spans="1:7">
      <c r="A2160" s="54">
        <v>68.665000000000006</v>
      </c>
      <c r="B2160" s="54">
        <v>68.839500000000001</v>
      </c>
      <c r="C2160" s="54">
        <v>67.774199999999993</v>
      </c>
      <c r="D2160" s="54">
        <v>67.985399999999998</v>
      </c>
      <c r="E2160" s="54">
        <v>27652811</v>
      </c>
      <c r="F2160" s="54" t="s">
        <v>2978</v>
      </c>
      <c r="G2160" s="25">
        <f t="shared" si="32"/>
        <v>9.9962639037205481E-3</v>
      </c>
    </row>
    <row r="2161" spans="1:7">
      <c r="A2161" s="54">
        <v>67.966999999999999</v>
      </c>
      <c r="B2161" s="54">
        <v>68.150599999999997</v>
      </c>
      <c r="C2161" s="54">
        <v>66.8827</v>
      </c>
      <c r="D2161" s="54">
        <v>67.048699999999997</v>
      </c>
      <c r="E2161" s="54">
        <v>16897801</v>
      </c>
      <c r="F2161" s="54" t="s">
        <v>2979</v>
      </c>
      <c r="G2161" s="25">
        <f t="shared" si="32"/>
        <v>1.3696014986122051E-2</v>
      </c>
    </row>
    <row r="2162" spans="1:7">
      <c r="A2162" s="54">
        <v>67.085400000000007</v>
      </c>
      <c r="B2162" s="54">
        <v>67.186400000000006</v>
      </c>
      <c r="C2162" s="54">
        <v>66.167100000000005</v>
      </c>
      <c r="D2162" s="54">
        <v>66.350700000000003</v>
      </c>
      <c r="E2162" s="54">
        <v>11478382</v>
      </c>
      <c r="F2162" s="54" t="s">
        <v>2980</v>
      </c>
      <c r="G2162" s="25">
        <f t="shared" si="32"/>
        <v>1.1072980390561149E-2</v>
      </c>
    </row>
    <row r="2163" spans="1:7">
      <c r="A2163" s="54">
        <v>66.883399999999995</v>
      </c>
      <c r="B2163" s="54">
        <v>67.122200000000007</v>
      </c>
      <c r="C2163" s="54">
        <v>66.626300000000001</v>
      </c>
      <c r="D2163" s="54">
        <v>67.0946</v>
      </c>
      <c r="E2163" s="54">
        <v>14569715</v>
      </c>
      <c r="F2163" s="54" t="s">
        <v>2981</v>
      </c>
      <c r="G2163" s="25">
        <f t="shared" si="32"/>
        <v>-3.1477943083348947E-3</v>
      </c>
    </row>
    <row r="2164" spans="1:7">
      <c r="A2164" s="54">
        <v>66.874200000000002</v>
      </c>
      <c r="B2164" s="54">
        <v>67.360900000000001</v>
      </c>
      <c r="C2164" s="54">
        <v>66.561999999999998</v>
      </c>
      <c r="D2164" s="54">
        <v>66.910899999999998</v>
      </c>
      <c r="E2164" s="54">
        <v>12794301</v>
      </c>
      <c r="F2164" s="54" t="s">
        <v>2982</v>
      </c>
      <c r="G2164" s="25">
        <f t="shared" si="32"/>
        <v>-5.4849060466977129E-4</v>
      </c>
    </row>
    <row r="2165" spans="1:7">
      <c r="A2165" s="54">
        <v>66.754800000000003</v>
      </c>
      <c r="B2165" s="54">
        <v>66.910899999999998</v>
      </c>
      <c r="C2165" s="54">
        <v>66.185400000000001</v>
      </c>
      <c r="D2165" s="54">
        <v>66.800700000000006</v>
      </c>
      <c r="E2165" s="54">
        <v>17098282</v>
      </c>
      <c r="F2165" s="54" t="s">
        <v>2983</v>
      </c>
      <c r="G2165" s="25">
        <f t="shared" si="32"/>
        <v>-6.8711854815894924E-4</v>
      </c>
    </row>
    <row r="2166" spans="1:7">
      <c r="A2166" s="54">
        <v>66.782399999999996</v>
      </c>
      <c r="B2166" s="54">
        <v>67.177300000000002</v>
      </c>
      <c r="C2166" s="54">
        <v>66.607900000000001</v>
      </c>
      <c r="D2166" s="54">
        <v>67.002799999999993</v>
      </c>
      <c r="E2166" s="54">
        <v>13766507</v>
      </c>
      <c r="F2166" s="54" t="s">
        <v>2984</v>
      </c>
      <c r="G2166" s="25">
        <f t="shared" si="32"/>
        <v>-3.2894147707259735E-3</v>
      </c>
    </row>
    <row r="2167" spans="1:7">
      <c r="A2167" s="54">
        <v>67.186400000000006</v>
      </c>
      <c r="B2167" s="54">
        <v>67.259900000000002</v>
      </c>
      <c r="C2167" s="54">
        <v>66.442599999999999</v>
      </c>
      <c r="D2167" s="54">
        <v>66.442599999999999</v>
      </c>
      <c r="E2167" s="54">
        <v>14343674</v>
      </c>
      <c r="F2167" s="54" t="s">
        <v>2985</v>
      </c>
      <c r="G2167" s="25">
        <f t="shared" si="32"/>
        <v>1.1194625135079184E-2</v>
      </c>
    </row>
    <row r="2168" spans="1:7">
      <c r="A2168" s="54">
        <v>66.258899999999997</v>
      </c>
      <c r="B2168" s="54">
        <v>66.561999999999998</v>
      </c>
      <c r="C2168" s="54">
        <v>65.845699999999994</v>
      </c>
      <c r="D2168" s="54">
        <v>66.552800000000005</v>
      </c>
      <c r="E2168" s="54">
        <v>17734767</v>
      </c>
      <c r="F2168" s="54" t="s">
        <v>2986</v>
      </c>
      <c r="G2168" s="25">
        <f t="shared" si="32"/>
        <v>-4.4160426007622267E-3</v>
      </c>
    </row>
    <row r="2169" spans="1:7">
      <c r="A2169" s="54">
        <v>66.571200000000005</v>
      </c>
      <c r="B2169" s="54">
        <v>66.892600000000002</v>
      </c>
      <c r="C2169" s="54">
        <v>66.056899999999999</v>
      </c>
      <c r="D2169" s="54">
        <v>66.369100000000003</v>
      </c>
      <c r="E2169" s="54">
        <v>18761491</v>
      </c>
      <c r="F2169" s="54" t="s">
        <v>2987</v>
      </c>
      <c r="G2169" s="25">
        <f t="shared" si="32"/>
        <v>3.0450917671025479E-3</v>
      </c>
    </row>
    <row r="2170" spans="1:7">
      <c r="A2170" s="54">
        <v>66.488500000000002</v>
      </c>
      <c r="B2170" s="54">
        <v>67.838499999999996</v>
      </c>
      <c r="C2170" s="54">
        <v>66.488500000000002</v>
      </c>
      <c r="D2170" s="54">
        <v>67.572199999999995</v>
      </c>
      <c r="E2170" s="54">
        <v>22977519</v>
      </c>
      <c r="F2170" s="54" t="s">
        <v>2988</v>
      </c>
      <c r="G2170" s="25">
        <f t="shared" si="32"/>
        <v>-1.6037660457998926E-2</v>
      </c>
    </row>
    <row r="2171" spans="1:7">
      <c r="A2171" s="54">
        <v>67.636399999999995</v>
      </c>
      <c r="B2171" s="54">
        <v>68.049700000000001</v>
      </c>
      <c r="C2171" s="54">
        <v>67.195599999999999</v>
      </c>
      <c r="D2171" s="54">
        <v>67.351699999999994</v>
      </c>
      <c r="E2171" s="54">
        <v>18150402</v>
      </c>
      <c r="F2171" s="54" t="s">
        <v>2989</v>
      </c>
      <c r="G2171" s="25">
        <f t="shared" si="32"/>
        <v>4.2270647956919039E-3</v>
      </c>
    </row>
    <row r="2172" spans="1:7">
      <c r="A2172" s="54">
        <v>67.241500000000002</v>
      </c>
      <c r="B2172" s="54">
        <v>67.581299999999999</v>
      </c>
      <c r="C2172" s="54">
        <v>67.0762</v>
      </c>
      <c r="D2172" s="54">
        <v>67.581299999999999</v>
      </c>
      <c r="E2172" s="54">
        <v>19181402</v>
      </c>
      <c r="F2172" s="54" t="s">
        <v>2990</v>
      </c>
      <c r="G2172" s="25">
        <f t="shared" si="32"/>
        <v>-5.0280181056001627E-3</v>
      </c>
    </row>
    <row r="2173" spans="1:7">
      <c r="A2173" s="54">
        <v>67.223200000000006</v>
      </c>
      <c r="B2173" s="54">
        <v>67.341899999999995</v>
      </c>
      <c r="C2173" s="54">
        <v>66.638599999999997</v>
      </c>
      <c r="D2173" s="54">
        <v>66.739000000000004</v>
      </c>
      <c r="E2173" s="54">
        <v>20096592</v>
      </c>
      <c r="F2173" s="54" t="s">
        <v>2991</v>
      </c>
      <c r="G2173" s="25">
        <f t="shared" si="32"/>
        <v>7.2551281859183359E-3</v>
      </c>
    </row>
    <row r="2174" spans="1:7">
      <c r="A2174" s="54">
        <v>66.227500000000006</v>
      </c>
      <c r="B2174" s="54">
        <v>66.410200000000003</v>
      </c>
      <c r="C2174" s="54">
        <v>65.113</v>
      </c>
      <c r="D2174" s="54">
        <v>65.414500000000004</v>
      </c>
      <c r="E2174" s="54">
        <v>21443675</v>
      </c>
      <c r="F2174" s="54" t="s">
        <v>2992</v>
      </c>
      <c r="G2174" s="25">
        <f t="shared" si="32"/>
        <v>1.2428437120210356E-2</v>
      </c>
    </row>
    <row r="2175" spans="1:7">
      <c r="A2175" s="54">
        <v>65.231800000000007</v>
      </c>
      <c r="B2175" s="54">
        <v>65.944299999999998</v>
      </c>
      <c r="C2175" s="54">
        <v>65.177000000000007</v>
      </c>
      <c r="D2175" s="54">
        <v>65.679400000000001</v>
      </c>
      <c r="E2175" s="54">
        <v>24734461</v>
      </c>
      <c r="F2175" s="54" t="s">
        <v>2993</v>
      </c>
      <c r="G2175" s="25">
        <f t="shared" si="32"/>
        <v>-6.8149221826020456E-3</v>
      </c>
    </row>
    <row r="2176" spans="1:7">
      <c r="A2176" s="54">
        <v>66.200100000000006</v>
      </c>
      <c r="B2176" s="54">
        <v>66.236599999999996</v>
      </c>
      <c r="C2176" s="54">
        <v>65.816400000000002</v>
      </c>
      <c r="D2176" s="54">
        <v>65.999099999999999</v>
      </c>
      <c r="E2176" s="54">
        <v>22213410</v>
      </c>
      <c r="F2176" s="54" t="s">
        <v>2994</v>
      </c>
      <c r="G2176" s="25">
        <f t="shared" si="32"/>
        <v>3.0454960749466409E-3</v>
      </c>
    </row>
    <row r="2177" spans="1:7">
      <c r="A2177" s="54">
        <v>66.492400000000004</v>
      </c>
      <c r="B2177" s="54">
        <v>66.802999999999997</v>
      </c>
      <c r="C2177" s="54">
        <v>65.542400000000001</v>
      </c>
      <c r="D2177" s="54">
        <v>65.852999999999994</v>
      </c>
      <c r="E2177" s="54">
        <v>22044587</v>
      </c>
      <c r="F2177" s="54" t="s">
        <v>2995</v>
      </c>
      <c r="G2177" s="25">
        <f t="shared" si="32"/>
        <v>9.7095045024526705E-3</v>
      </c>
    </row>
    <row r="2178" spans="1:7">
      <c r="A2178" s="54">
        <v>66.136099999999999</v>
      </c>
      <c r="B2178" s="54">
        <v>66.5929</v>
      </c>
      <c r="C2178" s="54">
        <v>66.008200000000002</v>
      </c>
      <c r="D2178" s="54">
        <v>66.501499999999993</v>
      </c>
      <c r="E2178" s="54">
        <v>18705681</v>
      </c>
      <c r="F2178" s="54" t="s">
        <v>2996</v>
      </c>
      <c r="G2178" s="25">
        <f t="shared" si="32"/>
        <v>-5.494612903468199E-3</v>
      </c>
    </row>
    <row r="2179" spans="1:7">
      <c r="A2179" s="54">
        <v>66.391900000000007</v>
      </c>
      <c r="B2179" s="54">
        <v>66.720799999999997</v>
      </c>
      <c r="C2179" s="54">
        <v>65.989999999999995</v>
      </c>
      <c r="D2179" s="54">
        <v>66.136099999999999</v>
      </c>
      <c r="E2179" s="54">
        <v>22578952</v>
      </c>
      <c r="F2179" s="54" t="s">
        <v>2997</v>
      </c>
      <c r="G2179" s="25">
        <f t="shared" si="32"/>
        <v>3.8677817409857873E-3</v>
      </c>
    </row>
    <row r="2180" spans="1:7">
      <c r="A2180" s="54">
        <v>65.907799999999995</v>
      </c>
      <c r="B2180" s="54">
        <v>66.172700000000006</v>
      </c>
      <c r="C2180" s="54">
        <v>65.629199999999997</v>
      </c>
      <c r="D2180" s="54">
        <v>65.944299999999998</v>
      </c>
      <c r="E2180" s="54">
        <v>18214424</v>
      </c>
      <c r="F2180" s="54" t="s">
        <v>2998</v>
      </c>
      <c r="G2180" s="25">
        <f t="shared" si="32"/>
        <v>-5.5349742130861301E-4</v>
      </c>
    </row>
    <row r="2181" spans="1:7">
      <c r="A2181" s="54">
        <v>66.008200000000002</v>
      </c>
      <c r="B2181" s="54">
        <v>66.282300000000006</v>
      </c>
      <c r="C2181" s="54">
        <v>65.263800000000003</v>
      </c>
      <c r="D2181" s="54">
        <v>66.273200000000003</v>
      </c>
      <c r="E2181" s="54">
        <v>26499158</v>
      </c>
      <c r="F2181" s="54" t="s">
        <v>2999</v>
      </c>
      <c r="G2181" s="25">
        <f t="shared" si="32"/>
        <v>-3.9985997356397629E-3</v>
      </c>
    </row>
    <row r="2182" spans="1:7">
      <c r="A2182" s="54">
        <v>66.300600000000003</v>
      </c>
      <c r="B2182" s="54">
        <v>67.067899999999995</v>
      </c>
      <c r="C2182" s="54">
        <v>66.218299999999999</v>
      </c>
      <c r="D2182" s="54">
        <v>66.775599999999997</v>
      </c>
      <c r="E2182" s="54">
        <v>20823890</v>
      </c>
      <c r="F2182" s="54" t="s">
        <v>3000</v>
      </c>
      <c r="G2182" s="25">
        <f t="shared" si="32"/>
        <v>-7.113376742402866E-3</v>
      </c>
    </row>
    <row r="2183" spans="1:7">
      <c r="A2183" s="54">
        <v>66.410200000000003</v>
      </c>
      <c r="B2183" s="54">
        <v>67.086200000000005</v>
      </c>
      <c r="C2183" s="54">
        <v>66.145300000000006</v>
      </c>
      <c r="D2183" s="54">
        <v>66.958299999999994</v>
      </c>
      <c r="E2183" s="54">
        <v>23600054</v>
      </c>
      <c r="F2183" s="54" t="s">
        <v>3001</v>
      </c>
      <c r="G2183" s="25">
        <f t="shared" si="32"/>
        <v>-8.1856916916945854E-3</v>
      </c>
    </row>
    <row r="2184" spans="1:7">
      <c r="A2184" s="54">
        <v>66.720799999999997</v>
      </c>
      <c r="B2184" s="54">
        <v>66.967399999999998</v>
      </c>
      <c r="C2184" s="54">
        <v>66.263999999999996</v>
      </c>
      <c r="D2184" s="54">
        <v>66.382800000000003</v>
      </c>
      <c r="E2184" s="54">
        <v>18306680</v>
      </c>
      <c r="F2184" s="54" t="s">
        <v>3002</v>
      </c>
      <c r="G2184" s="25">
        <f t="shared" si="32"/>
        <v>5.0916803750367112E-3</v>
      </c>
    </row>
    <row r="2185" spans="1:7">
      <c r="A2185" s="54">
        <v>66.830399999999997</v>
      </c>
      <c r="B2185" s="54">
        <v>67.981399999999994</v>
      </c>
      <c r="C2185" s="54">
        <v>66.063100000000006</v>
      </c>
      <c r="D2185" s="54">
        <v>67.378500000000003</v>
      </c>
      <c r="E2185" s="54">
        <v>36844220</v>
      </c>
      <c r="F2185" s="54" t="s">
        <v>3003</v>
      </c>
      <c r="G2185" s="25">
        <f t="shared" si="32"/>
        <v>-8.134642356241284E-3</v>
      </c>
    </row>
    <row r="2186" spans="1:7">
      <c r="A2186" s="54">
        <v>67.6434</v>
      </c>
      <c r="B2186" s="54">
        <v>67.944800000000001</v>
      </c>
      <c r="C2186" s="54">
        <v>67.424099999999996</v>
      </c>
      <c r="D2186" s="54">
        <v>67.908299999999997</v>
      </c>
      <c r="E2186" s="54">
        <v>16252233</v>
      </c>
      <c r="F2186" s="54" t="s">
        <v>3004</v>
      </c>
      <c r="G2186" s="25">
        <f t="shared" si="32"/>
        <v>-3.9008486444219725E-3</v>
      </c>
    </row>
    <row r="2187" spans="1:7">
      <c r="A2187" s="54">
        <v>67.771299999999997</v>
      </c>
      <c r="B2187" s="54">
        <v>67.880899999999997</v>
      </c>
      <c r="C2187" s="54">
        <v>67.141000000000005</v>
      </c>
      <c r="D2187" s="54">
        <v>67.415000000000006</v>
      </c>
      <c r="E2187" s="54">
        <v>22018681</v>
      </c>
      <c r="F2187" s="54" t="s">
        <v>3005</v>
      </c>
      <c r="G2187" s="25">
        <f t="shared" si="32"/>
        <v>5.2851739227173233E-3</v>
      </c>
    </row>
    <row r="2188" spans="1:7">
      <c r="A2188" s="54">
        <v>67.232299999999995</v>
      </c>
      <c r="B2188" s="54">
        <v>67.369299999999996</v>
      </c>
      <c r="C2188" s="54">
        <v>66.802999999999997</v>
      </c>
      <c r="D2188" s="54">
        <v>67.168400000000005</v>
      </c>
      <c r="E2188" s="54">
        <v>21394826</v>
      </c>
      <c r="F2188" s="54" t="s">
        <v>3006</v>
      </c>
      <c r="G2188" s="25">
        <f t="shared" si="32"/>
        <v>9.5134021355258724E-4</v>
      </c>
    </row>
    <row r="2189" spans="1:7">
      <c r="A2189" s="54">
        <v>67.405900000000003</v>
      </c>
      <c r="B2189" s="54">
        <v>67.8626</v>
      </c>
      <c r="C2189" s="54">
        <v>66.839500000000001</v>
      </c>
      <c r="D2189" s="54">
        <v>67.095299999999995</v>
      </c>
      <c r="E2189" s="54">
        <v>46717082</v>
      </c>
      <c r="F2189" s="54" t="s">
        <v>3007</v>
      </c>
      <c r="G2189" s="25">
        <f t="shared" si="32"/>
        <v>4.6292363250481916E-3</v>
      </c>
    </row>
    <row r="2190" spans="1:7">
      <c r="A2190" s="54">
        <v>67.798699999999997</v>
      </c>
      <c r="B2190" s="54">
        <v>67.871799999999993</v>
      </c>
      <c r="C2190" s="54">
        <v>66.94</v>
      </c>
      <c r="D2190" s="54">
        <v>67.762100000000004</v>
      </c>
      <c r="E2190" s="54">
        <v>42361025</v>
      </c>
      <c r="F2190" s="54" t="s">
        <v>3008</v>
      </c>
      <c r="G2190" s="25">
        <f t="shared" si="32"/>
        <v>5.4012493709598708E-4</v>
      </c>
    </row>
    <row r="2191" spans="1:7">
      <c r="A2191" s="54">
        <v>67.469800000000006</v>
      </c>
      <c r="B2191" s="54">
        <v>67.634200000000007</v>
      </c>
      <c r="C2191" s="54">
        <v>67.095299999999995</v>
      </c>
      <c r="D2191" s="54">
        <v>67.141000000000005</v>
      </c>
      <c r="E2191" s="54">
        <v>22416222</v>
      </c>
      <c r="F2191" s="54" t="s">
        <v>3009</v>
      </c>
      <c r="G2191" s="25">
        <f t="shared" si="32"/>
        <v>4.8971567298670138E-3</v>
      </c>
    </row>
    <row r="2192" spans="1:7">
      <c r="A2192" s="54">
        <v>66.958299999999994</v>
      </c>
      <c r="B2192" s="54">
        <v>67.040499999999994</v>
      </c>
      <c r="C2192" s="54">
        <v>66.373599999999996</v>
      </c>
      <c r="D2192" s="54">
        <v>66.766400000000004</v>
      </c>
      <c r="E2192" s="54">
        <v>26435296</v>
      </c>
      <c r="F2192" s="54" t="s">
        <v>3010</v>
      </c>
      <c r="G2192" s="25">
        <f t="shared" si="32"/>
        <v>2.8742001965058606E-3</v>
      </c>
    </row>
    <row r="2193" spans="1:7">
      <c r="A2193" s="54">
        <v>67.003900000000002</v>
      </c>
      <c r="B2193" s="54">
        <v>67.095299999999995</v>
      </c>
      <c r="C2193" s="54">
        <v>66.428399999999996</v>
      </c>
      <c r="D2193" s="54">
        <v>66.501499999999993</v>
      </c>
      <c r="E2193" s="54">
        <v>21803907</v>
      </c>
      <c r="F2193" s="54" t="s">
        <v>3011</v>
      </c>
      <c r="G2193" s="25">
        <f t="shared" si="32"/>
        <v>7.5547168108991425E-3</v>
      </c>
    </row>
    <row r="2194" spans="1:7">
      <c r="A2194" s="54">
        <v>66.4833</v>
      </c>
      <c r="B2194" s="54">
        <v>66.930899999999994</v>
      </c>
      <c r="C2194" s="54">
        <v>65.734200000000001</v>
      </c>
      <c r="D2194" s="54">
        <v>65.989999999999995</v>
      </c>
      <c r="E2194" s="54">
        <v>25868086</v>
      </c>
      <c r="F2194" s="54" t="s">
        <v>3012</v>
      </c>
      <c r="G2194" s="25">
        <f t="shared" si="32"/>
        <v>7.4753750568268273E-3</v>
      </c>
    </row>
    <row r="2195" spans="1:7">
      <c r="A2195" s="54">
        <v>65.560599999999994</v>
      </c>
      <c r="B2195" s="54">
        <v>65.807199999999995</v>
      </c>
      <c r="C2195" s="54">
        <v>65.1404</v>
      </c>
      <c r="D2195" s="54">
        <v>65.313999999999993</v>
      </c>
      <c r="E2195" s="54">
        <v>20269816</v>
      </c>
      <c r="F2195" s="54" t="s">
        <v>3013</v>
      </c>
      <c r="G2195" s="25">
        <f t="shared" si="32"/>
        <v>3.7756070673975461E-3</v>
      </c>
    </row>
    <row r="2196" spans="1:7">
      <c r="A2196" s="54">
        <v>64.994299999999996</v>
      </c>
      <c r="B2196" s="54">
        <v>65.113</v>
      </c>
      <c r="C2196" s="54">
        <v>64.446200000000005</v>
      </c>
      <c r="D2196" s="54">
        <v>64.574100000000001</v>
      </c>
      <c r="E2196" s="54">
        <v>17750925</v>
      </c>
      <c r="F2196" s="54" t="s">
        <v>3014</v>
      </c>
      <c r="G2196" s="25">
        <f t="shared" si="32"/>
        <v>6.5072529078995522E-3</v>
      </c>
    </row>
    <row r="2197" spans="1:7">
      <c r="A2197" s="54">
        <v>63.934600000000003</v>
      </c>
      <c r="B2197" s="54">
        <v>64.564899999999994</v>
      </c>
      <c r="C2197" s="54">
        <v>63.715400000000002</v>
      </c>
      <c r="D2197" s="54">
        <v>63.943800000000003</v>
      </c>
      <c r="E2197" s="54">
        <v>17460022</v>
      </c>
      <c r="F2197" s="54" t="s">
        <v>3015</v>
      </c>
      <c r="G2197" s="25">
        <f t="shared" si="32"/>
        <v>-1.4387634141233008E-4</v>
      </c>
    </row>
    <row r="2198" spans="1:7">
      <c r="A2198" s="54">
        <v>63.9255</v>
      </c>
      <c r="B2198" s="54">
        <v>64.1721</v>
      </c>
      <c r="C2198" s="54">
        <v>63.213000000000001</v>
      </c>
      <c r="D2198" s="54">
        <v>63.450499999999998</v>
      </c>
      <c r="E2198" s="54">
        <v>15014503</v>
      </c>
      <c r="F2198" s="54" t="s">
        <v>3016</v>
      </c>
      <c r="G2198" s="25">
        <f t="shared" si="32"/>
        <v>7.4861506213506068E-3</v>
      </c>
    </row>
    <row r="2199" spans="1:7">
      <c r="A2199" s="54">
        <v>63.450499999999998</v>
      </c>
      <c r="B2199" s="54">
        <v>63.797600000000003</v>
      </c>
      <c r="C2199" s="54">
        <v>62.7562</v>
      </c>
      <c r="D2199" s="54">
        <v>62.7562</v>
      </c>
      <c r="E2199" s="54">
        <v>16878317</v>
      </c>
      <c r="F2199" s="54" t="s">
        <v>3017</v>
      </c>
      <c r="G2199" s="25">
        <f t="shared" si="32"/>
        <v>1.10634487110437E-2</v>
      </c>
    </row>
    <row r="2200" spans="1:7">
      <c r="A2200" s="54">
        <v>62.637500000000003</v>
      </c>
      <c r="B2200" s="54">
        <v>62.829300000000003</v>
      </c>
      <c r="C2200" s="54">
        <v>62.226399999999998</v>
      </c>
      <c r="D2200" s="54">
        <v>62.363500000000002</v>
      </c>
      <c r="E2200" s="54">
        <v>21117572</v>
      </c>
      <c r="F2200" s="54" t="s">
        <v>3018</v>
      </c>
      <c r="G2200" s="25">
        <f t="shared" ref="G2200:G2263" si="33">A2200/D2200-1</f>
        <v>4.3935956128184905E-3</v>
      </c>
    </row>
    <row r="2201" spans="1:7">
      <c r="A2201" s="54">
        <v>63.103400000000001</v>
      </c>
      <c r="B2201" s="54">
        <v>63.432200000000002</v>
      </c>
      <c r="C2201" s="54">
        <v>62.317799999999998</v>
      </c>
      <c r="D2201" s="54">
        <v>62.349699999999999</v>
      </c>
      <c r="E2201" s="54">
        <v>21176272</v>
      </c>
      <c r="F2201" s="54" t="s">
        <v>3019</v>
      </c>
      <c r="G2201" s="25">
        <f t="shared" si="33"/>
        <v>1.208826987138667E-2</v>
      </c>
    </row>
    <row r="2202" spans="1:7">
      <c r="A2202" s="54">
        <v>62.272100000000002</v>
      </c>
      <c r="B2202" s="54">
        <v>63.578400000000002</v>
      </c>
      <c r="C2202" s="54">
        <v>62.135100000000001</v>
      </c>
      <c r="D2202" s="54">
        <v>63.331699999999998</v>
      </c>
      <c r="E2202" s="54">
        <v>16165538</v>
      </c>
      <c r="F2202" s="54" t="s">
        <v>3020</v>
      </c>
      <c r="G2202" s="25">
        <f t="shared" si="33"/>
        <v>-1.6730957798385293E-2</v>
      </c>
    </row>
    <row r="2203" spans="1:7">
      <c r="A2203" s="54">
        <v>62.9664</v>
      </c>
      <c r="B2203" s="54">
        <v>63.377400000000002</v>
      </c>
      <c r="C2203" s="54">
        <v>62.7928</v>
      </c>
      <c r="D2203" s="54">
        <v>62.829300000000003</v>
      </c>
      <c r="E2203" s="54">
        <v>24161068</v>
      </c>
      <c r="F2203" s="54" t="s">
        <v>3021</v>
      </c>
      <c r="G2203" s="25">
        <f t="shared" si="33"/>
        <v>2.1821029360504784E-3</v>
      </c>
    </row>
    <row r="2204" spans="1:7">
      <c r="A2204" s="54">
        <v>62.564399999999999</v>
      </c>
      <c r="B2204" s="54">
        <v>63.477899999999998</v>
      </c>
      <c r="C2204" s="54">
        <v>62.198999999999998</v>
      </c>
      <c r="D2204" s="54">
        <v>63.377400000000002</v>
      </c>
      <c r="E2204" s="54">
        <v>28918715</v>
      </c>
      <c r="F2204" s="54" t="s">
        <v>3022</v>
      </c>
      <c r="G2204" s="25">
        <f t="shared" si="33"/>
        <v>-1.2827916575940401E-2</v>
      </c>
    </row>
    <row r="2205" spans="1:7">
      <c r="A2205" s="54">
        <v>63.761099999999999</v>
      </c>
      <c r="B2205" s="54">
        <v>63.798499999999997</v>
      </c>
      <c r="C2205" s="54">
        <v>62.838500000000003</v>
      </c>
      <c r="D2205" s="54">
        <v>63.222099999999998</v>
      </c>
      <c r="E2205" s="54">
        <v>25806200</v>
      </c>
      <c r="F2205" s="54" t="s">
        <v>3023</v>
      </c>
      <c r="G2205" s="25">
        <f t="shared" si="33"/>
        <v>8.5254997856762937E-3</v>
      </c>
    </row>
    <row r="2206" spans="1:7">
      <c r="A2206" s="54">
        <v>63.222099999999998</v>
      </c>
      <c r="B2206" s="54">
        <v>64.108199999999997</v>
      </c>
      <c r="C2206" s="54">
        <v>63.194699999999997</v>
      </c>
      <c r="D2206" s="54">
        <v>64.044300000000007</v>
      </c>
      <c r="E2206" s="54">
        <v>25215128</v>
      </c>
      <c r="F2206" s="54" t="s">
        <v>3024</v>
      </c>
      <c r="G2206" s="25">
        <f t="shared" si="33"/>
        <v>-1.2837988704693659E-2</v>
      </c>
    </row>
    <row r="2207" spans="1:7">
      <c r="A2207" s="54">
        <v>64.427899999999994</v>
      </c>
      <c r="B2207" s="54">
        <v>65.505799999999994</v>
      </c>
      <c r="C2207" s="54">
        <v>64.350300000000004</v>
      </c>
      <c r="D2207" s="54">
        <v>65.222700000000003</v>
      </c>
      <c r="E2207" s="54">
        <v>19606974</v>
      </c>
      <c r="F2207" s="54" t="s">
        <v>3025</v>
      </c>
      <c r="G2207" s="25">
        <f t="shared" si="33"/>
        <v>-1.2185941397703681E-2</v>
      </c>
    </row>
    <row r="2208" spans="1:7">
      <c r="A2208" s="54">
        <v>65.049099999999996</v>
      </c>
      <c r="B2208" s="54">
        <v>65.085599999999999</v>
      </c>
      <c r="C2208" s="54">
        <v>63.870699999999999</v>
      </c>
      <c r="D2208" s="54">
        <v>64.025999999999996</v>
      </c>
      <c r="E2208" s="54">
        <v>27617291</v>
      </c>
      <c r="F2208" s="54" t="s">
        <v>3026</v>
      </c>
      <c r="G2208" s="25">
        <f t="shared" si="33"/>
        <v>1.5979445850123453E-2</v>
      </c>
    </row>
    <row r="2209" spans="1:7">
      <c r="A2209" s="54">
        <v>64.181299999999993</v>
      </c>
      <c r="B2209" s="54">
        <v>64.482699999999994</v>
      </c>
      <c r="C2209" s="54">
        <v>63.678899999999999</v>
      </c>
      <c r="D2209" s="54">
        <v>64.437100000000001</v>
      </c>
      <c r="E2209" s="54">
        <v>22965738</v>
      </c>
      <c r="F2209" s="54" t="s">
        <v>3027</v>
      </c>
      <c r="G2209" s="25">
        <f t="shared" si="33"/>
        <v>-3.9697627608941133E-3</v>
      </c>
    </row>
    <row r="2210" spans="1:7">
      <c r="A2210" s="54">
        <v>64.190399999999997</v>
      </c>
      <c r="B2210" s="54">
        <v>64.510099999999994</v>
      </c>
      <c r="C2210" s="54">
        <v>63.889000000000003</v>
      </c>
      <c r="D2210" s="54">
        <v>64.135599999999997</v>
      </c>
      <c r="E2210" s="54">
        <v>19891051</v>
      </c>
      <c r="F2210" s="54" t="s">
        <v>3028</v>
      </c>
      <c r="G2210" s="25">
        <f t="shared" si="33"/>
        <v>8.5443965597886695E-4</v>
      </c>
    </row>
    <row r="2211" spans="1:7">
      <c r="A2211" s="54">
        <v>63.861600000000003</v>
      </c>
      <c r="B2211" s="54">
        <v>64.738500000000002</v>
      </c>
      <c r="C2211" s="54">
        <v>63.825000000000003</v>
      </c>
      <c r="D2211" s="54">
        <v>64.692800000000005</v>
      </c>
      <c r="E2211" s="54">
        <v>21512231</v>
      </c>
      <c r="F2211" s="54" t="s">
        <v>3029</v>
      </c>
      <c r="G2211" s="25">
        <f t="shared" si="33"/>
        <v>-1.2848415897905197E-2</v>
      </c>
    </row>
    <row r="2212" spans="1:7">
      <c r="A2212" s="54">
        <v>64.738500000000002</v>
      </c>
      <c r="B2212" s="54">
        <v>64.807000000000002</v>
      </c>
      <c r="C2212" s="54">
        <v>64.263499999999993</v>
      </c>
      <c r="D2212" s="54">
        <v>64.400499999999994</v>
      </c>
      <c r="E2212" s="54">
        <v>23798268</v>
      </c>
      <c r="F2212" s="54" t="s">
        <v>3030</v>
      </c>
      <c r="G2212" s="25">
        <f t="shared" si="33"/>
        <v>5.2484064564717325E-3</v>
      </c>
    </row>
    <row r="2213" spans="1:7">
      <c r="A2213" s="54">
        <v>63.943800000000003</v>
      </c>
      <c r="B2213" s="54">
        <v>63.966799999999999</v>
      </c>
      <c r="C2213" s="54">
        <v>63.231299999999997</v>
      </c>
      <c r="D2213" s="54">
        <v>63.697099999999999</v>
      </c>
      <c r="E2213" s="54">
        <v>48345085</v>
      </c>
      <c r="F2213" s="54" t="s">
        <v>3031</v>
      </c>
      <c r="G2213" s="25">
        <f t="shared" si="33"/>
        <v>3.8730177668999666E-3</v>
      </c>
    </row>
    <row r="2214" spans="1:7">
      <c r="A2214" s="54">
        <v>63.852400000000003</v>
      </c>
      <c r="B2214" s="54">
        <v>64.135599999999997</v>
      </c>
      <c r="C2214" s="54">
        <v>62.8476</v>
      </c>
      <c r="D2214" s="54">
        <v>63.276899999999998</v>
      </c>
      <c r="E2214" s="54">
        <v>26068709</v>
      </c>
      <c r="F2214" s="54" t="s">
        <v>3032</v>
      </c>
      <c r="G2214" s="25">
        <f t="shared" si="33"/>
        <v>9.0949461809919363E-3</v>
      </c>
    </row>
    <row r="2215" spans="1:7">
      <c r="A2215" s="54">
        <v>64.190399999999997</v>
      </c>
      <c r="B2215" s="54">
        <v>64.948599999999999</v>
      </c>
      <c r="C2215" s="54">
        <v>63.423099999999998</v>
      </c>
      <c r="D2215" s="54">
        <v>64.775000000000006</v>
      </c>
      <c r="E2215" s="54">
        <v>25510685</v>
      </c>
      <c r="F2215" s="54" t="s">
        <v>3033</v>
      </c>
      <c r="G2215" s="25">
        <f t="shared" si="33"/>
        <v>-9.0250868390584493E-3</v>
      </c>
    </row>
    <row r="2216" spans="1:7">
      <c r="A2216" s="54">
        <v>64.537499999999994</v>
      </c>
      <c r="B2216" s="54">
        <v>64.692800000000005</v>
      </c>
      <c r="C2216" s="54">
        <v>63.907200000000003</v>
      </c>
      <c r="D2216" s="54">
        <v>63.962000000000003</v>
      </c>
      <c r="E2216" s="54">
        <v>25258614</v>
      </c>
      <c r="F2216" s="54" t="s">
        <v>3034</v>
      </c>
      <c r="G2216" s="25">
        <f t="shared" si="33"/>
        <v>8.9975297833086998E-3</v>
      </c>
    </row>
    <row r="2217" spans="1:7">
      <c r="A2217" s="54">
        <v>63.742800000000003</v>
      </c>
      <c r="B2217" s="54">
        <v>63.889000000000003</v>
      </c>
      <c r="C2217" s="54">
        <v>62.235599999999998</v>
      </c>
      <c r="D2217" s="54">
        <v>63.258699999999997</v>
      </c>
      <c r="E2217" s="54">
        <v>47761743</v>
      </c>
      <c r="F2217" s="54" t="s">
        <v>3035</v>
      </c>
      <c r="G2217" s="25">
        <f t="shared" si="33"/>
        <v>7.6527023160450902E-3</v>
      </c>
    </row>
    <row r="2218" spans="1:7">
      <c r="A2218" s="54">
        <v>64.236099999999993</v>
      </c>
      <c r="B2218" s="54">
        <v>65.843800000000002</v>
      </c>
      <c r="C2218" s="54">
        <v>62.655799999999999</v>
      </c>
      <c r="D2218" s="54">
        <v>65.802700000000002</v>
      </c>
      <c r="E2218" s="54">
        <v>49187396</v>
      </c>
      <c r="F2218" s="54" t="s">
        <v>3036</v>
      </c>
      <c r="G2218" s="25">
        <f t="shared" si="33"/>
        <v>-2.3807533733418373E-2</v>
      </c>
    </row>
    <row r="2219" spans="1:7">
      <c r="A2219" s="54">
        <v>65.725099999999998</v>
      </c>
      <c r="B2219" s="54">
        <v>66.245800000000003</v>
      </c>
      <c r="C2219" s="54">
        <v>65.313999999999993</v>
      </c>
      <c r="D2219" s="54">
        <v>66.236599999999996</v>
      </c>
      <c r="E2219" s="54">
        <v>24588270</v>
      </c>
      <c r="F2219" s="54" t="s">
        <v>3037</v>
      </c>
      <c r="G2219" s="25">
        <f t="shared" si="33"/>
        <v>-7.7223166648046071E-3</v>
      </c>
    </row>
    <row r="2220" spans="1:7">
      <c r="A2220" s="54">
        <v>66.126999999999995</v>
      </c>
      <c r="B2220" s="54">
        <v>66.474100000000007</v>
      </c>
      <c r="C2220" s="54">
        <v>65.725099999999998</v>
      </c>
      <c r="D2220" s="54">
        <v>66.350800000000007</v>
      </c>
      <c r="E2220" s="54">
        <v>22301765</v>
      </c>
      <c r="F2220" s="54" t="s">
        <v>3038</v>
      </c>
      <c r="G2220" s="25">
        <f t="shared" si="33"/>
        <v>-3.3729811848539626E-3</v>
      </c>
    </row>
    <row r="2221" spans="1:7">
      <c r="A2221" s="54">
        <v>66.245800000000003</v>
      </c>
      <c r="B2221" s="54">
        <v>66.337100000000007</v>
      </c>
      <c r="C2221" s="54">
        <v>66.017399999999995</v>
      </c>
      <c r="D2221" s="54">
        <v>66.044799999999995</v>
      </c>
      <c r="E2221" s="54">
        <v>31511065</v>
      </c>
      <c r="F2221" s="54" t="s">
        <v>3039</v>
      </c>
      <c r="G2221" s="25">
        <f t="shared" si="33"/>
        <v>3.043388730074259E-3</v>
      </c>
    </row>
    <row r="2222" spans="1:7">
      <c r="A2222" s="54">
        <v>66.026499999999999</v>
      </c>
      <c r="B2222" s="54">
        <v>66.583699999999993</v>
      </c>
      <c r="C2222" s="54">
        <v>65.597200000000001</v>
      </c>
      <c r="D2222" s="54">
        <v>65.743300000000005</v>
      </c>
      <c r="E2222" s="54">
        <v>33316760</v>
      </c>
      <c r="F2222" s="54" t="s">
        <v>3040</v>
      </c>
      <c r="G2222" s="25">
        <f t="shared" si="33"/>
        <v>4.3076632904035517E-3</v>
      </c>
    </row>
    <row r="2223" spans="1:7">
      <c r="A2223" s="54">
        <v>65.551500000000004</v>
      </c>
      <c r="B2223" s="54">
        <v>65.642899999999997</v>
      </c>
      <c r="C2223" s="54">
        <v>64.162999999999997</v>
      </c>
      <c r="D2223" s="54">
        <v>64.345699999999994</v>
      </c>
      <c r="E2223" s="54">
        <v>34770261</v>
      </c>
      <c r="F2223" s="54" t="s">
        <v>3041</v>
      </c>
      <c r="G2223" s="25">
        <f t="shared" si="33"/>
        <v>1.8739402943786621E-2</v>
      </c>
    </row>
    <row r="2224" spans="1:7">
      <c r="A2224" s="54">
        <v>64.0351</v>
      </c>
      <c r="B2224" s="54">
        <v>64.501000000000005</v>
      </c>
      <c r="C2224" s="54">
        <v>63.442300000000003</v>
      </c>
      <c r="D2224" s="54">
        <v>64.162999999999997</v>
      </c>
      <c r="E2224" s="54">
        <v>21603601</v>
      </c>
      <c r="F2224" s="54" t="s">
        <v>3042</v>
      </c>
      <c r="G2224" s="25">
        <f t="shared" si="33"/>
        <v>-1.9933606595701203E-3</v>
      </c>
    </row>
    <row r="2225" spans="1:7">
      <c r="A2225" s="54">
        <v>63.797600000000003</v>
      </c>
      <c r="B2225" s="54">
        <v>64.619799999999998</v>
      </c>
      <c r="C2225" s="54">
        <v>63.770200000000003</v>
      </c>
      <c r="D2225" s="54">
        <v>64.427899999999994</v>
      </c>
      <c r="E2225" s="54">
        <v>30436364</v>
      </c>
      <c r="F2225" s="54" t="s">
        <v>3043</v>
      </c>
      <c r="G2225" s="25">
        <f t="shared" si="33"/>
        <v>-9.7830287810093397E-3</v>
      </c>
    </row>
    <row r="2226" spans="1:7">
      <c r="A2226" s="54">
        <v>64.318299999999994</v>
      </c>
      <c r="B2226" s="54">
        <v>64.318299999999994</v>
      </c>
      <c r="C2226" s="54">
        <v>63.733699999999999</v>
      </c>
      <c r="D2226" s="54">
        <v>63.751899999999999</v>
      </c>
      <c r="E2226" s="54">
        <v>17072838</v>
      </c>
      <c r="F2226" s="54" t="s">
        <v>3044</v>
      </c>
      <c r="G2226" s="25">
        <f t="shared" si="33"/>
        <v>8.8844410911674832E-3</v>
      </c>
    </row>
    <row r="2227" spans="1:7">
      <c r="A2227" s="54">
        <v>63.907200000000003</v>
      </c>
      <c r="B2227" s="54">
        <v>64.1447</v>
      </c>
      <c r="C2227" s="54">
        <v>63.505299999999998</v>
      </c>
      <c r="D2227" s="54">
        <v>63.761099999999999</v>
      </c>
      <c r="E2227" s="54">
        <v>19827923</v>
      </c>
      <c r="F2227" s="54" t="s">
        <v>3045</v>
      </c>
      <c r="G2227" s="25">
        <f t="shared" si="33"/>
        <v>2.2913657386713915E-3</v>
      </c>
    </row>
    <row r="2228" spans="1:7">
      <c r="A2228" s="54">
        <v>63.596699999999998</v>
      </c>
      <c r="B2228" s="54">
        <v>63.834200000000003</v>
      </c>
      <c r="C2228" s="54">
        <v>62.948099999999997</v>
      </c>
      <c r="D2228" s="54">
        <v>63.002899999999997</v>
      </c>
      <c r="E2228" s="54">
        <v>21854095</v>
      </c>
      <c r="F2228" s="54" t="s">
        <v>3046</v>
      </c>
      <c r="G2228" s="25">
        <f t="shared" si="33"/>
        <v>9.4249629778946353E-3</v>
      </c>
    </row>
    <row r="2229" spans="1:7">
      <c r="A2229" s="54">
        <v>62.8202</v>
      </c>
      <c r="B2229" s="54">
        <v>62.920699999999997</v>
      </c>
      <c r="C2229" s="54">
        <v>62.527900000000002</v>
      </c>
      <c r="D2229" s="54">
        <v>62.911499999999997</v>
      </c>
      <c r="E2229" s="54">
        <v>14666865</v>
      </c>
      <c r="F2229" s="54" t="s">
        <v>3047</v>
      </c>
      <c r="G2229" s="25">
        <f t="shared" si="33"/>
        <v>-1.4512450029008361E-3</v>
      </c>
    </row>
    <row r="2230" spans="1:7">
      <c r="A2230" s="54">
        <v>62.738</v>
      </c>
      <c r="B2230" s="54">
        <v>62.801900000000003</v>
      </c>
      <c r="C2230" s="54">
        <v>62.463900000000002</v>
      </c>
      <c r="D2230" s="54">
        <v>62.774500000000003</v>
      </c>
      <c r="E2230" s="54">
        <v>15425824</v>
      </c>
      <c r="F2230" s="54" t="s">
        <v>3048</v>
      </c>
      <c r="G2230" s="25">
        <f t="shared" si="33"/>
        <v>-5.8144628790357533E-4</v>
      </c>
    </row>
    <row r="2231" spans="1:7">
      <c r="A2231" s="54">
        <v>62.527900000000002</v>
      </c>
      <c r="B2231" s="54">
        <v>62.573599999999999</v>
      </c>
      <c r="C2231" s="54">
        <v>61.6601</v>
      </c>
      <c r="D2231" s="54">
        <v>62.016300000000001</v>
      </c>
      <c r="E2231" s="54">
        <v>16237550</v>
      </c>
      <c r="F2231" s="54" t="s">
        <v>3049</v>
      </c>
      <c r="G2231" s="25">
        <f t="shared" si="33"/>
        <v>8.2494440977614047E-3</v>
      </c>
    </row>
    <row r="2232" spans="1:7">
      <c r="A2232" s="54">
        <v>61.833599999999997</v>
      </c>
      <c r="B2232" s="54">
        <v>62.203600000000002</v>
      </c>
      <c r="C2232" s="54">
        <v>61.5961</v>
      </c>
      <c r="D2232" s="54">
        <v>61.6601</v>
      </c>
      <c r="E2232" s="54">
        <v>26961119</v>
      </c>
      <c r="F2232" s="54" t="s">
        <v>3050</v>
      </c>
      <c r="G2232" s="25">
        <f t="shared" si="33"/>
        <v>2.8138131465891281E-3</v>
      </c>
    </row>
    <row r="2233" spans="1:7">
      <c r="A2233" s="54">
        <v>61.851900000000001</v>
      </c>
      <c r="B2233" s="54">
        <v>62.235599999999998</v>
      </c>
      <c r="C2233" s="54">
        <v>61.331200000000003</v>
      </c>
      <c r="D2233" s="54">
        <v>61.5687</v>
      </c>
      <c r="E2233" s="54">
        <v>25201274</v>
      </c>
      <c r="F2233" s="54" t="s">
        <v>3051</v>
      </c>
      <c r="G2233" s="25">
        <f t="shared" si="33"/>
        <v>4.5997398028543302E-3</v>
      </c>
    </row>
    <row r="2234" spans="1:7">
      <c r="A2234" s="54">
        <v>61.641800000000003</v>
      </c>
      <c r="B2234" s="54">
        <v>63.121600000000001</v>
      </c>
      <c r="C2234" s="54">
        <v>61.5961</v>
      </c>
      <c r="D2234" s="54">
        <v>62.9298</v>
      </c>
      <c r="E2234" s="54">
        <v>30548781</v>
      </c>
      <c r="F2234" s="54" t="s">
        <v>3052</v>
      </c>
      <c r="G2234" s="25">
        <f t="shared" si="33"/>
        <v>-2.0467250809632298E-2</v>
      </c>
    </row>
    <row r="2235" spans="1:7">
      <c r="A2235" s="54">
        <v>63.404800000000002</v>
      </c>
      <c r="B2235" s="54">
        <v>63.432200000000002</v>
      </c>
      <c r="C2235" s="54">
        <v>62.262999999999998</v>
      </c>
      <c r="D2235" s="54">
        <v>62.326900000000002</v>
      </c>
      <c r="E2235" s="54">
        <v>34956038</v>
      </c>
      <c r="F2235" s="54" t="s">
        <v>3053</v>
      </c>
      <c r="G2235" s="25">
        <f t="shared" si="33"/>
        <v>1.7294298288540011E-2</v>
      </c>
    </row>
    <row r="2236" spans="1:7">
      <c r="A2236" s="54">
        <v>62.153399999999998</v>
      </c>
      <c r="B2236" s="54">
        <v>62.198799999999999</v>
      </c>
      <c r="C2236" s="54">
        <v>61.372199999999999</v>
      </c>
      <c r="D2236" s="54">
        <v>61.89</v>
      </c>
      <c r="E2236" s="54">
        <v>31530301</v>
      </c>
      <c r="F2236" s="54" t="s">
        <v>3054</v>
      </c>
      <c r="G2236" s="25">
        <f t="shared" si="33"/>
        <v>4.2559379544353515E-3</v>
      </c>
    </row>
    <row r="2237" spans="1:7">
      <c r="A2237" s="54">
        <v>62.107900000000001</v>
      </c>
      <c r="B2237" s="54">
        <v>62.316800000000001</v>
      </c>
      <c r="C2237" s="54">
        <v>61.799100000000003</v>
      </c>
      <c r="D2237" s="54">
        <v>62.316800000000001</v>
      </c>
      <c r="E2237" s="54">
        <v>18714123</v>
      </c>
      <c r="F2237" s="54" t="s">
        <v>3055</v>
      </c>
      <c r="G2237" s="25">
        <f t="shared" si="33"/>
        <v>-3.3522260449830865E-3</v>
      </c>
    </row>
    <row r="2238" spans="1:7">
      <c r="A2238" s="54">
        <v>62.180599999999998</v>
      </c>
      <c r="B2238" s="54">
        <v>62.425800000000002</v>
      </c>
      <c r="C2238" s="54">
        <v>61.8718</v>
      </c>
      <c r="D2238" s="54">
        <v>62.089799999999997</v>
      </c>
      <c r="E2238" s="54">
        <v>28789413</v>
      </c>
      <c r="F2238" s="54" t="s">
        <v>3056</v>
      </c>
      <c r="G2238" s="25">
        <f t="shared" si="33"/>
        <v>1.4623980106234225E-3</v>
      </c>
    </row>
    <row r="2239" spans="1:7">
      <c r="A2239" s="54">
        <v>62.952599999999997</v>
      </c>
      <c r="B2239" s="54">
        <v>63.179699999999997</v>
      </c>
      <c r="C2239" s="54">
        <v>62.598399999999998</v>
      </c>
      <c r="D2239" s="54">
        <v>62.661999999999999</v>
      </c>
      <c r="E2239" s="54">
        <v>17977830</v>
      </c>
      <c r="F2239" s="54" t="s">
        <v>3057</v>
      </c>
      <c r="G2239" s="25">
        <f t="shared" si="33"/>
        <v>4.6375793942101673E-3</v>
      </c>
    </row>
    <row r="2240" spans="1:7">
      <c r="A2240" s="54">
        <v>62.7074</v>
      </c>
      <c r="B2240" s="54">
        <v>62.925400000000003</v>
      </c>
      <c r="C2240" s="54">
        <v>62.380400000000002</v>
      </c>
      <c r="D2240" s="54">
        <v>62.543900000000001</v>
      </c>
      <c r="E2240" s="54">
        <v>22858414</v>
      </c>
      <c r="F2240" s="54" t="s">
        <v>3058</v>
      </c>
      <c r="G2240" s="25">
        <f t="shared" si="33"/>
        <v>2.6141638113388321E-3</v>
      </c>
    </row>
    <row r="2241" spans="1:7">
      <c r="A2241" s="54">
        <v>62.616599999999998</v>
      </c>
      <c r="B2241" s="54">
        <v>62.716500000000003</v>
      </c>
      <c r="C2241" s="54">
        <v>62.144300000000001</v>
      </c>
      <c r="D2241" s="54">
        <v>62.643799999999999</v>
      </c>
      <c r="E2241" s="54">
        <v>18566087</v>
      </c>
      <c r="F2241" s="54" t="s">
        <v>3059</v>
      </c>
      <c r="G2241" s="25">
        <f t="shared" si="33"/>
        <v>-4.342009903613997E-4</v>
      </c>
    </row>
    <row r="2242" spans="1:7">
      <c r="A2242" s="54">
        <v>62.671100000000003</v>
      </c>
      <c r="B2242" s="54">
        <v>62.698300000000003</v>
      </c>
      <c r="C2242" s="54">
        <v>62.203299999999999</v>
      </c>
      <c r="D2242" s="54">
        <v>62.580199999999998</v>
      </c>
      <c r="E2242" s="54">
        <v>19128782</v>
      </c>
      <c r="F2242" s="54" t="s">
        <v>3060</v>
      </c>
      <c r="G2242" s="25">
        <f t="shared" si="33"/>
        <v>1.4525361056691999E-3</v>
      </c>
    </row>
    <row r="2243" spans="1:7">
      <c r="A2243" s="54">
        <v>62.4985</v>
      </c>
      <c r="B2243" s="54">
        <v>62.743699999999997</v>
      </c>
      <c r="C2243" s="54">
        <v>62.344099999999997</v>
      </c>
      <c r="D2243" s="54">
        <v>62.698300000000003</v>
      </c>
      <c r="E2243" s="54">
        <v>21749409</v>
      </c>
      <c r="F2243" s="54" t="s">
        <v>3061</v>
      </c>
      <c r="G2243" s="25">
        <f t="shared" si="33"/>
        <v>-3.1866892722769435E-3</v>
      </c>
    </row>
    <row r="2244" spans="1:7">
      <c r="A2244" s="54">
        <v>62.743699999999997</v>
      </c>
      <c r="B2244" s="54">
        <v>63.016199999999998</v>
      </c>
      <c r="C2244" s="54">
        <v>62.407699999999998</v>
      </c>
      <c r="D2244" s="54">
        <v>63.016199999999998</v>
      </c>
      <c r="E2244" s="54">
        <v>28927973</v>
      </c>
      <c r="F2244" s="54" t="s">
        <v>3062</v>
      </c>
      <c r="G2244" s="25">
        <f t="shared" si="33"/>
        <v>-4.3242848664312161E-3</v>
      </c>
    </row>
    <row r="2245" spans="1:7">
      <c r="A2245" s="54">
        <v>62.943600000000004</v>
      </c>
      <c r="B2245" s="54">
        <v>63.315899999999999</v>
      </c>
      <c r="C2245" s="54">
        <v>62.789099999999998</v>
      </c>
      <c r="D2245" s="54">
        <v>63.315899999999999</v>
      </c>
      <c r="E2245" s="54">
        <v>23906119</v>
      </c>
      <c r="F2245" s="54" t="s">
        <v>3063</v>
      </c>
      <c r="G2245" s="25">
        <f t="shared" si="33"/>
        <v>-5.8800396109033315E-3</v>
      </c>
    </row>
    <row r="2246" spans="1:7">
      <c r="A2246" s="54">
        <v>63.043500000000002</v>
      </c>
      <c r="B2246" s="54">
        <v>63.1706</v>
      </c>
      <c r="C2246" s="54">
        <v>62.216900000000003</v>
      </c>
      <c r="D2246" s="54">
        <v>62.380400000000002</v>
      </c>
      <c r="E2246" s="54">
        <v>31954362</v>
      </c>
      <c r="F2246" s="54" t="s">
        <v>3064</v>
      </c>
      <c r="G2246" s="25">
        <f t="shared" si="33"/>
        <v>1.0629941455970071E-2</v>
      </c>
    </row>
    <row r="2247" spans="1:7">
      <c r="A2247" s="54">
        <v>62.180599999999998</v>
      </c>
      <c r="B2247" s="54">
        <v>62.798200000000001</v>
      </c>
      <c r="C2247" s="54">
        <v>61.481200000000001</v>
      </c>
      <c r="D2247" s="54">
        <v>62.589300000000001</v>
      </c>
      <c r="E2247" s="54">
        <v>39548818</v>
      </c>
      <c r="F2247" s="54" t="s">
        <v>3065</v>
      </c>
      <c r="G2247" s="25">
        <f t="shared" si="33"/>
        <v>-6.5298701215703581E-3</v>
      </c>
    </row>
    <row r="2248" spans="1:7">
      <c r="A2248" s="54">
        <v>62.008000000000003</v>
      </c>
      <c r="B2248" s="54">
        <v>62.107900000000001</v>
      </c>
      <c r="C2248" s="54">
        <v>61.381300000000003</v>
      </c>
      <c r="D2248" s="54">
        <v>61.899000000000001</v>
      </c>
      <c r="E2248" s="54">
        <v>34970953</v>
      </c>
      <c r="F2248" s="54" t="s">
        <v>3066</v>
      </c>
      <c r="G2248" s="25">
        <f t="shared" si="33"/>
        <v>1.7609331330070699E-3</v>
      </c>
    </row>
    <row r="2249" spans="1:7">
      <c r="A2249" s="54">
        <v>61.608400000000003</v>
      </c>
      <c r="B2249" s="54">
        <v>62.044400000000003</v>
      </c>
      <c r="C2249" s="54">
        <v>61.4176</v>
      </c>
      <c r="D2249" s="54">
        <v>61.835500000000003</v>
      </c>
      <c r="E2249" s="54">
        <v>26190770</v>
      </c>
      <c r="F2249" s="54" t="s">
        <v>3067</v>
      </c>
      <c r="G2249" s="25">
        <f t="shared" si="33"/>
        <v>-3.6726475891680765E-3</v>
      </c>
    </row>
    <row r="2250" spans="1:7">
      <c r="A2250" s="54">
        <v>61.690100000000001</v>
      </c>
      <c r="B2250" s="54">
        <v>61.799100000000003</v>
      </c>
      <c r="C2250" s="54">
        <v>61.399500000000003</v>
      </c>
      <c r="D2250" s="54">
        <v>61.671999999999997</v>
      </c>
      <c r="E2250" s="54">
        <v>30242730</v>
      </c>
      <c r="F2250" s="54" t="s">
        <v>3068</v>
      </c>
      <c r="G2250" s="25">
        <f t="shared" si="33"/>
        <v>2.934881307563586E-4</v>
      </c>
    </row>
    <row r="2251" spans="1:7">
      <c r="A2251" s="54">
        <v>61.335900000000002</v>
      </c>
      <c r="B2251" s="54">
        <v>61.454000000000001</v>
      </c>
      <c r="C2251" s="54">
        <v>60.945300000000003</v>
      </c>
      <c r="D2251" s="54">
        <v>61.290500000000002</v>
      </c>
      <c r="E2251" s="54">
        <v>29769976</v>
      </c>
      <c r="F2251" s="54" t="s">
        <v>3069</v>
      </c>
      <c r="G2251" s="25">
        <f t="shared" si="33"/>
        <v>7.4073469787316881E-4</v>
      </c>
    </row>
    <row r="2252" spans="1:7">
      <c r="A2252" s="54">
        <v>60.3095</v>
      </c>
      <c r="B2252" s="54">
        <v>60.582000000000001</v>
      </c>
      <c r="C2252" s="54">
        <v>59.4467</v>
      </c>
      <c r="D2252" s="54">
        <v>59.646500000000003</v>
      </c>
      <c r="E2252" s="54">
        <v>32522645</v>
      </c>
      <c r="F2252" s="54" t="s">
        <v>3070</v>
      </c>
      <c r="G2252" s="25">
        <f t="shared" si="33"/>
        <v>1.1115488754579017E-2</v>
      </c>
    </row>
    <row r="2253" spans="1:7">
      <c r="A2253" s="54">
        <v>59.492100000000001</v>
      </c>
      <c r="B2253" s="54">
        <v>59.719200000000001</v>
      </c>
      <c r="C2253" s="54">
        <v>59.165100000000002</v>
      </c>
      <c r="D2253" s="54">
        <v>59.455800000000004</v>
      </c>
      <c r="E2253" s="54">
        <v>22299477</v>
      </c>
      <c r="F2253" s="54" t="s">
        <v>3071</v>
      </c>
      <c r="G2253" s="25">
        <f t="shared" si="33"/>
        <v>6.1053757581253087E-4</v>
      </c>
    </row>
    <row r="2254" spans="1:7">
      <c r="A2254" s="54">
        <v>59.074300000000001</v>
      </c>
      <c r="B2254" s="54">
        <v>59.719200000000001</v>
      </c>
      <c r="C2254" s="54">
        <v>58.938099999999999</v>
      </c>
      <c r="D2254" s="54">
        <v>59.628300000000003</v>
      </c>
      <c r="E2254" s="54">
        <v>26992771</v>
      </c>
      <c r="F2254" s="54" t="s">
        <v>3072</v>
      </c>
      <c r="G2254" s="25">
        <f t="shared" si="33"/>
        <v>-9.2908903993573766E-3</v>
      </c>
    </row>
    <row r="2255" spans="1:7">
      <c r="A2255" s="54">
        <v>59.392200000000003</v>
      </c>
      <c r="B2255" s="54">
        <v>59.6828</v>
      </c>
      <c r="C2255" s="54">
        <v>59.183300000000003</v>
      </c>
      <c r="D2255" s="54">
        <v>59.337699999999998</v>
      </c>
      <c r="E2255" s="54">
        <v>15155611</v>
      </c>
      <c r="F2255" s="54" t="s">
        <v>3073</v>
      </c>
      <c r="G2255" s="25">
        <f t="shared" si="33"/>
        <v>9.1847173045134234E-4</v>
      </c>
    </row>
    <row r="2256" spans="1:7">
      <c r="A2256" s="54">
        <v>59.4739</v>
      </c>
      <c r="B2256" s="54">
        <v>59.482999999999997</v>
      </c>
      <c r="C2256" s="54">
        <v>59.046999999999997</v>
      </c>
      <c r="D2256" s="54">
        <v>59.074300000000001</v>
      </c>
      <c r="E2256" s="54">
        <v>16689265</v>
      </c>
      <c r="F2256" s="54" t="s">
        <v>3074</v>
      </c>
      <c r="G2256" s="25">
        <f t="shared" si="33"/>
        <v>6.7643628447564552E-3</v>
      </c>
    </row>
    <row r="2257" spans="1:7">
      <c r="A2257" s="54">
        <v>58.9925</v>
      </c>
      <c r="B2257" s="54">
        <v>59.819099999999999</v>
      </c>
      <c r="C2257" s="54">
        <v>58.9925</v>
      </c>
      <c r="D2257" s="54">
        <v>59.301400000000001</v>
      </c>
      <c r="E2257" s="54">
        <v>17896483</v>
      </c>
      <c r="F2257" s="54" t="s">
        <v>3075</v>
      </c>
      <c r="G2257" s="25">
        <f t="shared" si="33"/>
        <v>-5.2089832617779885E-3</v>
      </c>
    </row>
    <row r="2258" spans="1:7">
      <c r="A2258" s="54">
        <v>59.246899999999997</v>
      </c>
      <c r="B2258" s="54">
        <v>59.501199999999997</v>
      </c>
      <c r="C2258" s="54">
        <v>59.137900000000002</v>
      </c>
      <c r="D2258" s="54">
        <v>59.419400000000003</v>
      </c>
      <c r="E2258" s="54">
        <v>17108513</v>
      </c>
      <c r="F2258" s="54" t="s">
        <v>3076</v>
      </c>
      <c r="G2258" s="25">
        <f t="shared" si="33"/>
        <v>-2.9030922560646655E-3</v>
      </c>
    </row>
    <row r="2259" spans="1:7">
      <c r="A2259" s="54">
        <v>59.4739</v>
      </c>
      <c r="B2259" s="54">
        <v>59.591999999999999</v>
      </c>
      <c r="C2259" s="54">
        <v>58.901699999999998</v>
      </c>
      <c r="D2259" s="54">
        <v>59.582900000000002</v>
      </c>
      <c r="E2259" s="54">
        <v>18791533</v>
      </c>
      <c r="F2259" s="54" t="s">
        <v>3077</v>
      </c>
      <c r="G2259" s="25">
        <f t="shared" si="33"/>
        <v>-1.8293839339811324E-3</v>
      </c>
    </row>
    <row r="2260" spans="1:7">
      <c r="A2260" s="54">
        <v>59.519300000000001</v>
      </c>
      <c r="B2260" s="54">
        <v>59.782699999999998</v>
      </c>
      <c r="C2260" s="54">
        <v>59.364899999999999</v>
      </c>
      <c r="D2260" s="54">
        <v>59.591999999999999</v>
      </c>
      <c r="E2260" s="54">
        <v>17952742</v>
      </c>
      <c r="F2260" s="54" t="s">
        <v>3078</v>
      </c>
      <c r="G2260" s="25">
        <f t="shared" si="33"/>
        <v>-1.2199624110618146E-3</v>
      </c>
    </row>
    <row r="2261" spans="1:7">
      <c r="A2261" s="54">
        <v>59.6556</v>
      </c>
      <c r="B2261" s="54">
        <v>59.9099</v>
      </c>
      <c r="C2261" s="54">
        <v>59.437600000000003</v>
      </c>
      <c r="D2261" s="54">
        <v>59.81</v>
      </c>
      <c r="E2261" s="54">
        <v>14108533</v>
      </c>
      <c r="F2261" s="54" t="s">
        <v>3079</v>
      </c>
      <c r="G2261" s="25">
        <f t="shared" si="33"/>
        <v>-2.5815081090119207E-3</v>
      </c>
    </row>
    <row r="2262" spans="1:7">
      <c r="A2262" s="54">
        <v>59.701000000000001</v>
      </c>
      <c r="B2262" s="54">
        <v>59.996200000000002</v>
      </c>
      <c r="C2262" s="54">
        <v>59.4739</v>
      </c>
      <c r="D2262" s="54">
        <v>59.582900000000002</v>
      </c>
      <c r="E2262" s="54">
        <v>18103453</v>
      </c>
      <c r="F2262" s="54" t="s">
        <v>3080</v>
      </c>
      <c r="G2262" s="25">
        <f t="shared" si="33"/>
        <v>1.9821123174601496E-3</v>
      </c>
    </row>
    <row r="2263" spans="1:7">
      <c r="A2263" s="54">
        <v>59.546599999999998</v>
      </c>
      <c r="B2263" s="54">
        <v>60.264099999999999</v>
      </c>
      <c r="C2263" s="54">
        <v>59.441499999999998</v>
      </c>
      <c r="D2263" s="54">
        <v>60.218699999999998</v>
      </c>
      <c r="E2263" s="54">
        <v>21448594</v>
      </c>
      <c r="F2263" s="54" t="s">
        <v>3081</v>
      </c>
      <c r="G2263" s="25">
        <f t="shared" si="33"/>
        <v>-1.1160984876790736E-2</v>
      </c>
    </row>
    <row r="2264" spans="1:7">
      <c r="A2264" s="54">
        <v>59.701000000000001</v>
      </c>
      <c r="B2264" s="54">
        <v>59.773699999999998</v>
      </c>
      <c r="C2264" s="54">
        <v>59.292299999999997</v>
      </c>
      <c r="D2264" s="54">
        <v>59.392200000000003</v>
      </c>
      <c r="E2264" s="54">
        <v>12997449</v>
      </c>
      <c r="F2264" s="54" t="s">
        <v>3082</v>
      </c>
      <c r="G2264" s="25">
        <f t="shared" ref="G2264:G2327" si="34">A2264/D2264-1</f>
        <v>5.1993359397362049E-3</v>
      </c>
    </row>
    <row r="2265" spans="1:7">
      <c r="A2265" s="54">
        <v>59.537500000000001</v>
      </c>
      <c r="B2265" s="54">
        <v>59.8917</v>
      </c>
      <c r="C2265" s="54">
        <v>59.210500000000003</v>
      </c>
      <c r="D2265" s="54">
        <v>59.773699999999998</v>
      </c>
      <c r="E2265" s="54">
        <v>20400871</v>
      </c>
      <c r="F2265" s="54" t="s">
        <v>3083</v>
      </c>
      <c r="G2265" s="25">
        <f t="shared" si="34"/>
        <v>-3.9515706740589351E-3</v>
      </c>
    </row>
    <row r="2266" spans="1:7">
      <c r="A2266" s="54">
        <v>59.819099999999999</v>
      </c>
      <c r="B2266" s="54">
        <v>60.1188</v>
      </c>
      <c r="C2266" s="54">
        <v>59.4467</v>
      </c>
      <c r="D2266" s="54">
        <v>59.628300000000003</v>
      </c>
      <c r="E2266" s="54">
        <v>21040331</v>
      </c>
      <c r="F2266" s="54" t="s">
        <v>3084</v>
      </c>
      <c r="G2266" s="25">
        <f t="shared" si="34"/>
        <v>3.1998229028833425E-3</v>
      </c>
    </row>
    <row r="2267" spans="1:7">
      <c r="A2267" s="54">
        <v>59.6828</v>
      </c>
      <c r="B2267" s="54">
        <v>59.928100000000001</v>
      </c>
      <c r="C2267" s="54">
        <v>59.364899999999999</v>
      </c>
      <c r="D2267" s="54">
        <v>59.419400000000003</v>
      </c>
      <c r="E2267" s="54">
        <v>15122823</v>
      </c>
      <c r="F2267" s="54" t="s">
        <v>3085</v>
      </c>
      <c r="G2267" s="25">
        <f t="shared" si="34"/>
        <v>4.4328956536079378E-3</v>
      </c>
    </row>
    <row r="2268" spans="1:7">
      <c r="A2268" s="54">
        <v>59.4649</v>
      </c>
      <c r="B2268" s="54">
        <v>59.492100000000001</v>
      </c>
      <c r="C2268" s="54">
        <v>58.990299999999998</v>
      </c>
      <c r="D2268" s="54">
        <v>59.146999999999998</v>
      </c>
      <c r="E2268" s="54">
        <v>13618424</v>
      </c>
      <c r="F2268" s="54" t="s">
        <v>3086</v>
      </c>
      <c r="G2268" s="25">
        <f t="shared" si="34"/>
        <v>5.3747442811977741E-3</v>
      </c>
    </row>
    <row r="2269" spans="1:7">
      <c r="A2269" s="54">
        <v>59.301400000000001</v>
      </c>
      <c r="B2269" s="54">
        <v>59.4649</v>
      </c>
      <c r="C2269" s="54">
        <v>58.720100000000002</v>
      </c>
      <c r="D2269" s="54">
        <v>59.001600000000003</v>
      </c>
      <c r="E2269" s="54">
        <v>20080358</v>
      </c>
      <c r="F2269" s="54" t="s">
        <v>3087</v>
      </c>
      <c r="G2269" s="25">
        <f t="shared" si="34"/>
        <v>5.0812181364572329E-3</v>
      </c>
    </row>
    <row r="2270" spans="1:7">
      <c r="A2270" s="54">
        <v>59.128799999999998</v>
      </c>
      <c r="B2270" s="54">
        <v>59.2378</v>
      </c>
      <c r="C2270" s="54">
        <v>58.447600000000001</v>
      </c>
      <c r="D2270" s="54">
        <v>58.701900000000002</v>
      </c>
      <c r="E2270" s="54">
        <v>18614662</v>
      </c>
      <c r="F2270" s="54" t="s">
        <v>3088</v>
      </c>
      <c r="G2270" s="25">
        <f t="shared" si="34"/>
        <v>7.2723370112379726E-3</v>
      </c>
    </row>
    <row r="2271" spans="1:7">
      <c r="A2271" s="54">
        <v>59.019799999999996</v>
      </c>
      <c r="B2271" s="54">
        <v>59.4467</v>
      </c>
      <c r="C2271" s="54">
        <v>58.82</v>
      </c>
      <c r="D2271" s="54">
        <v>59.146999999999998</v>
      </c>
      <c r="E2271" s="54">
        <v>22617105</v>
      </c>
      <c r="F2271" s="54" t="s">
        <v>3089</v>
      </c>
      <c r="G2271" s="25">
        <f t="shared" si="34"/>
        <v>-2.1505739936091839E-3</v>
      </c>
    </row>
    <row r="2272" spans="1:7">
      <c r="A2272" s="54">
        <v>58.919899999999998</v>
      </c>
      <c r="B2272" s="54">
        <v>59.251399999999997</v>
      </c>
      <c r="C2272" s="54">
        <v>58.8245</v>
      </c>
      <c r="D2272" s="54">
        <v>58.983499999999999</v>
      </c>
      <c r="E2272" s="54">
        <v>19269203</v>
      </c>
      <c r="F2272" s="54" t="s">
        <v>3090</v>
      </c>
      <c r="G2272" s="25">
        <f t="shared" si="34"/>
        <v>-1.0782676511227329E-3</v>
      </c>
    </row>
    <row r="2273" spans="1:7">
      <c r="A2273" s="54">
        <v>59.065199999999997</v>
      </c>
      <c r="B2273" s="54">
        <v>59.165100000000002</v>
      </c>
      <c r="C2273" s="54">
        <v>58.238700000000001</v>
      </c>
      <c r="D2273" s="54">
        <v>58.238700000000001</v>
      </c>
      <c r="E2273" s="54">
        <v>20680015</v>
      </c>
      <c r="F2273" s="54" t="s">
        <v>3091</v>
      </c>
      <c r="G2273" s="25">
        <f t="shared" si="34"/>
        <v>1.4191594249184813E-2</v>
      </c>
    </row>
    <row r="2274" spans="1:7">
      <c r="A2274" s="54">
        <v>58.320399999999999</v>
      </c>
      <c r="B2274" s="54">
        <v>59.492100000000001</v>
      </c>
      <c r="C2274" s="54">
        <v>58.247799999999998</v>
      </c>
      <c r="D2274" s="54">
        <v>59.210500000000003</v>
      </c>
      <c r="E2274" s="54">
        <v>26640480</v>
      </c>
      <c r="F2274" s="54" t="s">
        <v>3092</v>
      </c>
      <c r="G2274" s="25">
        <f t="shared" si="34"/>
        <v>-1.5032806681247513E-2</v>
      </c>
    </row>
    <row r="2275" spans="1:7">
      <c r="A2275" s="54">
        <v>58.974400000000003</v>
      </c>
      <c r="B2275" s="54">
        <v>59.196899999999999</v>
      </c>
      <c r="C2275" s="54">
        <v>58.7836</v>
      </c>
      <c r="D2275" s="54">
        <v>58.956200000000003</v>
      </c>
      <c r="E2275" s="54">
        <v>14598083</v>
      </c>
      <c r="F2275" s="54" t="s">
        <v>3093</v>
      </c>
      <c r="G2275" s="25">
        <f t="shared" si="34"/>
        <v>3.0870374956326607E-4</v>
      </c>
    </row>
    <row r="2276" spans="1:7">
      <c r="A2276" s="54">
        <v>58.919899999999998</v>
      </c>
      <c r="B2276" s="54">
        <v>59.255899999999997</v>
      </c>
      <c r="C2276" s="54">
        <v>58.747300000000003</v>
      </c>
      <c r="D2276" s="54">
        <v>58.956200000000003</v>
      </c>
      <c r="E2276" s="54">
        <v>49219686</v>
      </c>
      <c r="F2276" s="54" t="s">
        <v>3094</v>
      </c>
      <c r="G2276" s="25">
        <f t="shared" si="34"/>
        <v>-6.1571132467841405E-4</v>
      </c>
    </row>
    <row r="2277" spans="1:7">
      <c r="A2277" s="54">
        <v>58.710999999999999</v>
      </c>
      <c r="B2277" s="54">
        <v>58.82</v>
      </c>
      <c r="C2277" s="54">
        <v>58.402200000000001</v>
      </c>
      <c r="D2277" s="54">
        <v>58.810899999999997</v>
      </c>
      <c r="E2277" s="54">
        <v>20674296</v>
      </c>
      <c r="F2277" s="54" t="s">
        <v>3095</v>
      </c>
      <c r="G2277" s="25">
        <f t="shared" si="34"/>
        <v>-1.6986647033118141E-3</v>
      </c>
    </row>
    <row r="2278" spans="1:7">
      <c r="A2278" s="54">
        <v>58.810899999999997</v>
      </c>
      <c r="B2278" s="54">
        <v>58.965299999999999</v>
      </c>
      <c r="C2278" s="54">
        <v>58.3568</v>
      </c>
      <c r="D2278" s="54">
        <v>58.629199999999997</v>
      </c>
      <c r="E2278" s="54">
        <v>24833810</v>
      </c>
      <c r="F2278" s="54" t="s">
        <v>3096</v>
      </c>
      <c r="G2278" s="25">
        <f t="shared" si="34"/>
        <v>3.0991383133318617E-3</v>
      </c>
    </row>
    <row r="2279" spans="1:7">
      <c r="A2279" s="54">
        <v>58.502099999999999</v>
      </c>
      <c r="B2279" s="54">
        <v>58.629199999999997</v>
      </c>
      <c r="C2279" s="54">
        <v>58.265900000000002</v>
      </c>
      <c r="D2279" s="54">
        <v>58.6111</v>
      </c>
      <c r="E2279" s="54">
        <v>14280202</v>
      </c>
      <c r="F2279" s="54" t="s">
        <v>3097</v>
      </c>
      <c r="G2279" s="25">
        <f t="shared" si="34"/>
        <v>-1.8597159923632312E-3</v>
      </c>
    </row>
    <row r="2280" spans="1:7">
      <c r="A2280" s="54">
        <v>58.7746</v>
      </c>
      <c r="B2280" s="54">
        <v>59.2151</v>
      </c>
      <c r="C2280" s="54">
        <v>58.647399999999998</v>
      </c>
      <c r="D2280" s="54">
        <v>59.046999999999997</v>
      </c>
      <c r="E2280" s="54">
        <v>20100035</v>
      </c>
      <c r="F2280" s="54" t="s">
        <v>3098</v>
      </c>
      <c r="G2280" s="25">
        <f t="shared" si="34"/>
        <v>-4.6132741714227654E-3</v>
      </c>
    </row>
    <row r="2281" spans="1:7">
      <c r="A2281" s="54">
        <v>58.974400000000003</v>
      </c>
      <c r="B2281" s="54">
        <v>59.274099999999997</v>
      </c>
      <c r="C2281" s="54">
        <v>58.810899999999997</v>
      </c>
      <c r="D2281" s="54">
        <v>59.137900000000002</v>
      </c>
      <c r="E2281" s="54">
        <v>19538245</v>
      </c>
      <c r="F2281" s="54" t="s">
        <v>3099</v>
      </c>
      <c r="G2281" s="25">
        <f t="shared" si="34"/>
        <v>-2.7647244829457351E-3</v>
      </c>
    </row>
    <row r="2282" spans="1:7">
      <c r="A2282" s="54">
        <v>58.792700000000004</v>
      </c>
      <c r="B2282" s="54">
        <v>59.2196</v>
      </c>
      <c r="C2282" s="54">
        <v>58.5657</v>
      </c>
      <c r="D2282" s="54">
        <v>59.210500000000003</v>
      </c>
      <c r="E2282" s="54">
        <v>19846832</v>
      </c>
      <c r="F2282" s="54" t="s">
        <v>3100</v>
      </c>
      <c r="G2282" s="25">
        <f t="shared" si="34"/>
        <v>-7.0561809138581788E-3</v>
      </c>
    </row>
    <row r="2283" spans="1:7">
      <c r="A2283" s="54">
        <v>59.0289</v>
      </c>
      <c r="B2283" s="54">
        <v>59.115200000000002</v>
      </c>
      <c r="C2283" s="54">
        <v>58.3568</v>
      </c>
      <c r="D2283" s="54">
        <v>58.3658</v>
      </c>
      <c r="E2283" s="54">
        <v>21510907</v>
      </c>
      <c r="F2283" s="54" t="s">
        <v>3101</v>
      </c>
      <c r="G2283" s="25">
        <f t="shared" si="34"/>
        <v>1.1361105304818819E-2</v>
      </c>
    </row>
    <row r="2284" spans="1:7">
      <c r="A2284" s="54">
        <v>58.493000000000002</v>
      </c>
      <c r="B2284" s="54">
        <v>58.833599999999997</v>
      </c>
      <c r="C2284" s="54">
        <v>58.302300000000002</v>
      </c>
      <c r="D2284" s="54">
        <v>58.302300000000002</v>
      </c>
      <c r="E2284" s="54">
        <v>18520987</v>
      </c>
      <c r="F2284" s="54" t="s">
        <v>3102</v>
      </c>
      <c r="G2284" s="25">
        <f t="shared" si="34"/>
        <v>3.2708829668812722E-3</v>
      </c>
    </row>
    <row r="2285" spans="1:7">
      <c r="A2285" s="54">
        <v>58.374899999999997</v>
      </c>
      <c r="B2285" s="54">
        <v>58.638300000000001</v>
      </c>
      <c r="C2285" s="54">
        <v>57.957099999999997</v>
      </c>
      <c r="D2285" s="54">
        <v>58.102400000000003</v>
      </c>
      <c r="E2285" s="54">
        <v>18750255</v>
      </c>
      <c r="F2285" s="54" t="s">
        <v>3103</v>
      </c>
      <c r="G2285" s="25">
        <f t="shared" si="34"/>
        <v>4.6899955939856408E-3</v>
      </c>
    </row>
    <row r="2286" spans="1:7">
      <c r="A2286" s="54">
        <v>58.3568</v>
      </c>
      <c r="B2286" s="54">
        <v>58.384</v>
      </c>
      <c r="C2286" s="54">
        <v>57.784500000000001</v>
      </c>
      <c r="D2286" s="54">
        <v>58.120600000000003</v>
      </c>
      <c r="E2286" s="54">
        <v>18139405</v>
      </c>
      <c r="F2286" s="54" t="s">
        <v>3104</v>
      </c>
      <c r="G2286" s="25">
        <f t="shared" si="34"/>
        <v>4.0639635516495076E-3</v>
      </c>
    </row>
    <row r="2287" spans="1:7">
      <c r="A2287" s="54">
        <v>58.138800000000003</v>
      </c>
      <c r="B2287" s="54">
        <v>58.810899999999997</v>
      </c>
      <c r="C2287" s="54">
        <v>58.020699999999998</v>
      </c>
      <c r="D2287" s="54">
        <v>58.756399999999999</v>
      </c>
      <c r="E2287" s="54">
        <v>24539597</v>
      </c>
      <c r="F2287" s="54" t="s">
        <v>3105</v>
      </c>
      <c r="G2287" s="25">
        <f t="shared" si="34"/>
        <v>-1.0511195376163185E-2</v>
      </c>
    </row>
    <row r="2288" spans="1:7">
      <c r="A2288" s="54">
        <v>58.983499999999999</v>
      </c>
      <c r="B2288" s="54">
        <v>59.0289</v>
      </c>
      <c r="C2288" s="54">
        <v>58.149500000000003</v>
      </c>
      <c r="D2288" s="54">
        <v>58.247799999999998</v>
      </c>
      <c r="E2288" s="54">
        <v>26937459</v>
      </c>
      <c r="F2288" s="54" t="s">
        <v>3106</v>
      </c>
      <c r="G2288" s="25">
        <f t="shared" si="34"/>
        <v>1.26305199509682E-2</v>
      </c>
    </row>
    <row r="2289" spans="1:7">
      <c r="A2289" s="54">
        <v>58.111499999999999</v>
      </c>
      <c r="B2289" s="54">
        <v>58.311300000000003</v>
      </c>
      <c r="C2289" s="54">
        <v>57.911700000000003</v>
      </c>
      <c r="D2289" s="54">
        <v>58.202300000000001</v>
      </c>
      <c r="E2289" s="54">
        <v>23239825</v>
      </c>
      <c r="F2289" s="54" t="s">
        <v>3107</v>
      </c>
      <c r="G2289" s="25">
        <f t="shared" si="34"/>
        <v>-1.5600758045644092E-3</v>
      </c>
    </row>
    <row r="2290" spans="1:7">
      <c r="A2290" s="54">
        <v>58.3386</v>
      </c>
      <c r="B2290" s="54">
        <v>58.620199999999997</v>
      </c>
      <c r="C2290" s="54">
        <v>58.1706</v>
      </c>
      <c r="D2290" s="54">
        <v>58.620199999999997</v>
      </c>
      <c r="E2290" s="54">
        <v>15871507</v>
      </c>
      <c r="F2290" s="54" t="s">
        <v>3108</v>
      </c>
      <c r="G2290" s="25">
        <f t="shared" si="34"/>
        <v>-4.8038048317814441E-3</v>
      </c>
    </row>
    <row r="2291" spans="1:7">
      <c r="A2291" s="54">
        <v>58.692799999999998</v>
      </c>
      <c r="B2291" s="54">
        <v>58.856299999999997</v>
      </c>
      <c r="C2291" s="54">
        <v>58.252299999999998</v>
      </c>
      <c r="D2291" s="54">
        <v>58.6111</v>
      </c>
      <c r="E2291" s="54">
        <v>21796800</v>
      </c>
      <c r="F2291" s="54" t="s">
        <v>3109</v>
      </c>
      <c r="G2291" s="25">
        <f t="shared" si="34"/>
        <v>1.3939339135420337E-3</v>
      </c>
    </row>
    <row r="2292" spans="1:7">
      <c r="A2292" s="54">
        <v>58.692799999999998</v>
      </c>
      <c r="B2292" s="54">
        <v>58.791400000000003</v>
      </c>
      <c r="C2292" s="54">
        <v>58.306800000000003</v>
      </c>
      <c r="D2292" s="54">
        <v>58.511200000000002</v>
      </c>
      <c r="E2292" s="54">
        <v>20273128</v>
      </c>
      <c r="F2292" s="54" t="s">
        <v>3110</v>
      </c>
      <c r="G2292" s="25">
        <f t="shared" si="34"/>
        <v>3.1036792955878578E-3</v>
      </c>
    </row>
    <row r="2293" spans="1:7">
      <c r="A2293" s="54">
        <v>58.456699999999998</v>
      </c>
      <c r="B2293" s="54">
        <v>58.483899999999998</v>
      </c>
      <c r="C2293" s="54">
        <v>58.1751</v>
      </c>
      <c r="D2293" s="54">
        <v>58.429400000000001</v>
      </c>
      <c r="E2293" s="54">
        <v>19292651</v>
      </c>
      <c r="F2293" s="54" t="s">
        <v>3111</v>
      </c>
      <c r="G2293" s="25">
        <f t="shared" si="34"/>
        <v>4.6723053805108883E-4</v>
      </c>
    </row>
    <row r="2294" spans="1:7">
      <c r="A2294" s="54">
        <v>58.5747</v>
      </c>
      <c r="B2294" s="54">
        <v>58.9925</v>
      </c>
      <c r="C2294" s="54">
        <v>58.538400000000003</v>
      </c>
      <c r="D2294" s="54">
        <v>58.683700000000002</v>
      </c>
      <c r="E2294" s="54">
        <v>20655869</v>
      </c>
      <c r="F2294" s="54" t="s">
        <v>3112</v>
      </c>
      <c r="G2294" s="25">
        <f t="shared" si="34"/>
        <v>-1.8574152618189288E-3</v>
      </c>
    </row>
    <row r="2295" spans="1:7">
      <c r="A2295" s="54">
        <v>58.692799999999998</v>
      </c>
      <c r="B2295" s="54">
        <v>58.756399999999999</v>
      </c>
      <c r="C2295" s="54">
        <v>58.402200000000001</v>
      </c>
      <c r="D2295" s="54">
        <v>58.556600000000003</v>
      </c>
      <c r="E2295" s="54">
        <v>21248818</v>
      </c>
      <c r="F2295" s="54" t="s">
        <v>3113</v>
      </c>
      <c r="G2295" s="25">
        <f t="shared" si="34"/>
        <v>2.3259547173162254E-3</v>
      </c>
    </row>
    <row r="2296" spans="1:7">
      <c r="A2296" s="54">
        <v>58.601999999999997</v>
      </c>
      <c r="B2296" s="54">
        <v>59.255899999999997</v>
      </c>
      <c r="C2296" s="54">
        <v>58.529299999999999</v>
      </c>
      <c r="D2296" s="54">
        <v>58.8018</v>
      </c>
      <c r="E2296" s="54">
        <v>20546345</v>
      </c>
      <c r="F2296" s="54" t="s">
        <v>3114</v>
      </c>
      <c r="G2296" s="25">
        <f t="shared" si="34"/>
        <v>-3.397855167698971E-3</v>
      </c>
    </row>
    <row r="2297" spans="1:7">
      <c r="A2297" s="54">
        <v>58.6111</v>
      </c>
      <c r="B2297" s="54">
        <v>58.647399999999998</v>
      </c>
      <c r="C2297" s="54">
        <v>58.270499999999998</v>
      </c>
      <c r="D2297" s="54">
        <v>58.583799999999997</v>
      </c>
      <c r="E2297" s="54">
        <v>17005157</v>
      </c>
      <c r="F2297" s="54" t="s">
        <v>3115</v>
      </c>
      <c r="G2297" s="25">
        <f t="shared" si="34"/>
        <v>4.6599913286615724E-4</v>
      </c>
    </row>
    <row r="2298" spans="1:7">
      <c r="A2298" s="54">
        <v>58.647399999999998</v>
      </c>
      <c r="B2298" s="54">
        <v>58.7836</v>
      </c>
      <c r="C2298" s="54">
        <v>58.1479</v>
      </c>
      <c r="D2298" s="54">
        <v>58.502099999999999</v>
      </c>
      <c r="E2298" s="54">
        <v>23108426</v>
      </c>
      <c r="F2298" s="54" t="s">
        <v>3116</v>
      </c>
      <c r="G2298" s="25">
        <f t="shared" si="34"/>
        <v>2.4836715263212295E-3</v>
      </c>
    </row>
    <row r="2299" spans="1:7">
      <c r="A2299" s="54">
        <v>58.429400000000001</v>
      </c>
      <c r="B2299" s="54">
        <v>58.555799999999998</v>
      </c>
      <c r="C2299" s="54">
        <v>57.896799999999999</v>
      </c>
      <c r="D2299" s="54">
        <v>57.996099999999998</v>
      </c>
      <c r="E2299" s="54">
        <v>22920101</v>
      </c>
      <c r="F2299" s="54" t="s">
        <v>3117</v>
      </c>
      <c r="G2299" s="25">
        <f t="shared" si="34"/>
        <v>7.4711920284296074E-3</v>
      </c>
    </row>
    <row r="2300" spans="1:7">
      <c r="A2300" s="54">
        <v>57.779400000000003</v>
      </c>
      <c r="B2300" s="54">
        <v>58.050199999999997</v>
      </c>
      <c r="C2300" s="54">
        <v>57.756799999999998</v>
      </c>
      <c r="D2300" s="54">
        <v>58.005099999999999</v>
      </c>
      <c r="E2300" s="54">
        <v>18170729</v>
      </c>
      <c r="F2300" s="54" t="s">
        <v>3118</v>
      </c>
      <c r="G2300" s="25">
        <f t="shared" si="34"/>
        <v>-3.8910371674214517E-3</v>
      </c>
    </row>
    <row r="2301" spans="1:7">
      <c r="A2301" s="54">
        <v>57.833599999999997</v>
      </c>
      <c r="B2301" s="54">
        <v>58.1721</v>
      </c>
      <c r="C2301" s="54">
        <v>57.165500000000002</v>
      </c>
      <c r="D2301" s="54">
        <v>57.3461</v>
      </c>
      <c r="E2301" s="54">
        <v>22644443</v>
      </c>
      <c r="F2301" s="54" t="s">
        <v>3119</v>
      </c>
      <c r="G2301" s="25">
        <f t="shared" si="34"/>
        <v>8.5010140183900962E-3</v>
      </c>
    </row>
    <row r="2302" spans="1:7">
      <c r="A2302" s="54">
        <v>57.183500000000002</v>
      </c>
      <c r="B2302" s="54">
        <v>57.607900000000001</v>
      </c>
      <c r="C2302" s="54">
        <v>57.075200000000002</v>
      </c>
      <c r="D2302" s="54">
        <v>57.391199999999998</v>
      </c>
      <c r="E2302" s="54">
        <v>18096358</v>
      </c>
      <c r="F2302" s="54" t="s">
        <v>3120</v>
      </c>
      <c r="G2302" s="25">
        <f t="shared" si="34"/>
        <v>-3.6190217315545947E-3</v>
      </c>
    </row>
    <row r="2303" spans="1:7">
      <c r="A2303" s="54">
        <v>57.264800000000001</v>
      </c>
      <c r="B2303" s="54">
        <v>57.580800000000004</v>
      </c>
      <c r="C2303" s="54">
        <v>57.084200000000003</v>
      </c>
      <c r="D2303" s="54">
        <v>57.544699999999999</v>
      </c>
      <c r="E2303" s="54">
        <v>20277226</v>
      </c>
      <c r="F2303" s="54" t="s">
        <v>3121</v>
      </c>
      <c r="G2303" s="25">
        <f t="shared" si="34"/>
        <v>-4.8640448208088216E-3</v>
      </c>
    </row>
    <row r="2304" spans="1:7">
      <c r="A2304" s="54">
        <v>57.4544</v>
      </c>
      <c r="B2304" s="54">
        <v>57.4634</v>
      </c>
      <c r="C2304" s="54">
        <v>57.003</v>
      </c>
      <c r="D2304" s="54">
        <v>57.328000000000003</v>
      </c>
      <c r="E2304" s="54">
        <v>19796360</v>
      </c>
      <c r="F2304" s="54" t="s">
        <v>3122</v>
      </c>
      <c r="G2304" s="25">
        <f t="shared" si="34"/>
        <v>2.2048562656991066E-3</v>
      </c>
    </row>
    <row r="2305" spans="1:7">
      <c r="A2305" s="54">
        <v>57.490499999999997</v>
      </c>
      <c r="B2305" s="54">
        <v>57.508600000000001</v>
      </c>
      <c r="C2305" s="54">
        <v>56.939799999999998</v>
      </c>
      <c r="D2305" s="54">
        <v>57.328000000000003</v>
      </c>
      <c r="E2305" s="54">
        <v>30301759</v>
      </c>
      <c r="F2305" s="54" t="s">
        <v>3123</v>
      </c>
      <c r="G2305" s="25">
        <f t="shared" si="34"/>
        <v>2.8345660061399602E-3</v>
      </c>
    </row>
    <row r="2306" spans="1:7">
      <c r="A2306" s="54">
        <v>57.030099999999997</v>
      </c>
      <c r="B2306" s="54">
        <v>57.246699999999997</v>
      </c>
      <c r="C2306" s="54">
        <v>56.6509</v>
      </c>
      <c r="D2306" s="54">
        <v>57.1023</v>
      </c>
      <c r="E2306" s="54">
        <v>45827013</v>
      </c>
      <c r="F2306" s="54" t="s">
        <v>3124</v>
      </c>
      <c r="G2306" s="25">
        <f t="shared" si="34"/>
        <v>-1.2643974060589924E-3</v>
      </c>
    </row>
    <row r="2307" spans="1:7">
      <c r="A2307" s="54">
        <v>57.400199999999998</v>
      </c>
      <c r="B2307" s="54">
        <v>58.339100000000002</v>
      </c>
      <c r="C2307" s="54">
        <v>57.300899999999999</v>
      </c>
      <c r="D2307" s="54">
        <v>58.099899999999998</v>
      </c>
      <c r="E2307" s="54">
        <v>39671528</v>
      </c>
      <c r="F2307" s="54" t="s">
        <v>3125</v>
      </c>
      <c r="G2307" s="25">
        <f t="shared" si="34"/>
        <v>-1.2043049988037846E-2</v>
      </c>
    </row>
    <row r="2308" spans="1:7">
      <c r="A2308" s="54">
        <v>58.366199999999999</v>
      </c>
      <c r="B2308" s="54">
        <v>58.817599999999999</v>
      </c>
      <c r="C2308" s="54">
        <v>58.014099999999999</v>
      </c>
      <c r="D2308" s="54">
        <v>58.555799999999998</v>
      </c>
      <c r="E2308" s="54">
        <v>25270549</v>
      </c>
      <c r="F2308" s="54" t="s">
        <v>3126</v>
      </c>
      <c r="G2308" s="25">
        <f t="shared" si="34"/>
        <v>-3.2379371471313867E-3</v>
      </c>
    </row>
    <row r="2309" spans="1:7">
      <c r="A2309" s="54">
        <v>58.799599999999998</v>
      </c>
      <c r="B2309" s="54">
        <v>59.395400000000002</v>
      </c>
      <c r="C2309" s="54">
        <v>58.501600000000003</v>
      </c>
      <c r="D2309" s="54">
        <v>59.305100000000003</v>
      </c>
      <c r="E2309" s="54">
        <v>31651445</v>
      </c>
      <c r="F2309" s="54" t="s">
        <v>3127</v>
      </c>
      <c r="G2309" s="25">
        <f t="shared" si="34"/>
        <v>-8.5237188707211198E-3</v>
      </c>
    </row>
    <row r="2310" spans="1:7">
      <c r="A2310" s="54">
        <v>59.386400000000002</v>
      </c>
      <c r="B2310" s="54">
        <v>59.503799999999998</v>
      </c>
      <c r="C2310" s="54">
        <v>58.582900000000002</v>
      </c>
      <c r="D2310" s="54">
        <v>59.034300000000002</v>
      </c>
      <c r="E2310" s="54">
        <v>44817972</v>
      </c>
      <c r="F2310" s="54" t="s">
        <v>3128</v>
      </c>
      <c r="G2310" s="25">
        <f t="shared" si="34"/>
        <v>5.9643292120004077E-3</v>
      </c>
    </row>
    <row r="2311" spans="1:7">
      <c r="A2311" s="54">
        <v>58.023200000000003</v>
      </c>
      <c r="B2311" s="54">
        <v>58.2624</v>
      </c>
      <c r="C2311" s="54">
        <v>57.373100000000001</v>
      </c>
      <c r="D2311" s="54">
        <v>57.887700000000002</v>
      </c>
      <c r="E2311" s="54">
        <v>43554645</v>
      </c>
      <c r="F2311" s="54" t="s">
        <v>3129</v>
      </c>
      <c r="G2311" s="25">
        <f t="shared" si="34"/>
        <v>2.3407390516465565E-3</v>
      </c>
    </row>
    <row r="2312" spans="1:7">
      <c r="A2312" s="54">
        <v>57.490499999999997</v>
      </c>
      <c r="B2312" s="54">
        <v>57.869700000000002</v>
      </c>
      <c r="C2312" s="54">
        <v>57.282899999999998</v>
      </c>
      <c r="D2312" s="54">
        <v>57.734299999999998</v>
      </c>
      <c r="E2312" s="54">
        <v>24654933</v>
      </c>
      <c r="F2312" s="54" t="s">
        <v>3130</v>
      </c>
      <c r="G2312" s="25">
        <f t="shared" si="34"/>
        <v>-4.2227930363752941E-3</v>
      </c>
    </row>
    <row r="2313" spans="1:7">
      <c r="A2313" s="54">
        <v>57.3461</v>
      </c>
      <c r="B2313" s="54">
        <v>57.540199999999999</v>
      </c>
      <c r="C2313" s="54">
        <v>56.822400000000002</v>
      </c>
      <c r="D2313" s="54">
        <v>57.057200000000002</v>
      </c>
      <c r="E2313" s="54">
        <v>24672940</v>
      </c>
      <c r="F2313" s="54" t="s">
        <v>3131</v>
      </c>
      <c r="G2313" s="25">
        <f t="shared" si="34"/>
        <v>5.0633399465798146E-3</v>
      </c>
    </row>
    <row r="2314" spans="1:7">
      <c r="A2314" s="54">
        <v>56.840499999999999</v>
      </c>
      <c r="B2314" s="54">
        <v>56.981200000000001</v>
      </c>
      <c r="C2314" s="54">
        <v>56.488399999999999</v>
      </c>
      <c r="D2314" s="54">
        <v>56.605800000000002</v>
      </c>
      <c r="E2314" s="54">
        <v>23097581</v>
      </c>
      <c r="F2314" s="54" t="s">
        <v>3132</v>
      </c>
      <c r="G2314" s="25">
        <f t="shared" si="34"/>
        <v>4.1462182320539664E-3</v>
      </c>
    </row>
    <row r="2315" spans="1:7">
      <c r="A2315" s="54">
        <v>56.6419</v>
      </c>
      <c r="B2315" s="54">
        <v>56.714100000000002</v>
      </c>
      <c r="C2315" s="54">
        <v>56.3078</v>
      </c>
      <c r="D2315" s="54">
        <v>56.578699999999998</v>
      </c>
      <c r="E2315" s="54">
        <v>30213462</v>
      </c>
      <c r="F2315" s="54" t="s">
        <v>3133</v>
      </c>
      <c r="G2315" s="25">
        <f t="shared" si="34"/>
        <v>1.1170281395649351E-3</v>
      </c>
    </row>
    <row r="2316" spans="1:7">
      <c r="A2316" s="54">
        <v>56.244599999999998</v>
      </c>
      <c r="B2316" s="54">
        <v>56.858499999999999</v>
      </c>
      <c r="C2316" s="54">
        <v>56.149799999999999</v>
      </c>
      <c r="D2316" s="54">
        <v>56.1905</v>
      </c>
      <c r="E2316" s="54">
        <v>18451655</v>
      </c>
      <c r="F2316" s="54" t="s">
        <v>3134</v>
      </c>
      <c r="G2316" s="25">
        <f t="shared" si="34"/>
        <v>9.6279620220496298E-4</v>
      </c>
    </row>
    <row r="2317" spans="1:7">
      <c r="A2317" s="54">
        <v>56.425199999999997</v>
      </c>
      <c r="B2317" s="54">
        <v>56.605800000000002</v>
      </c>
      <c r="C2317" s="54">
        <v>56.082099999999997</v>
      </c>
      <c r="D2317" s="54">
        <v>56.578699999999998</v>
      </c>
      <c r="E2317" s="54">
        <v>19670102</v>
      </c>
      <c r="F2317" s="54" t="s">
        <v>3135</v>
      </c>
      <c r="G2317" s="25">
        <f t="shared" si="34"/>
        <v>-2.7130351174559086E-3</v>
      </c>
    </row>
    <row r="2318" spans="1:7">
      <c r="A2318" s="54">
        <v>56.452300000000001</v>
      </c>
      <c r="B2318" s="54">
        <v>56.605800000000002</v>
      </c>
      <c r="C2318" s="54">
        <v>56.000900000000001</v>
      </c>
      <c r="D2318" s="54">
        <v>56.587699999999998</v>
      </c>
      <c r="E2318" s="54">
        <v>20663983</v>
      </c>
      <c r="F2318" s="54" t="s">
        <v>3136</v>
      </c>
      <c r="G2318" s="25">
        <f t="shared" si="34"/>
        <v>-2.3927461268083983E-3</v>
      </c>
    </row>
    <row r="2319" spans="1:7">
      <c r="A2319" s="54">
        <v>56.605800000000002</v>
      </c>
      <c r="B2319" s="54">
        <v>56.7547</v>
      </c>
      <c r="C2319" s="54">
        <v>56.2898</v>
      </c>
      <c r="D2319" s="54">
        <v>56.533499999999997</v>
      </c>
      <c r="E2319" s="54">
        <v>19422310</v>
      </c>
      <c r="F2319" s="54" t="s">
        <v>3137</v>
      </c>
      <c r="G2319" s="25">
        <f t="shared" si="34"/>
        <v>1.2788877391283204E-3</v>
      </c>
    </row>
    <row r="2320" spans="1:7">
      <c r="A2320" s="54">
        <v>56.524500000000003</v>
      </c>
      <c r="B2320" s="54">
        <v>57.237699999999997</v>
      </c>
      <c r="C2320" s="54">
        <v>55.928699999999999</v>
      </c>
      <c r="D2320" s="54">
        <v>56.930799999999998</v>
      </c>
      <c r="E2320" s="54">
        <v>20968223</v>
      </c>
      <c r="F2320" s="54" t="s">
        <v>3138</v>
      </c>
      <c r="G2320" s="25">
        <f t="shared" si="34"/>
        <v>-7.136734421437807E-3</v>
      </c>
    </row>
    <row r="2321" spans="1:7">
      <c r="A2321" s="54">
        <v>57.048099999999998</v>
      </c>
      <c r="B2321" s="54">
        <v>57.084200000000003</v>
      </c>
      <c r="C2321" s="54">
        <v>56.362000000000002</v>
      </c>
      <c r="D2321" s="54">
        <v>56.524500000000003</v>
      </c>
      <c r="E2321" s="54">
        <v>21517335</v>
      </c>
      <c r="F2321" s="54" t="s">
        <v>3139</v>
      </c>
      <c r="G2321" s="25">
        <f t="shared" si="34"/>
        <v>9.2632398340541933E-3</v>
      </c>
    </row>
    <row r="2322" spans="1:7">
      <c r="A2322" s="54">
        <v>56.533499999999997</v>
      </c>
      <c r="B2322" s="54">
        <v>56.939799999999998</v>
      </c>
      <c r="C2322" s="54">
        <v>56.226599999999998</v>
      </c>
      <c r="D2322" s="54">
        <v>56.632800000000003</v>
      </c>
      <c r="E2322" s="54">
        <v>18593004</v>
      </c>
      <c r="F2322" s="54" t="s">
        <v>3140</v>
      </c>
      <c r="G2322" s="25">
        <f t="shared" si="34"/>
        <v>-1.7534008560411429E-3</v>
      </c>
    </row>
    <row r="2323" spans="1:7">
      <c r="A2323" s="54">
        <v>56.551600000000001</v>
      </c>
      <c r="B2323" s="54">
        <v>56.948799999999999</v>
      </c>
      <c r="C2323" s="54">
        <v>56.461300000000001</v>
      </c>
      <c r="D2323" s="54">
        <v>56.6599</v>
      </c>
      <c r="E2323" s="54">
        <v>20382730</v>
      </c>
      <c r="F2323" s="54" t="s">
        <v>3141</v>
      </c>
      <c r="G2323" s="25">
        <f t="shared" si="34"/>
        <v>-1.9114047147983371E-3</v>
      </c>
    </row>
    <row r="2324" spans="1:7">
      <c r="A2324" s="54">
        <v>56.732100000000003</v>
      </c>
      <c r="B2324" s="54">
        <v>57.012</v>
      </c>
      <c r="C2324" s="54">
        <v>56.009900000000002</v>
      </c>
      <c r="D2324" s="54">
        <v>56.244599999999998</v>
      </c>
      <c r="E2324" s="54">
        <v>19922919</v>
      </c>
      <c r="F2324" s="54" t="s">
        <v>3142</v>
      </c>
      <c r="G2324" s="25">
        <f t="shared" si="34"/>
        <v>8.667498746546487E-3</v>
      </c>
    </row>
    <row r="2325" spans="1:7">
      <c r="A2325" s="54">
        <v>56.244599999999998</v>
      </c>
      <c r="B2325" s="54">
        <v>56.569600000000001</v>
      </c>
      <c r="C2325" s="54">
        <v>56.000900000000001</v>
      </c>
      <c r="D2325" s="54">
        <v>56.145299999999999</v>
      </c>
      <c r="E2325" s="54">
        <v>24875968</v>
      </c>
      <c r="F2325" s="54" t="s">
        <v>3143</v>
      </c>
      <c r="G2325" s="25">
        <f t="shared" si="34"/>
        <v>1.7686253346227421E-3</v>
      </c>
    </row>
    <row r="2326" spans="1:7">
      <c r="A2326" s="54">
        <v>56.244599999999998</v>
      </c>
      <c r="B2326" s="54">
        <v>56.6509</v>
      </c>
      <c r="C2326" s="54">
        <v>56.082099999999997</v>
      </c>
      <c r="D2326" s="54">
        <v>56.4071</v>
      </c>
      <c r="E2326" s="54">
        <v>21339969</v>
      </c>
      <c r="F2326" s="54" t="s">
        <v>3144</v>
      </c>
      <c r="G2326" s="25">
        <f t="shared" si="34"/>
        <v>-2.8808430144432462E-3</v>
      </c>
    </row>
    <row r="2327" spans="1:7">
      <c r="A2327" s="54">
        <v>56.497399999999999</v>
      </c>
      <c r="B2327" s="54">
        <v>56.732100000000003</v>
      </c>
      <c r="C2327" s="54">
        <v>56.086599999999997</v>
      </c>
      <c r="D2327" s="54">
        <v>56.686999999999998</v>
      </c>
      <c r="E2327" s="54">
        <v>20694101</v>
      </c>
      <c r="F2327" s="54" t="s">
        <v>3145</v>
      </c>
      <c r="G2327" s="25">
        <f t="shared" si="34"/>
        <v>-3.3446822022685785E-3</v>
      </c>
    </row>
    <row r="2328" spans="1:7">
      <c r="A2328" s="54">
        <v>56.100200000000001</v>
      </c>
      <c r="B2328" s="54">
        <v>56.867600000000003</v>
      </c>
      <c r="C2328" s="54">
        <v>56.000900000000001</v>
      </c>
      <c r="D2328" s="54">
        <v>56.840499999999999</v>
      </c>
      <c r="E2328" s="54">
        <v>25579908</v>
      </c>
      <c r="F2328" s="54" t="s">
        <v>3146</v>
      </c>
      <c r="G2328" s="25">
        <f t="shared" ref="G2328:G2391" si="35">A2328/D2328-1</f>
        <v>-1.3024164108338177E-2</v>
      </c>
    </row>
    <row r="2329" spans="1:7">
      <c r="A2329" s="54">
        <v>56.786299999999997</v>
      </c>
      <c r="B2329" s="54">
        <v>57.057200000000002</v>
      </c>
      <c r="C2329" s="54">
        <v>56.632800000000003</v>
      </c>
      <c r="D2329" s="54">
        <v>56.7502</v>
      </c>
      <c r="E2329" s="54">
        <v>10250582</v>
      </c>
      <c r="F2329" s="54" t="s">
        <v>3147</v>
      </c>
      <c r="G2329" s="25">
        <f t="shared" si="35"/>
        <v>6.3612110618116446E-4</v>
      </c>
    </row>
    <row r="2330" spans="1:7">
      <c r="A2330" s="54">
        <v>56.867600000000003</v>
      </c>
      <c r="B2330" s="54">
        <v>57.237699999999997</v>
      </c>
      <c r="C2330" s="54">
        <v>56.723100000000002</v>
      </c>
      <c r="D2330" s="54">
        <v>57.237699999999997</v>
      </c>
      <c r="E2330" s="54">
        <v>14653348</v>
      </c>
      <c r="F2330" s="54" t="s">
        <v>3148</v>
      </c>
      <c r="G2330" s="25">
        <f t="shared" si="35"/>
        <v>-6.4660180265803113E-3</v>
      </c>
    </row>
    <row r="2331" spans="1:7">
      <c r="A2331" s="54">
        <v>57.129399999999997</v>
      </c>
      <c r="B2331" s="54">
        <v>57.842599999999997</v>
      </c>
      <c r="C2331" s="54">
        <v>57.066200000000002</v>
      </c>
      <c r="D2331" s="54">
        <v>57.066200000000002</v>
      </c>
      <c r="E2331" s="54">
        <v>11763173</v>
      </c>
      <c r="F2331" s="54" t="s">
        <v>3149</v>
      </c>
      <c r="G2331" s="25">
        <f t="shared" si="35"/>
        <v>1.1074856920558762E-3</v>
      </c>
    </row>
    <row r="2332" spans="1:7">
      <c r="A2332" s="54">
        <v>57.093299999999999</v>
      </c>
      <c r="B2332" s="54">
        <v>57.364100000000001</v>
      </c>
      <c r="C2332" s="54">
        <v>56.695999999999998</v>
      </c>
      <c r="D2332" s="54">
        <v>57.282899999999998</v>
      </c>
      <c r="E2332" s="54">
        <v>12403819</v>
      </c>
      <c r="F2332" s="54" t="s">
        <v>3150</v>
      </c>
      <c r="G2332" s="25">
        <f t="shared" si="35"/>
        <v>-3.3098882912701022E-3</v>
      </c>
    </row>
    <row r="2333" spans="1:7">
      <c r="A2333" s="54">
        <v>57.373100000000001</v>
      </c>
      <c r="B2333" s="54">
        <v>57.869700000000002</v>
      </c>
      <c r="C2333" s="54">
        <v>57.242199999999997</v>
      </c>
      <c r="D2333" s="54">
        <v>57.634999999999998</v>
      </c>
      <c r="E2333" s="54">
        <v>22176585</v>
      </c>
      <c r="F2333" s="54" t="s">
        <v>3151</v>
      </c>
      <c r="G2333" s="25">
        <f t="shared" si="35"/>
        <v>-4.5441138197275244E-3</v>
      </c>
    </row>
    <row r="2334" spans="1:7">
      <c r="A2334" s="54">
        <v>57.364100000000001</v>
      </c>
      <c r="B2334" s="54">
        <v>57.508600000000001</v>
      </c>
      <c r="C2334" s="54">
        <v>56.984900000000003</v>
      </c>
      <c r="D2334" s="54">
        <v>57.264800000000001</v>
      </c>
      <c r="E2334" s="54">
        <v>17096304</v>
      </c>
      <c r="F2334" s="54" t="s">
        <v>3152</v>
      </c>
      <c r="G2334" s="25">
        <f t="shared" si="35"/>
        <v>1.734049538285376E-3</v>
      </c>
    </row>
    <row r="2335" spans="1:7">
      <c r="A2335" s="54">
        <v>57.364100000000001</v>
      </c>
      <c r="B2335" s="54">
        <v>57.598799999999997</v>
      </c>
      <c r="C2335" s="54">
        <v>56.8992</v>
      </c>
      <c r="D2335" s="54">
        <v>57.499499999999998</v>
      </c>
      <c r="E2335" s="54">
        <v>26028379</v>
      </c>
      <c r="F2335" s="54" t="s">
        <v>3153</v>
      </c>
      <c r="G2335" s="25">
        <f t="shared" si="35"/>
        <v>-2.3548030852441615E-3</v>
      </c>
    </row>
    <row r="2336" spans="1:7">
      <c r="A2336" s="54">
        <v>57.436300000000003</v>
      </c>
      <c r="B2336" s="54">
        <v>57.571800000000003</v>
      </c>
      <c r="C2336" s="54">
        <v>56.353000000000002</v>
      </c>
      <c r="D2336" s="54">
        <v>56.479399999999998</v>
      </c>
      <c r="E2336" s="54">
        <v>34338219</v>
      </c>
      <c r="F2336" s="54" t="s">
        <v>3154</v>
      </c>
      <c r="G2336" s="25">
        <f t="shared" si="35"/>
        <v>1.694246043690284E-2</v>
      </c>
    </row>
    <row r="2337" spans="1:7">
      <c r="A2337" s="54">
        <v>56.244599999999998</v>
      </c>
      <c r="B2337" s="54">
        <v>56.831499999999998</v>
      </c>
      <c r="C2337" s="54">
        <v>56.077599999999997</v>
      </c>
      <c r="D2337" s="54">
        <v>56.831499999999998</v>
      </c>
      <c r="E2337" s="54">
        <v>42453083</v>
      </c>
      <c r="F2337" s="54" t="s">
        <v>3155</v>
      </c>
      <c r="G2337" s="25">
        <f t="shared" si="35"/>
        <v>-1.0327019346665134E-2</v>
      </c>
    </row>
    <row r="2338" spans="1:7">
      <c r="A2338" s="54">
        <v>56.497399999999999</v>
      </c>
      <c r="B2338" s="54">
        <v>57.0152</v>
      </c>
      <c r="C2338" s="54">
        <v>56.244599999999998</v>
      </c>
      <c r="D2338" s="54">
        <v>56.605800000000002</v>
      </c>
      <c r="E2338" s="54">
        <v>27669868</v>
      </c>
      <c r="F2338" s="54" t="s">
        <v>3156</v>
      </c>
      <c r="G2338" s="25">
        <f t="shared" si="35"/>
        <v>-1.9149981097343893E-3</v>
      </c>
    </row>
    <row r="2339" spans="1:7">
      <c r="A2339" s="54">
        <v>56.587699999999998</v>
      </c>
      <c r="B2339" s="54">
        <v>57.282899999999998</v>
      </c>
      <c r="C2339" s="54">
        <v>56.452300000000001</v>
      </c>
      <c r="D2339" s="54">
        <v>56.876600000000003</v>
      </c>
      <c r="E2339" s="54">
        <v>30352654</v>
      </c>
      <c r="F2339" s="54" t="s">
        <v>3157</v>
      </c>
      <c r="G2339" s="25">
        <f t="shared" si="35"/>
        <v>-5.0794175460558977E-3</v>
      </c>
    </row>
    <row r="2340" spans="1:7">
      <c r="A2340" s="54">
        <v>56.858499999999999</v>
      </c>
      <c r="B2340" s="54">
        <v>57.255800000000001</v>
      </c>
      <c r="C2340" s="54">
        <v>56.1905</v>
      </c>
      <c r="D2340" s="54">
        <v>56.425199999999997</v>
      </c>
      <c r="E2340" s="54">
        <v>35718868</v>
      </c>
      <c r="F2340" s="54" t="s">
        <v>3158</v>
      </c>
      <c r="G2340" s="25">
        <f t="shared" si="35"/>
        <v>7.6791929846948825E-3</v>
      </c>
    </row>
    <row r="2341" spans="1:7">
      <c r="A2341" s="54">
        <v>56.127299999999998</v>
      </c>
      <c r="B2341" s="54">
        <v>56.244599999999998</v>
      </c>
      <c r="C2341" s="54">
        <v>55.720999999999997</v>
      </c>
      <c r="D2341" s="54">
        <v>55.811300000000003</v>
      </c>
      <c r="E2341" s="54">
        <v>20198081</v>
      </c>
      <c r="F2341" s="54" t="s">
        <v>3159</v>
      </c>
      <c r="G2341" s="25">
        <f t="shared" si="35"/>
        <v>5.6619358445331169E-3</v>
      </c>
    </row>
    <row r="2342" spans="1:7">
      <c r="A2342" s="54">
        <v>55.9467</v>
      </c>
      <c r="B2342" s="54">
        <v>55.964799999999997</v>
      </c>
      <c r="C2342" s="54">
        <v>55.183799999999998</v>
      </c>
      <c r="D2342" s="54">
        <v>55.233499999999999</v>
      </c>
      <c r="E2342" s="54">
        <v>27349356</v>
      </c>
      <c r="F2342" s="54" t="s">
        <v>3160</v>
      </c>
      <c r="G2342" s="25">
        <f t="shared" si="35"/>
        <v>1.2912453492898379E-2</v>
      </c>
    </row>
    <row r="2343" spans="1:7">
      <c r="A2343" s="54">
        <v>55.08</v>
      </c>
      <c r="B2343" s="54">
        <v>55.5946</v>
      </c>
      <c r="C2343" s="54">
        <v>54.926499999999997</v>
      </c>
      <c r="D2343" s="54">
        <v>55.341799999999999</v>
      </c>
      <c r="E2343" s="54">
        <v>21220753</v>
      </c>
      <c r="F2343" s="54" t="s">
        <v>3161</v>
      </c>
      <c r="G2343" s="25">
        <f t="shared" si="35"/>
        <v>-4.7306014621859571E-3</v>
      </c>
    </row>
    <row r="2344" spans="1:7">
      <c r="A2344" s="54">
        <v>55.405000000000001</v>
      </c>
      <c r="B2344" s="54">
        <v>55.414099999999998</v>
      </c>
      <c r="C2344" s="54">
        <v>53.9876</v>
      </c>
      <c r="D2344" s="54">
        <v>54.177199999999999</v>
      </c>
      <c r="E2344" s="54">
        <v>30808969</v>
      </c>
      <c r="F2344" s="54" t="s">
        <v>3162</v>
      </c>
      <c r="G2344" s="25">
        <f t="shared" si="35"/>
        <v>2.266266990542154E-2</v>
      </c>
    </row>
    <row r="2345" spans="1:7">
      <c r="A2345" s="54">
        <v>54.122999999999998</v>
      </c>
      <c r="B2345" s="54">
        <v>54.583500000000001</v>
      </c>
      <c r="C2345" s="54">
        <v>53.9876</v>
      </c>
      <c r="D2345" s="54">
        <v>54.556399999999996</v>
      </c>
      <c r="E2345" s="54">
        <v>19907035</v>
      </c>
      <c r="F2345" s="54" t="s">
        <v>3163</v>
      </c>
      <c r="G2345" s="25">
        <f t="shared" si="35"/>
        <v>-7.9440725561070735E-3</v>
      </c>
    </row>
    <row r="2346" spans="1:7">
      <c r="A2346" s="54">
        <v>54.366799999999998</v>
      </c>
      <c r="B2346" s="54">
        <v>54.696300000000001</v>
      </c>
      <c r="C2346" s="54">
        <v>53.771000000000001</v>
      </c>
      <c r="D2346" s="54">
        <v>53.897300000000001</v>
      </c>
      <c r="E2346" s="54">
        <v>23552658</v>
      </c>
      <c r="F2346" s="54" t="s">
        <v>3164</v>
      </c>
      <c r="G2346" s="25">
        <f t="shared" si="35"/>
        <v>8.7110114977928532E-3</v>
      </c>
    </row>
    <row r="2347" spans="1:7">
      <c r="A2347" s="54">
        <v>53.491100000000003</v>
      </c>
      <c r="B2347" s="54">
        <v>53.689700000000002</v>
      </c>
      <c r="C2347" s="54">
        <v>53.084800000000001</v>
      </c>
      <c r="D2347" s="54">
        <v>53.337600000000002</v>
      </c>
      <c r="E2347" s="54">
        <v>25515665</v>
      </c>
      <c r="F2347" s="54" t="s">
        <v>3165</v>
      </c>
      <c r="G2347" s="25">
        <f t="shared" si="35"/>
        <v>2.8778947684184875E-3</v>
      </c>
    </row>
    <row r="2348" spans="1:7">
      <c r="A2348" s="54">
        <v>53.445900000000002</v>
      </c>
      <c r="B2348" s="54">
        <v>54.303600000000003</v>
      </c>
      <c r="C2348" s="54">
        <v>53.206699999999998</v>
      </c>
      <c r="D2348" s="54">
        <v>54.267499999999998</v>
      </c>
      <c r="E2348" s="54">
        <v>34542121</v>
      </c>
      <c r="F2348" s="54" t="s">
        <v>3166</v>
      </c>
      <c r="G2348" s="25">
        <f t="shared" si="35"/>
        <v>-1.5139816649007209E-2</v>
      </c>
    </row>
    <row r="2349" spans="1:7">
      <c r="A2349" s="54">
        <v>54.402900000000002</v>
      </c>
      <c r="B2349" s="54">
        <v>55.233499999999999</v>
      </c>
      <c r="C2349" s="54">
        <v>54.362299999999998</v>
      </c>
      <c r="D2349" s="54">
        <v>54.944600000000001</v>
      </c>
      <c r="E2349" s="54">
        <v>34655435</v>
      </c>
      <c r="F2349" s="54" t="s">
        <v>3167</v>
      </c>
      <c r="G2349" s="25">
        <f t="shared" si="35"/>
        <v>-9.8590216326991387E-3</v>
      </c>
    </row>
    <row r="2350" spans="1:7">
      <c r="A2350" s="54">
        <v>55.152200000000001</v>
      </c>
      <c r="B2350" s="54">
        <v>55.441099999999999</v>
      </c>
      <c r="C2350" s="54">
        <v>54.637599999999999</v>
      </c>
      <c r="D2350" s="54">
        <v>54.755000000000003</v>
      </c>
      <c r="E2350" s="54">
        <v>22366721</v>
      </c>
      <c r="F2350" s="54" t="s">
        <v>3168</v>
      </c>
      <c r="G2350" s="25">
        <f t="shared" si="35"/>
        <v>7.2541320427357281E-3</v>
      </c>
    </row>
    <row r="2351" spans="1:7">
      <c r="A2351" s="54">
        <v>54.718899999999998</v>
      </c>
      <c r="B2351" s="54">
        <v>55.088999999999999</v>
      </c>
      <c r="C2351" s="54">
        <v>54.357799999999997</v>
      </c>
      <c r="D2351" s="54">
        <v>54.475099999999998</v>
      </c>
      <c r="E2351" s="54">
        <v>20732619</v>
      </c>
      <c r="F2351" s="54" t="s">
        <v>3169</v>
      </c>
      <c r="G2351" s="25">
        <f t="shared" si="35"/>
        <v>4.4754392373762553E-3</v>
      </c>
    </row>
    <row r="2352" spans="1:7">
      <c r="A2352" s="54">
        <v>54.646700000000003</v>
      </c>
      <c r="B2352" s="54">
        <v>54.646700000000003</v>
      </c>
      <c r="C2352" s="54">
        <v>54.285600000000002</v>
      </c>
      <c r="D2352" s="54">
        <v>54.439</v>
      </c>
      <c r="E2352" s="54">
        <v>8409616</v>
      </c>
      <c r="F2352" s="54" t="s">
        <v>3170</v>
      </c>
      <c r="G2352" s="25">
        <f t="shared" si="35"/>
        <v>3.8152794871324502E-3</v>
      </c>
    </row>
    <row r="2353" spans="1:7">
      <c r="A2353" s="54">
        <v>54.529299999999999</v>
      </c>
      <c r="B2353" s="54">
        <v>55.161299999999997</v>
      </c>
      <c r="C2353" s="54">
        <v>54.393900000000002</v>
      </c>
      <c r="D2353" s="54">
        <v>55.08</v>
      </c>
      <c r="E2353" s="54">
        <v>21848913</v>
      </c>
      <c r="F2353" s="54" t="s">
        <v>3171</v>
      </c>
      <c r="G2353" s="25">
        <f t="shared" si="35"/>
        <v>-9.9981844589687174E-3</v>
      </c>
    </row>
    <row r="2354" spans="1:7">
      <c r="A2354" s="54">
        <v>55.179299999999998</v>
      </c>
      <c r="B2354" s="54">
        <v>55.305700000000002</v>
      </c>
      <c r="C2354" s="54">
        <v>54.8949</v>
      </c>
      <c r="D2354" s="54">
        <v>55.052900000000001</v>
      </c>
      <c r="E2354" s="54">
        <v>23206700</v>
      </c>
      <c r="F2354" s="54" t="s">
        <v>3172</v>
      </c>
      <c r="G2354" s="25">
        <f t="shared" si="35"/>
        <v>2.2959735091157008E-3</v>
      </c>
    </row>
    <row r="2355" spans="1:7">
      <c r="A2355" s="54">
        <v>54.944600000000001</v>
      </c>
      <c r="B2355" s="54">
        <v>55.043900000000001</v>
      </c>
      <c r="C2355" s="54">
        <v>54.547400000000003</v>
      </c>
      <c r="D2355" s="54">
        <v>54.619599999999998</v>
      </c>
      <c r="E2355" s="54">
        <v>19652595</v>
      </c>
      <c r="F2355" s="54" t="s">
        <v>3173</v>
      </c>
      <c r="G2355" s="25">
        <f t="shared" si="35"/>
        <v>5.9502449670081337E-3</v>
      </c>
    </row>
    <row r="2356" spans="1:7">
      <c r="A2356" s="54">
        <v>54.484200000000001</v>
      </c>
      <c r="B2356" s="54">
        <v>55.197400000000002</v>
      </c>
      <c r="C2356" s="54">
        <v>54.439</v>
      </c>
      <c r="D2356" s="54">
        <v>54.872399999999999</v>
      </c>
      <c r="E2356" s="54">
        <v>27686311</v>
      </c>
      <c r="F2356" s="54" t="s">
        <v>3174</v>
      </c>
      <c r="G2356" s="25">
        <f t="shared" si="35"/>
        <v>-7.0745948782994228E-3</v>
      </c>
    </row>
    <row r="2357" spans="1:7">
      <c r="A2357" s="54">
        <v>54.746000000000002</v>
      </c>
      <c r="B2357" s="54">
        <v>55.0259</v>
      </c>
      <c r="C2357" s="54">
        <v>54.136600000000001</v>
      </c>
      <c r="D2357" s="54">
        <v>54.5383</v>
      </c>
      <c r="E2357" s="54">
        <v>32132728</v>
      </c>
      <c r="F2357" s="54" t="s">
        <v>3175</v>
      </c>
      <c r="G2357" s="25">
        <f t="shared" si="35"/>
        <v>3.8083328596600907E-3</v>
      </c>
    </row>
    <row r="2358" spans="1:7">
      <c r="A2358" s="54">
        <v>53.852200000000003</v>
      </c>
      <c r="B2358" s="54">
        <v>53.861199999999997</v>
      </c>
      <c r="C2358" s="54">
        <v>53.093899999999998</v>
      </c>
      <c r="D2358" s="54">
        <v>53.211199999999998</v>
      </c>
      <c r="E2358" s="54">
        <v>27332475</v>
      </c>
      <c r="F2358" s="54" t="s">
        <v>3176</v>
      </c>
      <c r="G2358" s="25">
        <f t="shared" si="35"/>
        <v>1.2046336109691191E-2</v>
      </c>
    </row>
    <row r="2359" spans="1:7">
      <c r="A2359" s="54">
        <v>53.148000000000003</v>
      </c>
      <c r="B2359" s="54">
        <v>53.707799999999999</v>
      </c>
      <c r="C2359" s="54">
        <v>52.646999999999998</v>
      </c>
      <c r="D2359" s="54">
        <v>52.660499999999999</v>
      </c>
      <c r="E2359" s="54">
        <v>35904126</v>
      </c>
      <c r="F2359" s="54" t="s">
        <v>3177</v>
      </c>
      <c r="G2359" s="25">
        <f t="shared" si="35"/>
        <v>9.2574130515281627E-3</v>
      </c>
    </row>
    <row r="2360" spans="1:7">
      <c r="A2360" s="54">
        <v>52.1188</v>
      </c>
      <c r="B2360" s="54">
        <v>52.979700000000001</v>
      </c>
      <c r="C2360" s="54">
        <v>51.365600000000001</v>
      </c>
      <c r="D2360" s="54">
        <v>52.925899999999999</v>
      </c>
      <c r="E2360" s="54">
        <v>41328422</v>
      </c>
      <c r="F2360" s="54" t="s">
        <v>3178</v>
      </c>
      <c r="G2360" s="25">
        <f t="shared" si="35"/>
        <v>-1.5249622585539413E-2</v>
      </c>
    </row>
    <row r="2361" spans="1:7">
      <c r="A2361" s="54">
        <v>52.925899999999999</v>
      </c>
      <c r="B2361" s="54">
        <v>53.012</v>
      </c>
      <c r="C2361" s="54">
        <v>52.020200000000003</v>
      </c>
      <c r="D2361" s="54">
        <v>52.217500000000001</v>
      </c>
      <c r="E2361" s="54">
        <v>38767843</v>
      </c>
      <c r="F2361" s="54" t="s">
        <v>3179</v>
      </c>
      <c r="G2361" s="25">
        <f t="shared" si="35"/>
        <v>1.3566333125867747E-2</v>
      </c>
    </row>
    <row r="2362" spans="1:7">
      <c r="A2362" s="54">
        <v>52.6389</v>
      </c>
      <c r="B2362" s="54">
        <v>54.244100000000003</v>
      </c>
      <c r="C2362" s="54">
        <v>51.679600000000001</v>
      </c>
      <c r="D2362" s="54">
        <v>54.235100000000003</v>
      </c>
      <c r="E2362" s="54">
        <v>57822394</v>
      </c>
      <c r="F2362" s="54" t="s">
        <v>3180</v>
      </c>
      <c r="G2362" s="25">
        <f t="shared" si="35"/>
        <v>-2.9431124861943658E-2</v>
      </c>
    </row>
    <row r="2363" spans="1:7">
      <c r="A2363" s="54">
        <v>53.9572</v>
      </c>
      <c r="B2363" s="54">
        <v>54.333799999999997</v>
      </c>
      <c r="C2363" s="54">
        <v>53.087299999999999</v>
      </c>
      <c r="D2363" s="54">
        <v>53.804699999999997</v>
      </c>
      <c r="E2363" s="54">
        <v>49632479</v>
      </c>
      <c r="F2363" s="54" t="s">
        <v>3181</v>
      </c>
      <c r="G2363" s="25">
        <f t="shared" si="35"/>
        <v>2.8343248823987643E-3</v>
      </c>
    </row>
    <row r="2364" spans="1:7">
      <c r="A2364" s="54">
        <v>54.226199999999999</v>
      </c>
      <c r="B2364" s="54">
        <v>54.504199999999997</v>
      </c>
      <c r="C2364" s="54">
        <v>53.9392</v>
      </c>
      <c r="D2364" s="54">
        <v>54.297899999999998</v>
      </c>
      <c r="E2364" s="54">
        <v>22935355</v>
      </c>
      <c r="F2364" s="54" t="s">
        <v>3182</v>
      </c>
      <c r="G2364" s="25">
        <f t="shared" si="35"/>
        <v>-1.3204930577425111E-3</v>
      </c>
    </row>
    <row r="2365" spans="1:7">
      <c r="A2365" s="54">
        <v>54.1813</v>
      </c>
      <c r="B2365" s="54">
        <v>54.271000000000001</v>
      </c>
      <c r="C2365" s="54">
        <v>53.607399999999998</v>
      </c>
      <c r="D2365" s="54">
        <v>53.607399999999998</v>
      </c>
      <c r="E2365" s="54">
        <v>31664798</v>
      </c>
      <c r="F2365" s="54" t="s">
        <v>3183</v>
      </c>
      <c r="G2365" s="25">
        <f t="shared" si="35"/>
        <v>1.0705611538705417E-2</v>
      </c>
    </row>
    <row r="2366" spans="1:7">
      <c r="A2366" s="54">
        <v>52.6479</v>
      </c>
      <c r="B2366" s="54">
        <v>53.158999999999999</v>
      </c>
      <c r="C2366" s="54">
        <v>52.477499999999999</v>
      </c>
      <c r="D2366" s="54">
        <v>52.594099999999997</v>
      </c>
      <c r="E2366" s="54">
        <v>28697016</v>
      </c>
      <c r="F2366" s="54" t="s">
        <v>3184</v>
      </c>
      <c r="G2366" s="25">
        <f t="shared" si="35"/>
        <v>1.0229284273330919E-3</v>
      </c>
    </row>
    <row r="2367" spans="1:7">
      <c r="A2367" s="54">
        <v>53.096299999999999</v>
      </c>
      <c r="B2367" s="54">
        <v>53.481900000000003</v>
      </c>
      <c r="C2367" s="54">
        <v>53.006599999999999</v>
      </c>
      <c r="D2367" s="54">
        <v>53.383200000000002</v>
      </c>
      <c r="E2367" s="54">
        <v>21600427</v>
      </c>
      <c r="F2367" s="54" t="s">
        <v>3185</v>
      </c>
      <c r="G2367" s="25">
        <f t="shared" si="35"/>
        <v>-5.3743499827662022E-3</v>
      </c>
    </row>
    <row r="2368" spans="1:7">
      <c r="A2368" s="54">
        <v>53.293599999999998</v>
      </c>
      <c r="B2368" s="54">
        <v>53.741900000000001</v>
      </c>
      <c r="C2368" s="54">
        <v>53.177</v>
      </c>
      <c r="D2368" s="54">
        <v>53.643300000000004</v>
      </c>
      <c r="E2368" s="54">
        <v>22147005</v>
      </c>
      <c r="F2368" s="54" t="s">
        <v>3186</v>
      </c>
      <c r="G2368" s="25">
        <f t="shared" si="35"/>
        <v>-6.5189874597574304E-3</v>
      </c>
    </row>
    <row r="2369" spans="1:7">
      <c r="A2369" s="54">
        <v>53.625399999999999</v>
      </c>
      <c r="B2369" s="54">
        <v>53.822600000000001</v>
      </c>
      <c r="C2369" s="54">
        <v>53.132100000000001</v>
      </c>
      <c r="D2369" s="54">
        <v>53.777799999999999</v>
      </c>
      <c r="E2369" s="54">
        <v>24532986</v>
      </c>
      <c r="F2369" s="54" t="s">
        <v>3187</v>
      </c>
      <c r="G2369" s="25">
        <f t="shared" si="35"/>
        <v>-2.8338831264945741E-3</v>
      </c>
    </row>
    <row r="2370" spans="1:7">
      <c r="A2370" s="54">
        <v>53.732999999999997</v>
      </c>
      <c r="B2370" s="54">
        <v>54.1813</v>
      </c>
      <c r="C2370" s="54">
        <v>53.732999999999997</v>
      </c>
      <c r="D2370" s="54">
        <v>53.9482</v>
      </c>
      <c r="E2370" s="54">
        <v>26434697</v>
      </c>
      <c r="F2370" s="54" t="s">
        <v>3188</v>
      </c>
      <c r="G2370" s="25">
        <f t="shared" si="35"/>
        <v>-3.9890116815760601E-3</v>
      </c>
    </row>
    <row r="2371" spans="1:7">
      <c r="A2371" s="54">
        <v>53.688099999999999</v>
      </c>
      <c r="B2371" s="54">
        <v>54.271000000000001</v>
      </c>
      <c r="C2371" s="54">
        <v>53.428100000000001</v>
      </c>
      <c r="D2371" s="54">
        <v>53.813699999999997</v>
      </c>
      <c r="E2371" s="54">
        <v>33574684</v>
      </c>
      <c r="F2371" s="54" t="s">
        <v>3189</v>
      </c>
      <c r="G2371" s="25">
        <f t="shared" si="35"/>
        <v>-2.3339781505452573E-3</v>
      </c>
    </row>
    <row r="2372" spans="1:7">
      <c r="A2372" s="54">
        <v>53.894399999999997</v>
      </c>
      <c r="B2372" s="54">
        <v>54.548999999999999</v>
      </c>
      <c r="C2372" s="54">
        <v>53.885399999999997</v>
      </c>
      <c r="D2372" s="54">
        <v>54.351700000000001</v>
      </c>
      <c r="E2372" s="54">
        <v>28479856</v>
      </c>
      <c r="F2372" s="54" t="s">
        <v>3190</v>
      </c>
      <c r="G2372" s="25">
        <f t="shared" si="35"/>
        <v>-8.4137202700191871E-3</v>
      </c>
    </row>
    <row r="2373" spans="1:7">
      <c r="A2373" s="54">
        <v>54.369700000000002</v>
      </c>
      <c r="B2373" s="54">
        <v>54.880800000000001</v>
      </c>
      <c r="C2373" s="54">
        <v>54.226199999999999</v>
      </c>
      <c r="D2373" s="54">
        <v>54.531100000000002</v>
      </c>
      <c r="E2373" s="54">
        <v>29911608</v>
      </c>
      <c r="F2373" s="54" t="s">
        <v>3191</v>
      </c>
      <c r="G2373" s="25">
        <f t="shared" si="35"/>
        <v>-2.9597789151512011E-3</v>
      </c>
    </row>
    <row r="2374" spans="1:7">
      <c r="A2374" s="54">
        <v>54.692500000000003</v>
      </c>
      <c r="B2374" s="54">
        <v>55.033200000000001</v>
      </c>
      <c r="C2374" s="54">
        <v>54.522100000000002</v>
      </c>
      <c r="D2374" s="54">
        <v>54.566899999999997</v>
      </c>
      <c r="E2374" s="54">
        <v>35137164</v>
      </c>
      <c r="F2374" s="54" t="s">
        <v>3192</v>
      </c>
      <c r="G2374" s="25">
        <f t="shared" si="35"/>
        <v>2.301761690695292E-3</v>
      </c>
    </row>
    <row r="2375" spans="1:7">
      <c r="A2375" s="54">
        <v>54.7014</v>
      </c>
      <c r="B2375" s="54">
        <v>54.7014</v>
      </c>
      <c r="C2375" s="54">
        <v>53.741900000000001</v>
      </c>
      <c r="D2375" s="54">
        <v>53.750900000000001</v>
      </c>
      <c r="E2375" s="54">
        <v>54066978</v>
      </c>
      <c r="F2375" s="54" t="s">
        <v>3193</v>
      </c>
      <c r="G2375" s="25">
        <f t="shared" si="35"/>
        <v>1.7683424835677197E-2</v>
      </c>
    </row>
    <row r="2376" spans="1:7">
      <c r="A2376" s="54">
        <v>53.4998</v>
      </c>
      <c r="B2376" s="54">
        <v>54.208199999999998</v>
      </c>
      <c r="C2376" s="54">
        <v>53.3429</v>
      </c>
      <c r="D2376" s="54">
        <v>54.055799999999998</v>
      </c>
      <c r="E2376" s="54">
        <v>80032206</v>
      </c>
      <c r="F2376" s="54" t="s">
        <v>3194</v>
      </c>
      <c r="G2376" s="25">
        <f t="shared" si="35"/>
        <v>-1.028566777293094E-2</v>
      </c>
    </row>
    <row r="2377" spans="1:7">
      <c r="A2377" s="54">
        <v>51.338700000000003</v>
      </c>
      <c r="B2377" s="54">
        <v>51.580800000000004</v>
      </c>
      <c r="C2377" s="54">
        <v>50.809600000000003</v>
      </c>
      <c r="D2377" s="54">
        <v>51.562800000000003</v>
      </c>
      <c r="E2377" s="54">
        <v>49455612</v>
      </c>
      <c r="F2377" s="54" t="s">
        <v>3195</v>
      </c>
      <c r="G2377" s="25">
        <f t="shared" si="35"/>
        <v>-4.3461565314528716E-3</v>
      </c>
    </row>
    <row r="2378" spans="1:7">
      <c r="A2378" s="54">
        <v>51.589700000000001</v>
      </c>
      <c r="B2378" s="54">
        <v>51.867699999999999</v>
      </c>
      <c r="C2378" s="54">
        <v>51.468699999999998</v>
      </c>
      <c r="D2378" s="54">
        <v>51.535899999999998</v>
      </c>
      <c r="E2378" s="54">
        <v>22878397</v>
      </c>
      <c r="F2378" s="54" t="s">
        <v>3196</v>
      </c>
      <c r="G2378" s="25">
        <f t="shared" si="35"/>
        <v>1.0439324820175067E-3</v>
      </c>
    </row>
    <row r="2379" spans="1:7">
      <c r="A2379" s="54">
        <v>51.706299999999999</v>
      </c>
      <c r="B2379" s="54">
        <v>51.9619</v>
      </c>
      <c r="C2379" s="54">
        <v>51.482100000000003</v>
      </c>
      <c r="D2379" s="54">
        <v>51.589700000000001</v>
      </c>
      <c r="E2379" s="54">
        <v>19149538</v>
      </c>
      <c r="F2379" s="54" t="s">
        <v>3197</v>
      </c>
      <c r="G2379" s="25">
        <f t="shared" si="35"/>
        <v>2.2601410746718731E-3</v>
      </c>
    </row>
    <row r="2380" spans="1:7">
      <c r="A2380" s="54">
        <v>51.311799999999998</v>
      </c>
      <c r="B2380" s="54">
        <v>51.527000000000001</v>
      </c>
      <c r="C2380" s="54">
        <v>50.997900000000001</v>
      </c>
      <c r="D2380" s="54">
        <v>51.4373</v>
      </c>
      <c r="E2380" s="54">
        <v>23830014</v>
      </c>
      <c r="F2380" s="54" t="s">
        <v>3198</v>
      </c>
      <c r="G2380" s="25">
        <f t="shared" si="35"/>
        <v>-2.4398636786923111E-3</v>
      </c>
    </row>
    <row r="2381" spans="1:7">
      <c r="A2381" s="54">
        <v>51.491100000000003</v>
      </c>
      <c r="B2381" s="54">
        <v>51.778100000000002</v>
      </c>
      <c r="C2381" s="54">
        <v>51.222099999999998</v>
      </c>
      <c r="D2381" s="54">
        <v>51.222099999999998</v>
      </c>
      <c r="E2381" s="54">
        <v>27402451</v>
      </c>
      <c r="F2381" s="54" t="s">
        <v>3199</v>
      </c>
      <c r="G2381" s="25">
        <f t="shared" si="35"/>
        <v>5.2516394290746948E-3</v>
      </c>
    </row>
    <row r="2382" spans="1:7">
      <c r="A2382" s="54">
        <v>51.042700000000004</v>
      </c>
      <c r="B2382" s="54">
        <v>51.383499999999998</v>
      </c>
      <c r="C2382" s="54">
        <v>50.5002</v>
      </c>
      <c r="D2382" s="54">
        <v>50.845399999999998</v>
      </c>
      <c r="E2382" s="54">
        <v>25313748</v>
      </c>
      <c r="F2382" s="54" t="s">
        <v>3200</v>
      </c>
      <c r="G2382" s="25">
        <f t="shared" si="35"/>
        <v>3.8803903597965927E-3</v>
      </c>
    </row>
    <row r="2383" spans="1:7">
      <c r="A2383" s="54">
        <v>51.213099999999997</v>
      </c>
      <c r="B2383" s="54">
        <v>51.3566</v>
      </c>
      <c r="C2383" s="54">
        <v>50.5764</v>
      </c>
      <c r="D2383" s="54">
        <v>51.213099999999997</v>
      </c>
      <c r="E2383" s="54">
        <v>22177464</v>
      </c>
      <c r="F2383" s="54" t="s">
        <v>3201</v>
      </c>
      <c r="G2383" s="25">
        <f t="shared" si="35"/>
        <v>0</v>
      </c>
    </row>
    <row r="2384" spans="1:7">
      <c r="A2384" s="54">
        <v>51.2849</v>
      </c>
      <c r="B2384" s="54">
        <v>52.0291</v>
      </c>
      <c r="C2384" s="54">
        <v>51.015799999999999</v>
      </c>
      <c r="D2384" s="54">
        <v>51.912599999999998</v>
      </c>
      <c r="E2384" s="54">
        <v>26497418</v>
      </c>
      <c r="F2384" s="54" t="s">
        <v>3202</v>
      </c>
      <c r="G2384" s="25">
        <f t="shared" si="35"/>
        <v>-1.2091476828361425E-2</v>
      </c>
    </row>
    <row r="2385" spans="1:7">
      <c r="A2385" s="54">
        <v>52.0471</v>
      </c>
      <c r="B2385" s="54">
        <v>52.360900000000001</v>
      </c>
      <c r="C2385" s="54">
        <v>51.894599999999997</v>
      </c>
      <c r="D2385" s="54">
        <v>51.930500000000002</v>
      </c>
      <c r="E2385" s="54">
        <v>18196509</v>
      </c>
      <c r="F2385" s="54" t="s">
        <v>3203</v>
      </c>
      <c r="G2385" s="25">
        <f t="shared" si="35"/>
        <v>2.2453086336544636E-3</v>
      </c>
    </row>
    <row r="2386" spans="1:7">
      <c r="A2386" s="54">
        <v>51.831899999999997</v>
      </c>
      <c r="B2386" s="54">
        <v>51.993299999999998</v>
      </c>
      <c r="C2386" s="54">
        <v>51.491100000000003</v>
      </c>
      <c r="D2386" s="54">
        <v>51.8767</v>
      </c>
      <c r="E2386" s="54">
        <v>20089020</v>
      </c>
      <c r="F2386" s="54" t="s">
        <v>3204</v>
      </c>
      <c r="G2386" s="25">
        <f t="shared" si="35"/>
        <v>-8.6358615717663234E-4</v>
      </c>
    </row>
    <row r="2387" spans="1:7">
      <c r="A2387" s="54">
        <v>51.778100000000002</v>
      </c>
      <c r="B2387" s="54">
        <v>51.8857</v>
      </c>
      <c r="C2387" s="54">
        <v>51.365600000000001</v>
      </c>
      <c r="D2387" s="54">
        <v>51.778100000000002</v>
      </c>
      <c r="E2387" s="54">
        <v>16212611</v>
      </c>
      <c r="F2387" s="54" t="s">
        <v>3205</v>
      </c>
      <c r="G2387" s="25">
        <f t="shared" si="35"/>
        <v>0</v>
      </c>
    </row>
    <row r="2388" spans="1:7">
      <c r="A2388" s="54">
        <v>51.688400000000001</v>
      </c>
      <c r="B2388" s="54">
        <v>51.9754</v>
      </c>
      <c r="C2388" s="54">
        <v>51.3476</v>
      </c>
      <c r="D2388" s="54">
        <v>51.374499999999998</v>
      </c>
      <c r="E2388" s="54">
        <v>16726411</v>
      </c>
      <c r="F2388" s="54" t="s">
        <v>3206</v>
      </c>
      <c r="G2388" s="25">
        <f t="shared" si="35"/>
        <v>6.1100351341618619E-3</v>
      </c>
    </row>
    <row r="2389" spans="1:7">
      <c r="A2389" s="54">
        <v>51.329700000000003</v>
      </c>
      <c r="B2389" s="54">
        <v>51.648000000000003</v>
      </c>
      <c r="C2389" s="54">
        <v>51.087600000000002</v>
      </c>
      <c r="D2389" s="54">
        <v>51.3566</v>
      </c>
      <c r="E2389" s="54">
        <v>20085874</v>
      </c>
      <c r="F2389" s="54" t="s">
        <v>3207</v>
      </c>
      <c r="G2389" s="25">
        <f t="shared" si="35"/>
        <v>-5.2378856855783695E-4</v>
      </c>
    </row>
    <row r="2390" spans="1:7">
      <c r="A2390" s="54">
        <v>51.491100000000003</v>
      </c>
      <c r="B2390" s="54">
        <v>51.607700000000001</v>
      </c>
      <c r="C2390" s="54">
        <v>51.168300000000002</v>
      </c>
      <c r="D2390" s="54">
        <v>51.477699999999999</v>
      </c>
      <c r="E2390" s="54">
        <v>19189515</v>
      </c>
      <c r="F2390" s="54" t="s">
        <v>3208</v>
      </c>
      <c r="G2390" s="25">
        <f t="shared" si="35"/>
        <v>2.6030689016809383E-4</v>
      </c>
    </row>
    <row r="2391" spans="1:7">
      <c r="A2391" s="54">
        <v>51.652500000000003</v>
      </c>
      <c r="B2391" s="54">
        <v>51.805</v>
      </c>
      <c r="C2391" s="54">
        <v>51.419400000000003</v>
      </c>
      <c r="D2391" s="54">
        <v>51.625599999999999</v>
      </c>
      <c r="E2391" s="54">
        <v>29910788</v>
      </c>
      <c r="F2391" s="54" t="s">
        <v>3209</v>
      </c>
      <c r="G2391" s="25">
        <f t="shared" si="35"/>
        <v>5.2105931940760186E-4</v>
      </c>
    </row>
    <row r="2392" spans="1:7">
      <c r="A2392" s="54">
        <v>51.473199999999999</v>
      </c>
      <c r="B2392" s="54">
        <v>52.161799999999999</v>
      </c>
      <c r="C2392" s="54">
        <v>51.302799999999998</v>
      </c>
      <c r="D2392" s="54">
        <v>51.840800000000002</v>
      </c>
      <c r="E2392" s="54">
        <v>25463536</v>
      </c>
      <c r="F2392" s="54" t="s">
        <v>3210</v>
      </c>
      <c r="G2392" s="25">
        <f t="shared" ref="G2392:G2455" si="36">A2392/D2392-1</f>
        <v>-7.0909399546303931E-3</v>
      </c>
    </row>
    <row r="2393" spans="1:7">
      <c r="A2393" s="54">
        <v>52.0381</v>
      </c>
      <c r="B2393" s="54">
        <v>52.064999999999998</v>
      </c>
      <c r="C2393" s="54">
        <v>51.715299999999999</v>
      </c>
      <c r="D2393" s="54">
        <v>51.903599999999997</v>
      </c>
      <c r="E2393" s="54">
        <v>20536400</v>
      </c>
      <c r="F2393" s="54" t="s">
        <v>3211</v>
      </c>
      <c r="G2393" s="25">
        <f t="shared" si="36"/>
        <v>2.5913424117016692E-3</v>
      </c>
    </row>
    <row r="2394" spans="1:7">
      <c r="A2394" s="54">
        <v>51.9664</v>
      </c>
      <c r="B2394" s="54">
        <v>52.064999999999998</v>
      </c>
      <c r="C2394" s="54">
        <v>50.828400000000002</v>
      </c>
      <c r="D2394" s="54">
        <v>51.051699999999997</v>
      </c>
      <c r="E2394" s="54">
        <v>28065071</v>
      </c>
      <c r="F2394" s="54" t="s">
        <v>3212</v>
      </c>
      <c r="G2394" s="25">
        <f t="shared" si="36"/>
        <v>1.7917131065175118E-2</v>
      </c>
    </row>
    <row r="2395" spans="1:7">
      <c r="A2395" s="54">
        <v>51.024799999999999</v>
      </c>
      <c r="B2395" s="54">
        <v>51.24</v>
      </c>
      <c r="C2395" s="54">
        <v>50.962000000000003</v>
      </c>
      <c r="D2395" s="54">
        <v>51.186199999999999</v>
      </c>
      <c r="E2395" s="54">
        <v>21688720</v>
      </c>
      <c r="F2395" s="54" t="s">
        <v>3213</v>
      </c>
      <c r="G2395" s="25">
        <f t="shared" si="36"/>
        <v>-3.1531936342217293E-3</v>
      </c>
    </row>
    <row r="2396" spans="1:7">
      <c r="A2396" s="54">
        <v>51.500100000000003</v>
      </c>
      <c r="B2396" s="54">
        <v>51.930500000000002</v>
      </c>
      <c r="C2396" s="54">
        <v>51.455199999999998</v>
      </c>
      <c r="D2396" s="54">
        <v>51.894599999999997</v>
      </c>
      <c r="E2396" s="54">
        <v>19955336</v>
      </c>
      <c r="F2396" s="54" t="s">
        <v>3214</v>
      </c>
      <c r="G2396" s="25">
        <f t="shared" si="36"/>
        <v>-7.6019470233895658E-3</v>
      </c>
    </row>
    <row r="2397" spans="1:7">
      <c r="A2397" s="54">
        <v>51.849800000000002</v>
      </c>
      <c r="B2397" s="54">
        <v>52.011200000000002</v>
      </c>
      <c r="C2397" s="54">
        <v>51.679400000000001</v>
      </c>
      <c r="D2397" s="54">
        <v>51.939500000000002</v>
      </c>
      <c r="E2397" s="54">
        <v>19822203</v>
      </c>
      <c r="F2397" s="54" t="s">
        <v>3215</v>
      </c>
      <c r="G2397" s="25">
        <f t="shared" si="36"/>
        <v>-1.7270093089074567E-3</v>
      </c>
    </row>
    <row r="2398" spans="1:7">
      <c r="A2398" s="54">
        <v>51.795999999999999</v>
      </c>
      <c r="B2398" s="54">
        <v>51.8767</v>
      </c>
      <c r="C2398" s="54">
        <v>51.186199999999999</v>
      </c>
      <c r="D2398" s="54">
        <v>51.571800000000003</v>
      </c>
      <c r="E2398" s="54">
        <v>33707272</v>
      </c>
      <c r="F2398" s="54" t="s">
        <v>3216</v>
      </c>
      <c r="G2398" s="25">
        <f t="shared" si="36"/>
        <v>4.3473371105913206E-3</v>
      </c>
    </row>
    <row r="2399" spans="1:7">
      <c r="A2399" s="54">
        <v>50.944099999999999</v>
      </c>
      <c r="B2399" s="54">
        <v>51.4283</v>
      </c>
      <c r="C2399" s="54">
        <v>50.890300000000003</v>
      </c>
      <c r="D2399" s="54">
        <v>51.4283</v>
      </c>
      <c r="E2399" s="54">
        <v>17383982</v>
      </c>
      <c r="F2399" s="54" t="s">
        <v>3217</v>
      </c>
      <c r="G2399" s="25">
        <f t="shared" si="36"/>
        <v>-9.4150496905400782E-3</v>
      </c>
    </row>
    <row r="2400" spans="1:7">
      <c r="A2400" s="54">
        <v>51.051699999999997</v>
      </c>
      <c r="B2400" s="54">
        <v>51.786999999999999</v>
      </c>
      <c r="C2400" s="54">
        <v>50.98</v>
      </c>
      <c r="D2400" s="54">
        <v>51.3566</v>
      </c>
      <c r="E2400" s="54">
        <v>20937104</v>
      </c>
      <c r="F2400" s="54" t="s">
        <v>3218</v>
      </c>
      <c r="G2400" s="25">
        <f t="shared" si="36"/>
        <v>-5.9369195001227615E-3</v>
      </c>
    </row>
    <row r="2401" spans="1:7">
      <c r="A2401" s="54">
        <v>51.338700000000003</v>
      </c>
      <c r="B2401" s="54">
        <v>51.679400000000001</v>
      </c>
      <c r="C2401" s="54">
        <v>50.890300000000003</v>
      </c>
      <c r="D2401" s="54">
        <v>51.679400000000001</v>
      </c>
      <c r="E2401" s="54">
        <v>44606965</v>
      </c>
      <c r="F2401" s="54" t="s">
        <v>3219</v>
      </c>
      <c r="G2401" s="25">
        <f t="shared" si="36"/>
        <v>-6.5925687991733595E-3</v>
      </c>
    </row>
    <row r="2402" spans="1:7">
      <c r="A2402" s="54">
        <v>51.2849</v>
      </c>
      <c r="B2402" s="54">
        <v>51.4283</v>
      </c>
      <c r="C2402" s="54">
        <v>50.199800000000003</v>
      </c>
      <c r="D2402" s="54">
        <v>50.352200000000003</v>
      </c>
      <c r="E2402" s="54">
        <v>27062614</v>
      </c>
      <c r="F2402" s="54" t="s">
        <v>3220</v>
      </c>
      <c r="G2402" s="25">
        <f t="shared" si="36"/>
        <v>1.8523520322845766E-2</v>
      </c>
    </row>
    <row r="2403" spans="1:7">
      <c r="A2403" s="54">
        <v>50.450899999999997</v>
      </c>
      <c r="B2403" s="54">
        <v>50.782699999999998</v>
      </c>
      <c r="C2403" s="54">
        <v>50.244599999999998</v>
      </c>
      <c r="D2403" s="54">
        <v>50.567500000000003</v>
      </c>
      <c r="E2403" s="54">
        <v>24274273</v>
      </c>
      <c r="F2403" s="54" t="s">
        <v>3221</v>
      </c>
      <c r="G2403" s="25">
        <f t="shared" si="36"/>
        <v>-2.3058288426361928E-3</v>
      </c>
    </row>
    <row r="2404" spans="1:7">
      <c r="A2404" s="54">
        <v>50.692999999999998</v>
      </c>
      <c r="B2404" s="54">
        <v>50.800600000000003</v>
      </c>
      <c r="C2404" s="54">
        <v>50.262599999999999</v>
      </c>
      <c r="D2404" s="54">
        <v>50.6661</v>
      </c>
      <c r="E2404" s="54">
        <v>30130213</v>
      </c>
      <c r="F2404" s="54" t="s">
        <v>3222</v>
      </c>
      <c r="G2404" s="25">
        <f t="shared" si="36"/>
        <v>5.3092699063084225E-4</v>
      </c>
    </row>
    <row r="2405" spans="1:7">
      <c r="A2405" s="54">
        <v>51.159300000000002</v>
      </c>
      <c r="B2405" s="54">
        <v>51.298299999999998</v>
      </c>
      <c r="C2405" s="54">
        <v>49.868000000000002</v>
      </c>
      <c r="D2405" s="54">
        <v>50.217700000000001</v>
      </c>
      <c r="E2405" s="54">
        <v>29302962</v>
      </c>
      <c r="F2405" s="54" t="s">
        <v>3223</v>
      </c>
      <c r="G2405" s="25">
        <f t="shared" si="36"/>
        <v>1.875036092851734E-2</v>
      </c>
    </row>
    <row r="2406" spans="1:7">
      <c r="A2406" s="54">
        <v>50.405999999999999</v>
      </c>
      <c r="B2406" s="54">
        <v>51.580800000000004</v>
      </c>
      <c r="C2406" s="54">
        <v>50.405999999999999</v>
      </c>
      <c r="D2406" s="54">
        <v>50.926200000000001</v>
      </c>
      <c r="E2406" s="54">
        <v>35113934</v>
      </c>
      <c r="F2406" s="54" t="s">
        <v>3224</v>
      </c>
      <c r="G2406" s="25">
        <f t="shared" si="36"/>
        <v>-1.021478138954024E-2</v>
      </c>
    </row>
    <row r="2407" spans="1:7">
      <c r="A2407" s="54">
        <v>51.500100000000003</v>
      </c>
      <c r="B2407" s="54">
        <v>51.822899999999997</v>
      </c>
      <c r="C2407" s="54">
        <v>51.2759</v>
      </c>
      <c r="D2407" s="54">
        <v>51.679400000000001</v>
      </c>
      <c r="E2407" s="54">
        <v>20146083</v>
      </c>
      <c r="F2407" s="54" t="s">
        <v>3225</v>
      </c>
      <c r="G2407" s="25">
        <f t="shared" si="36"/>
        <v>-3.4694675247777251E-3</v>
      </c>
    </row>
    <row r="2408" spans="1:7">
      <c r="A2408" s="54">
        <v>51.706299999999999</v>
      </c>
      <c r="B2408" s="54">
        <v>51.867699999999999</v>
      </c>
      <c r="C2408" s="54">
        <v>51.477699999999999</v>
      </c>
      <c r="D2408" s="54">
        <v>51.535899999999998</v>
      </c>
      <c r="E2408" s="54">
        <v>17493359</v>
      </c>
      <c r="F2408" s="54" t="s">
        <v>3226</v>
      </c>
      <c r="G2408" s="25">
        <f t="shared" si="36"/>
        <v>3.3064329913710111E-3</v>
      </c>
    </row>
    <row r="2409" spans="1:7">
      <c r="A2409" s="54">
        <v>51.661499999999997</v>
      </c>
      <c r="B2409" s="54">
        <v>51.831899999999997</v>
      </c>
      <c r="C2409" s="54">
        <v>51.302799999999998</v>
      </c>
      <c r="D2409" s="54">
        <v>51.813899999999997</v>
      </c>
      <c r="E2409" s="54">
        <v>16278416</v>
      </c>
      <c r="F2409" s="54" t="s">
        <v>3227</v>
      </c>
      <c r="G2409" s="25">
        <f t="shared" si="36"/>
        <v>-2.9412956754847341E-3</v>
      </c>
    </row>
    <row r="2410" spans="1:7">
      <c r="A2410" s="54">
        <v>51.715299999999999</v>
      </c>
      <c r="B2410" s="54">
        <v>52.181600000000003</v>
      </c>
      <c r="C2410" s="54">
        <v>51.491100000000003</v>
      </c>
      <c r="D2410" s="54">
        <v>51.715299999999999</v>
      </c>
      <c r="E2410" s="54">
        <v>18900489</v>
      </c>
      <c r="F2410" s="54" t="s">
        <v>3228</v>
      </c>
      <c r="G2410" s="25">
        <f t="shared" si="36"/>
        <v>0</v>
      </c>
    </row>
    <row r="2411" spans="1:7">
      <c r="A2411" s="54">
        <v>51.643500000000003</v>
      </c>
      <c r="B2411" s="54">
        <v>51.849800000000002</v>
      </c>
      <c r="C2411" s="54">
        <v>51.123399999999997</v>
      </c>
      <c r="D2411" s="54">
        <v>51.123399999999997</v>
      </c>
      <c r="E2411" s="54">
        <v>26075363</v>
      </c>
      <c r="F2411" s="54" t="s">
        <v>3229</v>
      </c>
      <c r="G2411" s="25">
        <f t="shared" si="36"/>
        <v>1.0173423520345004E-2</v>
      </c>
    </row>
    <row r="2412" spans="1:7">
      <c r="A2412" s="54">
        <v>51.527000000000001</v>
      </c>
      <c r="B2412" s="54">
        <v>51.831899999999997</v>
      </c>
      <c r="C2412" s="54">
        <v>51.383499999999998</v>
      </c>
      <c r="D2412" s="54">
        <v>51.697400000000002</v>
      </c>
      <c r="E2412" s="54">
        <v>20860269</v>
      </c>
      <c r="F2412" s="54" t="s">
        <v>3230</v>
      </c>
      <c r="G2412" s="25">
        <f t="shared" si="36"/>
        <v>-3.2961038659584663E-3</v>
      </c>
    </row>
    <row r="2413" spans="1:7">
      <c r="A2413" s="54">
        <v>51.912599999999998</v>
      </c>
      <c r="B2413" s="54">
        <v>52.181600000000003</v>
      </c>
      <c r="C2413" s="54">
        <v>51.661499999999997</v>
      </c>
      <c r="D2413" s="54">
        <v>51.993299999999998</v>
      </c>
      <c r="E2413" s="54">
        <v>16930185</v>
      </c>
      <c r="F2413" s="54" t="s">
        <v>3231</v>
      </c>
      <c r="G2413" s="25">
        <f t="shared" si="36"/>
        <v>-1.5521230620099136E-3</v>
      </c>
    </row>
    <row r="2414" spans="1:7">
      <c r="A2414" s="54">
        <v>52.100900000000003</v>
      </c>
      <c r="B2414" s="54">
        <v>52.549300000000002</v>
      </c>
      <c r="C2414" s="54">
        <v>52.100900000000003</v>
      </c>
      <c r="D2414" s="54">
        <v>52.172600000000003</v>
      </c>
      <c r="E2414" s="54">
        <v>16417207</v>
      </c>
      <c r="F2414" s="54" t="s">
        <v>3232</v>
      </c>
      <c r="G2414" s="25">
        <f t="shared" si="36"/>
        <v>-1.3742845861620667E-3</v>
      </c>
    </row>
    <row r="2415" spans="1:7">
      <c r="A2415" s="54">
        <v>52.0381</v>
      </c>
      <c r="B2415" s="54">
        <v>52.6389</v>
      </c>
      <c r="C2415" s="54">
        <v>51.733199999999997</v>
      </c>
      <c r="D2415" s="54">
        <v>52.262300000000003</v>
      </c>
      <c r="E2415" s="54">
        <v>20971202</v>
      </c>
      <c r="F2415" s="54" t="s">
        <v>3233</v>
      </c>
      <c r="G2415" s="25">
        <f t="shared" si="36"/>
        <v>-4.2898992198966424E-3</v>
      </c>
    </row>
    <row r="2416" spans="1:7">
      <c r="A2416" s="54">
        <v>52.163699999999999</v>
      </c>
      <c r="B2416" s="54">
        <v>52.271299999999997</v>
      </c>
      <c r="C2416" s="54">
        <v>51.813899999999997</v>
      </c>
      <c r="D2416" s="54">
        <v>51.903599999999997</v>
      </c>
      <c r="E2416" s="54">
        <v>18552579</v>
      </c>
      <c r="F2416" s="54" t="s">
        <v>3234</v>
      </c>
      <c r="G2416" s="25">
        <f t="shared" si="36"/>
        <v>5.0112130950454858E-3</v>
      </c>
    </row>
    <row r="2417" spans="1:7">
      <c r="A2417" s="54">
        <v>51.9664</v>
      </c>
      <c r="B2417" s="54">
        <v>52.0471</v>
      </c>
      <c r="C2417" s="54">
        <v>51.755600000000001</v>
      </c>
      <c r="D2417" s="54">
        <v>51.831899999999997</v>
      </c>
      <c r="E2417" s="54">
        <v>18151506</v>
      </c>
      <c r="F2417" s="54" t="s">
        <v>3235</v>
      </c>
      <c r="G2417" s="25">
        <f t="shared" si="36"/>
        <v>2.5949270622918075E-3</v>
      </c>
    </row>
    <row r="2418" spans="1:7">
      <c r="A2418" s="54">
        <v>51.912599999999998</v>
      </c>
      <c r="B2418" s="54">
        <v>52.172600000000003</v>
      </c>
      <c r="C2418" s="54">
        <v>51.8767</v>
      </c>
      <c r="D2418" s="54">
        <v>51.921500000000002</v>
      </c>
      <c r="E2418" s="54">
        <v>18732373</v>
      </c>
      <c r="F2418" s="54" t="s">
        <v>3236</v>
      </c>
      <c r="G2418" s="25">
        <f t="shared" si="36"/>
        <v>-1.7141261327202617E-4</v>
      </c>
    </row>
    <row r="2419" spans="1:7">
      <c r="A2419" s="54">
        <v>51.715299999999999</v>
      </c>
      <c r="B2419" s="54">
        <v>51.786999999999999</v>
      </c>
      <c r="C2419" s="54">
        <v>51.3476</v>
      </c>
      <c r="D2419" s="54">
        <v>51.652500000000003</v>
      </c>
      <c r="E2419" s="54">
        <v>15221922</v>
      </c>
      <c r="F2419" s="54" t="s">
        <v>3237</v>
      </c>
      <c r="G2419" s="25">
        <f t="shared" si="36"/>
        <v>1.2158172402110257E-3</v>
      </c>
    </row>
    <row r="2420" spans="1:7">
      <c r="A2420" s="54">
        <v>51.670499999999997</v>
      </c>
      <c r="B2420" s="54">
        <v>51.769100000000002</v>
      </c>
      <c r="C2420" s="54">
        <v>51.293799999999997</v>
      </c>
      <c r="D2420" s="54">
        <v>51.500100000000003</v>
      </c>
      <c r="E2420" s="54">
        <v>17271044</v>
      </c>
      <c r="F2420" s="54" t="s">
        <v>3238</v>
      </c>
      <c r="G2420" s="25">
        <f t="shared" si="36"/>
        <v>3.3087314393562828E-3</v>
      </c>
    </row>
    <row r="2421" spans="1:7">
      <c r="A2421" s="54">
        <v>51.652500000000003</v>
      </c>
      <c r="B2421" s="54">
        <v>51.742199999999997</v>
      </c>
      <c r="C2421" s="54">
        <v>51.3566</v>
      </c>
      <c r="D2421" s="54">
        <v>51.491100000000003</v>
      </c>
      <c r="E2421" s="54">
        <v>14214341</v>
      </c>
      <c r="F2421" s="54" t="s">
        <v>3239</v>
      </c>
      <c r="G2421" s="25">
        <f t="shared" si="36"/>
        <v>3.1345222766652192E-3</v>
      </c>
    </row>
    <row r="2422" spans="1:7">
      <c r="A2422" s="54">
        <v>51.616599999999998</v>
      </c>
      <c r="B2422" s="54">
        <v>51.724299999999999</v>
      </c>
      <c r="C2422" s="54">
        <v>51.320700000000002</v>
      </c>
      <c r="D2422" s="54">
        <v>51.598700000000001</v>
      </c>
      <c r="E2422" s="54">
        <v>18856423</v>
      </c>
      <c r="F2422" s="54" t="s">
        <v>3240</v>
      </c>
      <c r="G2422" s="25">
        <f t="shared" si="36"/>
        <v>3.4690796473557661E-4</v>
      </c>
    </row>
    <row r="2423" spans="1:7">
      <c r="A2423" s="54">
        <v>51.509</v>
      </c>
      <c r="B2423" s="54">
        <v>51.670499999999997</v>
      </c>
      <c r="C2423" s="54">
        <v>51.3566</v>
      </c>
      <c r="D2423" s="54">
        <v>51.661499999999997</v>
      </c>
      <c r="E2423" s="54">
        <v>20523493</v>
      </c>
      <c r="F2423" s="54" t="s">
        <v>3241</v>
      </c>
      <c r="G2423" s="25">
        <f t="shared" si="36"/>
        <v>-2.9519080940351161E-3</v>
      </c>
    </row>
    <row r="2424" spans="1:7">
      <c r="A2424" s="54">
        <v>51.795999999999999</v>
      </c>
      <c r="B2424" s="54">
        <v>52.134599999999999</v>
      </c>
      <c r="C2424" s="54">
        <v>51.653399999999998</v>
      </c>
      <c r="D2424" s="54">
        <v>51.698</v>
      </c>
      <c r="E2424" s="54">
        <v>19283902</v>
      </c>
      <c r="F2424" s="54" t="s">
        <v>3242</v>
      </c>
      <c r="G2424" s="25">
        <f t="shared" si="36"/>
        <v>1.8956245889589773E-3</v>
      </c>
    </row>
    <row r="2425" spans="1:7">
      <c r="A2425" s="54">
        <v>51.635599999999997</v>
      </c>
      <c r="B2425" s="54">
        <v>51.858400000000003</v>
      </c>
      <c r="C2425" s="54">
        <v>51.3504</v>
      </c>
      <c r="D2425" s="54">
        <v>51.715800000000002</v>
      </c>
      <c r="E2425" s="54">
        <v>21655161</v>
      </c>
      <c r="F2425" s="54" t="s">
        <v>3243</v>
      </c>
      <c r="G2425" s="25">
        <f t="shared" si="36"/>
        <v>-1.5507833196045651E-3</v>
      </c>
    </row>
    <row r="2426" spans="1:7">
      <c r="A2426" s="54">
        <v>51.956400000000002</v>
      </c>
      <c r="B2426" s="54">
        <v>52.0901</v>
      </c>
      <c r="C2426" s="54">
        <v>51.715800000000002</v>
      </c>
      <c r="D2426" s="54">
        <v>51.715800000000002</v>
      </c>
      <c r="E2426" s="54">
        <v>18162301</v>
      </c>
      <c r="F2426" s="54" t="s">
        <v>3244</v>
      </c>
      <c r="G2426" s="25">
        <f t="shared" si="36"/>
        <v>4.6523499588133621E-3</v>
      </c>
    </row>
    <row r="2427" spans="1:7">
      <c r="A2427" s="54">
        <v>51.706899999999997</v>
      </c>
      <c r="B2427" s="54">
        <v>51.974200000000003</v>
      </c>
      <c r="C2427" s="54">
        <v>51.528599999999997</v>
      </c>
      <c r="D2427" s="54">
        <v>51.831600000000002</v>
      </c>
      <c r="E2427" s="54">
        <v>15756913</v>
      </c>
      <c r="F2427" s="54" t="s">
        <v>3245</v>
      </c>
      <c r="G2427" s="25">
        <f t="shared" si="36"/>
        <v>-2.4058682348220284E-3</v>
      </c>
    </row>
    <row r="2428" spans="1:7">
      <c r="A2428" s="54">
        <v>51.8673</v>
      </c>
      <c r="B2428" s="54">
        <v>52.134599999999999</v>
      </c>
      <c r="C2428" s="54">
        <v>51.706899999999997</v>
      </c>
      <c r="D2428" s="54">
        <v>51.840600000000002</v>
      </c>
      <c r="E2428" s="54">
        <v>16920721</v>
      </c>
      <c r="F2428" s="54" t="s">
        <v>3246</v>
      </c>
      <c r="G2428" s="25">
        <f t="shared" si="36"/>
        <v>5.1504033518123826E-4</v>
      </c>
    </row>
    <row r="2429" spans="1:7">
      <c r="A2429" s="54">
        <v>51.7425</v>
      </c>
      <c r="B2429" s="54">
        <v>51.764800000000001</v>
      </c>
      <c r="C2429" s="54">
        <v>51.493000000000002</v>
      </c>
      <c r="D2429" s="54">
        <v>51.738100000000003</v>
      </c>
      <c r="E2429" s="54">
        <v>19473499</v>
      </c>
      <c r="F2429" s="54" t="s">
        <v>3247</v>
      </c>
      <c r="G2429" s="25">
        <f t="shared" si="36"/>
        <v>8.5043710534415951E-5</v>
      </c>
    </row>
    <row r="2430" spans="1:7">
      <c r="A2430" s="54">
        <v>51.653399999999998</v>
      </c>
      <c r="B2430" s="54">
        <v>51.876199999999997</v>
      </c>
      <c r="C2430" s="54">
        <v>51.198900000000002</v>
      </c>
      <c r="D2430" s="54">
        <v>51.377099999999999</v>
      </c>
      <c r="E2430" s="54">
        <v>29335221</v>
      </c>
      <c r="F2430" s="54" t="s">
        <v>3248</v>
      </c>
      <c r="G2430" s="25">
        <f t="shared" si="36"/>
        <v>5.3778823639325513E-3</v>
      </c>
    </row>
    <row r="2431" spans="1:7">
      <c r="A2431" s="54">
        <v>51.145400000000002</v>
      </c>
      <c r="B2431" s="54">
        <v>51.2607</v>
      </c>
      <c r="C2431" s="54">
        <v>50.503799999999998</v>
      </c>
      <c r="D2431" s="54">
        <v>50.619599999999998</v>
      </c>
      <c r="E2431" s="54">
        <v>26587749</v>
      </c>
      <c r="F2431" s="54" t="s">
        <v>3249</v>
      </c>
      <c r="G2431" s="25">
        <f t="shared" si="36"/>
        <v>1.038728081612672E-2</v>
      </c>
    </row>
    <row r="2432" spans="1:7">
      <c r="A2432" s="54">
        <v>50.771099999999997</v>
      </c>
      <c r="B2432" s="54">
        <v>50.895899999999997</v>
      </c>
      <c r="C2432" s="54">
        <v>50.343400000000003</v>
      </c>
      <c r="D2432" s="54">
        <v>50.512700000000002</v>
      </c>
      <c r="E2432" s="54">
        <v>22075616</v>
      </c>
      <c r="F2432" s="54" t="s">
        <v>3250</v>
      </c>
      <c r="G2432" s="25">
        <f t="shared" si="36"/>
        <v>5.115545199523952E-3</v>
      </c>
    </row>
    <row r="2433" spans="1:7">
      <c r="A2433" s="54">
        <v>50.4236</v>
      </c>
      <c r="B2433" s="54">
        <v>50.7087</v>
      </c>
      <c r="C2433" s="54">
        <v>50.182899999999997</v>
      </c>
      <c r="D2433" s="54">
        <v>50.664200000000001</v>
      </c>
      <c r="E2433" s="54">
        <v>35121958</v>
      </c>
      <c r="F2433" s="54" t="s">
        <v>3251</v>
      </c>
      <c r="G2433" s="25">
        <f t="shared" si="36"/>
        <v>-4.7489154077238194E-3</v>
      </c>
    </row>
    <row r="2434" spans="1:7">
      <c r="A2434" s="54">
        <v>50.4236</v>
      </c>
      <c r="B2434" s="54">
        <v>50.575099999999999</v>
      </c>
      <c r="C2434" s="54">
        <v>50.031399999999998</v>
      </c>
      <c r="D2434" s="54">
        <v>50.441400000000002</v>
      </c>
      <c r="E2434" s="54">
        <v>26003419</v>
      </c>
      <c r="F2434" s="54" t="s">
        <v>3252</v>
      </c>
      <c r="G2434" s="25">
        <f t="shared" si="36"/>
        <v>-3.5288473357208971E-4</v>
      </c>
    </row>
    <row r="2435" spans="1:7">
      <c r="A2435" s="54">
        <v>50.512700000000002</v>
      </c>
      <c r="B2435" s="54">
        <v>50.584000000000003</v>
      </c>
      <c r="C2435" s="54">
        <v>49.9512</v>
      </c>
      <c r="D2435" s="54">
        <v>50.138399999999997</v>
      </c>
      <c r="E2435" s="54">
        <v>30558718</v>
      </c>
      <c r="F2435" s="54" t="s">
        <v>3253</v>
      </c>
      <c r="G2435" s="25">
        <f t="shared" si="36"/>
        <v>7.4653359500902461E-3</v>
      </c>
    </row>
    <row r="2436" spans="1:7">
      <c r="A2436" s="54">
        <v>50.093800000000002</v>
      </c>
      <c r="B2436" s="54">
        <v>50.236400000000003</v>
      </c>
      <c r="C2436" s="54">
        <v>49.6571</v>
      </c>
      <c r="D2436" s="54">
        <v>49.906700000000001</v>
      </c>
      <c r="E2436" s="54">
        <v>37550411</v>
      </c>
      <c r="F2436" s="54" t="s">
        <v>3254</v>
      </c>
      <c r="G2436" s="25">
        <f t="shared" si="36"/>
        <v>3.7489956258378587E-3</v>
      </c>
    </row>
    <row r="2437" spans="1:7">
      <c r="A2437" s="54">
        <v>50.076000000000001</v>
      </c>
      <c r="B2437" s="54">
        <v>50.619599999999998</v>
      </c>
      <c r="C2437" s="54">
        <v>50.0047</v>
      </c>
      <c r="D2437" s="54">
        <v>50.450299999999999</v>
      </c>
      <c r="E2437" s="54">
        <v>32327477</v>
      </c>
      <c r="F2437" s="54" t="s">
        <v>3255</v>
      </c>
      <c r="G2437" s="25">
        <f t="shared" si="36"/>
        <v>-7.4191828393488368E-3</v>
      </c>
    </row>
    <row r="2438" spans="1:7">
      <c r="A2438" s="54">
        <v>50.584000000000003</v>
      </c>
      <c r="B2438" s="54">
        <v>51.0563</v>
      </c>
      <c r="C2438" s="54">
        <v>50.361199999999997</v>
      </c>
      <c r="D2438" s="54">
        <v>50.370100000000001</v>
      </c>
      <c r="E2438" s="54">
        <v>28078995</v>
      </c>
      <c r="F2438" s="54" t="s">
        <v>3256</v>
      </c>
      <c r="G2438" s="25">
        <f t="shared" si="36"/>
        <v>4.2465669117195404E-3</v>
      </c>
    </row>
    <row r="2439" spans="1:7">
      <c r="A2439" s="54">
        <v>50.557200000000002</v>
      </c>
      <c r="B2439" s="54">
        <v>50.566200000000002</v>
      </c>
      <c r="C2439" s="54">
        <v>50.133899999999997</v>
      </c>
      <c r="D2439" s="54">
        <v>50.325499999999998</v>
      </c>
      <c r="E2439" s="54">
        <v>25610587</v>
      </c>
      <c r="F2439" s="54" t="s">
        <v>3257</v>
      </c>
      <c r="G2439" s="25">
        <f t="shared" si="36"/>
        <v>4.6040277791576933E-3</v>
      </c>
    </row>
    <row r="2440" spans="1:7">
      <c r="A2440" s="54">
        <v>50.414700000000003</v>
      </c>
      <c r="B2440" s="54">
        <v>50.465899999999998</v>
      </c>
      <c r="C2440" s="54">
        <v>49.710599999999999</v>
      </c>
      <c r="D2440" s="54">
        <v>49.978000000000002</v>
      </c>
      <c r="E2440" s="54">
        <v>32157167</v>
      </c>
      <c r="F2440" s="54" t="s">
        <v>3258</v>
      </c>
      <c r="G2440" s="25">
        <f t="shared" si="36"/>
        <v>8.7378446516468422E-3</v>
      </c>
    </row>
    <row r="2441" spans="1:7">
      <c r="A2441" s="54">
        <v>49.728400000000001</v>
      </c>
      <c r="B2441" s="54">
        <v>50.111600000000003</v>
      </c>
      <c r="C2441" s="54">
        <v>49.692799999999998</v>
      </c>
      <c r="D2441" s="54">
        <v>49.888800000000003</v>
      </c>
      <c r="E2441" s="54">
        <v>32776653</v>
      </c>
      <c r="F2441" s="54" t="s">
        <v>3259</v>
      </c>
      <c r="G2441" s="25">
        <f t="shared" si="36"/>
        <v>-3.2151504947002252E-3</v>
      </c>
    </row>
    <row r="2442" spans="1:7">
      <c r="A2442" s="54">
        <v>49.826500000000003</v>
      </c>
      <c r="B2442" s="54">
        <v>50.655299999999997</v>
      </c>
      <c r="C2442" s="54">
        <v>49.4878</v>
      </c>
      <c r="D2442" s="54">
        <v>50.040399999999998</v>
      </c>
      <c r="E2442" s="54">
        <v>89893301</v>
      </c>
      <c r="F2442" s="54" t="s">
        <v>3260</v>
      </c>
      <c r="G2442" s="25">
        <f t="shared" si="36"/>
        <v>-4.2745461666972018E-3</v>
      </c>
    </row>
    <row r="2443" spans="1:7">
      <c r="A2443" s="54">
        <v>47.313299999999998</v>
      </c>
      <c r="B2443" s="54">
        <v>48.035200000000003</v>
      </c>
      <c r="C2443" s="54">
        <v>47.170699999999997</v>
      </c>
      <c r="D2443" s="54">
        <v>47.8658</v>
      </c>
      <c r="E2443" s="54">
        <v>53336533</v>
      </c>
      <c r="F2443" s="54" t="s">
        <v>3261</v>
      </c>
      <c r="G2443" s="25">
        <f t="shared" si="36"/>
        <v>-1.154268809880965E-2</v>
      </c>
    </row>
    <row r="2444" spans="1:7">
      <c r="A2444" s="54">
        <v>48.0886</v>
      </c>
      <c r="B2444" s="54">
        <v>48.427300000000002</v>
      </c>
      <c r="C2444" s="54">
        <v>47.723300000000002</v>
      </c>
      <c r="D2444" s="54">
        <v>47.856900000000003</v>
      </c>
      <c r="E2444" s="54">
        <v>31433864</v>
      </c>
      <c r="F2444" s="54" t="s">
        <v>3262</v>
      </c>
      <c r="G2444" s="25">
        <f t="shared" si="36"/>
        <v>4.8415171062061724E-3</v>
      </c>
    </row>
    <row r="2445" spans="1:7">
      <c r="A2445" s="54">
        <v>47.856900000000003</v>
      </c>
      <c r="B2445" s="54">
        <v>48.124299999999998</v>
      </c>
      <c r="C2445" s="54">
        <v>47.420299999999997</v>
      </c>
      <c r="D2445" s="54">
        <v>48.079700000000003</v>
      </c>
      <c r="E2445" s="54">
        <v>32024385</v>
      </c>
      <c r="F2445" s="54" t="s">
        <v>3263</v>
      </c>
      <c r="G2445" s="25">
        <f t="shared" si="36"/>
        <v>-4.6339723417575529E-3</v>
      </c>
    </row>
    <row r="2446" spans="1:7">
      <c r="A2446" s="54">
        <v>47.892600000000002</v>
      </c>
      <c r="B2446" s="54">
        <v>48.115400000000001</v>
      </c>
      <c r="C2446" s="54">
        <v>47.75</v>
      </c>
      <c r="D2446" s="54">
        <v>47.981699999999996</v>
      </c>
      <c r="E2446" s="54">
        <v>24545520</v>
      </c>
      <c r="F2446" s="54" t="s">
        <v>3264</v>
      </c>
      <c r="G2446" s="25">
        <f t="shared" si="36"/>
        <v>-1.8569579652241153E-3</v>
      </c>
    </row>
    <row r="2447" spans="1:7">
      <c r="A2447" s="54">
        <v>47.687600000000003</v>
      </c>
      <c r="B2447" s="54">
        <v>47.999499999999998</v>
      </c>
      <c r="C2447" s="54">
        <v>47.393500000000003</v>
      </c>
      <c r="D2447" s="54">
        <v>47.732199999999999</v>
      </c>
      <c r="E2447" s="54">
        <v>25356841</v>
      </c>
      <c r="F2447" s="54" t="s">
        <v>3265</v>
      </c>
      <c r="G2447" s="25">
        <f t="shared" si="36"/>
        <v>-9.343797268928089E-4</v>
      </c>
    </row>
    <row r="2448" spans="1:7">
      <c r="A2448" s="54">
        <v>47.420299999999997</v>
      </c>
      <c r="B2448" s="54">
        <v>47.589599999999997</v>
      </c>
      <c r="C2448" s="54">
        <v>47.041499999999999</v>
      </c>
      <c r="D2448" s="54">
        <v>47.179600000000001</v>
      </c>
      <c r="E2448" s="54">
        <v>27317555</v>
      </c>
      <c r="F2448" s="54" t="s">
        <v>3266</v>
      </c>
      <c r="G2448" s="25">
        <f t="shared" si="36"/>
        <v>5.101781278349149E-3</v>
      </c>
    </row>
    <row r="2449" spans="1:7">
      <c r="A2449" s="54">
        <v>46.867699999999999</v>
      </c>
      <c r="B2449" s="54">
        <v>47.081600000000002</v>
      </c>
      <c r="C2449" s="54">
        <v>46.760800000000003</v>
      </c>
      <c r="D2449" s="54">
        <v>46.787500000000001</v>
      </c>
      <c r="E2449" s="54">
        <v>22269203</v>
      </c>
      <c r="F2449" s="54" t="s">
        <v>3267</v>
      </c>
      <c r="G2449" s="25">
        <f t="shared" si="36"/>
        <v>1.7141330483569917E-3</v>
      </c>
    </row>
    <row r="2450" spans="1:7">
      <c r="A2450" s="54">
        <v>46.609299999999998</v>
      </c>
      <c r="B2450" s="54">
        <v>46.662700000000001</v>
      </c>
      <c r="C2450" s="54">
        <v>45.940899999999999</v>
      </c>
      <c r="D2450" s="54">
        <v>46.101300000000002</v>
      </c>
      <c r="E2450" s="54">
        <v>28391026</v>
      </c>
      <c r="F2450" s="54" t="s">
        <v>3268</v>
      </c>
      <c r="G2450" s="25">
        <f t="shared" si="36"/>
        <v>1.1019212039573567E-2</v>
      </c>
    </row>
    <row r="2451" spans="1:7">
      <c r="A2451" s="54">
        <v>45.789400000000001</v>
      </c>
      <c r="B2451" s="54">
        <v>45.994300000000003</v>
      </c>
      <c r="C2451" s="54">
        <v>45.513100000000001</v>
      </c>
      <c r="D2451" s="54">
        <v>45.825000000000003</v>
      </c>
      <c r="E2451" s="54">
        <v>19585194</v>
      </c>
      <c r="F2451" s="54" t="s">
        <v>3269</v>
      </c>
      <c r="G2451" s="25">
        <f t="shared" si="36"/>
        <v>-7.768685215494564E-4</v>
      </c>
    </row>
    <row r="2452" spans="1:7">
      <c r="A2452" s="54">
        <v>45.789400000000001</v>
      </c>
      <c r="B2452" s="54">
        <v>45.932000000000002</v>
      </c>
      <c r="C2452" s="54">
        <v>44.9071</v>
      </c>
      <c r="D2452" s="54">
        <v>45.2547</v>
      </c>
      <c r="E2452" s="54">
        <v>28167461</v>
      </c>
      <c r="F2452" s="54" t="s">
        <v>3270</v>
      </c>
      <c r="G2452" s="25">
        <f t="shared" si="36"/>
        <v>1.1815347356186168E-2</v>
      </c>
    </row>
    <row r="2453" spans="1:7">
      <c r="A2453" s="54">
        <v>45.602200000000003</v>
      </c>
      <c r="B2453" s="54">
        <v>45.700299999999999</v>
      </c>
      <c r="C2453" s="54">
        <v>45.219000000000001</v>
      </c>
      <c r="D2453" s="54">
        <v>45.299199999999999</v>
      </c>
      <c r="E2453" s="54">
        <v>24806351</v>
      </c>
      <c r="F2453" s="54" t="s">
        <v>3271</v>
      </c>
      <c r="G2453" s="25">
        <f t="shared" si="36"/>
        <v>6.6888598474146299E-3</v>
      </c>
    </row>
    <row r="2454" spans="1:7">
      <c r="A2454" s="54">
        <v>45.593299999999999</v>
      </c>
      <c r="B2454" s="54">
        <v>46.092399999999998</v>
      </c>
      <c r="C2454" s="54">
        <v>45.513100000000001</v>
      </c>
      <c r="D2454" s="54">
        <v>45.566600000000001</v>
      </c>
      <c r="E2454" s="54">
        <v>21400392</v>
      </c>
      <c r="F2454" s="54" t="s">
        <v>3272</v>
      </c>
      <c r="G2454" s="25">
        <f t="shared" si="36"/>
        <v>5.8595550249518347E-4</v>
      </c>
    </row>
    <row r="2455" spans="1:7">
      <c r="A2455" s="54">
        <v>45.602200000000003</v>
      </c>
      <c r="B2455" s="54">
        <v>45.7181</v>
      </c>
      <c r="C2455" s="54">
        <v>45.005099999999999</v>
      </c>
      <c r="D2455" s="54">
        <v>45.2012</v>
      </c>
      <c r="E2455" s="54">
        <v>28527781</v>
      </c>
      <c r="F2455" s="54" t="s">
        <v>3273</v>
      </c>
      <c r="G2455" s="25">
        <f t="shared" si="36"/>
        <v>8.8714458908172311E-3</v>
      </c>
    </row>
    <row r="2456" spans="1:7">
      <c r="A2456" s="54">
        <v>45.040799999999997</v>
      </c>
      <c r="B2456" s="54">
        <v>45.2012</v>
      </c>
      <c r="C2456" s="54">
        <v>44.381300000000003</v>
      </c>
      <c r="D2456" s="54">
        <v>44.479300000000002</v>
      </c>
      <c r="E2456" s="54">
        <v>31304021</v>
      </c>
      <c r="F2456" s="54" t="s">
        <v>3274</v>
      </c>
      <c r="G2456" s="25">
        <f t="shared" ref="G2456:G2519" si="37">A2456/D2456-1</f>
        <v>1.2623849745836635E-2</v>
      </c>
    </row>
    <row r="2457" spans="1:7">
      <c r="A2457" s="54">
        <v>44.060499999999998</v>
      </c>
      <c r="B2457" s="54">
        <v>44.087200000000003</v>
      </c>
      <c r="C2457" s="54">
        <v>43.374200000000002</v>
      </c>
      <c r="D2457" s="54">
        <v>43.597000000000001</v>
      </c>
      <c r="E2457" s="54">
        <v>38140658</v>
      </c>
      <c r="F2457" s="54" t="s">
        <v>3275</v>
      </c>
      <c r="G2457" s="25">
        <f t="shared" si="37"/>
        <v>1.0631465467807244E-2</v>
      </c>
    </row>
    <row r="2458" spans="1:7">
      <c r="A2458" s="54">
        <v>43.160400000000003</v>
      </c>
      <c r="B2458" s="54">
        <v>43.798999999999999</v>
      </c>
      <c r="C2458" s="54">
        <v>42.808300000000003</v>
      </c>
      <c r="D2458" s="54">
        <v>43.7575</v>
      </c>
      <c r="E2458" s="54">
        <v>50576699</v>
      </c>
      <c r="F2458" s="54" t="s">
        <v>3276</v>
      </c>
      <c r="G2458" s="25">
        <f t="shared" si="37"/>
        <v>-1.3645660743872412E-2</v>
      </c>
    </row>
    <row r="2459" spans="1:7">
      <c r="A2459" s="54">
        <v>44.408000000000001</v>
      </c>
      <c r="B2459" s="54">
        <v>45.397199999999998</v>
      </c>
      <c r="C2459" s="54">
        <v>44.131799999999998</v>
      </c>
      <c r="D2459" s="54">
        <v>44.3902</v>
      </c>
      <c r="E2459" s="54">
        <v>133502985</v>
      </c>
      <c r="F2459" s="54" t="s">
        <v>3277</v>
      </c>
      <c r="G2459" s="25">
        <f t="shared" si="37"/>
        <v>4.0098940757204993E-4</v>
      </c>
    </row>
    <row r="2460" spans="1:7">
      <c r="A2460" s="54">
        <v>46.261699999999998</v>
      </c>
      <c r="B2460" s="54">
        <v>46.395400000000002</v>
      </c>
      <c r="C2460" s="54">
        <v>45.584400000000002</v>
      </c>
      <c r="D2460" s="54">
        <v>45.700299999999999</v>
      </c>
      <c r="E2460" s="54">
        <v>29028833</v>
      </c>
      <c r="F2460" s="54" t="s">
        <v>3278</v>
      </c>
      <c r="G2460" s="25">
        <f t="shared" si="37"/>
        <v>1.2284383253501563E-2</v>
      </c>
    </row>
    <row r="2461" spans="1:7">
      <c r="A2461" s="54">
        <v>45.441800000000001</v>
      </c>
      <c r="B2461" s="54">
        <v>45.860700000000001</v>
      </c>
      <c r="C2461" s="54">
        <v>45.4084</v>
      </c>
      <c r="D2461" s="54">
        <v>45.521999999999998</v>
      </c>
      <c r="E2461" s="54">
        <v>28816848</v>
      </c>
      <c r="F2461" s="54" t="s">
        <v>3279</v>
      </c>
      <c r="G2461" s="25">
        <f t="shared" si="37"/>
        <v>-1.7617855103027047E-3</v>
      </c>
    </row>
    <row r="2462" spans="1:7">
      <c r="A2462" s="54">
        <v>45.62</v>
      </c>
      <c r="B2462" s="54">
        <v>45.8339</v>
      </c>
      <c r="C2462" s="54">
        <v>44.702100000000002</v>
      </c>
      <c r="D2462" s="54">
        <v>44.7378</v>
      </c>
      <c r="E2462" s="54">
        <v>34097825</v>
      </c>
      <c r="F2462" s="54" t="s">
        <v>3280</v>
      </c>
      <c r="G2462" s="25">
        <f t="shared" si="37"/>
        <v>1.9719342479960877E-2</v>
      </c>
    </row>
    <row r="2463" spans="1:7">
      <c r="A2463" s="54">
        <v>44.621899999999997</v>
      </c>
      <c r="B2463" s="54">
        <v>45.299199999999999</v>
      </c>
      <c r="C2463" s="54">
        <v>44.586300000000001</v>
      </c>
      <c r="D2463" s="54">
        <v>45.129899999999999</v>
      </c>
      <c r="E2463" s="54">
        <v>35607946</v>
      </c>
      <c r="F2463" s="54" t="s">
        <v>3281</v>
      </c>
      <c r="G2463" s="25">
        <f t="shared" si="37"/>
        <v>-1.1256395427421739E-2</v>
      </c>
    </row>
    <row r="2464" spans="1:7">
      <c r="A2464" s="54">
        <v>44.675400000000003</v>
      </c>
      <c r="B2464" s="54">
        <v>44.942700000000002</v>
      </c>
      <c r="C2464" s="54">
        <v>44.399099999999997</v>
      </c>
      <c r="D2464" s="54">
        <v>44.924900000000001</v>
      </c>
      <c r="E2464" s="54">
        <v>45710516</v>
      </c>
      <c r="F2464" s="54" t="s">
        <v>3282</v>
      </c>
      <c r="G2464" s="25">
        <f t="shared" si="37"/>
        <v>-5.5537129743192803E-3</v>
      </c>
    </row>
    <row r="2465" spans="1:7">
      <c r="A2465" s="54">
        <v>44.9071</v>
      </c>
      <c r="B2465" s="54">
        <v>44.978400000000001</v>
      </c>
      <c r="C2465" s="54">
        <v>44.12</v>
      </c>
      <c r="D2465" s="54">
        <v>44.131799999999998</v>
      </c>
      <c r="E2465" s="54">
        <v>31188605</v>
      </c>
      <c r="F2465" s="54" t="s">
        <v>3283</v>
      </c>
      <c r="G2465" s="25">
        <f t="shared" si="37"/>
        <v>1.7567830906511928E-2</v>
      </c>
    </row>
    <row r="2466" spans="1:7">
      <c r="A2466" s="54">
        <v>44.283299999999997</v>
      </c>
      <c r="B2466" s="54">
        <v>44.666499999999999</v>
      </c>
      <c r="C2466" s="54">
        <v>44.283299999999997</v>
      </c>
      <c r="D2466" s="54">
        <v>44.363500000000002</v>
      </c>
      <c r="E2466" s="54">
        <v>33757639</v>
      </c>
      <c r="F2466" s="54" t="s">
        <v>3284</v>
      </c>
      <c r="G2466" s="25">
        <f t="shared" si="37"/>
        <v>-1.8077924419850344E-3</v>
      </c>
    </row>
    <row r="2467" spans="1:7">
      <c r="A2467" s="54">
        <v>44.408000000000001</v>
      </c>
      <c r="B2467" s="54">
        <v>44.648600000000002</v>
      </c>
      <c r="C2467" s="54">
        <v>44.176299999999998</v>
      </c>
      <c r="D2467" s="54">
        <v>44.470399999999998</v>
      </c>
      <c r="E2467" s="54">
        <v>42577106</v>
      </c>
      <c r="F2467" s="54" t="s">
        <v>3285</v>
      </c>
      <c r="G2467" s="25">
        <f t="shared" si="37"/>
        <v>-1.4031805425630539E-3</v>
      </c>
    </row>
    <row r="2468" spans="1:7">
      <c r="A2468" s="54">
        <v>44.6843</v>
      </c>
      <c r="B2468" s="54">
        <v>45.1967</v>
      </c>
      <c r="C2468" s="54">
        <v>43.721800000000002</v>
      </c>
      <c r="D2468" s="54">
        <v>44.185200000000002</v>
      </c>
      <c r="E2468" s="54">
        <v>83217844</v>
      </c>
      <c r="F2468" s="54" t="s">
        <v>3286</v>
      </c>
      <c r="G2468" s="25">
        <f t="shared" si="37"/>
        <v>1.1295637453264895E-2</v>
      </c>
    </row>
    <row r="2469" spans="1:7">
      <c r="A2469" s="54">
        <v>45.878500000000003</v>
      </c>
      <c r="B2469" s="54">
        <v>46.386499999999998</v>
      </c>
      <c r="C2469" s="54">
        <v>45.486400000000003</v>
      </c>
      <c r="D2469" s="54">
        <v>45.4953</v>
      </c>
      <c r="E2469" s="54">
        <v>25833151</v>
      </c>
      <c r="F2469" s="54" t="s">
        <v>3287</v>
      </c>
      <c r="G2469" s="25">
        <f t="shared" si="37"/>
        <v>8.4228480744166223E-3</v>
      </c>
    </row>
    <row r="2470" spans="1:7">
      <c r="A2470" s="54">
        <v>46.003300000000003</v>
      </c>
      <c r="B2470" s="54">
        <v>46.341900000000003</v>
      </c>
      <c r="C2470" s="54">
        <v>45.8874</v>
      </c>
      <c r="D2470" s="54">
        <v>46.341900000000003</v>
      </c>
      <c r="E2470" s="54">
        <v>20305664</v>
      </c>
      <c r="F2470" s="54" t="s">
        <v>3288</v>
      </c>
      <c r="G2470" s="25">
        <f t="shared" si="37"/>
        <v>-7.3065627434352187E-3</v>
      </c>
    </row>
    <row r="2471" spans="1:7">
      <c r="A2471" s="54">
        <v>46.377600000000001</v>
      </c>
      <c r="B2471" s="54">
        <v>46.734000000000002</v>
      </c>
      <c r="C2471" s="54">
        <v>46.226100000000002</v>
      </c>
      <c r="D2471" s="54">
        <v>46.359699999999997</v>
      </c>
      <c r="E2471" s="54">
        <v>21149438</v>
      </c>
      <c r="F2471" s="54" t="s">
        <v>3289</v>
      </c>
      <c r="G2471" s="25">
        <f t="shared" si="37"/>
        <v>3.8611121297171813E-4</v>
      </c>
    </row>
    <row r="2472" spans="1:7">
      <c r="A2472" s="54">
        <v>46.430999999999997</v>
      </c>
      <c r="B2472" s="54">
        <v>46.9925</v>
      </c>
      <c r="C2472" s="54">
        <v>46.430999999999997</v>
      </c>
      <c r="D2472" s="54">
        <v>46.555799999999998</v>
      </c>
      <c r="E2472" s="54">
        <v>20866770</v>
      </c>
      <c r="F2472" s="54" t="s">
        <v>3290</v>
      </c>
      <c r="G2472" s="25">
        <f t="shared" si="37"/>
        <v>-2.6806541827226749E-3</v>
      </c>
    </row>
    <row r="2473" spans="1:7">
      <c r="A2473" s="54">
        <v>46.457799999999999</v>
      </c>
      <c r="B2473" s="54">
        <v>46.653799999999997</v>
      </c>
      <c r="C2473" s="54">
        <v>46.243899999999996</v>
      </c>
      <c r="D2473" s="54">
        <v>46.332999999999998</v>
      </c>
      <c r="E2473" s="54">
        <v>18243271</v>
      </c>
      <c r="F2473" s="54" t="s">
        <v>3291</v>
      </c>
      <c r="G2473" s="25">
        <f t="shared" si="37"/>
        <v>2.6935445578746275E-3</v>
      </c>
    </row>
    <row r="2474" spans="1:7">
      <c r="A2474" s="54">
        <v>46.154800000000002</v>
      </c>
      <c r="B2474" s="54">
        <v>46.716200000000001</v>
      </c>
      <c r="C2474" s="54">
        <v>45.985399999999998</v>
      </c>
      <c r="D2474" s="54">
        <v>46.680599999999998</v>
      </c>
      <c r="E2474" s="54">
        <v>23368291</v>
      </c>
      <c r="F2474" s="54" t="s">
        <v>3292</v>
      </c>
      <c r="G2474" s="25">
        <f t="shared" si="37"/>
        <v>-1.126377981431248E-2</v>
      </c>
    </row>
    <row r="2475" spans="1:7">
      <c r="A2475" s="54">
        <v>46.7697</v>
      </c>
      <c r="B2475" s="54">
        <v>47.001399999999997</v>
      </c>
      <c r="C2475" s="54">
        <v>46.194899999999997</v>
      </c>
      <c r="D2475" s="54">
        <v>46.912300000000002</v>
      </c>
      <c r="E2475" s="54">
        <v>22840779</v>
      </c>
      <c r="F2475" s="54" t="s">
        <v>3293</v>
      </c>
      <c r="G2475" s="25">
        <f t="shared" si="37"/>
        <v>-3.039714531157145E-3</v>
      </c>
    </row>
    <row r="2476" spans="1:7">
      <c r="A2476" s="54">
        <v>47.099400000000003</v>
      </c>
      <c r="B2476" s="54">
        <v>47.188499999999998</v>
      </c>
      <c r="C2476" s="54">
        <v>46.734000000000002</v>
      </c>
      <c r="D2476" s="54">
        <v>46.734000000000002</v>
      </c>
      <c r="E2476" s="54">
        <v>25324828</v>
      </c>
      <c r="F2476" s="54" t="s">
        <v>3294</v>
      </c>
      <c r="G2476" s="25">
        <f t="shared" si="37"/>
        <v>7.8187187058673668E-3</v>
      </c>
    </row>
    <row r="2477" spans="1:7">
      <c r="A2477" s="54">
        <v>47.2331</v>
      </c>
      <c r="B2477" s="54">
        <v>47.2331</v>
      </c>
      <c r="C2477" s="54">
        <v>46.413200000000003</v>
      </c>
      <c r="D2477" s="54">
        <v>46.573599999999999</v>
      </c>
      <c r="E2477" s="54">
        <v>37653081</v>
      </c>
      <c r="F2477" s="54" t="s">
        <v>3295</v>
      </c>
      <c r="G2477" s="25">
        <f t="shared" si="37"/>
        <v>1.4160382706082553E-2</v>
      </c>
    </row>
    <row r="2478" spans="1:7">
      <c r="A2478" s="54">
        <v>46.627099999999999</v>
      </c>
      <c r="B2478" s="54">
        <v>46.627099999999999</v>
      </c>
      <c r="C2478" s="54">
        <v>46.136899999999997</v>
      </c>
      <c r="D2478" s="54">
        <v>46.270600000000002</v>
      </c>
      <c r="E2478" s="54">
        <v>17721438</v>
      </c>
      <c r="F2478" s="54" t="s">
        <v>3296</v>
      </c>
      <c r="G2478" s="25">
        <f t="shared" si="37"/>
        <v>7.7046764035910709E-3</v>
      </c>
    </row>
    <row r="2479" spans="1:7">
      <c r="A2479" s="54">
        <v>46.243899999999996</v>
      </c>
      <c r="B2479" s="54">
        <v>46.323500000000003</v>
      </c>
      <c r="C2479" s="54">
        <v>45.771500000000003</v>
      </c>
      <c r="D2479" s="54">
        <v>46.279499999999999</v>
      </c>
      <c r="E2479" s="54">
        <v>24335223</v>
      </c>
      <c r="F2479" s="54" t="s">
        <v>3297</v>
      </c>
      <c r="G2479" s="25">
        <f t="shared" si="37"/>
        <v>-7.6923907993819984E-4</v>
      </c>
    </row>
    <row r="2480" spans="1:7">
      <c r="A2480" s="54">
        <v>46.448900000000002</v>
      </c>
      <c r="B2480" s="54">
        <v>46.778599999999997</v>
      </c>
      <c r="C2480" s="54">
        <v>46.154800000000002</v>
      </c>
      <c r="D2480" s="54">
        <v>46.270600000000002</v>
      </c>
      <c r="E2480" s="54">
        <v>24204566</v>
      </c>
      <c r="F2480" s="54" t="s">
        <v>3298</v>
      </c>
      <c r="G2480" s="25">
        <f t="shared" si="37"/>
        <v>3.8534188015715287E-3</v>
      </c>
    </row>
    <row r="2481" spans="1:7">
      <c r="A2481" s="54">
        <v>45.976500000000001</v>
      </c>
      <c r="B2481" s="54">
        <v>46.083500000000001</v>
      </c>
      <c r="C2481" s="54">
        <v>44.915999999999997</v>
      </c>
      <c r="D2481" s="54">
        <v>45.183399999999999</v>
      </c>
      <c r="E2481" s="54">
        <v>34757944</v>
      </c>
      <c r="F2481" s="54" t="s">
        <v>3299</v>
      </c>
      <c r="G2481" s="25">
        <f t="shared" si="37"/>
        <v>1.7552906598440998E-2</v>
      </c>
    </row>
    <row r="2482" spans="1:7">
      <c r="A2482" s="54">
        <v>44.586300000000001</v>
      </c>
      <c r="B2482" s="54">
        <v>45.165500000000002</v>
      </c>
      <c r="C2482" s="54">
        <v>44.541699999999999</v>
      </c>
      <c r="D2482" s="54">
        <v>45.094200000000001</v>
      </c>
      <c r="E2482" s="54">
        <v>26118720</v>
      </c>
      <c r="F2482" s="54" t="s">
        <v>3300</v>
      </c>
      <c r="G2482" s="25">
        <f t="shared" si="37"/>
        <v>-1.1263089266468795E-2</v>
      </c>
    </row>
    <row r="2483" spans="1:7">
      <c r="A2483" s="54">
        <v>45.112099999999998</v>
      </c>
      <c r="B2483" s="54">
        <v>45.646799999999999</v>
      </c>
      <c r="C2483" s="54">
        <v>44.915999999999997</v>
      </c>
      <c r="D2483" s="54">
        <v>44.987299999999998</v>
      </c>
      <c r="E2483" s="54">
        <v>23905769</v>
      </c>
      <c r="F2483" s="54" t="s">
        <v>3301</v>
      </c>
      <c r="G2483" s="25">
        <f t="shared" si="37"/>
        <v>2.7741162505863226E-3</v>
      </c>
    </row>
    <row r="2484" spans="1:7">
      <c r="A2484" s="54">
        <v>44.844700000000003</v>
      </c>
      <c r="B2484" s="54">
        <v>45.112099999999998</v>
      </c>
      <c r="C2484" s="54">
        <v>44.399099999999997</v>
      </c>
      <c r="D2484" s="54">
        <v>44.978400000000001</v>
      </c>
      <c r="E2484" s="54">
        <v>23842358</v>
      </c>
      <c r="F2484" s="54" t="s">
        <v>3302</v>
      </c>
      <c r="G2484" s="25">
        <f t="shared" si="37"/>
        <v>-2.9725379293171761E-3</v>
      </c>
    </row>
    <row r="2485" spans="1:7">
      <c r="A2485" s="54">
        <v>45.281399999999998</v>
      </c>
      <c r="B2485" s="54">
        <v>45.575499999999998</v>
      </c>
      <c r="C2485" s="54">
        <v>44.826900000000002</v>
      </c>
      <c r="D2485" s="54">
        <v>44.987299999999998</v>
      </c>
      <c r="E2485" s="54">
        <v>24907532</v>
      </c>
      <c r="F2485" s="54" t="s">
        <v>3303</v>
      </c>
      <c r="G2485" s="25">
        <f t="shared" si="37"/>
        <v>6.5374005552678582E-3</v>
      </c>
    </row>
    <row r="2486" spans="1:7">
      <c r="A2486" s="54">
        <v>45.014000000000003</v>
      </c>
      <c r="B2486" s="54">
        <v>46.101300000000002</v>
      </c>
      <c r="C2486" s="54">
        <v>44.880400000000002</v>
      </c>
      <c r="D2486" s="54">
        <v>46.092399999999998</v>
      </c>
      <c r="E2486" s="54">
        <v>27803514</v>
      </c>
      <c r="F2486" s="54" t="s">
        <v>3304</v>
      </c>
      <c r="G2486" s="25">
        <f t="shared" si="37"/>
        <v>-2.339648184950216E-2</v>
      </c>
    </row>
    <row r="2487" spans="1:7">
      <c r="A2487" s="54">
        <v>45.869599999999998</v>
      </c>
      <c r="B2487" s="54">
        <v>45.9846</v>
      </c>
      <c r="C2487" s="54">
        <v>44.913800000000002</v>
      </c>
      <c r="D2487" s="54">
        <v>44.957999999999998</v>
      </c>
      <c r="E2487" s="54">
        <v>20032017</v>
      </c>
      <c r="F2487" s="54" t="s">
        <v>3305</v>
      </c>
      <c r="G2487" s="25">
        <f t="shared" si="37"/>
        <v>2.0276702700298133E-2</v>
      </c>
    </row>
    <row r="2488" spans="1:7">
      <c r="A2488" s="54">
        <v>45.205800000000004</v>
      </c>
      <c r="B2488" s="54">
        <v>45.927100000000003</v>
      </c>
      <c r="C2488" s="54">
        <v>45.170400000000001</v>
      </c>
      <c r="D2488" s="54">
        <v>45.5244</v>
      </c>
      <c r="E2488" s="54">
        <v>22592342</v>
      </c>
      <c r="F2488" s="54" t="s">
        <v>3306</v>
      </c>
      <c r="G2488" s="25">
        <f t="shared" si="37"/>
        <v>-6.9984447900466318E-3</v>
      </c>
    </row>
    <row r="2489" spans="1:7">
      <c r="A2489" s="54">
        <v>45.586399999999998</v>
      </c>
      <c r="B2489" s="54">
        <v>45.851900000000001</v>
      </c>
      <c r="C2489" s="54">
        <v>45.0642</v>
      </c>
      <c r="D2489" s="54">
        <v>45.311999999999998</v>
      </c>
      <c r="E2489" s="54">
        <v>24102781</v>
      </c>
      <c r="F2489" s="54" t="s">
        <v>3307</v>
      </c>
      <c r="G2489" s="25">
        <f t="shared" si="37"/>
        <v>6.0557909604519455E-3</v>
      </c>
    </row>
    <row r="2490" spans="1:7">
      <c r="A2490" s="54">
        <v>45.179299999999998</v>
      </c>
      <c r="B2490" s="54">
        <v>45.825299999999999</v>
      </c>
      <c r="C2490" s="54">
        <v>45.134999999999998</v>
      </c>
      <c r="D2490" s="54">
        <v>45.250100000000003</v>
      </c>
      <c r="E2490" s="54">
        <v>24039140</v>
      </c>
      <c r="F2490" s="54" t="s">
        <v>3308</v>
      </c>
      <c r="G2490" s="25">
        <f t="shared" si="37"/>
        <v>-1.5646374262157092E-3</v>
      </c>
    </row>
    <row r="2491" spans="1:7">
      <c r="A2491" s="54">
        <v>45.152700000000003</v>
      </c>
      <c r="B2491" s="54">
        <v>45.223500000000001</v>
      </c>
      <c r="C2491" s="54">
        <v>44.418199999999999</v>
      </c>
      <c r="D2491" s="54">
        <v>44.542099999999998</v>
      </c>
      <c r="E2491" s="54">
        <v>22890966</v>
      </c>
      <c r="F2491" s="54" t="s">
        <v>3309</v>
      </c>
      <c r="G2491" s="25">
        <f t="shared" si="37"/>
        <v>1.3708379263662973E-2</v>
      </c>
    </row>
    <row r="2492" spans="1:7">
      <c r="A2492" s="54">
        <v>44.311999999999998</v>
      </c>
      <c r="B2492" s="54">
        <v>44.767800000000001</v>
      </c>
      <c r="C2492" s="54">
        <v>44.25</v>
      </c>
      <c r="D2492" s="54">
        <v>44.683700000000002</v>
      </c>
      <c r="E2492" s="54">
        <v>17951598</v>
      </c>
      <c r="F2492" s="54" t="s">
        <v>3310</v>
      </c>
      <c r="G2492" s="25">
        <f t="shared" si="37"/>
        <v>-8.3184695985337731E-3</v>
      </c>
    </row>
    <row r="2493" spans="1:7">
      <c r="A2493" s="54">
        <v>44.595199999999998</v>
      </c>
      <c r="B2493" s="54">
        <v>44.595199999999998</v>
      </c>
      <c r="C2493" s="54">
        <v>43.949100000000001</v>
      </c>
      <c r="D2493" s="54">
        <v>44.179200000000002</v>
      </c>
      <c r="E2493" s="54">
        <v>24787301</v>
      </c>
      <c r="F2493" s="54" t="s">
        <v>3311</v>
      </c>
      <c r="G2493" s="25">
        <f t="shared" si="37"/>
        <v>9.4161958568736992E-3</v>
      </c>
    </row>
    <row r="2494" spans="1:7">
      <c r="A2494" s="54">
        <v>44.196899999999999</v>
      </c>
      <c r="B2494" s="54">
        <v>44.515500000000003</v>
      </c>
      <c r="C2494" s="54">
        <v>44.011099999999999</v>
      </c>
      <c r="D2494" s="54">
        <v>44.134999999999998</v>
      </c>
      <c r="E2494" s="54">
        <v>25390718</v>
      </c>
      <c r="F2494" s="54" t="s">
        <v>3312</v>
      </c>
      <c r="G2494" s="25">
        <f t="shared" si="37"/>
        <v>1.4025150107623841E-3</v>
      </c>
    </row>
    <row r="2495" spans="1:7">
      <c r="A2495" s="54">
        <v>44.134999999999998</v>
      </c>
      <c r="B2495" s="54">
        <v>44.303100000000001</v>
      </c>
      <c r="C2495" s="54">
        <v>43.772100000000002</v>
      </c>
      <c r="D2495" s="54">
        <v>44.108400000000003</v>
      </c>
      <c r="E2495" s="54">
        <v>24257556</v>
      </c>
      <c r="F2495" s="54" t="s">
        <v>3313</v>
      </c>
      <c r="G2495" s="25">
        <f t="shared" si="37"/>
        <v>6.030597346535771E-4</v>
      </c>
    </row>
    <row r="2496" spans="1:7">
      <c r="A2496" s="54">
        <v>44.055300000000003</v>
      </c>
      <c r="B2496" s="54">
        <v>44.612900000000003</v>
      </c>
      <c r="C2496" s="54">
        <v>43.896000000000001</v>
      </c>
      <c r="D2496" s="54">
        <v>44.550899999999999</v>
      </c>
      <c r="E2496" s="54">
        <v>26460244</v>
      </c>
      <c r="F2496" s="54" t="s">
        <v>3314</v>
      </c>
      <c r="G2496" s="25">
        <f t="shared" si="37"/>
        <v>-1.1124354390146918E-2</v>
      </c>
    </row>
    <row r="2497" spans="1:7">
      <c r="A2497" s="54">
        <v>44.789900000000003</v>
      </c>
      <c r="B2497" s="54">
        <v>44.913800000000002</v>
      </c>
      <c r="C2497" s="54">
        <v>44.055199999999999</v>
      </c>
      <c r="D2497" s="54">
        <v>44.25</v>
      </c>
      <c r="E2497" s="54">
        <v>33114539</v>
      </c>
      <c r="F2497" s="54" t="s">
        <v>3315</v>
      </c>
      <c r="G2497" s="25">
        <f t="shared" si="37"/>
        <v>1.2201129943502975E-2</v>
      </c>
    </row>
    <row r="2498" spans="1:7">
      <c r="A2498" s="54">
        <v>44.134999999999998</v>
      </c>
      <c r="B2498" s="54">
        <v>44.471299999999999</v>
      </c>
      <c r="C2498" s="54">
        <v>43.674799999999998</v>
      </c>
      <c r="D2498" s="54">
        <v>43.674799999999998</v>
      </c>
      <c r="E2498" s="54">
        <v>48411684</v>
      </c>
      <c r="F2498" s="54" t="s">
        <v>3316</v>
      </c>
      <c r="G2498" s="25">
        <f t="shared" si="37"/>
        <v>1.0536968686748471E-2</v>
      </c>
    </row>
    <row r="2499" spans="1:7">
      <c r="A2499" s="54">
        <v>44.161499999999997</v>
      </c>
      <c r="B2499" s="54">
        <v>44.9315</v>
      </c>
      <c r="C2499" s="54">
        <v>43.860599999999998</v>
      </c>
      <c r="D2499" s="54">
        <v>44.798699999999997</v>
      </c>
      <c r="E2499" s="54">
        <v>43134846</v>
      </c>
      <c r="F2499" s="54" t="s">
        <v>3317</v>
      </c>
      <c r="G2499" s="25">
        <f t="shared" si="37"/>
        <v>-1.4223627024891328E-2</v>
      </c>
    </row>
    <row r="2500" spans="1:7">
      <c r="A2500" s="54">
        <v>45.081899999999997</v>
      </c>
      <c r="B2500" s="54">
        <v>45.577500000000001</v>
      </c>
      <c r="C2500" s="54">
        <v>44.736800000000002</v>
      </c>
      <c r="D2500" s="54">
        <v>45.559800000000003</v>
      </c>
      <c r="E2500" s="54">
        <v>43369256</v>
      </c>
      <c r="F2500" s="54" t="s">
        <v>3318</v>
      </c>
      <c r="G2500" s="25">
        <f t="shared" si="37"/>
        <v>-1.0489510489510634E-2</v>
      </c>
    </row>
    <row r="2501" spans="1:7">
      <c r="A2501" s="54">
        <v>45.5244</v>
      </c>
      <c r="B2501" s="54">
        <v>46.329799999999999</v>
      </c>
      <c r="C2501" s="54">
        <v>45.214700000000001</v>
      </c>
      <c r="D2501" s="54">
        <v>46.250100000000003</v>
      </c>
      <c r="E2501" s="54">
        <v>33532636</v>
      </c>
      <c r="F2501" s="54" t="s">
        <v>3319</v>
      </c>
      <c r="G2501" s="25">
        <f t="shared" si="37"/>
        <v>-1.5690776884806801E-2</v>
      </c>
    </row>
    <row r="2502" spans="1:7">
      <c r="A2502" s="54">
        <v>46.117400000000004</v>
      </c>
      <c r="B2502" s="54">
        <v>46.135100000000001</v>
      </c>
      <c r="C2502" s="54">
        <v>45.692599999999999</v>
      </c>
      <c r="D2502" s="54">
        <v>45.825299999999999</v>
      </c>
      <c r="E2502" s="54">
        <v>33226948</v>
      </c>
      <c r="F2502" s="54" t="s">
        <v>3320</v>
      </c>
      <c r="G2502" s="25">
        <f t="shared" si="37"/>
        <v>6.3742081339348555E-3</v>
      </c>
    </row>
    <row r="2503" spans="1:7">
      <c r="A2503" s="54">
        <v>45.825299999999999</v>
      </c>
      <c r="B2503" s="54">
        <v>46.400300000000001</v>
      </c>
      <c r="C2503" s="54">
        <v>44.9315</v>
      </c>
      <c r="D2503" s="54">
        <v>45.940399999999997</v>
      </c>
      <c r="E2503" s="54">
        <v>126834091</v>
      </c>
      <c r="F2503" s="54" t="s">
        <v>3321</v>
      </c>
      <c r="G2503" s="25">
        <f t="shared" si="37"/>
        <v>-2.5054200659985204E-3</v>
      </c>
    </row>
    <row r="2504" spans="1:7">
      <c r="A2504" s="54">
        <v>49.365299999999998</v>
      </c>
      <c r="B2504" s="54">
        <v>49.763599999999997</v>
      </c>
      <c r="C2504" s="54">
        <v>49.042299999999997</v>
      </c>
      <c r="D2504" s="54">
        <v>49.383000000000003</v>
      </c>
      <c r="E2504" s="54">
        <v>38909096</v>
      </c>
      <c r="F2504" s="54" t="s">
        <v>3322</v>
      </c>
      <c r="G2504" s="25">
        <f t="shared" si="37"/>
        <v>-3.5842293906818146E-4</v>
      </c>
    </row>
    <row r="2505" spans="1:7">
      <c r="A2505" s="54">
        <v>49.197200000000002</v>
      </c>
      <c r="B2505" s="54">
        <v>50.002499999999998</v>
      </c>
      <c r="C2505" s="54">
        <v>49.104300000000002</v>
      </c>
      <c r="D2505" s="54">
        <v>49.816699999999997</v>
      </c>
      <c r="E2505" s="54">
        <v>36195714</v>
      </c>
      <c r="F2505" s="54" t="s">
        <v>3323</v>
      </c>
      <c r="G2505" s="25">
        <f t="shared" si="37"/>
        <v>-1.2435588868792924E-2</v>
      </c>
    </row>
    <row r="2506" spans="1:7">
      <c r="A2506" s="54">
        <v>49.905200000000001</v>
      </c>
      <c r="B2506" s="54">
        <v>50.241500000000002</v>
      </c>
      <c r="C2506" s="54">
        <v>49.276800000000001</v>
      </c>
      <c r="D2506" s="54">
        <v>50.117600000000003</v>
      </c>
      <c r="E2506" s="54">
        <v>29596827</v>
      </c>
      <c r="F2506" s="54" t="s">
        <v>3324</v>
      </c>
      <c r="G2506" s="25">
        <f t="shared" si="37"/>
        <v>-4.2380321483870276E-3</v>
      </c>
    </row>
    <row r="2507" spans="1:7">
      <c r="A2507" s="54">
        <v>49.967100000000002</v>
      </c>
      <c r="B2507" s="54">
        <v>50.0822</v>
      </c>
      <c r="C2507" s="54">
        <v>48.860900000000001</v>
      </c>
      <c r="D2507" s="54">
        <v>49.108699999999999</v>
      </c>
      <c r="E2507" s="54">
        <v>23785950</v>
      </c>
      <c r="F2507" s="54" t="s">
        <v>3325</v>
      </c>
      <c r="G2507" s="25">
        <f t="shared" si="37"/>
        <v>1.7479591192599342E-2</v>
      </c>
    </row>
    <row r="2508" spans="1:7">
      <c r="A2508" s="54">
        <v>49.250300000000003</v>
      </c>
      <c r="B2508" s="54">
        <v>49.489199999999997</v>
      </c>
      <c r="C2508" s="54">
        <v>48.772399999999998</v>
      </c>
      <c r="D2508" s="54">
        <v>48.9405</v>
      </c>
      <c r="E2508" s="54">
        <v>28793753</v>
      </c>
      <c r="F2508" s="54" t="s">
        <v>3326</v>
      </c>
      <c r="G2508" s="25">
        <f t="shared" si="37"/>
        <v>6.3301355727873876E-3</v>
      </c>
    </row>
    <row r="2509" spans="1:7">
      <c r="A2509" s="54">
        <v>48.993600000000001</v>
      </c>
      <c r="B2509" s="54">
        <v>49.183900000000001</v>
      </c>
      <c r="C2509" s="54">
        <v>48.737000000000002</v>
      </c>
      <c r="D2509" s="54">
        <v>48.869700000000002</v>
      </c>
      <c r="E2509" s="54">
        <v>20877108</v>
      </c>
      <c r="F2509" s="54" t="s">
        <v>3327</v>
      </c>
      <c r="G2509" s="25">
        <f t="shared" si="37"/>
        <v>2.5353132922854016E-3</v>
      </c>
    </row>
    <row r="2510" spans="1:7">
      <c r="A2510" s="54">
        <v>48.9848</v>
      </c>
      <c r="B2510" s="54">
        <v>49.062199999999997</v>
      </c>
      <c r="C2510" s="54">
        <v>48.5777</v>
      </c>
      <c r="D2510" s="54">
        <v>48.781199999999998</v>
      </c>
      <c r="E2510" s="54">
        <v>20817961</v>
      </c>
      <c r="F2510" s="54" t="s">
        <v>3328</v>
      </c>
      <c r="G2510" s="25">
        <f t="shared" si="37"/>
        <v>4.1737390634097871E-3</v>
      </c>
    </row>
    <row r="2511" spans="1:7">
      <c r="A2511" s="54">
        <v>48.365299999999998</v>
      </c>
      <c r="B2511" s="54">
        <v>48.4803</v>
      </c>
      <c r="C2511" s="54">
        <v>47.577599999999997</v>
      </c>
      <c r="D2511" s="54">
        <v>48.1175</v>
      </c>
      <c r="E2511" s="54">
        <v>24944288</v>
      </c>
      <c r="F2511" s="54" t="s">
        <v>3329</v>
      </c>
      <c r="G2511" s="25">
        <f t="shared" si="37"/>
        <v>5.1498934898945858E-3</v>
      </c>
    </row>
    <row r="2512" spans="1:7">
      <c r="A2512" s="54">
        <v>48.064399999999999</v>
      </c>
      <c r="B2512" s="54">
        <v>48.8078</v>
      </c>
      <c r="C2512" s="54">
        <v>48.055500000000002</v>
      </c>
      <c r="D2512" s="54">
        <v>48.223700000000001</v>
      </c>
      <c r="E2512" s="54">
        <v>21414227</v>
      </c>
      <c r="F2512" s="54" t="s">
        <v>3330</v>
      </c>
      <c r="G2512" s="25">
        <f t="shared" si="37"/>
        <v>-3.3033549893517478E-3</v>
      </c>
    </row>
    <row r="2513" spans="1:7">
      <c r="A2513" s="54">
        <v>48.161700000000003</v>
      </c>
      <c r="B2513" s="54">
        <v>48.922800000000002</v>
      </c>
      <c r="C2513" s="54">
        <v>48.0732</v>
      </c>
      <c r="D2513" s="54">
        <v>48.383000000000003</v>
      </c>
      <c r="E2513" s="54">
        <v>22167223</v>
      </c>
      <c r="F2513" s="54" t="s">
        <v>3331</v>
      </c>
      <c r="G2513" s="25">
        <f t="shared" si="37"/>
        <v>-4.5739205919433923E-3</v>
      </c>
    </row>
    <row r="2514" spans="1:7">
      <c r="A2514" s="54">
        <v>48.197099999999999</v>
      </c>
      <c r="B2514" s="54">
        <v>48.595399999999998</v>
      </c>
      <c r="C2514" s="54">
        <v>47.993600000000001</v>
      </c>
      <c r="D2514" s="54">
        <v>48.56</v>
      </c>
      <c r="E2514" s="54">
        <v>19225092</v>
      </c>
      <c r="F2514" s="54" t="s">
        <v>3332</v>
      </c>
      <c r="G2514" s="25">
        <f t="shared" si="37"/>
        <v>-7.4732289950577568E-3</v>
      </c>
    </row>
    <row r="2515" spans="1:7">
      <c r="A2515" s="54">
        <v>48.781199999999998</v>
      </c>
      <c r="B2515" s="54">
        <v>48.851999999999997</v>
      </c>
      <c r="C2515" s="54">
        <v>47.975900000000003</v>
      </c>
      <c r="D2515" s="54">
        <v>48.108600000000003</v>
      </c>
      <c r="E2515" s="54">
        <v>21188682</v>
      </c>
      <c r="F2515" s="54" t="s">
        <v>3333</v>
      </c>
      <c r="G2515" s="25">
        <f t="shared" si="37"/>
        <v>1.3980868285504044E-2</v>
      </c>
    </row>
    <row r="2516" spans="1:7">
      <c r="A2516" s="54">
        <v>48.285600000000002</v>
      </c>
      <c r="B2516" s="54">
        <v>48.9405</v>
      </c>
      <c r="C2516" s="54">
        <v>48.197099999999999</v>
      </c>
      <c r="D2516" s="54">
        <v>48.843200000000003</v>
      </c>
      <c r="E2516" s="54">
        <v>19272255</v>
      </c>
      <c r="F2516" s="54" t="s">
        <v>3334</v>
      </c>
      <c r="G2516" s="25">
        <f t="shared" si="37"/>
        <v>-1.1416123431716163E-2</v>
      </c>
    </row>
    <row r="2517" spans="1:7">
      <c r="A2517" s="54">
        <v>49.055599999999998</v>
      </c>
      <c r="B2517" s="54">
        <v>49.259099999999997</v>
      </c>
      <c r="C2517" s="54">
        <v>48.674999999999997</v>
      </c>
      <c r="D2517" s="54">
        <v>49.055599999999998</v>
      </c>
      <c r="E2517" s="54">
        <v>18928810</v>
      </c>
      <c r="F2517" s="54" t="s">
        <v>3335</v>
      </c>
      <c r="G2517" s="25">
        <f t="shared" si="37"/>
        <v>0</v>
      </c>
    </row>
    <row r="2518" spans="1:7">
      <c r="A2518" s="54">
        <v>49.179499999999997</v>
      </c>
      <c r="B2518" s="54">
        <v>49.2149</v>
      </c>
      <c r="C2518" s="54">
        <v>48.294499999999999</v>
      </c>
      <c r="D2518" s="54">
        <v>48.719299999999997</v>
      </c>
      <c r="E2518" s="54">
        <v>24399193</v>
      </c>
      <c r="F2518" s="54" t="s">
        <v>3336</v>
      </c>
      <c r="G2518" s="25">
        <f t="shared" si="37"/>
        <v>9.4459485255329323E-3</v>
      </c>
    </row>
    <row r="2519" spans="1:7">
      <c r="A2519" s="54">
        <v>48.878599999999999</v>
      </c>
      <c r="B2519" s="54">
        <v>49.197200000000002</v>
      </c>
      <c r="C2519" s="54">
        <v>48.551099999999998</v>
      </c>
      <c r="D2519" s="54">
        <v>48.630800000000001</v>
      </c>
      <c r="E2519" s="54">
        <v>26360495</v>
      </c>
      <c r="F2519" s="54" t="s">
        <v>3337</v>
      </c>
      <c r="G2519" s="25">
        <f t="shared" si="37"/>
        <v>5.0955361622675444E-3</v>
      </c>
    </row>
    <row r="2520" spans="1:7">
      <c r="A2520" s="54">
        <v>48.719299999999997</v>
      </c>
      <c r="B2520" s="54">
        <v>49.241399999999999</v>
      </c>
      <c r="C2520" s="54">
        <v>48.586500000000001</v>
      </c>
      <c r="D2520" s="54">
        <v>48.613100000000003</v>
      </c>
      <c r="E2520" s="54">
        <v>23008260</v>
      </c>
      <c r="F2520" s="54" t="s">
        <v>3338</v>
      </c>
      <c r="G2520" s="25">
        <f t="shared" ref="G2520:G2583" si="38">A2520/D2520-1</f>
        <v>2.1845963330870966E-3</v>
      </c>
    </row>
    <row r="2521" spans="1:7">
      <c r="A2521" s="54">
        <v>48.418399999999998</v>
      </c>
      <c r="B2521" s="54">
        <v>48.551099999999998</v>
      </c>
      <c r="C2521" s="54">
        <v>47.3033</v>
      </c>
      <c r="D2521" s="54">
        <v>47.489100000000001</v>
      </c>
      <c r="E2521" s="54">
        <v>23924329</v>
      </c>
      <c r="F2521" s="54" t="s">
        <v>3339</v>
      </c>
      <c r="G2521" s="25">
        <f t="shared" si="38"/>
        <v>1.9568701028235935E-2</v>
      </c>
    </row>
    <row r="2522" spans="1:7">
      <c r="A2522" s="54">
        <v>47.382899999999999</v>
      </c>
      <c r="B2522" s="54">
        <v>48.046700000000001</v>
      </c>
      <c r="C2522" s="54">
        <v>47.197099999999999</v>
      </c>
      <c r="D2522" s="54">
        <v>47.975900000000003</v>
      </c>
      <c r="E2522" s="54">
        <v>17025050</v>
      </c>
      <c r="F2522" s="54" t="s">
        <v>3340</v>
      </c>
      <c r="G2522" s="25">
        <f t="shared" si="38"/>
        <v>-1.2360372603744896E-2</v>
      </c>
    </row>
    <row r="2523" spans="1:7">
      <c r="A2523" s="54">
        <v>47.975900000000003</v>
      </c>
      <c r="B2523" s="54">
        <v>48.082099999999997</v>
      </c>
      <c r="C2523" s="54">
        <v>47.551099999999998</v>
      </c>
      <c r="D2523" s="54">
        <v>47.648400000000002</v>
      </c>
      <c r="E2523" s="54">
        <v>19949972</v>
      </c>
      <c r="F2523" s="54" t="s">
        <v>3341</v>
      </c>
      <c r="G2523" s="25">
        <f t="shared" si="38"/>
        <v>6.8732633204893201E-3</v>
      </c>
    </row>
    <row r="2524" spans="1:7">
      <c r="A2524" s="54">
        <v>47.763500000000001</v>
      </c>
      <c r="B2524" s="54">
        <v>48.002400000000002</v>
      </c>
      <c r="C2524" s="54">
        <v>47.559899999999999</v>
      </c>
      <c r="D2524" s="54">
        <v>47.8874</v>
      </c>
      <c r="E2524" s="54">
        <v>20129015</v>
      </c>
      <c r="F2524" s="54" t="s">
        <v>3342</v>
      </c>
      <c r="G2524" s="25">
        <f t="shared" si="38"/>
        <v>-2.5873194201396776E-3</v>
      </c>
    </row>
    <row r="2525" spans="1:7">
      <c r="A2525" s="54">
        <v>47.851999999999997</v>
      </c>
      <c r="B2525" s="54">
        <v>48.011299999999999</v>
      </c>
      <c r="C2525" s="54">
        <v>47.312100000000001</v>
      </c>
      <c r="D2525" s="54">
        <v>47.444899999999997</v>
      </c>
      <c r="E2525" s="54">
        <v>23124143</v>
      </c>
      <c r="F2525" s="54" t="s">
        <v>3343</v>
      </c>
      <c r="G2525" s="25">
        <f t="shared" si="38"/>
        <v>8.580479672209318E-3</v>
      </c>
    </row>
    <row r="2526" spans="1:7">
      <c r="A2526" s="54">
        <v>47.6661</v>
      </c>
      <c r="B2526" s="54">
        <v>47.727899999999998</v>
      </c>
      <c r="C2526" s="54">
        <v>46.8431</v>
      </c>
      <c r="D2526" s="54">
        <v>47.126300000000001</v>
      </c>
      <c r="E2526" s="54">
        <v>23925716</v>
      </c>
      <c r="F2526" s="54" t="s">
        <v>3344</v>
      </c>
      <c r="G2526" s="25">
        <f t="shared" si="38"/>
        <v>1.1454325928409448E-2</v>
      </c>
    </row>
    <row r="2527" spans="1:7">
      <c r="A2527" s="54">
        <v>47.338700000000003</v>
      </c>
      <c r="B2527" s="54">
        <v>48.648499999999999</v>
      </c>
      <c r="C2527" s="54">
        <v>47.298900000000003</v>
      </c>
      <c r="D2527" s="54">
        <v>48.604199999999999</v>
      </c>
      <c r="E2527" s="54">
        <v>67625518</v>
      </c>
      <c r="F2527" s="54" t="s">
        <v>3345</v>
      </c>
      <c r="G2527" s="25">
        <f t="shared" si="38"/>
        <v>-2.6036844552528304E-2</v>
      </c>
    </row>
    <row r="2528" spans="1:7">
      <c r="A2528" s="54">
        <v>48.374099999999999</v>
      </c>
      <c r="B2528" s="54">
        <v>48.674999999999997</v>
      </c>
      <c r="C2528" s="54">
        <v>47.79</v>
      </c>
      <c r="D2528" s="54">
        <v>47.975900000000003</v>
      </c>
      <c r="E2528" s="54">
        <v>28223947</v>
      </c>
      <c r="F2528" s="54" t="s">
        <v>3346</v>
      </c>
      <c r="G2528" s="25">
        <f t="shared" si="38"/>
        <v>8.3000006253137748E-3</v>
      </c>
    </row>
    <row r="2529" spans="1:7">
      <c r="A2529" s="54">
        <v>48.099800000000002</v>
      </c>
      <c r="B2529" s="54">
        <v>48.320999999999998</v>
      </c>
      <c r="C2529" s="54">
        <v>47.259</v>
      </c>
      <c r="D2529" s="54">
        <v>47.3033</v>
      </c>
      <c r="E2529" s="54">
        <v>31691742</v>
      </c>
      <c r="F2529" s="54" t="s">
        <v>3347</v>
      </c>
      <c r="G2529" s="25">
        <f t="shared" si="38"/>
        <v>1.6838148712669199E-2</v>
      </c>
    </row>
    <row r="2530" spans="1:7">
      <c r="A2530" s="54">
        <v>47.427199999999999</v>
      </c>
      <c r="B2530" s="54">
        <v>47.427199999999999</v>
      </c>
      <c r="C2530" s="54">
        <v>46.674900000000001</v>
      </c>
      <c r="D2530" s="54">
        <v>46.683799999999998</v>
      </c>
      <c r="E2530" s="54">
        <v>21104763</v>
      </c>
      <c r="F2530" s="54" t="s">
        <v>3348</v>
      </c>
      <c r="G2530" s="25">
        <f t="shared" si="38"/>
        <v>1.5924153560764154E-2</v>
      </c>
    </row>
    <row r="2531" spans="1:7">
      <c r="A2531" s="54">
        <v>47.055500000000002</v>
      </c>
      <c r="B2531" s="54">
        <v>47.427199999999999</v>
      </c>
      <c r="C2531" s="54">
        <v>46.577599999999997</v>
      </c>
      <c r="D2531" s="54">
        <v>46.648400000000002</v>
      </c>
      <c r="E2531" s="54">
        <v>24083616</v>
      </c>
      <c r="F2531" s="54" t="s">
        <v>3349</v>
      </c>
      <c r="G2531" s="25">
        <f t="shared" si="38"/>
        <v>8.7269874207904774E-3</v>
      </c>
    </row>
    <row r="2532" spans="1:7">
      <c r="A2532" s="54">
        <v>46.966999999999999</v>
      </c>
      <c r="B2532" s="54">
        <v>46.966999999999999</v>
      </c>
      <c r="C2532" s="54">
        <v>46.356299999999997</v>
      </c>
      <c r="D2532" s="54">
        <v>46.905000000000001</v>
      </c>
      <c r="E2532" s="54">
        <v>32275677</v>
      </c>
      <c r="F2532" s="54" t="s">
        <v>3350</v>
      </c>
      <c r="G2532" s="25">
        <f t="shared" si="38"/>
        <v>1.3218207014176198E-3</v>
      </c>
    </row>
    <row r="2533" spans="1:7">
      <c r="A2533" s="54">
        <v>46.064300000000003</v>
      </c>
      <c r="B2533" s="54">
        <v>46.851900000000001</v>
      </c>
      <c r="C2533" s="54">
        <v>45.276600000000002</v>
      </c>
      <c r="D2533" s="54">
        <v>46.8431</v>
      </c>
      <c r="E2533" s="54">
        <v>38387804</v>
      </c>
      <c r="F2533" s="54" t="s">
        <v>3351</v>
      </c>
      <c r="G2533" s="25">
        <f t="shared" si="38"/>
        <v>-1.6625714352807464E-2</v>
      </c>
    </row>
    <row r="2534" spans="1:7">
      <c r="A2534" s="54">
        <v>46.763399999999997</v>
      </c>
      <c r="B2534" s="54">
        <v>46.772300000000001</v>
      </c>
      <c r="C2534" s="54">
        <v>45.8917</v>
      </c>
      <c r="D2534" s="54">
        <v>45.922699999999999</v>
      </c>
      <c r="E2534" s="54">
        <v>28251588</v>
      </c>
      <c r="F2534" s="54" t="s">
        <v>3352</v>
      </c>
      <c r="G2534" s="25">
        <f t="shared" si="38"/>
        <v>1.8306850424735455E-2</v>
      </c>
    </row>
    <row r="2535" spans="1:7">
      <c r="A2535" s="54">
        <v>45.710299999999997</v>
      </c>
      <c r="B2535" s="54">
        <v>46.135100000000001</v>
      </c>
      <c r="C2535" s="54">
        <v>44.776600000000002</v>
      </c>
      <c r="D2535" s="54">
        <v>44.957999999999998</v>
      </c>
      <c r="E2535" s="54">
        <v>33835119</v>
      </c>
      <c r="F2535" s="54" t="s">
        <v>3353</v>
      </c>
      <c r="G2535" s="25">
        <f t="shared" si="38"/>
        <v>1.6733395613683921E-2</v>
      </c>
    </row>
    <row r="2536" spans="1:7">
      <c r="A2536" s="54">
        <v>45.1616</v>
      </c>
      <c r="B2536" s="54">
        <v>45.843000000000004</v>
      </c>
      <c r="C2536" s="54">
        <v>44.763300000000001</v>
      </c>
      <c r="D2536" s="54">
        <v>45.630600000000001</v>
      </c>
      <c r="E2536" s="54">
        <v>38428816</v>
      </c>
      <c r="F2536" s="54" t="s">
        <v>3354</v>
      </c>
      <c r="G2536" s="25">
        <f t="shared" si="38"/>
        <v>-1.0278190512507002E-2</v>
      </c>
    </row>
    <row r="2537" spans="1:7">
      <c r="A2537" s="54">
        <v>46.046599999999998</v>
      </c>
      <c r="B2537" s="54">
        <v>46.418300000000002</v>
      </c>
      <c r="C2537" s="54">
        <v>45.763399999999997</v>
      </c>
      <c r="D2537" s="54">
        <v>46.374000000000002</v>
      </c>
      <c r="E2537" s="54">
        <v>33034150</v>
      </c>
      <c r="F2537" s="54" t="s">
        <v>3355</v>
      </c>
      <c r="G2537" s="25">
        <f t="shared" si="38"/>
        <v>-7.0599905119248518E-3</v>
      </c>
    </row>
    <row r="2538" spans="1:7">
      <c r="A2538" s="54">
        <v>46.329799999999999</v>
      </c>
      <c r="B2538" s="54">
        <v>46.878500000000003</v>
      </c>
      <c r="C2538" s="54">
        <v>45.825299999999999</v>
      </c>
      <c r="D2538" s="54">
        <v>46.878500000000003</v>
      </c>
      <c r="E2538" s="54">
        <v>24427813</v>
      </c>
      <c r="F2538" s="54" t="s">
        <v>3356</v>
      </c>
      <c r="G2538" s="25">
        <f t="shared" si="38"/>
        <v>-1.1704726047121916E-2</v>
      </c>
    </row>
    <row r="2539" spans="1:7">
      <c r="A2539" s="54">
        <v>46.860799999999998</v>
      </c>
      <c r="B2539" s="54">
        <v>46.869599999999998</v>
      </c>
      <c r="C2539" s="54">
        <v>46.157200000000003</v>
      </c>
      <c r="D2539" s="54">
        <v>46.382899999999999</v>
      </c>
      <c r="E2539" s="54">
        <v>29289884</v>
      </c>
      <c r="F2539" s="54" t="s">
        <v>3357</v>
      </c>
      <c r="G2539" s="25">
        <f t="shared" si="38"/>
        <v>1.0303366111217738E-2</v>
      </c>
    </row>
    <row r="2540" spans="1:7">
      <c r="A2540" s="54">
        <v>46.533299999999997</v>
      </c>
      <c r="B2540" s="54">
        <v>46.542200000000001</v>
      </c>
      <c r="C2540" s="54">
        <v>45.064100000000003</v>
      </c>
      <c r="D2540" s="54">
        <v>45.108499999999999</v>
      </c>
      <c r="E2540" s="54">
        <v>33024535</v>
      </c>
      <c r="F2540" s="54" t="s">
        <v>3358</v>
      </c>
      <c r="G2540" s="25">
        <f t="shared" si="38"/>
        <v>3.158606471064207E-2</v>
      </c>
    </row>
    <row r="2541" spans="1:7">
      <c r="A2541" s="54">
        <v>45.028799999999997</v>
      </c>
      <c r="B2541" s="54">
        <v>45.710299999999997</v>
      </c>
      <c r="C2541" s="54">
        <v>44.834099999999999</v>
      </c>
      <c r="D2541" s="54">
        <v>45.444800000000001</v>
      </c>
      <c r="E2541" s="54">
        <v>31654036</v>
      </c>
      <c r="F2541" s="54" t="s">
        <v>3359</v>
      </c>
      <c r="G2541" s="25">
        <f t="shared" si="38"/>
        <v>-9.1539626095835658E-3</v>
      </c>
    </row>
    <row r="2542" spans="1:7">
      <c r="A2542" s="54">
        <v>45.400500000000001</v>
      </c>
      <c r="B2542" s="54">
        <v>46.6218</v>
      </c>
      <c r="C2542" s="54">
        <v>45.223500000000001</v>
      </c>
      <c r="D2542" s="54">
        <v>46.551000000000002</v>
      </c>
      <c r="E2542" s="54">
        <v>35975925</v>
      </c>
      <c r="F2542" s="54" t="s">
        <v>3360</v>
      </c>
      <c r="G2542" s="25">
        <f t="shared" si="38"/>
        <v>-2.4714828897338448E-2</v>
      </c>
    </row>
    <row r="2543" spans="1:7">
      <c r="A2543" s="54">
        <v>46.108499999999999</v>
      </c>
      <c r="B2543" s="54">
        <v>46.108499999999999</v>
      </c>
      <c r="C2543" s="54">
        <v>44.789900000000003</v>
      </c>
      <c r="D2543" s="54">
        <v>45.781100000000002</v>
      </c>
      <c r="E2543" s="54">
        <v>26939467</v>
      </c>
      <c r="F2543" s="54" t="s">
        <v>3361</v>
      </c>
      <c r="G2543" s="25">
        <f t="shared" si="38"/>
        <v>7.1514227486888515E-3</v>
      </c>
    </row>
    <row r="2544" spans="1:7">
      <c r="A2544" s="54">
        <v>45.453600000000002</v>
      </c>
      <c r="B2544" s="54">
        <v>45.577500000000001</v>
      </c>
      <c r="C2544" s="54">
        <v>44.427</v>
      </c>
      <c r="D2544" s="54">
        <v>44.860700000000001</v>
      </c>
      <c r="E2544" s="54">
        <v>33014457</v>
      </c>
      <c r="F2544" s="54" t="s">
        <v>3362</v>
      </c>
      <c r="G2544" s="25">
        <f t="shared" si="38"/>
        <v>1.3216467866083326E-2</v>
      </c>
    </row>
    <row r="2545" spans="1:7">
      <c r="A2545" s="54">
        <v>45.2943</v>
      </c>
      <c r="B2545" s="54">
        <v>46.347499999999997</v>
      </c>
      <c r="C2545" s="54">
        <v>45.1173</v>
      </c>
      <c r="D2545" s="54">
        <v>46.320900000000002</v>
      </c>
      <c r="E2545" s="54">
        <v>28895274</v>
      </c>
      <c r="F2545" s="54" t="s">
        <v>3363</v>
      </c>
      <c r="G2545" s="25">
        <f t="shared" si="38"/>
        <v>-2.2162781811234322E-2</v>
      </c>
    </row>
    <row r="2546" spans="1:7">
      <c r="A2546" s="54">
        <v>46.595300000000002</v>
      </c>
      <c r="B2546" s="54">
        <v>46.905000000000001</v>
      </c>
      <c r="C2546" s="54">
        <v>46.267800000000001</v>
      </c>
      <c r="D2546" s="54">
        <v>46.267800000000001</v>
      </c>
      <c r="E2546" s="54">
        <v>25008291</v>
      </c>
      <c r="F2546" s="54" t="s">
        <v>3364</v>
      </c>
      <c r="G2546" s="25">
        <f t="shared" si="38"/>
        <v>7.0783568702208477E-3</v>
      </c>
    </row>
    <row r="2547" spans="1:7">
      <c r="A2547" s="54">
        <v>45.860700000000001</v>
      </c>
      <c r="B2547" s="54">
        <v>46.267800000000001</v>
      </c>
      <c r="C2547" s="54">
        <v>45.604100000000003</v>
      </c>
      <c r="D2547" s="54">
        <v>45.993499999999997</v>
      </c>
      <c r="E2547" s="54">
        <v>33559073</v>
      </c>
      <c r="F2547" s="54" t="s">
        <v>3365</v>
      </c>
      <c r="G2547" s="25">
        <f t="shared" si="38"/>
        <v>-2.8873645188993713E-3</v>
      </c>
    </row>
    <row r="2548" spans="1:7">
      <c r="A2548" s="54">
        <v>46.188200000000002</v>
      </c>
      <c r="B2548" s="54">
        <v>46.860799999999998</v>
      </c>
      <c r="C2548" s="54">
        <v>46.108499999999999</v>
      </c>
      <c r="D2548" s="54">
        <v>46.312100000000001</v>
      </c>
      <c r="E2548" s="54">
        <v>27176035</v>
      </c>
      <c r="F2548" s="54" t="s">
        <v>3366</v>
      </c>
      <c r="G2548" s="25">
        <f t="shared" si="38"/>
        <v>-2.6753267504604494E-3</v>
      </c>
    </row>
    <row r="2549" spans="1:7">
      <c r="A2549" s="54">
        <v>46.3917</v>
      </c>
      <c r="B2549" s="54">
        <v>46.701500000000003</v>
      </c>
      <c r="C2549" s="54">
        <v>45.533299999999997</v>
      </c>
      <c r="D2549" s="54">
        <v>45.5687</v>
      </c>
      <c r="E2549" s="54">
        <v>40788968</v>
      </c>
      <c r="F2549" s="54" t="s">
        <v>3367</v>
      </c>
      <c r="G2549" s="25">
        <f t="shared" si="38"/>
        <v>1.8060642502419455E-2</v>
      </c>
    </row>
    <row r="2550" spans="1:7">
      <c r="A2550" s="54">
        <v>45.214700000000001</v>
      </c>
      <c r="B2550" s="54">
        <v>45.214700000000001</v>
      </c>
      <c r="C2550" s="54">
        <v>44.365099999999998</v>
      </c>
      <c r="D2550" s="54">
        <v>45.046500000000002</v>
      </c>
      <c r="E2550" s="54">
        <v>37291208</v>
      </c>
      <c r="F2550" s="54" t="s">
        <v>3368</v>
      </c>
      <c r="G2550" s="25">
        <f t="shared" si="38"/>
        <v>3.7339193944034843E-3</v>
      </c>
    </row>
    <row r="2551" spans="1:7">
      <c r="A2551" s="54">
        <v>44.373899999999999</v>
      </c>
      <c r="B2551" s="54">
        <v>44.5321</v>
      </c>
      <c r="C2551" s="54">
        <v>43.7149</v>
      </c>
      <c r="D2551" s="54">
        <v>44.154299999999999</v>
      </c>
      <c r="E2551" s="54">
        <v>34243324</v>
      </c>
      <c r="F2551" s="54" t="s">
        <v>3369</v>
      </c>
      <c r="G2551" s="25">
        <f t="shared" si="38"/>
        <v>4.9734680427500066E-3</v>
      </c>
    </row>
    <row r="2552" spans="1:7">
      <c r="A2552" s="54">
        <v>43.662199999999999</v>
      </c>
      <c r="B2552" s="54">
        <v>44.031199999999998</v>
      </c>
      <c r="C2552" s="54">
        <v>42.625300000000003</v>
      </c>
      <c r="D2552" s="54">
        <v>42.774700000000003</v>
      </c>
      <c r="E2552" s="54">
        <v>48878571</v>
      </c>
      <c r="F2552" s="54" t="s">
        <v>3370</v>
      </c>
      <c r="G2552" s="25">
        <f t="shared" si="38"/>
        <v>2.0748246042637142E-2</v>
      </c>
    </row>
    <row r="2553" spans="1:7">
      <c r="A2553" s="54">
        <v>43.6798</v>
      </c>
      <c r="B2553" s="54">
        <v>44.277299999999997</v>
      </c>
      <c r="C2553" s="54">
        <v>43.512799999999999</v>
      </c>
      <c r="D2553" s="54">
        <v>43.837899999999998</v>
      </c>
      <c r="E2553" s="54">
        <v>38236954</v>
      </c>
      <c r="F2553" s="54" t="s">
        <v>3371</v>
      </c>
      <c r="G2553" s="25">
        <f t="shared" si="38"/>
        <v>-3.6064683755380189E-3</v>
      </c>
    </row>
    <row r="2554" spans="1:7">
      <c r="A2554" s="54">
        <v>43.301900000000003</v>
      </c>
      <c r="B2554" s="54">
        <v>44.145499999999998</v>
      </c>
      <c r="C2554" s="54">
        <v>42.765900000000002</v>
      </c>
      <c r="D2554" s="54">
        <v>43.073500000000003</v>
      </c>
      <c r="E2554" s="54">
        <v>46740474</v>
      </c>
      <c r="F2554" s="54" t="s">
        <v>3372</v>
      </c>
      <c r="G2554" s="25">
        <f t="shared" si="38"/>
        <v>5.30256422162112E-3</v>
      </c>
    </row>
    <row r="2555" spans="1:7">
      <c r="A2555" s="54">
        <v>43.416200000000003</v>
      </c>
      <c r="B2555" s="54">
        <v>43.556699999999999</v>
      </c>
      <c r="C2555" s="54">
        <v>42.344099999999997</v>
      </c>
      <c r="D2555" s="54">
        <v>43.539200000000001</v>
      </c>
      <c r="E2555" s="54">
        <v>59290497</v>
      </c>
      <c r="F2555" s="54" t="s">
        <v>3373</v>
      </c>
      <c r="G2555" s="25">
        <f t="shared" si="38"/>
        <v>-2.8250404233426396E-3</v>
      </c>
    </row>
    <row r="2556" spans="1:7">
      <c r="A2556" s="54">
        <v>44.075200000000002</v>
      </c>
      <c r="B2556" s="54">
        <v>45.692</v>
      </c>
      <c r="C2556" s="54">
        <v>43.548000000000002</v>
      </c>
      <c r="D2556" s="54">
        <v>45.639200000000002</v>
      </c>
      <c r="E2556" s="54">
        <v>62008994</v>
      </c>
      <c r="F2556" s="54" t="s">
        <v>3374</v>
      </c>
      <c r="G2556" s="25">
        <f t="shared" si="38"/>
        <v>-3.4268786481796321E-2</v>
      </c>
    </row>
    <row r="2557" spans="1:7">
      <c r="A2557" s="54">
        <v>45.692</v>
      </c>
      <c r="B2557" s="54">
        <v>46.403700000000001</v>
      </c>
      <c r="C2557" s="54">
        <v>45.138399999999997</v>
      </c>
      <c r="D2557" s="54">
        <v>45.779800000000002</v>
      </c>
      <c r="E2557" s="54">
        <v>46987123</v>
      </c>
      <c r="F2557" s="54" t="s">
        <v>3375</v>
      </c>
      <c r="G2557" s="25">
        <f t="shared" si="38"/>
        <v>-1.9178764433221973E-3</v>
      </c>
    </row>
    <row r="2558" spans="1:7">
      <c r="A2558" s="54">
        <v>45.832599999999999</v>
      </c>
      <c r="B2558" s="54">
        <v>46.9133</v>
      </c>
      <c r="C2558" s="54">
        <v>45.041699999999999</v>
      </c>
      <c r="D2558" s="54">
        <v>46.790300000000002</v>
      </c>
      <c r="E2558" s="54">
        <v>57559814</v>
      </c>
      <c r="F2558" s="54" t="s">
        <v>3376</v>
      </c>
      <c r="G2558" s="25">
        <f t="shared" si="38"/>
        <v>-2.04679174957203E-2</v>
      </c>
    </row>
    <row r="2559" spans="1:7">
      <c r="A2559" s="54">
        <v>46.570700000000002</v>
      </c>
      <c r="B2559" s="54">
        <v>47.677799999999998</v>
      </c>
      <c r="C2559" s="54">
        <v>46.263100000000001</v>
      </c>
      <c r="D2559" s="54">
        <v>47.598700000000001</v>
      </c>
      <c r="E2559" s="54">
        <v>56313753</v>
      </c>
      <c r="F2559" s="54" t="s">
        <v>3377</v>
      </c>
      <c r="G2559" s="25">
        <f t="shared" si="38"/>
        <v>-2.1597228495736198E-2</v>
      </c>
    </row>
    <row r="2560" spans="1:7">
      <c r="A2560" s="54">
        <v>48.0732</v>
      </c>
      <c r="B2560" s="54">
        <v>48.4071</v>
      </c>
      <c r="C2560" s="54">
        <v>47.884300000000003</v>
      </c>
      <c r="D2560" s="54">
        <v>48.2226</v>
      </c>
      <c r="E2560" s="54">
        <v>44208542</v>
      </c>
      <c r="F2560" s="54" t="s">
        <v>3378</v>
      </c>
      <c r="G2560" s="25">
        <f t="shared" si="38"/>
        <v>-3.0981324109442543E-3</v>
      </c>
    </row>
    <row r="2561" spans="1:7">
      <c r="A2561" s="54">
        <v>48.4071</v>
      </c>
      <c r="B2561" s="54">
        <v>48.4071</v>
      </c>
      <c r="C2561" s="54">
        <v>47.449300000000001</v>
      </c>
      <c r="D2561" s="54">
        <v>48.090800000000002</v>
      </c>
      <c r="E2561" s="54">
        <v>83611686</v>
      </c>
      <c r="F2561" s="54" t="s">
        <v>3379</v>
      </c>
      <c r="G2561" s="25">
        <f t="shared" si="38"/>
        <v>6.5771415738560268E-3</v>
      </c>
    </row>
    <row r="2562" spans="1:7">
      <c r="A2562" s="54">
        <v>45.740299999999998</v>
      </c>
      <c r="B2562" s="54">
        <v>45.8765</v>
      </c>
      <c r="C2562" s="54">
        <v>45.032899999999998</v>
      </c>
      <c r="D2562" s="54">
        <v>45.568899999999999</v>
      </c>
      <c r="E2562" s="54">
        <v>62513789</v>
      </c>
      <c r="F2562" s="54" t="s">
        <v>3380</v>
      </c>
      <c r="G2562" s="25">
        <f t="shared" si="38"/>
        <v>3.7613372278022528E-3</v>
      </c>
    </row>
    <row r="2563" spans="1:7">
      <c r="A2563" s="54">
        <v>45.006599999999999</v>
      </c>
      <c r="B2563" s="54">
        <v>45.867699999999999</v>
      </c>
      <c r="C2563" s="54">
        <v>44.8309</v>
      </c>
      <c r="D2563" s="54">
        <v>45.700800000000001</v>
      </c>
      <c r="E2563" s="54">
        <v>36775194</v>
      </c>
      <c r="F2563" s="54" t="s">
        <v>3381</v>
      </c>
      <c r="G2563" s="25">
        <f t="shared" si="38"/>
        <v>-1.5190106081294008E-2</v>
      </c>
    </row>
    <row r="2564" spans="1:7">
      <c r="A2564" s="54">
        <v>45.841299999999997</v>
      </c>
      <c r="B2564" s="54">
        <v>46.078600000000002</v>
      </c>
      <c r="C2564" s="54">
        <v>45.296599999999998</v>
      </c>
      <c r="D2564" s="54">
        <v>45.507399999999997</v>
      </c>
      <c r="E2564" s="54">
        <v>28900820</v>
      </c>
      <c r="F2564" s="54" t="s">
        <v>3382</v>
      </c>
      <c r="G2564" s="25">
        <f t="shared" si="38"/>
        <v>7.3372682245085308E-3</v>
      </c>
    </row>
    <row r="2565" spans="1:7">
      <c r="A2565" s="54">
        <v>45.507399999999997</v>
      </c>
      <c r="B2565" s="54">
        <v>46.263100000000001</v>
      </c>
      <c r="C2565" s="54">
        <v>45.384399999999999</v>
      </c>
      <c r="D2565" s="54">
        <v>45.639200000000002</v>
      </c>
      <c r="E2565" s="54">
        <v>34707717</v>
      </c>
      <c r="F2565" s="54" t="s">
        <v>3383</v>
      </c>
      <c r="G2565" s="25">
        <f t="shared" si="38"/>
        <v>-2.8878683237217873E-3</v>
      </c>
    </row>
    <row r="2566" spans="1:7">
      <c r="A2566" s="54">
        <v>45.946800000000003</v>
      </c>
      <c r="B2566" s="54">
        <v>45.981900000000003</v>
      </c>
      <c r="C2566" s="54">
        <v>45.041699999999999</v>
      </c>
      <c r="D2566" s="54">
        <v>45.173499999999997</v>
      </c>
      <c r="E2566" s="54">
        <v>37555789</v>
      </c>
      <c r="F2566" s="54" t="s">
        <v>3384</v>
      </c>
      <c r="G2566" s="25">
        <f t="shared" si="38"/>
        <v>1.7118443335141231E-2</v>
      </c>
    </row>
    <row r="2567" spans="1:7">
      <c r="A2567" s="54">
        <v>44.356400000000001</v>
      </c>
      <c r="B2567" s="54">
        <v>45.322899999999997</v>
      </c>
      <c r="C2567" s="54">
        <v>44.1982</v>
      </c>
      <c r="D2567" s="54">
        <v>44.813299999999998</v>
      </c>
      <c r="E2567" s="54">
        <v>40191157</v>
      </c>
      <c r="F2567" s="54" t="s">
        <v>3385</v>
      </c>
      <c r="G2567" s="25">
        <f t="shared" si="38"/>
        <v>-1.0195633885475952E-2</v>
      </c>
    </row>
    <row r="2568" spans="1:7">
      <c r="A2568" s="54">
        <v>44.628700000000002</v>
      </c>
      <c r="B2568" s="54">
        <v>45.147199999999998</v>
      </c>
      <c r="C2568" s="54">
        <v>43.143799999999999</v>
      </c>
      <c r="D2568" s="54">
        <v>43.917000000000002</v>
      </c>
      <c r="E2568" s="54">
        <v>63272993</v>
      </c>
      <c r="F2568" s="54" t="s">
        <v>3386</v>
      </c>
      <c r="G2568" s="25">
        <f t="shared" si="38"/>
        <v>1.6205569597194769E-2</v>
      </c>
    </row>
    <row r="2569" spans="1:7">
      <c r="A2569" s="54">
        <v>44.426600000000001</v>
      </c>
      <c r="B2569" s="54">
        <v>45.410800000000002</v>
      </c>
      <c r="C2569" s="54">
        <v>43.987299999999998</v>
      </c>
      <c r="D2569" s="54">
        <v>45.234999999999999</v>
      </c>
      <c r="E2569" s="54">
        <v>43564538</v>
      </c>
      <c r="F2569" s="54" t="s">
        <v>3387</v>
      </c>
      <c r="G2569" s="25">
        <f t="shared" si="38"/>
        <v>-1.7871117497512912E-2</v>
      </c>
    </row>
    <row r="2570" spans="1:7">
      <c r="A2570" s="54">
        <v>44.804499999999997</v>
      </c>
      <c r="B2570" s="54">
        <v>45.665599999999998</v>
      </c>
      <c r="C2570" s="54">
        <v>44.2333</v>
      </c>
      <c r="D2570" s="54">
        <v>45.085700000000003</v>
      </c>
      <c r="E2570" s="54">
        <v>71820697</v>
      </c>
      <c r="F2570" s="54" t="s">
        <v>3388</v>
      </c>
      <c r="G2570" s="25">
        <f t="shared" si="38"/>
        <v>-6.2370108482291409E-3</v>
      </c>
    </row>
    <row r="2571" spans="1:7">
      <c r="A2571" s="54">
        <v>46.667299999999997</v>
      </c>
      <c r="B2571" s="54">
        <v>46.936500000000002</v>
      </c>
      <c r="C2571" s="54">
        <v>45.314100000000003</v>
      </c>
      <c r="D2571" s="54">
        <v>45.692</v>
      </c>
      <c r="E2571" s="54">
        <v>52381918</v>
      </c>
      <c r="F2571" s="54" t="s">
        <v>3389</v>
      </c>
      <c r="G2571" s="25">
        <f t="shared" si="38"/>
        <v>2.1345093232951085E-2</v>
      </c>
    </row>
    <row r="2572" spans="1:7">
      <c r="A2572" s="54">
        <v>45.375599999999999</v>
      </c>
      <c r="B2572" s="54">
        <v>47.510899999999999</v>
      </c>
      <c r="C2572" s="54">
        <v>45.080199999999998</v>
      </c>
      <c r="D2572" s="54">
        <v>47.273600000000002</v>
      </c>
      <c r="E2572" s="54">
        <v>66883571</v>
      </c>
      <c r="F2572" s="54" t="s">
        <v>3390</v>
      </c>
      <c r="G2572" s="25">
        <f t="shared" si="38"/>
        <v>-4.0149258782914865E-2</v>
      </c>
    </row>
    <row r="2573" spans="1:7">
      <c r="A2573" s="54">
        <v>46.377299999999998</v>
      </c>
      <c r="B2573" s="54">
        <v>46.658499999999997</v>
      </c>
      <c r="C2573" s="54">
        <v>45.744700000000002</v>
      </c>
      <c r="D2573" s="54">
        <v>46.3598</v>
      </c>
      <c r="E2573" s="54">
        <v>36095539</v>
      </c>
      <c r="F2573" s="54" t="s">
        <v>3391</v>
      </c>
      <c r="G2573" s="25">
        <f t="shared" si="38"/>
        <v>3.774822151949575E-4</v>
      </c>
    </row>
    <row r="2574" spans="1:7">
      <c r="A2574" s="54">
        <v>45.955599999999997</v>
      </c>
      <c r="B2574" s="54">
        <v>46.438899999999997</v>
      </c>
      <c r="C2574" s="54">
        <v>45.217500000000001</v>
      </c>
      <c r="D2574" s="54">
        <v>46.140099999999997</v>
      </c>
      <c r="E2574" s="54">
        <v>36943756</v>
      </c>
      <c r="F2574" s="54" t="s">
        <v>3392</v>
      </c>
      <c r="G2574" s="25">
        <f t="shared" si="38"/>
        <v>-3.9986909434526208E-3</v>
      </c>
    </row>
    <row r="2575" spans="1:7">
      <c r="A2575" s="54">
        <v>45.981900000000003</v>
      </c>
      <c r="B2575" s="54">
        <v>46.816699999999997</v>
      </c>
      <c r="C2575" s="54">
        <v>45.823799999999999</v>
      </c>
      <c r="D2575" s="54">
        <v>46.017099999999999</v>
      </c>
      <c r="E2575" s="54">
        <v>48753969</v>
      </c>
      <c r="F2575" s="54" t="s">
        <v>3393</v>
      </c>
      <c r="G2575" s="25">
        <f t="shared" si="38"/>
        <v>-7.6493303576274929E-4</v>
      </c>
    </row>
    <row r="2576" spans="1:7">
      <c r="A2576" s="54">
        <v>45.841299999999997</v>
      </c>
      <c r="B2576" s="54">
        <v>46.9968</v>
      </c>
      <c r="C2576" s="54">
        <v>45.753500000000003</v>
      </c>
      <c r="D2576" s="54">
        <v>46.307000000000002</v>
      </c>
      <c r="E2576" s="54">
        <v>56564852</v>
      </c>
      <c r="F2576" s="54" t="s">
        <v>3394</v>
      </c>
      <c r="G2576" s="25">
        <f t="shared" si="38"/>
        <v>-1.0056794869026442E-2</v>
      </c>
    </row>
    <row r="2577" spans="1:7">
      <c r="A2577" s="54">
        <v>47.493299999999998</v>
      </c>
      <c r="B2577" s="54">
        <v>47.800899999999999</v>
      </c>
      <c r="C2577" s="54">
        <v>47.133000000000003</v>
      </c>
      <c r="D2577" s="54">
        <v>47.730499999999999</v>
      </c>
      <c r="E2577" s="54">
        <v>39518863</v>
      </c>
      <c r="F2577" s="54" t="s">
        <v>3395</v>
      </c>
      <c r="G2577" s="25">
        <f t="shared" si="38"/>
        <v>-4.9695687244005748E-3</v>
      </c>
    </row>
    <row r="2578" spans="1:7">
      <c r="A2578" s="54">
        <v>48.372</v>
      </c>
      <c r="B2578" s="54">
        <v>48.670699999999997</v>
      </c>
      <c r="C2578" s="54">
        <v>47.9238</v>
      </c>
      <c r="D2578" s="54">
        <v>48.266500000000001</v>
      </c>
      <c r="E2578" s="54">
        <v>34079674</v>
      </c>
      <c r="F2578" s="54" t="s">
        <v>3396</v>
      </c>
      <c r="G2578" s="25">
        <f t="shared" si="38"/>
        <v>2.1857810282492895E-3</v>
      </c>
    </row>
    <row r="2579" spans="1:7">
      <c r="A2579" s="54">
        <v>48.152299999999997</v>
      </c>
      <c r="B2579" s="54">
        <v>48.152299999999997</v>
      </c>
      <c r="C2579" s="54">
        <v>46.9133</v>
      </c>
      <c r="D2579" s="54">
        <v>47.730499999999999</v>
      </c>
      <c r="E2579" s="54">
        <v>53777963</v>
      </c>
      <c r="F2579" s="54" t="s">
        <v>3397</v>
      </c>
      <c r="G2579" s="25">
        <f t="shared" si="38"/>
        <v>8.8371167282974561E-3</v>
      </c>
    </row>
    <row r="2580" spans="1:7">
      <c r="A2580" s="54">
        <v>48.7498</v>
      </c>
      <c r="B2580" s="54">
        <v>49.373699999999999</v>
      </c>
      <c r="C2580" s="54">
        <v>48.697099999999999</v>
      </c>
      <c r="D2580" s="54">
        <v>49.241900000000001</v>
      </c>
      <c r="E2580" s="54">
        <v>27334061</v>
      </c>
      <c r="F2580" s="54" t="s">
        <v>3398</v>
      </c>
      <c r="G2580" s="25">
        <f t="shared" si="38"/>
        <v>-9.9935217771857099E-3</v>
      </c>
    </row>
    <row r="2581" spans="1:7">
      <c r="A2581" s="54">
        <v>49.479100000000003</v>
      </c>
      <c r="B2581" s="54">
        <v>49.892099999999999</v>
      </c>
      <c r="C2581" s="54">
        <v>49.459400000000002</v>
      </c>
      <c r="D2581" s="54">
        <v>49.619700000000002</v>
      </c>
      <c r="E2581" s="54">
        <v>21704505</v>
      </c>
      <c r="F2581" s="54" t="s">
        <v>3399</v>
      </c>
      <c r="G2581" s="25">
        <f t="shared" si="38"/>
        <v>-2.8335519964852729E-3</v>
      </c>
    </row>
    <row r="2582" spans="1:7">
      <c r="A2582" s="54">
        <v>49.69</v>
      </c>
      <c r="B2582" s="54">
        <v>49.953600000000002</v>
      </c>
      <c r="C2582" s="54">
        <v>49.259500000000003</v>
      </c>
      <c r="D2582" s="54">
        <v>49.461599999999997</v>
      </c>
      <c r="E2582" s="54">
        <v>27731403</v>
      </c>
      <c r="F2582" s="54" t="s">
        <v>3400</v>
      </c>
      <c r="G2582" s="25">
        <f t="shared" si="38"/>
        <v>4.6177236482443096E-3</v>
      </c>
    </row>
    <row r="2583" spans="1:7">
      <c r="A2583" s="54">
        <v>49.162799999999997</v>
      </c>
      <c r="B2583" s="54">
        <v>49.162799999999997</v>
      </c>
      <c r="C2583" s="54">
        <v>48.310499999999998</v>
      </c>
      <c r="D2583" s="54">
        <v>48.635599999999997</v>
      </c>
      <c r="E2583" s="54">
        <v>22458293</v>
      </c>
      <c r="F2583" s="54" t="s">
        <v>3401</v>
      </c>
      <c r="G2583" s="25">
        <f t="shared" si="38"/>
        <v>1.0839796363157905E-2</v>
      </c>
    </row>
    <row r="2584" spans="1:7">
      <c r="A2584" s="54">
        <v>48.916800000000002</v>
      </c>
      <c r="B2584" s="54">
        <v>49.171599999999998</v>
      </c>
      <c r="C2584" s="54">
        <v>48.7059</v>
      </c>
      <c r="D2584" s="54">
        <v>49.0837</v>
      </c>
      <c r="E2584" s="54">
        <v>9570002</v>
      </c>
      <c r="F2584" s="54" t="s">
        <v>3402</v>
      </c>
      <c r="G2584" s="25">
        <f t="shared" ref="G2584:G2647" si="39">A2584/D2584-1</f>
        <v>-3.4003141572456208E-3</v>
      </c>
    </row>
    <row r="2585" spans="1:7">
      <c r="A2585" s="54">
        <v>49.0486</v>
      </c>
      <c r="B2585" s="54">
        <v>49.101300000000002</v>
      </c>
      <c r="C2585" s="54">
        <v>48.714700000000001</v>
      </c>
      <c r="D2585" s="54">
        <v>48.943100000000001</v>
      </c>
      <c r="E2585" s="54">
        <v>27279832</v>
      </c>
      <c r="F2585" s="54" t="s">
        <v>3403</v>
      </c>
      <c r="G2585" s="25">
        <f t="shared" si="39"/>
        <v>2.1555643185657836E-3</v>
      </c>
    </row>
    <row r="2586" spans="1:7">
      <c r="A2586" s="54">
        <v>48.635599999999997</v>
      </c>
      <c r="B2586" s="54">
        <v>48.7498</v>
      </c>
      <c r="C2586" s="54">
        <v>47.8887</v>
      </c>
      <c r="D2586" s="54">
        <v>48.319299999999998</v>
      </c>
      <c r="E2586" s="54">
        <v>28322241</v>
      </c>
      <c r="F2586" s="54" t="s">
        <v>3404</v>
      </c>
      <c r="G2586" s="25">
        <f t="shared" si="39"/>
        <v>6.5460385394655596E-3</v>
      </c>
    </row>
    <row r="2587" spans="1:7">
      <c r="A2587" s="54">
        <v>48.178699999999999</v>
      </c>
      <c r="B2587" s="54">
        <v>48.635599999999997</v>
      </c>
      <c r="C2587" s="54">
        <v>47.648099999999999</v>
      </c>
      <c r="D2587" s="54">
        <v>48.2226</v>
      </c>
      <c r="E2587" s="54">
        <v>37246325</v>
      </c>
      <c r="F2587" s="54" t="s">
        <v>3405</v>
      </c>
      <c r="G2587" s="25">
        <f t="shared" si="39"/>
        <v>-9.1036153172996404E-4</v>
      </c>
    </row>
    <row r="2588" spans="1:7">
      <c r="A2588" s="54">
        <v>47.563600000000001</v>
      </c>
      <c r="B2588" s="54">
        <v>49.206699999999998</v>
      </c>
      <c r="C2588" s="54">
        <v>47.475700000000003</v>
      </c>
      <c r="D2588" s="54">
        <v>49.004600000000003</v>
      </c>
      <c r="E2588" s="54">
        <v>84684164</v>
      </c>
      <c r="F2588" s="54" t="s">
        <v>3406</v>
      </c>
      <c r="G2588" s="25">
        <f t="shared" si="39"/>
        <v>-2.9405402758108434E-2</v>
      </c>
    </row>
    <row r="2589" spans="1:7">
      <c r="A2589" s="54">
        <v>48.943100000000001</v>
      </c>
      <c r="B2589" s="54">
        <v>49.9009</v>
      </c>
      <c r="C2589" s="54">
        <v>48.798000000000002</v>
      </c>
      <c r="D2589" s="54">
        <v>49.523099999999999</v>
      </c>
      <c r="E2589" s="54">
        <v>41280907</v>
      </c>
      <c r="F2589" s="54" t="s">
        <v>3407</v>
      </c>
      <c r="G2589" s="25">
        <f t="shared" si="39"/>
        <v>-1.1711706254252996E-2</v>
      </c>
    </row>
    <row r="2590" spans="1:7">
      <c r="A2590" s="54">
        <v>49.320999999999998</v>
      </c>
      <c r="B2590" s="54">
        <v>49.421999999999997</v>
      </c>
      <c r="C2590" s="54">
        <v>48.117199999999997</v>
      </c>
      <c r="D2590" s="54">
        <v>48.802500000000002</v>
      </c>
      <c r="E2590" s="54">
        <v>37503300</v>
      </c>
      <c r="F2590" s="54" t="s">
        <v>3408</v>
      </c>
      <c r="G2590" s="25">
        <f t="shared" si="39"/>
        <v>1.0624455714358882E-2</v>
      </c>
    </row>
    <row r="2591" spans="1:7">
      <c r="A2591" s="54">
        <v>48.503799999999998</v>
      </c>
      <c r="B2591" s="54">
        <v>49.118899999999996</v>
      </c>
      <c r="C2591" s="54">
        <v>48.4071</v>
      </c>
      <c r="D2591" s="54">
        <v>48.908000000000001</v>
      </c>
      <c r="E2591" s="54">
        <v>39842998</v>
      </c>
      <c r="F2591" s="54" t="s">
        <v>3409</v>
      </c>
      <c r="G2591" s="25">
        <f t="shared" si="39"/>
        <v>-8.2644966058723623E-3</v>
      </c>
    </row>
    <row r="2592" spans="1:7">
      <c r="A2592" s="54">
        <v>48.451099999999997</v>
      </c>
      <c r="B2592" s="54">
        <v>48.512599999999999</v>
      </c>
      <c r="C2592" s="54">
        <v>47.168199999999999</v>
      </c>
      <c r="D2592" s="54">
        <v>47.7393</v>
      </c>
      <c r="E2592" s="54">
        <v>47006491</v>
      </c>
      <c r="F2592" s="54" t="s">
        <v>3410</v>
      </c>
      <c r="G2592" s="25">
        <f t="shared" si="39"/>
        <v>1.49101474047586E-2</v>
      </c>
    </row>
    <row r="2593" spans="1:7">
      <c r="A2593" s="54">
        <v>47.502099999999999</v>
      </c>
      <c r="B2593" s="54">
        <v>48.415900000000001</v>
      </c>
      <c r="C2593" s="54">
        <v>47.458100000000002</v>
      </c>
      <c r="D2593" s="54">
        <v>48.0732</v>
      </c>
      <c r="E2593" s="54">
        <v>39549497</v>
      </c>
      <c r="F2593" s="54" t="s">
        <v>3411</v>
      </c>
      <c r="G2593" s="25">
        <f t="shared" si="39"/>
        <v>-1.1879799971709848E-2</v>
      </c>
    </row>
    <row r="2594" spans="1:7">
      <c r="A2594" s="54">
        <v>48.565300000000001</v>
      </c>
      <c r="B2594" s="54">
        <v>48.903599999999997</v>
      </c>
      <c r="C2594" s="54">
        <v>48.336799999999997</v>
      </c>
      <c r="D2594" s="54">
        <v>48.670699999999997</v>
      </c>
      <c r="E2594" s="54">
        <v>31775826</v>
      </c>
      <c r="F2594" s="54" t="s">
        <v>3412</v>
      </c>
      <c r="G2594" s="25">
        <f t="shared" si="39"/>
        <v>-2.1655739490082926E-3</v>
      </c>
    </row>
    <row r="2595" spans="1:7">
      <c r="A2595" s="54">
        <v>48.310499999999998</v>
      </c>
      <c r="B2595" s="54">
        <v>49.092500000000001</v>
      </c>
      <c r="C2595" s="54">
        <v>47.897500000000001</v>
      </c>
      <c r="D2595" s="54">
        <v>48.653199999999998</v>
      </c>
      <c r="E2595" s="54">
        <v>36373209</v>
      </c>
      <c r="F2595" s="54" t="s">
        <v>3413</v>
      </c>
      <c r="G2595" s="25">
        <f t="shared" si="39"/>
        <v>-7.0437299088240701E-3</v>
      </c>
    </row>
    <row r="2596" spans="1:7">
      <c r="A2596" s="54">
        <v>49.022199999999998</v>
      </c>
      <c r="B2596" s="54">
        <v>49.294600000000003</v>
      </c>
      <c r="C2596" s="54">
        <v>48.319299999999998</v>
      </c>
      <c r="D2596" s="54">
        <v>48.741</v>
      </c>
      <c r="E2596" s="54">
        <v>32878026</v>
      </c>
      <c r="F2596" s="54" t="s">
        <v>3414</v>
      </c>
      <c r="G2596" s="25">
        <f t="shared" si="39"/>
        <v>5.7692702242464478E-3</v>
      </c>
    </row>
    <row r="2597" spans="1:7">
      <c r="A2597" s="54">
        <v>49.0398</v>
      </c>
      <c r="B2597" s="54">
        <v>49.180399999999999</v>
      </c>
      <c r="C2597" s="54">
        <v>48.582900000000002</v>
      </c>
      <c r="D2597" s="54">
        <v>49.022199999999998</v>
      </c>
      <c r="E2597" s="54">
        <v>30709765</v>
      </c>
      <c r="F2597" s="54" t="s">
        <v>3415</v>
      </c>
      <c r="G2597" s="25">
        <f t="shared" si="39"/>
        <v>3.5902101496865235E-4</v>
      </c>
    </row>
    <row r="2598" spans="1:7">
      <c r="A2598" s="54">
        <v>49.127600000000001</v>
      </c>
      <c r="B2598" s="54">
        <v>49.408799999999999</v>
      </c>
      <c r="C2598" s="54">
        <v>47.537199999999999</v>
      </c>
      <c r="D2598" s="54">
        <v>47.5548</v>
      </c>
      <c r="E2598" s="54">
        <v>43963662</v>
      </c>
      <c r="F2598" s="54" t="s">
        <v>3416</v>
      </c>
      <c r="G2598" s="25">
        <f t="shared" si="39"/>
        <v>3.3073422661855423E-2</v>
      </c>
    </row>
    <row r="2599" spans="1:7">
      <c r="A2599" s="54">
        <v>47.625100000000003</v>
      </c>
      <c r="B2599" s="54">
        <v>49.004600000000003</v>
      </c>
      <c r="C2599" s="54">
        <v>47.387799999999999</v>
      </c>
      <c r="D2599" s="54">
        <v>48.758600000000001</v>
      </c>
      <c r="E2599" s="54">
        <v>38627835</v>
      </c>
      <c r="F2599" s="54" t="s">
        <v>3417</v>
      </c>
      <c r="G2599" s="25">
        <f t="shared" si="39"/>
        <v>-2.3247181010119244E-2</v>
      </c>
    </row>
    <row r="2600" spans="1:7">
      <c r="A2600" s="54">
        <v>48.512599999999999</v>
      </c>
      <c r="B2600" s="54">
        <v>49.171599999999998</v>
      </c>
      <c r="C2600" s="54">
        <v>48.380800000000001</v>
      </c>
      <c r="D2600" s="54">
        <v>48.609200000000001</v>
      </c>
      <c r="E2600" s="54">
        <v>47274879</v>
      </c>
      <c r="F2600" s="54" t="s">
        <v>3418</v>
      </c>
      <c r="G2600" s="25">
        <f t="shared" si="39"/>
        <v>-1.9872781284201446E-3</v>
      </c>
    </row>
    <row r="2601" spans="1:7">
      <c r="A2601" s="54">
        <v>48.5214</v>
      </c>
      <c r="B2601" s="54">
        <v>48.530099999999997</v>
      </c>
      <c r="C2601" s="54">
        <v>47.713000000000001</v>
      </c>
      <c r="D2601" s="54">
        <v>47.809600000000003</v>
      </c>
      <c r="E2601" s="54">
        <v>39952779</v>
      </c>
      <c r="F2601" s="54" t="s">
        <v>3419</v>
      </c>
      <c r="G2601" s="25">
        <f t="shared" si="39"/>
        <v>1.4888223285699942E-2</v>
      </c>
    </row>
    <row r="2602" spans="1:7">
      <c r="A2602" s="54">
        <v>47.756900000000002</v>
      </c>
      <c r="B2602" s="54">
        <v>48.292900000000003</v>
      </c>
      <c r="C2602" s="54">
        <v>47.449300000000001</v>
      </c>
      <c r="D2602" s="54">
        <v>47.9238</v>
      </c>
      <c r="E2602" s="54">
        <v>56241417</v>
      </c>
      <c r="F2602" s="54" t="s">
        <v>3420</v>
      </c>
      <c r="G2602" s="25">
        <f t="shared" si="39"/>
        <v>-3.4826119798513355E-3</v>
      </c>
    </row>
    <row r="2603" spans="1:7">
      <c r="A2603" s="54">
        <v>47.387799999999999</v>
      </c>
      <c r="B2603" s="54">
        <v>47.519599999999997</v>
      </c>
      <c r="C2603" s="54">
        <v>47.264800000000001</v>
      </c>
      <c r="D2603" s="54">
        <v>47.273600000000002</v>
      </c>
      <c r="E2603" s="54">
        <v>9009132</v>
      </c>
      <c r="F2603" s="54" t="s">
        <v>3421</v>
      </c>
      <c r="G2603" s="25">
        <f t="shared" si="39"/>
        <v>2.4157246327758397E-3</v>
      </c>
    </row>
    <row r="2604" spans="1:7">
      <c r="A2604" s="54">
        <v>47.177</v>
      </c>
      <c r="B2604" s="54">
        <v>47.651400000000002</v>
      </c>
      <c r="C2604" s="54">
        <v>47.177</v>
      </c>
      <c r="D2604" s="54">
        <v>47.528399999999998</v>
      </c>
      <c r="E2604" s="54">
        <v>21005147</v>
      </c>
      <c r="F2604" s="54" t="s">
        <v>3422</v>
      </c>
      <c r="G2604" s="25">
        <f t="shared" si="39"/>
        <v>-7.3934742175204571E-3</v>
      </c>
    </row>
    <row r="2605" spans="1:7">
      <c r="A2605" s="54">
        <v>47.668999999999997</v>
      </c>
      <c r="B2605" s="54">
        <v>47.835999999999999</v>
      </c>
      <c r="C2605" s="54">
        <v>47.080300000000001</v>
      </c>
      <c r="D2605" s="54">
        <v>47.379100000000001</v>
      </c>
      <c r="E2605" s="54">
        <v>24600043</v>
      </c>
      <c r="F2605" s="54" t="s">
        <v>3423</v>
      </c>
      <c r="G2605" s="25">
        <f t="shared" si="39"/>
        <v>6.118731677047462E-3</v>
      </c>
    </row>
    <row r="2606" spans="1:7">
      <c r="A2606" s="54">
        <v>47.616300000000003</v>
      </c>
      <c r="B2606" s="54">
        <v>47.853499999999997</v>
      </c>
      <c r="C2606" s="54">
        <v>47.229700000000001</v>
      </c>
      <c r="D2606" s="54">
        <v>47.668999999999997</v>
      </c>
      <c r="E2606" s="54">
        <v>28235918</v>
      </c>
      <c r="F2606" s="54" t="s">
        <v>3424</v>
      </c>
      <c r="G2606" s="25">
        <f t="shared" si="39"/>
        <v>-1.1055402882375054E-3</v>
      </c>
    </row>
    <row r="2607" spans="1:7">
      <c r="A2607" s="54">
        <v>47.616300000000003</v>
      </c>
      <c r="B2607" s="54">
        <v>47.713000000000001</v>
      </c>
      <c r="C2607" s="54">
        <v>46.8035</v>
      </c>
      <c r="D2607" s="54">
        <v>47.668999999999997</v>
      </c>
      <c r="E2607" s="54">
        <v>37147608</v>
      </c>
      <c r="F2607" s="54" t="s">
        <v>3425</v>
      </c>
      <c r="G2607" s="25">
        <f t="shared" si="39"/>
        <v>-1.1055402882375054E-3</v>
      </c>
    </row>
    <row r="2608" spans="1:7">
      <c r="A2608" s="54">
        <v>47.396599999999999</v>
      </c>
      <c r="B2608" s="54">
        <v>48.029299999999999</v>
      </c>
      <c r="C2608" s="54">
        <v>47.256900000000002</v>
      </c>
      <c r="D2608" s="54">
        <v>47.440600000000003</v>
      </c>
      <c r="E2608" s="54">
        <v>28149228</v>
      </c>
      <c r="F2608" s="54" t="s">
        <v>3426</v>
      </c>
      <c r="G2608" s="25">
        <f t="shared" si="39"/>
        <v>-9.2747562214656742E-4</v>
      </c>
    </row>
    <row r="2609" spans="1:7">
      <c r="A2609" s="54">
        <v>47.317500000000003</v>
      </c>
      <c r="B2609" s="54">
        <v>47.431800000000003</v>
      </c>
      <c r="C2609" s="54">
        <v>46.552999999999997</v>
      </c>
      <c r="D2609" s="54">
        <v>46.570700000000002</v>
      </c>
      <c r="E2609" s="54">
        <v>29710030</v>
      </c>
      <c r="F2609" s="54" t="s">
        <v>3427</v>
      </c>
      <c r="G2609" s="25">
        <f t="shared" si="39"/>
        <v>1.6035833689422851E-2</v>
      </c>
    </row>
    <row r="2610" spans="1:7">
      <c r="A2610" s="54">
        <v>46.5443</v>
      </c>
      <c r="B2610" s="54">
        <v>47.0364</v>
      </c>
      <c r="C2610" s="54">
        <v>46.438899999999997</v>
      </c>
      <c r="D2610" s="54">
        <v>46.72</v>
      </c>
      <c r="E2610" s="54">
        <v>31551255</v>
      </c>
      <c r="F2610" s="54" t="s">
        <v>3428</v>
      </c>
      <c r="G2610" s="25">
        <f t="shared" si="39"/>
        <v>-3.7607020547945069E-3</v>
      </c>
    </row>
    <row r="2611" spans="1:7">
      <c r="A2611" s="54">
        <v>46.926499999999997</v>
      </c>
      <c r="B2611" s="54">
        <v>47.035600000000002</v>
      </c>
      <c r="C2611" s="54">
        <v>46.127899999999997</v>
      </c>
      <c r="D2611" s="54">
        <v>46.328699999999998</v>
      </c>
      <c r="E2611" s="54">
        <v>32165198</v>
      </c>
      <c r="F2611" s="54" t="s">
        <v>3429</v>
      </c>
      <c r="G2611" s="25">
        <f t="shared" si="39"/>
        <v>1.2903448618243107E-2</v>
      </c>
    </row>
    <row r="2612" spans="1:7">
      <c r="A2612" s="54">
        <v>46.119199999999999</v>
      </c>
      <c r="B2612" s="54">
        <v>46.511899999999997</v>
      </c>
      <c r="C2612" s="54">
        <v>45.848599999999998</v>
      </c>
      <c r="D2612" s="54">
        <v>46.319899999999997</v>
      </c>
      <c r="E2612" s="54">
        <v>36848175</v>
      </c>
      <c r="F2612" s="54" t="s">
        <v>3430</v>
      </c>
      <c r="G2612" s="25">
        <f t="shared" si="39"/>
        <v>-4.3329109087022477E-3</v>
      </c>
    </row>
    <row r="2613" spans="1:7">
      <c r="A2613" s="54">
        <v>46.5381</v>
      </c>
      <c r="B2613" s="54">
        <v>47.113399999999999</v>
      </c>
      <c r="C2613" s="54">
        <v>46.424700000000001</v>
      </c>
      <c r="D2613" s="54">
        <v>46.677799999999998</v>
      </c>
      <c r="E2613" s="54">
        <v>35361095</v>
      </c>
      <c r="F2613" s="54" t="s">
        <v>3431</v>
      </c>
      <c r="G2613" s="25">
        <f t="shared" si="39"/>
        <v>-2.9928574183015755E-3</v>
      </c>
    </row>
    <row r="2614" spans="1:7">
      <c r="A2614" s="54">
        <v>46.8262</v>
      </c>
      <c r="B2614" s="54">
        <v>47.306199999999997</v>
      </c>
      <c r="C2614" s="54">
        <v>46.660299999999999</v>
      </c>
      <c r="D2614" s="54">
        <v>46.869799999999998</v>
      </c>
      <c r="E2614" s="54">
        <v>36516260</v>
      </c>
      <c r="F2614" s="54" t="s">
        <v>3432</v>
      </c>
      <c r="G2614" s="25">
        <f t="shared" si="39"/>
        <v>-9.3023652757207032E-4</v>
      </c>
    </row>
    <row r="2615" spans="1:7">
      <c r="A2615" s="54">
        <v>46.704000000000001</v>
      </c>
      <c r="B2615" s="54">
        <v>47.245100000000001</v>
      </c>
      <c r="C2615" s="54">
        <v>46.494500000000002</v>
      </c>
      <c r="D2615" s="54">
        <v>47.192700000000002</v>
      </c>
      <c r="E2615" s="54">
        <v>55283697</v>
      </c>
      <c r="F2615" s="54" t="s">
        <v>3433</v>
      </c>
      <c r="G2615" s="25">
        <f t="shared" si="39"/>
        <v>-1.0355415138358248E-2</v>
      </c>
    </row>
    <row r="2616" spans="1:7">
      <c r="A2616" s="54">
        <v>47.271299999999997</v>
      </c>
      <c r="B2616" s="54">
        <v>47.890999999999998</v>
      </c>
      <c r="C2616" s="54">
        <v>46.747599999999998</v>
      </c>
      <c r="D2616" s="54">
        <v>47.611699999999999</v>
      </c>
      <c r="E2616" s="54">
        <v>32513067</v>
      </c>
      <c r="F2616" s="54" t="s">
        <v>3434</v>
      </c>
      <c r="G2616" s="25">
        <f t="shared" si="39"/>
        <v>-7.1495031683389554E-3</v>
      </c>
    </row>
    <row r="2617" spans="1:7">
      <c r="A2617" s="54">
        <v>47.934600000000003</v>
      </c>
      <c r="B2617" s="54">
        <v>47.987000000000002</v>
      </c>
      <c r="C2617" s="54">
        <v>47.100200000000001</v>
      </c>
      <c r="D2617" s="54">
        <v>47.205800000000004</v>
      </c>
      <c r="E2617" s="54">
        <v>32851204</v>
      </c>
      <c r="F2617" s="54" t="s">
        <v>3435</v>
      </c>
      <c r="G2617" s="25">
        <f t="shared" si="39"/>
        <v>1.5438780827779608E-2</v>
      </c>
    </row>
    <row r="2618" spans="1:7">
      <c r="A2618" s="54">
        <v>47.463299999999997</v>
      </c>
      <c r="B2618" s="54">
        <v>47.742600000000003</v>
      </c>
      <c r="C2618" s="54">
        <v>47.131599999999999</v>
      </c>
      <c r="D2618" s="54">
        <v>47.5593</v>
      </c>
      <c r="E2618" s="54">
        <v>31468485</v>
      </c>
      <c r="F2618" s="54" t="s">
        <v>3436</v>
      </c>
      <c r="G2618" s="25">
        <f t="shared" si="39"/>
        <v>-2.0185326529197356E-3</v>
      </c>
    </row>
    <row r="2619" spans="1:7">
      <c r="A2619" s="54">
        <v>47.480800000000002</v>
      </c>
      <c r="B2619" s="54">
        <v>47.899700000000003</v>
      </c>
      <c r="C2619" s="54">
        <v>47.183999999999997</v>
      </c>
      <c r="D2619" s="54">
        <v>47.288699999999999</v>
      </c>
      <c r="E2619" s="54">
        <v>37087849</v>
      </c>
      <c r="F2619" s="54" t="s">
        <v>3437</v>
      </c>
      <c r="G2619" s="25">
        <f t="shared" si="39"/>
        <v>4.0622812638115846E-3</v>
      </c>
    </row>
    <row r="2620" spans="1:7">
      <c r="A2620" s="54">
        <v>47.262599999999999</v>
      </c>
      <c r="B2620" s="54">
        <v>47.472000000000001</v>
      </c>
      <c r="C2620" s="54">
        <v>46.171500000000002</v>
      </c>
      <c r="D2620" s="54">
        <v>46.197699999999998</v>
      </c>
      <c r="E2620" s="54">
        <v>36596931</v>
      </c>
      <c r="F2620" s="54" t="s">
        <v>3438</v>
      </c>
      <c r="G2620" s="25">
        <f t="shared" si="39"/>
        <v>2.3050931106959993E-2</v>
      </c>
    </row>
    <row r="2621" spans="1:7">
      <c r="A2621" s="54">
        <v>46.468299999999999</v>
      </c>
      <c r="B2621" s="54">
        <v>46.573</v>
      </c>
      <c r="C2621" s="54">
        <v>45.927199999999999</v>
      </c>
      <c r="D2621" s="54">
        <v>46.127899999999997</v>
      </c>
      <c r="E2621" s="54">
        <v>30284982</v>
      </c>
      <c r="F2621" s="54" t="s">
        <v>3439</v>
      </c>
      <c r="G2621" s="25">
        <f t="shared" si="39"/>
        <v>7.3794818320367384E-3</v>
      </c>
    </row>
    <row r="2622" spans="1:7">
      <c r="A2622" s="54">
        <v>45.944600000000001</v>
      </c>
      <c r="B2622" s="54">
        <v>47.122900000000001</v>
      </c>
      <c r="C2622" s="54">
        <v>45.927199999999999</v>
      </c>
      <c r="D2622" s="54">
        <v>46.5381</v>
      </c>
      <c r="E2622" s="54">
        <v>46619761</v>
      </c>
      <c r="F2622" s="54" t="s">
        <v>3440</v>
      </c>
      <c r="G2622" s="25">
        <f t="shared" si="39"/>
        <v>-1.2752991634811028E-2</v>
      </c>
    </row>
    <row r="2623" spans="1:7">
      <c r="A2623" s="54">
        <v>46.573</v>
      </c>
      <c r="B2623" s="54">
        <v>46.9833</v>
      </c>
      <c r="C2623" s="54">
        <v>46.450800000000001</v>
      </c>
      <c r="D2623" s="54">
        <v>46.7301</v>
      </c>
      <c r="E2623" s="54">
        <v>30202078</v>
      </c>
      <c r="F2623" s="54" t="s">
        <v>3441</v>
      </c>
      <c r="G2623" s="25">
        <f t="shared" si="39"/>
        <v>-3.3618588447275055E-3</v>
      </c>
    </row>
    <row r="2624" spans="1:7">
      <c r="A2624" s="54">
        <v>47.114199999999997</v>
      </c>
      <c r="B2624" s="54">
        <v>47.114199999999997</v>
      </c>
      <c r="C2624" s="54">
        <v>46.136600000000001</v>
      </c>
      <c r="D2624" s="54">
        <v>46.7301</v>
      </c>
      <c r="E2624" s="54">
        <v>47000753</v>
      </c>
      <c r="F2624" s="54" t="s">
        <v>3442</v>
      </c>
      <c r="G2624" s="25">
        <f t="shared" si="39"/>
        <v>8.2195415802661653E-3</v>
      </c>
    </row>
    <row r="2625" spans="1:7">
      <c r="A2625" s="54">
        <v>46.8611</v>
      </c>
      <c r="B2625" s="54">
        <v>47.454599999999999</v>
      </c>
      <c r="C2625" s="54">
        <v>46.765099999999997</v>
      </c>
      <c r="D2625" s="54">
        <v>47.122900000000001</v>
      </c>
      <c r="E2625" s="54">
        <v>50999907</v>
      </c>
      <c r="F2625" s="54" t="s">
        <v>3443</v>
      </c>
      <c r="G2625" s="25">
        <f t="shared" si="39"/>
        <v>-5.5556852400849843E-3</v>
      </c>
    </row>
    <row r="2626" spans="1:7">
      <c r="A2626" s="54">
        <v>47.349800000000002</v>
      </c>
      <c r="B2626" s="54">
        <v>47.410899999999998</v>
      </c>
      <c r="C2626" s="54">
        <v>45.822400000000002</v>
      </c>
      <c r="D2626" s="54">
        <v>45.848599999999998</v>
      </c>
      <c r="E2626" s="54">
        <v>64633324</v>
      </c>
      <c r="F2626" s="54" t="s">
        <v>3444</v>
      </c>
      <c r="G2626" s="25">
        <f t="shared" si="39"/>
        <v>3.2742548300275454E-2</v>
      </c>
    </row>
    <row r="2627" spans="1:7">
      <c r="A2627" s="54">
        <v>46.145400000000002</v>
      </c>
      <c r="B2627" s="54">
        <v>47.192700000000002</v>
      </c>
      <c r="C2627" s="54">
        <v>45.604199999999999</v>
      </c>
      <c r="D2627" s="54">
        <v>45.6479</v>
      </c>
      <c r="E2627" s="54">
        <v>135227059</v>
      </c>
      <c r="F2627" s="54" t="s">
        <v>3445</v>
      </c>
      <c r="G2627" s="25">
        <f t="shared" si="39"/>
        <v>1.0898639367856955E-2</v>
      </c>
    </row>
    <row r="2628" spans="1:7">
      <c r="A2628" s="54">
        <v>41.920999999999999</v>
      </c>
      <c r="B2628" s="54">
        <v>42.723999999999997</v>
      </c>
      <c r="C2628" s="54">
        <v>41.100499999999997</v>
      </c>
      <c r="D2628" s="54">
        <v>41.4846</v>
      </c>
      <c r="E2628" s="54">
        <v>56637074</v>
      </c>
      <c r="F2628" s="54" t="s">
        <v>3446</v>
      </c>
      <c r="G2628" s="25">
        <f t="shared" si="39"/>
        <v>1.0519566296890881E-2</v>
      </c>
    </row>
    <row r="2629" spans="1:7">
      <c r="A2629" s="54">
        <v>41.1965</v>
      </c>
      <c r="B2629" s="54">
        <v>41.886099999999999</v>
      </c>
      <c r="C2629" s="54">
        <v>41.118000000000002</v>
      </c>
      <c r="D2629" s="54">
        <v>41.825000000000003</v>
      </c>
      <c r="E2629" s="54">
        <v>25264710</v>
      </c>
      <c r="F2629" s="54" t="s">
        <v>3447</v>
      </c>
      <c r="G2629" s="25">
        <f t="shared" si="39"/>
        <v>-1.5026897788404159E-2</v>
      </c>
    </row>
    <row r="2630" spans="1:7">
      <c r="A2630" s="54">
        <v>41.694000000000003</v>
      </c>
      <c r="B2630" s="54">
        <v>41.728999999999999</v>
      </c>
      <c r="C2630" s="54">
        <v>41.039400000000001</v>
      </c>
      <c r="D2630" s="54">
        <v>41.405999999999999</v>
      </c>
      <c r="E2630" s="54">
        <v>30802235</v>
      </c>
      <c r="F2630" s="54" t="s">
        <v>3448</v>
      </c>
      <c r="G2630" s="25">
        <f t="shared" si="39"/>
        <v>6.9555136936676476E-3</v>
      </c>
    </row>
    <row r="2631" spans="1:7">
      <c r="A2631" s="54">
        <v>41.563099999999999</v>
      </c>
      <c r="B2631" s="54">
        <v>41.790100000000002</v>
      </c>
      <c r="C2631" s="54">
        <v>41.039400000000001</v>
      </c>
      <c r="D2631" s="54">
        <v>41.388599999999997</v>
      </c>
      <c r="E2631" s="54">
        <v>29387581</v>
      </c>
      <c r="F2631" s="54" t="s">
        <v>3449</v>
      </c>
      <c r="G2631" s="25">
        <f t="shared" si="39"/>
        <v>4.2161368106194974E-3</v>
      </c>
    </row>
    <row r="2632" spans="1:7">
      <c r="A2632" s="54">
        <v>41.467100000000002</v>
      </c>
      <c r="B2632" s="54">
        <v>41.493299999999998</v>
      </c>
      <c r="C2632" s="54">
        <v>40.932099999999998</v>
      </c>
      <c r="D2632" s="54">
        <v>41.039400000000001</v>
      </c>
      <c r="E2632" s="54">
        <v>26450334</v>
      </c>
      <c r="F2632" s="54" t="s">
        <v>3450</v>
      </c>
      <c r="G2632" s="25">
        <f t="shared" si="39"/>
        <v>1.0421692324936505E-2</v>
      </c>
    </row>
    <row r="2633" spans="1:7">
      <c r="A2633" s="54">
        <v>41.030700000000003</v>
      </c>
      <c r="B2633" s="54">
        <v>41.048200000000001</v>
      </c>
      <c r="C2633" s="54">
        <v>40.611800000000002</v>
      </c>
      <c r="D2633" s="54">
        <v>41.030700000000003</v>
      </c>
      <c r="E2633" s="54">
        <v>27189370</v>
      </c>
      <c r="F2633" s="54" t="s">
        <v>3451</v>
      </c>
      <c r="G2633" s="25">
        <f t="shared" si="39"/>
        <v>0</v>
      </c>
    </row>
    <row r="2634" spans="1:7">
      <c r="A2634" s="54">
        <v>40.742699999999999</v>
      </c>
      <c r="B2634" s="54">
        <v>41.109299999999998</v>
      </c>
      <c r="C2634" s="54">
        <v>40.611800000000002</v>
      </c>
      <c r="D2634" s="54">
        <v>40.716500000000003</v>
      </c>
      <c r="E2634" s="54">
        <v>24697766</v>
      </c>
      <c r="F2634" s="54" t="s">
        <v>3452</v>
      </c>
      <c r="G2634" s="25">
        <f t="shared" si="39"/>
        <v>6.4347377598750199E-4</v>
      </c>
    </row>
    <row r="2635" spans="1:7">
      <c r="A2635" s="54">
        <v>40.926000000000002</v>
      </c>
      <c r="B2635" s="54">
        <v>41.135399999999997</v>
      </c>
      <c r="C2635" s="54">
        <v>40.637900000000002</v>
      </c>
      <c r="D2635" s="54">
        <v>40.637900000000002</v>
      </c>
      <c r="E2635" s="54">
        <v>19987816</v>
      </c>
      <c r="F2635" s="54" t="s">
        <v>3453</v>
      </c>
      <c r="G2635" s="25">
        <f t="shared" si="39"/>
        <v>7.0894411374604616E-3</v>
      </c>
    </row>
    <row r="2636" spans="1:7">
      <c r="A2636" s="54">
        <v>41.021999999999998</v>
      </c>
      <c r="B2636" s="54">
        <v>41.083100000000002</v>
      </c>
      <c r="C2636" s="54">
        <v>40.585599999999999</v>
      </c>
      <c r="D2636" s="54">
        <v>41.0045</v>
      </c>
      <c r="E2636" s="54">
        <v>19769066</v>
      </c>
      <c r="F2636" s="54" t="s">
        <v>3454</v>
      </c>
      <c r="G2636" s="25">
        <f t="shared" si="39"/>
        <v>4.2678242631910557E-4</v>
      </c>
    </row>
    <row r="2637" spans="1:7">
      <c r="A2637" s="54">
        <v>41.118000000000002</v>
      </c>
      <c r="B2637" s="54">
        <v>41.493299999999998</v>
      </c>
      <c r="C2637" s="54">
        <v>40.952199999999998</v>
      </c>
      <c r="D2637" s="54">
        <v>41.414700000000003</v>
      </c>
      <c r="E2637" s="54">
        <v>28600632</v>
      </c>
      <c r="F2637" s="54" t="s">
        <v>3455</v>
      </c>
      <c r="G2637" s="25">
        <f t="shared" si="39"/>
        <v>-7.1641228839035564E-3</v>
      </c>
    </row>
    <row r="2638" spans="1:7">
      <c r="A2638" s="54">
        <v>41.414700000000003</v>
      </c>
      <c r="B2638" s="54">
        <v>41.471499999999999</v>
      </c>
      <c r="C2638" s="54">
        <v>40.585599999999999</v>
      </c>
      <c r="D2638" s="54">
        <v>40.637900000000002</v>
      </c>
      <c r="E2638" s="54">
        <v>33772709</v>
      </c>
      <c r="F2638" s="54" t="s">
        <v>3456</v>
      </c>
      <c r="G2638" s="25">
        <f t="shared" si="39"/>
        <v>1.9115160970424094E-2</v>
      </c>
    </row>
    <row r="2639" spans="1:7">
      <c r="A2639" s="54">
        <v>40.8474</v>
      </c>
      <c r="B2639" s="54">
        <v>41.327500000000001</v>
      </c>
      <c r="C2639" s="54">
        <v>40.105499999999999</v>
      </c>
      <c r="D2639" s="54">
        <v>41.109299999999998</v>
      </c>
      <c r="E2639" s="54">
        <v>27711492</v>
      </c>
      <c r="F2639" s="54" t="s">
        <v>3457</v>
      </c>
      <c r="G2639" s="25">
        <f t="shared" si="39"/>
        <v>-6.3708212010420429E-3</v>
      </c>
    </row>
    <row r="2640" spans="1:7">
      <c r="A2640" s="54">
        <v>40.803800000000003</v>
      </c>
      <c r="B2640" s="54">
        <v>41.174700000000001</v>
      </c>
      <c r="C2640" s="54">
        <v>40.341200000000001</v>
      </c>
      <c r="D2640" s="54">
        <v>40.437199999999997</v>
      </c>
      <c r="E2640" s="54">
        <v>27510808</v>
      </c>
      <c r="F2640" s="54" t="s">
        <v>3458</v>
      </c>
      <c r="G2640" s="25">
        <f t="shared" si="39"/>
        <v>9.0659096079848123E-3</v>
      </c>
    </row>
    <row r="2641" spans="1:7">
      <c r="A2641" s="54">
        <v>40.698999999999998</v>
      </c>
      <c r="B2641" s="54">
        <v>40.926000000000002</v>
      </c>
      <c r="C2641" s="54">
        <v>39.887300000000003</v>
      </c>
      <c r="D2641" s="54">
        <v>39.926600000000001</v>
      </c>
      <c r="E2641" s="54">
        <v>34369286</v>
      </c>
      <c r="F2641" s="54" t="s">
        <v>3459</v>
      </c>
      <c r="G2641" s="25">
        <f t="shared" si="39"/>
        <v>1.9345498990647858E-2</v>
      </c>
    </row>
    <row r="2642" spans="1:7">
      <c r="A2642" s="54">
        <v>39.773899999999998</v>
      </c>
      <c r="B2642" s="54">
        <v>39.773899999999998</v>
      </c>
      <c r="C2642" s="54">
        <v>38.3337</v>
      </c>
      <c r="D2642" s="54">
        <v>38.639200000000002</v>
      </c>
      <c r="E2642" s="54">
        <v>41839035</v>
      </c>
      <c r="F2642" s="54" t="s">
        <v>3460</v>
      </c>
      <c r="G2642" s="25">
        <f t="shared" si="39"/>
        <v>2.9366550032091654E-2</v>
      </c>
    </row>
    <row r="2643" spans="1:7">
      <c r="A2643" s="54">
        <v>38.936</v>
      </c>
      <c r="B2643" s="54">
        <v>39.058199999999999</v>
      </c>
      <c r="C2643" s="54">
        <v>38.185400000000001</v>
      </c>
      <c r="D2643" s="54">
        <v>39.058199999999999</v>
      </c>
      <c r="E2643" s="54">
        <v>28657859</v>
      </c>
      <c r="F2643" s="54" t="s">
        <v>3461</v>
      </c>
      <c r="G2643" s="25">
        <f t="shared" si="39"/>
        <v>-3.1286644033775568E-3</v>
      </c>
    </row>
    <row r="2644" spans="1:7">
      <c r="A2644" s="54">
        <v>38.630499999999998</v>
      </c>
      <c r="B2644" s="54">
        <v>38.665399999999998</v>
      </c>
      <c r="C2644" s="54">
        <v>38.1068</v>
      </c>
      <c r="D2644" s="54">
        <v>38.2988</v>
      </c>
      <c r="E2644" s="54">
        <v>34958880</v>
      </c>
      <c r="F2644" s="54" t="s">
        <v>3462</v>
      </c>
      <c r="G2644" s="25">
        <f t="shared" si="39"/>
        <v>8.6608457706245368E-3</v>
      </c>
    </row>
    <row r="2645" spans="1:7">
      <c r="A2645" s="54">
        <v>37.9148</v>
      </c>
      <c r="B2645" s="54">
        <v>38.028199999999998</v>
      </c>
      <c r="C2645" s="54">
        <v>37.574399999999997</v>
      </c>
      <c r="D2645" s="54">
        <v>37.853700000000003</v>
      </c>
      <c r="E2645" s="54">
        <v>32763557</v>
      </c>
      <c r="F2645" s="54" t="s">
        <v>3463</v>
      </c>
      <c r="G2645" s="25">
        <f t="shared" si="39"/>
        <v>1.6141090567103333E-3</v>
      </c>
    </row>
    <row r="2646" spans="1:7">
      <c r="A2646" s="54">
        <v>37.783900000000003</v>
      </c>
      <c r="B2646" s="54">
        <v>38.477699999999999</v>
      </c>
      <c r="C2646" s="54">
        <v>37.709699999999998</v>
      </c>
      <c r="D2646" s="54">
        <v>38.255200000000002</v>
      </c>
      <c r="E2646" s="54">
        <v>27613785</v>
      </c>
      <c r="F2646" s="54" t="s">
        <v>3464</v>
      </c>
      <c r="G2646" s="25">
        <f t="shared" si="39"/>
        <v>-1.2319893766076229E-2</v>
      </c>
    </row>
    <row r="2647" spans="1:7">
      <c r="A2647" s="54">
        <v>38.351199999999999</v>
      </c>
      <c r="B2647" s="54">
        <v>39.040700000000001</v>
      </c>
      <c r="C2647" s="54">
        <v>38.194099999999999</v>
      </c>
      <c r="D2647" s="54">
        <v>38.822499999999998</v>
      </c>
      <c r="E2647" s="54">
        <v>29384601</v>
      </c>
      <c r="F2647" s="54" t="s">
        <v>3465</v>
      </c>
      <c r="G2647" s="25">
        <f t="shared" si="39"/>
        <v>-1.2139867344967414E-2</v>
      </c>
    </row>
    <row r="2648" spans="1:7">
      <c r="A2648" s="54">
        <v>38.325000000000003</v>
      </c>
      <c r="B2648" s="54">
        <v>38.517000000000003</v>
      </c>
      <c r="C2648" s="54">
        <v>37.766399999999997</v>
      </c>
      <c r="D2648" s="54">
        <v>37.923499999999997</v>
      </c>
      <c r="E2648" s="54">
        <v>27905607</v>
      </c>
      <c r="F2648" s="54" t="s">
        <v>3466</v>
      </c>
      <c r="G2648" s="25">
        <f t="shared" ref="G2648:G2711" si="40">A2648/D2648-1</f>
        <v>1.0587102983638186E-2</v>
      </c>
    </row>
    <row r="2649" spans="1:7">
      <c r="A2649" s="54">
        <v>38.290100000000002</v>
      </c>
      <c r="B2649" s="54">
        <v>38.551900000000003</v>
      </c>
      <c r="C2649" s="54">
        <v>37.975900000000003</v>
      </c>
      <c r="D2649" s="54">
        <v>38.342500000000001</v>
      </c>
      <c r="E2649" s="54">
        <v>17145238</v>
      </c>
      <c r="F2649" s="54" t="s">
        <v>3467</v>
      </c>
      <c r="G2649" s="25">
        <f t="shared" si="40"/>
        <v>-1.3666297189801613E-3</v>
      </c>
    </row>
    <row r="2650" spans="1:7">
      <c r="A2650" s="54">
        <v>38.316299999999998</v>
      </c>
      <c r="B2650" s="54">
        <v>38.447200000000002</v>
      </c>
      <c r="C2650" s="54">
        <v>37.801299999999998</v>
      </c>
      <c r="D2650" s="54">
        <v>37.862400000000001</v>
      </c>
      <c r="E2650" s="54">
        <v>28085903</v>
      </c>
      <c r="F2650" s="54" t="s">
        <v>3468</v>
      </c>
      <c r="G2650" s="25">
        <f t="shared" si="40"/>
        <v>1.1988146551723977E-2</v>
      </c>
    </row>
    <row r="2651" spans="1:7">
      <c r="A2651" s="54">
        <v>38.499600000000001</v>
      </c>
      <c r="B2651" s="54">
        <v>38.813800000000001</v>
      </c>
      <c r="C2651" s="54">
        <v>38.054400000000001</v>
      </c>
      <c r="D2651" s="54">
        <v>38.071899999999999</v>
      </c>
      <c r="E2651" s="54">
        <v>26177224</v>
      </c>
      <c r="F2651" s="54" t="s">
        <v>3469</v>
      </c>
      <c r="G2651" s="25">
        <f t="shared" si="40"/>
        <v>1.123400723368162E-2</v>
      </c>
    </row>
    <row r="2652" spans="1:7">
      <c r="A2652" s="54">
        <v>37.9497</v>
      </c>
      <c r="B2652" s="54">
        <v>38.394799999999996</v>
      </c>
      <c r="C2652" s="54">
        <v>37.818800000000003</v>
      </c>
      <c r="D2652" s="54">
        <v>37.967199999999998</v>
      </c>
      <c r="E2652" s="54">
        <v>63143684</v>
      </c>
      <c r="F2652" s="54" t="s">
        <v>3470</v>
      </c>
      <c r="G2652" s="25">
        <f t="shared" si="40"/>
        <v>-4.609241661223118E-4</v>
      </c>
    </row>
    <row r="2653" spans="1:7">
      <c r="A2653" s="54">
        <v>38.6218</v>
      </c>
      <c r="B2653" s="54">
        <v>39.276400000000002</v>
      </c>
      <c r="C2653" s="54">
        <v>38.473399999999998</v>
      </c>
      <c r="D2653" s="54">
        <v>38.656700000000001</v>
      </c>
      <c r="E2653" s="54">
        <v>32768161</v>
      </c>
      <c r="F2653" s="54" t="s">
        <v>3471</v>
      </c>
      <c r="G2653" s="25">
        <f t="shared" si="40"/>
        <v>-9.0281891625509925E-4</v>
      </c>
    </row>
    <row r="2654" spans="1:7">
      <c r="A2654" s="54">
        <v>38.665399999999998</v>
      </c>
      <c r="B2654" s="54">
        <v>38.735199999999999</v>
      </c>
      <c r="C2654" s="54">
        <v>38.2639</v>
      </c>
      <c r="D2654" s="54">
        <v>38.377400000000002</v>
      </c>
      <c r="E2654" s="54">
        <v>23372162</v>
      </c>
      <c r="F2654" s="54" t="s">
        <v>3472</v>
      </c>
      <c r="G2654" s="25">
        <f t="shared" si="40"/>
        <v>7.5044166618893904E-3</v>
      </c>
    </row>
    <row r="2655" spans="1:7">
      <c r="A2655" s="54">
        <v>38.386099999999999</v>
      </c>
      <c r="B2655" s="54">
        <v>38.656700000000001</v>
      </c>
      <c r="C2655" s="54">
        <v>37.6006</v>
      </c>
      <c r="D2655" s="54">
        <v>37.696599999999997</v>
      </c>
      <c r="E2655" s="54">
        <v>28882206</v>
      </c>
      <c r="F2655" s="54" t="s">
        <v>3473</v>
      </c>
      <c r="G2655" s="25">
        <f t="shared" si="40"/>
        <v>1.8290774234281049E-2</v>
      </c>
    </row>
    <row r="2656" spans="1:7">
      <c r="A2656" s="54">
        <v>37.5657</v>
      </c>
      <c r="B2656" s="54">
        <v>37.9148</v>
      </c>
      <c r="C2656" s="54">
        <v>37.4086</v>
      </c>
      <c r="D2656" s="54">
        <v>37.906100000000002</v>
      </c>
      <c r="E2656" s="54">
        <v>23656048</v>
      </c>
      <c r="F2656" s="54" t="s">
        <v>3474</v>
      </c>
      <c r="G2656" s="25">
        <f t="shared" si="40"/>
        <v>-8.9800849995119725E-3</v>
      </c>
    </row>
    <row r="2657" spans="1:7">
      <c r="A2657" s="54">
        <v>37.9497</v>
      </c>
      <c r="B2657" s="54">
        <v>38.045699999999997</v>
      </c>
      <c r="C2657" s="54">
        <v>37.478299999999997</v>
      </c>
      <c r="D2657" s="54">
        <v>37.652900000000002</v>
      </c>
      <c r="E2657" s="54">
        <v>27132527</v>
      </c>
      <c r="F2657" s="54" t="s">
        <v>3475</v>
      </c>
      <c r="G2657" s="25">
        <f t="shared" si="40"/>
        <v>7.8825269766737982E-3</v>
      </c>
    </row>
    <row r="2658" spans="1:7">
      <c r="A2658" s="54">
        <v>37.783900000000003</v>
      </c>
      <c r="B2658" s="54">
        <v>38.220300000000002</v>
      </c>
      <c r="C2658" s="54">
        <v>37.308199999999999</v>
      </c>
      <c r="D2658" s="54">
        <v>37.6355</v>
      </c>
      <c r="E2658" s="54">
        <v>31366630</v>
      </c>
      <c r="F2658" s="54" t="s">
        <v>3476</v>
      </c>
      <c r="G2658" s="25">
        <f t="shared" si="40"/>
        <v>3.9430856505162648E-3</v>
      </c>
    </row>
    <row r="2659" spans="1:7">
      <c r="A2659" s="54">
        <v>37.591799999999999</v>
      </c>
      <c r="B2659" s="54">
        <v>38.752699999999997</v>
      </c>
      <c r="C2659" s="54">
        <v>37.452199999999998</v>
      </c>
      <c r="D2659" s="54">
        <v>38.586799999999997</v>
      </c>
      <c r="E2659" s="54">
        <v>33469485</v>
      </c>
      <c r="F2659" s="54" t="s">
        <v>3477</v>
      </c>
      <c r="G2659" s="25">
        <f t="shared" si="40"/>
        <v>-2.57860200897716E-2</v>
      </c>
    </row>
    <row r="2660" spans="1:7">
      <c r="A2660" s="54">
        <v>38.307499999999997</v>
      </c>
      <c r="B2660" s="54">
        <v>38.403599999999997</v>
      </c>
      <c r="C2660" s="54">
        <v>37.705300000000001</v>
      </c>
      <c r="D2660" s="54">
        <v>37.7926</v>
      </c>
      <c r="E2660" s="54">
        <v>32469766</v>
      </c>
      <c r="F2660" s="54" t="s">
        <v>3478</v>
      </c>
      <c r="G2660" s="25">
        <f t="shared" si="40"/>
        <v>1.3624360324507867E-2</v>
      </c>
    </row>
    <row r="2661" spans="1:7">
      <c r="A2661" s="54">
        <v>37.190399999999997</v>
      </c>
      <c r="B2661" s="54">
        <v>37.5657</v>
      </c>
      <c r="C2661" s="54">
        <v>36.828099999999999</v>
      </c>
      <c r="D2661" s="54">
        <v>37.364899999999999</v>
      </c>
      <c r="E2661" s="54">
        <v>37138775</v>
      </c>
      <c r="F2661" s="54" t="s">
        <v>3479</v>
      </c>
      <c r="G2661" s="25">
        <f t="shared" si="40"/>
        <v>-4.6701583571748806E-3</v>
      </c>
    </row>
    <row r="2662" spans="1:7">
      <c r="A2662" s="54">
        <v>37.967199999999998</v>
      </c>
      <c r="B2662" s="54">
        <v>38.386099999999999</v>
      </c>
      <c r="C2662" s="54">
        <v>37.775100000000002</v>
      </c>
      <c r="D2662" s="54">
        <v>37.888599999999997</v>
      </c>
      <c r="E2662" s="54">
        <v>28285205</v>
      </c>
      <c r="F2662" s="54" t="s">
        <v>3480</v>
      </c>
      <c r="G2662" s="25">
        <f t="shared" si="40"/>
        <v>2.0745026208410788E-3</v>
      </c>
    </row>
    <row r="2663" spans="1:7">
      <c r="A2663" s="54">
        <v>37.844999999999999</v>
      </c>
      <c r="B2663" s="54">
        <v>37.862400000000001</v>
      </c>
      <c r="C2663" s="54">
        <v>36.553199999999997</v>
      </c>
      <c r="D2663" s="54">
        <v>36.972200000000001</v>
      </c>
      <c r="E2663" s="54">
        <v>37671518</v>
      </c>
      <c r="F2663" s="54" t="s">
        <v>3481</v>
      </c>
      <c r="G2663" s="25">
        <f t="shared" si="40"/>
        <v>2.3606926285154817E-2</v>
      </c>
    </row>
    <row r="2664" spans="1:7">
      <c r="A2664" s="54">
        <v>36.500799999999998</v>
      </c>
      <c r="B2664" s="54">
        <v>37.172899999999998</v>
      </c>
      <c r="C2664" s="54">
        <v>36.361199999999997</v>
      </c>
      <c r="D2664" s="54">
        <v>36.8063</v>
      </c>
      <c r="E2664" s="54">
        <v>49688896</v>
      </c>
      <c r="F2664" s="54" t="s">
        <v>3482</v>
      </c>
      <c r="G2664" s="25">
        <f t="shared" si="40"/>
        <v>-8.3002094750084243E-3</v>
      </c>
    </row>
    <row r="2665" spans="1:7">
      <c r="A2665" s="54">
        <v>37.9846</v>
      </c>
      <c r="B2665" s="54">
        <v>38.342500000000001</v>
      </c>
      <c r="C2665" s="54">
        <v>37.618000000000002</v>
      </c>
      <c r="D2665" s="54">
        <v>38.019500000000001</v>
      </c>
      <c r="E2665" s="54">
        <v>34441662</v>
      </c>
      <c r="F2665" s="54" t="s">
        <v>3483</v>
      </c>
      <c r="G2665" s="25">
        <f t="shared" si="40"/>
        <v>-9.1794999934247112E-4</v>
      </c>
    </row>
    <row r="2666" spans="1:7">
      <c r="A2666" s="54">
        <v>38.342500000000001</v>
      </c>
      <c r="B2666" s="54">
        <v>38.534500000000001</v>
      </c>
      <c r="C2666" s="54">
        <v>37.871099999999998</v>
      </c>
      <c r="D2666" s="54">
        <v>37.879899999999999</v>
      </c>
      <c r="E2666" s="54">
        <v>28246725</v>
      </c>
      <c r="F2666" s="54" t="s">
        <v>3484</v>
      </c>
      <c r="G2666" s="25">
        <f t="shared" si="40"/>
        <v>1.2212281447416817E-2</v>
      </c>
    </row>
    <row r="2667" spans="1:7">
      <c r="A2667" s="54">
        <v>38.316299999999998</v>
      </c>
      <c r="B2667" s="54">
        <v>38.359900000000003</v>
      </c>
      <c r="C2667" s="54">
        <v>37.465299999999999</v>
      </c>
      <c r="D2667" s="54">
        <v>37.731499999999997</v>
      </c>
      <c r="E2667" s="54">
        <v>50943211</v>
      </c>
      <c r="F2667" s="54" t="s">
        <v>3485</v>
      </c>
      <c r="G2667" s="25">
        <f t="shared" si="40"/>
        <v>1.5498986258166259E-2</v>
      </c>
    </row>
    <row r="2668" spans="1:7">
      <c r="A2668" s="54">
        <v>37.2776</v>
      </c>
      <c r="B2668" s="54">
        <v>37.391100000000002</v>
      </c>
      <c r="C2668" s="54">
        <v>35.837499999999999</v>
      </c>
      <c r="D2668" s="54">
        <v>36.666699999999999</v>
      </c>
      <c r="E2668" s="54">
        <v>63407996</v>
      </c>
      <c r="F2668" s="54" t="s">
        <v>3486</v>
      </c>
      <c r="G2668" s="25">
        <f t="shared" si="40"/>
        <v>1.6660893944641986E-2</v>
      </c>
    </row>
    <row r="2669" spans="1:7">
      <c r="A2669" s="54">
        <v>35.322499999999998</v>
      </c>
      <c r="B2669" s="54">
        <v>37.740200000000002</v>
      </c>
      <c r="C2669" s="54">
        <v>35.252699999999997</v>
      </c>
      <c r="D2669" s="54">
        <v>37.1511</v>
      </c>
      <c r="E2669" s="54">
        <v>70616597</v>
      </c>
      <c r="F2669" s="54" t="s">
        <v>3487</v>
      </c>
      <c r="G2669" s="25">
        <f t="shared" si="40"/>
        <v>-4.9220615271149515E-2</v>
      </c>
    </row>
    <row r="2670" spans="1:7">
      <c r="A2670" s="54">
        <v>36.378599999999999</v>
      </c>
      <c r="B2670" s="54">
        <v>37.801299999999998</v>
      </c>
      <c r="C2670" s="54">
        <v>34.667900000000003</v>
      </c>
      <c r="D2670" s="54">
        <v>35.305100000000003</v>
      </c>
      <c r="E2670" s="54">
        <v>88753660</v>
      </c>
      <c r="F2670" s="54" t="s">
        <v>3488</v>
      </c>
      <c r="G2670" s="25">
        <f t="shared" si="40"/>
        <v>3.040637188394868E-2</v>
      </c>
    </row>
    <row r="2671" spans="1:7">
      <c r="A2671" s="54">
        <v>37.591799999999999</v>
      </c>
      <c r="B2671" s="54">
        <v>39.695300000000003</v>
      </c>
      <c r="C2671" s="54">
        <v>37.591799999999999</v>
      </c>
      <c r="D2671" s="54">
        <v>39.538200000000003</v>
      </c>
      <c r="E2671" s="54">
        <v>70053084</v>
      </c>
      <c r="F2671" s="54" t="s">
        <v>3489</v>
      </c>
      <c r="G2671" s="25">
        <f t="shared" si="40"/>
        <v>-4.922834119914421E-2</v>
      </c>
    </row>
    <row r="2672" spans="1:7">
      <c r="A2672" s="54">
        <v>39.852400000000003</v>
      </c>
      <c r="B2672" s="54">
        <v>40.559399999999997</v>
      </c>
      <c r="C2672" s="54">
        <v>39.852400000000003</v>
      </c>
      <c r="D2672" s="54">
        <v>40.210299999999997</v>
      </c>
      <c r="E2672" s="54">
        <v>36238227</v>
      </c>
      <c r="F2672" s="54" t="s">
        <v>3490</v>
      </c>
      <c r="G2672" s="25">
        <f t="shared" si="40"/>
        <v>-8.9007045458500134E-3</v>
      </c>
    </row>
    <row r="2673" spans="1:7">
      <c r="A2673" s="54">
        <v>40.681600000000003</v>
      </c>
      <c r="B2673" s="54">
        <v>41.091799999999999</v>
      </c>
      <c r="C2673" s="54">
        <v>40.411000000000001</v>
      </c>
      <c r="D2673" s="54">
        <v>40.83</v>
      </c>
      <c r="E2673" s="54">
        <v>31485511</v>
      </c>
      <c r="F2673" s="54" t="s">
        <v>3491</v>
      </c>
      <c r="G2673" s="25">
        <f t="shared" si="40"/>
        <v>-3.6345824148908967E-3</v>
      </c>
    </row>
    <row r="2674" spans="1:7">
      <c r="A2674" s="54">
        <v>41.257599999999996</v>
      </c>
      <c r="B2674" s="54">
        <v>41.397300000000001</v>
      </c>
      <c r="C2674" s="54">
        <v>40.760100000000001</v>
      </c>
      <c r="D2674" s="54">
        <v>40.882300000000001</v>
      </c>
      <c r="E2674" s="54">
        <v>23574104</v>
      </c>
      <c r="F2674" s="54" t="s">
        <v>3492</v>
      </c>
      <c r="G2674" s="25">
        <f t="shared" si="40"/>
        <v>9.1800118877851666E-3</v>
      </c>
    </row>
    <row r="2675" spans="1:7">
      <c r="A2675" s="54">
        <v>41.030700000000003</v>
      </c>
      <c r="B2675" s="54">
        <v>41.1434</v>
      </c>
      <c r="C2675" s="54">
        <v>40.380400000000002</v>
      </c>
      <c r="D2675" s="54">
        <v>40.588500000000003</v>
      </c>
      <c r="E2675" s="54">
        <v>21099746</v>
      </c>
      <c r="F2675" s="54" t="s">
        <v>3493</v>
      </c>
      <c r="G2675" s="25">
        <f t="shared" si="40"/>
        <v>1.0894711556229009E-2</v>
      </c>
    </row>
    <row r="2676" spans="1:7">
      <c r="A2676" s="54">
        <v>40.7532</v>
      </c>
      <c r="B2676" s="54">
        <v>40.8399</v>
      </c>
      <c r="C2676" s="54">
        <v>40.337000000000003</v>
      </c>
      <c r="D2676" s="54">
        <v>40.345700000000001</v>
      </c>
      <c r="E2676" s="54">
        <v>21473402</v>
      </c>
      <c r="F2676" s="54" t="s">
        <v>3494</v>
      </c>
      <c r="G2676" s="25">
        <f t="shared" si="40"/>
        <v>1.0100208944199718E-2</v>
      </c>
    </row>
    <row r="2677" spans="1:7">
      <c r="A2677" s="54">
        <v>40.519100000000002</v>
      </c>
      <c r="B2677" s="54">
        <v>40.8399</v>
      </c>
      <c r="C2677" s="54">
        <v>40.311</v>
      </c>
      <c r="D2677" s="54">
        <v>40.805300000000003</v>
      </c>
      <c r="E2677" s="54">
        <v>22627241</v>
      </c>
      <c r="F2677" s="54" t="s">
        <v>3495</v>
      </c>
      <c r="G2677" s="25">
        <f t="shared" si="40"/>
        <v>-7.013794776658977E-3</v>
      </c>
    </row>
    <row r="2678" spans="1:7">
      <c r="A2678" s="54">
        <v>40.527799999999999</v>
      </c>
      <c r="B2678" s="54">
        <v>40.666499999999999</v>
      </c>
      <c r="C2678" s="54">
        <v>39.630400000000002</v>
      </c>
      <c r="D2678" s="54">
        <v>40.050899999999999</v>
      </c>
      <c r="E2678" s="54">
        <v>30198532</v>
      </c>
      <c r="F2678" s="54" t="s">
        <v>3496</v>
      </c>
      <c r="G2678" s="25">
        <f t="shared" si="40"/>
        <v>1.1907347899797527E-2</v>
      </c>
    </row>
    <row r="2679" spans="1:7">
      <c r="A2679" s="54">
        <v>40.241700000000002</v>
      </c>
      <c r="B2679" s="54">
        <v>40.7012</v>
      </c>
      <c r="C2679" s="54">
        <v>39.799399999999999</v>
      </c>
      <c r="D2679" s="54">
        <v>40.597200000000001</v>
      </c>
      <c r="E2679" s="54">
        <v>29237402</v>
      </c>
      <c r="F2679" s="54" t="s">
        <v>3497</v>
      </c>
      <c r="G2679" s="25">
        <f t="shared" si="40"/>
        <v>-8.7567615500576679E-3</v>
      </c>
    </row>
    <row r="2680" spans="1:7">
      <c r="A2680" s="54">
        <v>41.039400000000001</v>
      </c>
      <c r="B2680" s="54">
        <v>41.178100000000001</v>
      </c>
      <c r="C2680" s="54">
        <v>40.6145</v>
      </c>
      <c r="D2680" s="54">
        <v>40.709899999999998</v>
      </c>
      <c r="E2680" s="54">
        <v>23079870</v>
      </c>
      <c r="F2680" s="54" t="s">
        <v>3498</v>
      </c>
      <c r="G2680" s="25">
        <f t="shared" si="40"/>
        <v>8.0938543204478464E-3</v>
      </c>
    </row>
    <row r="2681" spans="1:7">
      <c r="A2681" s="54">
        <v>40.527799999999999</v>
      </c>
      <c r="B2681" s="54">
        <v>40.5625</v>
      </c>
      <c r="C2681" s="54">
        <v>40.111600000000003</v>
      </c>
      <c r="D2681" s="54">
        <v>40.224299999999999</v>
      </c>
      <c r="E2681" s="54">
        <v>19163038</v>
      </c>
      <c r="F2681" s="54" t="s">
        <v>3499</v>
      </c>
      <c r="G2681" s="25">
        <f t="shared" si="40"/>
        <v>7.545190345139563E-3</v>
      </c>
    </row>
    <row r="2682" spans="1:7">
      <c r="A2682" s="54">
        <v>40.423699999999997</v>
      </c>
      <c r="B2682" s="54">
        <v>41.420900000000003</v>
      </c>
      <c r="C2682" s="54">
        <v>40.1723</v>
      </c>
      <c r="D2682" s="54">
        <v>41.368899999999996</v>
      </c>
      <c r="E2682" s="54">
        <v>27368000</v>
      </c>
      <c r="F2682" s="54" t="s">
        <v>3500</v>
      </c>
      <c r="G2682" s="25">
        <f t="shared" si="40"/>
        <v>-2.2848081529844855E-2</v>
      </c>
    </row>
    <row r="2683" spans="1:7">
      <c r="A2683" s="54">
        <v>41.2562</v>
      </c>
      <c r="B2683" s="54">
        <v>41.9758</v>
      </c>
      <c r="C2683" s="54">
        <v>41.221499999999999</v>
      </c>
      <c r="D2683" s="54">
        <v>41.603000000000002</v>
      </c>
      <c r="E2683" s="54">
        <v>26959655</v>
      </c>
      <c r="F2683" s="54" t="s">
        <v>3501</v>
      </c>
      <c r="G2683" s="25">
        <f t="shared" si="40"/>
        <v>-8.3359373122130487E-3</v>
      </c>
    </row>
    <row r="2684" spans="1:7">
      <c r="A2684" s="54">
        <v>41.221499999999999</v>
      </c>
      <c r="B2684" s="54">
        <v>41.368899999999996</v>
      </c>
      <c r="C2684" s="54">
        <v>40.4758</v>
      </c>
      <c r="D2684" s="54">
        <v>40.536499999999997</v>
      </c>
      <c r="E2684" s="54">
        <v>33403916</v>
      </c>
      <c r="F2684" s="54" t="s">
        <v>3502</v>
      </c>
      <c r="G2684" s="25">
        <f t="shared" si="40"/>
        <v>1.6898350868969958E-2</v>
      </c>
    </row>
    <row r="2685" spans="1:7">
      <c r="A2685" s="54">
        <v>40.588500000000003</v>
      </c>
      <c r="B2685" s="54">
        <v>40.7532</v>
      </c>
      <c r="C2685" s="54">
        <v>40.276299999999999</v>
      </c>
      <c r="D2685" s="54">
        <v>40.735900000000001</v>
      </c>
      <c r="E2685" s="54">
        <v>24125886</v>
      </c>
      <c r="F2685" s="54" t="s">
        <v>3503</v>
      </c>
      <c r="G2685" s="25">
        <f t="shared" si="40"/>
        <v>-3.6184299352658433E-3</v>
      </c>
    </row>
    <row r="2686" spans="1:7">
      <c r="A2686" s="54">
        <v>40.493099999999998</v>
      </c>
      <c r="B2686" s="54">
        <v>41.074100000000001</v>
      </c>
      <c r="C2686" s="54">
        <v>40.319699999999997</v>
      </c>
      <c r="D2686" s="54">
        <v>41.0047</v>
      </c>
      <c r="E2686" s="54">
        <v>31201480</v>
      </c>
      <c r="F2686" s="54" t="s">
        <v>3504</v>
      </c>
      <c r="G2686" s="25">
        <f t="shared" si="40"/>
        <v>-1.2476618533972972E-2</v>
      </c>
    </row>
    <row r="2687" spans="1:7">
      <c r="A2687" s="54">
        <v>40.6492</v>
      </c>
      <c r="B2687" s="54">
        <v>41.100099999999998</v>
      </c>
      <c r="C2687" s="54">
        <v>39.825499999999998</v>
      </c>
      <c r="D2687" s="54">
        <v>40.111600000000003</v>
      </c>
      <c r="E2687" s="54">
        <v>39777883</v>
      </c>
      <c r="F2687" s="54" t="s">
        <v>3505</v>
      </c>
      <c r="G2687" s="25">
        <f t="shared" si="40"/>
        <v>1.3402606727231037E-2</v>
      </c>
    </row>
    <row r="2688" spans="1:7">
      <c r="A2688" s="54">
        <v>40.137599999999999</v>
      </c>
      <c r="B2688" s="54">
        <v>40.5625</v>
      </c>
      <c r="C2688" s="54">
        <v>39.244500000000002</v>
      </c>
      <c r="D2688" s="54">
        <v>39.365900000000003</v>
      </c>
      <c r="E2688" s="54">
        <v>40945864</v>
      </c>
      <c r="F2688" s="54" t="s">
        <v>3506</v>
      </c>
      <c r="G2688" s="25">
        <f t="shared" si="40"/>
        <v>1.9603260690089552E-2</v>
      </c>
    </row>
    <row r="2689" spans="1:7">
      <c r="A2689" s="54">
        <v>39.313899999999997</v>
      </c>
      <c r="B2689" s="54">
        <v>39.573099999999997</v>
      </c>
      <c r="C2689" s="54">
        <v>38.837000000000003</v>
      </c>
      <c r="D2689" s="54">
        <v>39.521999999999998</v>
      </c>
      <c r="E2689" s="54">
        <v>34328948</v>
      </c>
      <c r="F2689" s="54" t="s">
        <v>3507</v>
      </c>
      <c r="G2689" s="25">
        <f t="shared" si="40"/>
        <v>-5.2654217903952416E-3</v>
      </c>
    </row>
    <row r="2690" spans="1:7">
      <c r="A2690" s="54">
        <v>39.322499999999998</v>
      </c>
      <c r="B2690" s="54">
        <v>39.894799999999996</v>
      </c>
      <c r="C2690" s="54">
        <v>39.235799999999998</v>
      </c>
      <c r="D2690" s="54">
        <v>39.834099999999999</v>
      </c>
      <c r="E2690" s="54">
        <v>39701420</v>
      </c>
      <c r="F2690" s="54" t="s">
        <v>3508</v>
      </c>
      <c r="G2690" s="25">
        <f t="shared" si="40"/>
        <v>-1.2843267451756235E-2</v>
      </c>
    </row>
    <row r="2691" spans="1:7">
      <c r="A2691" s="54">
        <v>39.834099999999999</v>
      </c>
      <c r="B2691" s="54">
        <v>40.163600000000002</v>
      </c>
      <c r="C2691" s="54">
        <v>39.712699999999998</v>
      </c>
      <c r="D2691" s="54">
        <v>39.808100000000003</v>
      </c>
      <c r="E2691" s="54">
        <v>32333244</v>
      </c>
      <c r="F2691" s="54" t="s">
        <v>3509</v>
      </c>
      <c r="G2691" s="25">
        <f t="shared" si="40"/>
        <v>6.5313340752259919E-4</v>
      </c>
    </row>
    <row r="2692" spans="1:7">
      <c r="A2692" s="54">
        <v>39.981499999999997</v>
      </c>
      <c r="B2692" s="54">
        <v>40.085599999999999</v>
      </c>
      <c r="C2692" s="54">
        <v>39.105800000000002</v>
      </c>
      <c r="D2692" s="54">
        <v>39.2532</v>
      </c>
      <c r="E2692" s="54">
        <v>33934010</v>
      </c>
      <c r="F2692" s="54" t="s">
        <v>3510</v>
      </c>
      <c r="G2692" s="25">
        <f t="shared" si="40"/>
        <v>1.8553901337980072E-2</v>
      </c>
    </row>
    <row r="2693" spans="1:7">
      <c r="A2693" s="54">
        <v>39.487299999999998</v>
      </c>
      <c r="B2693" s="54">
        <v>40.692500000000003</v>
      </c>
      <c r="C2693" s="54">
        <v>39.195099999999996</v>
      </c>
      <c r="D2693" s="54">
        <v>39.400599999999997</v>
      </c>
      <c r="E2693" s="54">
        <v>59152427</v>
      </c>
      <c r="F2693" s="54" t="s">
        <v>3511</v>
      </c>
      <c r="G2693" s="25">
        <f t="shared" si="40"/>
        <v>2.2004741044552301E-3</v>
      </c>
    </row>
    <row r="2694" spans="1:7">
      <c r="A2694" s="54">
        <v>40.996000000000002</v>
      </c>
      <c r="B2694" s="54">
        <v>41.039400000000001</v>
      </c>
      <c r="C2694" s="54">
        <v>40.302399999999999</v>
      </c>
      <c r="D2694" s="54">
        <v>40.5625</v>
      </c>
      <c r="E2694" s="54">
        <v>42781899</v>
      </c>
      <c r="F2694" s="54" t="s">
        <v>3512</v>
      </c>
      <c r="G2694" s="25">
        <f t="shared" si="40"/>
        <v>1.0687211093990845E-2</v>
      </c>
    </row>
    <row r="2695" spans="1:7">
      <c r="A2695" s="54">
        <v>40.683900000000001</v>
      </c>
      <c r="B2695" s="54">
        <v>40.866</v>
      </c>
      <c r="C2695" s="54">
        <v>40.267699999999998</v>
      </c>
      <c r="D2695" s="54">
        <v>40.449800000000003</v>
      </c>
      <c r="E2695" s="54">
        <v>30631905</v>
      </c>
      <c r="F2695" s="54" t="s">
        <v>3513</v>
      </c>
      <c r="G2695" s="25">
        <f t="shared" si="40"/>
        <v>5.7874204569614562E-3</v>
      </c>
    </row>
    <row r="2696" spans="1:7">
      <c r="A2696" s="54">
        <v>40.423699999999997</v>
      </c>
      <c r="B2696" s="54">
        <v>40.5625</v>
      </c>
      <c r="C2696" s="54">
        <v>40.111600000000003</v>
      </c>
      <c r="D2696" s="54">
        <v>40.363</v>
      </c>
      <c r="E2696" s="54">
        <v>29467107</v>
      </c>
      <c r="F2696" s="54" t="s">
        <v>3514</v>
      </c>
      <c r="G2696" s="25">
        <f t="shared" si="40"/>
        <v>1.5038525382156109E-3</v>
      </c>
    </row>
    <row r="2697" spans="1:7">
      <c r="A2697" s="54">
        <v>40.458399999999997</v>
      </c>
      <c r="B2697" s="54">
        <v>40.484400000000001</v>
      </c>
      <c r="C2697" s="54">
        <v>39.855800000000002</v>
      </c>
      <c r="D2697" s="54">
        <v>39.894799999999996</v>
      </c>
      <c r="E2697" s="54">
        <v>26271673</v>
      </c>
      <c r="F2697" s="54" t="s">
        <v>3515</v>
      </c>
      <c r="G2697" s="25">
        <f t="shared" si="40"/>
        <v>1.412715441611434E-2</v>
      </c>
    </row>
    <row r="2698" spans="1:7">
      <c r="A2698" s="54">
        <v>39.677999999999997</v>
      </c>
      <c r="B2698" s="54">
        <v>39.790799999999997</v>
      </c>
      <c r="C2698" s="54">
        <v>39.3919</v>
      </c>
      <c r="D2698" s="54">
        <v>39.608699999999999</v>
      </c>
      <c r="E2698" s="54">
        <v>26629615</v>
      </c>
      <c r="F2698" s="54" t="s">
        <v>3516</v>
      </c>
      <c r="G2698" s="25">
        <f t="shared" si="40"/>
        <v>1.7496156147511766E-3</v>
      </c>
    </row>
    <row r="2699" spans="1:7">
      <c r="A2699" s="54">
        <v>39.556699999999999</v>
      </c>
      <c r="B2699" s="54">
        <v>39.851500000000001</v>
      </c>
      <c r="C2699" s="54">
        <v>39.2879</v>
      </c>
      <c r="D2699" s="54">
        <v>39.409199999999998</v>
      </c>
      <c r="E2699" s="54">
        <v>22880260</v>
      </c>
      <c r="F2699" s="54" t="s">
        <v>3517</v>
      </c>
      <c r="G2699" s="25">
        <f t="shared" si="40"/>
        <v>3.74278087350155E-3</v>
      </c>
    </row>
    <row r="2700" spans="1:7">
      <c r="A2700" s="54">
        <v>39.487299999999998</v>
      </c>
      <c r="B2700" s="54">
        <v>39.556699999999999</v>
      </c>
      <c r="C2700" s="54">
        <v>38.9758</v>
      </c>
      <c r="D2700" s="54">
        <v>38.997399999999999</v>
      </c>
      <c r="E2700" s="54">
        <v>28178329</v>
      </c>
      <c r="F2700" s="54" t="s">
        <v>3518</v>
      </c>
      <c r="G2700" s="25">
        <f t="shared" si="40"/>
        <v>1.2562375953268701E-2</v>
      </c>
    </row>
    <row r="2701" spans="1:7">
      <c r="A2701" s="54">
        <v>38.680900000000001</v>
      </c>
      <c r="B2701" s="54">
        <v>39.140500000000003</v>
      </c>
      <c r="C2701" s="54">
        <v>38.6462</v>
      </c>
      <c r="D2701" s="54">
        <v>39.027700000000003</v>
      </c>
      <c r="E2701" s="54">
        <v>25465757</v>
      </c>
      <c r="F2701" s="54" t="s">
        <v>3519</v>
      </c>
      <c r="G2701" s="25">
        <f t="shared" si="40"/>
        <v>-8.8859963564340561E-3</v>
      </c>
    </row>
    <row r="2702" spans="1:7">
      <c r="A2702" s="54">
        <v>38.602899999999998</v>
      </c>
      <c r="B2702" s="54">
        <v>39.209800000000001</v>
      </c>
      <c r="C2702" s="54">
        <v>38.585500000000003</v>
      </c>
      <c r="D2702" s="54">
        <v>38.802300000000002</v>
      </c>
      <c r="E2702" s="54">
        <v>32424672</v>
      </c>
      <c r="F2702" s="54" t="s">
        <v>3520</v>
      </c>
      <c r="G2702" s="25">
        <f t="shared" si="40"/>
        <v>-5.1388706339573487E-3</v>
      </c>
    </row>
    <row r="2703" spans="1:7">
      <c r="A2703" s="54">
        <v>38.360100000000003</v>
      </c>
      <c r="B2703" s="54">
        <v>38.932299999999998</v>
      </c>
      <c r="C2703" s="54">
        <v>38.177999999999997</v>
      </c>
      <c r="D2703" s="54">
        <v>38.533499999999997</v>
      </c>
      <c r="E2703" s="54">
        <v>39785901</v>
      </c>
      <c r="F2703" s="54" t="s">
        <v>3521</v>
      </c>
      <c r="G2703" s="25">
        <f t="shared" si="40"/>
        <v>-4.4999805364162038E-3</v>
      </c>
    </row>
    <row r="2704" spans="1:7">
      <c r="A2704" s="54">
        <v>38.412100000000002</v>
      </c>
      <c r="B2704" s="54">
        <v>38.576799999999999</v>
      </c>
      <c r="C2704" s="54">
        <v>37.5623</v>
      </c>
      <c r="D2704" s="54">
        <v>38.446800000000003</v>
      </c>
      <c r="E2704" s="54">
        <v>36435827</v>
      </c>
      <c r="F2704" s="54" t="s">
        <v>3522</v>
      </c>
      <c r="G2704" s="25">
        <f t="shared" si="40"/>
        <v>-9.0254585557192346E-4</v>
      </c>
    </row>
    <row r="2705" spans="1:7">
      <c r="A2705" s="54">
        <v>38.490099999999998</v>
      </c>
      <c r="B2705" s="54">
        <v>38.568199999999997</v>
      </c>
      <c r="C2705" s="54">
        <v>38.108600000000003</v>
      </c>
      <c r="D2705" s="54">
        <v>38.1173</v>
      </c>
      <c r="E2705" s="54">
        <v>23033961</v>
      </c>
      <c r="F2705" s="54" t="s">
        <v>3523</v>
      </c>
      <c r="G2705" s="25">
        <f t="shared" si="40"/>
        <v>9.7803359629353714E-3</v>
      </c>
    </row>
    <row r="2706" spans="1:7">
      <c r="A2706" s="54">
        <v>38.498800000000003</v>
      </c>
      <c r="B2706" s="54">
        <v>38.802300000000002</v>
      </c>
      <c r="C2706" s="54">
        <v>38.204000000000001</v>
      </c>
      <c r="D2706" s="54">
        <v>38.568199999999997</v>
      </c>
      <c r="E2706" s="54">
        <v>21752013</v>
      </c>
      <c r="F2706" s="54" t="s">
        <v>3524</v>
      </c>
      <c r="G2706" s="25">
        <f t="shared" si="40"/>
        <v>-1.7994098765302668E-3</v>
      </c>
    </row>
    <row r="2707" spans="1:7">
      <c r="A2707" s="54">
        <v>38.537799999999997</v>
      </c>
      <c r="B2707" s="54">
        <v>39.218499999999999</v>
      </c>
      <c r="C2707" s="54">
        <v>38.238700000000001</v>
      </c>
      <c r="D2707" s="54">
        <v>38.550800000000002</v>
      </c>
      <c r="E2707" s="54">
        <v>28343907</v>
      </c>
      <c r="F2707" s="54" t="s">
        <v>3525</v>
      </c>
      <c r="G2707" s="25">
        <f t="shared" si="40"/>
        <v>-3.372173858909866E-4</v>
      </c>
    </row>
    <row r="2708" spans="1:7">
      <c r="A2708" s="54">
        <v>38.281999999999996</v>
      </c>
      <c r="B2708" s="54">
        <v>38.776299999999999</v>
      </c>
      <c r="C2708" s="54">
        <v>38.099899999999998</v>
      </c>
      <c r="D2708" s="54">
        <v>38.767600000000002</v>
      </c>
      <c r="E2708" s="54">
        <v>35945384</v>
      </c>
      <c r="F2708" s="54" t="s">
        <v>3526</v>
      </c>
      <c r="G2708" s="25">
        <f t="shared" si="40"/>
        <v>-1.2525923709489462E-2</v>
      </c>
    </row>
    <row r="2709" spans="1:7">
      <c r="A2709" s="54">
        <v>38.472799999999999</v>
      </c>
      <c r="B2709" s="54">
        <v>39.218499999999999</v>
      </c>
      <c r="C2709" s="54">
        <v>38.464100000000002</v>
      </c>
      <c r="D2709" s="54">
        <v>39.053699999999999</v>
      </c>
      <c r="E2709" s="54">
        <v>34081746</v>
      </c>
      <c r="F2709" s="54" t="s">
        <v>3527</v>
      </c>
      <c r="G2709" s="25">
        <f t="shared" si="40"/>
        <v>-1.4874390902782531E-2</v>
      </c>
    </row>
    <row r="2710" spans="1:7">
      <c r="A2710" s="54">
        <v>39.244500000000002</v>
      </c>
      <c r="B2710" s="54">
        <v>40.128900000000002</v>
      </c>
      <c r="C2710" s="54">
        <v>39.045099999999998</v>
      </c>
      <c r="D2710" s="54">
        <v>39.582700000000003</v>
      </c>
      <c r="E2710" s="54">
        <v>49835287</v>
      </c>
      <c r="F2710" s="54" t="s">
        <v>3528</v>
      </c>
      <c r="G2710" s="25">
        <f t="shared" si="40"/>
        <v>-8.5441367061873663E-3</v>
      </c>
    </row>
    <row r="2711" spans="1:7">
      <c r="A2711" s="54">
        <v>39.582700000000003</v>
      </c>
      <c r="B2711" s="54">
        <v>39.938200000000002</v>
      </c>
      <c r="C2711" s="54">
        <v>39.452599999999997</v>
      </c>
      <c r="D2711" s="54">
        <v>39.912199999999999</v>
      </c>
      <c r="E2711" s="54">
        <v>20615995</v>
      </c>
      <c r="F2711" s="54" t="s">
        <v>3529</v>
      </c>
      <c r="G2711" s="25">
        <f t="shared" si="40"/>
        <v>-8.2556210882887004E-3</v>
      </c>
    </row>
    <row r="2712" spans="1:7">
      <c r="A2712" s="54">
        <v>39.569699999999997</v>
      </c>
      <c r="B2712" s="54">
        <v>40.098599999999998</v>
      </c>
      <c r="C2712" s="54">
        <v>39.496000000000002</v>
      </c>
      <c r="D2712" s="54">
        <v>39.6</v>
      </c>
      <c r="E2712" s="54">
        <v>34890901</v>
      </c>
      <c r="F2712" s="54" t="s">
        <v>3530</v>
      </c>
      <c r="G2712" s="25">
        <f t="shared" ref="G2712:G2775" si="41">A2712/D2712-1</f>
        <v>-7.6515151515166302E-4</v>
      </c>
    </row>
    <row r="2713" spans="1:7">
      <c r="A2713" s="54">
        <v>39.808100000000003</v>
      </c>
      <c r="B2713" s="54">
        <v>40.128900000000002</v>
      </c>
      <c r="C2713" s="54">
        <v>39.556699999999999</v>
      </c>
      <c r="D2713" s="54">
        <v>39.998899999999999</v>
      </c>
      <c r="E2713" s="54">
        <v>25896473</v>
      </c>
      <c r="F2713" s="54" t="s">
        <v>3531</v>
      </c>
      <c r="G2713" s="25">
        <f t="shared" si="41"/>
        <v>-4.7701311786073619E-3</v>
      </c>
    </row>
    <row r="2714" spans="1:7">
      <c r="A2714" s="54">
        <v>40.085599999999999</v>
      </c>
      <c r="B2714" s="54">
        <v>40.5105</v>
      </c>
      <c r="C2714" s="54">
        <v>40.024900000000002</v>
      </c>
      <c r="D2714" s="54">
        <v>40.1723</v>
      </c>
      <c r="E2714" s="54">
        <v>20318055</v>
      </c>
      <c r="F2714" s="54" t="s">
        <v>3532</v>
      </c>
      <c r="G2714" s="25">
        <f t="shared" si="41"/>
        <v>-2.1582035382589071E-3</v>
      </c>
    </row>
    <row r="2715" spans="1:7">
      <c r="A2715" s="54">
        <v>39.972900000000003</v>
      </c>
      <c r="B2715" s="54">
        <v>40.601500000000001</v>
      </c>
      <c r="C2715" s="54">
        <v>39.877499999999998</v>
      </c>
      <c r="D2715" s="54">
        <v>40.571199999999997</v>
      </c>
      <c r="E2715" s="54">
        <v>63837036</v>
      </c>
      <c r="F2715" s="54" t="s">
        <v>3533</v>
      </c>
      <c r="G2715" s="25">
        <f t="shared" si="41"/>
        <v>-1.4746914067121364E-2</v>
      </c>
    </row>
    <row r="2716" spans="1:7">
      <c r="A2716" s="54">
        <v>40.5105</v>
      </c>
      <c r="B2716" s="54">
        <v>40.579799999999999</v>
      </c>
      <c r="C2716" s="54">
        <v>40.0336</v>
      </c>
      <c r="D2716" s="54">
        <v>40.076900000000002</v>
      </c>
      <c r="E2716" s="54">
        <v>32658343</v>
      </c>
      <c r="F2716" s="54" t="s">
        <v>3534</v>
      </c>
      <c r="G2716" s="25">
        <f t="shared" si="41"/>
        <v>1.0819200087831105E-2</v>
      </c>
    </row>
    <row r="2717" spans="1:7">
      <c r="A2717" s="54">
        <v>39.860100000000003</v>
      </c>
      <c r="B2717" s="54">
        <v>39.946800000000003</v>
      </c>
      <c r="C2717" s="54">
        <v>39.331200000000003</v>
      </c>
      <c r="D2717" s="54">
        <v>39.652000000000001</v>
      </c>
      <c r="E2717" s="54">
        <v>28704061</v>
      </c>
      <c r="F2717" s="54" t="s">
        <v>3535</v>
      </c>
      <c r="G2717" s="25">
        <f t="shared" si="41"/>
        <v>5.2481589831534503E-3</v>
      </c>
    </row>
    <row r="2718" spans="1:7">
      <c r="A2718" s="54">
        <v>39.738700000000001</v>
      </c>
      <c r="B2718" s="54">
        <v>40.094299999999997</v>
      </c>
      <c r="C2718" s="54">
        <v>39.279200000000003</v>
      </c>
      <c r="D2718" s="54">
        <v>39.322499999999998</v>
      </c>
      <c r="E2718" s="54">
        <v>27070306</v>
      </c>
      <c r="F2718" s="54" t="s">
        <v>3536</v>
      </c>
      <c r="G2718" s="25">
        <f t="shared" si="41"/>
        <v>1.0584271091614195E-2</v>
      </c>
    </row>
    <row r="2719" spans="1:7">
      <c r="A2719" s="54">
        <v>39.430900000000001</v>
      </c>
      <c r="B2719" s="54">
        <v>39.582700000000003</v>
      </c>
      <c r="C2719" s="54">
        <v>39.036499999999997</v>
      </c>
      <c r="D2719" s="54">
        <v>39.409199999999998</v>
      </c>
      <c r="E2719" s="54">
        <v>33254517</v>
      </c>
      <c r="F2719" s="54" t="s">
        <v>3537</v>
      </c>
      <c r="G2719" s="25">
        <f t="shared" si="41"/>
        <v>5.5063284715251015E-4</v>
      </c>
    </row>
    <row r="2720" spans="1:7">
      <c r="A2720" s="54">
        <v>39.860100000000003</v>
      </c>
      <c r="B2720" s="54">
        <v>40.293700000000001</v>
      </c>
      <c r="C2720" s="54">
        <v>39.799399999999999</v>
      </c>
      <c r="D2720" s="54">
        <v>40.076900000000002</v>
      </c>
      <c r="E2720" s="54">
        <v>23930972</v>
      </c>
      <c r="F2720" s="54" t="s">
        <v>3538</v>
      </c>
      <c r="G2720" s="25">
        <f t="shared" si="41"/>
        <v>-5.4096000439155523E-3</v>
      </c>
    </row>
    <row r="2721" spans="1:7">
      <c r="A2721" s="54">
        <v>40.267699999999998</v>
      </c>
      <c r="B2721" s="54">
        <v>40.683900000000001</v>
      </c>
      <c r="C2721" s="54">
        <v>39.998899999999999</v>
      </c>
      <c r="D2721" s="54">
        <v>40.458399999999997</v>
      </c>
      <c r="E2721" s="54">
        <v>27347758</v>
      </c>
      <c r="F2721" s="54" t="s">
        <v>3539</v>
      </c>
      <c r="G2721" s="25">
        <f t="shared" si="41"/>
        <v>-4.7134834793268743E-3</v>
      </c>
    </row>
    <row r="2722" spans="1:7">
      <c r="A2722" s="54">
        <v>40.415100000000002</v>
      </c>
      <c r="B2722" s="54">
        <v>40.605800000000002</v>
      </c>
      <c r="C2722" s="54">
        <v>39.617400000000004</v>
      </c>
      <c r="D2722" s="54">
        <v>39.704099999999997</v>
      </c>
      <c r="E2722" s="54">
        <v>28417405</v>
      </c>
      <c r="F2722" s="54" t="s">
        <v>3540</v>
      </c>
      <c r="G2722" s="25">
        <f t="shared" si="41"/>
        <v>1.7907470513121027E-2</v>
      </c>
    </row>
    <row r="2723" spans="1:7">
      <c r="A2723" s="54">
        <v>39.582700000000003</v>
      </c>
      <c r="B2723" s="54">
        <v>39.834099999999999</v>
      </c>
      <c r="C2723" s="54">
        <v>39.417900000000003</v>
      </c>
      <c r="D2723" s="54">
        <v>39.677999999999997</v>
      </c>
      <c r="E2723" s="54">
        <v>24406057</v>
      </c>
      <c r="F2723" s="54" t="s">
        <v>3541</v>
      </c>
      <c r="G2723" s="25">
        <f t="shared" si="41"/>
        <v>-2.4018347698975262E-3</v>
      </c>
    </row>
    <row r="2724" spans="1:7">
      <c r="A2724" s="54">
        <v>39.652000000000001</v>
      </c>
      <c r="B2724" s="54">
        <v>40.259</v>
      </c>
      <c r="C2724" s="54">
        <v>39.6</v>
      </c>
      <c r="D2724" s="54">
        <v>40.146299999999997</v>
      </c>
      <c r="E2724" s="54">
        <v>22121634</v>
      </c>
      <c r="F2724" s="54" t="s">
        <v>3542</v>
      </c>
      <c r="G2724" s="25">
        <f t="shared" si="41"/>
        <v>-1.2312467151393669E-2</v>
      </c>
    </row>
    <row r="2725" spans="1:7">
      <c r="A2725" s="54">
        <v>40.0075</v>
      </c>
      <c r="B2725" s="54">
        <v>40.337000000000003</v>
      </c>
      <c r="C2725" s="54">
        <v>39.747399999999999</v>
      </c>
      <c r="D2725" s="54">
        <v>40.154899999999998</v>
      </c>
      <c r="E2725" s="54">
        <v>25438086</v>
      </c>
      <c r="F2725" s="54" t="s">
        <v>3543</v>
      </c>
      <c r="G2725" s="25">
        <f t="shared" si="41"/>
        <v>-3.6707848855307423E-3</v>
      </c>
    </row>
    <row r="2726" spans="1:7">
      <c r="A2726" s="54">
        <v>40.198300000000003</v>
      </c>
      <c r="B2726" s="54">
        <v>40.892000000000003</v>
      </c>
      <c r="C2726" s="54">
        <v>40.059600000000003</v>
      </c>
      <c r="D2726" s="54">
        <v>40.571199999999997</v>
      </c>
      <c r="E2726" s="54">
        <v>27745512</v>
      </c>
      <c r="F2726" s="54" t="s">
        <v>3544</v>
      </c>
      <c r="G2726" s="25">
        <f t="shared" si="41"/>
        <v>-9.1912489647827389E-3</v>
      </c>
    </row>
    <row r="2727" spans="1:7">
      <c r="A2727" s="54">
        <v>40.623199999999997</v>
      </c>
      <c r="B2727" s="54">
        <v>41.390599999999999</v>
      </c>
      <c r="C2727" s="54">
        <v>40.597200000000001</v>
      </c>
      <c r="D2727" s="54">
        <v>41.074100000000001</v>
      </c>
      <c r="E2727" s="54">
        <v>28002154</v>
      </c>
      <c r="F2727" s="54" t="s">
        <v>3545</v>
      </c>
      <c r="G2727" s="25">
        <f t="shared" si="41"/>
        <v>-1.097772075346759E-2</v>
      </c>
    </row>
    <row r="2728" spans="1:7">
      <c r="A2728" s="54">
        <v>40.683900000000001</v>
      </c>
      <c r="B2728" s="54">
        <v>41.056699999999999</v>
      </c>
      <c r="C2728" s="54">
        <v>40.423699999999997</v>
      </c>
      <c r="D2728" s="54">
        <v>40.692500000000003</v>
      </c>
      <c r="E2728" s="54">
        <v>21498326</v>
      </c>
      <c r="F2728" s="54" t="s">
        <v>3546</v>
      </c>
      <c r="G2728" s="25">
        <f t="shared" si="41"/>
        <v>-2.1134115623278049E-4</v>
      </c>
    </row>
    <row r="2729" spans="1:7">
      <c r="A2729" s="54">
        <v>40.9527</v>
      </c>
      <c r="B2729" s="54">
        <v>41.420900000000003</v>
      </c>
      <c r="C2729" s="54">
        <v>40.423699999999997</v>
      </c>
      <c r="D2729" s="54">
        <v>40.805300000000003</v>
      </c>
      <c r="E2729" s="54">
        <v>28837332</v>
      </c>
      <c r="F2729" s="54" t="s">
        <v>3547</v>
      </c>
      <c r="G2729" s="25">
        <f t="shared" si="41"/>
        <v>3.612275856322622E-3</v>
      </c>
    </row>
    <row r="2730" spans="1:7">
      <c r="A2730" s="54">
        <v>40.631799999999998</v>
      </c>
      <c r="B2730" s="54">
        <v>41.247500000000002</v>
      </c>
      <c r="C2730" s="54">
        <v>40.3977</v>
      </c>
      <c r="D2730" s="54">
        <v>41.126100000000001</v>
      </c>
      <c r="E2730" s="54">
        <v>36519594</v>
      </c>
      <c r="F2730" s="54" t="s">
        <v>3548</v>
      </c>
      <c r="G2730" s="25">
        <f t="shared" si="41"/>
        <v>-1.2019131403172234E-2</v>
      </c>
    </row>
    <row r="2731" spans="1:7">
      <c r="A2731" s="54">
        <v>41.1434</v>
      </c>
      <c r="B2731" s="54">
        <v>41.637700000000002</v>
      </c>
      <c r="C2731" s="54">
        <v>41.0914</v>
      </c>
      <c r="D2731" s="54">
        <v>41.186799999999998</v>
      </c>
      <c r="E2731" s="54">
        <v>19283666</v>
      </c>
      <c r="F2731" s="54" t="s">
        <v>3549</v>
      </c>
      <c r="G2731" s="25">
        <f t="shared" si="41"/>
        <v>-1.0537356628822492E-3</v>
      </c>
    </row>
    <row r="2732" spans="1:7">
      <c r="A2732" s="54">
        <v>41.282200000000003</v>
      </c>
      <c r="B2732" s="54">
        <v>41.420900000000003</v>
      </c>
      <c r="C2732" s="54">
        <v>40.423699999999997</v>
      </c>
      <c r="D2732" s="54">
        <v>40.597200000000001</v>
      </c>
      <c r="E2732" s="54">
        <v>27335639</v>
      </c>
      <c r="F2732" s="54" t="s">
        <v>3550</v>
      </c>
      <c r="G2732" s="25">
        <f t="shared" si="41"/>
        <v>1.6873084843289643E-2</v>
      </c>
    </row>
    <row r="2733" spans="1:7">
      <c r="A2733" s="54">
        <v>40.3977</v>
      </c>
      <c r="B2733" s="54">
        <v>40.6492</v>
      </c>
      <c r="C2733" s="54">
        <v>40.050899999999999</v>
      </c>
      <c r="D2733" s="54">
        <v>40.605800000000002</v>
      </c>
      <c r="E2733" s="54">
        <v>29581860</v>
      </c>
      <c r="F2733" s="54" t="s">
        <v>3551</v>
      </c>
      <c r="G2733" s="25">
        <f t="shared" si="41"/>
        <v>-5.1248836373128936E-3</v>
      </c>
    </row>
    <row r="2734" spans="1:7">
      <c r="A2734" s="54">
        <v>40.666499999999999</v>
      </c>
      <c r="B2734" s="54">
        <v>41.056699999999999</v>
      </c>
      <c r="C2734" s="54">
        <v>40.597200000000001</v>
      </c>
      <c r="D2734" s="54">
        <v>41.013399999999997</v>
      </c>
      <c r="E2734" s="54">
        <v>25720583</v>
      </c>
      <c r="F2734" s="54" t="s">
        <v>3552</v>
      </c>
      <c r="G2734" s="25">
        <f t="shared" si="41"/>
        <v>-8.4582112187723268E-3</v>
      </c>
    </row>
    <row r="2735" spans="1:7">
      <c r="A2735" s="54">
        <v>41.117400000000004</v>
      </c>
      <c r="B2735" s="54">
        <v>41.273499999999999</v>
      </c>
      <c r="C2735" s="54">
        <v>40.757599999999996</v>
      </c>
      <c r="D2735" s="54">
        <v>40.996000000000002</v>
      </c>
      <c r="E2735" s="54">
        <v>22410698</v>
      </c>
      <c r="F2735" s="54" t="s">
        <v>3553</v>
      </c>
      <c r="G2735" s="25">
        <f t="shared" si="41"/>
        <v>2.9612645136110061E-3</v>
      </c>
    </row>
    <row r="2736" spans="1:7">
      <c r="A2736" s="54">
        <v>41.2562</v>
      </c>
      <c r="B2736" s="54">
        <v>41.559600000000003</v>
      </c>
      <c r="C2736" s="54">
        <v>40.987400000000001</v>
      </c>
      <c r="D2736" s="54">
        <v>41.0914</v>
      </c>
      <c r="E2736" s="54">
        <v>25047919</v>
      </c>
      <c r="F2736" s="54" t="s">
        <v>3554</v>
      </c>
      <c r="G2736" s="25">
        <f t="shared" si="41"/>
        <v>4.0105715551186361E-3</v>
      </c>
    </row>
    <row r="2737" spans="1:7">
      <c r="A2737" s="54">
        <v>41.2562</v>
      </c>
      <c r="B2737" s="54">
        <v>41.455599999999997</v>
      </c>
      <c r="C2737" s="54">
        <v>40.909300000000002</v>
      </c>
      <c r="D2737" s="54">
        <v>41.238799999999998</v>
      </c>
      <c r="E2737" s="54">
        <v>28574813</v>
      </c>
      <c r="F2737" s="54" t="s">
        <v>3555</v>
      </c>
      <c r="G2737" s="25">
        <f t="shared" si="41"/>
        <v>4.2193274295088123E-4</v>
      </c>
    </row>
    <row r="2738" spans="1:7">
      <c r="A2738" s="54">
        <v>41.360199999999999</v>
      </c>
      <c r="B2738" s="54">
        <v>41.5411</v>
      </c>
      <c r="C2738" s="54">
        <v>41.015599999999999</v>
      </c>
      <c r="D2738" s="54">
        <v>41.334400000000002</v>
      </c>
      <c r="E2738" s="54">
        <v>24136502</v>
      </c>
      <c r="F2738" s="54" t="s">
        <v>3556</v>
      </c>
      <c r="G2738" s="25">
        <f t="shared" si="41"/>
        <v>6.2417744058218538E-4</v>
      </c>
    </row>
    <row r="2739" spans="1:7">
      <c r="A2739" s="54">
        <v>41.605699999999999</v>
      </c>
      <c r="B2739" s="54">
        <v>42.1312</v>
      </c>
      <c r="C2739" s="54">
        <v>41.3947</v>
      </c>
      <c r="D2739" s="54">
        <v>42.101100000000002</v>
      </c>
      <c r="E2739" s="54">
        <v>28642694</v>
      </c>
      <c r="F2739" s="54" t="s">
        <v>3557</v>
      </c>
      <c r="G2739" s="25">
        <f t="shared" si="41"/>
        <v>-1.176691345356784E-2</v>
      </c>
    </row>
    <row r="2740" spans="1:7">
      <c r="A2740" s="54">
        <v>41.971899999999998</v>
      </c>
      <c r="B2740" s="54">
        <v>42.058</v>
      </c>
      <c r="C2740" s="54">
        <v>41.377400000000002</v>
      </c>
      <c r="D2740" s="54">
        <v>41.377499999999998</v>
      </c>
      <c r="E2740" s="54">
        <v>32980892</v>
      </c>
      <c r="F2740" s="54" t="s">
        <v>3558</v>
      </c>
      <c r="G2740" s="25">
        <f t="shared" si="41"/>
        <v>1.4365295148329515E-2</v>
      </c>
    </row>
    <row r="2741" spans="1:7">
      <c r="A2741" s="54">
        <v>41.028500000000001</v>
      </c>
      <c r="B2741" s="54">
        <v>41.627299999999998</v>
      </c>
      <c r="C2741" s="54">
        <v>40.981099999999998</v>
      </c>
      <c r="D2741" s="54">
        <v>41.515300000000003</v>
      </c>
      <c r="E2741" s="54">
        <v>34184613</v>
      </c>
      <c r="F2741" s="54" t="s">
        <v>3559</v>
      </c>
      <c r="G2741" s="25">
        <f t="shared" si="41"/>
        <v>-1.1725797477074806E-2</v>
      </c>
    </row>
    <row r="2742" spans="1:7">
      <c r="A2742" s="54">
        <v>40.791600000000003</v>
      </c>
      <c r="B2742" s="54">
        <v>41.075899999999997</v>
      </c>
      <c r="C2742" s="54">
        <v>39.990400000000001</v>
      </c>
      <c r="D2742" s="54">
        <v>40.360900000000001</v>
      </c>
      <c r="E2742" s="54">
        <v>29928264</v>
      </c>
      <c r="F2742" s="54" t="s">
        <v>3560</v>
      </c>
      <c r="G2742" s="25">
        <f t="shared" si="41"/>
        <v>1.0671218927229109E-2</v>
      </c>
    </row>
    <row r="2743" spans="1:7">
      <c r="A2743" s="54">
        <v>40.808799999999998</v>
      </c>
      <c r="B2743" s="54">
        <v>41.274099999999997</v>
      </c>
      <c r="C2743" s="54">
        <v>40.808799999999998</v>
      </c>
      <c r="D2743" s="54">
        <v>40.963900000000002</v>
      </c>
      <c r="E2743" s="54">
        <v>24609416</v>
      </c>
      <c r="F2743" s="54" t="s">
        <v>3561</v>
      </c>
      <c r="G2743" s="25">
        <f t="shared" si="41"/>
        <v>-3.7862605855401021E-3</v>
      </c>
    </row>
    <row r="2744" spans="1:7">
      <c r="A2744" s="54">
        <v>41.136200000000002</v>
      </c>
      <c r="B2744" s="54">
        <v>41.334400000000002</v>
      </c>
      <c r="C2744" s="54">
        <v>40.938099999999999</v>
      </c>
      <c r="D2744" s="54">
        <v>40.963900000000002</v>
      </c>
      <c r="E2744" s="54">
        <v>35364911</v>
      </c>
      <c r="F2744" s="54" t="s">
        <v>3562</v>
      </c>
      <c r="G2744" s="25">
        <f t="shared" si="41"/>
        <v>4.2061424815509341E-3</v>
      </c>
    </row>
    <row r="2745" spans="1:7">
      <c r="A2745" s="54">
        <v>40.2316</v>
      </c>
      <c r="B2745" s="54">
        <v>40.563299999999998</v>
      </c>
      <c r="C2745" s="54">
        <v>39.766399999999997</v>
      </c>
      <c r="D2745" s="54">
        <v>39.861199999999997</v>
      </c>
      <c r="E2745" s="54">
        <v>32971654</v>
      </c>
      <c r="F2745" s="54" t="s">
        <v>3563</v>
      </c>
      <c r="G2745" s="25">
        <f t="shared" si="41"/>
        <v>9.2922440869818157E-3</v>
      </c>
    </row>
    <row r="2746" spans="1:7">
      <c r="A2746" s="54">
        <v>39.869799999999998</v>
      </c>
      <c r="B2746" s="54">
        <v>41.153399999999998</v>
      </c>
      <c r="C2746" s="54">
        <v>39.645800000000001</v>
      </c>
      <c r="D2746" s="54">
        <v>40.981099999999998</v>
      </c>
      <c r="E2746" s="54">
        <v>52433020</v>
      </c>
      <c r="F2746" s="54" t="s">
        <v>3564</v>
      </c>
      <c r="G2746" s="25">
        <f t="shared" si="41"/>
        <v>-2.7117378498868971E-2</v>
      </c>
    </row>
    <row r="2747" spans="1:7">
      <c r="A2747" s="54">
        <v>41.006999999999998</v>
      </c>
      <c r="B2747" s="54">
        <v>41.489400000000003</v>
      </c>
      <c r="C2747" s="54">
        <v>40.757199999999997</v>
      </c>
      <c r="D2747" s="54">
        <v>41.1965</v>
      </c>
      <c r="E2747" s="54">
        <v>50369191</v>
      </c>
      <c r="F2747" s="54" t="s">
        <v>3565</v>
      </c>
      <c r="G2747" s="25">
        <f t="shared" si="41"/>
        <v>-4.5999053317636873E-3</v>
      </c>
    </row>
    <row r="2748" spans="1:7">
      <c r="A2748" s="54">
        <v>41.558300000000003</v>
      </c>
      <c r="B2748" s="54">
        <v>42.101100000000002</v>
      </c>
      <c r="C2748" s="54">
        <v>41.506700000000002</v>
      </c>
      <c r="D2748" s="54">
        <v>41.670299999999997</v>
      </c>
      <c r="E2748" s="54">
        <v>34039485</v>
      </c>
      <c r="F2748" s="54" t="s">
        <v>3566</v>
      </c>
      <c r="G2748" s="25">
        <f t="shared" si="41"/>
        <v>-2.6877656268372574E-3</v>
      </c>
    </row>
    <row r="2749" spans="1:7">
      <c r="A2749" s="54">
        <v>41.915900000000001</v>
      </c>
      <c r="B2749" s="54">
        <v>42.105400000000003</v>
      </c>
      <c r="C2749" s="54">
        <v>41.696199999999997</v>
      </c>
      <c r="D2749" s="54">
        <v>41.851300000000002</v>
      </c>
      <c r="E2749" s="54">
        <v>38937336</v>
      </c>
      <c r="F2749" s="54" t="s">
        <v>3567</v>
      </c>
      <c r="G2749" s="25">
        <f t="shared" si="41"/>
        <v>1.5435601761473183E-3</v>
      </c>
    </row>
    <row r="2750" spans="1:7">
      <c r="A2750" s="54">
        <v>41.902900000000002</v>
      </c>
      <c r="B2750" s="54">
        <v>42.6783</v>
      </c>
      <c r="C2750" s="54">
        <v>41.868499999999997</v>
      </c>
      <c r="D2750" s="54">
        <v>41.954599999999999</v>
      </c>
      <c r="E2750" s="54">
        <v>64725457</v>
      </c>
      <c r="F2750" s="54" t="s">
        <v>3568</v>
      </c>
      <c r="G2750" s="25">
        <f t="shared" si="41"/>
        <v>-1.2322844217319551E-3</v>
      </c>
    </row>
    <row r="2751" spans="1:7">
      <c r="A2751" s="54">
        <v>42.264800000000001</v>
      </c>
      <c r="B2751" s="54">
        <v>42.4801</v>
      </c>
      <c r="C2751" s="54">
        <v>41.782299999999999</v>
      </c>
      <c r="D2751" s="54">
        <v>41.971899999999998</v>
      </c>
      <c r="E2751" s="54">
        <v>47804562</v>
      </c>
      <c r="F2751" s="54" t="s">
        <v>3569</v>
      </c>
      <c r="G2751" s="25">
        <f t="shared" si="41"/>
        <v>6.9784784582065384E-3</v>
      </c>
    </row>
    <row r="2752" spans="1:7">
      <c r="A2752" s="54">
        <v>42.346600000000002</v>
      </c>
      <c r="B2752" s="54">
        <v>42.393999999999998</v>
      </c>
      <c r="C2752" s="54">
        <v>41.0931</v>
      </c>
      <c r="D2752" s="54">
        <v>41.162100000000002</v>
      </c>
      <c r="E2752" s="54">
        <v>60730778</v>
      </c>
      <c r="F2752" s="54" t="s">
        <v>3570</v>
      </c>
      <c r="G2752" s="25">
        <f t="shared" si="41"/>
        <v>2.8776471560002959E-2</v>
      </c>
    </row>
    <row r="2753" spans="1:7">
      <c r="A2753" s="54">
        <v>41.377400000000002</v>
      </c>
      <c r="B2753" s="54">
        <v>41.4636</v>
      </c>
      <c r="C2753" s="54">
        <v>40.679600000000001</v>
      </c>
      <c r="D2753" s="54">
        <v>40.688200000000002</v>
      </c>
      <c r="E2753" s="54">
        <v>59248172</v>
      </c>
      <c r="F2753" s="54" t="s">
        <v>3571</v>
      </c>
      <c r="G2753" s="25">
        <f t="shared" si="41"/>
        <v>1.693857187096004E-2</v>
      </c>
    </row>
    <row r="2754" spans="1:7">
      <c r="A2754" s="54">
        <v>41.239600000000003</v>
      </c>
      <c r="B2754" s="54">
        <v>41.472200000000001</v>
      </c>
      <c r="C2754" s="54">
        <v>39.327100000000002</v>
      </c>
      <c r="D2754" s="54">
        <v>39.335700000000003</v>
      </c>
      <c r="E2754" s="54">
        <v>130933665</v>
      </c>
      <c r="F2754" s="54" t="s">
        <v>3572</v>
      </c>
      <c r="G2754" s="25">
        <f t="shared" si="41"/>
        <v>4.8401325005020812E-2</v>
      </c>
    </row>
    <row r="2755" spans="1:7">
      <c r="A2755" s="54">
        <v>37.337000000000003</v>
      </c>
      <c r="B2755" s="54">
        <v>37.569600000000001</v>
      </c>
      <c r="C2755" s="54">
        <v>36.8718</v>
      </c>
      <c r="D2755" s="54">
        <v>36.949399999999997</v>
      </c>
      <c r="E2755" s="54">
        <v>46309530</v>
      </c>
      <c r="F2755" s="54" t="s">
        <v>3573</v>
      </c>
      <c r="G2755" s="25">
        <f t="shared" si="41"/>
        <v>1.0490021488847034E-2</v>
      </c>
    </row>
    <row r="2756" spans="1:7">
      <c r="A2756" s="54">
        <v>37.031199999999998</v>
      </c>
      <c r="B2756" s="54">
        <v>37.156100000000002</v>
      </c>
      <c r="C2756" s="54">
        <v>36.656500000000001</v>
      </c>
      <c r="D2756" s="54">
        <v>36.759799999999998</v>
      </c>
      <c r="E2756" s="54">
        <v>25064273</v>
      </c>
      <c r="F2756" s="54" t="s">
        <v>3574</v>
      </c>
      <c r="G2756" s="25">
        <f t="shared" si="41"/>
        <v>7.3830651962196736E-3</v>
      </c>
    </row>
    <row r="2757" spans="1:7">
      <c r="A2757" s="54">
        <v>36.729700000000001</v>
      </c>
      <c r="B2757" s="54">
        <v>37.173400000000001</v>
      </c>
      <c r="C2757" s="54">
        <v>36.639200000000002</v>
      </c>
      <c r="D2757" s="54">
        <v>37.0441</v>
      </c>
      <c r="E2757" s="54">
        <v>26013844</v>
      </c>
      <c r="F2757" s="54" t="s">
        <v>3575</v>
      </c>
      <c r="G2757" s="25">
        <f t="shared" si="41"/>
        <v>-8.4871814944890156E-3</v>
      </c>
    </row>
    <row r="2758" spans="1:7">
      <c r="A2758" s="54">
        <v>36.962299999999999</v>
      </c>
      <c r="B2758" s="54">
        <v>37.190600000000003</v>
      </c>
      <c r="C2758" s="54">
        <v>35.906999999999996</v>
      </c>
      <c r="D2758" s="54">
        <v>35.950000000000003</v>
      </c>
      <c r="E2758" s="54">
        <v>46057733</v>
      </c>
      <c r="F2758" s="54" t="s">
        <v>3576</v>
      </c>
      <c r="G2758" s="25">
        <f t="shared" si="41"/>
        <v>2.8158553546592469E-2</v>
      </c>
    </row>
    <row r="2759" spans="1:7">
      <c r="A2759" s="54">
        <v>35.850999999999999</v>
      </c>
      <c r="B2759" s="54">
        <v>35.9587</v>
      </c>
      <c r="C2759" s="54">
        <v>35.459000000000003</v>
      </c>
      <c r="D2759" s="54">
        <v>35.898299999999999</v>
      </c>
      <c r="E2759" s="54">
        <v>42387608</v>
      </c>
      <c r="F2759" s="54" t="s">
        <v>3577</v>
      </c>
      <c r="G2759" s="25">
        <f t="shared" si="41"/>
        <v>-1.3176111403604418E-3</v>
      </c>
    </row>
    <row r="2760" spans="1:7">
      <c r="A2760" s="54">
        <v>36.320500000000003</v>
      </c>
      <c r="B2760" s="54">
        <v>36.475499999999997</v>
      </c>
      <c r="C2760" s="54">
        <v>36.0276</v>
      </c>
      <c r="D2760" s="54">
        <v>36.139600000000002</v>
      </c>
      <c r="E2760" s="54">
        <v>22509652</v>
      </c>
      <c r="F2760" s="54" t="s">
        <v>3578</v>
      </c>
      <c r="G2760" s="25">
        <f t="shared" si="41"/>
        <v>5.0055894365184095E-3</v>
      </c>
    </row>
    <row r="2761" spans="1:7">
      <c r="A2761" s="54">
        <v>36.402299999999997</v>
      </c>
      <c r="B2761" s="54">
        <v>36.578899999999997</v>
      </c>
      <c r="C2761" s="54">
        <v>35.906999999999996</v>
      </c>
      <c r="D2761" s="54">
        <v>35.975900000000003</v>
      </c>
      <c r="E2761" s="54">
        <v>27343581</v>
      </c>
      <c r="F2761" s="54" t="s">
        <v>3579</v>
      </c>
      <c r="G2761" s="25">
        <f t="shared" si="41"/>
        <v>1.1852378953688181E-2</v>
      </c>
    </row>
    <row r="2762" spans="1:7">
      <c r="A2762" s="54">
        <v>35.881100000000004</v>
      </c>
      <c r="B2762" s="54">
        <v>36.208500000000001</v>
      </c>
      <c r="C2762" s="54">
        <v>35.6571</v>
      </c>
      <c r="D2762" s="54">
        <v>36.010300000000001</v>
      </c>
      <c r="E2762" s="54">
        <v>24244382</v>
      </c>
      <c r="F2762" s="54" t="s">
        <v>3580</v>
      </c>
      <c r="G2762" s="25">
        <f t="shared" si="41"/>
        <v>-3.5878623616020233E-3</v>
      </c>
    </row>
    <row r="2763" spans="1:7">
      <c r="A2763" s="54">
        <v>35.975900000000003</v>
      </c>
      <c r="B2763" s="54">
        <v>36.234299999999998</v>
      </c>
      <c r="C2763" s="54">
        <v>35.6571</v>
      </c>
      <c r="D2763" s="54">
        <v>35.665700000000001</v>
      </c>
      <c r="E2763" s="54">
        <v>30276692</v>
      </c>
      <c r="F2763" s="54" t="s">
        <v>3581</v>
      </c>
      <c r="G2763" s="25">
        <f t="shared" si="41"/>
        <v>8.6974319864745464E-3</v>
      </c>
    </row>
    <row r="2764" spans="1:7">
      <c r="A2764" s="54">
        <v>35.941400000000002</v>
      </c>
      <c r="B2764" s="54">
        <v>36.139600000000002</v>
      </c>
      <c r="C2764" s="54">
        <v>35.674399999999999</v>
      </c>
      <c r="D2764" s="54">
        <v>35.863900000000001</v>
      </c>
      <c r="E2764" s="54">
        <v>28022002</v>
      </c>
      <c r="F2764" s="54" t="s">
        <v>3582</v>
      </c>
      <c r="G2764" s="25">
        <f t="shared" si="41"/>
        <v>2.1609473593222628E-3</v>
      </c>
    </row>
    <row r="2765" spans="1:7">
      <c r="A2765" s="54">
        <v>35.734699999999997</v>
      </c>
      <c r="B2765" s="54">
        <v>35.8553</v>
      </c>
      <c r="C2765" s="54">
        <v>35.536499999999997</v>
      </c>
      <c r="D2765" s="54">
        <v>35.536499999999997</v>
      </c>
      <c r="E2765" s="54">
        <v>25723861</v>
      </c>
      <c r="F2765" s="54" t="s">
        <v>3583</v>
      </c>
      <c r="G2765" s="25">
        <f t="shared" si="41"/>
        <v>5.5773641185823397E-3</v>
      </c>
    </row>
    <row r="2766" spans="1:7">
      <c r="A2766" s="54">
        <v>35.683</v>
      </c>
      <c r="B2766" s="54">
        <v>35.915599999999998</v>
      </c>
      <c r="C2766" s="54">
        <v>35.355600000000003</v>
      </c>
      <c r="D2766" s="54">
        <v>35.717399999999998</v>
      </c>
      <c r="E2766" s="54">
        <v>24753438</v>
      </c>
      <c r="F2766" s="54" t="s">
        <v>3584</v>
      </c>
      <c r="G2766" s="25">
        <f t="shared" si="41"/>
        <v>-9.6311601628329413E-4</v>
      </c>
    </row>
    <row r="2767" spans="1:7">
      <c r="A2767" s="54">
        <v>35.777700000000003</v>
      </c>
      <c r="B2767" s="54">
        <v>36.1051</v>
      </c>
      <c r="C2767" s="54">
        <v>35.588200000000001</v>
      </c>
      <c r="D2767" s="54">
        <v>35.846699999999998</v>
      </c>
      <c r="E2767" s="54">
        <v>28809375</v>
      </c>
      <c r="F2767" s="54" t="s">
        <v>3585</v>
      </c>
      <c r="G2767" s="25">
        <f t="shared" si="41"/>
        <v>-1.9248633765449608E-3</v>
      </c>
    </row>
    <row r="2768" spans="1:7">
      <c r="A2768" s="54">
        <v>35.790700000000001</v>
      </c>
      <c r="B2768" s="54">
        <v>35.993099999999998</v>
      </c>
      <c r="C2768" s="54">
        <v>34.614699999999999</v>
      </c>
      <c r="D2768" s="54">
        <v>34.752600000000001</v>
      </c>
      <c r="E2768" s="54">
        <v>39223692</v>
      </c>
      <c r="F2768" s="54" t="s">
        <v>3586</v>
      </c>
      <c r="G2768" s="25">
        <f t="shared" si="41"/>
        <v>2.9871146331497567E-2</v>
      </c>
    </row>
    <row r="2769" spans="1:7">
      <c r="A2769" s="54">
        <v>34.709499999999998</v>
      </c>
      <c r="B2769" s="54">
        <v>35.097200000000001</v>
      </c>
      <c r="C2769" s="54">
        <v>34.563000000000002</v>
      </c>
      <c r="D2769" s="54">
        <v>35.028199999999998</v>
      </c>
      <c r="E2769" s="54">
        <v>37487476</v>
      </c>
      <c r="F2769" s="54" t="s">
        <v>3587</v>
      </c>
      <c r="G2769" s="25">
        <f t="shared" si="41"/>
        <v>-9.0983835880804609E-3</v>
      </c>
    </row>
    <row r="2770" spans="1:7">
      <c r="A2770" s="54">
        <v>35.079900000000002</v>
      </c>
      <c r="B2770" s="54">
        <v>35.114400000000003</v>
      </c>
      <c r="C2770" s="54">
        <v>34.726700000000001</v>
      </c>
      <c r="D2770" s="54">
        <v>34.976599999999998</v>
      </c>
      <c r="E2770" s="54">
        <v>36865322</v>
      </c>
      <c r="F2770" s="54" t="s">
        <v>3588</v>
      </c>
      <c r="G2770" s="25">
        <f t="shared" si="41"/>
        <v>2.953403132380128E-3</v>
      </c>
    </row>
    <row r="2771" spans="1:7">
      <c r="A2771" s="54">
        <v>35.023899999999998</v>
      </c>
      <c r="B2771" s="54">
        <v>35.347000000000001</v>
      </c>
      <c r="C2771" s="54">
        <v>34.924900000000001</v>
      </c>
      <c r="D2771" s="54">
        <v>35.131599999999999</v>
      </c>
      <c r="E2771" s="54">
        <v>34887219</v>
      </c>
      <c r="F2771" s="54" t="s">
        <v>3589</v>
      </c>
      <c r="G2771" s="25">
        <f t="shared" si="41"/>
        <v>-3.0656161404547522E-3</v>
      </c>
    </row>
    <row r="2772" spans="1:7">
      <c r="A2772" s="54">
        <v>35.286700000000003</v>
      </c>
      <c r="B2772" s="54">
        <v>35.7864</v>
      </c>
      <c r="C2772" s="54">
        <v>35.243600000000001</v>
      </c>
      <c r="D2772" s="54">
        <v>35.407299999999999</v>
      </c>
      <c r="E2772" s="54">
        <v>35049662</v>
      </c>
      <c r="F2772" s="54" t="s">
        <v>3590</v>
      </c>
      <c r="G2772" s="25">
        <f t="shared" si="41"/>
        <v>-3.406077277849362E-3</v>
      </c>
    </row>
    <row r="2773" spans="1:7">
      <c r="A2773" s="54">
        <v>35.295299999999997</v>
      </c>
      <c r="B2773" s="54">
        <v>35.691600000000001</v>
      </c>
      <c r="C2773" s="54">
        <v>35.174700000000001</v>
      </c>
      <c r="D2773" s="54">
        <v>35.424500000000002</v>
      </c>
      <c r="E2773" s="54">
        <v>34401398</v>
      </c>
      <c r="F2773" s="54" t="s">
        <v>3591</v>
      </c>
      <c r="G2773" s="25">
        <f t="shared" si="41"/>
        <v>-3.6471933266525314E-3</v>
      </c>
    </row>
    <row r="2774" spans="1:7">
      <c r="A2774" s="54">
        <v>35.502099999999999</v>
      </c>
      <c r="B2774" s="54">
        <v>35.846699999999998</v>
      </c>
      <c r="C2774" s="54">
        <v>35.252200000000002</v>
      </c>
      <c r="D2774" s="54">
        <v>35.5107</v>
      </c>
      <c r="E2774" s="54">
        <v>37495627</v>
      </c>
      <c r="F2774" s="54" t="s">
        <v>3592</v>
      </c>
      <c r="G2774" s="25">
        <f t="shared" si="41"/>
        <v>-2.4218052586966188E-4</v>
      </c>
    </row>
    <row r="2775" spans="1:7">
      <c r="A2775" s="54">
        <v>35.717399999999998</v>
      </c>
      <c r="B2775" s="54">
        <v>36.979500000000002</v>
      </c>
      <c r="C2775" s="54">
        <v>35.700200000000002</v>
      </c>
      <c r="D2775" s="54">
        <v>36.975200000000001</v>
      </c>
      <c r="E2775" s="54">
        <v>43469907</v>
      </c>
      <c r="F2775" s="54" t="s">
        <v>3593</v>
      </c>
      <c r="G2775" s="25">
        <f t="shared" si="41"/>
        <v>-3.4017395443432408E-2</v>
      </c>
    </row>
    <row r="2776" spans="1:7">
      <c r="A2776" s="54">
        <v>36.957999999999998</v>
      </c>
      <c r="B2776" s="54">
        <v>37.190600000000003</v>
      </c>
      <c r="C2776" s="54">
        <v>36.828800000000001</v>
      </c>
      <c r="D2776" s="54">
        <v>36.854599999999998</v>
      </c>
      <c r="E2776" s="54">
        <v>25513252</v>
      </c>
      <c r="F2776" s="54" t="s">
        <v>3594</v>
      </c>
      <c r="G2776" s="25">
        <f t="shared" ref="G2776:G2839" si="42">A2776/D2776-1</f>
        <v>2.8056199226147438E-3</v>
      </c>
    </row>
    <row r="2777" spans="1:7">
      <c r="A2777" s="54">
        <v>36.919199999999996</v>
      </c>
      <c r="B2777" s="54">
        <v>37.156100000000002</v>
      </c>
      <c r="C2777" s="54">
        <v>36.854599999999998</v>
      </c>
      <c r="D2777" s="54">
        <v>36.940800000000003</v>
      </c>
      <c r="E2777" s="54">
        <v>26246086</v>
      </c>
      <c r="F2777" s="54" t="s">
        <v>3595</v>
      </c>
      <c r="G2777" s="25">
        <f t="shared" si="42"/>
        <v>-5.8471933471948567E-4</v>
      </c>
    </row>
    <row r="2778" spans="1:7">
      <c r="A2778" s="54">
        <v>36.940800000000003</v>
      </c>
      <c r="B2778" s="54">
        <v>37.026899999999998</v>
      </c>
      <c r="C2778" s="54">
        <v>36.604799999999997</v>
      </c>
      <c r="D2778" s="54">
        <v>36.665100000000002</v>
      </c>
      <c r="E2778" s="54">
        <v>71904529</v>
      </c>
      <c r="F2778" s="54" t="s">
        <v>3596</v>
      </c>
      <c r="G2778" s="25">
        <f t="shared" si="42"/>
        <v>7.5194121930663993E-3</v>
      </c>
    </row>
    <row r="2779" spans="1:7">
      <c r="A2779" s="54">
        <v>36.428199999999997</v>
      </c>
      <c r="B2779" s="54">
        <v>36.690899999999999</v>
      </c>
      <c r="C2779" s="54">
        <v>36.372199999999999</v>
      </c>
      <c r="D2779" s="54">
        <v>36.406599999999997</v>
      </c>
      <c r="E2779" s="54">
        <v>33879066</v>
      </c>
      <c r="F2779" s="54" t="s">
        <v>3597</v>
      </c>
      <c r="G2779" s="25">
        <f t="shared" si="42"/>
        <v>5.9329901721105749E-4</v>
      </c>
    </row>
    <row r="2780" spans="1:7">
      <c r="A2780" s="54">
        <v>36.613399999999999</v>
      </c>
      <c r="B2780" s="54">
        <v>36.8977</v>
      </c>
      <c r="C2780" s="54">
        <v>35.605400000000003</v>
      </c>
      <c r="D2780" s="54">
        <v>35.691600000000001</v>
      </c>
      <c r="E2780" s="54">
        <v>44194771</v>
      </c>
      <c r="F2780" s="54" t="s">
        <v>3598</v>
      </c>
      <c r="G2780" s="25">
        <f t="shared" si="42"/>
        <v>2.5826805186654589E-2</v>
      </c>
    </row>
    <row r="2781" spans="1:7">
      <c r="A2781" s="54">
        <v>35.919899999999998</v>
      </c>
      <c r="B2781" s="54">
        <v>36.036200000000001</v>
      </c>
      <c r="C2781" s="54">
        <v>35.450400000000002</v>
      </c>
      <c r="D2781" s="54">
        <v>35.639899999999997</v>
      </c>
      <c r="E2781" s="54">
        <v>31673448</v>
      </c>
      <c r="F2781" s="54" t="s">
        <v>3599</v>
      </c>
      <c r="G2781" s="25">
        <f t="shared" si="42"/>
        <v>7.8563632333423783E-3</v>
      </c>
    </row>
    <row r="2782" spans="1:7">
      <c r="A2782" s="54">
        <v>35.803600000000003</v>
      </c>
      <c r="B2782" s="54">
        <v>35.872500000000002</v>
      </c>
      <c r="C2782" s="54">
        <v>35.562399999999997</v>
      </c>
      <c r="D2782" s="54">
        <v>35.725999999999999</v>
      </c>
      <c r="E2782" s="54">
        <v>35273452</v>
      </c>
      <c r="F2782" s="54" t="s">
        <v>3600</v>
      </c>
      <c r="G2782" s="25">
        <f t="shared" si="42"/>
        <v>2.1720875552819763E-3</v>
      </c>
    </row>
    <row r="2783" spans="1:7">
      <c r="A2783" s="54">
        <v>35.648499999999999</v>
      </c>
      <c r="B2783" s="54">
        <v>35.725999999999999</v>
      </c>
      <c r="C2783" s="54">
        <v>34.985199999999999</v>
      </c>
      <c r="D2783" s="54">
        <v>35.0627</v>
      </c>
      <c r="E2783" s="54">
        <v>58007705</v>
      </c>
      <c r="F2783" s="54" t="s">
        <v>3601</v>
      </c>
      <c r="G2783" s="25">
        <f t="shared" si="42"/>
        <v>1.6707213078285488E-2</v>
      </c>
    </row>
    <row r="2784" spans="1:7">
      <c r="A2784" s="54">
        <v>35.3384</v>
      </c>
      <c r="B2784" s="54">
        <v>35.881100000000004</v>
      </c>
      <c r="C2784" s="54">
        <v>35.200499999999998</v>
      </c>
      <c r="D2784" s="54">
        <v>35.605400000000003</v>
      </c>
      <c r="E2784" s="54">
        <v>59992502</v>
      </c>
      <c r="F2784" s="54" t="s">
        <v>3602</v>
      </c>
      <c r="G2784" s="25">
        <f t="shared" si="42"/>
        <v>-7.4988625320878688E-3</v>
      </c>
    </row>
    <row r="2785" spans="1:7">
      <c r="A2785" s="54">
        <v>36.165399999999998</v>
      </c>
      <c r="B2785" s="54">
        <v>36.501399999999997</v>
      </c>
      <c r="C2785" s="54">
        <v>36.044800000000002</v>
      </c>
      <c r="D2785" s="54">
        <v>36.4497</v>
      </c>
      <c r="E2785" s="54">
        <v>32215314</v>
      </c>
      <c r="F2785" s="54" t="s">
        <v>3603</v>
      </c>
      <c r="G2785" s="25">
        <f t="shared" si="42"/>
        <v>-7.7997898473787242E-3</v>
      </c>
    </row>
    <row r="2786" spans="1:7">
      <c r="A2786" s="54">
        <v>36.208500000000001</v>
      </c>
      <c r="B2786" s="54">
        <v>36.7943</v>
      </c>
      <c r="C2786" s="54">
        <v>36.208500000000001</v>
      </c>
      <c r="D2786" s="54">
        <v>36.484200000000001</v>
      </c>
      <c r="E2786" s="54">
        <v>39159730</v>
      </c>
      <c r="F2786" s="54" t="s">
        <v>3604</v>
      </c>
      <c r="G2786" s="25">
        <f t="shared" si="42"/>
        <v>-7.5566957751574959E-3</v>
      </c>
    </row>
    <row r="2787" spans="1:7">
      <c r="A2787" s="54">
        <v>36.914900000000003</v>
      </c>
      <c r="B2787" s="54">
        <v>37.151800000000001</v>
      </c>
      <c r="C2787" s="54">
        <v>36.346299999999999</v>
      </c>
      <c r="D2787" s="54">
        <v>36.346299999999999</v>
      </c>
      <c r="E2787" s="54">
        <v>32107957</v>
      </c>
      <c r="F2787" s="54" t="s">
        <v>3605</v>
      </c>
      <c r="G2787" s="25">
        <f t="shared" si="42"/>
        <v>1.5643958257099078E-2</v>
      </c>
    </row>
    <row r="2788" spans="1:7">
      <c r="A2788" s="54">
        <v>36.492800000000003</v>
      </c>
      <c r="B2788" s="54">
        <v>37.1389</v>
      </c>
      <c r="C2788" s="54">
        <v>36.311900000000001</v>
      </c>
      <c r="D2788" s="54">
        <v>37.0441</v>
      </c>
      <c r="E2788" s="54">
        <v>36248785</v>
      </c>
      <c r="F2788" s="54" t="s">
        <v>3606</v>
      </c>
      <c r="G2788" s="25">
        <f t="shared" si="42"/>
        <v>-1.4882261952645526E-2</v>
      </c>
    </row>
    <row r="2789" spans="1:7">
      <c r="A2789" s="54">
        <v>37.1389</v>
      </c>
      <c r="B2789" s="54">
        <v>37.250900000000001</v>
      </c>
      <c r="C2789" s="54">
        <v>36.889099999999999</v>
      </c>
      <c r="D2789" s="54">
        <v>37.104399999999998</v>
      </c>
      <c r="E2789" s="54">
        <v>23193541</v>
      </c>
      <c r="F2789" s="54" t="s">
        <v>3607</v>
      </c>
      <c r="G2789" s="25">
        <f t="shared" si="42"/>
        <v>9.2980886363891457E-4</v>
      </c>
    </row>
    <row r="2790" spans="1:7">
      <c r="A2790" s="54">
        <v>37.091500000000003</v>
      </c>
      <c r="B2790" s="54">
        <v>37.225000000000001</v>
      </c>
      <c r="C2790" s="54">
        <v>36.940800000000003</v>
      </c>
      <c r="D2790" s="54">
        <v>37.052700000000002</v>
      </c>
      <c r="E2790" s="54">
        <v>25748692</v>
      </c>
      <c r="F2790" s="54" t="s">
        <v>3608</v>
      </c>
      <c r="G2790" s="25">
        <f t="shared" si="42"/>
        <v>1.0471571572383542E-3</v>
      </c>
    </row>
    <row r="2791" spans="1:7">
      <c r="A2791" s="54">
        <v>37.285299999999999</v>
      </c>
      <c r="B2791" s="54">
        <v>37.754899999999999</v>
      </c>
      <c r="C2791" s="54">
        <v>37.121699999999997</v>
      </c>
      <c r="D2791" s="54">
        <v>37.526600000000002</v>
      </c>
      <c r="E2791" s="54">
        <v>31748648</v>
      </c>
      <c r="F2791" s="54" t="s">
        <v>3609</v>
      </c>
      <c r="G2791" s="25">
        <f t="shared" si="42"/>
        <v>-6.430105578443146E-3</v>
      </c>
    </row>
    <row r="2792" spans="1:7">
      <c r="A2792" s="54">
        <v>37.802199999999999</v>
      </c>
      <c r="B2792" s="54">
        <v>38.069299999999998</v>
      </c>
      <c r="C2792" s="54">
        <v>37.518000000000001</v>
      </c>
      <c r="D2792" s="54">
        <v>37.621299999999998</v>
      </c>
      <c r="E2792" s="54">
        <v>31924049</v>
      </c>
      <c r="F2792" s="54" t="s">
        <v>3610</v>
      </c>
      <c r="G2792" s="25">
        <f t="shared" si="42"/>
        <v>4.8084462791024851E-3</v>
      </c>
    </row>
    <row r="2793" spans="1:7">
      <c r="A2793" s="54">
        <v>37.776400000000002</v>
      </c>
      <c r="B2793" s="54">
        <v>38.0779</v>
      </c>
      <c r="C2793" s="54">
        <v>37.612699999999997</v>
      </c>
      <c r="D2793" s="54">
        <v>38.017600000000002</v>
      </c>
      <c r="E2793" s="54">
        <v>33807740</v>
      </c>
      <c r="F2793" s="54" t="s">
        <v>3611</v>
      </c>
      <c r="G2793" s="25">
        <f t="shared" si="42"/>
        <v>-6.3444299482344757E-3</v>
      </c>
    </row>
    <row r="2794" spans="1:7">
      <c r="A2794" s="54">
        <v>37.953000000000003</v>
      </c>
      <c r="B2794" s="54">
        <v>38.1038</v>
      </c>
      <c r="C2794" s="54">
        <v>37.810899999999997</v>
      </c>
      <c r="D2794" s="54">
        <v>37.896999999999998</v>
      </c>
      <c r="E2794" s="54">
        <v>28957329</v>
      </c>
      <c r="F2794" s="54" t="s">
        <v>3612</v>
      </c>
      <c r="G2794" s="25">
        <f t="shared" si="42"/>
        <v>1.4776895268755474E-3</v>
      </c>
    </row>
    <row r="2795" spans="1:7">
      <c r="A2795" s="54">
        <v>37.896999999999998</v>
      </c>
      <c r="B2795" s="54">
        <v>37.983199999999997</v>
      </c>
      <c r="C2795" s="54">
        <v>37.7333</v>
      </c>
      <c r="D2795" s="54">
        <v>37.862499999999997</v>
      </c>
      <c r="E2795" s="54">
        <v>29759820</v>
      </c>
      <c r="F2795" s="54" t="s">
        <v>3613</v>
      </c>
      <c r="G2795" s="25">
        <f t="shared" si="42"/>
        <v>9.1119181247933945E-4</v>
      </c>
    </row>
    <row r="2796" spans="1:7">
      <c r="A2796" s="54">
        <v>37.983199999999997</v>
      </c>
      <c r="B2796" s="54">
        <v>38.164099999999998</v>
      </c>
      <c r="C2796" s="54">
        <v>37.8367</v>
      </c>
      <c r="D2796" s="54">
        <v>38.034799999999997</v>
      </c>
      <c r="E2796" s="54">
        <v>25271747</v>
      </c>
      <c r="F2796" s="54" t="s">
        <v>3614</v>
      </c>
      <c r="G2796" s="25">
        <f t="shared" si="42"/>
        <v>-1.356652328919794E-3</v>
      </c>
    </row>
    <row r="2797" spans="1:7">
      <c r="A2797" s="54">
        <v>38.034799999999997</v>
      </c>
      <c r="B2797" s="54">
        <v>38.069299999999998</v>
      </c>
      <c r="C2797" s="54">
        <v>37.604100000000003</v>
      </c>
      <c r="D2797" s="54">
        <v>37.647199999999998</v>
      </c>
      <c r="E2797" s="54">
        <v>32518754</v>
      </c>
      <c r="F2797" s="54" t="s">
        <v>3615</v>
      </c>
      <c r="G2797" s="25">
        <f t="shared" si="42"/>
        <v>1.0295586391551037E-2</v>
      </c>
    </row>
    <row r="2798" spans="1:7">
      <c r="A2798" s="54">
        <v>37.780700000000003</v>
      </c>
      <c r="B2798" s="54">
        <v>37.802199999999999</v>
      </c>
      <c r="C2798" s="54">
        <v>37.293999999999997</v>
      </c>
      <c r="D2798" s="54">
        <v>37.483499999999999</v>
      </c>
      <c r="E2798" s="54">
        <v>29721133</v>
      </c>
      <c r="F2798" s="54" t="s">
        <v>3616</v>
      </c>
      <c r="G2798" s="25">
        <f t="shared" si="42"/>
        <v>7.9288220150199873E-3</v>
      </c>
    </row>
    <row r="2799" spans="1:7">
      <c r="A2799" s="54">
        <v>37.474899999999998</v>
      </c>
      <c r="B2799" s="54">
        <v>37.497500000000002</v>
      </c>
      <c r="C2799" s="54">
        <v>37.087200000000003</v>
      </c>
      <c r="D2799" s="54">
        <v>37.199199999999998</v>
      </c>
      <c r="E2799" s="54">
        <v>27603420</v>
      </c>
      <c r="F2799" s="54" t="s">
        <v>3617</v>
      </c>
      <c r="G2799" s="25">
        <f t="shared" si="42"/>
        <v>7.4114497085959741E-3</v>
      </c>
    </row>
    <row r="2800" spans="1:7">
      <c r="A2800" s="54">
        <v>37.500700000000002</v>
      </c>
      <c r="B2800" s="54">
        <v>37.647199999999998</v>
      </c>
      <c r="C2800" s="54">
        <v>37.380099999999999</v>
      </c>
      <c r="D2800" s="54">
        <v>37.5869</v>
      </c>
      <c r="E2800" s="54">
        <v>27111657</v>
      </c>
      <c r="F2800" s="54" t="s">
        <v>3618</v>
      </c>
      <c r="G2800" s="25">
        <f t="shared" si="42"/>
        <v>-2.2933522051565847E-3</v>
      </c>
    </row>
    <row r="2801" spans="1:7">
      <c r="A2801" s="54">
        <v>37.543799999999997</v>
      </c>
      <c r="B2801" s="54">
        <v>37.9056</v>
      </c>
      <c r="C2801" s="54">
        <v>37.207799999999999</v>
      </c>
      <c r="D2801" s="54">
        <v>37.879800000000003</v>
      </c>
      <c r="E2801" s="54">
        <v>33695749</v>
      </c>
      <c r="F2801" s="54" t="s">
        <v>3619</v>
      </c>
      <c r="G2801" s="25">
        <f t="shared" si="42"/>
        <v>-8.870162989245034E-3</v>
      </c>
    </row>
    <row r="2802" spans="1:7">
      <c r="A2802" s="54">
        <v>37.526600000000002</v>
      </c>
      <c r="B2802" s="54">
        <v>37.526600000000002</v>
      </c>
      <c r="C2802" s="54">
        <v>36.910699999999999</v>
      </c>
      <c r="D2802" s="54">
        <v>37.107399999999998</v>
      </c>
      <c r="E2802" s="54">
        <v>40264887</v>
      </c>
      <c r="F2802" s="54" t="s">
        <v>3620</v>
      </c>
      <c r="G2802" s="25">
        <f t="shared" si="42"/>
        <v>1.1296938077041352E-2</v>
      </c>
    </row>
    <row r="2803" spans="1:7">
      <c r="A2803" s="54">
        <v>36.859400000000001</v>
      </c>
      <c r="B2803" s="54">
        <v>36.859400000000001</v>
      </c>
      <c r="C2803" s="54">
        <v>36.363199999999999</v>
      </c>
      <c r="D2803" s="54">
        <v>36.491500000000002</v>
      </c>
      <c r="E2803" s="54">
        <v>33268831</v>
      </c>
      <c r="F2803" s="54" t="s">
        <v>3621</v>
      </c>
      <c r="G2803" s="25">
        <f t="shared" si="42"/>
        <v>1.0081799871202834E-2</v>
      </c>
    </row>
    <row r="2804" spans="1:7">
      <c r="A2804" s="54">
        <v>36.252000000000002</v>
      </c>
      <c r="B2804" s="54">
        <v>36.482999999999997</v>
      </c>
      <c r="C2804" s="54">
        <v>36.1066</v>
      </c>
      <c r="D2804" s="54">
        <v>36.482999999999997</v>
      </c>
      <c r="E2804" s="54">
        <v>38262509</v>
      </c>
      <c r="F2804" s="54" t="s">
        <v>3622</v>
      </c>
      <c r="G2804" s="25">
        <f t="shared" si="42"/>
        <v>-6.3317161417645318E-3</v>
      </c>
    </row>
    <row r="2805" spans="1:7">
      <c r="A2805" s="54">
        <v>36.440199999999997</v>
      </c>
      <c r="B2805" s="54">
        <v>36.585599999999999</v>
      </c>
      <c r="C2805" s="54">
        <v>36.0809</v>
      </c>
      <c r="D2805" s="54">
        <v>36.56</v>
      </c>
      <c r="E2805" s="54">
        <v>29670676</v>
      </c>
      <c r="F2805" s="54" t="s">
        <v>3623</v>
      </c>
      <c r="G2805" s="25">
        <f t="shared" si="42"/>
        <v>-3.2768052516413126E-3</v>
      </c>
    </row>
    <row r="2806" spans="1:7">
      <c r="A2806" s="54">
        <v>36.234900000000003</v>
      </c>
      <c r="B2806" s="54">
        <v>36.56</v>
      </c>
      <c r="C2806" s="54">
        <v>36.1066</v>
      </c>
      <c r="D2806" s="54">
        <v>36.132300000000001</v>
      </c>
      <c r="E2806" s="54">
        <v>31381061</v>
      </c>
      <c r="F2806" s="54" t="s">
        <v>3624</v>
      </c>
      <c r="G2806" s="25">
        <f t="shared" si="42"/>
        <v>2.8395646000947128E-3</v>
      </c>
    </row>
    <row r="2807" spans="1:7">
      <c r="A2807" s="54">
        <v>36.277700000000003</v>
      </c>
      <c r="B2807" s="54">
        <v>36.602699999999999</v>
      </c>
      <c r="C2807" s="54">
        <v>36.055300000000003</v>
      </c>
      <c r="D2807" s="54">
        <v>36.508600000000001</v>
      </c>
      <c r="E2807" s="54">
        <v>34616554</v>
      </c>
      <c r="F2807" s="54" t="s">
        <v>3625</v>
      </c>
      <c r="G2807" s="25">
        <f t="shared" si="42"/>
        <v>-6.3245372323232907E-3</v>
      </c>
    </row>
    <row r="2808" spans="1:7">
      <c r="A2808" s="54">
        <v>36.311900000000001</v>
      </c>
      <c r="B2808" s="54">
        <v>36.474400000000003</v>
      </c>
      <c r="C2808" s="54">
        <v>35.802900000000001</v>
      </c>
      <c r="D2808" s="54">
        <v>36.115099999999998</v>
      </c>
      <c r="E2808" s="54">
        <v>36548168</v>
      </c>
      <c r="F2808" s="54" t="s">
        <v>3626</v>
      </c>
      <c r="G2808" s="25">
        <f t="shared" si="42"/>
        <v>5.4492442219460369E-3</v>
      </c>
    </row>
    <row r="2809" spans="1:7">
      <c r="A2809" s="54">
        <v>35.790100000000002</v>
      </c>
      <c r="B2809" s="54">
        <v>36.1066</v>
      </c>
      <c r="C2809" s="54">
        <v>35.3795</v>
      </c>
      <c r="D2809" s="54">
        <v>35.875599999999999</v>
      </c>
      <c r="E2809" s="54">
        <v>41614812</v>
      </c>
      <c r="F2809" s="54" t="s">
        <v>3627</v>
      </c>
      <c r="G2809" s="25">
        <f t="shared" si="42"/>
        <v>-2.3832354023346491E-3</v>
      </c>
    </row>
    <row r="2810" spans="1:7">
      <c r="A2810" s="54">
        <v>35.584800000000001</v>
      </c>
      <c r="B2810" s="54">
        <v>35.867100000000001</v>
      </c>
      <c r="C2810" s="54">
        <v>35.11</v>
      </c>
      <c r="D2810" s="54">
        <v>35.610500000000002</v>
      </c>
      <c r="E2810" s="54">
        <v>52082448</v>
      </c>
      <c r="F2810" s="54" t="s">
        <v>3628</v>
      </c>
      <c r="G2810" s="25">
        <f t="shared" si="42"/>
        <v>-7.2169725221493675E-4</v>
      </c>
    </row>
    <row r="2811" spans="1:7">
      <c r="A2811" s="54">
        <v>35.311100000000003</v>
      </c>
      <c r="B2811" s="54">
        <v>35.388100000000001</v>
      </c>
      <c r="C2811" s="54">
        <v>34.4129</v>
      </c>
      <c r="D2811" s="54">
        <v>34.720799999999997</v>
      </c>
      <c r="E2811" s="54">
        <v>50352532</v>
      </c>
      <c r="F2811" s="54" t="s">
        <v>3629</v>
      </c>
      <c r="G2811" s="25">
        <f t="shared" si="42"/>
        <v>1.7001336374738107E-2</v>
      </c>
    </row>
    <row r="2812" spans="1:7">
      <c r="A2812" s="54">
        <v>34.558300000000003</v>
      </c>
      <c r="B2812" s="54">
        <v>35.567700000000002</v>
      </c>
      <c r="C2812" s="54">
        <v>34.515500000000003</v>
      </c>
      <c r="D2812" s="54">
        <v>35.542000000000002</v>
      </c>
      <c r="E2812" s="54">
        <v>78004944</v>
      </c>
      <c r="F2812" s="54" t="s">
        <v>3630</v>
      </c>
      <c r="G2812" s="25">
        <f t="shared" si="42"/>
        <v>-2.7677114399864866E-2</v>
      </c>
    </row>
    <row r="2813" spans="1:7">
      <c r="A2813" s="54">
        <v>35.935499999999998</v>
      </c>
      <c r="B2813" s="54">
        <v>36.029600000000002</v>
      </c>
      <c r="C2813" s="54">
        <v>34.8919</v>
      </c>
      <c r="D2813" s="54">
        <v>35.011699999999998</v>
      </c>
      <c r="E2813" s="54">
        <v>63585273</v>
      </c>
      <c r="F2813" s="54" t="s">
        <v>3631</v>
      </c>
      <c r="G2813" s="25">
        <f t="shared" si="42"/>
        <v>2.6385465430127653E-2</v>
      </c>
    </row>
    <row r="2814" spans="1:7">
      <c r="A2814" s="54">
        <v>35.234099999999998</v>
      </c>
      <c r="B2814" s="54">
        <v>36.602699999999999</v>
      </c>
      <c r="C2814" s="54">
        <v>35.208399999999997</v>
      </c>
      <c r="D2814" s="54">
        <v>36.56</v>
      </c>
      <c r="E2814" s="54">
        <v>84507078</v>
      </c>
      <c r="F2814" s="54" t="s">
        <v>3632</v>
      </c>
      <c r="G2814" s="25">
        <f t="shared" si="42"/>
        <v>-3.6266411378555907E-2</v>
      </c>
    </row>
    <row r="2815" spans="1:7">
      <c r="A2815" s="54">
        <v>36.491500000000002</v>
      </c>
      <c r="B2815" s="54">
        <v>36.953400000000002</v>
      </c>
      <c r="C2815" s="54">
        <v>36.016800000000003</v>
      </c>
      <c r="D2815" s="54">
        <v>36.739600000000003</v>
      </c>
      <c r="E2815" s="54">
        <v>169163953</v>
      </c>
      <c r="F2815" s="54" t="s">
        <v>3633</v>
      </c>
      <c r="G2815" s="25">
        <f t="shared" si="42"/>
        <v>-6.7529314418229847E-3</v>
      </c>
    </row>
    <row r="2816" spans="1:7">
      <c r="A2816" s="54">
        <v>40.212499999999999</v>
      </c>
      <c r="B2816" s="54">
        <v>40.3185</v>
      </c>
      <c r="C2816" s="54">
        <v>39.553800000000003</v>
      </c>
      <c r="D2816" s="54">
        <v>40.204000000000001</v>
      </c>
      <c r="E2816" s="54">
        <v>42525530</v>
      </c>
      <c r="F2816" s="54" t="s">
        <v>3634</v>
      </c>
      <c r="G2816" s="25">
        <f t="shared" si="42"/>
        <v>2.1142174907962108E-4</v>
      </c>
    </row>
    <row r="2817" spans="1:7">
      <c r="A2817" s="54">
        <v>40.357999999999997</v>
      </c>
      <c r="B2817" s="54">
        <v>40.537599999999998</v>
      </c>
      <c r="C2817" s="54">
        <v>40.032899999999998</v>
      </c>
      <c r="D2817" s="54">
        <v>40.511899999999997</v>
      </c>
      <c r="E2817" s="54">
        <v>26211594</v>
      </c>
      <c r="F2817" s="54" t="s">
        <v>3635</v>
      </c>
      <c r="G2817" s="25">
        <f t="shared" si="42"/>
        <v>-3.7988837847644508E-3</v>
      </c>
    </row>
    <row r="2818" spans="1:7">
      <c r="A2818" s="54">
        <v>40.315199999999997</v>
      </c>
      <c r="B2818" s="54">
        <v>40.319499999999998</v>
      </c>
      <c r="C2818" s="54">
        <v>39.417000000000002</v>
      </c>
      <c r="D2818" s="54">
        <v>39.6736</v>
      </c>
      <c r="E2818" s="54">
        <v>35898035</v>
      </c>
      <c r="F2818" s="54" t="s">
        <v>3636</v>
      </c>
      <c r="G2818" s="25">
        <f t="shared" si="42"/>
        <v>1.6171963219874019E-2</v>
      </c>
    </row>
    <row r="2819" spans="1:7">
      <c r="A2819" s="54">
        <v>39.280099999999997</v>
      </c>
      <c r="B2819" s="54">
        <v>39.468299999999999</v>
      </c>
      <c r="C2819" s="54">
        <v>38.903799999999997</v>
      </c>
      <c r="D2819" s="54">
        <v>39.2973</v>
      </c>
      <c r="E2819" s="54">
        <v>39081143</v>
      </c>
      <c r="F2819" s="54" t="s">
        <v>3637</v>
      </c>
      <c r="G2819" s="25">
        <f t="shared" si="42"/>
        <v>-4.376891033226471E-4</v>
      </c>
    </row>
    <row r="2820" spans="1:7">
      <c r="A2820" s="54">
        <v>39.682200000000002</v>
      </c>
      <c r="B2820" s="54">
        <v>39.904600000000002</v>
      </c>
      <c r="C2820" s="54">
        <v>38.980800000000002</v>
      </c>
      <c r="D2820" s="54">
        <v>39.605200000000004</v>
      </c>
      <c r="E2820" s="54">
        <v>36161860</v>
      </c>
      <c r="F2820" s="54" t="s">
        <v>3638</v>
      </c>
      <c r="G2820" s="25">
        <f t="shared" si="42"/>
        <v>1.9441891468796602E-3</v>
      </c>
    </row>
    <row r="2821" spans="1:7">
      <c r="A2821" s="54">
        <v>39.553899999999999</v>
      </c>
      <c r="B2821" s="54">
        <v>39.588099999999997</v>
      </c>
      <c r="C2821" s="54">
        <v>38.638599999999997</v>
      </c>
      <c r="D2821" s="54">
        <v>38.758299999999998</v>
      </c>
      <c r="E2821" s="54">
        <v>35695289</v>
      </c>
      <c r="F2821" s="54" t="s">
        <v>3639</v>
      </c>
      <c r="G2821" s="25">
        <f t="shared" si="42"/>
        <v>2.0527216105969526E-2</v>
      </c>
    </row>
    <row r="2822" spans="1:7">
      <c r="A2822" s="54">
        <v>38.903799999999997</v>
      </c>
      <c r="B2822" s="54">
        <v>39.6736</v>
      </c>
      <c r="C2822" s="54">
        <v>38.843899999999998</v>
      </c>
      <c r="D2822" s="54">
        <v>39.536799999999999</v>
      </c>
      <c r="E2822" s="54">
        <v>32750779</v>
      </c>
      <c r="F2822" s="54" t="s">
        <v>3640</v>
      </c>
      <c r="G2822" s="25">
        <f t="shared" si="42"/>
        <v>-1.6010400437061256E-2</v>
      </c>
    </row>
    <row r="2823" spans="1:7">
      <c r="A2823" s="54">
        <v>39.310099999999998</v>
      </c>
      <c r="B2823" s="54">
        <v>39.553899999999999</v>
      </c>
      <c r="C2823" s="54">
        <v>39.023499999999999</v>
      </c>
      <c r="D2823" s="54">
        <v>39.314399999999999</v>
      </c>
      <c r="E2823" s="54">
        <v>29719580</v>
      </c>
      <c r="F2823" s="54" t="s">
        <v>3641</v>
      </c>
      <c r="G2823" s="25">
        <f t="shared" si="42"/>
        <v>-1.0937468205041156E-4</v>
      </c>
    </row>
    <row r="2824" spans="1:7">
      <c r="A2824" s="54">
        <v>39.652200000000001</v>
      </c>
      <c r="B2824" s="54">
        <v>40.982399999999998</v>
      </c>
      <c r="C2824" s="54">
        <v>39.399900000000002</v>
      </c>
      <c r="D2824" s="54">
        <v>40.1783</v>
      </c>
      <c r="E2824" s="54">
        <v>35270601</v>
      </c>
      <c r="F2824" s="54" t="s">
        <v>3642</v>
      </c>
      <c r="G2824" s="25">
        <f t="shared" si="42"/>
        <v>-1.3094132902586764E-2</v>
      </c>
    </row>
    <row r="2825" spans="1:7">
      <c r="A2825" s="54">
        <v>39.861800000000002</v>
      </c>
      <c r="B2825" s="54">
        <v>40.665900000000001</v>
      </c>
      <c r="C2825" s="54">
        <v>39.656500000000001</v>
      </c>
      <c r="D2825" s="54">
        <v>40.563200000000002</v>
      </c>
      <c r="E2825" s="54">
        <v>23651887</v>
      </c>
      <c r="F2825" s="54" t="s">
        <v>3643</v>
      </c>
      <c r="G2825" s="25">
        <f t="shared" si="42"/>
        <v>-1.7291535184600804E-2</v>
      </c>
    </row>
    <row r="2826" spans="1:7">
      <c r="A2826" s="54">
        <v>40.366500000000002</v>
      </c>
      <c r="B2826" s="54">
        <v>40.9054</v>
      </c>
      <c r="C2826" s="54">
        <v>40.118400000000001</v>
      </c>
      <c r="D2826" s="54">
        <v>40.7258</v>
      </c>
      <c r="E2826" s="54">
        <v>23944181</v>
      </c>
      <c r="F2826" s="54" t="s">
        <v>3644</v>
      </c>
      <c r="G2826" s="25">
        <f t="shared" si="42"/>
        <v>-8.8224172391947464E-3</v>
      </c>
    </row>
    <row r="2827" spans="1:7">
      <c r="A2827" s="54">
        <v>40.7087</v>
      </c>
      <c r="B2827" s="54">
        <v>40.845399999999998</v>
      </c>
      <c r="C2827" s="54">
        <v>39.964500000000001</v>
      </c>
      <c r="D2827" s="54">
        <v>39.990099999999998</v>
      </c>
      <c r="E2827" s="54">
        <v>29645202</v>
      </c>
      <c r="F2827" s="54" t="s">
        <v>3645</v>
      </c>
      <c r="G2827" s="25">
        <f t="shared" si="42"/>
        <v>1.7969447438241026E-2</v>
      </c>
    </row>
    <row r="2828" spans="1:7">
      <c r="A2828" s="54">
        <v>39.545299999999997</v>
      </c>
      <c r="B2828" s="54">
        <v>39.742100000000001</v>
      </c>
      <c r="C2828" s="54">
        <v>38.912300000000002</v>
      </c>
      <c r="D2828" s="54">
        <v>39.331499999999998</v>
      </c>
      <c r="E2828" s="54">
        <v>29114061</v>
      </c>
      <c r="F2828" s="54" t="s">
        <v>3646</v>
      </c>
      <c r="G2828" s="25">
        <f t="shared" si="42"/>
        <v>5.4358465860697702E-3</v>
      </c>
    </row>
    <row r="2829" spans="1:7">
      <c r="A2829" s="54">
        <v>39.049199999999999</v>
      </c>
      <c r="B2829" s="54">
        <v>39.9893</v>
      </c>
      <c r="C2829" s="54">
        <v>38.955100000000002</v>
      </c>
      <c r="D2829" s="54">
        <v>39.6736</v>
      </c>
      <c r="E2829" s="54">
        <v>36447854</v>
      </c>
      <c r="F2829" s="54" t="s">
        <v>3647</v>
      </c>
      <c r="G2829" s="25">
        <f t="shared" si="42"/>
        <v>-1.5738425552508484E-2</v>
      </c>
    </row>
    <row r="2830" spans="1:7">
      <c r="A2830" s="54">
        <v>39.626600000000003</v>
      </c>
      <c r="B2830" s="54">
        <v>39.972999999999999</v>
      </c>
      <c r="C2830" s="54">
        <v>39.562399999999997</v>
      </c>
      <c r="D2830" s="54">
        <v>39.665100000000002</v>
      </c>
      <c r="E2830" s="54">
        <v>39673865</v>
      </c>
      <c r="F2830" s="54" t="s">
        <v>3648</v>
      </c>
      <c r="G2830" s="25">
        <f t="shared" si="42"/>
        <v>-9.7062657096536054E-4</v>
      </c>
    </row>
    <row r="2831" spans="1:7">
      <c r="A2831" s="54">
        <v>39.998699999999999</v>
      </c>
      <c r="B2831" s="54">
        <v>40.563200000000002</v>
      </c>
      <c r="C2831" s="54">
        <v>39.810499999999998</v>
      </c>
      <c r="D2831" s="54">
        <v>39.9131</v>
      </c>
      <c r="E2831" s="54">
        <v>27913852</v>
      </c>
      <c r="F2831" s="54" t="s">
        <v>3649</v>
      </c>
      <c r="G2831" s="25">
        <f t="shared" si="42"/>
        <v>2.1446592722689228E-3</v>
      </c>
    </row>
    <row r="2832" spans="1:7">
      <c r="A2832" s="54">
        <v>39.733499999999999</v>
      </c>
      <c r="B2832" s="54">
        <v>40.580399999999997</v>
      </c>
      <c r="C2832" s="54">
        <v>39.733499999999999</v>
      </c>
      <c r="D2832" s="54">
        <v>39.972999999999999</v>
      </c>
      <c r="E2832" s="54">
        <v>21552450</v>
      </c>
      <c r="F2832" s="54" t="s">
        <v>3650</v>
      </c>
      <c r="G2832" s="25">
        <f t="shared" si="42"/>
        <v>-5.9915442923973439E-3</v>
      </c>
    </row>
    <row r="2833" spans="1:7">
      <c r="A2833" s="54">
        <v>40.2211</v>
      </c>
      <c r="B2833" s="54">
        <v>40.734299999999998</v>
      </c>
      <c r="C2833" s="54">
        <v>40.067100000000003</v>
      </c>
      <c r="D2833" s="54">
        <v>40.580399999999997</v>
      </c>
      <c r="E2833" s="54">
        <v>16384692</v>
      </c>
      <c r="F2833" s="54" t="s">
        <v>3651</v>
      </c>
      <c r="G2833" s="25">
        <f t="shared" si="42"/>
        <v>-8.8540280529516568E-3</v>
      </c>
    </row>
    <row r="2834" spans="1:7">
      <c r="A2834" s="54">
        <v>40.588900000000002</v>
      </c>
      <c r="B2834" s="54">
        <v>40.871200000000002</v>
      </c>
      <c r="C2834" s="54">
        <v>40.426400000000001</v>
      </c>
      <c r="D2834" s="54">
        <v>40.802799999999998</v>
      </c>
      <c r="E2834" s="54">
        <v>14439518</v>
      </c>
      <c r="F2834" s="54" t="s">
        <v>3652</v>
      </c>
      <c r="G2834" s="25">
        <f t="shared" si="42"/>
        <v>-5.242287294009107E-3</v>
      </c>
    </row>
    <row r="2835" spans="1:7">
      <c r="A2835" s="54">
        <v>40.956699999999998</v>
      </c>
      <c r="B2835" s="54">
        <v>41.4101</v>
      </c>
      <c r="C2835" s="54">
        <v>40.9054</v>
      </c>
      <c r="D2835" s="54">
        <v>41.4101</v>
      </c>
      <c r="E2835" s="54">
        <v>13197817</v>
      </c>
      <c r="F2835" s="54" t="s">
        <v>3653</v>
      </c>
      <c r="G2835" s="25">
        <f t="shared" si="42"/>
        <v>-1.0949019683603844E-2</v>
      </c>
    </row>
    <row r="2836" spans="1:7">
      <c r="A2836" s="54">
        <v>41.179099999999998</v>
      </c>
      <c r="B2836" s="54">
        <v>41.6068</v>
      </c>
      <c r="C2836" s="54">
        <v>41.127800000000001</v>
      </c>
      <c r="D2836" s="54">
        <v>41.6068</v>
      </c>
      <c r="E2836" s="54">
        <v>11442790</v>
      </c>
      <c r="F2836" s="54" t="s">
        <v>3654</v>
      </c>
      <c r="G2836" s="25">
        <f t="shared" si="42"/>
        <v>-1.0279569685724521E-2</v>
      </c>
    </row>
    <row r="2837" spans="1:7">
      <c r="A2837" s="54">
        <v>41.444299999999998</v>
      </c>
      <c r="B2837" s="54">
        <v>41.743699999999997</v>
      </c>
      <c r="C2837" s="54">
        <v>41.1706</v>
      </c>
      <c r="D2837" s="54">
        <v>41.375900000000001</v>
      </c>
      <c r="E2837" s="54">
        <v>23656529</v>
      </c>
      <c r="F2837" s="54" t="s">
        <v>3655</v>
      </c>
      <c r="G2837" s="25">
        <f t="shared" si="42"/>
        <v>1.6531362459788479E-3</v>
      </c>
    </row>
    <row r="2838" spans="1:7">
      <c r="A2838" s="54">
        <v>41.042299999999997</v>
      </c>
      <c r="B2838" s="54">
        <v>41.161999999999999</v>
      </c>
      <c r="C2838" s="54">
        <v>40.811300000000003</v>
      </c>
      <c r="D2838" s="54">
        <v>40.871200000000002</v>
      </c>
      <c r="E2838" s="54">
        <v>26565984</v>
      </c>
      <c r="F2838" s="54" t="s">
        <v>3656</v>
      </c>
      <c r="G2838" s="25">
        <f t="shared" si="42"/>
        <v>4.1863219088256187E-3</v>
      </c>
    </row>
    <row r="2839" spans="1:7">
      <c r="A2839" s="54">
        <v>40.768500000000003</v>
      </c>
      <c r="B2839" s="54">
        <v>41.1449</v>
      </c>
      <c r="C2839" s="54">
        <v>40.349400000000003</v>
      </c>
      <c r="D2839" s="54">
        <v>40.742899999999999</v>
      </c>
      <c r="E2839" s="54">
        <v>64551182</v>
      </c>
      <c r="F2839" s="54" t="s">
        <v>3657</v>
      </c>
      <c r="G2839" s="25">
        <f t="shared" si="42"/>
        <v>6.2833033485598655E-4</v>
      </c>
    </row>
    <row r="2840" spans="1:7">
      <c r="A2840" s="54">
        <v>40.648800000000001</v>
      </c>
      <c r="B2840" s="54">
        <v>40.648800000000001</v>
      </c>
      <c r="C2840" s="54">
        <v>39.638199999999998</v>
      </c>
      <c r="D2840" s="54">
        <v>39.844700000000003</v>
      </c>
      <c r="E2840" s="54">
        <v>40105550</v>
      </c>
      <c r="F2840" s="54" t="s">
        <v>3658</v>
      </c>
      <c r="G2840" s="25">
        <f t="shared" ref="G2840:G2903" si="43">A2840/D2840-1</f>
        <v>2.0180852158505402E-2</v>
      </c>
    </row>
    <row r="2841" spans="1:7">
      <c r="A2841" s="54">
        <v>39.126199999999997</v>
      </c>
      <c r="B2841" s="54">
        <v>39.301499999999997</v>
      </c>
      <c r="C2841" s="54">
        <v>38.407600000000002</v>
      </c>
      <c r="D2841" s="54">
        <v>38.535899999999998</v>
      </c>
      <c r="E2841" s="54">
        <v>34970865</v>
      </c>
      <c r="F2841" s="54" t="s">
        <v>3659</v>
      </c>
      <c r="G2841" s="25">
        <f t="shared" si="43"/>
        <v>1.5318183823395781E-2</v>
      </c>
    </row>
    <row r="2842" spans="1:7">
      <c r="A2842" s="54">
        <v>38.630000000000003</v>
      </c>
      <c r="B2842" s="54">
        <v>39.639400000000002</v>
      </c>
      <c r="C2842" s="54">
        <v>38.604399999999998</v>
      </c>
      <c r="D2842" s="54">
        <v>39.262999999999998</v>
      </c>
      <c r="E2842" s="54">
        <v>47801392</v>
      </c>
      <c r="F2842" s="54" t="s">
        <v>3660</v>
      </c>
      <c r="G2842" s="25">
        <f t="shared" si="43"/>
        <v>-1.6122048748185236E-2</v>
      </c>
    </row>
    <row r="2843" spans="1:7">
      <c r="A2843" s="54">
        <v>39.921700000000001</v>
      </c>
      <c r="B2843" s="54">
        <v>40.777099999999997</v>
      </c>
      <c r="C2843" s="54">
        <v>39.819000000000003</v>
      </c>
      <c r="D2843" s="54">
        <v>40.375100000000003</v>
      </c>
      <c r="E2843" s="54">
        <v>29247761</v>
      </c>
      <c r="F2843" s="54" t="s">
        <v>3661</v>
      </c>
      <c r="G2843" s="25">
        <f t="shared" si="43"/>
        <v>-1.12296935487467E-2</v>
      </c>
    </row>
    <row r="2844" spans="1:7">
      <c r="A2844" s="54">
        <v>40.161200000000001</v>
      </c>
      <c r="B2844" s="54">
        <v>40.828400000000002</v>
      </c>
      <c r="C2844" s="54">
        <v>39.921700000000001</v>
      </c>
      <c r="D2844" s="54">
        <v>40.015799999999999</v>
      </c>
      <c r="E2844" s="54">
        <v>34248371</v>
      </c>
      <c r="F2844" s="54" t="s">
        <v>3662</v>
      </c>
      <c r="G2844" s="25">
        <f t="shared" si="43"/>
        <v>3.6335647419269979E-3</v>
      </c>
    </row>
    <row r="2845" spans="1:7">
      <c r="A2845" s="54">
        <v>40.349400000000003</v>
      </c>
      <c r="B2845" s="54">
        <v>40.837000000000003</v>
      </c>
      <c r="C2845" s="54">
        <v>39.930300000000003</v>
      </c>
      <c r="D2845" s="54">
        <v>40.272399999999998</v>
      </c>
      <c r="E2845" s="54">
        <v>29061918</v>
      </c>
      <c r="F2845" s="54" t="s">
        <v>3663</v>
      </c>
      <c r="G2845" s="25">
        <f t="shared" si="43"/>
        <v>1.9119794201489793E-3</v>
      </c>
    </row>
    <row r="2846" spans="1:7">
      <c r="A2846" s="54">
        <v>40.118400000000001</v>
      </c>
      <c r="B2846" s="54">
        <v>40.768500000000003</v>
      </c>
      <c r="C2846" s="54">
        <v>39.947400000000002</v>
      </c>
      <c r="D2846" s="54">
        <v>40.700099999999999</v>
      </c>
      <c r="E2846" s="54">
        <v>30431788</v>
      </c>
      <c r="F2846" s="54" t="s">
        <v>3664</v>
      </c>
      <c r="G2846" s="25">
        <f t="shared" si="43"/>
        <v>-1.429234817604863E-2</v>
      </c>
    </row>
    <row r="2847" spans="1:7">
      <c r="A2847" s="54">
        <v>40.7087</v>
      </c>
      <c r="B2847" s="54">
        <v>40.991</v>
      </c>
      <c r="C2847" s="54">
        <v>40.246699999999997</v>
      </c>
      <c r="D2847" s="54">
        <v>40.298099999999998</v>
      </c>
      <c r="E2847" s="54">
        <v>24330506</v>
      </c>
      <c r="F2847" s="54" t="s">
        <v>3665</v>
      </c>
      <c r="G2847" s="25">
        <f t="shared" si="43"/>
        <v>1.0189065985741319E-2</v>
      </c>
    </row>
    <row r="2848" spans="1:7">
      <c r="A2848" s="54">
        <v>40.798499999999997</v>
      </c>
      <c r="B2848" s="54">
        <v>41.358800000000002</v>
      </c>
      <c r="C2848" s="54">
        <v>40.584600000000002</v>
      </c>
      <c r="D2848" s="54">
        <v>41.281799999999997</v>
      </c>
      <c r="E2848" s="54">
        <v>26663107</v>
      </c>
      <c r="F2848" s="54" t="s">
        <v>3666</v>
      </c>
      <c r="G2848" s="25">
        <f t="shared" si="43"/>
        <v>-1.1707338342804796E-2</v>
      </c>
    </row>
    <row r="2849" spans="1:7">
      <c r="A2849" s="54">
        <v>41.418700000000001</v>
      </c>
      <c r="B2849" s="54">
        <v>41.889099999999999</v>
      </c>
      <c r="C2849" s="54">
        <v>41.384399999999999</v>
      </c>
      <c r="D2849" s="54">
        <v>41.760800000000003</v>
      </c>
      <c r="E2849" s="54">
        <v>27313449</v>
      </c>
      <c r="F2849" s="54" t="s">
        <v>3667</v>
      </c>
      <c r="G2849" s="25">
        <f t="shared" si="43"/>
        <v>-8.1918928756155029E-3</v>
      </c>
    </row>
    <row r="2850" spans="1:7">
      <c r="A2850" s="54">
        <v>41.777900000000002</v>
      </c>
      <c r="B2850" s="54">
        <v>41.966099999999997</v>
      </c>
      <c r="C2850" s="54">
        <v>41.230499999999999</v>
      </c>
      <c r="D2850" s="54">
        <v>41.393000000000001</v>
      </c>
      <c r="E2850" s="54">
        <v>30345132</v>
      </c>
      <c r="F2850" s="54" t="s">
        <v>3668</v>
      </c>
      <c r="G2850" s="25">
        <f t="shared" si="43"/>
        <v>9.2986736887878951E-3</v>
      </c>
    </row>
    <row r="2851" spans="1:7">
      <c r="A2851" s="54">
        <v>41.127800000000001</v>
      </c>
      <c r="B2851" s="54">
        <v>41.487099999999998</v>
      </c>
      <c r="C2851" s="54">
        <v>40.892600000000002</v>
      </c>
      <c r="D2851" s="54">
        <v>41.4358</v>
      </c>
      <c r="E2851" s="54">
        <v>23534752</v>
      </c>
      <c r="F2851" s="54" t="s">
        <v>3669</v>
      </c>
      <c r="G2851" s="25">
        <f t="shared" si="43"/>
        <v>-7.4331857958577219E-3</v>
      </c>
    </row>
    <row r="2852" spans="1:7">
      <c r="A2852" s="54">
        <v>41.4529</v>
      </c>
      <c r="B2852" s="54">
        <v>41.957599999999999</v>
      </c>
      <c r="C2852" s="54">
        <v>41.230499999999999</v>
      </c>
      <c r="D2852" s="54">
        <v>41.777900000000002</v>
      </c>
      <c r="E2852" s="54">
        <v>25773478</v>
      </c>
      <c r="F2852" s="54" t="s">
        <v>3670</v>
      </c>
      <c r="G2852" s="25">
        <f t="shared" si="43"/>
        <v>-7.7792325607558555E-3</v>
      </c>
    </row>
    <row r="2853" spans="1:7">
      <c r="A2853" s="54">
        <v>41.589700000000001</v>
      </c>
      <c r="B2853" s="54">
        <v>41.726599999999998</v>
      </c>
      <c r="C2853" s="54">
        <v>40.811300000000003</v>
      </c>
      <c r="D2853" s="54">
        <v>40.956699999999998</v>
      </c>
      <c r="E2853" s="54">
        <v>31191575</v>
      </c>
      <c r="F2853" s="54" t="s">
        <v>3671</v>
      </c>
      <c r="G2853" s="25">
        <f t="shared" si="43"/>
        <v>1.5455346744244647E-2</v>
      </c>
    </row>
    <row r="2854" spans="1:7">
      <c r="A2854" s="54">
        <v>40.896900000000002</v>
      </c>
      <c r="B2854" s="54">
        <v>41.226199999999999</v>
      </c>
      <c r="C2854" s="54">
        <v>40.7258</v>
      </c>
      <c r="D2854" s="54">
        <v>41.016599999999997</v>
      </c>
      <c r="E2854" s="54">
        <v>21534426</v>
      </c>
      <c r="F2854" s="54" t="s">
        <v>3672</v>
      </c>
      <c r="G2854" s="25">
        <f t="shared" si="43"/>
        <v>-2.9183306271117759E-3</v>
      </c>
    </row>
    <row r="2855" spans="1:7">
      <c r="A2855" s="54">
        <v>40.845500000000001</v>
      </c>
      <c r="B2855" s="54">
        <v>41.050800000000002</v>
      </c>
      <c r="C2855" s="54">
        <v>40.4435</v>
      </c>
      <c r="D2855" s="54">
        <v>40.623100000000001</v>
      </c>
      <c r="E2855" s="54">
        <v>27164877</v>
      </c>
      <c r="F2855" s="54" t="s">
        <v>3673</v>
      </c>
      <c r="G2855" s="25">
        <f t="shared" si="43"/>
        <v>5.4747175867917441E-3</v>
      </c>
    </row>
    <row r="2856" spans="1:7">
      <c r="A2856" s="54">
        <v>40.606000000000002</v>
      </c>
      <c r="B2856" s="54">
        <v>41.033700000000003</v>
      </c>
      <c r="C2856" s="54">
        <v>40.588900000000002</v>
      </c>
      <c r="D2856" s="54">
        <v>40.768500000000003</v>
      </c>
      <c r="E2856" s="54">
        <v>28007993</v>
      </c>
      <c r="F2856" s="54" t="s">
        <v>3674</v>
      </c>
      <c r="G2856" s="25">
        <f t="shared" si="43"/>
        <v>-3.9859205023486943E-3</v>
      </c>
    </row>
    <row r="2857" spans="1:7">
      <c r="A2857" s="54">
        <v>40.7087</v>
      </c>
      <c r="B2857" s="54">
        <v>41.059399999999997</v>
      </c>
      <c r="C2857" s="54">
        <v>40.537599999999998</v>
      </c>
      <c r="D2857" s="54">
        <v>41.050800000000002</v>
      </c>
      <c r="E2857" s="54">
        <v>35434245</v>
      </c>
      <c r="F2857" s="54" t="s">
        <v>3675</v>
      </c>
      <c r="G2857" s="25">
        <f t="shared" si="43"/>
        <v>-8.3335769339453192E-3</v>
      </c>
    </row>
    <row r="2858" spans="1:7">
      <c r="A2858" s="54">
        <v>41.042299999999997</v>
      </c>
      <c r="B2858" s="54">
        <v>41.957599999999999</v>
      </c>
      <c r="C2858" s="54">
        <v>40.691600000000001</v>
      </c>
      <c r="D2858" s="54">
        <v>41.931899999999999</v>
      </c>
      <c r="E2858" s="54">
        <v>42884795</v>
      </c>
      <c r="F2858" s="54" t="s">
        <v>3676</v>
      </c>
      <c r="G2858" s="25">
        <f t="shared" si="43"/>
        <v>-2.1215351558121709E-2</v>
      </c>
    </row>
    <row r="2859" spans="1:7">
      <c r="A2859" s="54">
        <v>41.658200000000001</v>
      </c>
      <c r="B2859" s="54">
        <v>41.658200000000001</v>
      </c>
      <c r="C2859" s="54">
        <v>40.9482</v>
      </c>
      <c r="D2859" s="54">
        <v>41.059399999999997</v>
      </c>
      <c r="E2859" s="54">
        <v>21510587</v>
      </c>
      <c r="F2859" s="54" t="s">
        <v>3677</v>
      </c>
      <c r="G2859" s="25">
        <f t="shared" si="43"/>
        <v>1.4583749397214962E-2</v>
      </c>
    </row>
    <row r="2860" spans="1:7">
      <c r="A2860" s="54">
        <v>41.247599999999998</v>
      </c>
      <c r="B2860" s="54">
        <v>41.705100000000002</v>
      </c>
      <c r="C2860" s="54">
        <v>40.999499999999998</v>
      </c>
      <c r="D2860" s="54">
        <v>41.624000000000002</v>
      </c>
      <c r="E2860" s="54">
        <v>26177450</v>
      </c>
      <c r="F2860" s="54" t="s">
        <v>3678</v>
      </c>
      <c r="G2860" s="25">
        <f t="shared" si="43"/>
        <v>-9.0428598885259337E-3</v>
      </c>
    </row>
    <row r="2861" spans="1:7">
      <c r="A2861" s="54">
        <v>41.692399999999999</v>
      </c>
      <c r="B2861" s="54">
        <v>42.192799999999998</v>
      </c>
      <c r="C2861" s="54">
        <v>41.658200000000001</v>
      </c>
      <c r="D2861" s="54">
        <v>42.026000000000003</v>
      </c>
      <c r="E2861" s="54">
        <v>23996457</v>
      </c>
      <c r="F2861" s="54" t="s">
        <v>3679</v>
      </c>
      <c r="G2861" s="25">
        <f t="shared" si="43"/>
        <v>-7.9379431780327581E-3</v>
      </c>
    </row>
    <row r="2862" spans="1:7">
      <c r="A2862" s="54">
        <v>42.043100000000003</v>
      </c>
      <c r="B2862" s="54">
        <v>42.251399999999997</v>
      </c>
      <c r="C2862" s="54">
        <v>41.771099999999997</v>
      </c>
      <c r="D2862" s="54">
        <v>42.000599999999999</v>
      </c>
      <c r="E2862" s="54">
        <v>30318648</v>
      </c>
      <c r="F2862" s="54" t="s">
        <v>3680</v>
      </c>
      <c r="G2862" s="25">
        <f t="shared" si="43"/>
        <v>1.0118903063289775E-3</v>
      </c>
    </row>
    <row r="2863" spans="1:7">
      <c r="A2863" s="54">
        <v>42.145099999999999</v>
      </c>
      <c r="B2863" s="54">
        <v>42.540399999999998</v>
      </c>
      <c r="C2863" s="54">
        <v>41.983600000000003</v>
      </c>
      <c r="D2863" s="54">
        <v>42.281100000000002</v>
      </c>
      <c r="E2863" s="54">
        <v>29081657</v>
      </c>
      <c r="F2863" s="54" t="s">
        <v>3681</v>
      </c>
      <c r="G2863" s="25">
        <f t="shared" si="43"/>
        <v>-3.2165672132467016E-3</v>
      </c>
    </row>
    <row r="2864" spans="1:7">
      <c r="A2864" s="54">
        <v>42.1706</v>
      </c>
      <c r="B2864" s="54">
        <v>42.200400000000002</v>
      </c>
      <c r="C2864" s="54">
        <v>41.401299999999999</v>
      </c>
      <c r="D2864" s="54">
        <v>41.490600000000001</v>
      </c>
      <c r="E2864" s="54">
        <v>26210433</v>
      </c>
      <c r="F2864" s="54" t="s">
        <v>3682</v>
      </c>
      <c r="G2864" s="25">
        <f t="shared" si="43"/>
        <v>1.6389254433534228E-2</v>
      </c>
    </row>
    <row r="2865" spans="1:7">
      <c r="A2865" s="54">
        <v>41.4651</v>
      </c>
      <c r="B2865" s="54">
        <v>41.584099999999999</v>
      </c>
      <c r="C2865" s="54">
        <v>41.244100000000003</v>
      </c>
      <c r="D2865" s="54">
        <v>41.278100000000002</v>
      </c>
      <c r="E2865" s="54">
        <v>22722123</v>
      </c>
      <c r="F2865" s="54" t="s">
        <v>3683</v>
      </c>
      <c r="G2865" s="25">
        <f t="shared" si="43"/>
        <v>4.5302472739781052E-3</v>
      </c>
    </row>
    <row r="2866" spans="1:7">
      <c r="A2866" s="54">
        <v>41.541600000000003</v>
      </c>
      <c r="B2866" s="54">
        <v>41.592599999999997</v>
      </c>
      <c r="C2866" s="54">
        <v>41.350299999999997</v>
      </c>
      <c r="D2866" s="54">
        <v>41.5246</v>
      </c>
      <c r="E2866" s="54">
        <v>23445239</v>
      </c>
      <c r="F2866" s="54" t="s">
        <v>3684</v>
      </c>
      <c r="G2866" s="25">
        <f t="shared" si="43"/>
        <v>4.0939587617949691E-4</v>
      </c>
    </row>
    <row r="2867" spans="1:7">
      <c r="A2867" s="54">
        <v>41.558599999999998</v>
      </c>
      <c r="B2867" s="54">
        <v>41.779600000000002</v>
      </c>
      <c r="C2867" s="54">
        <v>41.269599999999997</v>
      </c>
      <c r="D2867" s="54">
        <v>41.354599999999998</v>
      </c>
      <c r="E2867" s="54">
        <v>36370067</v>
      </c>
      <c r="F2867" s="54" t="s">
        <v>3685</v>
      </c>
      <c r="G2867" s="25">
        <f t="shared" si="43"/>
        <v>4.9329457907947294E-3</v>
      </c>
    </row>
    <row r="2868" spans="1:7">
      <c r="A2868" s="54">
        <v>41.380099999999999</v>
      </c>
      <c r="B2868" s="54">
        <v>41.584099999999999</v>
      </c>
      <c r="C2868" s="54">
        <v>41.0486</v>
      </c>
      <c r="D2868" s="54">
        <v>41.584099999999999</v>
      </c>
      <c r="E2868" s="54">
        <v>28000598</v>
      </c>
      <c r="F2868" s="54" t="s">
        <v>3686</v>
      </c>
      <c r="G2868" s="25">
        <f t="shared" si="43"/>
        <v>-4.9057211770845432E-3</v>
      </c>
    </row>
    <row r="2869" spans="1:7">
      <c r="A2869" s="54">
        <v>41.397100000000002</v>
      </c>
      <c r="B2869" s="54">
        <v>41.533099999999997</v>
      </c>
      <c r="C2869" s="54">
        <v>40.6235</v>
      </c>
      <c r="D2869" s="54">
        <v>40.683</v>
      </c>
      <c r="E2869" s="54">
        <v>33037841</v>
      </c>
      <c r="F2869" s="54" t="s">
        <v>3687</v>
      </c>
      <c r="G2869" s="25">
        <f t="shared" si="43"/>
        <v>1.7552786176044055E-2</v>
      </c>
    </row>
    <row r="2870" spans="1:7">
      <c r="A2870" s="54">
        <v>40.683</v>
      </c>
      <c r="B2870" s="54">
        <v>40.716999999999999</v>
      </c>
      <c r="C2870" s="54">
        <v>40.173000000000002</v>
      </c>
      <c r="D2870" s="54">
        <v>40.631999999999998</v>
      </c>
      <c r="E2870" s="54">
        <v>22449594</v>
      </c>
      <c r="F2870" s="54" t="s">
        <v>3688</v>
      </c>
      <c r="G2870" s="25">
        <f t="shared" si="43"/>
        <v>1.2551683402244329E-3</v>
      </c>
    </row>
    <row r="2871" spans="1:7">
      <c r="A2871" s="54">
        <v>40.436500000000002</v>
      </c>
      <c r="B2871" s="54">
        <v>40.572499999999998</v>
      </c>
      <c r="C2871" s="54">
        <v>40.164499999999997</v>
      </c>
      <c r="D2871" s="54">
        <v>40.207900000000002</v>
      </c>
      <c r="E2871" s="54">
        <v>21530813</v>
      </c>
      <c r="F2871" s="54" t="s">
        <v>3689</v>
      </c>
      <c r="G2871" s="25">
        <f t="shared" si="43"/>
        <v>5.6854498742784365E-3</v>
      </c>
    </row>
    <row r="2872" spans="1:7">
      <c r="A2872" s="54">
        <v>40.326000000000001</v>
      </c>
      <c r="B2872" s="54">
        <v>40.343000000000004</v>
      </c>
      <c r="C2872" s="54">
        <v>39.722499999999997</v>
      </c>
      <c r="D2872" s="54">
        <v>39.858499999999999</v>
      </c>
      <c r="E2872" s="54">
        <v>23130397</v>
      </c>
      <c r="F2872" s="54" t="s">
        <v>3690</v>
      </c>
      <c r="G2872" s="25">
        <f t="shared" si="43"/>
        <v>1.1728991306747538E-2</v>
      </c>
    </row>
    <row r="2873" spans="1:7">
      <c r="A2873" s="54">
        <v>39.909500000000001</v>
      </c>
      <c r="B2873" s="54">
        <v>39.926499999999997</v>
      </c>
      <c r="C2873" s="54">
        <v>39.51</v>
      </c>
      <c r="D2873" s="54">
        <v>39.901000000000003</v>
      </c>
      <c r="E2873" s="54">
        <v>35849656</v>
      </c>
      <c r="F2873" s="54" t="s">
        <v>3691</v>
      </c>
      <c r="G2873" s="25">
        <f t="shared" si="43"/>
        <v>2.1302724242500126E-4</v>
      </c>
    </row>
    <row r="2874" spans="1:7">
      <c r="A2874" s="54">
        <v>39.144500000000001</v>
      </c>
      <c r="B2874" s="54">
        <v>39.374000000000002</v>
      </c>
      <c r="C2874" s="54">
        <v>38.906399999999998</v>
      </c>
      <c r="D2874" s="54">
        <v>39.374000000000002</v>
      </c>
      <c r="E2874" s="54">
        <v>30073873</v>
      </c>
      <c r="F2874" s="54" t="s">
        <v>3692</v>
      </c>
      <c r="G2874" s="25">
        <f t="shared" si="43"/>
        <v>-5.8287194595418867E-3</v>
      </c>
    </row>
    <row r="2875" spans="1:7">
      <c r="A2875" s="54">
        <v>39.628999999999998</v>
      </c>
      <c r="B2875" s="54">
        <v>39.697000000000003</v>
      </c>
      <c r="C2875" s="54">
        <v>39.390999999999998</v>
      </c>
      <c r="D2875" s="54">
        <v>39.475999999999999</v>
      </c>
      <c r="E2875" s="54">
        <v>30283622</v>
      </c>
      <c r="F2875" s="54" t="s">
        <v>3693</v>
      </c>
      <c r="G2875" s="25">
        <f t="shared" si="43"/>
        <v>3.8757726213394239E-3</v>
      </c>
    </row>
    <row r="2876" spans="1:7">
      <c r="A2876" s="54">
        <v>39.518500000000003</v>
      </c>
      <c r="B2876" s="54">
        <v>39.527000000000001</v>
      </c>
      <c r="C2876" s="54">
        <v>38.906399999999998</v>
      </c>
      <c r="D2876" s="54">
        <v>38.982900000000001</v>
      </c>
      <c r="E2876" s="54">
        <v>29049750</v>
      </c>
      <c r="F2876" s="54" t="s">
        <v>3694</v>
      </c>
      <c r="G2876" s="25">
        <f t="shared" si="43"/>
        <v>1.3739357513166128E-2</v>
      </c>
    </row>
    <row r="2877" spans="1:7">
      <c r="A2877" s="54">
        <v>39.025399999999998</v>
      </c>
      <c r="B2877" s="54">
        <v>39.186999999999998</v>
      </c>
      <c r="C2877" s="54">
        <v>38.855400000000003</v>
      </c>
      <c r="D2877" s="54">
        <v>38.855400000000003</v>
      </c>
      <c r="E2877" s="54">
        <v>30371308</v>
      </c>
      <c r="F2877" s="54" t="s">
        <v>3695</v>
      </c>
      <c r="G2877" s="25">
        <f t="shared" si="43"/>
        <v>4.3751962404194877E-3</v>
      </c>
    </row>
    <row r="2878" spans="1:7">
      <c r="A2878" s="54">
        <v>38.268900000000002</v>
      </c>
      <c r="B2878" s="54">
        <v>38.630200000000002</v>
      </c>
      <c r="C2878" s="54">
        <v>37.852400000000003</v>
      </c>
      <c r="D2878" s="54">
        <v>37.928899999999999</v>
      </c>
      <c r="E2878" s="54">
        <v>45451869</v>
      </c>
      <c r="F2878" s="54" t="s">
        <v>3696</v>
      </c>
      <c r="G2878" s="25">
        <f t="shared" si="43"/>
        <v>8.9641408002869571E-3</v>
      </c>
    </row>
    <row r="2879" spans="1:7">
      <c r="A2879" s="54">
        <v>38.268900000000002</v>
      </c>
      <c r="B2879" s="54">
        <v>38.630200000000002</v>
      </c>
      <c r="C2879" s="54">
        <v>37.852400000000003</v>
      </c>
      <c r="D2879" s="54">
        <v>37.928899999999999</v>
      </c>
      <c r="E2879" s="54">
        <v>45451869</v>
      </c>
      <c r="F2879" s="54" t="s">
        <v>3697</v>
      </c>
      <c r="G2879" s="25">
        <f t="shared" si="43"/>
        <v>8.9641408002869571E-3</v>
      </c>
    </row>
    <row r="2880" spans="1:7">
      <c r="A2880" s="54">
        <v>37.724899999999998</v>
      </c>
      <c r="B2880" s="54">
        <v>38.311399999999999</v>
      </c>
      <c r="C2880" s="54">
        <v>37.5931</v>
      </c>
      <c r="D2880" s="54">
        <v>38.251899999999999</v>
      </c>
      <c r="E2880" s="54">
        <v>33579817</v>
      </c>
      <c r="F2880" s="54" t="s">
        <v>3698</v>
      </c>
      <c r="G2880" s="25">
        <f t="shared" si="43"/>
        <v>-1.3777093425424658E-2</v>
      </c>
    </row>
    <row r="2881" spans="1:7">
      <c r="A2881" s="54">
        <v>38.149900000000002</v>
      </c>
      <c r="B2881" s="54">
        <v>38.230699999999999</v>
      </c>
      <c r="C2881" s="54">
        <v>37.563400000000001</v>
      </c>
      <c r="D2881" s="54">
        <v>37.707900000000002</v>
      </c>
      <c r="E2881" s="54">
        <v>36433824</v>
      </c>
      <c r="F2881" s="54" t="s">
        <v>3699</v>
      </c>
      <c r="G2881" s="25">
        <f t="shared" si="43"/>
        <v>1.1721681663524164E-2</v>
      </c>
    </row>
    <row r="2882" spans="1:7">
      <c r="A2882" s="54">
        <v>37.469900000000003</v>
      </c>
      <c r="B2882" s="54">
        <v>37.520899999999997</v>
      </c>
      <c r="C2882" s="54">
        <v>36.390300000000003</v>
      </c>
      <c r="D2882" s="54">
        <v>36.602800000000002</v>
      </c>
      <c r="E2882" s="54">
        <v>34530887</v>
      </c>
      <c r="F2882" s="54" t="s">
        <v>3700</v>
      </c>
      <c r="G2882" s="25">
        <f t="shared" si="43"/>
        <v>2.368944452336974E-2</v>
      </c>
    </row>
    <row r="2883" spans="1:7">
      <c r="A2883" s="54">
        <v>37.087400000000002</v>
      </c>
      <c r="B2883" s="54">
        <v>37.346600000000002</v>
      </c>
      <c r="C2883" s="54">
        <v>36.3733</v>
      </c>
      <c r="D2883" s="54">
        <v>36.721800000000002</v>
      </c>
      <c r="E2883" s="54">
        <v>40683346</v>
      </c>
      <c r="F2883" s="54" t="s">
        <v>3701</v>
      </c>
      <c r="G2883" s="25">
        <f t="shared" si="43"/>
        <v>9.9559389790260244E-3</v>
      </c>
    </row>
    <row r="2884" spans="1:7">
      <c r="A2884" s="54">
        <v>36.330800000000004</v>
      </c>
      <c r="B2884" s="54">
        <v>36.619799999999998</v>
      </c>
      <c r="C2884" s="54">
        <v>35.888800000000003</v>
      </c>
      <c r="D2884" s="54">
        <v>36.152299999999997</v>
      </c>
      <c r="E2884" s="54">
        <v>49040989</v>
      </c>
      <c r="F2884" s="54" t="s">
        <v>3702</v>
      </c>
      <c r="G2884" s="25">
        <f t="shared" si="43"/>
        <v>4.9374451971244682E-3</v>
      </c>
    </row>
    <row r="2885" spans="1:7">
      <c r="A2885" s="54">
        <v>36.738799999999998</v>
      </c>
      <c r="B2885" s="54">
        <v>36.883299999999998</v>
      </c>
      <c r="C2885" s="54">
        <v>35.786799999999999</v>
      </c>
      <c r="D2885" s="54">
        <v>36.5518</v>
      </c>
      <c r="E2885" s="54">
        <v>60220961</v>
      </c>
      <c r="F2885" s="54" t="s">
        <v>3703</v>
      </c>
      <c r="G2885" s="25">
        <f t="shared" si="43"/>
        <v>5.1160271176795558E-3</v>
      </c>
    </row>
    <row r="2886" spans="1:7">
      <c r="A2886" s="54">
        <v>37.172400000000003</v>
      </c>
      <c r="B2886" s="54">
        <v>37.724899999999998</v>
      </c>
      <c r="C2886" s="54">
        <v>37.027799999999999</v>
      </c>
      <c r="D2886" s="54">
        <v>37.291400000000003</v>
      </c>
      <c r="E2886" s="54">
        <v>38120558</v>
      </c>
      <c r="F2886" s="54" t="s">
        <v>3704</v>
      </c>
      <c r="G2886" s="25">
        <f t="shared" si="43"/>
        <v>-3.1910842714405474E-3</v>
      </c>
    </row>
    <row r="2887" spans="1:7">
      <c r="A2887" s="54">
        <v>37.104399999999998</v>
      </c>
      <c r="B2887" s="54">
        <v>37.877899999999997</v>
      </c>
      <c r="C2887" s="54">
        <v>36.968299999999999</v>
      </c>
      <c r="D2887" s="54">
        <v>37.248899999999999</v>
      </c>
      <c r="E2887" s="54">
        <v>37100207</v>
      </c>
      <c r="F2887" s="54" t="s">
        <v>3705</v>
      </c>
      <c r="G2887" s="25">
        <f t="shared" si="43"/>
        <v>-3.8793091876538899E-3</v>
      </c>
    </row>
    <row r="2888" spans="1:7">
      <c r="A2888" s="54">
        <v>37.427399999999999</v>
      </c>
      <c r="B2888" s="54">
        <v>39.204000000000001</v>
      </c>
      <c r="C2888" s="54">
        <v>37.359400000000001</v>
      </c>
      <c r="D2888" s="54">
        <v>38.761899999999997</v>
      </c>
      <c r="E2888" s="54">
        <v>51978146</v>
      </c>
      <c r="F2888" s="54" t="s">
        <v>3706</v>
      </c>
      <c r="G2888" s="25">
        <f t="shared" si="43"/>
        <v>-3.4428136907633466E-2</v>
      </c>
    </row>
    <row r="2889" spans="1:7">
      <c r="A2889" s="54">
        <v>38.974400000000003</v>
      </c>
      <c r="B2889" s="54">
        <v>39.781999999999996</v>
      </c>
      <c r="C2889" s="54">
        <v>38.880899999999997</v>
      </c>
      <c r="D2889" s="54">
        <v>39.527000000000001</v>
      </c>
      <c r="E2889" s="54">
        <v>34426595</v>
      </c>
      <c r="F2889" s="54" t="s">
        <v>3707</v>
      </c>
      <c r="G2889" s="25">
        <f t="shared" si="43"/>
        <v>-1.3980317251498953E-2</v>
      </c>
    </row>
    <row r="2890" spans="1:7">
      <c r="A2890" s="54">
        <v>39.765000000000001</v>
      </c>
      <c r="B2890" s="54">
        <v>39.858499999999999</v>
      </c>
      <c r="C2890" s="54">
        <v>38.540900000000001</v>
      </c>
      <c r="D2890" s="54">
        <v>38.6599</v>
      </c>
      <c r="E2890" s="54">
        <v>33030972</v>
      </c>
      <c r="F2890" s="54" t="s">
        <v>3708</v>
      </c>
      <c r="G2890" s="25">
        <f t="shared" si="43"/>
        <v>2.8585174819386605E-2</v>
      </c>
    </row>
    <row r="2891" spans="1:7">
      <c r="A2891" s="54">
        <v>38.702399999999997</v>
      </c>
      <c r="B2891" s="54">
        <v>39.042400000000001</v>
      </c>
      <c r="C2891" s="54">
        <v>38.608899999999998</v>
      </c>
      <c r="D2891" s="54">
        <v>38.982900000000001</v>
      </c>
      <c r="E2891" s="54">
        <v>25724544</v>
      </c>
      <c r="F2891" s="54" t="s">
        <v>3709</v>
      </c>
      <c r="G2891" s="25">
        <f t="shared" si="43"/>
        <v>-7.1954626259206345E-3</v>
      </c>
    </row>
    <row r="2892" spans="1:7">
      <c r="A2892" s="54">
        <v>39.1785</v>
      </c>
      <c r="B2892" s="54">
        <v>39.356999999999999</v>
      </c>
      <c r="C2892" s="54">
        <v>39.033900000000003</v>
      </c>
      <c r="D2892" s="54">
        <v>39.204000000000001</v>
      </c>
      <c r="E2892" s="54">
        <v>20603960</v>
      </c>
      <c r="F2892" s="54" t="s">
        <v>3710</v>
      </c>
      <c r="G2892" s="25">
        <f t="shared" si="43"/>
        <v>-6.5044383226209312E-4</v>
      </c>
    </row>
    <row r="2893" spans="1:7">
      <c r="A2893" s="54">
        <v>39.1785</v>
      </c>
      <c r="B2893" s="54">
        <v>39.356999999999999</v>
      </c>
      <c r="C2893" s="54">
        <v>38.770400000000002</v>
      </c>
      <c r="D2893" s="54">
        <v>39.085000000000001</v>
      </c>
      <c r="E2893" s="54">
        <v>32453273</v>
      </c>
      <c r="F2893" s="54" t="s">
        <v>3711</v>
      </c>
      <c r="G2893" s="25">
        <f t="shared" si="43"/>
        <v>2.3922220800818295E-3</v>
      </c>
    </row>
    <row r="2894" spans="1:7">
      <c r="A2894" s="54">
        <v>38.8979</v>
      </c>
      <c r="B2894" s="54">
        <v>39.186999999999998</v>
      </c>
      <c r="C2894" s="54">
        <v>38.795900000000003</v>
      </c>
      <c r="D2894" s="54">
        <v>38.9574</v>
      </c>
      <c r="E2894" s="54">
        <v>25119508</v>
      </c>
      <c r="F2894" s="54" t="s">
        <v>3712</v>
      </c>
      <c r="G2894" s="25">
        <f t="shared" si="43"/>
        <v>-1.5273093173568952E-3</v>
      </c>
    </row>
    <row r="2895" spans="1:7">
      <c r="A2895" s="54">
        <v>39.0169</v>
      </c>
      <c r="B2895" s="54">
        <v>39.552500000000002</v>
      </c>
      <c r="C2895" s="54">
        <v>38.970199999999998</v>
      </c>
      <c r="D2895" s="54">
        <v>39.331499999999998</v>
      </c>
      <c r="E2895" s="54">
        <v>38088355</v>
      </c>
      <c r="F2895" s="54" t="s">
        <v>3713</v>
      </c>
      <c r="G2895" s="25">
        <f t="shared" si="43"/>
        <v>-7.9986779044786127E-3</v>
      </c>
    </row>
    <row r="2896" spans="1:7">
      <c r="A2896" s="54">
        <v>39.408000000000001</v>
      </c>
      <c r="B2896" s="54">
        <v>39.506799999999998</v>
      </c>
      <c r="C2896" s="54">
        <v>39.110500000000002</v>
      </c>
      <c r="D2896" s="54">
        <v>39.416499999999999</v>
      </c>
      <c r="E2896" s="54">
        <v>33033086</v>
      </c>
      <c r="F2896" s="54" t="s">
        <v>3714</v>
      </c>
      <c r="G2896" s="25">
        <f t="shared" si="43"/>
        <v>-2.1564573211718674E-4</v>
      </c>
    </row>
    <row r="2897" spans="1:7">
      <c r="A2897" s="54">
        <v>39.475999999999999</v>
      </c>
      <c r="B2897" s="54">
        <v>39.578000000000003</v>
      </c>
      <c r="C2897" s="54">
        <v>38.8979</v>
      </c>
      <c r="D2897" s="54">
        <v>39.085000000000001</v>
      </c>
      <c r="E2897" s="54">
        <v>26090980</v>
      </c>
      <c r="F2897" s="54" t="s">
        <v>3715</v>
      </c>
      <c r="G2897" s="25">
        <f t="shared" si="43"/>
        <v>1.0003837789433145E-2</v>
      </c>
    </row>
    <row r="2898" spans="1:7">
      <c r="A2898" s="54">
        <v>39.450499999999998</v>
      </c>
      <c r="B2898" s="54">
        <v>39.628999999999998</v>
      </c>
      <c r="C2898" s="54">
        <v>38.8979</v>
      </c>
      <c r="D2898" s="54">
        <v>39.042400000000001</v>
      </c>
      <c r="E2898" s="54">
        <v>27078764</v>
      </c>
      <c r="F2898" s="54" t="s">
        <v>3716</v>
      </c>
      <c r="G2898" s="25">
        <f t="shared" si="43"/>
        <v>1.0452738561153918E-2</v>
      </c>
    </row>
    <row r="2899" spans="1:7">
      <c r="A2899" s="54">
        <v>39.136000000000003</v>
      </c>
      <c r="B2899" s="54">
        <v>40.028500000000001</v>
      </c>
      <c r="C2899" s="54">
        <v>39.127499999999998</v>
      </c>
      <c r="D2899" s="54">
        <v>39.85</v>
      </c>
      <c r="E2899" s="54">
        <v>33077385</v>
      </c>
      <c r="F2899" s="54" t="s">
        <v>3717</v>
      </c>
      <c r="G2899" s="25">
        <f t="shared" si="43"/>
        <v>-1.7917189460476712E-2</v>
      </c>
    </row>
    <row r="2900" spans="1:7">
      <c r="A2900" s="54">
        <v>40.020000000000003</v>
      </c>
      <c r="B2900" s="54">
        <v>40.045499999999997</v>
      </c>
      <c r="C2900" s="54">
        <v>39.390999999999998</v>
      </c>
      <c r="D2900" s="54">
        <v>39.637500000000003</v>
      </c>
      <c r="E2900" s="54">
        <v>26582713</v>
      </c>
      <c r="F2900" s="54" t="s">
        <v>3718</v>
      </c>
      <c r="G2900" s="25">
        <f t="shared" si="43"/>
        <v>9.6499526963103044E-3</v>
      </c>
    </row>
    <row r="2901" spans="1:7">
      <c r="A2901" s="54">
        <v>39.578000000000003</v>
      </c>
      <c r="B2901" s="54">
        <v>39.935000000000002</v>
      </c>
      <c r="C2901" s="54">
        <v>39.5015</v>
      </c>
      <c r="D2901" s="54">
        <v>39.8245</v>
      </c>
      <c r="E2901" s="54">
        <v>33431078</v>
      </c>
      <c r="F2901" s="54" t="s">
        <v>3719</v>
      </c>
      <c r="G2901" s="25">
        <f t="shared" si="43"/>
        <v>-6.1896571206166984E-3</v>
      </c>
    </row>
    <row r="2902" spans="1:7">
      <c r="A2902" s="54">
        <v>40.003</v>
      </c>
      <c r="B2902" s="54">
        <v>40.274999999999999</v>
      </c>
      <c r="C2902" s="54">
        <v>39.935000000000002</v>
      </c>
      <c r="D2902" s="54">
        <v>40.207000000000001</v>
      </c>
      <c r="E2902" s="54">
        <v>38686091</v>
      </c>
      <c r="F2902" s="54" t="s">
        <v>3720</v>
      </c>
      <c r="G2902" s="25">
        <f t="shared" si="43"/>
        <v>-5.0737433780188024E-3</v>
      </c>
    </row>
    <row r="2903" spans="1:7">
      <c r="A2903" s="54">
        <v>40.393999999999998</v>
      </c>
      <c r="B2903" s="54">
        <v>40.436500000000002</v>
      </c>
      <c r="C2903" s="54">
        <v>39.612000000000002</v>
      </c>
      <c r="D2903" s="54">
        <v>39.790500000000002</v>
      </c>
      <c r="E2903" s="54">
        <v>202526536</v>
      </c>
      <c r="F2903" s="54" t="s">
        <v>3721</v>
      </c>
      <c r="G2903" s="25">
        <f t="shared" si="43"/>
        <v>1.516693683165582E-2</v>
      </c>
    </row>
    <row r="2904" spans="1:7">
      <c r="A2904" s="54">
        <v>39.68</v>
      </c>
      <c r="B2904" s="54">
        <v>39.807499999999997</v>
      </c>
      <c r="C2904" s="54">
        <v>39.493000000000002</v>
      </c>
      <c r="D2904" s="54">
        <v>39.603499999999997</v>
      </c>
      <c r="E2904" s="54">
        <v>35556632</v>
      </c>
      <c r="F2904" s="54" t="s">
        <v>3722</v>
      </c>
      <c r="G2904" s="25">
        <f t="shared" ref="G2904:G2967" si="44">A2904/D2904-1</f>
        <v>1.9316474554016416E-3</v>
      </c>
    </row>
    <row r="2905" spans="1:7">
      <c r="A2905" s="54">
        <v>39.543999999999997</v>
      </c>
      <c r="B2905" s="54">
        <v>39.688499999999998</v>
      </c>
      <c r="C2905" s="54">
        <v>39.297499999999999</v>
      </c>
      <c r="D2905" s="54">
        <v>39.323</v>
      </c>
      <c r="E2905" s="54">
        <v>38311924</v>
      </c>
      <c r="F2905" s="54" t="s">
        <v>3723</v>
      </c>
      <c r="G2905" s="25">
        <f t="shared" si="44"/>
        <v>5.6201205401418264E-3</v>
      </c>
    </row>
    <row r="2906" spans="1:7">
      <c r="A2906" s="54">
        <v>39.747999999999998</v>
      </c>
      <c r="B2906" s="54">
        <v>39.8245</v>
      </c>
      <c r="C2906" s="54">
        <v>39.348500000000001</v>
      </c>
      <c r="D2906" s="54">
        <v>39.433500000000002</v>
      </c>
      <c r="E2906" s="54">
        <v>27910571</v>
      </c>
      <c r="F2906" s="54" t="s">
        <v>3724</v>
      </c>
      <c r="G2906" s="25">
        <f t="shared" si="44"/>
        <v>7.9754523438191338E-3</v>
      </c>
    </row>
    <row r="2907" spans="1:7">
      <c r="A2907" s="54">
        <v>39.305999999999997</v>
      </c>
      <c r="B2907" s="54">
        <v>39.705500000000001</v>
      </c>
      <c r="C2907" s="54">
        <v>39.186999999999998</v>
      </c>
      <c r="D2907" s="54">
        <v>39.561</v>
      </c>
      <c r="E2907" s="54">
        <v>37667644</v>
      </c>
      <c r="F2907" s="54" t="s">
        <v>3725</v>
      </c>
      <c r="G2907" s="25">
        <f t="shared" si="44"/>
        <v>-6.4457420186547765E-3</v>
      </c>
    </row>
    <row r="2908" spans="1:7">
      <c r="A2908" s="54">
        <v>39.692700000000002</v>
      </c>
      <c r="B2908" s="54">
        <v>39.969000000000001</v>
      </c>
      <c r="C2908" s="54">
        <v>39.612000000000002</v>
      </c>
      <c r="D2908" s="54">
        <v>39.875500000000002</v>
      </c>
      <c r="E2908" s="54">
        <v>38247122</v>
      </c>
      <c r="F2908" s="54" t="s">
        <v>3726</v>
      </c>
      <c r="G2908" s="25">
        <f t="shared" si="44"/>
        <v>-4.584268535817726E-3</v>
      </c>
    </row>
    <row r="2909" spans="1:7">
      <c r="A2909" s="54">
        <v>39.951999999999998</v>
      </c>
      <c r="B2909" s="54">
        <v>39.951999999999998</v>
      </c>
      <c r="C2909" s="54">
        <v>39.5015</v>
      </c>
      <c r="D2909" s="54">
        <v>39.731000000000002</v>
      </c>
      <c r="E2909" s="54">
        <v>29216560</v>
      </c>
      <c r="F2909" s="54" t="s">
        <v>3727</v>
      </c>
      <c r="G2909" s="25">
        <f t="shared" si="44"/>
        <v>5.562407188341556E-3</v>
      </c>
    </row>
    <row r="2910" spans="1:7">
      <c r="A2910" s="54">
        <v>39.816000000000003</v>
      </c>
      <c r="B2910" s="54">
        <v>39.901000000000003</v>
      </c>
      <c r="C2910" s="54">
        <v>39.340000000000003</v>
      </c>
      <c r="D2910" s="54">
        <v>39.799100000000003</v>
      </c>
      <c r="E2910" s="54">
        <v>27304409</v>
      </c>
      <c r="F2910" s="54" t="s">
        <v>3728</v>
      </c>
      <c r="G2910" s="25">
        <f t="shared" si="44"/>
        <v>4.2463271782522405E-4</v>
      </c>
    </row>
    <row r="2911" spans="1:7">
      <c r="A2911" s="54">
        <v>39.747999999999998</v>
      </c>
      <c r="B2911" s="54">
        <v>39.926499999999997</v>
      </c>
      <c r="C2911" s="54">
        <v>39.459000000000003</v>
      </c>
      <c r="D2911" s="54">
        <v>39.5015</v>
      </c>
      <c r="E2911" s="54">
        <v>40302386</v>
      </c>
      <c r="F2911" s="54" t="s">
        <v>3729</v>
      </c>
      <c r="G2911" s="25">
        <f t="shared" si="44"/>
        <v>6.2402693568597289E-3</v>
      </c>
    </row>
    <row r="2912" spans="1:7">
      <c r="A2912" s="54">
        <v>39.5015</v>
      </c>
      <c r="B2912" s="54">
        <v>39.781999999999996</v>
      </c>
      <c r="C2912" s="54">
        <v>39.093499999999999</v>
      </c>
      <c r="D2912" s="54">
        <v>39.119</v>
      </c>
      <c r="E2912" s="54">
        <v>45736730</v>
      </c>
      <c r="F2912" s="54" t="s">
        <v>3730</v>
      </c>
      <c r="G2912" s="25">
        <f t="shared" si="44"/>
        <v>9.7778573071909403E-3</v>
      </c>
    </row>
    <row r="2913" spans="1:7">
      <c r="A2913" s="54">
        <v>39.025399999999998</v>
      </c>
      <c r="B2913" s="54">
        <v>39.042400000000001</v>
      </c>
      <c r="C2913" s="54">
        <v>38.345399999999998</v>
      </c>
      <c r="D2913" s="54">
        <v>38.345399999999998</v>
      </c>
      <c r="E2913" s="54">
        <v>36939360</v>
      </c>
      <c r="F2913" s="54" t="s">
        <v>3731</v>
      </c>
      <c r="G2913" s="25">
        <f t="shared" si="44"/>
        <v>1.7733548222211848E-2</v>
      </c>
    </row>
    <row r="2914" spans="1:7">
      <c r="A2914" s="54">
        <v>38.472900000000003</v>
      </c>
      <c r="B2914" s="54">
        <v>38.481400000000001</v>
      </c>
      <c r="C2914" s="54">
        <v>38.0139</v>
      </c>
      <c r="D2914" s="54">
        <v>38.030900000000003</v>
      </c>
      <c r="E2914" s="54">
        <v>26478082</v>
      </c>
      <c r="F2914" s="54" t="s">
        <v>3732</v>
      </c>
      <c r="G2914" s="25">
        <f t="shared" si="44"/>
        <v>1.1622128321969738E-2</v>
      </c>
    </row>
    <row r="2915" spans="1:7">
      <c r="A2915" s="54">
        <v>38.2179</v>
      </c>
      <c r="B2915" s="54">
        <v>38.345399999999998</v>
      </c>
      <c r="C2915" s="54">
        <v>37.852400000000003</v>
      </c>
      <c r="D2915" s="54">
        <v>37.852400000000003</v>
      </c>
      <c r="E2915" s="54">
        <v>33689341</v>
      </c>
      <c r="F2915" s="54" t="s">
        <v>3733</v>
      </c>
      <c r="G2915" s="25">
        <f t="shared" si="44"/>
        <v>9.6559267047795494E-3</v>
      </c>
    </row>
    <row r="2916" spans="1:7">
      <c r="A2916" s="54">
        <v>38.328400000000002</v>
      </c>
      <c r="B2916" s="54">
        <v>38.642899999999997</v>
      </c>
      <c r="C2916" s="54">
        <v>38.124400000000001</v>
      </c>
      <c r="D2916" s="54">
        <v>38.617400000000004</v>
      </c>
      <c r="E2916" s="54">
        <v>22976775</v>
      </c>
      <c r="F2916" s="54" t="s">
        <v>3734</v>
      </c>
      <c r="G2916" s="25">
        <f t="shared" si="44"/>
        <v>-7.4836731628747932E-3</v>
      </c>
    </row>
    <row r="2917" spans="1:7">
      <c r="A2917" s="54">
        <v>38.617400000000004</v>
      </c>
      <c r="B2917" s="54">
        <v>38.642899999999997</v>
      </c>
      <c r="C2917" s="54">
        <v>38.124400000000001</v>
      </c>
      <c r="D2917" s="54">
        <v>38.617400000000004</v>
      </c>
      <c r="E2917" s="54">
        <v>21608625</v>
      </c>
      <c r="F2917" s="54" t="s">
        <v>3735</v>
      </c>
      <c r="G2917" s="25">
        <f t="shared" si="44"/>
        <v>0</v>
      </c>
    </row>
    <row r="2918" spans="1:7">
      <c r="A2918" s="54">
        <v>38.617400000000004</v>
      </c>
      <c r="B2918" s="54">
        <v>38.625900000000001</v>
      </c>
      <c r="C2918" s="54">
        <v>38.128700000000002</v>
      </c>
      <c r="D2918" s="54">
        <v>38.328400000000002</v>
      </c>
      <c r="E2918" s="54">
        <v>21608625</v>
      </c>
      <c r="F2918" s="54" t="s">
        <v>3736</v>
      </c>
      <c r="G2918" s="25">
        <f t="shared" si="44"/>
        <v>7.540100812974293E-3</v>
      </c>
    </row>
    <row r="2919" spans="1:7">
      <c r="A2919" s="54">
        <v>38.149900000000002</v>
      </c>
      <c r="B2919" s="54">
        <v>38.234900000000003</v>
      </c>
      <c r="C2919" s="54">
        <v>37.920400000000001</v>
      </c>
      <c r="D2919" s="54">
        <v>38.039400000000001</v>
      </c>
      <c r="E2919" s="54">
        <v>17657643</v>
      </c>
      <c r="F2919" s="54" t="s">
        <v>3737</v>
      </c>
      <c r="G2919" s="25">
        <f t="shared" si="44"/>
        <v>2.9048828320110687E-3</v>
      </c>
    </row>
    <row r="2920" spans="1:7">
      <c r="A2920" s="54">
        <v>38.141399999999997</v>
      </c>
      <c r="B2920" s="54">
        <v>38.251899999999999</v>
      </c>
      <c r="C2920" s="54">
        <v>38.047899999999998</v>
      </c>
      <c r="D2920" s="54">
        <v>38.166899999999998</v>
      </c>
      <c r="E2920" s="54">
        <v>21287931</v>
      </c>
      <c r="F2920" s="54" t="s">
        <v>3738</v>
      </c>
      <c r="G2920" s="25">
        <f t="shared" si="44"/>
        <v>-6.6811818617706908E-4</v>
      </c>
    </row>
    <row r="2921" spans="1:7">
      <c r="A2921" s="54">
        <v>38.2562</v>
      </c>
      <c r="B2921" s="54">
        <v>38.587699999999998</v>
      </c>
      <c r="C2921" s="54">
        <v>38.200899999999997</v>
      </c>
      <c r="D2921" s="54">
        <v>38.5154</v>
      </c>
      <c r="E2921" s="54">
        <v>14877669</v>
      </c>
      <c r="F2921" s="54" t="s">
        <v>3739</v>
      </c>
      <c r="G2921" s="25">
        <f t="shared" si="44"/>
        <v>-6.7297756222186589E-3</v>
      </c>
    </row>
    <row r="2922" spans="1:7">
      <c r="A2922" s="54">
        <v>38.3964</v>
      </c>
      <c r="B2922" s="54">
        <v>38.625900000000001</v>
      </c>
      <c r="C2922" s="54">
        <v>38.285899999999998</v>
      </c>
      <c r="D2922" s="54">
        <v>38.591900000000003</v>
      </c>
      <c r="E2922" s="54">
        <v>16909999</v>
      </c>
      <c r="F2922" s="54" t="s">
        <v>3740</v>
      </c>
      <c r="G2922" s="25">
        <f t="shared" si="44"/>
        <v>-5.0658298762176202E-3</v>
      </c>
    </row>
    <row r="2923" spans="1:7">
      <c r="A2923" s="54">
        <v>38.379399999999997</v>
      </c>
      <c r="B2923" s="54">
        <v>38.651400000000002</v>
      </c>
      <c r="C2923" s="54">
        <v>38.311399999999999</v>
      </c>
      <c r="D2923" s="54">
        <v>38.549399999999999</v>
      </c>
      <c r="E2923" s="54">
        <v>18294741</v>
      </c>
      <c r="F2923" s="54" t="s">
        <v>3741</v>
      </c>
      <c r="G2923" s="25">
        <f t="shared" si="44"/>
        <v>-4.4099259651253497E-3</v>
      </c>
    </row>
    <row r="2924" spans="1:7">
      <c r="A2924" s="54">
        <v>38.438899999999997</v>
      </c>
      <c r="B2924" s="54">
        <v>38.464399999999998</v>
      </c>
      <c r="C2924" s="54">
        <v>38.107399999999998</v>
      </c>
      <c r="D2924" s="54">
        <v>38.115900000000003</v>
      </c>
      <c r="E2924" s="54">
        <v>22285502</v>
      </c>
      <c r="F2924" s="54" t="s">
        <v>3742</v>
      </c>
      <c r="G2924" s="25">
        <f t="shared" si="44"/>
        <v>8.4741538308157338E-3</v>
      </c>
    </row>
    <row r="2925" spans="1:7">
      <c r="A2925" s="54">
        <v>38.438899999999997</v>
      </c>
      <c r="B2925" s="54">
        <v>38.464399999999998</v>
      </c>
      <c r="C2925" s="54">
        <v>38.107399999999998</v>
      </c>
      <c r="D2925" s="54">
        <v>38.115900000000003</v>
      </c>
      <c r="E2925" s="54">
        <v>22285502</v>
      </c>
      <c r="F2925" s="54" t="s">
        <v>3743</v>
      </c>
      <c r="G2925" s="25">
        <f t="shared" si="44"/>
        <v>8.4741538308157338E-3</v>
      </c>
    </row>
    <row r="2926" spans="1:7">
      <c r="A2926" s="54">
        <v>38.532400000000003</v>
      </c>
      <c r="B2926" s="54">
        <v>38.540900000000001</v>
      </c>
      <c r="C2926" s="54">
        <v>38.107399999999998</v>
      </c>
      <c r="D2926" s="54">
        <v>38.226399999999998</v>
      </c>
      <c r="E2926" s="54">
        <v>28139494</v>
      </c>
      <c r="F2926" s="54" t="s">
        <v>3744</v>
      </c>
      <c r="G2926" s="25">
        <f t="shared" si="44"/>
        <v>8.0049389950402894E-3</v>
      </c>
    </row>
    <row r="2927" spans="1:7">
      <c r="A2927" s="54">
        <v>38.294400000000003</v>
      </c>
      <c r="B2927" s="54">
        <v>38.302900000000001</v>
      </c>
      <c r="C2927" s="54">
        <v>37.872</v>
      </c>
      <c r="D2927" s="54">
        <v>37.990299999999998</v>
      </c>
      <c r="E2927" s="54">
        <v>28139494</v>
      </c>
      <c r="F2927" s="54" t="s">
        <v>3745</v>
      </c>
      <c r="G2927" s="25">
        <f t="shared" si="44"/>
        <v>8.0046748775346455E-3</v>
      </c>
    </row>
    <row r="2928" spans="1:7">
      <c r="A2928" s="54">
        <v>37.838200000000001</v>
      </c>
      <c r="B2928" s="54">
        <v>37.926900000000003</v>
      </c>
      <c r="C2928" s="54">
        <v>37.508800000000001</v>
      </c>
      <c r="D2928" s="54">
        <v>37.660800000000002</v>
      </c>
      <c r="E2928" s="54">
        <v>41611308</v>
      </c>
      <c r="F2928" s="54" t="s">
        <v>3746</v>
      </c>
      <c r="G2928" s="25">
        <f t="shared" si="44"/>
        <v>4.7104681791145797E-3</v>
      </c>
    </row>
    <row r="2929" spans="1:7">
      <c r="A2929" s="54">
        <v>37.398899999999998</v>
      </c>
      <c r="B2929" s="54">
        <v>37.523099999999999</v>
      </c>
      <c r="C2929" s="54">
        <v>37.179299999999998</v>
      </c>
      <c r="D2929" s="54">
        <v>37.238399999999999</v>
      </c>
      <c r="E2929" s="54">
        <v>19313194</v>
      </c>
      <c r="F2929" s="54" t="s">
        <v>3747</v>
      </c>
      <c r="G2929" s="25">
        <f t="shared" si="44"/>
        <v>4.3100670275844077E-3</v>
      </c>
    </row>
    <row r="2930" spans="1:7">
      <c r="A2930" s="54">
        <v>37.238399999999999</v>
      </c>
      <c r="B2930" s="54">
        <v>37.322899999999997</v>
      </c>
      <c r="C2930" s="54">
        <v>36.765300000000003</v>
      </c>
      <c r="D2930" s="54">
        <v>36.900500000000001</v>
      </c>
      <c r="E2930" s="54">
        <v>22889484</v>
      </c>
      <c r="F2930" s="54" t="s">
        <v>3748</v>
      </c>
      <c r="G2930" s="25">
        <f t="shared" si="44"/>
        <v>9.1570574924457748E-3</v>
      </c>
    </row>
    <row r="2931" spans="1:7">
      <c r="A2931" s="54">
        <v>36.765300000000003</v>
      </c>
      <c r="B2931" s="54">
        <v>36.8245</v>
      </c>
      <c r="C2931" s="54">
        <v>36.326000000000001</v>
      </c>
      <c r="D2931" s="54">
        <v>36.3598</v>
      </c>
      <c r="E2931" s="54">
        <v>21433589</v>
      </c>
      <c r="F2931" s="54" t="s">
        <v>3749</v>
      </c>
      <c r="G2931" s="25">
        <f t="shared" si="44"/>
        <v>1.1152426581004349E-2</v>
      </c>
    </row>
    <row r="2932" spans="1:7">
      <c r="A2932" s="54">
        <v>36.494999999999997</v>
      </c>
      <c r="B2932" s="54">
        <v>36.706200000000003</v>
      </c>
      <c r="C2932" s="54">
        <v>36.3429</v>
      </c>
      <c r="D2932" s="54">
        <v>36.545699999999997</v>
      </c>
      <c r="E2932" s="54">
        <v>20351600</v>
      </c>
      <c r="F2932" s="54" t="s">
        <v>3750</v>
      </c>
      <c r="G2932" s="25">
        <f t="shared" si="44"/>
        <v>-1.387304115121557E-3</v>
      </c>
    </row>
    <row r="2933" spans="1:7">
      <c r="A2933" s="54">
        <v>36.494999999999997</v>
      </c>
      <c r="B2933" s="54">
        <v>36.592199999999998</v>
      </c>
      <c r="C2933" s="54">
        <v>36.25</v>
      </c>
      <c r="D2933" s="54">
        <v>36.520299999999999</v>
      </c>
      <c r="E2933" s="54">
        <v>28943024</v>
      </c>
      <c r="F2933" s="54" t="s">
        <v>3751</v>
      </c>
      <c r="G2933" s="25">
        <f t="shared" si="44"/>
        <v>-6.9276539349349964E-4</v>
      </c>
    </row>
    <row r="2934" spans="1:7">
      <c r="A2934" s="54">
        <v>36.520299999999999</v>
      </c>
      <c r="B2934" s="54">
        <v>36.706200000000003</v>
      </c>
      <c r="C2934" s="54">
        <v>36.0304</v>
      </c>
      <c r="D2934" s="54">
        <v>36.190899999999999</v>
      </c>
      <c r="E2934" s="54">
        <v>30315183</v>
      </c>
      <c r="F2934" s="54" t="s">
        <v>3752</v>
      </c>
      <c r="G2934" s="25">
        <f t="shared" si="44"/>
        <v>9.1017355191498339E-3</v>
      </c>
    </row>
    <row r="2935" spans="1:7">
      <c r="A2935" s="54">
        <v>36.106400000000001</v>
      </c>
      <c r="B2935" s="54">
        <v>36.469700000000003</v>
      </c>
      <c r="C2935" s="54">
        <v>35.658700000000003</v>
      </c>
      <c r="D2935" s="54">
        <v>36.106400000000001</v>
      </c>
      <c r="E2935" s="54">
        <v>24633966</v>
      </c>
      <c r="F2935" s="54" t="s">
        <v>3753</v>
      </c>
      <c r="G2935" s="25">
        <f t="shared" si="44"/>
        <v>0</v>
      </c>
    </row>
    <row r="2936" spans="1:7">
      <c r="A2936" s="54">
        <v>36.393599999999999</v>
      </c>
      <c r="B2936" s="54">
        <v>36.714700000000001</v>
      </c>
      <c r="C2936" s="54">
        <v>36.182400000000001</v>
      </c>
      <c r="D2936" s="54">
        <v>36.587899999999998</v>
      </c>
      <c r="E2936" s="54">
        <v>26267500</v>
      </c>
      <c r="F2936" s="54" t="s">
        <v>3754</v>
      </c>
      <c r="G2936" s="25">
        <f t="shared" si="44"/>
        <v>-5.3104988261145625E-3</v>
      </c>
    </row>
    <row r="2937" spans="1:7">
      <c r="A2937" s="54">
        <v>36.638599999999997</v>
      </c>
      <c r="B2937" s="54">
        <v>36.723100000000002</v>
      </c>
      <c r="C2937" s="54">
        <v>36.165500000000002</v>
      </c>
      <c r="D2937" s="54">
        <v>36.300699999999999</v>
      </c>
      <c r="E2937" s="54">
        <v>34277387</v>
      </c>
      <c r="F2937" s="54" t="s">
        <v>3755</v>
      </c>
      <c r="G2937" s="25">
        <f t="shared" si="44"/>
        <v>9.3083604448398471E-3</v>
      </c>
    </row>
    <row r="2938" spans="1:7">
      <c r="A2938" s="54">
        <v>36.207799999999999</v>
      </c>
      <c r="B2938" s="54">
        <v>36.537199999999999</v>
      </c>
      <c r="C2938" s="54">
        <v>35.988100000000003</v>
      </c>
      <c r="D2938" s="54">
        <v>36.503500000000003</v>
      </c>
      <c r="E2938" s="54">
        <v>31171094</v>
      </c>
      <c r="F2938" s="54" t="s">
        <v>3756</v>
      </c>
      <c r="G2938" s="25">
        <f t="shared" si="44"/>
        <v>-8.1005930938130577E-3</v>
      </c>
    </row>
    <row r="2939" spans="1:7">
      <c r="A2939" s="54">
        <v>36.461199999999998</v>
      </c>
      <c r="B2939" s="54">
        <v>36.908999999999999</v>
      </c>
      <c r="C2939" s="54">
        <v>36.393599999999999</v>
      </c>
      <c r="D2939" s="54">
        <v>36.647100000000002</v>
      </c>
      <c r="E2939" s="54">
        <v>31540882</v>
      </c>
      <c r="F2939" s="54" t="s">
        <v>3757</v>
      </c>
      <c r="G2939" s="25">
        <f t="shared" si="44"/>
        <v>-5.0727069809072267E-3</v>
      </c>
    </row>
    <row r="2940" spans="1:7">
      <c r="A2940" s="54">
        <v>36.814799999999998</v>
      </c>
      <c r="B2940" s="54">
        <v>37.255299999999998</v>
      </c>
      <c r="C2940" s="54">
        <v>36.570999999999998</v>
      </c>
      <c r="D2940" s="54">
        <v>37.229999999999997</v>
      </c>
      <c r="E2940" s="54">
        <v>31925735</v>
      </c>
      <c r="F2940" s="54" t="s">
        <v>3758</v>
      </c>
      <c r="G2940" s="25">
        <f t="shared" si="44"/>
        <v>-1.1152296535052342E-2</v>
      </c>
    </row>
    <row r="2941" spans="1:7">
      <c r="A2941" s="54">
        <v>37.073700000000002</v>
      </c>
      <c r="B2941" s="54">
        <v>37.246899999999997</v>
      </c>
      <c r="C2941" s="54">
        <v>36.866700000000002</v>
      </c>
      <c r="D2941" s="54">
        <v>37.094799999999999</v>
      </c>
      <c r="E2941" s="54">
        <v>27764099</v>
      </c>
      <c r="F2941" s="54" t="s">
        <v>3759</v>
      </c>
      <c r="G2941" s="25">
        <f t="shared" si="44"/>
        <v>-5.6881287943311154E-4</v>
      </c>
    </row>
    <row r="2942" spans="1:7">
      <c r="A2942" s="54">
        <v>37.145499999999998</v>
      </c>
      <c r="B2942" s="54">
        <v>37.601700000000001</v>
      </c>
      <c r="C2942" s="54">
        <v>37.111699999999999</v>
      </c>
      <c r="D2942" s="54">
        <v>37.475000000000001</v>
      </c>
      <c r="E2942" s="54">
        <v>29687677</v>
      </c>
      <c r="F2942" s="54" t="s">
        <v>3760</v>
      </c>
      <c r="G2942" s="25">
        <f t="shared" si="44"/>
        <v>-8.7925283522348741E-3</v>
      </c>
    </row>
    <row r="2943" spans="1:7">
      <c r="A2943" s="54">
        <v>37.593200000000003</v>
      </c>
      <c r="B2943" s="54">
        <v>37.728400000000001</v>
      </c>
      <c r="C2943" s="54">
        <v>37.424300000000002</v>
      </c>
      <c r="D2943" s="54">
        <v>37.424300000000002</v>
      </c>
      <c r="E2943" s="54">
        <v>26737724</v>
      </c>
      <c r="F2943" s="54" t="s">
        <v>3761</v>
      </c>
      <c r="G2943" s="25">
        <f t="shared" si="44"/>
        <v>4.5131104656599419E-3</v>
      </c>
    </row>
    <row r="2944" spans="1:7">
      <c r="A2944" s="54">
        <v>37.508800000000001</v>
      </c>
      <c r="B2944" s="54">
        <v>38.015599999999999</v>
      </c>
      <c r="C2944" s="54">
        <v>37.441200000000002</v>
      </c>
      <c r="D2944" s="54">
        <v>37.956499999999998</v>
      </c>
      <c r="E2944" s="54">
        <v>30725348</v>
      </c>
      <c r="F2944" s="54" t="s">
        <v>3762</v>
      </c>
      <c r="G2944" s="25">
        <f t="shared" si="44"/>
        <v>-1.1795081211386615E-2</v>
      </c>
    </row>
    <row r="2945" spans="1:7">
      <c r="A2945" s="54">
        <v>37.905799999999999</v>
      </c>
      <c r="B2945" s="54">
        <v>38.395800000000001</v>
      </c>
      <c r="C2945" s="54">
        <v>37.694600000000001</v>
      </c>
      <c r="D2945" s="54">
        <v>38.395800000000001</v>
      </c>
      <c r="E2945" s="54">
        <v>52363948</v>
      </c>
      <c r="F2945" s="54" t="s">
        <v>3763</v>
      </c>
      <c r="G2945" s="25">
        <f t="shared" si="44"/>
        <v>-1.276181248990782E-2</v>
      </c>
    </row>
    <row r="2946" spans="1:7">
      <c r="A2946" s="54">
        <v>37.872</v>
      </c>
      <c r="B2946" s="54">
        <v>38.142299999999999</v>
      </c>
      <c r="C2946" s="54">
        <v>37.6693</v>
      </c>
      <c r="D2946" s="54">
        <v>38.015599999999999</v>
      </c>
      <c r="E2946" s="54">
        <v>43095820</v>
      </c>
      <c r="F2946" s="54" t="s">
        <v>3764</v>
      </c>
      <c r="G2946" s="25">
        <f t="shared" si="44"/>
        <v>-3.7773966476919441E-3</v>
      </c>
    </row>
    <row r="2947" spans="1:7">
      <c r="A2947" s="54">
        <v>37.876199999999997</v>
      </c>
      <c r="B2947" s="54">
        <v>38.150799999999997</v>
      </c>
      <c r="C2947" s="54">
        <v>37.356699999999996</v>
      </c>
      <c r="D2947" s="54">
        <v>37.643900000000002</v>
      </c>
      <c r="E2947" s="54">
        <v>37604378</v>
      </c>
      <c r="F2947" s="54" t="s">
        <v>3765</v>
      </c>
      <c r="G2947" s="25">
        <f t="shared" si="44"/>
        <v>6.1709865343386738E-3</v>
      </c>
    </row>
    <row r="2948" spans="1:7">
      <c r="A2948" s="54">
        <v>37.753700000000002</v>
      </c>
      <c r="B2948" s="54">
        <v>37.880499999999998</v>
      </c>
      <c r="C2948" s="54">
        <v>37.381999999999998</v>
      </c>
      <c r="D2948" s="54">
        <v>37.72</v>
      </c>
      <c r="E2948" s="54">
        <v>43407490</v>
      </c>
      <c r="F2948" s="54" t="s">
        <v>3766</v>
      </c>
      <c r="G2948" s="25">
        <f t="shared" si="44"/>
        <v>8.9342523860036493E-4</v>
      </c>
    </row>
    <row r="2949" spans="1:7">
      <c r="A2949" s="54">
        <v>37.618600000000001</v>
      </c>
      <c r="B2949" s="54">
        <v>38.615400000000001</v>
      </c>
      <c r="C2949" s="54">
        <v>37.381999999999998</v>
      </c>
      <c r="D2949" s="54">
        <v>38.395800000000001</v>
      </c>
      <c r="E2949" s="54">
        <v>82180263</v>
      </c>
      <c r="F2949" s="54" t="s">
        <v>3767</v>
      </c>
      <c r="G2949" s="25">
        <f t="shared" si="44"/>
        <v>-2.0241797279910823E-2</v>
      </c>
    </row>
    <row r="2950" spans="1:7">
      <c r="A2950" s="54">
        <v>37.238399999999999</v>
      </c>
      <c r="B2950" s="54">
        <v>37.432699999999997</v>
      </c>
      <c r="C2950" s="54">
        <v>35.886800000000001</v>
      </c>
      <c r="D2950" s="54">
        <v>35.912100000000002</v>
      </c>
      <c r="E2950" s="54">
        <v>63322372</v>
      </c>
      <c r="F2950" s="54" t="s">
        <v>3768</v>
      </c>
      <c r="G2950" s="25">
        <f t="shared" si="44"/>
        <v>3.6931841914006558E-2</v>
      </c>
    </row>
    <row r="2951" spans="1:7">
      <c r="A2951" s="54">
        <v>35.861400000000003</v>
      </c>
      <c r="B2951" s="54">
        <v>35.878300000000003</v>
      </c>
      <c r="C2951" s="54">
        <v>35.506599999999999</v>
      </c>
      <c r="D2951" s="54">
        <v>35.76</v>
      </c>
      <c r="E2951" s="54">
        <v>28758961</v>
      </c>
      <c r="F2951" s="54" t="s">
        <v>3769</v>
      </c>
      <c r="G2951" s="25">
        <f t="shared" si="44"/>
        <v>2.8355704697988759E-3</v>
      </c>
    </row>
    <row r="2952" spans="1:7">
      <c r="A2952" s="54">
        <v>35.599499999999999</v>
      </c>
      <c r="B2952" s="54">
        <v>35.861400000000003</v>
      </c>
      <c r="C2952" s="54">
        <v>35.515000000000001</v>
      </c>
      <c r="D2952" s="54">
        <v>35.667099999999998</v>
      </c>
      <c r="E2952" s="54">
        <v>21882943</v>
      </c>
      <c r="F2952" s="54" t="s">
        <v>3770</v>
      </c>
      <c r="G2952" s="25">
        <f t="shared" si="44"/>
        <v>-1.8953040757447859E-3</v>
      </c>
    </row>
    <row r="2953" spans="1:7">
      <c r="A2953" s="54">
        <v>35.557299999999998</v>
      </c>
      <c r="B2953" s="54">
        <v>35.557299999999998</v>
      </c>
      <c r="C2953" s="54">
        <v>35.042000000000002</v>
      </c>
      <c r="D2953" s="54">
        <v>35.3123</v>
      </c>
      <c r="E2953" s="54">
        <v>24087374</v>
      </c>
      <c r="F2953" s="54" t="s">
        <v>3771</v>
      </c>
      <c r="G2953" s="25">
        <f t="shared" si="44"/>
        <v>6.9380923927355731E-3</v>
      </c>
    </row>
    <row r="2954" spans="1:7">
      <c r="A2954" s="54">
        <v>35.2151</v>
      </c>
      <c r="B2954" s="54">
        <v>35.481299999999997</v>
      </c>
      <c r="C2954" s="54">
        <v>34.678699999999999</v>
      </c>
      <c r="D2954" s="54">
        <v>35.025100000000002</v>
      </c>
      <c r="E2954" s="54">
        <v>21856832</v>
      </c>
      <c r="F2954" s="54" t="s">
        <v>3772</v>
      </c>
      <c r="G2954" s="25">
        <f t="shared" si="44"/>
        <v>5.4246811572271625E-3</v>
      </c>
    </row>
    <row r="2955" spans="1:7">
      <c r="A2955" s="54">
        <v>35.202500000000001</v>
      </c>
      <c r="B2955" s="54">
        <v>35.472799999999999</v>
      </c>
      <c r="C2955" s="54">
        <v>35.084200000000003</v>
      </c>
      <c r="D2955" s="54">
        <v>35.405200000000001</v>
      </c>
      <c r="E2955" s="54">
        <v>18445910</v>
      </c>
      <c r="F2955" s="54" t="s">
        <v>3773</v>
      </c>
      <c r="G2955" s="25">
        <f t="shared" si="44"/>
        <v>-5.7251477184142585E-3</v>
      </c>
    </row>
    <row r="2956" spans="1:7">
      <c r="A2956" s="54">
        <v>35.295400000000001</v>
      </c>
      <c r="B2956" s="54">
        <v>35.481299999999997</v>
      </c>
      <c r="C2956" s="54">
        <v>35.151800000000001</v>
      </c>
      <c r="D2956" s="54">
        <v>35.3461</v>
      </c>
      <c r="E2956" s="54">
        <v>31218208</v>
      </c>
      <c r="F2956" s="54" t="s">
        <v>3774</v>
      </c>
      <c r="G2956" s="25">
        <f t="shared" si="44"/>
        <v>-1.4343873864443024E-3</v>
      </c>
    </row>
    <row r="2957" spans="1:7">
      <c r="A2957" s="54">
        <v>35.472799999999999</v>
      </c>
      <c r="B2957" s="54">
        <v>35.582599999999999</v>
      </c>
      <c r="C2957" s="54">
        <v>35.2363</v>
      </c>
      <c r="D2957" s="54">
        <v>35.2363</v>
      </c>
      <c r="E2957" s="54">
        <v>21953619</v>
      </c>
      <c r="F2957" s="54" t="s">
        <v>3775</v>
      </c>
      <c r="G2957" s="25">
        <f t="shared" si="44"/>
        <v>6.7118284269347406E-3</v>
      </c>
    </row>
    <row r="2958" spans="1:7">
      <c r="A2958" s="54">
        <v>35.3123</v>
      </c>
      <c r="B2958" s="54">
        <v>35.472799999999999</v>
      </c>
      <c r="C2958" s="54">
        <v>35.109499999999997</v>
      </c>
      <c r="D2958" s="54">
        <v>35.439</v>
      </c>
      <c r="E2958" s="54">
        <v>15969310</v>
      </c>
      <c r="F2958" s="54" t="s">
        <v>3776</v>
      </c>
      <c r="G2958" s="25">
        <f t="shared" si="44"/>
        <v>-3.5751573125651914E-3</v>
      </c>
    </row>
    <row r="2959" spans="1:7">
      <c r="A2959" s="54">
        <v>35.396799999999999</v>
      </c>
      <c r="B2959" s="54">
        <v>35.396799999999999</v>
      </c>
      <c r="C2959" s="54">
        <v>35.084200000000003</v>
      </c>
      <c r="D2959" s="54">
        <v>35.2532</v>
      </c>
      <c r="E2959" s="54">
        <v>20208526</v>
      </c>
      <c r="F2959" s="54" t="s">
        <v>3777</v>
      </c>
      <c r="G2959" s="25">
        <f t="shared" si="44"/>
        <v>4.0733890824096175E-3</v>
      </c>
    </row>
    <row r="2960" spans="1:7">
      <c r="A2960" s="54">
        <v>35.371400000000001</v>
      </c>
      <c r="B2960" s="54">
        <v>35.607999999999997</v>
      </c>
      <c r="C2960" s="54">
        <v>35.2194</v>
      </c>
      <c r="D2960" s="54">
        <v>35.371400000000001</v>
      </c>
      <c r="E2960" s="54">
        <v>26922597</v>
      </c>
      <c r="F2960" s="54" t="s">
        <v>3778</v>
      </c>
      <c r="G2960" s="25">
        <f t="shared" si="44"/>
        <v>0</v>
      </c>
    </row>
    <row r="2961" spans="1:7">
      <c r="A2961" s="54">
        <v>35.227800000000002</v>
      </c>
      <c r="B2961" s="54">
        <v>35.658700000000003</v>
      </c>
      <c r="C2961" s="54">
        <v>35.227800000000002</v>
      </c>
      <c r="D2961" s="54">
        <v>35.650199999999998</v>
      </c>
      <c r="E2961" s="54">
        <v>30805472</v>
      </c>
      <c r="F2961" s="54" t="s">
        <v>3779</v>
      </c>
      <c r="G2961" s="25">
        <f t="shared" si="44"/>
        <v>-1.1848460878199685E-2</v>
      </c>
    </row>
    <row r="2962" spans="1:7">
      <c r="A2962" s="54">
        <v>35.692500000000003</v>
      </c>
      <c r="B2962" s="54">
        <v>35.726199999999999</v>
      </c>
      <c r="C2962" s="54">
        <v>35.067300000000003</v>
      </c>
      <c r="D2962" s="54">
        <v>35.160200000000003</v>
      </c>
      <c r="E2962" s="54">
        <v>74641945</v>
      </c>
      <c r="F2962" s="54" t="s">
        <v>3780</v>
      </c>
      <c r="G2962" s="25">
        <f t="shared" si="44"/>
        <v>1.513927679592264E-2</v>
      </c>
    </row>
    <row r="2963" spans="1:7">
      <c r="A2963" s="54">
        <v>35.244700000000002</v>
      </c>
      <c r="B2963" s="54">
        <v>35.430599999999998</v>
      </c>
      <c r="C2963" s="54">
        <v>34.999699999999997</v>
      </c>
      <c r="D2963" s="54">
        <v>35.413699999999999</v>
      </c>
      <c r="E2963" s="54">
        <v>23604409</v>
      </c>
      <c r="F2963" s="54" t="s">
        <v>3781</v>
      </c>
      <c r="G2963" s="25">
        <f t="shared" si="44"/>
        <v>-4.7721644448334155E-3</v>
      </c>
    </row>
    <row r="2964" spans="1:7">
      <c r="A2964" s="54">
        <v>35.506599999999999</v>
      </c>
      <c r="B2964" s="54">
        <v>35.523499999999999</v>
      </c>
      <c r="C2964" s="54">
        <v>35.025100000000002</v>
      </c>
      <c r="D2964" s="54">
        <v>35.210900000000002</v>
      </c>
      <c r="E2964" s="54">
        <v>20051576</v>
      </c>
      <c r="F2964" s="54" t="s">
        <v>3782</v>
      </c>
      <c r="G2964" s="25">
        <f t="shared" si="44"/>
        <v>8.3979676747825138E-3</v>
      </c>
    </row>
    <row r="2965" spans="1:7">
      <c r="A2965" s="54">
        <v>35.265799999999999</v>
      </c>
      <c r="B2965" s="54">
        <v>35.430599999999998</v>
      </c>
      <c r="C2965" s="54">
        <v>35.109499999999997</v>
      </c>
      <c r="D2965" s="54">
        <v>35.337600000000002</v>
      </c>
      <c r="E2965" s="54">
        <v>26518274</v>
      </c>
      <c r="F2965" s="54" t="s">
        <v>3783</v>
      </c>
      <c r="G2965" s="25">
        <f t="shared" si="44"/>
        <v>-2.0318301186272869E-3</v>
      </c>
    </row>
    <row r="2966" spans="1:7">
      <c r="A2966" s="54">
        <v>35.472799999999999</v>
      </c>
      <c r="B2966" s="54">
        <v>35.481299999999997</v>
      </c>
      <c r="C2966" s="54">
        <v>35.2194</v>
      </c>
      <c r="D2966" s="54">
        <v>35.2532</v>
      </c>
      <c r="E2966" s="54">
        <v>18743905</v>
      </c>
      <c r="F2966" s="54" t="s">
        <v>3784</v>
      </c>
      <c r="G2966" s="25">
        <f t="shared" si="44"/>
        <v>6.2292217444090969E-3</v>
      </c>
    </row>
    <row r="2967" spans="1:7">
      <c r="A2967" s="54">
        <v>35.210900000000002</v>
      </c>
      <c r="B2967" s="54">
        <v>35.337600000000002</v>
      </c>
      <c r="C2967" s="54">
        <v>34.957500000000003</v>
      </c>
      <c r="D2967" s="54">
        <v>35.042000000000002</v>
      </c>
      <c r="E2967" s="54">
        <v>47765407</v>
      </c>
      <c r="F2967" s="54" t="s">
        <v>3785</v>
      </c>
      <c r="G2967" s="25">
        <f t="shared" si="44"/>
        <v>4.819930369271086E-3</v>
      </c>
    </row>
    <row r="2968" spans="1:7">
      <c r="A2968" s="54">
        <v>35.067300000000003</v>
      </c>
      <c r="B2968" s="54">
        <v>35.286999999999999</v>
      </c>
      <c r="C2968" s="54">
        <v>34.915300000000002</v>
      </c>
      <c r="D2968" s="54">
        <v>35.168700000000001</v>
      </c>
      <c r="E2968" s="54">
        <v>19837767</v>
      </c>
      <c r="F2968" s="54" t="s">
        <v>3786</v>
      </c>
      <c r="G2968" s="25">
        <f t="shared" ref="G2968:G2982" si="45">A2968/D2968-1</f>
        <v>-2.883245613286789E-3</v>
      </c>
    </row>
    <row r="2969" spans="1:7">
      <c r="A2969" s="54">
        <v>35.185600000000001</v>
      </c>
      <c r="B2969" s="54">
        <v>35.261600000000001</v>
      </c>
      <c r="C2969" s="54">
        <v>34.788499999999999</v>
      </c>
      <c r="D2969" s="54">
        <v>35.143300000000004</v>
      </c>
      <c r="E2969" s="54">
        <v>27097228</v>
      </c>
      <c r="F2969" s="54" t="s">
        <v>3787</v>
      </c>
      <c r="G2969" s="25">
        <f t="shared" si="45"/>
        <v>1.2036433687216963E-3</v>
      </c>
    </row>
    <row r="2970" spans="1:7">
      <c r="A2970" s="54">
        <v>35.210900000000002</v>
      </c>
      <c r="B2970" s="54">
        <v>35.405200000000001</v>
      </c>
      <c r="C2970" s="54">
        <v>34.0747</v>
      </c>
      <c r="D2970" s="54">
        <v>34.881500000000003</v>
      </c>
      <c r="E2970" s="54">
        <v>22518630</v>
      </c>
      <c r="F2970" s="54" t="s">
        <v>3788</v>
      </c>
      <c r="G2970" s="25">
        <f t="shared" si="45"/>
        <v>9.443401229878301E-3</v>
      </c>
    </row>
    <row r="2971" spans="1:7">
      <c r="A2971" s="54">
        <v>35.058900000000001</v>
      </c>
      <c r="B2971" s="54">
        <v>35.151800000000001</v>
      </c>
      <c r="C2971" s="54">
        <v>34.670299999999997</v>
      </c>
      <c r="D2971" s="54">
        <v>34.678699999999999</v>
      </c>
      <c r="E2971" s="54">
        <v>24205297</v>
      </c>
      <c r="F2971" s="54" t="s">
        <v>3789</v>
      </c>
      <c r="G2971" s="25">
        <f t="shared" si="45"/>
        <v>1.0963502092062427E-2</v>
      </c>
    </row>
    <row r="2972" spans="1:7">
      <c r="A2972" s="54">
        <v>34.830800000000004</v>
      </c>
      <c r="B2972" s="54">
        <v>35.113799999999998</v>
      </c>
      <c r="C2972" s="54">
        <v>34.5182</v>
      </c>
      <c r="D2972" s="54">
        <v>34.670299999999997</v>
      </c>
      <c r="E2972" s="54">
        <v>26310697</v>
      </c>
      <c r="F2972" s="54" t="s">
        <v>3790</v>
      </c>
      <c r="G2972" s="25">
        <f t="shared" si="45"/>
        <v>4.6293225036992958E-3</v>
      </c>
    </row>
    <row r="2973" spans="1:7">
      <c r="A2973" s="54">
        <v>34.281599999999997</v>
      </c>
      <c r="B2973" s="54">
        <v>34.5351</v>
      </c>
      <c r="C2973" s="54">
        <v>34.036700000000003</v>
      </c>
      <c r="D2973" s="54">
        <v>34.475999999999999</v>
      </c>
      <c r="E2973" s="54">
        <v>29823030</v>
      </c>
      <c r="F2973" s="54" t="s">
        <v>3791</v>
      </c>
      <c r="G2973" s="25">
        <f t="shared" si="45"/>
        <v>-5.6387051862165638E-3</v>
      </c>
    </row>
    <row r="2974" spans="1:7">
      <c r="A2974" s="54">
        <v>34.5182</v>
      </c>
      <c r="B2974" s="54">
        <v>34.695599999999999</v>
      </c>
      <c r="C2974" s="54">
        <v>34.437899999999999</v>
      </c>
      <c r="D2974" s="54">
        <v>34.526600000000002</v>
      </c>
      <c r="E2974" s="54">
        <v>18039990</v>
      </c>
      <c r="F2974" s="54" t="s">
        <v>3792</v>
      </c>
      <c r="G2974" s="25">
        <f t="shared" si="45"/>
        <v>-2.4329068022921341E-4</v>
      </c>
    </row>
    <row r="2975" spans="1:7">
      <c r="A2975" s="54">
        <v>34.729399999999998</v>
      </c>
      <c r="B2975" s="54">
        <v>34.771599999999999</v>
      </c>
      <c r="C2975" s="54">
        <v>34.5182</v>
      </c>
      <c r="D2975" s="54">
        <v>34.594200000000001</v>
      </c>
      <c r="E2975" s="54">
        <v>15117689</v>
      </c>
      <c r="F2975" s="54" t="s">
        <v>3793</v>
      </c>
      <c r="G2975" s="25">
        <f t="shared" si="45"/>
        <v>3.9081695775591285E-3</v>
      </c>
    </row>
    <row r="2976" spans="1:7">
      <c r="A2976" s="54">
        <v>34.864600000000003</v>
      </c>
      <c r="B2976" s="54">
        <v>35.042000000000002</v>
      </c>
      <c r="C2976" s="54">
        <v>34.653399999999998</v>
      </c>
      <c r="D2976" s="54">
        <v>34.965899999999998</v>
      </c>
      <c r="E2976" s="54">
        <v>15019425</v>
      </c>
      <c r="F2976" s="54" t="s">
        <v>3794</v>
      </c>
      <c r="G2976" s="25">
        <f t="shared" si="45"/>
        <v>-2.8971083255399099E-3</v>
      </c>
    </row>
    <row r="2977" spans="1:7">
      <c r="A2977" s="54">
        <v>35.042000000000002</v>
      </c>
      <c r="B2977" s="54">
        <v>35.194000000000003</v>
      </c>
      <c r="C2977" s="54">
        <v>34.839199999999998</v>
      </c>
      <c r="D2977" s="54">
        <v>35.058900000000001</v>
      </c>
      <c r="E2977" s="54">
        <v>24060542</v>
      </c>
      <c r="F2977" s="54" t="s">
        <v>3795</v>
      </c>
      <c r="G2977" s="25">
        <f t="shared" si="45"/>
        <v>-4.8204592842326921E-4</v>
      </c>
    </row>
    <row r="2978" spans="1:7">
      <c r="A2978" s="54">
        <v>34.813899999999997</v>
      </c>
      <c r="B2978" s="54">
        <v>34.847700000000003</v>
      </c>
      <c r="C2978" s="54">
        <v>34.129600000000003</v>
      </c>
      <c r="D2978" s="54">
        <v>34.273200000000003</v>
      </c>
      <c r="E2978" s="54">
        <v>31865213</v>
      </c>
      <c r="F2978" s="54" t="s">
        <v>3796</v>
      </c>
      <c r="G2978" s="25">
        <f t="shared" si="45"/>
        <v>1.5776174970530743E-2</v>
      </c>
    </row>
    <row r="2979" spans="1:7">
      <c r="A2979" s="54">
        <v>34.061999999999998</v>
      </c>
      <c r="B2979" s="54">
        <v>34.104199999999999</v>
      </c>
      <c r="C2979" s="54">
        <v>33.673400000000001</v>
      </c>
      <c r="D2979" s="54">
        <v>33.977499999999999</v>
      </c>
      <c r="E2979" s="54">
        <v>23210341</v>
      </c>
      <c r="F2979" s="54" t="s">
        <v>3797</v>
      </c>
      <c r="G2979" s="25">
        <f t="shared" si="45"/>
        <v>2.4869398866895764E-3</v>
      </c>
    </row>
    <row r="2980" spans="1:7">
      <c r="A2980" s="54">
        <v>34.036700000000003</v>
      </c>
      <c r="B2980" s="54">
        <v>34.366100000000003</v>
      </c>
      <c r="C2980" s="54">
        <v>34.002899999999997</v>
      </c>
      <c r="D2980" s="54">
        <v>34.298499999999997</v>
      </c>
      <c r="E2980" s="54">
        <v>18071096</v>
      </c>
      <c r="F2980" s="54" t="s">
        <v>3798</v>
      </c>
      <c r="G2980" s="25">
        <f t="shared" si="45"/>
        <v>-7.6329868653146615E-3</v>
      </c>
    </row>
    <row r="2981" spans="1:7">
      <c r="A2981" s="54">
        <v>34.459099999999999</v>
      </c>
      <c r="B2981" s="54">
        <v>34.712499999999999</v>
      </c>
      <c r="C2981" s="54">
        <v>34.366100000000003</v>
      </c>
      <c r="D2981" s="54">
        <v>34.552</v>
      </c>
      <c r="E2981" s="54">
        <v>18504300</v>
      </c>
      <c r="F2981" s="54" t="s">
        <v>3799</v>
      </c>
      <c r="G2981" s="25">
        <f t="shared" si="45"/>
        <v>-2.6887010882148399E-3</v>
      </c>
    </row>
    <row r="2982" spans="1:7">
      <c r="A2982" s="54">
        <v>34.585799999999999</v>
      </c>
      <c r="B2982" s="54">
        <v>34.6111</v>
      </c>
      <c r="C2982" s="54">
        <v>34.002899999999997</v>
      </c>
      <c r="D2982" s="54">
        <v>34.180300000000003</v>
      </c>
      <c r="E2982" s="54">
        <v>34575579</v>
      </c>
      <c r="F2982" s="54" t="s">
        <v>3800</v>
      </c>
      <c r="G2982" s="25">
        <f t="shared" si="45"/>
        <v>1.1863558833597132E-2</v>
      </c>
    </row>
  </sheetData>
  <sortState xmlns:xlrd2="http://schemas.microsoft.com/office/spreadsheetml/2017/richdata2" ref="I246:I326">
    <sortCondition ref="I246"/>
  </sortState>
  <hyperlinks>
    <hyperlink ref="L105" r:id="rId1" xr:uid="{DDE3D4A7-4ADB-44FE-9DCC-1EB88EECD1AA}"/>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63948-7FD9-4D33-AAA7-BDE5D55568DA}">
  <dimension ref="A1"/>
  <sheetViews>
    <sheetView workbookViewId="0">
      <selection sqref="A1:XFD1048576"/>
    </sheetView>
  </sheetViews>
  <sheetFormatPr defaultRowHeight="14.25"/>
  <cols>
    <col min="1" max="1" width="3" style="1" customWidth="1"/>
    <col min="2" max="16384" width="9.140625" style="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4CD98-27A5-4735-89CE-C6BF6D329FC7}">
  <dimension ref="A1:H290"/>
  <sheetViews>
    <sheetView topLeftCell="A61" zoomScale="64" zoomScaleNormal="85" workbookViewId="0">
      <selection activeCell="K182" sqref="K182"/>
    </sheetView>
  </sheetViews>
  <sheetFormatPr defaultRowHeight="14.25"/>
  <cols>
    <col min="1" max="1" width="3.42578125" style="1" customWidth="1"/>
    <col min="2" max="2" width="31.85546875" style="1" customWidth="1"/>
    <col min="3" max="3" width="55" style="1" bestFit="1" customWidth="1"/>
    <col min="4" max="4" width="15.42578125" style="1" bestFit="1" customWidth="1"/>
    <col min="5" max="5" width="11.42578125" style="1" customWidth="1"/>
    <col min="6" max="6" width="30.7109375" style="1" bestFit="1" customWidth="1"/>
    <col min="7" max="7" width="30.7109375" style="1" customWidth="1"/>
    <col min="8" max="8" width="12" style="1" customWidth="1"/>
    <col min="9" max="12" width="9.140625" style="1"/>
    <col min="13" max="15" width="9.140625" style="1" customWidth="1"/>
    <col min="16" max="16384" width="9.140625" style="1"/>
  </cols>
  <sheetData>
    <row r="1" spans="1:8" ht="15">
      <c r="A1" s="2" t="s">
        <v>777</v>
      </c>
    </row>
    <row r="2" spans="1:8" ht="15" customHeight="1">
      <c r="B2" s="58" t="s">
        <v>774</v>
      </c>
      <c r="C2" s="58" t="s">
        <v>773</v>
      </c>
      <c r="D2" s="58" t="s">
        <v>772</v>
      </c>
      <c r="E2" s="58" t="s">
        <v>778</v>
      </c>
      <c r="F2" s="58" t="s">
        <v>779</v>
      </c>
      <c r="G2" s="59" t="s">
        <v>780</v>
      </c>
      <c r="H2" s="59" t="s">
        <v>781</v>
      </c>
    </row>
    <row r="3" spans="1:8" ht="15" customHeight="1">
      <c r="B3" s="1" t="s">
        <v>771</v>
      </c>
      <c r="C3" s="1" t="s">
        <v>770</v>
      </c>
      <c r="D3" s="1" t="s">
        <v>278</v>
      </c>
      <c r="E3" s="60" t="s">
        <v>4049</v>
      </c>
      <c r="F3" s="1" t="s">
        <v>782</v>
      </c>
      <c r="G3" s="1" t="s">
        <v>783</v>
      </c>
      <c r="H3" s="61">
        <v>31583</v>
      </c>
    </row>
    <row r="4" spans="1:8" ht="15" customHeight="1">
      <c r="B4" s="1" t="s">
        <v>769</v>
      </c>
      <c r="C4" s="1" t="s">
        <v>748</v>
      </c>
      <c r="D4" s="1" t="s">
        <v>278</v>
      </c>
      <c r="E4" s="60" t="s">
        <v>4050</v>
      </c>
      <c r="F4" s="1" t="s">
        <v>784</v>
      </c>
      <c r="G4" s="1" t="s">
        <v>785</v>
      </c>
      <c r="H4" s="61">
        <v>31988</v>
      </c>
    </row>
    <row r="5" spans="1:8" ht="15" customHeight="1">
      <c r="B5" s="1" t="s">
        <v>768</v>
      </c>
      <c r="C5" s="1" t="s">
        <v>298</v>
      </c>
      <c r="D5" s="1" t="s">
        <v>295</v>
      </c>
      <c r="E5" s="60" t="s">
        <v>274</v>
      </c>
      <c r="F5" s="1" t="s">
        <v>786</v>
      </c>
      <c r="G5" s="1" t="s">
        <v>787</v>
      </c>
      <c r="H5" s="61">
        <v>33328</v>
      </c>
    </row>
    <row r="6" spans="1:8" ht="15" customHeight="1">
      <c r="B6" s="1" t="s">
        <v>767</v>
      </c>
      <c r="C6" s="1" t="s">
        <v>766</v>
      </c>
      <c r="D6" s="1" t="s">
        <v>278</v>
      </c>
      <c r="E6" s="60" t="s">
        <v>4047</v>
      </c>
      <c r="F6" s="1" t="s">
        <v>788</v>
      </c>
      <c r="G6" s="1" t="s">
        <v>789</v>
      </c>
      <c r="H6" s="61">
        <v>33784</v>
      </c>
    </row>
    <row r="7" spans="1:8" ht="15" customHeight="1">
      <c r="B7" s="1" t="s">
        <v>765</v>
      </c>
      <c r="C7" s="1" t="s">
        <v>764</v>
      </c>
      <c r="D7" s="1" t="s">
        <v>295</v>
      </c>
      <c r="E7" s="60" t="s">
        <v>4048</v>
      </c>
      <c r="F7" s="1" t="s">
        <v>790</v>
      </c>
      <c r="G7" s="1" t="s">
        <v>791</v>
      </c>
      <c r="H7" s="61">
        <v>34393</v>
      </c>
    </row>
    <row r="8" spans="1:8" ht="15" customHeight="1">
      <c r="B8" s="1" t="s">
        <v>763</v>
      </c>
      <c r="C8" s="1" t="s">
        <v>298</v>
      </c>
      <c r="D8" s="1" t="s">
        <v>278</v>
      </c>
      <c r="E8" s="60" t="s">
        <v>274</v>
      </c>
      <c r="F8" s="1" t="s">
        <v>792</v>
      </c>
      <c r="G8" s="1" t="s">
        <v>793</v>
      </c>
      <c r="H8" s="61">
        <v>34604</v>
      </c>
    </row>
    <row r="9" spans="1:8" ht="15" customHeight="1">
      <c r="B9" s="1" t="s">
        <v>762</v>
      </c>
      <c r="C9" s="1" t="s">
        <v>298</v>
      </c>
      <c r="D9" s="1" t="s">
        <v>281</v>
      </c>
      <c r="E9" s="60" t="s">
        <v>274</v>
      </c>
      <c r="F9" s="1" t="s">
        <v>794</v>
      </c>
      <c r="G9" s="1" t="s">
        <v>795</v>
      </c>
      <c r="H9" s="61">
        <v>34639</v>
      </c>
    </row>
    <row r="10" spans="1:8" ht="15" customHeight="1">
      <c r="B10" s="1" t="s">
        <v>761</v>
      </c>
      <c r="C10" s="1" t="s">
        <v>298</v>
      </c>
      <c r="D10" s="1" t="s">
        <v>278</v>
      </c>
      <c r="E10" s="60" t="s">
        <v>274</v>
      </c>
      <c r="F10" s="1" t="s">
        <v>784</v>
      </c>
      <c r="G10" s="1" t="s">
        <v>796</v>
      </c>
      <c r="H10" s="61">
        <v>34653</v>
      </c>
    </row>
    <row r="11" spans="1:8" ht="15" customHeight="1">
      <c r="B11" s="1" t="s">
        <v>760</v>
      </c>
      <c r="C11" s="1" t="s">
        <v>759</v>
      </c>
      <c r="D11" s="1" t="s">
        <v>278</v>
      </c>
      <c r="E11" s="60" t="s">
        <v>274</v>
      </c>
      <c r="F11" s="1" t="s">
        <v>797</v>
      </c>
      <c r="G11" s="1" t="s">
        <v>798</v>
      </c>
      <c r="H11" s="61">
        <v>34753</v>
      </c>
    </row>
    <row r="12" spans="1:8" ht="15" customHeight="1">
      <c r="B12" s="1" t="s">
        <v>758</v>
      </c>
      <c r="C12" s="1" t="s">
        <v>757</v>
      </c>
      <c r="D12" s="1" t="s">
        <v>281</v>
      </c>
      <c r="E12" s="60" t="s">
        <v>274</v>
      </c>
      <c r="F12" s="1" t="s">
        <v>799</v>
      </c>
      <c r="G12" s="1" t="s">
        <v>800</v>
      </c>
      <c r="H12" s="61">
        <v>34890</v>
      </c>
    </row>
    <row r="13" spans="1:8" ht="15" customHeight="1">
      <c r="B13" s="1" t="s">
        <v>756</v>
      </c>
      <c r="C13" s="1" t="s">
        <v>298</v>
      </c>
      <c r="D13" s="1" t="s">
        <v>278</v>
      </c>
      <c r="E13" s="60" t="s">
        <v>274</v>
      </c>
      <c r="F13" s="1" t="s">
        <v>801</v>
      </c>
      <c r="G13" s="1" t="s">
        <v>802</v>
      </c>
      <c r="H13" s="61">
        <v>34989</v>
      </c>
    </row>
    <row r="14" spans="1:8" ht="15" customHeight="1">
      <c r="B14" s="1" t="s">
        <v>755</v>
      </c>
      <c r="C14" s="1" t="s">
        <v>748</v>
      </c>
      <c r="D14" s="1" t="s">
        <v>278</v>
      </c>
      <c r="E14" s="60" t="s">
        <v>274</v>
      </c>
      <c r="F14" s="1" t="s">
        <v>803</v>
      </c>
      <c r="G14" s="1" t="s">
        <v>804</v>
      </c>
      <c r="H14" s="61">
        <v>35009</v>
      </c>
    </row>
    <row r="15" spans="1:8" ht="15" customHeight="1">
      <c r="B15" s="1" t="s">
        <v>754</v>
      </c>
      <c r="C15" s="1" t="s">
        <v>738</v>
      </c>
      <c r="D15" s="1" t="s">
        <v>278</v>
      </c>
      <c r="E15" s="60" t="s">
        <v>274</v>
      </c>
      <c r="F15" s="1" t="s">
        <v>805</v>
      </c>
      <c r="G15" s="1" t="s">
        <v>806</v>
      </c>
      <c r="H15" s="61">
        <v>35045</v>
      </c>
    </row>
    <row r="16" spans="1:8" ht="15" customHeight="1">
      <c r="B16" s="1" t="s">
        <v>753</v>
      </c>
      <c r="C16" s="1" t="s">
        <v>298</v>
      </c>
      <c r="D16" s="1" t="s">
        <v>278</v>
      </c>
      <c r="E16" s="60" t="s">
        <v>4046</v>
      </c>
      <c r="F16" s="1" t="s">
        <v>807</v>
      </c>
      <c r="G16" s="1" t="s">
        <v>808</v>
      </c>
      <c r="H16" s="61">
        <v>35080</v>
      </c>
    </row>
    <row r="17" spans="2:8" ht="15" customHeight="1">
      <c r="B17" s="1" t="s">
        <v>811</v>
      </c>
      <c r="C17" s="1" t="s">
        <v>298</v>
      </c>
      <c r="D17" s="1" t="s">
        <v>318</v>
      </c>
      <c r="E17" s="60" t="s">
        <v>274</v>
      </c>
      <c r="F17" s="1" t="s">
        <v>809</v>
      </c>
      <c r="G17" s="1" t="s">
        <v>810</v>
      </c>
      <c r="H17" s="61">
        <v>35130</v>
      </c>
    </row>
    <row r="18" spans="2:8" ht="15" customHeight="1">
      <c r="B18" s="1" t="s">
        <v>752</v>
      </c>
      <c r="C18" s="1" t="s">
        <v>298</v>
      </c>
      <c r="D18" s="1" t="s">
        <v>278</v>
      </c>
      <c r="E18" s="60" t="s">
        <v>274</v>
      </c>
      <c r="F18" s="1" t="s">
        <v>794</v>
      </c>
      <c r="G18" s="1" t="s">
        <v>812</v>
      </c>
      <c r="H18" s="61">
        <v>35136</v>
      </c>
    </row>
    <row r="19" spans="2:8" ht="15" customHeight="1">
      <c r="B19" s="1" t="s">
        <v>751</v>
      </c>
      <c r="C19" s="1" t="s">
        <v>750</v>
      </c>
      <c r="D19" s="1" t="s">
        <v>278</v>
      </c>
      <c r="E19" s="60" t="s">
        <v>274</v>
      </c>
      <c r="F19" s="1" t="s">
        <v>813</v>
      </c>
      <c r="G19" s="1" t="s">
        <v>814</v>
      </c>
      <c r="H19" s="61">
        <v>35171</v>
      </c>
    </row>
    <row r="20" spans="2:8" ht="15" customHeight="1">
      <c r="B20" s="1" t="s">
        <v>749</v>
      </c>
      <c r="C20" s="1" t="s">
        <v>748</v>
      </c>
      <c r="D20" s="1" t="s">
        <v>278</v>
      </c>
      <c r="E20" s="60" t="s">
        <v>4045</v>
      </c>
      <c r="F20" s="1" t="s">
        <v>794</v>
      </c>
      <c r="G20" s="1" t="s">
        <v>815</v>
      </c>
      <c r="H20" s="61">
        <v>35178</v>
      </c>
    </row>
    <row r="21" spans="2:8" ht="15" customHeight="1">
      <c r="B21" s="1" t="s">
        <v>747</v>
      </c>
      <c r="C21" s="1" t="s">
        <v>298</v>
      </c>
      <c r="D21" s="1" t="s">
        <v>278</v>
      </c>
      <c r="E21" s="60" t="s">
        <v>4004</v>
      </c>
      <c r="F21" s="1" t="s">
        <v>816</v>
      </c>
      <c r="G21" s="1" t="s">
        <v>817</v>
      </c>
      <c r="H21" s="61">
        <v>35227</v>
      </c>
    </row>
    <row r="22" spans="2:8" ht="15" customHeight="1">
      <c r="B22" s="1" t="s">
        <v>746</v>
      </c>
      <c r="C22" s="1" t="s">
        <v>745</v>
      </c>
      <c r="D22" s="1" t="s">
        <v>278</v>
      </c>
      <c r="E22" s="60" t="s">
        <v>274</v>
      </c>
      <c r="F22" s="1" t="s">
        <v>818</v>
      </c>
      <c r="G22" s="1" t="s">
        <v>819</v>
      </c>
      <c r="H22" s="61">
        <v>35233</v>
      </c>
    </row>
    <row r="23" spans="2:8" ht="15" customHeight="1">
      <c r="B23" s="1" t="s">
        <v>821</v>
      </c>
      <c r="C23" s="1" t="s">
        <v>298</v>
      </c>
      <c r="D23" s="1" t="s">
        <v>295</v>
      </c>
      <c r="E23" s="60" t="s">
        <v>274</v>
      </c>
      <c r="F23" s="1" t="s">
        <v>820</v>
      </c>
      <c r="G23" s="1" t="s">
        <v>388</v>
      </c>
      <c r="H23" s="61">
        <v>35370</v>
      </c>
    </row>
    <row r="24" spans="2:8" ht="15" customHeight="1">
      <c r="B24" s="1" t="s">
        <v>744</v>
      </c>
      <c r="C24" s="1" t="s">
        <v>624</v>
      </c>
      <c r="D24" s="1" t="s">
        <v>278</v>
      </c>
      <c r="E24" s="60" t="s">
        <v>4032</v>
      </c>
      <c r="F24" s="1" t="s">
        <v>822</v>
      </c>
      <c r="G24" s="1" t="s">
        <v>823</v>
      </c>
      <c r="H24" s="61">
        <v>35464</v>
      </c>
    </row>
    <row r="25" spans="2:8" ht="15" customHeight="1">
      <c r="B25" s="1" t="s">
        <v>743</v>
      </c>
      <c r="C25" s="1" t="s">
        <v>624</v>
      </c>
      <c r="D25" s="1" t="s">
        <v>278</v>
      </c>
      <c r="E25" s="60" t="s">
        <v>274</v>
      </c>
      <c r="F25" s="1" t="s">
        <v>792</v>
      </c>
      <c r="G25" s="1" t="s">
        <v>824</v>
      </c>
      <c r="H25" s="61">
        <v>35492</v>
      </c>
    </row>
    <row r="26" spans="2:8" ht="15" customHeight="1">
      <c r="B26" s="1" t="s">
        <v>742</v>
      </c>
      <c r="C26" s="1" t="s">
        <v>687</v>
      </c>
      <c r="D26" s="1" t="s">
        <v>278</v>
      </c>
      <c r="E26" s="60" t="s">
        <v>4044</v>
      </c>
      <c r="F26" s="1" t="s">
        <v>825</v>
      </c>
      <c r="G26" s="1" t="s">
        <v>826</v>
      </c>
      <c r="H26" s="61">
        <v>35550</v>
      </c>
    </row>
    <row r="27" spans="2:8" ht="15" customHeight="1">
      <c r="B27" s="1" t="s">
        <v>741</v>
      </c>
      <c r="C27" s="1" t="s">
        <v>740</v>
      </c>
      <c r="D27" s="1" t="s">
        <v>278</v>
      </c>
      <c r="E27" s="60" t="s">
        <v>274</v>
      </c>
      <c r="F27" s="1" t="s">
        <v>794</v>
      </c>
      <c r="G27" s="1" t="s">
        <v>827</v>
      </c>
      <c r="H27" s="61">
        <v>35557</v>
      </c>
    </row>
    <row r="28" spans="2:8" ht="15" customHeight="1">
      <c r="B28" s="1" t="s">
        <v>739</v>
      </c>
      <c r="C28" s="1" t="s">
        <v>738</v>
      </c>
      <c r="D28" s="1" t="s">
        <v>278</v>
      </c>
      <c r="E28" s="60" t="s">
        <v>274</v>
      </c>
      <c r="F28" s="1" t="s">
        <v>784</v>
      </c>
      <c r="G28" s="1" t="s">
        <v>828</v>
      </c>
      <c r="H28" s="61">
        <v>35594</v>
      </c>
    </row>
    <row r="29" spans="2:8" ht="15" customHeight="1">
      <c r="B29" s="1" t="s">
        <v>737</v>
      </c>
      <c r="C29" s="1" t="s">
        <v>736</v>
      </c>
      <c r="D29" s="1" t="s">
        <v>295</v>
      </c>
      <c r="E29" s="60" t="s">
        <v>274</v>
      </c>
      <c r="F29" s="1" t="s">
        <v>794</v>
      </c>
      <c r="G29" s="1" t="s">
        <v>829</v>
      </c>
      <c r="H29" s="61">
        <v>35611</v>
      </c>
    </row>
    <row r="30" spans="2:8" ht="15" customHeight="1">
      <c r="B30" s="1" t="s">
        <v>735</v>
      </c>
      <c r="C30" s="1" t="s">
        <v>734</v>
      </c>
      <c r="D30" s="1" t="s">
        <v>278</v>
      </c>
      <c r="E30" s="60" t="s">
        <v>274</v>
      </c>
      <c r="F30" s="1" t="s">
        <v>830</v>
      </c>
      <c r="G30" s="1" t="s">
        <v>831</v>
      </c>
      <c r="H30" s="61">
        <v>35647</v>
      </c>
    </row>
    <row r="31" spans="2:8" ht="15" customHeight="1">
      <c r="B31" s="1" t="s">
        <v>733</v>
      </c>
      <c r="C31" s="1" t="s">
        <v>624</v>
      </c>
      <c r="D31" s="1" t="s">
        <v>278</v>
      </c>
      <c r="E31" s="60" t="s">
        <v>4017</v>
      </c>
      <c r="F31" s="1" t="s">
        <v>832</v>
      </c>
      <c r="G31" s="1" t="s">
        <v>833</v>
      </c>
      <c r="H31" s="61">
        <v>35795</v>
      </c>
    </row>
    <row r="32" spans="2:8" ht="15" customHeight="1">
      <c r="B32" s="1" t="s">
        <v>732</v>
      </c>
      <c r="C32" s="1" t="s">
        <v>731</v>
      </c>
      <c r="D32" s="1" t="s">
        <v>278</v>
      </c>
      <c r="E32" s="60" t="s">
        <v>274</v>
      </c>
      <c r="F32" s="1" t="s">
        <v>834</v>
      </c>
      <c r="G32" s="1" t="s">
        <v>835</v>
      </c>
      <c r="H32" s="61">
        <v>35849</v>
      </c>
    </row>
    <row r="33" spans="2:8" ht="15" customHeight="1">
      <c r="B33" s="1" t="s">
        <v>730</v>
      </c>
      <c r="C33" s="1" t="s">
        <v>729</v>
      </c>
      <c r="D33" s="1" t="s">
        <v>278</v>
      </c>
      <c r="E33" s="60" t="s">
        <v>4042</v>
      </c>
      <c r="F33" s="1" t="s">
        <v>836</v>
      </c>
      <c r="G33" s="1" t="s">
        <v>837</v>
      </c>
      <c r="H33" s="61">
        <v>35900</v>
      </c>
    </row>
    <row r="34" spans="2:8" ht="15" customHeight="1">
      <c r="B34" s="1" t="s">
        <v>728</v>
      </c>
      <c r="C34" s="1" t="s">
        <v>727</v>
      </c>
      <c r="D34" s="1" t="s">
        <v>278</v>
      </c>
      <c r="E34" s="60" t="s">
        <v>274</v>
      </c>
      <c r="F34" s="1" t="s">
        <v>838</v>
      </c>
      <c r="G34" s="1" t="s">
        <v>839</v>
      </c>
      <c r="H34" s="61">
        <v>35913</v>
      </c>
    </row>
    <row r="35" spans="2:8" ht="15" customHeight="1">
      <c r="B35" s="1" t="s">
        <v>726</v>
      </c>
      <c r="C35" s="1" t="s">
        <v>624</v>
      </c>
      <c r="D35" s="1" t="s">
        <v>278</v>
      </c>
      <c r="E35" s="60" t="s">
        <v>274</v>
      </c>
      <c r="F35" s="1" t="s">
        <v>792</v>
      </c>
      <c r="G35" s="1" t="s">
        <v>840</v>
      </c>
      <c r="H35" s="61">
        <v>36032</v>
      </c>
    </row>
    <row r="36" spans="2:8" ht="15" customHeight="1">
      <c r="B36" s="1" t="s">
        <v>725</v>
      </c>
      <c r="C36" s="1" t="s">
        <v>724</v>
      </c>
      <c r="D36" s="1" t="s">
        <v>278</v>
      </c>
      <c r="E36" s="60" t="s">
        <v>4043</v>
      </c>
      <c r="F36" s="1" t="s">
        <v>841</v>
      </c>
      <c r="G36" s="1" t="s">
        <v>842</v>
      </c>
      <c r="H36" s="61">
        <v>36105</v>
      </c>
    </row>
    <row r="37" spans="2:8" ht="15" customHeight="1">
      <c r="B37" s="1" t="s">
        <v>723</v>
      </c>
      <c r="C37" s="1" t="s">
        <v>276</v>
      </c>
      <c r="D37" s="1" t="s">
        <v>278</v>
      </c>
      <c r="E37" s="60" t="s">
        <v>274</v>
      </c>
      <c r="F37" s="1" t="s">
        <v>843</v>
      </c>
      <c r="G37" s="1" t="s">
        <v>844</v>
      </c>
      <c r="H37" s="61">
        <v>36171</v>
      </c>
    </row>
    <row r="38" spans="2:8" ht="15" customHeight="1">
      <c r="B38" s="1" t="s">
        <v>722</v>
      </c>
      <c r="C38" s="1" t="s">
        <v>721</v>
      </c>
      <c r="D38" s="1" t="s">
        <v>278</v>
      </c>
      <c r="E38" s="60" t="s">
        <v>274</v>
      </c>
      <c r="F38" s="1" t="s">
        <v>845</v>
      </c>
      <c r="G38" s="1" t="s">
        <v>846</v>
      </c>
      <c r="H38" s="61">
        <v>36223</v>
      </c>
    </row>
    <row r="39" spans="2:8" ht="15" customHeight="1">
      <c r="B39" s="1" t="s">
        <v>720</v>
      </c>
      <c r="C39" s="1" t="s">
        <v>298</v>
      </c>
      <c r="D39" s="1" t="s">
        <v>278</v>
      </c>
      <c r="E39" s="60" t="s">
        <v>274</v>
      </c>
      <c r="F39" s="1" t="s">
        <v>794</v>
      </c>
      <c r="G39" s="1" t="s">
        <v>812</v>
      </c>
      <c r="H39" s="61">
        <v>36245</v>
      </c>
    </row>
    <row r="40" spans="2:8" ht="15" customHeight="1">
      <c r="B40" s="1" t="s">
        <v>719</v>
      </c>
      <c r="C40" s="1" t="s">
        <v>276</v>
      </c>
      <c r="D40" s="1" t="s">
        <v>278</v>
      </c>
      <c r="E40" s="60" t="s">
        <v>274</v>
      </c>
      <c r="F40" s="1" t="s">
        <v>847</v>
      </c>
      <c r="G40" s="1" t="s">
        <v>848</v>
      </c>
      <c r="H40" s="61">
        <v>36269</v>
      </c>
    </row>
    <row r="41" spans="2:8" ht="15" customHeight="1">
      <c r="B41" s="1" t="s">
        <v>718</v>
      </c>
      <c r="C41" s="1" t="s">
        <v>717</v>
      </c>
      <c r="D41" s="1" t="s">
        <v>278</v>
      </c>
      <c r="E41" s="60" t="s">
        <v>274</v>
      </c>
      <c r="F41" s="1" t="s">
        <v>830</v>
      </c>
      <c r="G41" s="1" t="s">
        <v>849</v>
      </c>
      <c r="H41" s="61">
        <v>36277</v>
      </c>
    </row>
    <row r="42" spans="2:8" ht="15" customHeight="1">
      <c r="B42" s="1" t="s">
        <v>716</v>
      </c>
      <c r="C42" s="1" t="s">
        <v>687</v>
      </c>
      <c r="D42" s="1" t="s">
        <v>278</v>
      </c>
      <c r="E42" s="60" t="s">
        <v>274</v>
      </c>
      <c r="F42" s="1" t="s">
        <v>850</v>
      </c>
      <c r="G42" s="1" t="s">
        <v>851</v>
      </c>
      <c r="H42" s="61">
        <v>36280</v>
      </c>
    </row>
    <row r="43" spans="2:8" ht="15" customHeight="1">
      <c r="B43" s="1" t="s">
        <v>715</v>
      </c>
      <c r="C43" s="1" t="s">
        <v>714</v>
      </c>
      <c r="D43" s="1" t="s">
        <v>278</v>
      </c>
      <c r="E43" s="60" t="s">
        <v>274</v>
      </c>
      <c r="F43" s="1" t="s">
        <v>794</v>
      </c>
      <c r="G43" s="1" t="s">
        <v>852</v>
      </c>
      <c r="H43" s="61">
        <v>36318</v>
      </c>
    </row>
    <row r="44" spans="2:8" ht="15" customHeight="1">
      <c r="B44" s="1" t="s">
        <v>713</v>
      </c>
      <c r="C44" s="1" t="s">
        <v>624</v>
      </c>
      <c r="D44" s="1" t="s">
        <v>278</v>
      </c>
      <c r="E44" s="60" t="s">
        <v>274</v>
      </c>
      <c r="F44" s="1" t="s">
        <v>853</v>
      </c>
      <c r="G44" s="1" t="s">
        <v>854</v>
      </c>
      <c r="H44" s="61">
        <v>36326</v>
      </c>
    </row>
    <row r="45" spans="2:8" ht="15" customHeight="1">
      <c r="B45" s="1" t="s">
        <v>712</v>
      </c>
      <c r="C45" s="1" t="s">
        <v>711</v>
      </c>
      <c r="D45" s="1" t="s">
        <v>278</v>
      </c>
      <c r="E45" s="62" t="s">
        <v>4037</v>
      </c>
      <c r="F45" s="1" t="s">
        <v>792</v>
      </c>
      <c r="G45" s="1" t="s">
        <v>855</v>
      </c>
      <c r="H45" s="61">
        <v>36339</v>
      </c>
    </row>
    <row r="46" spans="2:8" ht="15" customHeight="1">
      <c r="B46" s="1" t="s">
        <v>710</v>
      </c>
      <c r="C46" s="1" t="s">
        <v>709</v>
      </c>
      <c r="D46" s="1" t="s">
        <v>404</v>
      </c>
      <c r="E46" s="60" t="s">
        <v>4038</v>
      </c>
      <c r="F46" s="1" t="s">
        <v>856</v>
      </c>
      <c r="G46" s="1" t="s">
        <v>857</v>
      </c>
      <c r="H46" s="61">
        <v>36342</v>
      </c>
    </row>
    <row r="47" spans="2:8" ht="15" customHeight="1">
      <c r="B47" s="1" t="s">
        <v>708</v>
      </c>
      <c r="C47" s="1" t="s">
        <v>707</v>
      </c>
      <c r="D47" s="1" t="s">
        <v>295</v>
      </c>
      <c r="E47" s="60" t="s">
        <v>274</v>
      </c>
      <c r="F47" s="1" t="s">
        <v>858</v>
      </c>
      <c r="G47" s="1" t="s">
        <v>859</v>
      </c>
      <c r="H47" s="61">
        <v>36348</v>
      </c>
    </row>
    <row r="48" spans="2:8" ht="15" customHeight="1">
      <c r="B48" s="1" t="s">
        <v>706</v>
      </c>
      <c r="C48" s="1" t="s">
        <v>646</v>
      </c>
      <c r="D48" s="1" t="s">
        <v>281</v>
      </c>
      <c r="E48" s="60" t="s">
        <v>274</v>
      </c>
      <c r="F48" s="1" t="s">
        <v>860</v>
      </c>
      <c r="G48" s="1" t="s">
        <v>861</v>
      </c>
      <c r="H48" s="61">
        <v>36362</v>
      </c>
    </row>
    <row r="49" spans="2:8" ht="15" customHeight="1">
      <c r="B49" s="1" t="s">
        <v>705</v>
      </c>
      <c r="C49" s="1" t="s">
        <v>704</v>
      </c>
      <c r="D49" s="1" t="s">
        <v>278</v>
      </c>
      <c r="E49" s="60" t="s">
        <v>274</v>
      </c>
      <c r="F49" s="1" t="s">
        <v>862</v>
      </c>
      <c r="G49" s="1" t="s">
        <v>863</v>
      </c>
      <c r="H49" s="61">
        <v>36422</v>
      </c>
    </row>
    <row r="50" spans="2:8" ht="15" customHeight="1">
      <c r="B50" s="1" t="s">
        <v>703</v>
      </c>
      <c r="C50" s="1" t="s">
        <v>298</v>
      </c>
      <c r="D50" s="1" t="s">
        <v>278</v>
      </c>
      <c r="E50" s="60" t="s">
        <v>274</v>
      </c>
      <c r="F50" s="1" t="s">
        <v>792</v>
      </c>
      <c r="G50" s="1" t="s">
        <v>864</v>
      </c>
      <c r="H50" s="61">
        <v>36462</v>
      </c>
    </row>
    <row r="51" spans="2:8" ht="15" customHeight="1">
      <c r="B51" s="1" t="s">
        <v>702</v>
      </c>
      <c r="C51" s="1" t="s">
        <v>701</v>
      </c>
      <c r="D51" s="1" t="s">
        <v>278</v>
      </c>
      <c r="E51" s="60" t="s">
        <v>4039</v>
      </c>
      <c r="F51" s="1" t="s">
        <v>784</v>
      </c>
      <c r="G51" s="1" t="s">
        <v>865</v>
      </c>
      <c r="H51" s="61">
        <v>36532</v>
      </c>
    </row>
    <row r="52" spans="2:8" ht="15" customHeight="1">
      <c r="B52" s="1" t="s">
        <v>700</v>
      </c>
      <c r="C52" s="1" t="s">
        <v>699</v>
      </c>
      <c r="D52" s="1" t="s">
        <v>289</v>
      </c>
      <c r="E52" s="60" t="s">
        <v>274</v>
      </c>
      <c r="F52" s="1" t="s">
        <v>866</v>
      </c>
      <c r="G52" s="1" t="s">
        <v>867</v>
      </c>
      <c r="H52" s="61">
        <v>36585</v>
      </c>
    </row>
    <row r="53" spans="2:8" ht="15" customHeight="1">
      <c r="B53" s="1" t="s">
        <v>698</v>
      </c>
      <c r="C53" s="1" t="s">
        <v>687</v>
      </c>
      <c r="D53" s="1" t="s">
        <v>278</v>
      </c>
      <c r="E53" s="60" t="s">
        <v>4040</v>
      </c>
      <c r="F53" s="1" t="s">
        <v>868</v>
      </c>
      <c r="G53" s="1" t="s">
        <v>869</v>
      </c>
      <c r="H53" s="61">
        <v>36602</v>
      </c>
    </row>
    <row r="54" spans="2:8" ht="15" customHeight="1">
      <c r="B54" s="1" t="s">
        <v>697</v>
      </c>
      <c r="C54" s="1" t="s">
        <v>696</v>
      </c>
      <c r="D54" s="1" t="s">
        <v>278</v>
      </c>
      <c r="E54" s="60" t="s">
        <v>4041</v>
      </c>
      <c r="F54" s="1" t="s">
        <v>870</v>
      </c>
      <c r="G54" s="1" t="s">
        <v>871</v>
      </c>
      <c r="H54" s="61">
        <v>36628</v>
      </c>
    </row>
    <row r="55" spans="2:8" ht="15" customHeight="1">
      <c r="B55" s="1" t="s">
        <v>695</v>
      </c>
      <c r="C55" s="1" t="s">
        <v>276</v>
      </c>
      <c r="D55" s="1" t="s">
        <v>278</v>
      </c>
      <c r="E55" s="60" t="s">
        <v>274</v>
      </c>
      <c r="F55" s="1" t="s">
        <v>872</v>
      </c>
      <c r="G55" s="1" t="s">
        <v>873</v>
      </c>
      <c r="H55" s="61">
        <v>36696</v>
      </c>
    </row>
    <row r="56" spans="2:8" ht="15" customHeight="1">
      <c r="B56" s="1" t="s">
        <v>694</v>
      </c>
      <c r="C56" s="1" t="s">
        <v>298</v>
      </c>
      <c r="D56" s="1" t="s">
        <v>278</v>
      </c>
      <c r="E56" s="60" t="s">
        <v>274</v>
      </c>
      <c r="F56" s="1" t="s">
        <v>874</v>
      </c>
      <c r="G56" s="1" t="s">
        <v>875</v>
      </c>
      <c r="H56" s="61">
        <v>36719</v>
      </c>
    </row>
    <row r="57" spans="2:8" ht="15" customHeight="1">
      <c r="B57" s="1" t="s">
        <v>693</v>
      </c>
      <c r="C57" s="1" t="s">
        <v>692</v>
      </c>
      <c r="D57" s="1" t="s">
        <v>278</v>
      </c>
      <c r="E57" s="60" t="s">
        <v>4028</v>
      </c>
      <c r="F57" s="1" t="s">
        <v>830</v>
      </c>
      <c r="G57" s="1" t="s">
        <v>876</v>
      </c>
      <c r="H57" s="61">
        <v>36782</v>
      </c>
    </row>
    <row r="58" spans="2:8" ht="15" customHeight="1">
      <c r="B58" s="1" t="s">
        <v>691</v>
      </c>
      <c r="C58" s="1" t="s">
        <v>690</v>
      </c>
      <c r="D58" s="1" t="s">
        <v>278</v>
      </c>
      <c r="E58" s="60" t="s">
        <v>274</v>
      </c>
      <c r="F58" s="1" t="s">
        <v>877</v>
      </c>
      <c r="G58" s="1" t="s">
        <v>878</v>
      </c>
      <c r="H58" s="61">
        <v>36796</v>
      </c>
    </row>
    <row r="59" spans="2:8" ht="15" customHeight="1">
      <c r="B59" s="1" t="s">
        <v>689</v>
      </c>
      <c r="C59" s="1" t="s">
        <v>276</v>
      </c>
      <c r="D59" s="1" t="s">
        <v>278</v>
      </c>
      <c r="E59" s="60" t="s">
        <v>274</v>
      </c>
      <c r="F59" s="1" t="s">
        <v>872</v>
      </c>
      <c r="G59" s="1" t="s">
        <v>879</v>
      </c>
      <c r="H59" s="61">
        <v>36865</v>
      </c>
    </row>
    <row r="60" spans="2:8" ht="15" customHeight="1">
      <c r="B60" s="1" t="s">
        <v>688</v>
      </c>
      <c r="C60" s="1" t="s">
        <v>687</v>
      </c>
      <c r="D60" s="1" t="s">
        <v>278</v>
      </c>
      <c r="E60" s="60" t="s">
        <v>4029</v>
      </c>
      <c r="F60" s="1" t="s">
        <v>880</v>
      </c>
      <c r="G60" s="1" t="s">
        <v>881</v>
      </c>
      <c r="H60" s="61">
        <v>36967</v>
      </c>
    </row>
    <row r="61" spans="2:8" ht="15" customHeight="1">
      <c r="B61" s="1" t="s">
        <v>686</v>
      </c>
      <c r="C61" s="1" t="s">
        <v>685</v>
      </c>
      <c r="D61" s="1" t="s">
        <v>278</v>
      </c>
      <c r="E61" s="60" t="s">
        <v>4030</v>
      </c>
      <c r="F61" s="1" t="s">
        <v>882</v>
      </c>
      <c r="G61" s="1" t="s">
        <v>883</v>
      </c>
      <c r="H61" s="61">
        <v>36986</v>
      </c>
    </row>
    <row r="62" spans="2:8" ht="15" customHeight="1">
      <c r="B62" s="1" t="s">
        <v>684</v>
      </c>
      <c r="C62" s="1" t="s">
        <v>298</v>
      </c>
      <c r="D62" s="1" t="s">
        <v>295</v>
      </c>
      <c r="E62" s="60" t="s">
        <v>274</v>
      </c>
      <c r="F62" s="1" t="s">
        <v>794</v>
      </c>
      <c r="G62" s="1" t="s">
        <v>884</v>
      </c>
      <c r="H62" s="61">
        <v>37013</v>
      </c>
    </row>
    <row r="63" spans="2:8" ht="15" customHeight="1">
      <c r="B63" s="1" t="s">
        <v>683</v>
      </c>
      <c r="C63" s="1" t="s">
        <v>276</v>
      </c>
      <c r="D63" s="1" t="s">
        <v>278</v>
      </c>
      <c r="E63" s="60" t="s">
        <v>4005</v>
      </c>
      <c r="F63" s="1" t="s">
        <v>872</v>
      </c>
      <c r="G63" s="1" t="s">
        <v>885</v>
      </c>
      <c r="H63" s="61">
        <v>37014</v>
      </c>
    </row>
    <row r="64" spans="2:8" ht="15" customHeight="1">
      <c r="B64" s="1" t="s">
        <v>682</v>
      </c>
      <c r="C64" s="1" t="s">
        <v>624</v>
      </c>
      <c r="D64" s="1" t="s">
        <v>295</v>
      </c>
      <c r="E64" s="60" t="s">
        <v>4031</v>
      </c>
      <c r="F64" s="1" t="s">
        <v>886</v>
      </c>
      <c r="G64" s="1" t="s">
        <v>887</v>
      </c>
      <c r="H64" s="61">
        <v>37042</v>
      </c>
    </row>
    <row r="65" spans="2:8" ht="15" customHeight="1">
      <c r="B65" s="1" t="s">
        <v>681</v>
      </c>
      <c r="C65" s="1" t="s">
        <v>298</v>
      </c>
      <c r="D65" s="1" t="s">
        <v>289</v>
      </c>
      <c r="E65" s="60" t="s">
        <v>4032</v>
      </c>
      <c r="F65" s="1" t="s">
        <v>792</v>
      </c>
      <c r="G65" s="1" t="s">
        <v>888</v>
      </c>
      <c r="H65" s="61">
        <v>37063</v>
      </c>
    </row>
    <row r="66" spans="2:8" ht="15" customHeight="1">
      <c r="B66" s="1" t="s">
        <v>680</v>
      </c>
      <c r="C66" s="1" t="s">
        <v>679</v>
      </c>
      <c r="D66" s="1" t="s">
        <v>278</v>
      </c>
      <c r="E66" s="60" t="s">
        <v>274</v>
      </c>
      <c r="F66" s="1" t="s">
        <v>889</v>
      </c>
      <c r="G66" s="1" t="s">
        <v>890</v>
      </c>
      <c r="H66" s="61">
        <v>37073</v>
      </c>
    </row>
    <row r="67" spans="2:8" ht="15" customHeight="1">
      <c r="B67" s="1" t="s">
        <v>678</v>
      </c>
      <c r="C67" s="1" t="s">
        <v>677</v>
      </c>
      <c r="D67" s="1" t="s">
        <v>278</v>
      </c>
      <c r="E67" s="60" t="s">
        <v>4033</v>
      </c>
      <c r="F67" s="1" t="s">
        <v>880</v>
      </c>
      <c r="G67" s="1" t="s">
        <v>891</v>
      </c>
      <c r="H67" s="61">
        <v>37326</v>
      </c>
    </row>
    <row r="68" spans="2:8" ht="15" customHeight="1">
      <c r="B68" s="1" t="s">
        <v>676</v>
      </c>
      <c r="C68" s="1" t="s">
        <v>298</v>
      </c>
      <c r="D68" s="1" t="s">
        <v>278</v>
      </c>
      <c r="E68" s="60" t="s">
        <v>274</v>
      </c>
      <c r="F68" s="1" t="s">
        <v>882</v>
      </c>
      <c r="G68" s="1" t="s">
        <v>892</v>
      </c>
      <c r="H68" s="61">
        <v>37398</v>
      </c>
    </row>
    <row r="69" spans="2:8" ht="15" customHeight="1">
      <c r="B69" s="1" t="s">
        <v>675</v>
      </c>
      <c r="C69" s="1" t="s">
        <v>674</v>
      </c>
      <c r="D69" s="1" t="s">
        <v>517</v>
      </c>
      <c r="E69" s="60" t="s">
        <v>4034</v>
      </c>
      <c r="F69" s="1" t="s">
        <v>882</v>
      </c>
      <c r="G69" s="1" t="s">
        <v>685</v>
      </c>
      <c r="H69" s="61">
        <v>37449</v>
      </c>
    </row>
    <row r="70" spans="2:8" ht="15" customHeight="1">
      <c r="B70" s="1" t="s">
        <v>673</v>
      </c>
      <c r="C70" s="1" t="s">
        <v>672</v>
      </c>
      <c r="D70" s="1" t="s">
        <v>278</v>
      </c>
      <c r="E70" s="60" t="s">
        <v>274</v>
      </c>
      <c r="F70" s="1" t="s">
        <v>893</v>
      </c>
      <c r="G70" s="1" t="s">
        <v>894</v>
      </c>
      <c r="H70" s="61">
        <v>37466</v>
      </c>
    </row>
    <row r="71" spans="2:8" ht="15" customHeight="1">
      <c r="B71" s="1" t="s">
        <v>671</v>
      </c>
      <c r="C71" s="1" t="s">
        <v>670</v>
      </c>
      <c r="D71" s="1" t="s">
        <v>278</v>
      </c>
      <c r="E71" s="60" t="s">
        <v>274</v>
      </c>
      <c r="F71" s="1" t="s">
        <v>858</v>
      </c>
      <c r="G71" s="1" t="s">
        <v>895</v>
      </c>
      <c r="H71" s="61">
        <v>37509</v>
      </c>
    </row>
    <row r="72" spans="2:8" ht="15" customHeight="1">
      <c r="B72" s="1" t="s">
        <v>669</v>
      </c>
      <c r="C72" s="1" t="s">
        <v>276</v>
      </c>
      <c r="D72" s="1" t="s">
        <v>281</v>
      </c>
      <c r="E72" s="60" t="s">
        <v>4035</v>
      </c>
      <c r="F72" s="1" t="s">
        <v>872</v>
      </c>
      <c r="G72" s="1" t="s">
        <v>896</v>
      </c>
      <c r="H72" s="61">
        <v>37523</v>
      </c>
    </row>
    <row r="73" spans="2:8" ht="15" customHeight="1">
      <c r="B73" s="1" t="s">
        <v>668</v>
      </c>
      <c r="C73" s="1" t="s">
        <v>667</v>
      </c>
      <c r="D73" s="1" t="s">
        <v>278</v>
      </c>
      <c r="E73" s="60" t="s">
        <v>4036</v>
      </c>
      <c r="F73" s="1" t="s">
        <v>897</v>
      </c>
      <c r="G73" s="1" t="s">
        <v>898</v>
      </c>
      <c r="H73" s="61">
        <v>37603</v>
      </c>
    </row>
    <row r="74" spans="2:8" ht="15" customHeight="1">
      <c r="B74" s="1" t="s">
        <v>666</v>
      </c>
      <c r="C74" s="1" t="s">
        <v>298</v>
      </c>
      <c r="D74" s="1" t="s">
        <v>278</v>
      </c>
      <c r="E74" s="60" t="s">
        <v>274</v>
      </c>
      <c r="F74" s="1" t="s">
        <v>899</v>
      </c>
      <c r="G74" s="1" t="s">
        <v>900</v>
      </c>
      <c r="H74" s="61">
        <v>37677</v>
      </c>
    </row>
    <row r="75" spans="2:8" ht="15" customHeight="1">
      <c r="B75" s="1" t="s">
        <v>665</v>
      </c>
      <c r="C75" s="1" t="s">
        <v>624</v>
      </c>
      <c r="D75" s="1" t="s">
        <v>304</v>
      </c>
      <c r="E75" s="60" t="s">
        <v>274</v>
      </c>
      <c r="F75" s="1" t="s">
        <v>901</v>
      </c>
      <c r="G75" s="1" t="s">
        <v>902</v>
      </c>
      <c r="H75" s="61">
        <v>37683</v>
      </c>
    </row>
    <row r="76" spans="2:8" ht="15" customHeight="1">
      <c r="B76" s="1" t="s">
        <v>664</v>
      </c>
      <c r="C76" s="1" t="s">
        <v>663</v>
      </c>
      <c r="D76" s="1" t="s">
        <v>278</v>
      </c>
      <c r="E76" s="60" t="s">
        <v>3987</v>
      </c>
      <c r="F76" s="1" t="s">
        <v>903</v>
      </c>
      <c r="G76" s="1" t="s">
        <v>904</v>
      </c>
      <c r="H76" s="61">
        <v>37741</v>
      </c>
    </row>
    <row r="77" spans="2:8" ht="15" customHeight="1">
      <c r="B77" s="1" t="s">
        <v>662</v>
      </c>
      <c r="C77" s="1" t="s">
        <v>574</v>
      </c>
      <c r="D77" s="1" t="s">
        <v>278</v>
      </c>
      <c r="E77" s="60" t="s">
        <v>274</v>
      </c>
      <c r="F77" s="1" t="s">
        <v>799</v>
      </c>
      <c r="G77" s="1" t="s">
        <v>905</v>
      </c>
      <c r="H77" s="61">
        <v>37768</v>
      </c>
    </row>
    <row r="78" spans="2:8" ht="15" customHeight="1">
      <c r="B78" s="1" t="s">
        <v>661</v>
      </c>
      <c r="C78" s="1" t="s">
        <v>660</v>
      </c>
      <c r="D78" s="1" t="s">
        <v>659</v>
      </c>
      <c r="E78" s="60" t="s">
        <v>274</v>
      </c>
      <c r="F78" s="1" t="s">
        <v>906</v>
      </c>
      <c r="G78" s="1" t="s">
        <v>907</v>
      </c>
      <c r="H78" s="61">
        <v>37782</v>
      </c>
    </row>
    <row r="79" spans="2:8" ht="15" customHeight="1">
      <c r="B79" s="1" t="s">
        <v>658</v>
      </c>
      <c r="C79" s="1" t="s">
        <v>657</v>
      </c>
      <c r="D79" s="1" t="s">
        <v>278</v>
      </c>
      <c r="E79" s="60" t="s">
        <v>274</v>
      </c>
      <c r="F79" s="1" t="s">
        <v>882</v>
      </c>
      <c r="G79" s="1" t="s">
        <v>908</v>
      </c>
      <c r="H79" s="61">
        <v>38431</v>
      </c>
    </row>
    <row r="80" spans="2:8" ht="15" customHeight="1">
      <c r="B80" s="1" t="s">
        <v>656</v>
      </c>
      <c r="C80" s="1" t="s">
        <v>655</v>
      </c>
      <c r="D80" s="1" t="s">
        <v>278</v>
      </c>
      <c r="E80" s="60" t="s">
        <v>274</v>
      </c>
      <c r="F80" s="1" t="s">
        <v>909</v>
      </c>
      <c r="G80" s="1" t="s">
        <v>910</v>
      </c>
      <c r="H80" s="61">
        <v>38099</v>
      </c>
    </row>
    <row r="81" spans="2:8" ht="15" customHeight="1">
      <c r="B81" s="1" t="s">
        <v>654</v>
      </c>
      <c r="C81" s="1" t="s">
        <v>653</v>
      </c>
      <c r="D81" s="1" t="s">
        <v>278</v>
      </c>
      <c r="E81" s="60" t="s">
        <v>274</v>
      </c>
      <c r="F81" s="1" t="s">
        <v>911</v>
      </c>
      <c r="G81" s="1" t="s">
        <v>912</v>
      </c>
      <c r="H81" s="61">
        <v>38103</v>
      </c>
    </row>
    <row r="82" spans="2:8" ht="15" customHeight="1">
      <c r="B82" s="1" t="s">
        <v>652</v>
      </c>
      <c r="C82" s="1" t="s">
        <v>651</v>
      </c>
      <c r="D82" s="1" t="s">
        <v>278</v>
      </c>
      <c r="E82" s="60" t="s">
        <v>274</v>
      </c>
      <c r="F82" s="1" t="s">
        <v>913</v>
      </c>
      <c r="G82" s="1" t="s">
        <v>914</v>
      </c>
      <c r="H82" s="61">
        <v>38184</v>
      </c>
    </row>
    <row r="83" spans="2:8" ht="15" customHeight="1">
      <c r="B83" s="1" t="s">
        <v>650</v>
      </c>
      <c r="C83" s="1" t="s">
        <v>649</v>
      </c>
      <c r="D83" s="1" t="s">
        <v>278</v>
      </c>
      <c r="E83" s="60" t="s">
        <v>274</v>
      </c>
      <c r="F83" s="1" t="s">
        <v>906</v>
      </c>
      <c r="G83" s="1" t="s">
        <v>915</v>
      </c>
      <c r="H83" s="61">
        <v>38337</v>
      </c>
    </row>
    <row r="84" spans="2:8" ht="15" customHeight="1">
      <c r="B84" s="1" t="s">
        <v>648</v>
      </c>
      <c r="C84" s="1" t="s">
        <v>298</v>
      </c>
      <c r="D84" s="1" t="s">
        <v>278</v>
      </c>
      <c r="E84" s="60" t="s">
        <v>274</v>
      </c>
      <c r="F84" s="1" t="s">
        <v>794</v>
      </c>
      <c r="G84" s="1" t="s">
        <v>916</v>
      </c>
      <c r="H84" s="61">
        <v>38413</v>
      </c>
    </row>
    <row r="85" spans="2:8" ht="15" customHeight="1">
      <c r="B85" s="1" t="s">
        <v>647</v>
      </c>
      <c r="C85" s="1" t="s">
        <v>646</v>
      </c>
      <c r="D85" s="1" t="s">
        <v>278</v>
      </c>
      <c r="E85" s="60" t="s">
        <v>4026</v>
      </c>
      <c r="F85" s="1" t="s">
        <v>838</v>
      </c>
      <c r="G85" s="1" t="s">
        <v>828</v>
      </c>
      <c r="H85" s="61">
        <v>38421</v>
      </c>
    </row>
    <row r="86" spans="2:8" ht="15" customHeight="1">
      <c r="B86" s="1" t="s">
        <v>645</v>
      </c>
      <c r="C86" s="1" t="s">
        <v>644</v>
      </c>
      <c r="D86" s="1" t="s">
        <v>278</v>
      </c>
      <c r="E86" s="60" t="s">
        <v>4027</v>
      </c>
      <c r="F86" s="1" t="s">
        <v>917</v>
      </c>
      <c r="G86" s="1" t="s">
        <v>918</v>
      </c>
      <c r="H86" s="61">
        <v>38483</v>
      </c>
    </row>
    <row r="87" spans="2:8" ht="15" customHeight="1">
      <c r="B87" s="1" t="s">
        <v>643</v>
      </c>
      <c r="C87" s="1" t="s">
        <v>642</v>
      </c>
      <c r="D87" s="1" t="s">
        <v>641</v>
      </c>
      <c r="E87" s="60" t="s">
        <v>4025</v>
      </c>
      <c r="F87" s="1" t="s">
        <v>919</v>
      </c>
      <c r="G87" s="1" t="s">
        <v>920</v>
      </c>
      <c r="H87" s="61">
        <v>38503</v>
      </c>
    </row>
    <row r="88" spans="2:8" ht="15" customHeight="1">
      <c r="B88" s="1" t="s">
        <v>640</v>
      </c>
      <c r="C88" s="1" t="s">
        <v>298</v>
      </c>
      <c r="D88" s="1" t="s">
        <v>278</v>
      </c>
      <c r="E88" s="60" t="s">
        <v>274</v>
      </c>
      <c r="F88" s="1" t="s">
        <v>921</v>
      </c>
      <c r="G88" s="1" t="s">
        <v>922</v>
      </c>
      <c r="H88" s="61">
        <v>38524</v>
      </c>
    </row>
    <row r="89" spans="2:8" ht="15" customHeight="1">
      <c r="B89" s="1" t="s">
        <v>639</v>
      </c>
      <c r="C89" s="1" t="s">
        <v>638</v>
      </c>
      <c r="D89" s="1" t="s">
        <v>278</v>
      </c>
      <c r="E89" s="60" t="s">
        <v>274</v>
      </c>
      <c r="F89" s="1" t="s">
        <v>923</v>
      </c>
      <c r="G89" s="1" t="s">
        <v>924</v>
      </c>
      <c r="H89" s="61">
        <v>38593</v>
      </c>
    </row>
    <row r="90" spans="2:8" ht="15" customHeight="1">
      <c r="B90" s="1" t="s">
        <v>637</v>
      </c>
      <c r="C90" s="1" t="s">
        <v>636</v>
      </c>
      <c r="D90" s="1" t="s">
        <v>278</v>
      </c>
      <c r="E90" s="60" t="s">
        <v>274</v>
      </c>
      <c r="F90" s="1" t="s">
        <v>925</v>
      </c>
      <c r="G90" s="1" t="s">
        <v>926</v>
      </c>
      <c r="H90" s="61">
        <v>38595</v>
      </c>
    </row>
    <row r="91" spans="2:8" ht="15" customHeight="1">
      <c r="B91" s="1" t="s">
        <v>635</v>
      </c>
      <c r="C91" s="1" t="s">
        <v>634</v>
      </c>
      <c r="D91" s="1" t="s">
        <v>278</v>
      </c>
      <c r="E91" s="60" t="s">
        <v>274</v>
      </c>
      <c r="F91" s="1" t="s">
        <v>858</v>
      </c>
      <c r="G91" s="1" t="s">
        <v>927</v>
      </c>
      <c r="H91" s="61">
        <v>38614</v>
      </c>
    </row>
    <row r="92" spans="2:8" ht="15" customHeight="1">
      <c r="B92" s="1" t="s">
        <v>633</v>
      </c>
      <c r="C92" s="1" t="s">
        <v>298</v>
      </c>
      <c r="D92" s="1" t="s">
        <v>498</v>
      </c>
      <c r="E92" s="60" t="s">
        <v>274</v>
      </c>
      <c r="F92" s="1" t="s">
        <v>830</v>
      </c>
      <c r="G92" s="1" t="s">
        <v>928</v>
      </c>
      <c r="H92" s="61">
        <v>38659</v>
      </c>
    </row>
    <row r="93" spans="2:8" ht="15" customHeight="1">
      <c r="B93" s="1" t="s">
        <v>632</v>
      </c>
      <c r="C93" s="1" t="s">
        <v>631</v>
      </c>
      <c r="D93" s="1" t="s">
        <v>304</v>
      </c>
      <c r="E93" s="60" t="s">
        <v>4024</v>
      </c>
      <c r="F93" s="1" t="s">
        <v>929</v>
      </c>
      <c r="G93" s="1" t="s">
        <v>930</v>
      </c>
      <c r="H93" s="61">
        <v>38673</v>
      </c>
    </row>
    <row r="94" spans="2:8" ht="15" customHeight="1">
      <c r="B94" s="1" t="s">
        <v>630</v>
      </c>
      <c r="C94" s="1" t="s">
        <v>298</v>
      </c>
      <c r="D94" s="1" t="s">
        <v>278</v>
      </c>
      <c r="E94" s="60" t="s">
        <v>274</v>
      </c>
      <c r="F94" s="1" t="s">
        <v>909</v>
      </c>
      <c r="G94" s="1" t="s">
        <v>910</v>
      </c>
      <c r="H94" s="61">
        <v>38736</v>
      </c>
    </row>
    <row r="95" spans="2:8" ht="15" customHeight="1">
      <c r="B95" s="1" t="s">
        <v>629</v>
      </c>
      <c r="C95" s="1" t="s">
        <v>628</v>
      </c>
      <c r="D95" s="1" t="s">
        <v>479</v>
      </c>
      <c r="E95" s="60" t="s">
        <v>4023</v>
      </c>
      <c r="F95" s="1" t="s">
        <v>931</v>
      </c>
      <c r="G95" s="1" t="s">
        <v>932</v>
      </c>
      <c r="H95" s="61">
        <v>38761</v>
      </c>
    </row>
    <row r="96" spans="2:8" ht="15" customHeight="1">
      <c r="B96" s="1" t="s">
        <v>627</v>
      </c>
      <c r="C96" s="1" t="s">
        <v>298</v>
      </c>
      <c r="D96" s="1" t="s">
        <v>278</v>
      </c>
      <c r="E96" s="60" t="s">
        <v>274</v>
      </c>
      <c r="F96" s="1" t="s">
        <v>933</v>
      </c>
      <c r="G96" s="1" t="s">
        <v>934</v>
      </c>
      <c r="H96" s="61">
        <v>38761</v>
      </c>
    </row>
    <row r="97" spans="2:8" ht="15" customHeight="1">
      <c r="B97" s="1" t="s">
        <v>626</v>
      </c>
      <c r="C97" s="1" t="s">
        <v>298</v>
      </c>
      <c r="D97" s="1" t="s">
        <v>278</v>
      </c>
      <c r="E97" s="60" t="s">
        <v>274</v>
      </c>
      <c r="F97" s="1" t="s">
        <v>935</v>
      </c>
      <c r="G97" s="1" t="s">
        <v>936</v>
      </c>
      <c r="H97" s="61">
        <v>38783</v>
      </c>
    </row>
    <row r="98" spans="2:8" ht="15" customHeight="1">
      <c r="B98" s="1" t="s">
        <v>625</v>
      </c>
      <c r="C98" s="1" t="s">
        <v>624</v>
      </c>
      <c r="D98" s="1" t="s">
        <v>278</v>
      </c>
      <c r="E98" s="60" t="s">
        <v>274</v>
      </c>
      <c r="F98" s="1" t="s">
        <v>937</v>
      </c>
      <c r="G98" s="1" t="s">
        <v>938</v>
      </c>
      <c r="H98" s="61">
        <v>38783</v>
      </c>
    </row>
    <row r="99" spans="2:8" ht="15" customHeight="1">
      <c r="B99" s="1" t="s">
        <v>623</v>
      </c>
      <c r="C99" s="1" t="s">
        <v>276</v>
      </c>
      <c r="D99" s="1" t="s">
        <v>281</v>
      </c>
      <c r="E99" s="60" t="s">
        <v>274</v>
      </c>
      <c r="F99" s="1" t="s">
        <v>872</v>
      </c>
      <c r="G99" s="1" t="s">
        <v>939</v>
      </c>
      <c r="H99" s="61">
        <v>38813</v>
      </c>
    </row>
    <row r="100" spans="2:8" ht="15" customHeight="1">
      <c r="B100" s="1" t="s">
        <v>622</v>
      </c>
      <c r="C100" s="1" t="s">
        <v>621</v>
      </c>
      <c r="D100" s="1" t="s">
        <v>295</v>
      </c>
      <c r="E100" s="60" t="s">
        <v>4022</v>
      </c>
      <c r="F100" s="1" t="s">
        <v>940</v>
      </c>
      <c r="G100" s="1" t="s">
        <v>941</v>
      </c>
      <c r="H100" s="61">
        <v>38833</v>
      </c>
    </row>
    <row r="101" spans="2:8" ht="15" customHeight="1">
      <c r="B101" s="1" t="s">
        <v>620</v>
      </c>
      <c r="C101" s="1" t="s">
        <v>619</v>
      </c>
      <c r="D101" s="1" t="s">
        <v>278</v>
      </c>
      <c r="E101" s="60" t="s">
        <v>274</v>
      </c>
      <c r="F101" s="1" t="s">
        <v>942</v>
      </c>
      <c r="G101" s="1" t="s">
        <v>943</v>
      </c>
      <c r="H101" s="61">
        <v>38841</v>
      </c>
    </row>
    <row r="102" spans="2:8" ht="15" customHeight="1">
      <c r="B102" s="1" t="s">
        <v>618</v>
      </c>
      <c r="C102" s="1" t="s">
        <v>617</v>
      </c>
      <c r="D102" s="1" t="s">
        <v>278</v>
      </c>
      <c r="E102" s="60" t="s">
        <v>274</v>
      </c>
      <c r="F102" s="1" t="s">
        <v>897</v>
      </c>
      <c r="G102" s="1" t="s">
        <v>944</v>
      </c>
      <c r="H102" s="61">
        <v>38841</v>
      </c>
    </row>
    <row r="103" spans="2:8" ht="15" customHeight="1">
      <c r="B103" s="1" t="s">
        <v>616</v>
      </c>
      <c r="C103" s="1" t="s">
        <v>615</v>
      </c>
      <c r="D103" s="1" t="s">
        <v>278</v>
      </c>
      <c r="E103" s="60" t="s">
        <v>274</v>
      </c>
      <c r="F103" s="1" t="s">
        <v>945</v>
      </c>
      <c r="G103" s="1" t="s">
        <v>946</v>
      </c>
      <c r="H103" s="61">
        <v>38852</v>
      </c>
    </row>
    <row r="104" spans="2:8" ht="15" customHeight="1">
      <c r="B104" s="1" t="s">
        <v>614</v>
      </c>
      <c r="C104" s="1" t="s">
        <v>613</v>
      </c>
      <c r="D104" s="1" t="s">
        <v>278</v>
      </c>
      <c r="E104" s="60" t="s">
        <v>274</v>
      </c>
      <c r="F104" s="1" t="s">
        <v>947</v>
      </c>
      <c r="G104" s="1" t="s">
        <v>912</v>
      </c>
      <c r="H104" s="61">
        <v>38874</v>
      </c>
    </row>
    <row r="105" spans="2:8" ht="15" customHeight="1">
      <c r="B105" s="1" t="s">
        <v>612</v>
      </c>
      <c r="C105" s="1" t="s">
        <v>611</v>
      </c>
      <c r="D105" s="1" t="s">
        <v>281</v>
      </c>
      <c r="E105" s="60" t="s">
        <v>274</v>
      </c>
      <c r="F105" s="1" t="s">
        <v>948</v>
      </c>
      <c r="G105" s="1" t="s">
        <v>949</v>
      </c>
      <c r="H105" s="61">
        <v>38895</v>
      </c>
    </row>
    <row r="106" spans="2:8" ht="15" customHeight="1">
      <c r="B106" s="1" t="s">
        <v>610</v>
      </c>
      <c r="C106" s="1" t="s">
        <v>609</v>
      </c>
      <c r="D106" s="1" t="s">
        <v>278</v>
      </c>
      <c r="E106" s="60" t="s">
        <v>274</v>
      </c>
      <c r="F106" s="1" t="s">
        <v>950</v>
      </c>
      <c r="G106" s="1" t="s">
        <v>951</v>
      </c>
      <c r="H106" s="61">
        <v>38915</v>
      </c>
    </row>
    <row r="107" spans="2:8" ht="15" customHeight="1">
      <c r="B107" s="1" t="s">
        <v>608</v>
      </c>
      <c r="C107" s="1" t="s">
        <v>298</v>
      </c>
      <c r="D107" s="1" t="s">
        <v>278</v>
      </c>
      <c r="E107" s="60" t="s">
        <v>274</v>
      </c>
      <c r="F107" s="1" t="s">
        <v>952</v>
      </c>
      <c r="G107" s="1" t="s">
        <v>953</v>
      </c>
      <c r="H107" s="61">
        <v>38916</v>
      </c>
    </row>
    <row r="108" spans="2:8" ht="15" customHeight="1">
      <c r="B108" s="1" t="s">
        <v>607</v>
      </c>
      <c r="C108" s="1" t="s">
        <v>604</v>
      </c>
      <c r="D108" s="1" t="s">
        <v>289</v>
      </c>
      <c r="E108" s="60" t="s">
        <v>274</v>
      </c>
      <c r="F108" s="1" t="s">
        <v>921</v>
      </c>
      <c r="G108" s="1" t="s">
        <v>954</v>
      </c>
      <c r="H108" s="61">
        <v>38924</v>
      </c>
    </row>
    <row r="109" spans="2:8" ht="15" customHeight="1">
      <c r="B109" s="1" t="s">
        <v>606</v>
      </c>
      <c r="C109" s="1" t="s">
        <v>604</v>
      </c>
      <c r="D109" s="1" t="s">
        <v>289</v>
      </c>
      <c r="E109" s="60" t="s">
        <v>274</v>
      </c>
      <c r="F109" s="1" t="s">
        <v>955</v>
      </c>
      <c r="G109" s="1" t="s">
        <v>956</v>
      </c>
      <c r="H109" s="61">
        <v>38986</v>
      </c>
    </row>
    <row r="110" spans="2:8" ht="15" customHeight="1">
      <c r="B110" s="1" t="s">
        <v>605</v>
      </c>
      <c r="C110" s="1" t="s">
        <v>604</v>
      </c>
      <c r="D110" s="1" t="s">
        <v>278</v>
      </c>
      <c r="E110" s="60" t="s">
        <v>274</v>
      </c>
      <c r="F110" s="1" t="s">
        <v>957</v>
      </c>
      <c r="G110" s="1" t="s">
        <v>958</v>
      </c>
      <c r="H110" s="61">
        <v>38992</v>
      </c>
    </row>
    <row r="111" spans="2:8" ht="15" customHeight="1">
      <c r="B111" s="1" t="s">
        <v>603</v>
      </c>
      <c r="C111" s="1" t="s">
        <v>602</v>
      </c>
      <c r="D111" s="1" t="s">
        <v>278</v>
      </c>
      <c r="E111" s="60" t="s">
        <v>274</v>
      </c>
      <c r="F111" s="1" t="s">
        <v>792</v>
      </c>
      <c r="G111" s="1" t="s">
        <v>959</v>
      </c>
      <c r="H111" s="61">
        <v>39002</v>
      </c>
    </row>
    <row r="112" spans="2:8" ht="15" customHeight="1">
      <c r="B112" s="1" t="s">
        <v>601</v>
      </c>
      <c r="C112" s="1" t="s">
        <v>600</v>
      </c>
      <c r="D112" s="1" t="s">
        <v>278</v>
      </c>
      <c r="E112" s="60" t="s">
        <v>274</v>
      </c>
      <c r="F112" s="1" t="s">
        <v>960</v>
      </c>
      <c r="G112" s="1" t="s">
        <v>961</v>
      </c>
      <c r="H112" s="61">
        <v>39150</v>
      </c>
    </row>
    <row r="113" spans="2:8" ht="15" customHeight="1">
      <c r="B113" s="1" t="s">
        <v>599</v>
      </c>
      <c r="C113" s="1" t="s">
        <v>598</v>
      </c>
      <c r="D113" s="1" t="s">
        <v>278</v>
      </c>
      <c r="E113" s="60" t="s">
        <v>274</v>
      </c>
      <c r="F113" s="1" t="s">
        <v>882</v>
      </c>
      <c r="G113" s="1" t="s">
        <v>962</v>
      </c>
      <c r="H113" s="61">
        <v>39167</v>
      </c>
    </row>
    <row r="114" spans="2:8" ht="15" customHeight="1">
      <c r="B114" s="1" t="s">
        <v>597</v>
      </c>
      <c r="C114" s="1" t="s">
        <v>596</v>
      </c>
      <c r="D114" s="1" t="s">
        <v>479</v>
      </c>
      <c r="E114" s="60" t="s">
        <v>274</v>
      </c>
      <c r="F114" s="1" t="s">
        <v>841</v>
      </c>
      <c r="G114" s="1" t="s">
        <v>963</v>
      </c>
      <c r="H114" s="61">
        <v>39205</v>
      </c>
    </row>
    <row r="115" spans="2:8" ht="15" customHeight="1">
      <c r="B115" s="1" t="s">
        <v>595</v>
      </c>
      <c r="C115" s="1" t="s">
        <v>594</v>
      </c>
      <c r="D115" s="1" t="s">
        <v>278</v>
      </c>
      <c r="E115" s="60" t="s">
        <v>274</v>
      </c>
      <c r="F115" s="1" t="s">
        <v>964</v>
      </c>
      <c r="G115" s="1" t="s">
        <v>965</v>
      </c>
      <c r="H115" s="61">
        <v>39205</v>
      </c>
    </row>
    <row r="116" spans="2:8" ht="15" customHeight="1">
      <c r="B116" s="1" t="s">
        <v>593</v>
      </c>
      <c r="C116" s="1" t="s">
        <v>592</v>
      </c>
      <c r="D116" s="1" t="s">
        <v>278</v>
      </c>
      <c r="E116" s="60" t="s">
        <v>274</v>
      </c>
      <c r="F116" s="1" t="s">
        <v>947</v>
      </c>
      <c r="G116" s="1" t="s">
        <v>966</v>
      </c>
      <c r="H116" s="61">
        <v>39211</v>
      </c>
    </row>
    <row r="117" spans="2:8" ht="15" customHeight="1">
      <c r="B117" s="1" t="s">
        <v>591</v>
      </c>
      <c r="C117" s="1" t="s">
        <v>574</v>
      </c>
      <c r="D117" s="1" t="s">
        <v>278</v>
      </c>
      <c r="E117" s="60" t="s">
        <v>274</v>
      </c>
      <c r="F117" s="1" t="s">
        <v>799</v>
      </c>
      <c r="G117" s="1" t="s">
        <v>905</v>
      </c>
      <c r="H117" s="61">
        <v>39237</v>
      </c>
    </row>
    <row r="118" spans="2:8" ht="15" customHeight="1">
      <c r="B118" s="1" t="s">
        <v>590</v>
      </c>
      <c r="C118" s="1" t="s">
        <v>589</v>
      </c>
      <c r="D118" s="1" t="s">
        <v>278</v>
      </c>
      <c r="E118" s="60" t="s">
        <v>274</v>
      </c>
      <c r="F118" s="1" t="s">
        <v>911</v>
      </c>
      <c r="G118" s="1" t="s">
        <v>967</v>
      </c>
      <c r="H118" s="61">
        <v>39240</v>
      </c>
    </row>
    <row r="119" spans="2:8" ht="15" customHeight="1">
      <c r="B119" s="1" t="s">
        <v>588</v>
      </c>
      <c r="C119" s="1" t="s">
        <v>587</v>
      </c>
      <c r="D119" s="1" t="s">
        <v>278</v>
      </c>
      <c r="E119" s="60" t="s">
        <v>4009</v>
      </c>
      <c r="F119" s="1" t="s">
        <v>968</v>
      </c>
      <c r="G119" s="1" t="s">
        <v>969</v>
      </c>
      <c r="H119" s="61">
        <v>39262</v>
      </c>
    </row>
    <row r="120" spans="2:8" ht="15" customHeight="1">
      <c r="B120" s="1" t="s">
        <v>586</v>
      </c>
      <c r="C120" s="1" t="s">
        <v>585</v>
      </c>
      <c r="D120" s="1" t="s">
        <v>278</v>
      </c>
      <c r="E120" s="60" t="s">
        <v>4021</v>
      </c>
      <c r="F120" s="1" t="s">
        <v>970</v>
      </c>
      <c r="G120" s="1" t="s">
        <v>971</v>
      </c>
      <c r="H120" s="61">
        <v>39307</v>
      </c>
    </row>
    <row r="121" spans="2:8" ht="15" customHeight="1">
      <c r="B121" s="1" t="s">
        <v>584</v>
      </c>
      <c r="C121" s="1" t="s">
        <v>583</v>
      </c>
      <c r="D121" s="1" t="s">
        <v>278</v>
      </c>
      <c r="E121" s="60" t="s">
        <v>4020</v>
      </c>
      <c r="F121" s="1" t="s">
        <v>972</v>
      </c>
      <c r="G121" s="1" t="s">
        <v>973</v>
      </c>
      <c r="H121" s="61">
        <v>39307</v>
      </c>
    </row>
    <row r="122" spans="2:8" ht="15" customHeight="1">
      <c r="B122" s="1" t="s">
        <v>582</v>
      </c>
      <c r="C122" s="1" t="s">
        <v>581</v>
      </c>
      <c r="D122" s="1" t="s">
        <v>278</v>
      </c>
      <c r="E122" s="60" t="s">
        <v>274</v>
      </c>
      <c r="F122" s="1" t="s">
        <v>974</v>
      </c>
      <c r="G122" s="1" t="s">
        <v>975</v>
      </c>
      <c r="H122" s="61">
        <v>39357</v>
      </c>
    </row>
    <row r="123" spans="2:8" ht="15" customHeight="1">
      <c r="B123" s="1" t="s">
        <v>580</v>
      </c>
      <c r="C123" s="1" t="s">
        <v>579</v>
      </c>
      <c r="D123" s="1" t="s">
        <v>278</v>
      </c>
      <c r="E123" s="60" t="s">
        <v>274</v>
      </c>
      <c r="F123" s="1" t="s">
        <v>903</v>
      </c>
      <c r="G123" s="1" t="s">
        <v>976</v>
      </c>
      <c r="H123" s="61">
        <v>39360</v>
      </c>
    </row>
    <row r="124" spans="2:8" ht="15" customHeight="1">
      <c r="B124" s="1" t="s">
        <v>578</v>
      </c>
      <c r="C124" s="1" t="s">
        <v>577</v>
      </c>
      <c r="D124" s="1" t="s">
        <v>576</v>
      </c>
      <c r="E124" s="60" t="s">
        <v>274</v>
      </c>
      <c r="F124" s="1" t="s">
        <v>977</v>
      </c>
      <c r="G124" s="1" t="s">
        <v>978</v>
      </c>
      <c r="H124" s="61">
        <v>39384</v>
      </c>
    </row>
    <row r="125" spans="2:8" ht="15" customHeight="1">
      <c r="B125" s="1" t="s">
        <v>575</v>
      </c>
      <c r="C125" s="1" t="s">
        <v>574</v>
      </c>
      <c r="D125" s="1" t="s">
        <v>517</v>
      </c>
      <c r="E125" s="60" t="s">
        <v>274</v>
      </c>
      <c r="F125" s="1" t="s">
        <v>979</v>
      </c>
      <c r="G125" s="1" t="s">
        <v>980</v>
      </c>
      <c r="H125" s="61">
        <v>39387</v>
      </c>
    </row>
    <row r="126" spans="2:8" ht="15" customHeight="1">
      <c r="B126" s="1" t="s">
        <v>573</v>
      </c>
      <c r="C126" s="1" t="s">
        <v>572</v>
      </c>
      <c r="D126" s="1" t="s">
        <v>479</v>
      </c>
      <c r="E126" s="60" t="s">
        <v>274</v>
      </c>
      <c r="F126" s="1" t="s">
        <v>981</v>
      </c>
      <c r="G126" s="1" t="s">
        <v>982</v>
      </c>
      <c r="H126" s="61">
        <v>39401</v>
      </c>
    </row>
    <row r="127" spans="2:8" ht="15" customHeight="1">
      <c r="B127" s="1" t="s">
        <v>571</v>
      </c>
      <c r="C127" s="1" t="s">
        <v>570</v>
      </c>
      <c r="D127" s="1" t="s">
        <v>281</v>
      </c>
      <c r="E127" s="60" t="s">
        <v>274</v>
      </c>
      <c r="F127" s="1" t="s">
        <v>897</v>
      </c>
      <c r="G127" s="1" t="s">
        <v>983</v>
      </c>
      <c r="H127" s="61">
        <v>39428</v>
      </c>
    </row>
    <row r="128" spans="2:8" ht="15" customHeight="1">
      <c r="B128" s="1" t="s">
        <v>569</v>
      </c>
      <c r="C128" s="1" t="s">
        <v>298</v>
      </c>
      <c r="D128" s="1" t="s">
        <v>278</v>
      </c>
      <c r="E128" s="60" t="s">
        <v>274</v>
      </c>
      <c r="F128" s="1" t="s">
        <v>984</v>
      </c>
      <c r="G128" s="1" t="s">
        <v>985</v>
      </c>
      <c r="H128" s="61">
        <v>39469</v>
      </c>
    </row>
    <row r="129" spans="2:8" ht="15" customHeight="1">
      <c r="B129" s="1" t="s">
        <v>568</v>
      </c>
      <c r="C129" s="1" t="s">
        <v>298</v>
      </c>
      <c r="D129" s="1" t="s">
        <v>278</v>
      </c>
      <c r="E129" s="60" t="s">
        <v>274</v>
      </c>
      <c r="F129" s="1" t="s">
        <v>792</v>
      </c>
      <c r="G129" s="1" t="s">
        <v>986</v>
      </c>
      <c r="H129" s="61">
        <v>39485</v>
      </c>
    </row>
    <row r="130" spans="2:8" ht="15" customHeight="1">
      <c r="B130" s="1" t="s">
        <v>567</v>
      </c>
      <c r="C130" s="1" t="s">
        <v>298</v>
      </c>
      <c r="D130" s="1" t="s">
        <v>289</v>
      </c>
      <c r="E130" s="60" t="s">
        <v>274</v>
      </c>
      <c r="F130" s="1" t="s">
        <v>836</v>
      </c>
      <c r="G130" s="1" t="s">
        <v>987</v>
      </c>
      <c r="H130" s="61">
        <v>39505</v>
      </c>
    </row>
    <row r="131" spans="2:8" ht="15" customHeight="1">
      <c r="B131" s="1" t="s">
        <v>566</v>
      </c>
      <c r="C131" s="1" t="s">
        <v>565</v>
      </c>
      <c r="D131" s="1" t="s">
        <v>278</v>
      </c>
      <c r="E131" s="60" t="s">
        <v>274</v>
      </c>
      <c r="F131" s="1" t="s">
        <v>841</v>
      </c>
      <c r="G131" s="1" t="s">
        <v>988</v>
      </c>
      <c r="H131" s="61">
        <v>39521</v>
      </c>
    </row>
    <row r="132" spans="2:8" ht="15" customHeight="1">
      <c r="B132" s="1" t="s">
        <v>564</v>
      </c>
      <c r="C132" s="1" t="s">
        <v>563</v>
      </c>
      <c r="D132" s="1" t="s">
        <v>278</v>
      </c>
      <c r="E132" s="60" t="s">
        <v>4019</v>
      </c>
      <c r="F132" s="1" t="s">
        <v>906</v>
      </c>
      <c r="G132" s="1" t="s">
        <v>989</v>
      </c>
      <c r="H132" s="61">
        <v>39526</v>
      </c>
    </row>
    <row r="133" spans="2:8" ht="15" customHeight="1">
      <c r="B133" s="1" t="s">
        <v>562</v>
      </c>
      <c r="C133" s="1" t="s">
        <v>561</v>
      </c>
      <c r="D133" s="1" t="s">
        <v>295</v>
      </c>
      <c r="E133" s="60" t="s">
        <v>274</v>
      </c>
      <c r="F133" s="1" t="s">
        <v>990</v>
      </c>
      <c r="G133" s="1" t="s">
        <v>991</v>
      </c>
      <c r="H133" s="61">
        <v>39538</v>
      </c>
    </row>
    <row r="134" spans="2:8" ht="15" customHeight="1">
      <c r="B134" s="1" t="s">
        <v>560</v>
      </c>
      <c r="C134" s="1" t="s">
        <v>559</v>
      </c>
      <c r="D134" s="1" t="s">
        <v>278</v>
      </c>
      <c r="E134" s="60" t="s">
        <v>4018</v>
      </c>
      <c r="F134" s="1" t="s">
        <v>992</v>
      </c>
      <c r="G134" s="1" t="s">
        <v>993</v>
      </c>
      <c r="H134" s="61">
        <v>39552</v>
      </c>
    </row>
    <row r="135" spans="2:8" ht="15" customHeight="1">
      <c r="B135" s="1" t="s">
        <v>558</v>
      </c>
      <c r="C135" s="1" t="s">
        <v>557</v>
      </c>
      <c r="D135" s="1" t="s">
        <v>278</v>
      </c>
      <c r="E135" s="60" t="s">
        <v>4017</v>
      </c>
      <c r="F135" s="1" t="s">
        <v>994</v>
      </c>
      <c r="G135" s="1" t="s">
        <v>995</v>
      </c>
      <c r="H135" s="61">
        <v>39553</v>
      </c>
    </row>
    <row r="136" spans="2:8" ht="15" customHeight="1">
      <c r="B136" s="1" t="s">
        <v>556</v>
      </c>
      <c r="C136" s="1" t="s">
        <v>555</v>
      </c>
      <c r="D136" s="1" t="s">
        <v>554</v>
      </c>
      <c r="E136" s="60" t="s">
        <v>4016</v>
      </c>
      <c r="F136" s="1" t="s">
        <v>996</v>
      </c>
      <c r="G136" s="1" t="s">
        <v>997</v>
      </c>
      <c r="H136" s="61">
        <v>39563</v>
      </c>
    </row>
    <row r="137" spans="2:8" ht="15" customHeight="1">
      <c r="B137" s="1" t="s">
        <v>553</v>
      </c>
      <c r="C137" s="1" t="s">
        <v>298</v>
      </c>
      <c r="D137" s="1" t="s">
        <v>278</v>
      </c>
      <c r="E137" s="60" t="s">
        <v>274</v>
      </c>
      <c r="F137" s="1" t="s">
        <v>998</v>
      </c>
      <c r="G137" s="1" t="s">
        <v>951</v>
      </c>
      <c r="H137" s="61">
        <v>39594</v>
      </c>
    </row>
    <row r="138" spans="2:8" ht="15" customHeight="1">
      <c r="B138" s="1" t="s">
        <v>552</v>
      </c>
      <c r="C138" s="1" t="s">
        <v>298</v>
      </c>
      <c r="D138" s="1" t="s">
        <v>551</v>
      </c>
      <c r="E138" s="60" t="s">
        <v>274</v>
      </c>
      <c r="F138" s="1" t="s">
        <v>882</v>
      </c>
      <c r="G138" s="1" t="s">
        <v>999</v>
      </c>
      <c r="H138" s="61">
        <v>39603</v>
      </c>
    </row>
    <row r="139" spans="2:8" ht="15" customHeight="1">
      <c r="B139" s="1" t="s">
        <v>550</v>
      </c>
      <c r="C139" s="1" t="s">
        <v>549</v>
      </c>
      <c r="D139" s="1" t="s">
        <v>278</v>
      </c>
      <c r="E139" s="60" t="s">
        <v>274</v>
      </c>
      <c r="F139" s="1" t="s">
        <v>1000</v>
      </c>
      <c r="G139" s="1" t="s">
        <v>1001</v>
      </c>
      <c r="H139" s="61">
        <v>39617</v>
      </c>
    </row>
    <row r="140" spans="2:8" ht="15" customHeight="1">
      <c r="B140" s="1" t="s">
        <v>548</v>
      </c>
      <c r="C140" s="1" t="s">
        <v>547</v>
      </c>
      <c r="D140" s="1" t="s">
        <v>546</v>
      </c>
      <c r="E140" s="60" t="s">
        <v>274</v>
      </c>
      <c r="F140" s="1" t="s">
        <v>929</v>
      </c>
      <c r="G140" s="1" t="s">
        <v>898</v>
      </c>
      <c r="H140" s="61">
        <v>39625</v>
      </c>
    </row>
    <row r="141" spans="2:8" ht="15" customHeight="1">
      <c r="B141" s="1" t="s">
        <v>545</v>
      </c>
      <c r="C141" s="1" t="s">
        <v>544</v>
      </c>
      <c r="D141" s="1" t="s">
        <v>278</v>
      </c>
      <c r="E141" s="60" t="s">
        <v>274</v>
      </c>
      <c r="F141" s="1" t="s">
        <v>931</v>
      </c>
      <c r="G141" s="1" t="s">
        <v>1002</v>
      </c>
      <c r="H141" s="61">
        <v>39671</v>
      </c>
    </row>
    <row r="142" spans="2:8" ht="15" customHeight="1">
      <c r="B142" s="1" t="s">
        <v>543</v>
      </c>
      <c r="C142" s="1" t="s">
        <v>542</v>
      </c>
      <c r="D142" s="1" t="s">
        <v>278</v>
      </c>
      <c r="E142" s="60" t="s">
        <v>274</v>
      </c>
      <c r="F142" s="1" t="s">
        <v>911</v>
      </c>
      <c r="G142" s="1" t="s">
        <v>1003</v>
      </c>
      <c r="H142" s="61">
        <v>39707</v>
      </c>
    </row>
    <row r="143" spans="2:8" ht="15" customHeight="1">
      <c r="B143" s="1" t="s">
        <v>541</v>
      </c>
      <c r="C143" s="1" t="s">
        <v>540</v>
      </c>
      <c r="D143" s="1" t="s">
        <v>278</v>
      </c>
      <c r="E143" s="60" t="s">
        <v>4015</v>
      </c>
      <c r="F143" s="1" t="s">
        <v>974</v>
      </c>
      <c r="G143" s="1" t="s">
        <v>1004</v>
      </c>
      <c r="H143" s="61">
        <v>39719</v>
      </c>
    </row>
    <row r="144" spans="2:8" ht="15" customHeight="1">
      <c r="B144" s="1" t="s">
        <v>539</v>
      </c>
      <c r="C144" s="1" t="s">
        <v>538</v>
      </c>
      <c r="D144" s="1" t="s">
        <v>289</v>
      </c>
      <c r="E144" s="60" t="s">
        <v>4014</v>
      </c>
      <c r="F144" s="1" t="s">
        <v>1005</v>
      </c>
      <c r="G144" s="1" t="s">
        <v>1006</v>
      </c>
      <c r="H144" s="61">
        <v>39873</v>
      </c>
    </row>
    <row r="145" spans="2:8" ht="15" customHeight="1">
      <c r="B145" s="1" t="s">
        <v>537</v>
      </c>
      <c r="C145" s="1" t="s">
        <v>536</v>
      </c>
      <c r="D145" s="1" t="s">
        <v>295</v>
      </c>
      <c r="E145" s="60" t="s">
        <v>274</v>
      </c>
      <c r="F145" s="1" t="s">
        <v>1007</v>
      </c>
      <c r="G145" s="1" t="s">
        <v>1008</v>
      </c>
      <c r="H145" s="61">
        <v>39940</v>
      </c>
    </row>
    <row r="146" spans="2:8" ht="15" customHeight="1">
      <c r="B146" s="1" t="s">
        <v>535</v>
      </c>
      <c r="C146" s="1" t="s">
        <v>534</v>
      </c>
      <c r="D146" s="1" t="s">
        <v>278</v>
      </c>
      <c r="E146" s="60" t="s">
        <v>274</v>
      </c>
      <c r="F146" s="1" t="s">
        <v>1009</v>
      </c>
      <c r="G146" s="1" t="s">
        <v>1010</v>
      </c>
      <c r="H146" s="61">
        <v>39965</v>
      </c>
    </row>
    <row r="147" spans="2:8" ht="15" customHeight="1">
      <c r="B147" s="1" t="s">
        <v>533</v>
      </c>
      <c r="C147" s="1" t="s">
        <v>298</v>
      </c>
      <c r="D147" s="1" t="s">
        <v>278</v>
      </c>
      <c r="E147" s="60" t="s">
        <v>274</v>
      </c>
      <c r="F147" s="1" t="s">
        <v>1011</v>
      </c>
      <c r="G147" s="1" t="s">
        <v>1012</v>
      </c>
      <c r="H147" s="61">
        <v>40078</v>
      </c>
    </row>
    <row r="148" spans="2:8" ht="15" customHeight="1">
      <c r="B148" s="1" t="s">
        <v>532</v>
      </c>
      <c r="C148" s="1" t="s">
        <v>298</v>
      </c>
      <c r="D148" s="1" t="s">
        <v>295</v>
      </c>
      <c r="E148" s="60" t="s">
        <v>274</v>
      </c>
      <c r="F148" s="1" t="s">
        <v>940</v>
      </c>
      <c r="G148" s="1" t="s">
        <v>1013</v>
      </c>
      <c r="H148" s="61">
        <v>40157</v>
      </c>
    </row>
    <row r="149" spans="2:8" ht="15" customHeight="1">
      <c r="B149" s="1" t="s">
        <v>531</v>
      </c>
      <c r="C149" s="1" t="s">
        <v>530</v>
      </c>
      <c r="D149" s="1" t="s">
        <v>278</v>
      </c>
      <c r="E149" s="60" t="s">
        <v>274</v>
      </c>
      <c r="F149" s="1" t="s">
        <v>977</v>
      </c>
      <c r="G149" s="1" t="s">
        <v>1014</v>
      </c>
      <c r="H149" s="61">
        <v>40211</v>
      </c>
    </row>
    <row r="150" spans="2:8" ht="15" customHeight="1">
      <c r="B150" s="1" t="s">
        <v>529</v>
      </c>
      <c r="C150" s="1" t="s">
        <v>528</v>
      </c>
      <c r="D150" s="1" t="s">
        <v>278</v>
      </c>
      <c r="E150" s="60" t="s">
        <v>274</v>
      </c>
      <c r="F150" s="1" t="s">
        <v>1015</v>
      </c>
      <c r="G150" s="1" t="s">
        <v>1016</v>
      </c>
      <c r="H150" s="61">
        <v>40457</v>
      </c>
    </row>
    <row r="151" spans="2:8" ht="15" customHeight="1">
      <c r="B151" s="1" t="s">
        <v>527</v>
      </c>
      <c r="C151" s="1" t="s">
        <v>526</v>
      </c>
      <c r="D151" s="1" t="s">
        <v>278</v>
      </c>
      <c r="E151" s="60" t="s">
        <v>274</v>
      </c>
      <c r="F151" s="1" t="s">
        <v>1017</v>
      </c>
      <c r="G151" s="1" t="s">
        <v>1018</v>
      </c>
      <c r="H151" s="61">
        <v>40480</v>
      </c>
    </row>
    <row r="152" spans="2:8" ht="15" customHeight="1">
      <c r="B152" s="1" t="s">
        <v>525</v>
      </c>
      <c r="C152" s="1" t="s">
        <v>524</v>
      </c>
      <c r="D152" s="1" t="s">
        <v>523</v>
      </c>
      <c r="E152" s="60" t="s">
        <v>4013</v>
      </c>
      <c r="F152" s="1" t="s">
        <v>1019</v>
      </c>
      <c r="G152" s="1" t="s">
        <v>1020</v>
      </c>
      <c r="H152" s="61">
        <v>40673</v>
      </c>
    </row>
    <row r="153" spans="2:8" ht="15" customHeight="1">
      <c r="B153" s="1" t="s">
        <v>522</v>
      </c>
      <c r="C153" s="1" t="s">
        <v>298</v>
      </c>
      <c r="D153" s="1" t="s">
        <v>278</v>
      </c>
      <c r="E153" s="60" t="s">
        <v>274</v>
      </c>
      <c r="F153" s="1" t="s">
        <v>784</v>
      </c>
      <c r="G153" s="1" t="s">
        <v>1021</v>
      </c>
      <c r="H153" s="61">
        <v>40701</v>
      </c>
    </row>
    <row r="154" spans="2:8" ht="15" customHeight="1">
      <c r="B154" s="1" t="s">
        <v>521</v>
      </c>
      <c r="C154" s="1" t="s">
        <v>276</v>
      </c>
      <c r="D154" s="1" t="s">
        <v>278</v>
      </c>
      <c r="E154" s="60" t="s">
        <v>274</v>
      </c>
      <c r="F154" s="1" t="s">
        <v>872</v>
      </c>
      <c r="G154" s="1" t="s">
        <v>1022</v>
      </c>
      <c r="H154" s="61">
        <v>40828</v>
      </c>
    </row>
    <row r="155" spans="2:8" ht="15" customHeight="1">
      <c r="B155" s="1" t="s">
        <v>520</v>
      </c>
      <c r="C155" s="1" t="s">
        <v>519</v>
      </c>
      <c r="D155" s="1" t="s">
        <v>278</v>
      </c>
      <c r="E155" s="60" t="s">
        <v>4005</v>
      </c>
      <c r="F155" s="1" t="s">
        <v>1023</v>
      </c>
      <c r="G155" s="1" t="s">
        <v>1024</v>
      </c>
      <c r="H155" s="61">
        <v>40869</v>
      </c>
    </row>
    <row r="156" spans="2:8" ht="15" customHeight="1">
      <c r="B156" s="1" t="s">
        <v>518</v>
      </c>
      <c r="C156" s="1" t="s">
        <v>276</v>
      </c>
      <c r="D156" s="1" t="s">
        <v>517</v>
      </c>
      <c r="E156" s="60" t="s">
        <v>274</v>
      </c>
      <c r="F156" s="1" t="s">
        <v>872</v>
      </c>
      <c r="G156" s="1" t="s">
        <v>1025</v>
      </c>
      <c r="H156" s="61">
        <v>41065</v>
      </c>
    </row>
    <row r="157" spans="2:8" ht="15" customHeight="1">
      <c r="B157" s="1" t="s">
        <v>516</v>
      </c>
      <c r="C157" s="1" t="s">
        <v>515</v>
      </c>
      <c r="D157" s="1" t="s">
        <v>278</v>
      </c>
      <c r="E157" s="60" t="s">
        <v>4012</v>
      </c>
      <c r="F157" s="1" t="s">
        <v>3805</v>
      </c>
      <c r="G157" s="1" t="s">
        <v>3806</v>
      </c>
      <c r="H157" s="61">
        <v>41085</v>
      </c>
    </row>
    <row r="158" spans="2:8" ht="15" customHeight="1">
      <c r="B158" s="1" t="s">
        <v>514</v>
      </c>
      <c r="C158" s="1" t="s">
        <v>513</v>
      </c>
      <c r="D158" s="1" t="s">
        <v>278</v>
      </c>
      <c r="E158" s="60" t="s">
        <v>274</v>
      </c>
      <c r="F158" s="1" t="s">
        <v>3807</v>
      </c>
      <c r="G158" s="1" t="s">
        <v>3808</v>
      </c>
      <c r="H158" s="61">
        <v>41099</v>
      </c>
    </row>
    <row r="159" spans="2:8" ht="15" customHeight="1">
      <c r="B159" s="1" t="s">
        <v>512</v>
      </c>
      <c r="C159" s="1" t="s">
        <v>511</v>
      </c>
      <c r="D159" s="1" t="s">
        <v>278</v>
      </c>
      <c r="E159" s="60" t="s">
        <v>274</v>
      </c>
      <c r="F159" s="1" t="s">
        <v>3809</v>
      </c>
      <c r="G159" s="1" t="s">
        <v>3810</v>
      </c>
      <c r="H159" s="61">
        <v>41186</v>
      </c>
    </row>
    <row r="160" spans="2:8" ht="15" customHeight="1">
      <c r="B160" s="1" t="s">
        <v>510</v>
      </c>
      <c r="C160" s="1" t="s">
        <v>509</v>
      </c>
      <c r="D160" s="1" t="s">
        <v>278</v>
      </c>
      <c r="E160" s="60" t="s">
        <v>274</v>
      </c>
      <c r="F160" s="1" t="s">
        <v>3811</v>
      </c>
      <c r="G160" s="1" t="s">
        <v>3812</v>
      </c>
      <c r="H160" s="61">
        <v>41198</v>
      </c>
    </row>
    <row r="161" spans="2:8" ht="15" customHeight="1">
      <c r="B161" s="1" t="s">
        <v>508</v>
      </c>
      <c r="C161" s="1" t="s">
        <v>507</v>
      </c>
      <c r="D161" s="1" t="s">
        <v>278</v>
      </c>
      <c r="E161" s="60" t="s">
        <v>274</v>
      </c>
      <c r="F161" s="1" t="s">
        <v>3813</v>
      </c>
      <c r="G161" s="1" t="s">
        <v>3814</v>
      </c>
      <c r="H161" s="61">
        <v>41199</v>
      </c>
    </row>
    <row r="162" spans="2:8" ht="15" customHeight="1">
      <c r="B162" s="1" t="s">
        <v>506</v>
      </c>
      <c r="C162" s="1" t="s">
        <v>505</v>
      </c>
      <c r="D162" s="1" t="s">
        <v>278</v>
      </c>
      <c r="E162" s="60" t="s">
        <v>274</v>
      </c>
      <c r="F162" s="1" t="s">
        <v>3815</v>
      </c>
      <c r="G162" s="1" t="s">
        <v>3816</v>
      </c>
      <c r="H162" s="61">
        <v>41277</v>
      </c>
    </row>
    <row r="163" spans="2:8" ht="15" customHeight="1">
      <c r="B163" s="1" t="s">
        <v>504</v>
      </c>
      <c r="C163" s="1" t="s">
        <v>503</v>
      </c>
      <c r="D163" s="1" t="s">
        <v>278</v>
      </c>
      <c r="E163" s="60" t="s">
        <v>274</v>
      </c>
      <c r="F163" s="1" t="s">
        <v>3817</v>
      </c>
      <c r="G163" s="1" t="s">
        <v>3818</v>
      </c>
      <c r="H163" s="61">
        <v>41307</v>
      </c>
    </row>
    <row r="164" spans="2:8" ht="15" customHeight="1">
      <c r="B164" s="1" t="s">
        <v>502</v>
      </c>
      <c r="C164" s="1" t="s">
        <v>501</v>
      </c>
      <c r="D164" s="1" t="s">
        <v>278</v>
      </c>
      <c r="E164" s="60" t="s">
        <v>274</v>
      </c>
      <c r="F164" s="1" t="s">
        <v>1015</v>
      </c>
      <c r="G164" s="1" t="s">
        <v>3819</v>
      </c>
      <c r="H164" s="61">
        <v>41337</v>
      </c>
    </row>
    <row r="165" spans="2:8" ht="15" customHeight="1">
      <c r="B165" s="1" t="s">
        <v>500</v>
      </c>
      <c r="C165" s="1" t="s">
        <v>499</v>
      </c>
      <c r="D165" s="1" t="s">
        <v>498</v>
      </c>
      <c r="E165" s="60" t="s">
        <v>274</v>
      </c>
      <c r="F165" s="1" t="s">
        <v>3820</v>
      </c>
      <c r="G165" s="1" t="s">
        <v>3821</v>
      </c>
      <c r="H165" s="61">
        <v>41352</v>
      </c>
    </row>
    <row r="166" spans="2:8" ht="15" customHeight="1">
      <c r="B166" s="1" t="s">
        <v>497</v>
      </c>
      <c r="C166" s="1" t="s">
        <v>496</v>
      </c>
      <c r="D166" s="1" t="s">
        <v>295</v>
      </c>
      <c r="E166" s="60" t="s">
        <v>274</v>
      </c>
      <c r="F166" s="1" t="s">
        <v>3822</v>
      </c>
      <c r="G166" s="1" t="s">
        <v>3823</v>
      </c>
      <c r="H166" s="61">
        <v>41428</v>
      </c>
    </row>
    <row r="167" spans="2:8" ht="15" customHeight="1">
      <c r="B167" s="1" t="s">
        <v>495</v>
      </c>
      <c r="C167" s="1" t="s">
        <v>494</v>
      </c>
      <c r="D167" s="1" t="s">
        <v>424</v>
      </c>
      <c r="E167" s="60" t="s">
        <v>4011</v>
      </c>
      <c r="F167" s="1" t="s">
        <v>3824</v>
      </c>
      <c r="G167" s="1" t="s">
        <v>3825</v>
      </c>
      <c r="H167" s="61">
        <v>41519</v>
      </c>
    </row>
    <row r="168" spans="2:8" ht="15" customHeight="1">
      <c r="B168" s="1" t="s">
        <v>493</v>
      </c>
      <c r="C168" s="1" t="s">
        <v>492</v>
      </c>
      <c r="D168" s="1" t="s">
        <v>491</v>
      </c>
      <c r="E168" s="60" t="s">
        <v>274</v>
      </c>
      <c r="F168" s="1" t="s">
        <v>3826</v>
      </c>
      <c r="G168" s="1" t="s">
        <v>980</v>
      </c>
      <c r="H168" s="61">
        <v>41559</v>
      </c>
    </row>
    <row r="169" spans="2:8" ht="15" customHeight="1">
      <c r="B169" s="1" t="s">
        <v>490</v>
      </c>
      <c r="C169" s="1" t="s">
        <v>489</v>
      </c>
      <c r="D169" s="1" t="s">
        <v>278</v>
      </c>
      <c r="E169" s="60" t="s">
        <v>274</v>
      </c>
      <c r="F169" s="1" t="s">
        <v>3827</v>
      </c>
      <c r="G169" s="1" t="s">
        <v>3828</v>
      </c>
      <c r="H169" s="61">
        <v>41572</v>
      </c>
    </row>
    <row r="170" spans="2:8" ht="15" customHeight="1">
      <c r="B170" s="1" t="s">
        <v>488</v>
      </c>
      <c r="C170" s="1" t="s">
        <v>487</v>
      </c>
      <c r="D170" s="1" t="s">
        <v>278</v>
      </c>
      <c r="E170" s="60" t="s">
        <v>4005</v>
      </c>
      <c r="F170" s="1" t="s">
        <v>3829</v>
      </c>
      <c r="G170" s="1" t="s">
        <v>3830</v>
      </c>
      <c r="H170" s="61">
        <v>41646</v>
      </c>
    </row>
    <row r="171" spans="2:8" ht="15" customHeight="1">
      <c r="B171" s="1" t="s">
        <v>486</v>
      </c>
      <c r="C171" s="1" t="s">
        <v>485</v>
      </c>
      <c r="D171" s="1" t="s">
        <v>484</v>
      </c>
      <c r="E171" s="60" t="s">
        <v>274</v>
      </c>
      <c r="F171" s="1" t="s">
        <v>1011</v>
      </c>
      <c r="G171" s="1" t="s">
        <v>1012</v>
      </c>
      <c r="H171" s="61">
        <v>41760</v>
      </c>
    </row>
    <row r="172" spans="2:8" ht="15" customHeight="1">
      <c r="B172" s="1" t="s">
        <v>483</v>
      </c>
      <c r="C172" s="1" t="s">
        <v>482</v>
      </c>
      <c r="D172" s="1" t="s">
        <v>479</v>
      </c>
      <c r="E172" s="60" t="s">
        <v>274</v>
      </c>
      <c r="F172" s="1" t="s">
        <v>3831</v>
      </c>
      <c r="G172" s="1" t="s">
        <v>3832</v>
      </c>
      <c r="H172" s="61">
        <v>41760</v>
      </c>
    </row>
    <row r="173" spans="2:8" ht="15" customHeight="1">
      <c r="B173" s="1" t="s">
        <v>481</v>
      </c>
      <c r="C173" s="1" t="s">
        <v>480</v>
      </c>
      <c r="D173" s="1" t="s">
        <v>479</v>
      </c>
      <c r="E173" s="60" t="s">
        <v>274</v>
      </c>
      <c r="F173" s="1" t="s">
        <v>3833</v>
      </c>
      <c r="G173" s="1" t="s">
        <v>3834</v>
      </c>
      <c r="H173" s="61">
        <v>41822</v>
      </c>
    </row>
    <row r="174" spans="2:8" ht="15" customHeight="1">
      <c r="B174" s="1" t="s">
        <v>478</v>
      </c>
      <c r="C174" s="1" t="s">
        <v>477</v>
      </c>
      <c r="D174" s="1" t="s">
        <v>476</v>
      </c>
      <c r="E174" s="60" t="s">
        <v>274</v>
      </c>
      <c r="F174" s="1" t="s">
        <v>3835</v>
      </c>
      <c r="G174" s="1" t="s">
        <v>3836</v>
      </c>
      <c r="H174" s="61">
        <v>41831</v>
      </c>
    </row>
    <row r="175" spans="2:8" ht="15" customHeight="1">
      <c r="B175" s="1" t="s">
        <v>475</v>
      </c>
      <c r="C175" s="1" t="s">
        <v>298</v>
      </c>
      <c r="D175" s="1" t="s">
        <v>295</v>
      </c>
      <c r="E175" s="60" t="s">
        <v>274</v>
      </c>
      <c r="F175" s="1" t="s">
        <v>929</v>
      </c>
      <c r="G175" s="1" t="s">
        <v>3837</v>
      </c>
      <c r="H175" s="61">
        <v>41852</v>
      </c>
    </row>
    <row r="176" spans="2:8" ht="15" customHeight="1">
      <c r="B176" s="1" t="s">
        <v>474</v>
      </c>
      <c r="C176" s="1" t="s">
        <v>276</v>
      </c>
      <c r="D176" s="1" t="s">
        <v>404</v>
      </c>
      <c r="E176" s="60" t="s">
        <v>4010</v>
      </c>
      <c r="F176" s="1" t="s">
        <v>872</v>
      </c>
      <c r="G176" s="1" t="s">
        <v>3838</v>
      </c>
      <c r="H176" s="61">
        <v>41949</v>
      </c>
    </row>
    <row r="177" spans="2:8" ht="15" customHeight="1">
      <c r="B177" s="1" t="s">
        <v>473</v>
      </c>
      <c r="C177" s="1" t="s">
        <v>472</v>
      </c>
      <c r="D177" s="1" t="s">
        <v>289</v>
      </c>
      <c r="E177" s="60" t="s">
        <v>274</v>
      </c>
      <c r="F177" s="1" t="s">
        <v>3839</v>
      </c>
      <c r="G177" s="1" t="s">
        <v>3840</v>
      </c>
      <c r="H177" s="61">
        <v>41956</v>
      </c>
    </row>
    <row r="178" spans="2:8" ht="15" customHeight="1">
      <c r="B178" s="1" t="s">
        <v>471</v>
      </c>
      <c r="C178" s="1" t="s">
        <v>470</v>
      </c>
      <c r="D178" s="1" t="s">
        <v>278</v>
      </c>
      <c r="E178" s="60" t="s">
        <v>274</v>
      </c>
      <c r="F178" s="1" t="s">
        <v>3841</v>
      </c>
      <c r="G178" s="1" t="s">
        <v>3842</v>
      </c>
      <c r="H178" s="61">
        <v>41975</v>
      </c>
    </row>
    <row r="179" spans="2:8" ht="15" customHeight="1">
      <c r="B179" s="1" t="s">
        <v>469</v>
      </c>
      <c r="C179" s="1" t="s">
        <v>468</v>
      </c>
      <c r="D179" s="1" t="s">
        <v>318</v>
      </c>
      <c r="E179" s="60" t="s">
        <v>274</v>
      </c>
      <c r="F179" s="1" t="s">
        <v>3831</v>
      </c>
      <c r="G179" s="1" t="s">
        <v>3843</v>
      </c>
      <c r="H179" s="61">
        <v>41984</v>
      </c>
    </row>
    <row r="180" spans="2:8" ht="15" customHeight="1">
      <c r="B180" s="1" t="s">
        <v>467</v>
      </c>
      <c r="C180" s="1" t="s">
        <v>466</v>
      </c>
      <c r="D180" s="1" t="s">
        <v>289</v>
      </c>
      <c r="E180" s="60" t="s">
        <v>274</v>
      </c>
      <c r="F180" s="1" t="s">
        <v>3844</v>
      </c>
      <c r="G180" s="1" t="s">
        <v>3845</v>
      </c>
      <c r="H180" s="61">
        <v>42024</v>
      </c>
    </row>
    <row r="181" spans="2:8" ht="15" customHeight="1">
      <c r="B181" s="1" t="s">
        <v>465</v>
      </c>
      <c r="C181" s="1" t="s">
        <v>464</v>
      </c>
      <c r="D181" s="1" t="s">
        <v>278</v>
      </c>
      <c r="E181" s="60" t="s">
        <v>274</v>
      </c>
      <c r="F181" s="1" t="s">
        <v>3846</v>
      </c>
      <c r="G181" s="1" t="s">
        <v>3847</v>
      </c>
      <c r="H181" s="61">
        <v>42027</v>
      </c>
    </row>
    <row r="182" spans="2:8" ht="15" customHeight="1">
      <c r="B182" s="1" t="s">
        <v>463</v>
      </c>
      <c r="C182" s="1" t="s">
        <v>462</v>
      </c>
      <c r="D182" s="1" t="s">
        <v>278</v>
      </c>
      <c r="E182" s="60" t="s">
        <v>4005</v>
      </c>
      <c r="F182" s="1" t="s">
        <v>3848</v>
      </c>
      <c r="G182" s="1" t="s">
        <v>3849</v>
      </c>
      <c r="H182" s="61">
        <v>42039</v>
      </c>
    </row>
    <row r="183" spans="2:8" ht="15" customHeight="1">
      <c r="B183" s="1" t="s">
        <v>461</v>
      </c>
      <c r="C183" s="1" t="s">
        <v>460</v>
      </c>
      <c r="D183" s="1" t="s">
        <v>289</v>
      </c>
      <c r="E183" s="60" t="s">
        <v>4009</v>
      </c>
      <c r="F183" s="1" t="s">
        <v>3850</v>
      </c>
      <c r="G183" s="1" t="s">
        <v>3851</v>
      </c>
      <c r="H183" s="61">
        <v>42047</v>
      </c>
    </row>
    <row r="184" spans="2:8" ht="15" customHeight="1">
      <c r="B184" s="1" t="s">
        <v>459</v>
      </c>
      <c r="C184" s="1" t="s">
        <v>458</v>
      </c>
      <c r="D184" s="1" t="s">
        <v>278</v>
      </c>
      <c r="E184" s="60" t="s">
        <v>274</v>
      </c>
      <c r="F184" s="1" t="s">
        <v>3852</v>
      </c>
      <c r="G184" s="1" t="s">
        <v>3853</v>
      </c>
      <c r="H184" s="61">
        <v>42089</v>
      </c>
    </row>
    <row r="185" spans="2:8" ht="15" customHeight="1">
      <c r="B185" s="1" t="s">
        <v>457</v>
      </c>
      <c r="C185" s="1" t="s">
        <v>456</v>
      </c>
      <c r="D185" s="1" t="s">
        <v>295</v>
      </c>
      <c r="E185" s="60" t="s">
        <v>274</v>
      </c>
      <c r="F185" s="1" t="s">
        <v>990</v>
      </c>
      <c r="G185" s="1" t="s">
        <v>991</v>
      </c>
      <c r="H185" s="61">
        <v>42108</v>
      </c>
    </row>
    <row r="186" spans="2:8" ht="15" customHeight="1">
      <c r="B186" s="1" t="s">
        <v>455</v>
      </c>
      <c r="C186" s="1" t="s">
        <v>454</v>
      </c>
      <c r="D186" s="1" t="s">
        <v>318</v>
      </c>
      <c r="E186" s="60" t="s">
        <v>274</v>
      </c>
      <c r="F186" s="1" t="s">
        <v>3854</v>
      </c>
      <c r="G186" s="1" t="s">
        <v>3855</v>
      </c>
      <c r="H186" s="61">
        <v>42157</v>
      </c>
    </row>
    <row r="187" spans="2:8" ht="15" customHeight="1">
      <c r="B187" s="1" t="s">
        <v>453</v>
      </c>
      <c r="C187" s="1" t="s">
        <v>452</v>
      </c>
      <c r="D187" s="1" t="s">
        <v>278</v>
      </c>
      <c r="E187" s="60" t="s">
        <v>274</v>
      </c>
      <c r="F187" s="1" t="s">
        <v>940</v>
      </c>
      <c r="G187" s="1" t="s">
        <v>3856</v>
      </c>
      <c r="H187" s="61">
        <v>42165</v>
      </c>
    </row>
    <row r="188" spans="2:8" ht="15" customHeight="1">
      <c r="B188" s="1" t="s">
        <v>451</v>
      </c>
      <c r="C188" s="1" t="s">
        <v>450</v>
      </c>
      <c r="D188" s="1" t="s">
        <v>278</v>
      </c>
      <c r="E188" s="60" t="s">
        <v>274</v>
      </c>
      <c r="F188" s="1" t="s">
        <v>3857</v>
      </c>
      <c r="G188" s="1" t="s">
        <v>3858</v>
      </c>
      <c r="H188" s="61">
        <v>42201</v>
      </c>
    </row>
    <row r="189" spans="2:8" ht="15" customHeight="1">
      <c r="B189" s="1" t="s">
        <v>449</v>
      </c>
      <c r="C189" s="1" t="s">
        <v>448</v>
      </c>
      <c r="D189" s="1" t="s">
        <v>289</v>
      </c>
      <c r="E189" s="60" t="s">
        <v>4008</v>
      </c>
      <c r="F189" s="1" t="s">
        <v>3859</v>
      </c>
      <c r="G189" s="1" t="s">
        <v>3860</v>
      </c>
      <c r="H189" s="61">
        <v>42204</v>
      </c>
    </row>
    <row r="190" spans="2:8" ht="15" customHeight="1">
      <c r="B190" s="1" t="s">
        <v>447</v>
      </c>
      <c r="C190" s="1" t="s">
        <v>446</v>
      </c>
      <c r="D190" s="1" t="s">
        <v>278</v>
      </c>
      <c r="E190" s="60" t="s">
        <v>274</v>
      </c>
      <c r="F190" s="1" t="s">
        <v>3861</v>
      </c>
      <c r="G190" s="1" t="s">
        <v>3862</v>
      </c>
      <c r="H190" s="61">
        <v>42219</v>
      </c>
    </row>
    <row r="191" spans="2:8" ht="15" customHeight="1">
      <c r="B191" s="1" t="s">
        <v>445</v>
      </c>
      <c r="C191" s="1" t="s">
        <v>444</v>
      </c>
      <c r="D191" s="1" t="s">
        <v>278</v>
      </c>
      <c r="E191" s="60" t="s">
        <v>274</v>
      </c>
      <c r="F191" s="1" t="s">
        <v>3863</v>
      </c>
      <c r="G191" s="1" t="s">
        <v>3864</v>
      </c>
      <c r="H191" s="61">
        <v>42250</v>
      </c>
    </row>
    <row r="192" spans="2:8" ht="15" customHeight="1">
      <c r="B192" s="1" t="s">
        <v>443</v>
      </c>
      <c r="C192" s="1" t="s">
        <v>442</v>
      </c>
      <c r="D192" s="1" t="s">
        <v>278</v>
      </c>
      <c r="E192" s="60" t="s">
        <v>274</v>
      </c>
      <c r="F192" s="1" t="s">
        <v>929</v>
      </c>
      <c r="G192" s="1" t="s">
        <v>3865</v>
      </c>
      <c r="H192" s="61">
        <v>42258</v>
      </c>
    </row>
    <row r="193" spans="2:8" ht="15" customHeight="1">
      <c r="B193" s="1" t="s">
        <v>441</v>
      </c>
      <c r="C193" s="1" t="s">
        <v>440</v>
      </c>
      <c r="D193" s="1" t="s">
        <v>295</v>
      </c>
      <c r="E193" s="60" t="s">
        <v>274</v>
      </c>
      <c r="F193" s="1" t="s">
        <v>3866</v>
      </c>
      <c r="G193" s="1" t="s">
        <v>3867</v>
      </c>
      <c r="H193" s="61">
        <v>42275</v>
      </c>
    </row>
    <row r="194" spans="2:8" ht="15" customHeight="1">
      <c r="B194" s="1" t="s">
        <v>439</v>
      </c>
      <c r="C194" s="1" t="s">
        <v>438</v>
      </c>
      <c r="D194" s="1" t="s">
        <v>437</v>
      </c>
      <c r="E194" s="60" t="s">
        <v>274</v>
      </c>
      <c r="F194" s="1" t="s">
        <v>3868</v>
      </c>
      <c r="G194" s="1" t="s">
        <v>3869</v>
      </c>
      <c r="H194" s="61">
        <v>42279</v>
      </c>
    </row>
    <row r="195" spans="2:8" ht="15" customHeight="1">
      <c r="B195" s="1" t="s">
        <v>436</v>
      </c>
      <c r="C195" s="1" t="s">
        <v>435</v>
      </c>
      <c r="D195" s="1" t="s">
        <v>278</v>
      </c>
      <c r="E195" s="60" t="s">
        <v>274</v>
      </c>
      <c r="F195" s="1" t="s">
        <v>3852</v>
      </c>
      <c r="G195" s="1" t="s">
        <v>3870</v>
      </c>
      <c r="H195" s="61">
        <v>42313</v>
      </c>
    </row>
    <row r="196" spans="2:8" ht="15" customHeight="1">
      <c r="B196" s="1" t="s">
        <v>434</v>
      </c>
      <c r="C196" s="1" t="s">
        <v>433</v>
      </c>
      <c r="D196" s="1" t="s">
        <v>289</v>
      </c>
      <c r="E196" s="60" t="s">
        <v>274</v>
      </c>
      <c r="F196" s="1" t="s">
        <v>3844</v>
      </c>
      <c r="G196" s="1" t="s">
        <v>3871</v>
      </c>
      <c r="H196" s="61">
        <v>42317</v>
      </c>
    </row>
    <row r="197" spans="2:8" ht="15" customHeight="1">
      <c r="B197" s="1" t="s">
        <v>432</v>
      </c>
      <c r="C197" s="1" t="s">
        <v>431</v>
      </c>
      <c r="D197" s="1" t="s">
        <v>278</v>
      </c>
      <c r="E197" s="60" t="s">
        <v>274</v>
      </c>
      <c r="F197" s="1" t="s">
        <v>3872</v>
      </c>
      <c r="G197" s="1" t="s">
        <v>3873</v>
      </c>
      <c r="H197" s="61">
        <v>42356</v>
      </c>
    </row>
    <row r="198" spans="2:8" ht="15" customHeight="1">
      <c r="B198" s="1" t="s">
        <v>430</v>
      </c>
      <c r="C198" s="1" t="s">
        <v>429</v>
      </c>
      <c r="D198" s="1" t="s">
        <v>278</v>
      </c>
      <c r="E198" s="60" t="s">
        <v>274</v>
      </c>
      <c r="F198" s="1" t="s">
        <v>3874</v>
      </c>
      <c r="G198" s="1" t="s">
        <v>3875</v>
      </c>
      <c r="H198" s="61">
        <v>42359</v>
      </c>
    </row>
    <row r="199" spans="2:8" ht="15" customHeight="1">
      <c r="B199" s="1" t="s">
        <v>428</v>
      </c>
      <c r="C199" s="1" t="s">
        <v>427</v>
      </c>
      <c r="D199" s="1" t="s">
        <v>304</v>
      </c>
      <c r="E199" s="60" t="s">
        <v>274</v>
      </c>
      <c r="F199" s="1" t="s">
        <v>3876</v>
      </c>
      <c r="G199" s="1" t="s">
        <v>3877</v>
      </c>
      <c r="H199" s="61">
        <v>42382</v>
      </c>
    </row>
    <row r="200" spans="2:8" ht="15" customHeight="1">
      <c r="B200" s="1" t="s">
        <v>426</v>
      </c>
      <c r="C200" s="1" t="s">
        <v>425</v>
      </c>
      <c r="D200" s="1" t="s">
        <v>424</v>
      </c>
      <c r="E200" s="60" t="s">
        <v>274</v>
      </c>
      <c r="F200" s="1" t="s">
        <v>3878</v>
      </c>
      <c r="G200" s="1" t="s">
        <v>3879</v>
      </c>
      <c r="H200" s="61">
        <v>42388</v>
      </c>
    </row>
    <row r="201" spans="2:8" ht="15" customHeight="1">
      <c r="B201" s="1" t="s">
        <v>423</v>
      </c>
      <c r="C201" s="1" t="s">
        <v>422</v>
      </c>
      <c r="D201" s="1" t="s">
        <v>281</v>
      </c>
      <c r="E201" s="60" t="s">
        <v>4007</v>
      </c>
      <c r="F201" s="1" t="s">
        <v>3880</v>
      </c>
      <c r="G201" s="1" t="s">
        <v>3881</v>
      </c>
      <c r="H201" s="61">
        <v>42403</v>
      </c>
    </row>
    <row r="202" spans="2:8" ht="15" customHeight="1">
      <c r="B202" s="1" t="s">
        <v>421</v>
      </c>
      <c r="C202" s="1" t="s">
        <v>420</v>
      </c>
      <c r="D202" s="1" t="s">
        <v>295</v>
      </c>
      <c r="E202" s="60" t="s">
        <v>274</v>
      </c>
      <c r="F202" s="1" t="s">
        <v>981</v>
      </c>
      <c r="G202" s="1" t="s">
        <v>3882</v>
      </c>
      <c r="H202" s="61">
        <v>42409</v>
      </c>
    </row>
    <row r="203" spans="2:8" ht="15" customHeight="1">
      <c r="B203" s="1" t="s">
        <v>419</v>
      </c>
      <c r="C203" s="1" t="s">
        <v>418</v>
      </c>
      <c r="D203" s="1" t="s">
        <v>278</v>
      </c>
      <c r="E203" s="60" t="s">
        <v>274</v>
      </c>
      <c r="F203" s="1" t="s">
        <v>3833</v>
      </c>
      <c r="G203" s="1" t="s">
        <v>3883</v>
      </c>
      <c r="H203" s="61">
        <v>42424</v>
      </c>
    </row>
    <row r="204" spans="2:8" ht="15" customHeight="1">
      <c r="B204" s="1" t="s">
        <v>417</v>
      </c>
      <c r="C204" s="1" t="s">
        <v>416</v>
      </c>
      <c r="D204" s="1" t="s">
        <v>415</v>
      </c>
      <c r="E204" s="60" t="s">
        <v>274</v>
      </c>
      <c r="F204" s="1" t="s">
        <v>3884</v>
      </c>
      <c r="G204" s="1" t="s">
        <v>3885</v>
      </c>
      <c r="H204" s="61">
        <v>42493</v>
      </c>
    </row>
    <row r="205" spans="2:8" ht="15" customHeight="1">
      <c r="B205" s="1" t="s">
        <v>414</v>
      </c>
      <c r="C205" s="1" t="s">
        <v>413</v>
      </c>
      <c r="D205" s="1" t="s">
        <v>278</v>
      </c>
      <c r="E205" s="60" t="s">
        <v>274</v>
      </c>
      <c r="F205" s="1" t="s">
        <v>3886</v>
      </c>
      <c r="G205" s="1" t="s">
        <v>3887</v>
      </c>
      <c r="H205" s="61">
        <v>42537</v>
      </c>
    </row>
    <row r="206" spans="2:8" ht="15" customHeight="1">
      <c r="B206" s="1" t="s">
        <v>412</v>
      </c>
      <c r="C206" s="1" t="s">
        <v>411</v>
      </c>
      <c r="D206" s="1" t="s">
        <v>278</v>
      </c>
      <c r="E206" s="60" t="s">
        <v>274</v>
      </c>
      <c r="F206" s="1" t="s">
        <v>3888</v>
      </c>
      <c r="G206" s="1" t="s">
        <v>3889</v>
      </c>
      <c r="H206" s="61">
        <v>42590</v>
      </c>
    </row>
    <row r="207" spans="2:8" ht="15" customHeight="1">
      <c r="B207" s="1" t="s">
        <v>410</v>
      </c>
      <c r="C207" s="1" t="s">
        <v>409</v>
      </c>
      <c r="D207" s="1" t="s">
        <v>278</v>
      </c>
      <c r="E207" s="60" t="s">
        <v>274</v>
      </c>
      <c r="F207" s="1" t="s">
        <v>3852</v>
      </c>
      <c r="G207" s="1" t="s">
        <v>3890</v>
      </c>
      <c r="H207" s="61">
        <v>42602</v>
      </c>
    </row>
    <row r="208" spans="2:8" ht="15" customHeight="1">
      <c r="B208" s="1" t="s">
        <v>204</v>
      </c>
      <c r="C208" s="1" t="s">
        <v>408</v>
      </c>
      <c r="D208" s="1" t="s">
        <v>278</v>
      </c>
      <c r="E208" s="60" t="s">
        <v>3891</v>
      </c>
      <c r="F208" s="1" t="s">
        <v>3892</v>
      </c>
      <c r="G208" s="1" t="s">
        <v>3893</v>
      </c>
      <c r="H208" s="61">
        <v>42712</v>
      </c>
    </row>
    <row r="209" spans="2:8" ht="15" customHeight="1">
      <c r="B209" s="1" t="s">
        <v>407</v>
      </c>
      <c r="C209" s="1" t="s">
        <v>375</v>
      </c>
      <c r="D209" s="1" t="s">
        <v>295</v>
      </c>
      <c r="E209" s="60" t="s">
        <v>4006</v>
      </c>
      <c r="F209" s="1" t="s">
        <v>3894</v>
      </c>
      <c r="G209" s="1" t="s">
        <v>3895</v>
      </c>
      <c r="H209" s="61">
        <v>42748</v>
      </c>
    </row>
    <row r="210" spans="2:8" ht="15" customHeight="1">
      <c r="B210" s="1" t="s">
        <v>406</v>
      </c>
      <c r="C210" s="1" t="s">
        <v>405</v>
      </c>
      <c r="D210" s="1" t="s">
        <v>404</v>
      </c>
      <c r="E210" s="60" t="s">
        <v>274</v>
      </c>
      <c r="F210" s="1" t="s">
        <v>3896</v>
      </c>
      <c r="G210" s="1" t="s">
        <v>3897</v>
      </c>
      <c r="H210" s="61">
        <v>42752</v>
      </c>
    </row>
    <row r="211" spans="2:8" ht="15" customHeight="1">
      <c r="B211" s="1" t="s">
        <v>403</v>
      </c>
      <c r="C211" s="1" t="s">
        <v>402</v>
      </c>
      <c r="D211" s="1" t="s">
        <v>278</v>
      </c>
      <c r="E211" s="60" t="s">
        <v>274</v>
      </c>
      <c r="F211" s="1" t="s">
        <v>3898</v>
      </c>
      <c r="G211" s="1" t="s">
        <v>3899</v>
      </c>
      <c r="H211" s="61">
        <v>42835</v>
      </c>
    </row>
    <row r="212" spans="2:8" ht="15" customHeight="1">
      <c r="B212" s="1" t="s">
        <v>401</v>
      </c>
      <c r="C212" s="1" t="s">
        <v>400</v>
      </c>
      <c r="D212" s="1" t="s">
        <v>278</v>
      </c>
      <c r="E212" s="60" t="s">
        <v>274</v>
      </c>
      <c r="F212" s="1" t="s">
        <v>792</v>
      </c>
      <c r="G212" s="1" t="s">
        <v>400</v>
      </c>
      <c r="H212" s="61">
        <v>42843</v>
      </c>
    </row>
    <row r="213" spans="2:8" ht="15" customHeight="1">
      <c r="B213" s="1" t="s">
        <v>399</v>
      </c>
      <c r="C213" s="1" t="s">
        <v>398</v>
      </c>
      <c r="D213" s="1" t="s">
        <v>289</v>
      </c>
      <c r="E213" s="60" t="s">
        <v>4005</v>
      </c>
      <c r="F213" s="1" t="s">
        <v>3900</v>
      </c>
      <c r="G213" s="1" t="s">
        <v>3901</v>
      </c>
      <c r="H213" s="61">
        <v>42894</v>
      </c>
    </row>
    <row r="214" spans="2:8" ht="15" customHeight="1">
      <c r="B214" s="1" t="s">
        <v>397</v>
      </c>
      <c r="C214" s="1" t="s">
        <v>396</v>
      </c>
      <c r="D214" s="1" t="s">
        <v>289</v>
      </c>
      <c r="E214" s="60" t="s">
        <v>4004</v>
      </c>
      <c r="F214" s="1" t="s">
        <v>3902</v>
      </c>
      <c r="G214" s="1" t="s">
        <v>3903</v>
      </c>
      <c r="H214" s="61">
        <v>42914</v>
      </c>
    </row>
    <row r="215" spans="2:8" ht="15" customHeight="1">
      <c r="B215" s="1" t="s">
        <v>395</v>
      </c>
      <c r="C215" s="1" t="s">
        <v>394</v>
      </c>
      <c r="D215" s="1" t="s">
        <v>278</v>
      </c>
      <c r="E215" s="60" t="s">
        <v>274</v>
      </c>
      <c r="F215" s="1" t="s">
        <v>1011</v>
      </c>
      <c r="G215" s="1" t="s">
        <v>1012</v>
      </c>
      <c r="H215" s="61">
        <v>42962</v>
      </c>
    </row>
    <row r="216" spans="2:8" ht="15" customHeight="1">
      <c r="B216" s="1" t="s">
        <v>393</v>
      </c>
      <c r="C216" s="1" t="s">
        <v>392</v>
      </c>
      <c r="D216" s="1" t="s">
        <v>278</v>
      </c>
      <c r="E216" s="60" t="s">
        <v>274</v>
      </c>
      <c r="F216" s="1" t="s">
        <v>3904</v>
      </c>
      <c r="G216" s="1" t="s">
        <v>3905</v>
      </c>
      <c r="H216" s="61">
        <v>43011</v>
      </c>
    </row>
    <row r="217" spans="2:8" ht="15" customHeight="1">
      <c r="B217" s="1" t="s">
        <v>391</v>
      </c>
      <c r="C217" s="1" t="s">
        <v>390</v>
      </c>
      <c r="D217" s="1" t="s">
        <v>278</v>
      </c>
      <c r="E217" s="60" t="s">
        <v>274</v>
      </c>
      <c r="F217" s="1" t="s">
        <v>3906</v>
      </c>
      <c r="G217" s="1" t="s">
        <v>3907</v>
      </c>
      <c r="H217" s="61">
        <v>43046</v>
      </c>
    </row>
    <row r="218" spans="2:8" ht="15" customHeight="1">
      <c r="B218" s="1" t="s">
        <v>389</v>
      </c>
      <c r="C218" s="1" t="s">
        <v>388</v>
      </c>
      <c r="D218" s="1" t="s">
        <v>278</v>
      </c>
      <c r="E218" s="60" t="s">
        <v>274</v>
      </c>
      <c r="F218" s="1" t="s">
        <v>3811</v>
      </c>
      <c r="G218" s="1" t="s">
        <v>3908</v>
      </c>
      <c r="H218" s="61">
        <v>43103</v>
      </c>
    </row>
    <row r="219" spans="2:8" ht="15" customHeight="1">
      <c r="B219" s="1" t="s">
        <v>387</v>
      </c>
      <c r="C219" s="1" t="s">
        <v>386</v>
      </c>
      <c r="D219" s="1" t="s">
        <v>278</v>
      </c>
      <c r="E219" s="60" t="s">
        <v>274</v>
      </c>
      <c r="F219" s="1" t="s">
        <v>3909</v>
      </c>
      <c r="G219" s="1" t="s">
        <v>3910</v>
      </c>
      <c r="H219" s="61">
        <v>43129</v>
      </c>
    </row>
    <row r="220" spans="2:8" ht="15" customHeight="1">
      <c r="B220" s="1" t="s">
        <v>385</v>
      </c>
      <c r="C220" s="1" t="s">
        <v>367</v>
      </c>
      <c r="D220" s="1" t="s">
        <v>278</v>
      </c>
      <c r="E220" s="60" t="s">
        <v>4002</v>
      </c>
      <c r="F220" s="1" t="s">
        <v>3894</v>
      </c>
      <c r="G220" s="1" t="s">
        <v>3911</v>
      </c>
      <c r="H220" s="61">
        <v>43238</v>
      </c>
    </row>
    <row r="221" spans="2:8" ht="15" customHeight="1">
      <c r="B221" s="1" t="s">
        <v>384</v>
      </c>
      <c r="C221" s="1" t="s">
        <v>276</v>
      </c>
      <c r="D221" s="1" t="s">
        <v>281</v>
      </c>
      <c r="E221" s="60" t="s">
        <v>4003</v>
      </c>
      <c r="F221" s="1" t="s">
        <v>872</v>
      </c>
      <c r="G221" s="1" t="s">
        <v>3912</v>
      </c>
      <c r="H221" s="61">
        <v>43262</v>
      </c>
    </row>
    <row r="222" spans="2:8" ht="15" customHeight="1">
      <c r="B222" s="1" t="s">
        <v>383</v>
      </c>
      <c r="C222" s="1" t="s">
        <v>276</v>
      </c>
      <c r="D222" s="1" t="s">
        <v>278</v>
      </c>
      <c r="E222" s="60" t="s">
        <v>274</v>
      </c>
      <c r="F222" s="1" t="s">
        <v>872</v>
      </c>
      <c r="G222" s="1" t="s">
        <v>3913</v>
      </c>
      <c r="H222" s="61">
        <v>43262</v>
      </c>
    </row>
    <row r="223" spans="2:8" ht="15" customHeight="1">
      <c r="B223" s="1" t="s">
        <v>382</v>
      </c>
      <c r="C223" s="1" t="s">
        <v>276</v>
      </c>
      <c r="D223" s="1" t="s">
        <v>295</v>
      </c>
      <c r="E223" s="60" t="s">
        <v>274</v>
      </c>
      <c r="F223" s="1" t="s">
        <v>872</v>
      </c>
      <c r="G223" s="1" t="s">
        <v>3914</v>
      </c>
      <c r="H223" s="61">
        <v>43262</v>
      </c>
    </row>
    <row r="224" spans="2:8" ht="15" customHeight="1">
      <c r="B224" s="1" t="s">
        <v>381</v>
      </c>
      <c r="C224" s="1" t="s">
        <v>276</v>
      </c>
      <c r="D224" s="1" t="s">
        <v>281</v>
      </c>
      <c r="E224" s="60" t="s">
        <v>274</v>
      </c>
      <c r="F224" s="1" t="s">
        <v>872</v>
      </c>
      <c r="G224" s="1" t="s">
        <v>3915</v>
      </c>
      <c r="H224" s="61">
        <v>43262</v>
      </c>
    </row>
    <row r="225" spans="2:8" ht="15" customHeight="1">
      <c r="B225" s="1" t="s">
        <v>380</v>
      </c>
      <c r="C225" s="1" t="s">
        <v>379</v>
      </c>
      <c r="D225" s="1" t="s">
        <v>278</v>
      </c>
      <c r="E225" s="60" t="s">
        <v>274</v>
      </c>
      <c r="F225" s="1" t="s">
        <v>3916</v>
      </c>
      <c r="G225" s="1" t="s">
        <v>3917</v>
      </c>
      <c r="H225" s="61">
        <v>43269</v>
      </c>
    </row>
    <row r="226" spans="2:8" ht="15" customHeight="1">
      <c r="B226" s="1" t="s">
        <v>378</v>
      </c>
      <c r="C226" s="1" t="s">
        <v>377</v>
      </c>
      <c r="D226" s="1" t="s">
        <v>278</v>
      </c>
      <c r="E226" s="60" t="s">
        <v>274</v>
      </c>
      <c r="F226" s="1" t="s">
        <v>3918</v>
      </c>
      <c r="G226" s="1" t="s">
        <v>3919</v>
      </c>
      <c r="H226" s="61">
        <v>43271</v>
      </c>
    </row>
    <row r="227" spans="2:8" ht="15" customHeight="1">
      <c r="B227" s="1" t="s">
        <v>3988</v>
      </c>
      <c r="C227" s="1" t="s">
        <v>3989</v>
      </c>
      <c r="D227" s="1" t="s">
        <v>278</v>
      </c>
      <c r="E227" s="60" t="s">
        <v>274</v>
      </c>
      <c r="F227" s="1" t="s">
        <v>3920</v>
      </c>
      <c r="G227" s="63" t="s">
        <v>3990</v>
      </c>
      <c r="H227" s="61">
        <v>43668</v>
      </c>
    </row>
    <row r="228" spans="2:8" ht="15" customHeight="1">
      <c r="B228" s="1" t="s">
        <v>376</v>
      </c>
      <c r="C228" s="1" t="s">
        <v>375</v>
      </c>
      <c r="D228" s="1" t="s">
        <v>278</v>
      </c>
      <c r="E228" s="60" t="s">
        <v>274</v>
      </c>
      <c r="F228" s="1" t="s">
        <v>3920</v>
      </c>
      <c r="G228" s="1" t="s">
        <v>3921</v>
      </c>
      <c r="H228" s="61">
        <v>43356</v>
      </c>
    </row>
    <row r="229" spans="2:8" ht="15" customHeight="1">
      <c r="B229" s="1" t="s">
        <v>374</v>
      </c>
      <c r="C229" s="1" t="s">
        <v>373</v>
      </c>
      <c r="D229" s="1" t="s">
        <v>278</v>
      </c>
      <c r="E229" s="60" t="s">
        <v>4002</v>
      </c>
      <c r="F229" s="1" t="s">
        <v>3922</v>
      </c>
      <c r="G229" s="1" t="s">
        <v>3923</v>
      </c>
      <c r="H229" s="61">
        <v>43382</v>
      </c>
    </row>
    <row r="230" spans="2:8" ht="15" customHeight="1">
      <c r="B230" s="1" t="s">
        <v>372</v>
      </c>
      <c r="C230" s="1" t="s">
        <v>371</v>
      </c>
      <c r="D230" s="1" t="s">
        <v>278</v>
      </c>
      <c r="E230" s="60" t="s">
        <v>4001</v>
      </c>
      <c r="F230" s="1" t="s">
        <v>3924</v>
      </c>
      <c r="G230" s="1" t="s">
        <v>3925</v>
      </c>
      <c r="H230" s="61">
        <v>43399</v>
      </c>
    </row>
    <row r="231" spans="2:8" ht="15" customHeight="1">
      <c r="B231" s="1" t="s">
        <v>370</v>
      </c>
      <c r="C231" s="1" t="s">
        <v>276</v>
      </c>
      <c r="D231" s="1" t="s">
        <v>278</v>
      </c>
      <c r="E231" s="60" t="s">
        <v>274</v>
      </c>
      <c r="F231" s="1" t="s">
        <v>872</v>
      </c>
      <c r="G231" s="1" t="s">
        <v>3926</v>
      </c>
      <c r="H231" s="61">
        <v>43414</v>
      </c>
    </row>
    <row r="232" spans="2:8" ht="15" customHeight="1">
      <c r="B232" s="1" t="s">
        <v>369</v>
      </c>
      <c r="C232" s="1" t="s">
        <v>276</v>
      </c>
      <c r="D232" s="1" t="s">
        <v>278</v>
      </c>
      <c r="E232" s="60" t="s">
        <v>274</v>
      </c>
      <c r="F232" s="1" t="s">
        <v>872</v>
      </c>
      <c r="G232" s="1" t="s">
        <v>3927</v>
      </c>
      <c r="H232" s="61">
        <v>43414</v>
      </c>
    </row>
    <row r="233" spans="2:8" ht="15" customHeight="1">
      <c r="B233" s="1" t="s">
        <v>368</v>
      </c>
      <c r="C233" s="1" t="s">
        <v>367</v>
      </c>
      <c r="D233" s="1" t="s">
        <v>278</v>
      </c>
      <c r="E233" s="60" t="s">
        <v>274</v>
      </c>
      <c r="F233" s="1" t="s">
        <v>3920</v>
      </c>
      <c r="G233" s="1" t="s">
        <v>3928</v>
      </c>
      <c r="H233" s="61">
        <v>43418</v>
      </c>
    </row>
    <row r="234" spans="2:8" ht="15" customHeight="1">
      <c r="B234" s="1" t="s">
        <v>366</v>
      </c>
      <c r="C234" s="1" t="s">
        <v>365</v>
      </c>
      <c r="D234" s="1" t="s">
        <v>278</v>
      </c>
      <c r="E234" s="60" t="s">
        <v>274</v>
      </c>
      <c r="F234" s="1" t="s">
        <v>3805</v>
      </c>
      <c r="G234" s="1" t="s">
        <v>3929</v>
      </c>
      <c r="H234" s="61">
        <v>43423</v>
      </c>
    </row>
    <row r="235" spans="2:8" ht="15" customHeight="1">
      <c r="B235" s="1" t="s">
        <v>364</v>
      </c>
      <c r="C235" s="1" t="s">
        <v>363</v>
      </c>
      <c r="D235" s="1" t="s">
        <v>278</v>
      </c>
      <c r="E235" s="60" t="s">
        <v>274</v>
      </c>
      <c r="F235" s="1" t="s">
        <v>372</v>
      </c>
      <c r="G235" s="1" t="s">
        <v>3930</v>
      </c>
      <c r="H235" s="61">
        <v>43434</v>
      </c>
    </row>
    <row r="236" spans="2:8" ht="15" customHeight="1">
      <c r="B236" s="1" t="s">
        <v>362</v>
      </c>
      <c r="C236" s="1" t="s">
        <v>360</v>
      </c>
      <c r="D236" s="1" t="s">
        <v>278</v>
      </c>
      <c r="E236" s="60" t="s">
        <v>274</v>
      </c>
      <c r="F236" s="1" t="s">
        <v>3931</v>
      </c>
      <c r="G236" s="1" t="s">
        <v>3932</v>
      </c>
      <c r="H236" s="61">
        <v>43489</v>
      </c>
    </row>
    <row r="237" spans="2:8" ht="15" customHeight="1">
      <c r="B237" s="1" t="s">
        <v>361</v>
      </c>
      <c r="C237" s="1" t="s">
        <v>360</v>
      </c>
      <c r="D237" s="1" t="s">
        <v>278</v>
      </c>
      <c r="E237" s="60" t="s">
        <v>274</v>
      </c>
      <c r="F237" s="1" t="s">
        <v>3916</v>
      </c>
      <c r="G237" s="1" t="s">
        <v>3933</v>
      </c>
      <c r="H237" s="61">
        <v>43500</v>
      </c>
    </row>
    <row r="238" spans="2:8" ht="15" customHeight="1">
      <c r="B238" s="1" t="s">
        <v>359</v>
      </c>
      <c r="C238" s="1" t="s">
        <v>358</v>
      </c>
      <c r="D238" s="1" t="s">
        <v>278</v>
      </c>
      <c r="E238" s="60" t="s">
        <v>274</v>
      </c>
      <c r="F238" s="1" t="s">
        <v>3884</v>
      </c>
      <c r="G238" s="1" t="s">
        <v>3934</v>
      </c>
      <c r="H238" s="61">
        <v>43573</v>
      </c>
    </row>
    <row r="239" spans="2:8" ht="15" customHeight="1">
      <c r="B239" s="1" t="s">
        <v>357</v>
      </c>
      <c r="C239" s="1" t="s">
        <v>356</v>
      </c>
      <c r="D239" s="1" t="s">
        <v>281</v>
      </c>
      <c r="E239" s="60" t="s">
        <v>274</v>
      </c>
      <c r="F239" s="1" t="s">
        <v>372</v>
      </c>
      <c r="G239" s="1" t="s">
        <v>3935</v>
      </c>
      <c r="H239" s="61">
        <v>43608</v>
      </c>
    </row>
    <row r="240" spans="2:8" ht="15" customHeight="1">
      <c r="B240" s="1" t="s">
        <v>355</v>
      </c>
      <c r="C240" s="1" t="s">
        <v>354</v>
      </c>
      <c r="D240" s="1" t="s">
        <v>278</v>
      </c>
      <c r="E240" s="60" t="s">
        <v>274</v>
      </c>
      <c r="F240" s="1" t="s">
        <v>921</v>
      </c>
      <c r="G240" s="1" t="s">
        <v>3936</v>
      </c>
      <c r="H240" s="61">
        <v>43613</v>
      </c>
    </row>
    <row r="241" spans="2:8" ht="15" customHeight="1">
      <c r="B241" s="1" t="s">
        <v>353</v>
      </c>
      <c r="C241" s="1" t="s">
        <v>276</v>
      </c>
      <c r="D241" s="1" t="s">
        <v>278</v>
      </c>
      <c r="E241" s="60" t="s">
        <v>274</v>
      </c>
      <c r="F241" s="1" t="s">
        <v>872</v>
      </c>
      <c r="G241" s="1" t="s">
        <v>3937</v>
      </c>
      <c r="H241" s="61">
        <v>43625</v>
      </c>
    </row>
    <row r="242" spans="2:8" ht="15" customHeight="1">
      <c r="B242" s="1" t="s">
        <v>352</v>
      </c>
      <c r="C242" s="1" t="s">
        <v>298</v>
      </c>
      <c r="D242" s="1" t="s">
        <v>278</v>
      </c>
      <c r="E242" s="60" t="s">
        <v>274</v>
      </c>
      <c r="F242" s="1" t="s">
        <v>372</v>
      </c>
      <c r="G242" s="1" t="s">
        <v>3938</v>
      </c>
      <c r="H242" s="61">
        <v>43633</v>
      </c>
    </row>
    <row r="243" spans="2:8" ht="15" customHeight="1">
      <c r="B243" s="1" t="s">
        <v>351</v>
      </c>
      <c r="C243" s="1" t="s">
        <v>350</v>
      </c>
      <c r="D243" s="1" t="s">
        <v>278</v>
      </c>
      <c r="E243" s="60" t="s">
        <v>274</v>
      </c>
      <c r="F243" s="1" t="s">
        <v>3931</v>
      </c>
      <c r="G243" s="1" t="s">
        <v>3939</v>
      </c>
      <c r="H243" s="61">
        <v>43675</v>
      </c>
    </row>
    <row r="244" spans="2:8" ht="15" customHeight="1">
      <c r="B244" s="1" t="s">
        <v>349</v>
      </c>
      <c r="C244" s="1" t="s">
        <v>348</v>
      </c>
      <c r="D244" s="1" t="s">
        <v>278</v>
      </c>
      <c r="E244" s="60" t="s">
        <v>274</v>
      </c>
      <c r="F244" s="1" t="s">
        <v>836</v>
      </c>
      <c r="G244" s="1" t="s">
        <v>3940</v>
      </c>
      <c r="H244" s="61">
        <v>43682</v>
      </c>
    </row>
    <row r="245" spans="2:8" ht="15" customHeight="1">
      <c r="B245" s="1" t="s">
        <v>347</v>
      </c>
      <c r="C245" s="1" t="s">
        <v>346</v>
      </c>
      <c r="D245" s="1" t="s">
        <v>278</v>
      </c>
      <c r="E245" s="60" t="s">
        <v>274</v>
      </c>
      <c r="F245" s="1" t="s">
        <v>3941</v>
      </c>
      <c r="G245" s="1" t="s">
        <v>3942</v>
      </c>
      <c r="H245" s="61">
        <v>43696</v>
      </c>
    </row>
    <row r="246" spans="2:8" ht="15" customHeight="1">
      <c r="B246" s="1" t="s">
        <v>345</v>
      </c>
      <c r="C246" s="1" t="s">
        <v>344</v>
      </c>
      <c r="D246" s="1" t="s">
        <v>278</v>
      </c>
      <c r="E246" s="60" t="s">
        <v>274</v>
      </c>
      <c r="F246" s="1" t="s">
        <v>3943</v>
      </c>
      <c r="G246" s="1" t="s">
        <v>3944</v>
      </c>
      <c r="H246" s="61">
        <v>43713</v>
      </c>
    </row>
    <row r="247" spans="2:8" ht="15" customHeight="1">
      <c r="B247" s="1" t="s">
        <v>343</v>
      </c>
      <c r="C247" s="1" t="s">
        <v>342</v>
      </c>
      <c r="D247" s="1" t="s">
        <v>278</v>
      </c>
      <c r="E247" s="60" t="s">
        <v>274</v>
      </c>
      <c r="F247" s="1" t="s">
        <v>372</v>
      </c>
      <c r="G247" s="1" t="s">
        <v>3945</v>
      </c>
      <c r="H247" s="61">
        <v>43726</v>
      </c>
    </row>
    <row r="248" spans="2:8" ht="15" customHeight="1">
      <c r="B248" s="1" t="s">
        <v>341</v>
      </c>
      <c r="C248" s="1" t="s">
        <v>340</v>
      </c>
      <c r="D248" s="1" t="s">
        <v>295</v>
      </c>
      <c r="E248" s="60" t="s">
        <v>274</v>
      </c>
      <c r="F248" s="1" t="s">
        <v>3811</v>
      </c>
      <c r="G248" s="1" t="s">
        <v>3946</v>
      </c>
      <c r="H248" s="61">
        <v>43759</v>
      </c>
    </row>
    <row r="249" spans="2:8" ht="15" customHeight="1">
      <c r="B249" s="1" t="s">
        <v>339</v>
      </c>
      <c r="C249" s="1" t="s">
        <v>338</v>
      </c>
      <c r="D249" s="1" t="s">
        <v>278</v>
      </c>
      <c r="E249" s="60" t="s">
        <v>274</v>
      </c>
      <c r="F249" s="1" t="s">
        <v>372</v>
      </c>
      <c r="G249" s="1" t="s">
        <v>3947</v>
      </c>
      <c r="H249" s="61">
        <v>43906</v>
      </c>
    </row>
    <row r="250" spans="2:8" ht="15" customHeight="1">
      <c r="B250" s="1" t="s">
        <v>337</v>
      </c>
      <c r="C250" s="1" t="s">
        <v>314</v>
      </c>
      <c r="D250" s="1" t="s">
        <v>278</v>
      </c>
      <c r="E250" s="60" t="s">
        <v>4051</v>
      </c>
      <c r="F250" s="1" t="s">
        <v>3948</v>
      </c>
      <c r="G250" s="1" t="s">
        <v>3949</v>
      </c>
      <c r="H250" s="61">
        <v>43916</v>
      </c>
    </row>
    <row r="251" spans="2:8" ht="15" customHeight="1">
      <c r="B251" s="1" t="s">
        <v>336</v>
      </c>
      <c r="C251" s="1" t="s">
        <v>314</v>
      </c>
      <c r="D251" s="1" t="s">
        <v>281</v>
      </c>
      <c r="E251" s="60" t="s">
        <v>274</v>
      </c>
      <c r="F251" s="1" t="s">
        <v>3948</v>
      </c>
      <c r="G251" s="1" t="s">
        <v>3950</v>
      </c>
      <c r="H251" s="61">
        <v>43965</v>
      </c>
    </row>
    <row r="252" spans="2:8" ht="15" customHeight="1">
      <c r="B252" s="1" t="s">
        <v>335</v>
      </c>
      <c r="C252" s="1" t="s">
        <v>334</v>
      </c>
      <c r="D252" s="1" t="s">
        <v>281</v>
      </c>
      <c r="E252" s="60" t="s">
        <v>274</v>
      </c>
      <c r="F252" s="1" t="s">
        <v>3951</v>
      </c>
      <c r="G252" s="1" t="s">
        <v>3952</v>
      </c>
      <c r="H252" s="61">
        <v>43970</v>
      </c>
    </row>
    <row r="253" spans="2:8" ht="15" customHeight="1">
      <c r="B253" s="1" t="s">
        <v>333</v>
      </c>
      <c r="C253" s="1" t="s">
        <v>332</v>
      </c>
      <c r="D253" s="1" t="s">
        <v>278</v>
      </c>
      <c r="E253" s="60" t="s">
        <v>274</v>
      </c>
      <c r="F253" s="1" t="s">
        <v>3931</v>
      </c>
      <c r="G253" s="1" t="s">
        <v>3953</v>
      </c>
      <c r="H253" s="61">
        <v>44000</v>
      </c>
    </row>
    <row r="254" spans="2:8" ht="15" customHeight="1">
      <c r="B254" s="1" t="s">
        <v>331</v>
      </c>
      <c r="C254" s="1" t="s">
        <v>330</v>
      </c>
      <c r="D254" s="1" t="s">
        <v>278</v>
      </c>
      <c r="E254" s="60" t="s">
        <v>4052</v>
      </c>
      <c r="F254" s="1" t="s">
        <v>3954</v>
      </c>
      <c r="G254" s="1" t="s">
        <v>3955</v>
      </c>
      <c r="H254" s="61">
        <v>44004</v>
      </c>
    </row>
    <row r="255" spans="2:8" ht="15" customHeight="1">
      <c r="B255" s="1" t="s">
        <v>329</v>
      </c>
      <c r="C255" s="1" t="s">
        <v>328</v>
      </c>
      <c r="D255" s="1" t="s">
        <v>278</v>
      </c>
      <c r="E255" s="60" t="s">
        <v>274</v>
      </c>
      <c r="F255" s="1" t="s">
        <v>3861</v>
      </c>
      <c r="G255" s="1" t="s">
        <v>3956</v>
      </c>
      <c r="H255" s="61">
        <v>44019</v>
      </c>
    </row>
    <row r="256" spans="2:8" ht="15" customHeight="1">
      <c r="B256" s="1" t="s">
        <v>327</v>
      </c>
      <c r="C256" s="1" t="s">
        <v>276</v>
      </c>
      <c r="D256" s="1" t="s">
        <v>278</v>
      </c>
      <c r="E256" s="60" t="s">
        <v>4053</v>
      </c>
      <c r="F256" s="1" t="s">
        <v>872</v>
      </c>
      <c r="G256" s="1" t="s">
        <v>3957</v>
      </c>
      <c r="H256" s="61">
        <v>44095</v>
      </c>
    </row>
    <row r="257" spans="2:8" ht="15" customHeight="1">
      <c r="B257" s="1" t="s">
        <v>326</v>
      </c>
      <c r="C257" s="1" t="s">
        <v>325</v>
      </c>
      <c r="D257" s="1" t="s">
        <v>278</v>
      </c>
      <c r="E257" s="60" t="s">
        <v>274</v>
      </c>
      <c r="F257" s="1" t="s">
        <v>3958</v>
      </c>
      <c r="G257" s="1" t="s">
        <v>3959</v>
      </c>
      <c r="H257" s="61">
        <v>44167</v>
      </c>
    </row>
    <row r="258" spans="2:8" ht="15" customHeight="1">
      <c r="B258" s="1" t="s">
        <v>324</v>
      </c>
      <c r="C258" s="1" t="s">
        <v>323</v>
      </c>
      <c r="D258" s="1" t="s">
        <v>278</v>
      </c>
      <c r="E258" s="60" t="s">
        <v>274</v>
      </c>
      <c r="F258" s="1" t="s">
        <v>3960</v>
      </c>
      <c r="G258" s="1" t="s">
        <v>3961</v>
      </c>
      <c r="H258" s="61">
        <v>44271</v>
      </c>
    </row>
    <row r="259" spans="2:8" ht="15" customHeight="1">
      <c r="B259" s="1" t="s">
        <v>322</v>
      </c>
      <c r="C259" s="1" t="s">
        <v>321</v>
      </c>
      <c r="D259" s="1" t="s">
        <v>278</v>
      </c>
      <c r="E259" s="60" t="s">
        <v>4054</v>
      </c>
      <c r="F259" s="1" t="s">
        <v>3962</v>
      </c>
      <c r="G259" s="1" t="s">
        <v>3963</v>
      </c>
      <c r="H259" s="61">
        <v>44298</v>
      </c>
    </row>
    <row r="260" spans="2:8" ht="15" customHeight="1">
      <c r="B260" s="1" t="s">
        <v>320</v>
      </c>
      <c r="C260" s="1" t="s">
        <v>319</v>
      </c>
      <c r="D260" s="1" t="s">
        <v>318</v>
      </c>
      <c r="E260" s="60" t="s">
        <v>274</v>
      </c>
      <c r="F260" s="1" t="s">
        <v>3898</v>
      </c>
      <c r="G260" s="1" t="s">
        <v>3964</v>
      </c>
      <c r="H260" s="61">
        <v>44315</v>
      </c>
    </row>
    <row r="261" spans="2:8" ht="15" customHeight="1">
      <c r="B261" s="1" t="s">
        <v>317</v>
      </c>
      <c r="C261" s="1" t="s">
        <v>316</v>
      </c>
      <c r="D261" s="1" t="s">
        <v>278</v>
      </c>
      <c r="E261" s="60" t="s">
        <v>274</v>
      </c>
      <c r="F261" s="1" t="s">
        <v>3954</v>
      </c>
      <c r="G261" s="1" t="s">
        <v>3965</v>
      </c>
      <c r="H261" s="61">
        <v>44349</v>
      </c>
    </row>
    <row r="262" spans="2:8" ht="15" customHeight="1">
      <c r="B262" s="1" t="s">
        <v>315</v>
      </c>
      <c r="C262" s="1" t="s">
        <v>314</v>
      </c>
      <c r="D262" s="1" t="s">
        <v>278</v>
      </c>
      <c r="E262" s="60" t="s">
        <v>274</v>
      </c>
      <c r="F262" s="1" t="s">
        <v>3948</v>
      </c>
      <c r="G262" s="1" t="s">
        <v>3966</v>
      </c>
      <c r="H262" s="61">
        <v>44377</v>
      </c>
    </row>
    <row r="263" spans="2:8" ht="15" customHeight="1">
      <c r="B263" s="1" t="s">
        <v>313</v>
      </c>
      <c r="C263" s="1" t="s">
        <v>312</v>
      </c>
      <c r="D263" s="1" t="s">
        <v>278</v>
      </c>
      <c r="E263" s="60" t="s">
        <v>4017</v>
      </c>
      <c r="F263" s="1" t="s">
        <v>921</v>
      </c>
      <c r="G263" s="1" t="s">
        <v>3967</v>
      </c>
      <c r="H263" s="61">
        <v>44389</v>
      </c>
    </row>
    <row r="264" spans="2:8" ht="15" customHeight="1">
      <c r="B264" s="1" t="s">
        <v>311</v>
      </c>
      <c r="C264" s="1" t="s">
        <v>310</v>
      </c>
      <c r="D264" s="1" t="s">
        <v>278</v>
      </c>
      <c r="E264" s="60" t="s">
        <v>274</v>
      </c>
      <c r="F264" s="1" t="s">
        <v>3809</v>
      </c>
      <c r="G264" s="1" t="s">
        <v>3968</v>
      </c>
      <c r="H264" s="61">
        <v>44399</v>
      </c>
    </row>
    <row r="265" spans="2:8" ht="15" customHeight="1">
      <c r="B265" s="1" t="s">
        <v>309</v>
      </c>
      <c r="C265" s="1" t="s">
        <v>298</v>
      </c>
      <c r="D265" s="1" t="s">
        <v>278</v>
      </c>
      <c r="E265" s="60" t="s">
        <v>274</v>
      </c>
      <c r="F265" s="1" t="s">
        <v>882</v>
      </c>
      <c r="G265" s="1" t="s">
        <v>3969</v>
      </c>
      <c r="H265" s="61">
        <v>44405</v>
      </c>
    </row>
    <row r="266" spans="2:8" ht="15" customHeight="1">
      <c r="B266" s="1" t="s">
        <v>308</v>
      </c>
      <c r="C266" s="1" t="s">
        <v>307</v>
      </c>
      <c r="D266" s="1" t="s">
        <v>278</v>
      </c>
      <c r="E266" s="60" t="s">
        <v>274</v>
      </c>
      <c r="F266" s="1" t="s">
        <v>3970</v>
      </c>
      <c r="G266" s="1" t="s">
        <v>3971</v>
      </c>
      <c r="H266" s="61">
        <v>44418</v>
      </c>
    </row>
    <row r="267" spans="2:8" ht="15" customHeight="1">
      <c r="B267" s="1" t="s">
        <v>306</v>
      </c>
      <c r="C267" s="1" t="s">
        <v>305</v>
      </c>
      <c r="D267" s="1" t="s">
        <v>304</v>
      </c>
      <c r="E267" s="60" t="s">
        <v>274</v>
      </c>
      <c r="F267" s="1" t="s">
        <v>3805</v>
      </c>
      <c r="G267" s="1" t="s">
        <v>3972</v>
      </c>
      <c r="H267" s="61">
        <v>44446</v>
      </c>
    </row>
    <row r="268" spans="2:8" ht="15" customHeight="1">
      <c r="B268" s="1" t="s">
        <v>303</v>
      </c>
      <c r="C268" s="1" t="s">
        <v>302</v>
      </c>
      <c r="D268" s="1" t="s">
        <v>278</v>
      </c>
      <c r="E268" s="60" t="s">
        <v>274</v>
      </c>
      <c r="F268" s="1" t="s">
        <v>3916</v>
      </c>
      <c r="G268" s="1" t="s">
        <v>3973</v>
      </c>
      <c r="H268" s="61">
        <v>44447</v>
      </c>
    </row>
    <row r="269" spans="2:8" ht="15" customHeight="1">
      <c r="B269" s="1" t="s">
        <v>301</v>
      </c>
      <c r="C269" s="1" t="s">
        <v>300</v>
      </c>
      <c r="D269" s="1" t="s">
        <v>278</v>
      </c>
      <c r="E269" s="60" t="s">
        <v>274</v>
      </c>
      <c r="F269" s="1" t="s">
        <v>3922</v>
      </c>
      <c r="G269" s="1" t="s">
        <v>3974</v>
      </c>
      <c r="H269" s="61">
        <v>44476</v>
      </c>
    </row>
    <row r="270" spans="2:8" ht="15" customHeight="1">
      <c r="B270" s="1" t="s">
        <v>299</v>
      </c>
      <c r="C270" s="1" t="s">
        <v>298</v>
      </c>
      <c r="D270" s="1" t="s">
        <v>278</v>
      </c>
      <c r="E270" s="60" t="s">
        <v>274</v>
      </c>
      <c r="F270" s="1" t="s">
        <v>3951</v>
      </c>
      <c r="G270" s="1" t="s">
        <v>3975</v>
      </c>
      <c r="H270" s="61">
        <v>44491</v>
      </c>
    </row>
    <row r="271" spans="2:8" ht="15" customHeight="1">
      <c r="B271" s="1" t="s">
        <v>297</v>
      </c>
      <c r="C271" s="1" t="s">
        <v>296</v>
      </c>
      <c r="D271" s="1" t="s">
        <v>295</v>
      </c>
      <c r="E271" s="60" t="s">
        <v>274</v>
      </c>
      <c r="F271" s="1" t="s">
        <v>3976</v>
      </c>
      <c r="G271" s="1" t="s">
        <v>3977</v>
      </c>
      <c r="H271" s="61">
        <v>44498</v>
      </c>
    </row>
    <row r="272" spans="2:8" ht="15" customHeight="1">
      <c r="B272" s="1" t="s">
        <v>294</v>
      </c>
      <c r="C272" s="1" t="s">
        <v>293</v>
      </c>
      <c r="D272" s="1" t="s">
        <v>278</v>
      </c>
      <c r="E272" s="60" t="s">
        <v>4055</v>
      </c>
      <c r="F272" s="1" t="s">
        <v>836</v>
      </c>
      <c r="G272" s="1" t="s">
        <v>971</v>
      </c>
      <c r="H272" s="61">
        <v>44551</v>
      </c>
    </row>
    <row r="273" spans="2:8" ht="15" customHeight="1">
      <c r="B273" s="1" t="s">
        <v>292</v>
      </c>
      <c r="C273" s="1" t="s">
        <v>276</v>
      </c>
      <c r="D273" s="1" t="s">
        <v>278</v>
      </c>
      <c r="E273" s="60" t="s">
        <v>4056</v>
      </c>
      <c r="F273" s="1" t="s">
        <v>872</v>
      </c>
      <c r="G273" s="1" t="s">
        <v>3978</v>
      </c>
      <c r="H273" s="61">
        <v>44579</v>
      </c>
    </row>
    <row r="274" spans="2:8" ht="15" customHeight="1">
      <c r="B274" s="1" t="s">
        <v>291</v>
      </c>
      <c r="C274" s="1" t="s">
        <v>290</v>
      </c>
      <c r="D274" s="1" t="s">
        <v>289</v>
      </c>
      <c r="E274" s="60" t="s">
        <v>4057</v>
      </c>
      <c r="F274" s="1" t="s">
        <v>836</v>
      </c>
      <c r="G274" s="1" t="s">
        <v>946</v>
      </c>
      <c r="H274" s="61">
        <v>44620</v>
      </c>
    </row>
    <row r="275" spans="2:8" ht="15" customHeight="1">
      <c r="B275" s="1" t="s">
        <v>288</v>
      </c>
      <c r="C275" s="1" t="s">
        <v>287</v>
      </c>
      <c r="D275" s="1" t="s">
        <v>286</v>
      </c>
      <c r="E275" s="60" t="s">
        <v>274</v>
      </c>
      <c r="F275" s="1" t="s">
        <v>3951</v>
      </c>
      <c r="G275" s="1" t="s">
        <v>3979</v>
      </c>
      <c r="H275" s="61">
        <v>44651</v>
      </c>
    </row>
    <row r="276" spans="2:8" ht="15" customHeight="1">
      <c r="B276" s="1" t="s">
        <v>285</v>
      </c>
      <c r="C276" s="1" t="s">
        <v>284</v>
      </c>
      <c r="D276" s="1" t="s">
        <v>278</v>
      </c>
      <c r="E276" s="60" t="s">
        <v>274</v>
      </c>
      <c r="F276" s="1" t="s">
        <v>3980</v>
      </c>
      <c r="G276" s="1" t="s">
        <v>3981</v>
      </c>
      <c r="H276" s="61">
        <v>44727</v>
      </c>
    </row>
    <row r="277" spans="2:8" ht="15" customHeight="1">
      <c r="B277" s="1" t="s">
        <v>283</v>
      </c>
      <c r="C277" s="1" t="s">
        <v>282</v>
      </c>
      <c r="D277" s="1" t="s">
        <v>281</v>
      </c>
      <c r="E277" s="60" t="s">
        <v>274</v>
      </c>
      <c r="F277" s="1" t="s">
        <v>3982</v>
      </c>
      <c r="G277" s="1" t="s">
        <v>3983</v>
      </c>
      <c r="H277" s="61">
        <v>44904</v>
      </c>
    </row>
    <row r="278" spans="2:8" ht="15" customHeight="1">
      <c r="B278" s="1" t="s">
        <v>280</v>
      </c>
      <c r="C278" s="1" t="s">
        <v>279</v>
      </c>
      <c r="D278" s="1" t="s">
        <v>278</v>
      </c>
      <c r="E278" s="60" t="s">
        <v>274</v>
      </c>
      <c r="F278" s="1" t="s">
        <v>3984</v>
      </c>
      <c r="G278" s="1" t="s">
        <v>3985</v>
      </c>
      <c r="H278" s="61">
        <v>44935</v>
      </c>
    </row>
    <row r="279" spans="2:8" ht="15" customHeight="1">
      <c r="B279" s="1" t="s">
        <v>277</v>
      </c>
      <c r="C279" s="1" t="s">
        <v>276</v>
      </c>
      <c r="D279" s="1" t="s">
        <v>275</v>
      </c>
      <c r="E279" s="60" t="s">
        <v>274</v>
      </c>
      <c r="F279" s="1" t="s">
        <v>872</v>
      </c>
      <c r="G279" s="1" t="s">
        <v>3986</v>
      </c>
      <c r="H279" s="61">
        <v>45021</v>
      </c>
    </row>
    <row r="280" spans="2:8" ht="15" customHeight="1">
      <c r="H280" s="64"/>
    </row>
    <row r="281" spans="2:8" ht="15" customHeight="1">
      <c r="H281" s="64"/>
    </row>
    <row r="282" spans="2:8" ht="15" customHeight="1">
      <c r="H282" s="64"/>
    </row>
    <row r="283" spans="2:8" ht="15" customHeight="1"/>
    <row r="284" spans="2:8">
      <c r="H284" s="64"/>
    </row>
    <row r="285" spans="2:8">
      <c r="H285" s="64"/>
    </row>
    <row r="286" spans="2:8">
      <c r="H286" s="64"/>
    </row>
    <row r="287" spans="2:8">
      <c r="H287" s="64"/>
    </row>
    <row r="288" spans="2:8">
      <c r="H288" s="64"/>
    </row>
    <row r="289" spans="8:8">
      <c r="H289" s="64"/>
    </row>
    <row r="290" spans="8:8">
      <c r="H290" s="64"/>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36E60-677E-467E-9C59-7853ADE8E695}">
  <dimension ref="A1"/>
  <sheetViews>
    <sheetView workbookViewId="0">
      <selection activeCell="O16" sqref="O16"/>
    </sheetView>
  </sheetViews>
  <sheetFormatPr defaultRowHeight="14.25"/>
  <cols>
    <col min="1" max="1" width="3" style="1" customWidth="1"/>
    <col min="2" max="16384" width="9.140625" style="1"/>
  </cols>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C31F-8910-447E-89B3-28B6120F3B0A}">
  <dimension ref="B2:Z8"/>
  <sheetViews>
    <sheetView workbookViewId="0">
      <selection activeCell="D15" sqref="D15"/>
    </sheetView>
  </sheetViews>
  <sheetFormatPr defaultRowHeight="14.25"/>
  <cols>
    <col min="1" max="1" width="3.140625" style="1" customWidth="1"/>
    <col min="2" max="16384" width="9.140625" style="1"/>
  </cols>
  <sheetData>
    <row r="2" spans="2:26" ht="15">
      <c r="B2" s="3" t="s">
        <v>10</v>
      </c>
      <c r="C2" s="4"/>
      <c r="D2" s="4"/>
      <c r="E2" s="4"/>
      <c r="F2" s="4"/>
      <c r="G2" s="3" t="s">
        <v>10</v>
      </c>
      <c r="H2" s="5"/>
      <c r="I2" s="5"/>
      <c r="J2" s="5"/>
      <c r="K2" s="5"/>
      <c r="L2" s="5"/>
      <c r="M2" s="5"/>
      <c r="N2" s="5"/>
      <c r="O2" s="5"/>
      <c r="P2" s="5"/>
      <c r="Q2" s="5"/>
      <c r="R2" s="5"/>
      <c r="S2" s="5"/>
      <c r="T2" s="5"/>
      <c r="U2" s="5"/>
      <c r="V2" s="5"/>
      <c r="W2" s="5"/>
      <c r="X2" s="5"/>
      <c r="Y2" s="5"/>
      <c r="Z2" s="6"/>
    </row>
    <row r="3" spans="2:26" ht="15">
      <c r="B3" s="7" t="s">
        <v>11</v>
      </c>
      <c r="C3" s="8"/>
      <c r="D3" s="8"/>
      <c r="E3" s="8"/>
      <c r="F3" s="9"/>
      <c r="G3" s="10" t="s">
        <v>12</v>
      </c>
      <c r="H3" s="10"/>
      <c r="I3" s="10"/>
      <c r="J3" s="10"/>
      <c r="K3" s="10"/>
      <c r="L3" s="10"/>
      <c r="M3" s="10"/>
      <c r="N3" s="10"/>
      <c r="O3" s="10"/>
      <c r="P3" s="10"/>
      <c r="Q3" s="10"/>
      <c r="R3" s="10"/>
      <c r="S3" s="10"/>
      <c r="T3" s="10"/>
      <c r="U3" s="10"/>
      <c r="V3" s="10"/>
      <c r="W3" s="10"/>
      <c r="X3" s="10"/>
      <c r="Y3" s="10"/>
      <c r="Z3" s="11"/>
    </row>
    <row r="4" spans="2:26" ht="15">
      <c r="B4" s="12" t="s">
        <v>11</v>
      </c>
      <c r="C4" s="13"/>
      <c r="D4" s="13"/>
      <c r="E4" s="13"/>
      <c r="F4" s="14"/>
      <c r="G4" s="15" t="s">
        <v>13</v>
      </c>
      <c r="H4" s="15"/>
      <c r="I4" s="15"/>
      <c r="J4" s="15"/>
      <c r="K4" s="15"/>
      <c r="L4" s="15"/>
      <c r="M4" s="15"/>
      <c r="N4" s="15"/>
      <c r="O4" s="15"/>
      <c r="P4" s="15"/>
      <c r="Q4" s="15"/>
      <c r="R4" s="15"/>
      <c r="S4" s="15"/>
      <c r="T4" s="15"/>
      <c r="U4" s="15"/>
      <c r="V4" s="15"/>
      <c r="W4" s="15"/>
      <c r="X4" s="15"/>
      <c r="Y4" s="15"/>
      <c r="Z4" s="16"/>
    </row>
    <row r="5" spans="2:26" ht="15">
      <c r="B5" s="12" t="s">
        <v>11</v>
      </c>
      <c r="C5" s="13"/>
      <c r="D5" s="13"/>
      <c r="E5" s="13"/>
      <c r="F5" s="14"/>
      <c r="G5" s="17" t="s">
        <v>12</v>
      </c>
      <c r="H5" s="17"/>
      <c r="I5" s="17"/>
      <c r="J5" s="17"/>
      <c r="K5" s="17"/>
      <c r="L5" s="17"/>
      <c r="M5" s="17"/>
      <c r="N5" s="17"/>
      <c r="O5" s="17"/>
      <c r="P5" s="17"/>
      <c r="Q5" s="17"/>
      <c r="R5" s="17"/>
      <c r="S5" s="17"/>
      <c r="T5" s="17"/>
      <c r="U5" s="17"/>
      <c r="V5" s="17"/>
      <c r="W5" s="17"/>
      <c r="X5" s="17"/>
      <c r="Y5" s="17"/>
      <c r="Z5" s="18"/>
    </row>
    <row r="6" spans="2:26" ht="15">
      <c r="B6" s="12" t="s">
        <v>11</v>
      </c>
      <c r="C6" s="13"/>
      <c r="D6" s="13"/>
      <c r="E6" s="13"/>
      <c r="F6" s="14"/>
      <c r="G6" s="15" t="s">
        <v>13</v>
      </c>
      <c r="H6" s="15"/>
      <c r="I6" s="15"/>
      <c r="J6" s="15"/>
      <c r="K6" s="15"/>
      <c r="L6" s="15"/>
      <c r="M6" s="15"/>
      <c r="N6" s="15"/>
      <c r="O6" s="15"/>
      <c r="P6" s="15"/>
      <c r="Q6" s="15"/>
      <c r="R6" s="15"/>
      <c r="S6" s="15"/>
      <c r="T6" s="15"/>
      <c r="U6" s="15"/>
      <c r="V6" s="15"/>
      <c r="W6" s="15"/>
      <c r="X6" s="15"/>
      <c r="Y6" s="15"/>
      <c r="Z6" s="16"/>
    </row>
    <row r="7" spans="2:26" ht="15">
      <c r="B7" s="12" t="s">
        <v>11</v>
      </c>
      <c r="C7" s="13"/>
      <c r="D7" s="13"/>
      <c r="E7" s="13"/>
      <c r="F7" s="14"/>
      <c r="G7" s="17" t="s">
        <v>12</v>
      </c>
      <c r="H7" s="17"/>
      <c r="I7" s="17"/>
      <c r="J7" s="17"/>
      <c r="K7" s="17"/>
      <c r="L7" s="17"/>
      <c r="M7" s="17"/>
      <c r="N7" s="17"/>
      <c r="O7" s="17"/>
      <c r="P7" s="17"/>
      <c r="Q7" s="17"/>
      <c r="R7" s="17"/>
      <c r="S7" s="17"/>
      <c r="T7" s="17"/>
      <c r="U7" s="17"/>
      <c r="V7" s="17"/>
      <c r="W7" s="17"/>
      <c r="X7" s="17"/>
      <c r="Y7" s="17"/>
      <c r="Z7" s="18"/>
    </row>
    <row r="8" spans="2:26" ht="15">
      <c r="B8" s="19" t="s">
        <v>11</v>
      </c>
      <c r="C8" s="20"/>
      <c r="D8" s="20"/>
      <c r="E8" s="20"/>
      <c r="F8" s="21"/>
      <c r="G8" s="22" t="s">
        <v>13</v>
      </c>
      <c r="H8" s="22"/>
      <c r="I8" s="22"/>
      <c r="J8" s="22"/>
      <c r="K8" s="22"/>
      <c r="L8" s="22"/>
      <c r="M8" s="22"/>
      <c r="N8" s="22"/>
      <c r="O8" s="22"/>
      <c r="P8" s="22"/>
      <c r="Q8" s="22"/>
      <c r="R8" s="22"/>
      <c r="S8" s="22"/>
      <c r="T8" s="22"/>
      <c r="U8" s="22"/>
      <c r="V8" s="22"/>
      <c r="W8" s="22"/>
      <c r="X8" s="22"/>
      <c r="Y8" s="22"/>
      <c r="Z8" s="2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18512F4-0512-4D4D-A802-392C8530D7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Main</vt:lpstr>
      <vt:lpstr>Model</vt:lpstr>
      <vt:lpstr>Notes | Quant Analysis</vt:lpstr>
      <vt:lpstr>Product Lines</vt:lpstr>
      <vt:lpstr>M&amp;A</vt:lpstr>
      <vt:lpstr>Management</vt:lpstr>
      <vt:lpstr>Table 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Jacob H</cp:lastModifiedBy>
  <dcterms:created xsi:type="dcterms:W3CDTF">2015-06-05T18:17:20Z</dcterms:created>
  <dcterms:modified xsi:type="dcterms:W3CDTF">2026-01-12T09:51:38Z</dcterms:modified>
</cp:coreProperties>
</file>